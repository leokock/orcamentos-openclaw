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Sisa Construções\04. Custo\03.0 Custo - Orçamento Paramétrico\R03\"/>
    </mc:Choice>
  </mc:AlternateContent>
  <xr:revisionPtr revIDLastSave="0" documentId="13_ncr:1_{439A1367-EDAF-437F-B8A2-46B46613F8AA}" xr6:coauthVersionLast="47" xr6:coauthVersionMax="47" xr10:uidLastSave="{00000000-0000-0000-0000-000000000000}"/>
  <bookViews>
    <workbookView xWindow="-23148" yWindow="-48" windowWidth="23256" windowHeight="12456" tabRatio="849" firstSheet="12" activeTab="17" xr2:uid="{00000000-000D-0000-FFFF-FFFF00000000}"/>
  </bookViews>
  <sheets>
    <sheet name="DADOS_INICIAIS" sheetId="46" r:id="rId1"/>
    <sheet name="AREAS" sheetId="67" r:id="rId2"/>
    <sheet name="MOVIMENTAÇÃO_DE_TERRA" sheetId="47" r:id="rId3"/>
    <sheet name="CONTENÇÕES" sheetId="49" state="hidden" r:id="rId4"/>
    <sheet name="INFRAESTRUTURA" sheetId="21" r:id="rId5"/>
    <sheet name="CONTENÇÕES (2)" sheetId="71" r:id="rId6"/>
    <sheet name="SUPRAESTRUTURA" sheetId="48" r:id="rId7"/>
    <sheet name="ALVENARIA" sheetId="61" r:id="rId8"/>
    <sheet name="INSTALAÇÕES" sheetId="58" r:id="rId9"/>
    <sheet name="SISTEMAS ESPECIAIS 3" sheetId="68" r:id="rId10"/>
    <sheet name="SISTEMAS ESPECIAIS 4" sheetId="59" r:id="rId11"/>
    <sheet name="IMPERMEABILIZAÇÃO" sheetId="62" r:id="rId12"/>
    <sheet name="AMBIENTES" sheetId="69" r:id="rId13"/>
    <sheet name="Rev. Internos Piso e Parede" sheetId="51" r:id="rId14"/>
    <sheet name="TETO" sheetId="63" r:id="rId15"/>
    <sheet name="Acabamentos de Piso e Parede" sheetId="53" r:id="rId16"/>
    <sheet name="PINTURA INTERNA" sheetId="64" r:id="rId17"/>
    <sheet name="ESQUADRIAS" sheetId="65" r:id="rId18"/>
    <sheet name="COBERTURA" sheetId="66" r:id="rId19"/>
    <sheet name="Rev. Fachada" sheetId="55" r:id="rId20"/>
    <sheet name="COMPLEMENTARES" sheetId="60" r:id="rId21"/>
    <sheet name="Auxiliar" sheetId="36" state="hidden" r:id="rId22"/>
  </sheets>
  <externalReferences>
    <externalReference r:id="rId23"/>
    <externalReference r:id="rId24"/>
    <externalReference r:id="rId25"/>
    <externalReference r:id="rId26"/>
    <externalReference r:id="rId27"/>
  </externalReferences>
  <definedNames>
    <definedName name="\0" localSheetId="12">#REF!</definedName>
    <definedName name="\0" localSheetId="18">#REF!</definedName>
    <definedName name="\0" localSheetId="20">#REF!</definedName>
    <definedName name="\0" localSheetId="0">#REF!</definedName>
    <definedName name="\0" localSheetId="8">#REF!</definedName>
    <definedName name="\0" localSheetId="2">#REF!</definedName>
    <definedName name="\0" localSheetId="9">#REF!</definedName>
    <definedName name="\0" localSheetId="10">#REF!</definedName>
    <definedName name="\0">#REF!</definedName>
    <definedName name="\1" localSheetId="5">#REF!</definedName>
    <definedName name="\1">#REF!</definedName>
    <definedName name="\a" localSheetId="12">#REF!</definedName>
    <definedName name="\a" localSheetId="0">#REF!</definedName>
    <definedName name="\a">#REF!</definedName>
    <definedName name="\b" localSheetId="5">#REF!</definedName>
    <definedName name="\b">#REF!</definedName>
    <definedName name="\c" localSheetId="5">#REF!</definedName>
    <definedName name="\c">#REF!</definedName>
    <definedName name="\d" localSheetId="5">#REF!</definedName>
    <definedName name="\d">#REF!</definedName>
    <definedName name="\e" localSheetId="5">#REF!</definedName>
    <definedName name="\e">#REF!</definedName>
    <definedName name="\i" localSheetId="5">#REF!</definedName>
    <definedName name="\i">#REF!</definedName>
    <definedName name="\J" localSheetId="5">#REF!</definedName>
    <definedName name="\J">#REF!</definedName>
    <definedName name="\k" localSheetId="5">#REF!</definedName>
    <definedName name="\k">#REF!</definedName>
    <definedName name="\l">#N/A</definedName>
    <definedName name="\m" localSheetId="12">#REF!</definedName>
    <definedName name="\m" localSheetId="0">#REF!</definedName>
    <definedName name="\m">#REF!</definedName>
    <definedName name="\o" localSheetId="5">#REF!</definedName>
    <definedName name="\o">#REF!</definedName>
    <definedName name="\p" localSheetId="5">#REF!</definedName>
    <definedName name="\p">#REF!</definedName>
    <definedName name="\r" localSheetId="5">#REF!</definedName>
    <definedName name="\r">#REF!</definedName>
    <definedName name="\T" localSheetId="5">#REF!</definedName>
    <definedName name="\T">#REF!</definedName>
    <definedName name="\xasd" localSheetId="5" hidden="1">{#N/A,#N/A,FALSE,"Plan1";#N/A,#N/A,FALSE,"Plan2"}</definedName>
    <definedName name="\xasd" hidden="1">{#N/A,#N/A,FALSE,"Plan1";#N/A,#N/A,FALSE,"Plan2"}</definedName>
    <definedName name="\z" localSheetId="5">#REF!</definedName>
    <definedName name="\z">#REF!</definedName>
    <definedName name="_" localSheetId="5" hidden="1">#REF!</definedName>
    <definedName name="_" hidden="1">#REF!</definedName>
    <definedName name="__" localSheetId="5" hidden="1">#REF!</definedName>
    <definedName name="__" hidden="1">#REF!</definedName>
    <definedName name="____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5">#REF!</definedName>
    <definedName name="______ACR10">#REF!</definedName>
    <definedName name="______ACR15" localSheetId="5">#REF!</definedName>
    <definedName name="______ACR15">#REF!</definedName>
    <definedName name="______acr20" localSheetId="5">#REF!</definedName>
    <definedName name="______acr20">#REF!</definedName>
    <definedName name="______acr5" localSheetId="5">#REF!</definedName>
    <definedName name="______acr5">#REF!</definedName>
    <definedName name="______ARQ1" localSheetId="5">#REF!</definedName>
    <definedName name="______ARQ1">#REF!</definedName>
    <definedName name="______QT100" localSheetId="5">#REF!</definedName>
    <definedName name="______QT100">#REF!</definedName>
    <definedName name="______QT2" localSheetId="5">#REF!</definedName>
    <definedName name="______QT2">#REF!</definedName>
    <definedName name="______QT3" localSheetId="5">#REF!</definedName>
    <definedName name="______QT3">#REF!</definedName>
    <definedName name="______QT4" localSheetId="5">#REF!</definedName>
    <definedName name="______QT4">#REF!</definedName>
    <definedName name="______QT50" localSheetId="5">#REF!</definedName>
    <definedName name="______QT50">#REF!</definedName>
    <definedName name="______QT75" localSheetId="5">#REF!</definedName>
    <definedName name="______QT75">#REF!</definedName>
    <definedName name="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5">#REF!</definedName>
    <definedName name="_____ACR10">#REF!</definedName>
    <definedName name="_____ACR15" localSheetId="5">#REF!</definedName>
    <definedName name="_____ACR15">#REF!</definedName>
    <definedName name="_____acr20" localSheetId="5">#REF!</definedName>
    <definedName name="_____acr20">#REF!</definedName>
    <definedName name="_____acr5" localSheetId="5">#REF!</definedName>
    <definedName name="_____acr5">#REF!</definedName>
    <definedName name="_____ARQ1" localSheetId="5">#REF!</definedName>
    <definedName name="_____ARQ1">#REF!</definedName>
    <definedName name="_____key2" localSheetId="5" hidden="1">#REF!</definedName>
    <definedName name="_____key2" hidden="1">#REF!</definedName>
    <definedName name="_____QT100" localSheetId="5">#REF!</definedName>
    <definedName name="_____QT100">#REF!</definedName>
    <definedName name="_____QT2" localSheetId="5">#REF!</definedName>
    <definedName name="_____QT2">#REF!</definedName>
    <definedName name="_____QT3" localSheetId="5">#REF!</definedName>
    <definedName name="_____QT3">#REF!</definedName>
    <definedName name="_____QT4" localSheetId="5">#REF!</definedName>
    <definedName name="_____QT4">#REF!</definedName>
    <definedName name="_____QT50" localSheetId="5">#REF!</definedName>
    <definedName name="_____QT50">#REF!</definedName>
    <definedName name="_____QT75" localSheetId="5">#REF!</definedName>
    <definedName name="_____QT75">#REF!</definedName>
    <definedName name="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5" hidden="1">#REF!</definedName>
    <definedName name="____key2" hidden="1">#REF!</definedName>
    <definedName name="____la29" localSheetId="5" hidden="1">#REF!</definedName>
    <definedName name="____la29" hidden="1">#REF!</definedName>
    <definedName name="____la3" localSheetId="5" hidden="1">#REF!</definedName>
    <definedName name="____la3" hidden="1">#REF!</definedName>
    <definedName name="____la31" localSheetId="5" hidden="1">#REF!</definedName>
    <definedName name="____la31" hidden="1">#REF!</definedName>
    <definedName name="____la32" localSheetId="5" hidden="1">#REF!</definedName>
    <definedName name="____la32" hidden="1">#REF!</definedName>
    <definedName name="____la4" localSheetId="5" hidden="1">#REF!</definedName>
    <definedName name="____la4" hidden="1">#REF!</definedName>
    <definedName name="____la5" localSheetId="5" hidden="1">#REF!</definedName>
    <definedName name="____la5" hidden="1">#REF!</definedName>
    <definedName name="____la6" localSheetId="5" hidden="1">#REF!</definedName>
    <definedName name="____la6" hidden="1">#REF!</definedName>
    <definedName name="____la7" localSheetId="5" hidden="1">#REF!</definedName>
    <definedName name="____la7" hidden="1">#REF!</definedName>
    <definedName name="____la8" localSheetId="5" hidden="1">#REF!</definedName>
    <definedName name="____la8" hidden="1">#REF!</definedName>
    <definedName name="____la9" localSheetId="5" hidden="1">#REF!</definedName>
    <definedName name="____la9" hidden="1">#REF!</definedName>
    <definedName name="____lb1" localSheetId="5" hidden="1">#REF!</definedName>
    <definedName name="____lb1" hidden="1">#REF!</definedName>
    <definedName name="____lb10" localSheetId="5" hidden="1">#REF!</definedName>
    <definedName name="____lb10" hidden="1">#REF!</definedName>
    <definedName name="____lb11" localSheetId="5" hidden="1">#REF!</definedName>
    <definedName name="____lb11" hidden="1">#REF!</definedName>
    <definedName name="____lb12" localSheetId="5" hidden="1">#REF!</definedName>
    <definedName name="____lb12" hidden="1">#REF!</definedName>
    <definedName name="____lb13" localSheetId="5" hidden="1">#REF!</definedName>
    <definedName name="____lb13" hidden="1">#REF!</definedName>
    <definedName name="____lb14" localSheetId="5" hidden="1">#REF!</definedName>
    <definedName name="____lb14" hidden="1">#REF!</definedName>
    <definedName name="____lb15" localSheetId="5" hidden="1">#REF!</definedName>
    <definedName name="____lb15" hidden="1">#REF!</definedName>
    <definedName name="____lb16" localSheetId="5" hidden="1">#REF!</definedName>
    <definedName name="____lb16" hidden="1">#REF!</definedName>
    <definedName name="____lb17" localSheetId="5" hidden="1">#REF!</definedName>
    <definedName name="____lb17" hidden="1">#REF!</definedName>
    <definedName name="____lb18" localSheetId="5" hidden="1">#REF!</definedName>
    <definedName name="____lb18" hidden="1">#REF!</definedName>
    <definedName name="____lb19" localSheetId="5" hidden="1">#REF!</definedName>
    <definedName name="____lb19" hidden="1">#REF!</definedName>
    <definedName name="____lb2" localSheetId="5" hidden="1">#REF!</definedName>
    <definedName name="____lb2" hidden="1">#REF!</definedName>
    <definedName name="____lb20" localSheetId="5" hidden="1">#REF!</definedName>
    <definedName name="____lb20" hidden="1">#REF!</definedName>
    <definedName name="____lb21" localSheetId="5" hidden="1">#REF!</definedName>
    <definedName name="____lb21" hidden="1">#REF!</definedName>
    <definedName name="____lb22" localSheetId="5" hidden="1">#REF!</definedName>
    <definedName name="____lb22" hidden="1">#REF!</definedName>
    <definedName name="____lb23" localSheetId="5" hidden="1">#REF!</definedName>
    <definedName name="____lb23" hidden="1">#REF!</definedName>
    <definedName name="____lb24" localSheetId="5" hidden="1">#REF!</definedName>
    <definedName name="____lb24" hidden="1">#REF!</definedName>
    <definedName name="____lb25" localSheetId="5" hidden="1">#REF!</definedName>
    <definedName name="____lb25" hidden="1">#REF!</definedName>
    <definedName name="____lb27" localSheetId="5" hidden="1">#REF!</definedName>
    <definedName name="____lb27" hidden="1">#REF!</definedName>
    <definedName name="____lb28" localSheetId="5" hidden="1">#REF!</definedName>
    <definedName name="____lb28" hidden="1">#REF!</definedName>
    <definedName name="____lb29" localSheetId="5" hidden="1">#REF!</definedName>
    <definedName name="____lb29" hidden="1">#REF!</definedName>
    <definedName name="____lb3" localSheetId="5" hidden="1">#REF!</definedName>
    <definedName name="____lb3" hidden="1">#REF!</definedName>
    <definedName name="____lb30" localSheetId="5" hidden="1">#REF!</definedName>
    <definedName name="____lb30" hidden="1">#REF!</definedName>
    <definedName name="____lb31" localSheetId="5" hidden="1">#REF!</definedName>
    <definedName name="____lb31" hidden="1">#REF!</definedName>
    <definedName name="____lb32" localSheetId="5" hidden="1">#REF!</definedName>
    <definedName name="____lb32" hidden="1">#REF!</definedName>
    <definedName name="____lb4" localSheetId="5" hidden="1">#REF!</definedName>
    <definedName name="____lb4" hidden="1">#REF!</definedName>
    <definedName name="____lb5" localSheetId="5" hidden="1">#REF!</definedName>
    <definedName name="____lb5" hidden="1">#REF!</definedName>
    <definedName name="____lb6" localSheetId="5" hidden="1">#REF!</definedName>
    <definedName name="____lb6" hidden="1">#REF!</definedName>
    <definedName name="____lb7" localSheetId="5" hidden="1">#REF!</definedName>
    <definedName name="____lb7" hidden="1">#REF!</definedName>
    <definedName name="____lb8" localSheetId="5" hidden="1">#REF!</definedName>
    <definedName name="____lb8" hidden="1">#REF!</definedName>
    <definedName name="____lb9" localSheetId="5" hidden="1">#REF!</definedName>
    <definedName name="____lb9" hidden="1">#REF!</definedName>
    <definedName name="____lbc1" localSheetId="5" hidden="1">#REF!</definedName>
    <definedName name="____lbc1" hidden="1">#REF!</definedName>
    <definedName name="____lbc10" localSheetId="5" hidden="1">#REF!</definedName>
    <definedName name="____lbc10" hidden="1">#REF!</definedName>
    <definedName name="____lbc11" localSheetId="5" hidden="1">#REF!</definedName>
    <definedName name="____lbc11" hidden="1">#REF!</definedName>
    <definedName name="____lbc12" localSheetId="5" hidden="1">#REF!</definedName>
    <definedName name="____lbc12" hidden="1">#REF!</definedName>
    <definedName name="____lbc13" localSheetId="5" hidden="1">#REF!</definedName>
    <definedName name="____lbc13" hidden="1">#REF!</definedName>
    <definedName name="____lbc14" localSheetId="5" hidden="1">#REF!</definedName>
    <definedName name="____lbc14" hidden="1">#REF!</definedName>
    <definedName name="____lbc15" localSheetId="5" hidden="1">#REF!</definedName>
    <definedName name="____lbc15" hidden="1">#REF!</definedName>
    <definedName name="____lbc16" localSheetId="5" hidden="1">#REF!</definedName>
    <definedName name="____lbc16" hidden="1">#REF!</definedName>
    <definedName name="____lbc17" localSheetId="5" hidden="1">#REF!</definedName>
    <definedName name="____lbc17" hidden="1">#REF!</definedName>
    <definedName name="____lbc18" localSheetId="5" hidden="1">#REF!</definedName>
    <definedName name="____lbc18" hidden="1">#REF!</definedName>
    <definedName name="____lbc19" localSheetId="5" hidden="1">#REF!</definedName>
    <definedName name="____lbc19" hidden="1">#REF!</definedName>
    <definedName name="____lbc2" localSheetId="5" hidden="1">#REF!</definedName>
    <definedName name="____lbc2" hidden="1">#REF!</definedName>
    <definedName name="____lbc20" localSheetId="5" hidden="1">#REF!</definedName>
    <definedName name="____lbc20" hidden="1">#REF!</definedName>
    <definedName name="____lbc21" localSheetId="5" hidden="1">#REF!</definedName>
    <definedName name="____lbc21" hidden="1">#REF!</definedName>
    <definedName name="____lbc22" localSheetId="5" hidden="1">#REF!</definedName>
    <definedName name="____lbc22" hidden="1">#REF!</definedName>
    <definedName name="____lbc23" localSheetId="5" hidden="1">#REF!</definedName>
    <definedName name="____lbc23" hidden="1">#REF!</definedName>
    <definedName name="____lbc24" localSheetId="5" hidden="1">#REF!</definedName>
    <definedName name="____lbc24" hidden="1">#REF!</definedName>
    <definedName name="____lbc25" localSheetId="5" hidden="1">#REF!</definedName>
    <definedName name="____lbc25" hidden="1">#REF!</definedName>
    <definedName name="____lbc26" localSheetId="5" hidden="1">#REF!</definedName>
    <definedName name="____lbc26" hidden="1">#REF!</definedName>
    <definedName name="____lbc27" localSheetId="5" hidden="1">#REF!</definedName>
    <definedName name="____lbc27" hidden="1">#REF!</definedName>
    <definedName name="____lbc28" localSheetId="5" hidden="1">#REF!</definedName>
    <definedName name="____lbc28" hidden="1">#REF!</definedName>
    <definedName name="____lbc29" localSheetId="5" hidden="1">#REF!</definedName>
    <definedName name="____lbc29" hidden="1">#REF!</definedName>
    <definedName name="____lbc3" localSheetId="5" hidden="1">#REF!</definedName>
    <definedName name="____lbc3" hidden="1">#REF!</definedName>
    <definedName name="____lbc31" localSheetId="5" hidden="1">#REF!</definedName>
    <definedName name="____lbc31" hidden="1">#REF!</definedName>
    <definedName name="____lbc32" localSheetId="5" hidden="1">#REF!</definedName>
    <definedName name="____lbc32" hidden="1">#REF!</definedName>
    <definedName name="____lbc4" localSheetId="5" hidden="1">#REF!</definedName>
    <definedName name="____lbc4" hidden="1">#REF!</definedName>
    <definedName name="____lbc5" localSheetId="5" hidden="1">#REF!</definedName>
    <definedName name="____lbc5" hidden="1">#REF!</definedName>
    <definedName name="____lbc6" localSheetId="5" hidden="1">#REF!</definedName>
    <definedName name="____lbc6" hidden="1">#REF!</definedName>
    <definedName name="____lbc7" localSheetId="5" hidden="1">#REF!</definedName>
    <definedName name="____lbc7" hidden="1">#REF!</definedName>
    <definedName name="____lbc8" localSheetId="5" hidden="1">#REF!</definedName>
    <definedName name="____lbc8" hidden="1">#REF!</definedName>
    <definedName name="____lbc9" localSheetId="5" hidden="1">#REF!</definedName>
    <definedName name="____lbc9" hidden="1">#REF!</definedName>
    <definedName name="____ld26" localSheetId="5" hidden="1">#REF!</definedName>
    <definedName name="____ld26" hidden="1">#REF!</definedName>
    <definedName name="____ld31" localSheetId="5" hidden="1">#REF!</definedName>
    <definedName name="____ld31" hidden="1">#REF!</definedName>
    <definedName name="____le31" localSheetId="5" hidden="1">#REF!</definedName>
    <definedName name="____le31" hidden="1">#REF!</definedName>
    <definedName name="____lf31" localSheetId="5" hidden="1">#REF!</definedName>
    <definedName name="____lf31" hidden="1">#REF!</definedName>
    <definedName name="____PK2" localSheetId="5" hidden="1">{"'장비'!$A$3:$M$12"}</definedName>
    <definedName name="____PK2" hidden="1">{"'장비'!$A$3:$M$12"}</definedName>
    <definedName name="____PKG3" localSheetId="5" hidden="1">{"'장비'!$A$3:$M$12"}</definedName>
    <definedName name="____PKG3" hidden="1">{"'장비'!$A$3:$M$12"}</definedName>
    <definedName name="____qqq222" localSheetId="5" hidden="1">{"'장비'!$A$3:$M$12"}</definedName>
    <definedName name="____qqq222" hidden="1">{"'장비'!$A$3:$M$12"}</definedName>
    <definedName name="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5" hidden="1">#REF!</definedName>
    <definedName name="____x10" hidden="1">#REF!</definedName>
    <definedName name="____x11" localSheetId="5" hidden="1">#REF!</definedName>
    <definedName name="____x11" hidden="1">#REF!</definedName>
    <definedName name="____x12" localSheetId="5" hidden="1">#REF!</definedName>
    <definedName name="____x12" hidden="1">#REF!</definedName>
    <definedName name="____x13" localSheetId="5" hidden="1">#REF!</definedName>
    <definedName name="____x13" hidden="1">#REF!</definedName>
    <definedName name="____x14" localSheetId="5" hidden="1">#REF!</definedName>
    <definedName name="____x14" hidden="1">#REF!</definedName>
    <definedName name="____x15" localSheetId="5" hidden="1">#REF!</definedName>
    <definedName name="____x15" hidden="1">#REF!</definedName>
    <definedName name="____x16" localSheetId="5" hidden="1">#REF!</definedName>
    <definedName name="____x16" hidden="1">#REF!</definedName>
    <definedName name="____x17" localSheetId="5" hidden="1">#REF!</definedName>
    <definedName name="____x17" hidden="1">#REF!</definedName>
    <definedName name="____x18" localSheetId="5" hidden="1">#REF!</definedName>
    <definedName name="____x18" hidden="1">#REF!</definedName>
    <definedName name="____x19" localSheetId="5" hidden="1">#REF!</definedName>
    <definedName name="____x19" hidden="1">#REF!</definedName>
    <definedName name="____x20" localSheetId="5" hidden="1">#REF!</definedName>
    <definedName name="____x20" hidden="1">#REF!</definedName>
    <definedName name="____x21" localSheetId="5" hidden="1">#REF!</definedName>
    <definedName name="____x21" hidden="1">#REF!</definedName>
    <definedName name="____x22" localSheetId="5" hidden="1">#REF!</definedName>
    <definedName name="____x22" hidden="1">#REF!</definedName>
    <definedName name="____x23" localSheetId="5" hidden="1">#REF!</definedName>
    <definedName name="____x23" hidden="1">#REF!</definedName>
    <definedName name="____x24" localSheetId="5" hidden="1">#REF!</definedName>
    <definedName name="____x24" hidden="1">#REF!</definedName>
    <definedName name="____x25" localSheetId="5" hidden="1">#REF!</definedName>
    <definedName name="____x25" hidden="1">#REF!</definedName>
    <definedName name="____x28" localSheetId="5" hidden="1">#REF!</definedName>
    <definedName name="____x28" hidden="1">#REF!</definedName>
    <definedName name="____x29" localSheetId="5" hidden="1">#REF!</definedName>
    <definedName name="____x29" hidden="1">#REF!</definedName>
    <definedName name="____x32" localSheetId="5" hidden="1">#REF!</definedName>
    <definedName name="____x32" hidden="1">#REF!</definedName>
    <definedName name="____x4" localSheetId="5" hidden="1">#REF!</definedName>
    <definedName name="____x4" hidden="1">#REF!</definedName>
    <definedName name="____x5" localSheetId="5" hidden="1">#REF!</definedName>
    <definedName name="____x5" hidden="1">#REF!</definedName>
    <definedName name="____x6" localSheetId="5" hidden="1">#REF!</definedName>
    <definedName name="____x6" hidden="1">#REF!</definedName>
    <definedName name="____x7" localSheetId="5" hidden="1">#REF!</definedName>
    <definedName name="____x7" hidden="1">#REF!</definedName>
    <definedName name="____x8" localSheetId="5" hidden="1">#REF!</definedName>
    <definedName name="____x8" hidden="1">#REF!</definedName>
    <definedName name="____x9" localSheetId="5" hidden="1">#REF!</definedName>
    <definedName name="____x9" hidden="1">#REF!</definedName>
    <definedName name="___ACR10" localSheetId="5">#REF!</definedName>
    <definedName name="___ACR10">#REF!</definedName>
    <definedName name="___ACR15" localSheetId="5">#REF!</definedName>
    <definedName name="___ACR15">#REF!</definedName>
    <definedName name="___acr20" localSheetId="5">#REF!</definedName>
    <definedName name="___acr20">#REF!</definedName>
    <definedName name="___acr5" localSheetId="5">#REF!</definedName>
    <definedName name="___acr5">#REF!</definedName>
    <definedName name="___ARQ1" localSheetId="5">#REF!</definedName>
    <definedName name="___ARQ1">#REF!</definedName>
    <definedName name="___CO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5" hidden="1">#REF!</definedName>
    <definedName name="___key2" hidden="1">#REF!</definedName>
    <definedName name="___la29" localSheetId="5" hidden="1">#REF!</definedName>
    <definedName name="___la29" hidden="1">#REF!</definedName>
    <definedName name="___la3" localSheetId="5" hidden="1">#REF!</definedName>
    <definedName name="___la3" hidden="1">#REF!</definedName>
    <definedName name="___la31" localSheetId="5" hidden="1">#REF!</definedName>
    <definedName name="___la31" hidden="1">#REF!</definedName>
    <definedName name="___la32" localSheetId="5" hidden="1">#REF!</definedName>
    <definedName name="___la32" hidden="1">#REF!</definedName>
    <definedName name="___la4" localSheetId="5" hidden="1">#REF!</definedName>
    <definedName name="___la4" hidden="1">#REF!</definedName>
    <definedName name="___la5" localSheetId="5" hidden="1">#REF!</definedName>
    <definedName name="___la5" hidden="1">#REF!</definedName>
    <definedName name="___la6" localSheetId="5" hidden="1">#REF!</definedName>
    <definedName name="___la6" hidden="1">#REF!</definedName>
    <definedName name="___la7" localSheetId="5" hidden="1">#REF!</definedName>
    <definedName name="___la7" hidden="1">#REF!</definedName>
    <definedName name="___la8" localSheetId="5" hidden="1">#REF!</definedName>
    <definedName name="___la8" hidden="1">#REF!</definedName>
    <definedName name="___la9" localSheetId="5" hidden="1">#REF!</definedName>
    <definedName name="___la9" hidden="1">#REF!</definedName>
    <definedName name="___lb1" localSheetId="5" hidden="1">#REF!</definedName>
    <definedName name="___lb1" hidden="1">#REF!</definedName>
    <definedName name="___lb10" localSheetId="5" hidden="1">#REF!</definedName>
    <definedName name="___lb10" hidden="1">#REF!</definedName>
    <definedName name="___lb11" localSheetId="5" hidden="1">#REF!</definedName>
    <definedName name="___lb11" hidden="1">#REF!</definedName>
    <definedName name="___lb12" localSheetId="5" hidden="1">#REF!</definedName>
    <definedName name="___lb12" hidden="1">#REF!</definedName>
    <definedName name="___lb13" localSheetId="5" hidden="1">#REF!</definedName>
    <definedName name="___lb13" hidden="1">#REF!</definedName>
    <definedName name="___lb14" localSheetId="5" hidden="1">#REF!</definedName>
    <definedName name="___lb14" hidden="1">#REF!</definedName>
    <definedName name="___lb15" localSheetId="5" hidden="1">#REF!</definedName>
    <definedName name="___lb15" hidden="1">#REF!</definedName>
    <definedName name="___lb16" localSheetId="5" hidden="1">#REF!</definedName>
    <definedName name="___lb16" hidden="1">#REF!</definedName>
    <definedName name="___lb17" localSheetId="5" hidden="1">#REF!</definedName>
    <definedName name="___lb17" hidden="1">#REF!</definedName>
    <definedName name="___lb18" localSheetId="5" hidden="1">#REF!</definedName>
    <definedName name="___lb18" hidden="1">#REF!</definedName>
    <definedName name="___lb19" localSheetId="5" hidden="1">#REF!</definedName>
    <definedName name="___lb19" hidden="1">#REF!</definedName>
    <definedName name="___lb2" localSheetId="5" hidden="1">#REF!</definedName>
    <definedName name="___lb2" hidden="1">#REF!</definedName>
    <definedName name="___lb20" localSheetId="5" hidden="1">#REF!</definedName>
    <definedName name="___lb20" hidden="1">#REF!</definedName>
    <definedName name="___lb21" localSheetId="5" hidden="1">#REF!</definedName>
    <definedName name="___lb21" hidden="1">#REF!</definedName>
    <definedName name="___lb22" localSheetId="5" hidden="1">#REF!</definedName>
    <definedName name="___lb22" hidden="1">#REF!</definedName>
    <definedName name="___lb23" localSheetId="5" hidden="1">#REF!</definedName>
    <definedName name="___lb23" hidden="1">#REF!</definedName>
    <definedName name="___lb24" localSheetId="5" hidden="1">#REF!</definedName>
    <definedName name="___lb24" hidden="1">#REF!</definedName>
    <definedName name="___lb25" localSheetId="5" hidden="1">#REF!</definedName>
    <definedName name="___lb25" hidden="1">#REF!</definedName>
    <definedName name="___lb27" localSheetId="5" hidden="1">#REF!</definedName>
    <definedName name="___lb27" hidden="1">#REF!</definedName>
    <definedName name="___lb28" localSheetId="5" hidden="1">#REF!</definedName>
    <definedName name="___lb28" hidden="1">#REF!</definedName>
    <definedName name="___lb29" localSheetId="5" hidden="1">#REF!</definedName>
    <definedName name="___lb29" hidden="1">#REF!</definedName>
    <definedName name="___lb3" localSheetId="5" hidden="1">#REF!</definedName>
    <definedName name="___lb3" hidden="1">#REF!</definedName>
    <definedName name="___lb30" localSheetId="5" hidden="1">#REF!</definedName>
    <definedName name="___lb30" hidden="1">#REF!</definedName>
    <definedName name="___lb31" localSheetId="5" hidden="1">#REF!</definedName>
    <definedName name="___lb31" hidden="1">#REF!</definedName>
    <definedName name="___lb32" localSheetId="5" hidden="1">#REF!</definedName>
    <definedName name="___lb32" hidden="1">#REF!</definedName>
    <definedName name="___lb4" localSheetId="5" hidden="1">#REF!</definedName>
    <definedName name="___lb4" hidden="1">#REF!</definedName>
    <definedName name="___lb5" localSheetId="5" hidden="1">#REF!</definedName>
    <definedName name="___lb5" hidden="1">#REF!</definedName>
    <definedName name="___lb6" localSheetId="5" hidden="1">#REF!</definedName>
    <definedName name="___lb6" hidden="1">#REF!</definedName>
    <definedName name="___lb7" localSheetId="5" hidden="1">#REF!</definedName>
    <definedName name="___lb7" hidden="1">#REF!</definedName>
    <definedName name="___lb8" localSheetId="5" hidden="1">#REF!</definedName>
    <definedName name="___lb8" hidden="1">#REF!</definedName>
    <definedName name="___lb9" localSheetId="5" hidden="1">#REF!</definedName>
    <definedName name="___lb9" hidden="1">#REF!</definedName>
    <definedName name="___lbc1" localSheetId="5" hidden="1">#REF!</definedName>
    <definedName name="___lbc1" hidden="1">#REF!</definedName>
    <definedName name="___lbc10" localSheetId="5" hidden="1">#REF!</definedName>
    <definedName name="___lbc10" hidden="1">#REF!</definedName>
    <definedName name="___lbc11" localSheetId="5" hidden="1">#REF!</definedName>
    <definedName name="___lbc11" hidden="1">#REF!</definedName>
    <definedName name="___lbc12" localSheetId="5" hidden="1">#REF!</definedName>
    <definedName name="___lbc12" hidden="1">#REF!</definedName>
    <definedName name="___lbc13" localSheetId="5" hidden="1">#REF!</definedName>
    <definedName name="___lbc13" hidden="1">#REF!</definedName>
    <definedName name="___lbc14" localSheetId="5" hidden="1">#REF!</definedName>
    <definedName name="___lbc14" hidden="1">#REF!</definedName>
    <definedName name="___lbc15" localSheetId="5" hidden="1">#REF!</definedName>
    <definedName name="___lbc15" hidden="1">#REF!</definedName>
    <definedName name="___lbc16" localSheetId="5" hidden="1">#REF!</definedName>
    <definedName name="___lbc16" hidden="1">#REF!</definedName>
    <definedName name="___lbc17" localSheetId="5" hidden="1">#REF!</definedName>
    <definedName name="___lbc17" hidden="1">#REF!</definedName>
    <definedName name="___lbc18" localSheetId="5" hidden="1">#REF!</definedName>
    <definedName name="___lbc18" hidden="1">#REF!</definedName>
    <definedName name="___lbc19" localSheetId="5" hidden="1">#REF!</definedName>
    <definedName name="___lbc19" hidden="1">#REF!</definedName>
    <definedName name="___lbc2" localSheetId="5" hidden="1">#REF!</definedName>
    <definedName name="___lbc2" hidden="1">#REF!</definedName>
    <definedName name="___lbc20" localSheetId="5" hidden="1">#REF!</definedName>
    <definedName name="___lbc20" hidden="1">#REF!</definedName>
    <definedName name="___lbc21" localSheetId="5" hidden="1">#REF!</definedName>
    <definedName name="___lbc21" hidden="1">#REF!</definedName>
    <definedName name="___lbc22" localSheetId="5" hidden="1">#REF!</definedName>
    <definedName name="___lbc22" hidden="1">#REF!</definedName>
    <definedName name="___lbc23" localSheetId="5" hidden="1">#REF!</definedName>
    <definedName name="___lbc23" hidden="1">#REF!</definedName>
    <definedName name="___lbc24" localSheetId="5" hidden="1">#REF!</definedName>
    <definedName name="___lbc24" hidden="1">#REF!</definedName>
    <definedName name="___lbc25" localSheetId="5" hidden="1">#REF!</definedName>
    <definedName name="___lbc25" hidden="1">#REF!</definedName>
    <definedName name="___lbc26" localSheetId="5" hidden="1">#REF!</definedName>
    <definedName name="___lbc26" hidden="1">#REF!</definedName>
    <definedName name="___lbc27" localSheetId="5" hidden="1">#REF!</definedName>
    <definedName name="___lbc27" hidden="1">#REF!</definedName>
    <definedName name="___lbc28" localSheetId="5" hidden="1">#REF!</definedName>
    <definedName name="___lbc28" hidden="1">#REF!</definedName>
    <definedName name="___lbc29" localSheetId="5" hidden="1">#REF!</definedName>
    <definedName name="___lbc29" hidden="1">#REF!</definedName>
    <definedName name="___lbc3" localSheetId="5" hidden="1">#REF!</definedName>
    <definedName name="___lbc3" hidden="1">#REF!</definedName>
    <definedName name="___lbc31" localSheetId="5" hidden="1">#REF!</definedName>
    <definedName name="___lbc31" hidden="1">#REF!</definedName>
    <definedName name="___lbc32" localSheetId="5" hidden="1">#REF!</definedName>
    <definedName name="___lbc32" hidden="1">#REF!</definedName>
    <definedName name="___lbc4" localSheetId="5" hidden="1">#REF!</definedName>
    <definedName name="___lbc4" hidden="1">#REF!</definedName>
    <definedName name="___lbc5" localSheetId="5" hidden="1">#REF!</definedName>
    <definedName name="___lbc5" hidden="1">#REF!</definedName>
    <definedName name="___lbc6" localSheetId="5" hidden="1">#REF!</definedName>
    <definedName name="___lbc6" hidden="1">#REF!</definedName>
    <definedName name="___lbc7" localSheetId="5" hidden="1">#REF!</definedName>
    <definedName name="___lbc7" hidden="1">#REF!</definedName>
    <definedName name="___lbc8" localSheetId="5" hidden="1">#REF!</definedName>
    <definedName name="___lbc8" hidden="1">#REF!</definedName>
    <definedName name="___lbc9" localSheetId="5" hidden="1">#REF!</definedName>
    <definedName name="___lbc9" hidden="1">#REF!</definedName>
    <definedName name="___ld26" localSheetId="5" hidden="1">#REF!</definedName>
    <definedName name="___ld26" hidden="1">#REF!</definedName>
    <definedName name="___ld31" localSheetId="5" hidden="1">#REF!</definedName>
    <definedName name="___ld31" hidden="1">#REF!</definedName>
    <definedName name="___le31" localSheetId="5" hidden="1">#REF!</definedName>
    <definedName name="___le31" hidden="1">#REF!</definedName>
    <definedName name="___lf31" localSheetId="5" hidden="1">#REF!</definedName>
    <definedName name="___lf31" hidden="1">#REF!</definedName>
    <definedName name="___PK2" localSheetId="5" hidden="1">{"'장비'!$A$3:$M$12"}</definedName>
    <definedName name="___PK2" hidden="1">{"'장비'!$A$3:$M$12"}</definedName>
    <definedName name="___PKG3" localSheetId="5" hidden="1">{"'장비'!$A$3:$M$12"}</definedName>
    <definedName name="___PKG3" hidden="1">{"'장비'!$A$3:$M$12"}</definedName>
    <definedName name="___qqq222" localSheetId="5" hidden="1">{"'장비'!$A$3:$M$12"}</definedName>
    <definedName name="___qqq222" hidden="1">{"'장비'!$A$3:$M$12"}</definedName>
    <definedName name="___QT100" localSheetId="5">#REF!</definedName>
    <definedName name="___QT100">#REF!</definedName>
    <definedName name="___QT2" localSheetId="5">#REF!</definedName>
    <definedName name="___QT2">#REF!</definedName>
    <definedName name="___QT3" localSheetId="5">#REF!</definedName>
    <definedName name="___QT3">#REF!</definedName>
    <definedName name="___QT4" localSheetId="5">#REF!</definedName>
    <definedName name="___QT4">#REF!</definedName>
    <definedName name="___QT50" localSheetId="5">#REF!</definedName>
    <definedName name="___QT50">#REF!</definedName>
    <definedName name="___QT75" localSheetId="5">#REF!</definedName>
    <definedName name="___QT75">#REF!</definedName>
    <definedName name="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5" hidden="1">#REF!</definedName>
    <definedName name="___x10" hidden="1">#REF!</definedName>
    <definedName name="___x11" localSheetId="5" hidden="1">#REF!</definedName>
    <definedName name="___x11" hidden="1">#REF!</definedName>
    <definedName name="___x12" localSheetId="5" hidden="1">#REF!</definedName>
    <definedName name="___x12" hidden="1">#REF!</definedName>
    <definedName name="___x13" localSheetId="5" hidden="1">#REF!</definedName>
    <definedName name="___x13" hidden="1">#REF!</definedName>
    <definedName name="___x14" localSheetId="5" hidden="1">#REF!</definedName>
    <definedName name="___x14" hidden="1">#REF!</definedName>
    <definedName name="___x15" localSheetId="5" hidden="1">#REF!</definedName>
    <definedName name="___x15" hidden="1">#REF!</definedName>
    <definedName name="___x16" localSheetId="5" hidden="1">#REF!</definedName>
    <definedName name="___x16" hidden="1">#REF!</definedName>
    <definedName name="___x17" localSheetId="5" hidden="1">#REF!</definedName>
    <definedName name="___x17" hidden="1">#REF!</definedName>
    <definedName name="___x18" localSheetId="5" hidden="1">#REF!</definedName>
    <definedName name="___x18" hidden="1">#REF!</definedName>
    <definedName name="___x19" localSheetId="5" hidden="1">#REF!</definedName>
    <definedName name="___x19" hidden="1">#REF!</definedName>
    <definedName name="___x20" localSheetId="5" hidden="1">#REF!</definedName>
    <definedName name="___x20" hidden="1">#REF!</definedName>
    <definedName name="___x21" localSheetId="5" hidden="1">#REF!</definedName>
    <definedName name="___x21" hidden="1">#REF!</definedName>
    <definedName name="___x22" localSheetId="5" hidden="1">#REF!</definedName>
    <definedName name="___x22" hidden="1">#REF!</definedName>
    <definedName name="___x23" localSheetId="5" hidden="1">#REF!</definedName>
    <definedName name="___x23" hidden="1">#REF!</definedName>
    <definedName name="___x24" localSheetId="5" hidden="1">#REF!</definedName>
    <definedName name="___x24" hidden="1">#REF!</definedName>
    <definedName name="___x25" localSheetId="5" hidden="1">#REF!</definedName>
    <definedName name="___x25" hidden="1">#REF!</definedName>
    <definedName name="___x28" localSheetId="5" hidden="1">#REF!</definedName>
    <definedName name="___x28" hidden="1">#REF!</definedName>
    <definedName name="___x29" localSheetId="5" hidden="1">#REF!</definedName>
    <definedName name="___x29" hidden="1">#REF!</definedName>
    <definedName name="___x32" localSheetId="5" hidden="1">#REF!</definedName>
    <definedName name="___x32" hidden="1">#REF!</definedName>
    <definedName name="___x4" localSheetId="5" hidden="1">#REF!</definedName>
    <definedName name="___x4" hidden="1">#REF!</definedName>
    <definedName name="___x5" localSheetId="5" hidden="1">#REF!</definedName>
    <definedName name="___x5" hidden="1">#REF!</definedName>
    <definedName name="___x6" localSheetId="5" hidden="1">#REF!</definedName>
    <definedName name="___x6" hidden="1">#REF!</definedName>
    <definedName name="___x7" localSheetId="5" hidden="1">#REF!</definedName>
    <definedName name="___x7" hidden="1">#REF!</definedName>
    <definedName name="___x8" localSheetId="5" hidden="1">#REF!</definedName>
    <definedName name="___x8" hidden="1">#REF!</definedName>
    <definedName name="___x9" localSheetId="5" hidden="1">#REF!</definedName>
    <definedName name="___x9" hidden="1">#REF!</definedName>
    <definedName name="__123Graph_A" localSheetId="5" hidden="1">#REF!</definedName>
    <definedName name="__123Graph_A" hidden="1">#REF!</definedName>
    <definedName name="__123Graph_AChart1" localSheetId="5" hidden="1">#REF!</definedName>
    <definedName name="__123Graph_AChart1" hidden="1">#REF!</definedName>
    <definedName name="__123Graph_ACurrent" localSheetId="5" hidden="1">#REF!</definedName>
    <definedName name="__123Graph_ACurrent" hidden="1">#REF!</definedName>
    <definedName name="__123Graph_ACUSTO" localSheetId="5" hidden="1">#REF!</definedName>
    <definedName name="__123Graph_ACUSTO" hidden="1">#REF!</definedName>
    <definedName name="__123Graph_AFAT" localSheetId="5" hidden="1">#REF!</definedName>
    <definedName name="__123Graph_AFAT" hidden="1">#REF!</definedName>
    <definedName name="__123Graph_AGRA1" localSheetId="5" hidden="1">#REF!</definedName>
    <definedName name="__123Graph_AGRA1" hidden="1">#REF!</definedName>
    <definedName name="__123Graph_ARES" localSheetId="5" hidden="1">#REF!</definedName>
    <definedName name="__123Graph_ARES" hidden="1">#REF!</definedName>
    <definedName name="__123Graph_B" localSheetId="5" hidden="1">#REF!</definedName>
    <definedName name="__123Graph_B" hidden="1">#REF!</definedName>
    <definedName name="__123Graph_BChart1" localSheetId="5" hidden="1">#REF!</definedName>
    <definedName name="__123Graph_BChart1" hidden="1">#REF!</definedName>
    <definedName name="__123Graph_BCurrent" localSheetId="5" hidden="1">#REF!</definedName>
    <definedName name="__123Graph_BCurrent" hidden="1">#REF!</definedName>
    <definedName name="__123Graph_BCUSTO" localSheetId="5" hidden="1">#REF!</definedName>
    <definedName name="__123Graph_BCUSTO" hidden="1">#REF!</definedName>
    <definedName name="__123Graph_BFAT" localSheetId="5" hidden="1">#REF!</definedName>
    <definedName name="__123Graph_BFAT" hidden="1">#REF!</definedName>
    <definedName name="__123Graph_BPERFORMANCE" localSheetId="5" hidden="1">#REF!</definedName>
    <definedName name="__123Graph_BPERFORMANCE" hidden="1">#REF!</definedName>
    <definedName name="__123Graph_BRES" localSheetId="5" hidden="1">#REF!</definedName>
    <definedName name="__123Graph_BRES" hidden="1">#REF!</definedName>
    <definedName name="__123Graph_C" localSheetId="5" hidden="1">#REF!</definedName>
    <definedName name="__123Graph_C" hidden="1">#REF!</definedName>
    <definedName name="__123Graph_D" localSheetId="5" hidden="1">#REF!</definedName>
    <definedName name="__123Graph_D" hidden="1">#REF!</definedName>
    <definedName name="__123Graph_E" localSheetId="5" hidden="1">#REF!</definedName>
    <definedName name="__123Graph_E" hidden="1">#REF!</definedName>
    <definedName name="__123Graph_F" localSheetId="5" hidden="1">#REF!</definedName>
    <definedName name="__123Graph_F" hidden="1">#REF!</definedName>
    <definedName name="__123Graph_LBL_A" localSheetId="5" hidden="1">#REF!</definedName>
    <definedName name="__123Graph_LBL_A" hidden="1">#REF!</definedName>
    <definedName name="__123Graph_LBL_B" localSheetId="5" hidden="1">#REF!</definedName>
    <definedName name="__123Graph_LBL_B" hidden="1">#REF!</definedName>
    <definedName name="__123Graph_X" localSheetId="5" hidden="1">#REF!</definedName>
    <definedName name="__123Graph_X" hidden="1">#REF!</definedName>
    <definedName name="__123Graph_XChart1" localSheetId="5" hidden="1">#REF!</definedName>
    <definedName name="__123Graph_XChart1" hidden="1">#REF!</definedName>
    <definedName name="__123Graph_XCurrent" localSheetId="5" hidden="1">#REF!</definedName>
    <definedName name="__123Graph_XCurrent" hidden="1">#REF!</definedName>
    <definedName name="__123Graph_XCUSTO" localSheetId="5" hidden="1">#REF!</definedName>
    <definedName name="__123Graph_XCUSTO" hidden="1">#REF!</definedName>
    <definedName name="__123Graph_XFAT" localSheetId="5" hidden="1">#REF!</definedName>
    <definedName name="__123Graph_XFAT" hidden="1">#REF!</definedName>
    <definedName name="__123Graph_XGRA1" localSheetId="5" hidden="1">#REF!</definedName>
    <definedName name="__123Graph_XGRA1" hidden="1">#REF!</definedName>
    <definedName name="__123Graph_XRES" localSheetId="5" hidden="1">#REF!</definedName>
    <definedName name="__123Graph_XRES" hidden="1">#REF!</definedName>
    <definedName name="__ACR10" localSheetId="5">#REF!</definedName>
    <definedName name="__ACR10">#REF!</definedName>
    <definedName name="__ACR15" localSheetId="5">#REF!</definedName>
    <definedName name="__ACR15">#REF!</definedName>
    <definedName name="__acr20" localSheetId="5">#REF!</definedName>
    <definedName name="__acr20">#REF!</definedName>
    <definedName name="__acr5" localSheetId="5">#REF!</definedName>
    <definedName name="__acr5">#REF!</definedName>
    <definedName name="__ARQ1" localSheetId="5">#REF!</definedName>
    <definedName name="__ARQ1">#REF!</definedName>
    <definedName name="__Axe3" localSheetId="5">#REF!</definedName>
    <definedName name="__Axe3">#REF!</definedName>
    <definedName name="__Axe4" localSheetId="5">#REF!</definedName>
    <definedName name="__Axe4">#REF!</definedName>
    <definedName name="__CO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5">#REF!</definedName>
    <definedName name="__htm2">#REF!</definedName>
    <definedName name="__htn2" localSheetId="5">#REF!</definedName>
    <definedName name="__htn2">#REF!</definedName>
    <definedName name="__iss2" localSheetId="5">#REF!</definedName>
    <definedName name="__iss2">#REF!</definedName>
    <definedName name="__key2" localSheetId="5" hidden="1">#REF!</definedName>
    <definedName name="__key2" hidden="1">#REF!</definedName>
    <definedName name="__la29" localSheetId="5" hidden="1">#REF!</definedName>
    <definedName name="__la29" hidden="1">#REF!</definedName>
    <definedName name="__la3" localSheetId="5" hidden="1">#REF!</definedName>
    <definedName name="__la3" hidden="1">#REF!</definedName>
    <definedName name="__la31" localSheetId="5" hidden="1">#REF!</definedName>
    <definedName name="__la31" hidden="1">#REF!</definedName>
    <definedName name="__la32" localSheetId="5" hidden="1">#REF!</definedName>
    <definedName name="__la32" hidden="1">#REF!</definedName>
    <definedName name="__la4" localSheetId="5" hidden="1">#REF!</definedName>
    <definedName name="__la4" hidden="1">#REF!</definedName>
    <definedName name="__la5" localSheetId="5" hidden="1">#REF!</definedName>
    <definedName name="__la5" hidden="1">#REF!</definedName>
    <definedName name="__la6" localSheetId="5" hidden="1">#REF!</definedName>
    <definedName name="__la6" hidden="1">#REF!</definedName>
    <definedName name="__la7" localSheetId="5" hidden="1">#REF!</definedName>
    <definedName name="__la7" hidden="1">#REF!</definedName>
    <definedName name="__la8" localSheetId="5" hidden="1">#REF!</definedName>
    <definedName name="__la8" hidden="1">#REF!</definedName>
    <definedName name="__la9" localSheetId="5" hidden="1">#REF!</definedName>
    <definedName name="__la9" hidden="1">#REF!</definedName>
    <definedName name="__lb1" localSheetId="5" hidden="1">#REF!</definedName>
    <definedName name="__lb1" hidden="1">#REF!</definedName>
    <definedName name="__lb10" localSheetId="5" hidden="1">#REF!</definedName>
    <definedName name="__lb10" hidden="1">#REF!</definedName>
    <definedName name="__lb11" localSheetId="5" hidden="1">#REF!</definedName>
    <definedName name="__lb11" hidden="1">#REF!</definedName>
    <definedName name="__lb12" localSheetId="5" hidden="1">#REF!</definedName>
    <definedName name="__lb12" hidden="1">#REF!</definedName>
    <definedName name="__lb13" localSheetId="5" hidden="1">#REF!</definedName>
    <definedName name="__lb13" hidden="1">#REF!</definedName>
    <definedName name="__lb14" localSheetId="5" hidden="1">#REF!</definedName>
    <definedName name="__lb14" hidden="1">#REF!</definedName>
    <definedName name="__lb15" localSheetId="5" hidden="1">#REF!</definedName>
    <definedName name="__lb15" hidden="1">#REF!</definedName>
    <definedName name="__lb16" localSheetId="5" hidden="1">#REF!</definedName>
    <definedName name="__lb16" hidden="1">#REF!</definedName>
    <definedName name="__lb17" localSheetId="5" hidden="1">#REF!</definedName>
    <definedName name="__lb17" hidden="1">#REF!</definedName>
    <definedName name="__lb18" localSheetId="5" hidden="1">#REF!</definedName>
    <definedName name="__lb18" hidden="1">#REF!</definedName>
    <definedName name="__lb19" localSheetId="5" hidden="1">#REF!</definedName>
    <definedName name="__lb19" hidden="1">#REF!</definedName>
    <definedName name="__lb2" localSheetId="5" hidden="1">#REF!</definedName>
    <definedName name="__lb2" hidden="1">#REF!</definedName>
    <definedName name="__lb20" localSheetId="5" hidden="1">#REF!</definedName>
    <definedName name="__lb20" hidden="1">#REF!</definedName>
    <definedName name="__lb21" localSheetId="5" hidden="1">#REF!</definedName>
    <definedName name="__lb21" hidden="1">#REF!</definedName>
    <definedName name="__lb22" localSheetId="5" hidden="1">#REF!</definedName>
    <definedName name="__lb22" hidden="1">#REF!</definedName>
    <definedName name="__lb23" localSheetId="5" hidden="1">#REF!</definedName>
    <definedName name="__lb23" hidden="1">#REF!</definedName>
    <definedName name="__lb24" localSheetId="5" hidden="1">#REF!</definedName>
    <definedName name="__lb24" hidden="1">#REF!</definedName>
    <definedName name="__lb25" localSheetId="5" hidden="1">#REF!</definedName>
    <definedName name="__lb25" hidden="1">#REF!</definedName>
    <definedName name="__lb27" localSheetId="5" hidden="1">#REF!</definedName>
    <definedName name="__lb27" hidden="1">#REF!</definedName>
    <definedName name="__lb28" localSheetId="5" hidden="1">#REF!</definedName>
    <definedName name="__lb28" hidden="1">#REF!</definedName>
    <definedName name="__lb29" localSheetId="5" hidden="1">#REF!</definedName>
    <definedName name="__lb29" hidden="1">#REF!</definedName>
    <definedName name="__lb3" localSheetId="5" hidden="1">#REF!</definedName>
    <definedName name="__lb3" hidden="1">#REF!</definedName>
    <definedName name="__lb30" localSheetId="5" hidden="1">#REF!</definedName>
    <definedName name="__lb30" hidden="1">#REF!</definedName>
    <definedName name="__lb31" localSheetId="5" hidden="1">#REF!</definedName>
    <definedName name="__lb31" hidden="1">#REF!</definedName>
    <definedName name="__lb32" localSheetId="5" hidden="1">#REF!</definedName>
    <definedName name="__lb32" hidden="1">#REF!</definedName>
    <definedName name="__lb4" localSheetId="5" hidden="1">#REF!</definedName>
    <definedName name="__lb4" hidden="1">#REF!</definedName>
    <definedName name="__lb5" localSheetId="5" hidden="1">#REF!</definedName>
    <definedName name="__lb5" hidden="1">#REF!</definedName>
    <definedName name="__lb6" localSheetId="5" hidden="1">#REF!</definedName>
    <definedName name="__lb6" hidden="1">#REF!</definedName>
    <definedName name="__lb7" localSheetId="5" hidden="1">#REF!</definedName>
    <definedName name="__lb7" hidden="1">#REF!</definedName>
    <definedName name="__lb8" localSheetId="5" hidden="1">#REF!</definedName>
    <definedName name="__lb8" hidden="1">#REF!</definedName>
    <definedName name="__lb9" localSheetId="5" hidden="1">#REF!</definedName>
    <definedName name="__lb9" hidden="1">#REF!</definedName>
    <definedName name="__lbc1" localSheetId="5" hidden="1">#REF!</definedName>
    <definedName name="__lbc1" hidden="1">#REF!</definedName>
    <definedName name="__lbc10" localSheetId="5" hidden="1">#REF!</definedName>
    <definedName name="__lbc10" hidden="1">#REF!</definedName>
    <definedName name="__lbc11" localSheetId="5" hidden="1">#REF!</definedName>
    <definedName name="__lbc11" hidden="1">#REF!</definedName>
    <definedName name="__lbc12" localSheetId="5" hidden="1">#REF!</definedName>
    <definedName name="__lbc12" hidden="1">#REF!</definedName>
    <definedName name="__lbc13" localSheetId="5" hidden="1">#REF!</definedName>
    <definedName name="__lbc13" hidden="1">#REF!</definedName>
    <definedName name="__lbc14" localSheetId="5" hidden="1">#REF!</definedName>
    <definedName name="__lbc14" hidden="1">#REF!</definedName>
    <definedName name="__lbc15" localSheetId="5" hidden="1">#REF!</definedName>
    <definedName name="__lbc15" hidden="1">#REF!</definedName>
    <definedName name="__lbc16" localSheetId="5" hidden="1">#REF!</definedName>
    <definedName name="__lbc16" hidden="1">#REF!</definedName>
    <definedName name="__lbc17" localSheetId="5" hidden="1">#REF!</definedName>
    <definedName name="__lbc17" hidden="1">#REF!</definedName>
    <definedName name="__lbc18" localSheetId="5" hidden="1">#REF!</definedName>
    <definedName name="__lbc18" hidden="1">#REF!</definedName>
    <definedName name="__lbc19" localSheetId="5" hidden="1">#REF!</definedName>
    <definedName name="__lbc19" hidden="1">#REF!</definedName>
    <definedName name="__lbc2" localSheetId="5" hidden="1">#REF!</definedName>
    <definedName name="__lbc2" hidden="1">#REF!</definedName>
    <definedName name="__lbc20" localSheetId="5" hidden="1">#REF!</definedName>
    <definedName name="__lbc20" hidden="1">#REF!</definedName>
    <definedName name="__lbc21" localSheetId="5" hidden="1">#REF!</definedName>
    <definedName name="__lbc21" hidden="1">#REF!</definedName>
    <definedName name="__lbc22" localSheetId="5" hidden="1">#REF!</definedName>
    <definedName name="__lbc22" hidden="1">#REF!</definedName>
    <definedName name="__lbc23" localSheetId="5" hidden="1">#REF!</definedName>
    <definedName name="__lbc23" hidden="1">#REF!</definedName>
    <definedName name="__lbc24" localSheetId="5" hidden="1">#REF!</definedName>
    <definedName name="__lbc24" hidden="1">#REF!</definedName>
    <definedName name="__lbc25" localSheetId="5" hidden="1">#REF!</definedName>
    <definedName name="__lbc25" hidden="1">#REF!</definedName>
    <definedName name="__lbc26" localSheetId="5" hidden="1">#REF!</definedName>
    <definedName name="__lbc26" hidden="1">#REF!</definedName>
    <definedName name="__lbc27" localSheetId="5" hidden="1">#REF!</definedName>
    <definedName name="__lbc27" hidden="1">#REF!</definedName>
    <definedName name="__lbc28" localSheetId="5" hidden="1">#REF!</definedName>
    <definedName name="__lbc28" hidden="1">#REF!</definedName>
    <definedName name="__lbc29" localSheetId="5" hidden="1">#REF!</definedName>
    <definedName name="__lbc29" hidden="1">#REF!</definedName>
    <definedName name="__lbc3" localSheetId="5" hidden="1">#REF!</definedName>
    <definedName name="__lbc3" hidden="1">#REF!</definedName>
    <definedName name="__lbc31" localSheetId="5" hidden="1">#REF!</definedName>
    <definedName name="__lbc31" hidden="1">#REF!</definedName>
    <definedName name="__lbc32" localSheetId="5" hidden="1">#REF!</definedName>
    <definedName name="__lbc32" hidden="1">#REF!</definedName>
    <definedName name="__lbc4" localSheetId="5" hidden="1">#REF!</definedName>
    <definedName name="__lbc4" hidden="1">#REF!</definedName>
    <definedName name="__lbc5" localSheetId="5" hidden="1">#REF!</definedName>
    <definedName name="__lbc5" hidden="1">#REF!</definedName>
    <definedName name="__lbc6" localSheetId="5" hidden="1">#REF!</definedName>
    <definedName name="__lbc6" hidden="1">#REF!</definedName>
    <definedName name="__lbc7" localSheetId="5" hidden="1">#REF!</definedName>
    <definedName name="__lbc7" hidden="1">#REF!</definedName>
    <definedName name="__lbc8" localSheetId="5" hidden="1">#REF!</definedName>
    <definedName name="__lbc8" hidden="1">#REF!</definedName>
    <definedName name="__lbc9" localSheetId="5" hidden="1">#REF!</definedName>
    <definedName name="__lbc9" hidden="1">#REF!</definedName>
    <definedName name="__ld26" localSheetId="5" hidden="1">#REF!</definedName>
    <definedName name="__ld26" hidden="1">#REF!</definedName>
    <definedName name="__ld31" localSheetId="5" hidden="1">#REF!</definedName>
    <definedName name="__ld31" hidden="1">#REF!</definedName>
    <definedName name="__le31" localSheetId="5" hidden="1">#REF!</definedName>
    <definedName name="__le31" hidden="1">#REF!</definedName>
    <definedName name="__lf31" localSheetId="5" hidden="1">#REF!</definedName>
    <definedName name="__lf31" hidden="1">#REF!</definedName>
    <definedName name="__PK2" localSheetId="5" hidden="1">{"'장비'!$A$3:$M$12"}</definedName>
    <definedName name="__PK2" hidden="1">{"'장비'!$A$3:$M$12"}</definedName>
    <definedName name="__PKG3" localSheetId="5" hidden="1">{"'장비'!$A$3:$M$12"}</definedName>
    <definedName name="__PKG3" hidden="1">{"'장비'!$A$3:$M$12"}</definedName>
    <definedName name="__qqq222" localSheetId="5" hidden="1">{"'장비'!$A$3:$M$12"}</definedName>
    <definedName name="__qqq222" hidden="1">{"'장비'!$A$3:$M$12"}</definedName>
    <definedName name="__QT100" localSheetId="5">#REF!</definedName>
    <definedName name="__QT100">#REF!</definedName>
    <definedName name="__QT2" localSheetId="5">#REF!</definedName>
    <definedName name="__QT2">#REF!</definedName>
    <definedName name="__QT3" localSheetId="5">#REF!</definedName>
    <definedName name="__QT3">#REF!</definedName>
    <definedName name="__QT4" localSheetId="5">#REF!</definedName>
    <definedName name="__QT4">#REF!</definedName>
    <definedName name="__QT50" localSheetId="5">#REF!</definedName>
    <definedName name="__QT50">#REF!</definedName>
    <definedName name="__QT75" localSheetId="5">#REF!</definedName>
    <definedName name="__QT75">#REF!</definedName>
    <definedName name="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5" hidden="1">#REF!</definedName>
    <definedName name="__x10" hidden="1">#REF!</definedName>
    <definedName name="__x11" localSheetId="5" hidden="1">#REF!</definedName>
    <definedName name="__x11" hidden="1">#REF!</definedName>
    <definedName name="__x12" localSheetId="5" hidden="1">#REF!</definedName>
    <definedName name="__x12" hidden="1">#REF!</definedName>
    <definedName name="__x13" localSheetId="5" hidden="1">#REF!</definedName>
    <definedName name="__x13" hidden="1">#REF!</definedName>
    <definedName name="__x14" localSheetId="5" hidden="1">#REF!</definedName>
    <definedName name="__x14" hidden="1">#REF!</definedName>
    <definedName name="__x15" localSheetId="5" hidden="1">#REF!</definedName>
    <definedName name="__x15" hidden="1">#REF!</definedName>
    <definedName name="__x16" localSheetId="5" hidden="1">#REF!</definedName>
    <definedName name="__x16" hidden="1">#REF!</definedName>
    <definedName name="__x17" localSheetId="5" hidden="1">#REF!</definedName>
    <definedName name="__x17" hidden="1">#REF!</definedName>
    <definedName name="__x18" localSheetId="5" hidden="1">#REF!</definedName>
    <definedName name="__x18" hidden="1">#REF!</definedName>
    <definedName name="__x19" localSheetId="5" hidden="1">#REF!</definedName>
    <definedName name="__x19" hidden="1">#REF!</definedName>
    <definedName name="__x20" localSheetId="5" hidden="1">#REF!</definedName>
    <definedName name="__x20" hidden="1">#REF!</definedName>
    <definedName name="__x21" localSheetId="5" hidden="1">#REF!</definedName>
    <definedName name="__x21" hidden="1">#REF!</definedName>
    <definedName name="__x22" localSheetId="5" hidden="1">#REF!</definedName>
    <definedName name="__x22" hidden="1">#REF!</definedName>
    <definedName name="__x23" localSheetId="5" hidden="1">#REF!</definedName>
    <definedName name="__x23" hidden="1">#REF!</definedName>
    <definedName name="__x24" localSheetId="5" hidden="1">#REF!</definedName>
    <definedName name="__x24" hidden="1">#REF!</definedName>
    <definedName name="__x25" localSheetId="5" hidden="1">#REF!</definedName>
    <definedName name="__x25" hidden="1">#REF!</definedName>
    <definedName name="__x28" localSheetId="5" hidden="1">#REF!</definedName>
    <definedName name="__x28" hidden="1">#REF!</definedName>
    <definedName name="__x29" localSheetId="5" hidden="1">#REF!</definedName>
    <definedName name="__x29" hidden="1">#REF!</definedName>
    <definedName name="__x32" localSheetId="5" hidden="1">#REF!</definedName>
    <definedName name="__x32" hidden="1">#REF!</definedName>
    <definedName name="__x4" localSheetId="5" hidden="1">#REF!</definedName>
    <definedName name="__x4" hidden="1">#REF!</definedName>
    <definedName name="__x5" localSheetId="5" hidden="1">#REF!</definedName>
    <definedName name="__x5" hidden="1">#REF!</definedName>
    <definedName name="__x6" localSheetId="5" hidden="1">#REF!</definedName>
    <definedName name="__x6" hidden="1">#REF!</definedName>
    <definedName name="__x7" localSheetId="5" hidden="1">#REF!</definedName>
    <definedName name="__x7" hidden="1">#REF!</definedName>
    <definedName name="__x8" localSheetId="5" hidden="1">#REF!</definedName>
    <definedName name="__x8" hidden="1">#REF!</definedName>
    <definedName name="__x9" localSheetId="5" hidden="1">#REF!</definedName>
    <definedName name="__x9" hidden="1">#REF!</definedName>
    <definedName name="_0.CURVA_OBRA" localSheetId="5">#REF!</definedName>
    <definedName name="_0.CURVA_OBRA">#REF!</definedName>
    <definedName name="_00.VAR._GASTO" localSheetId="5">#REF!</definedName>
    <definedName name="_00.VAR._GASTO">#REF!</definedName>
    <definedName name="_000.CURVA_FINA" localSheetId="5">#REF!</definedName>
    <definedName name="_000.CURVA_FINA">#REF!</definedName>
    <definedName name="_1" localSheetId="5">#REF!</definedName>
    <definedName name="_1">#REF!</definedName>
    <definedName name="_1__123Graph_ACHART_1" localSheetId="5" hidden="1">#REF!</definedName>
    <definedName name="_1__123Graph_ACHART_1" hidden="1">#REF!</definedName>
    <definedName name="_10__123Graph_CCHART_1" localSheetId="5" hidden="1">#REF!</definedName>
    <definedName name="_10__123Graph_CCHART_1" hidden="1">#REF!</definedName>
    <definedName name="_11.SERV.TECNIC" localSheetId="5">#REF!</definedName>
    <definedName name="_11.SERV.TECNIC">#REF!</definedName>
    <definedName name="_11__123Graph_DCHART_1" localSheetId="5" hidden="1">#REF!</definedName>
    <definedName name="_11__123Graph_DCHART_1" hidden="1">#REF!</definedName>
    <definedName name="_12.GAST_GERAIS" localSheetId="5">#REF!</definedName>
    <definedName name="_12.GAST_GERAIS">#REF!</definedName>
    <definedName name="_12__123Graph_XChart_1A" localSheetId="5" hidden="1">#REF!</definedName>
    <definedName name="_12__123Graph_XChart_1A" hidden="1">#REF!</definedName>
    <definedName name="_13.P._PERMAN." localSheetId="5">#REF!</definedName>
    <definedName name="_13.P._PERMAN.">#REF!</definedName>
    <definedName name="_15.IMPL._CANT" localSheetId="5">#REF!</definedName>
    <definedName name="_15.IMPL._CANT">#REF!</definedName>
    <definedName name="_16.EQUIPAM." localSheetId="5">#REF!</definedName>
    <definedName name="_16.EQUIPAM.">#REF!</definedName>
    <definedName name="_17.OPER._CANT." localSheetId="5">#REF!</definedName>
    <definedName name="_17.OPER._CANT.">#REF!</definedName>
    <definedName name="_19.TRANC_LIMP." localSheetId="5">#REF!</definedName>
    <definedName name="_19.TRANC_LIMP.">#REF!</definedName>
    <definedName name="_1Dist_Val" localSheetId="5" hidden="1">#REF!</definedName>
    <definedName name="_1Dist_Val" hidden="1">#REF!</definedName>
    <definedName name="_2" localSheetId="5">#REF!</definedName>
    <definedName name="_2">#REF!</definedName>
    <definedName name="_2__123Graph_BCHART_1" localSheetId="5" hidden="1">#REF!</definedName>
    <definedName name="_2__123Graph_BCHART_1" hidden="1">#REF!</definedName>
    <definedName name="_25.PREP.TERREN" localSheetId="5">#REF!</definedName>
    <definedName name="_25.PREP.TERREN">#REF!</definedName>
    <definedName name="_27.FUND._ESCOR" localSheetId="5">#REF!</definedName>
    <definedName name="_27.FUND._ESCOR">#REF!</definedName>
    <definedName name="_2F" localSheetId="5" hidden="1">#REF!</definedName>
    <definedName name="_2F" hidden="1">#REF!</definedName>
    <definedName name="_3__123Graph_XCHART_1" localSheetId="5" hidden="1">#REF!</definedName>
    <definedName name="_3__123Graph_XCHART_1" hidden="1">#REF!</definedName>
    <definedName name="_31_32_33.C_A" localSheetId="5">#REF!</definedName>
    <definedName name="_31_32_33.C_A">#REF!</definedName>
    <definedName name="_41.ALVENARIA" localSheetId="5">#REF!</definedName>
    <definedName name="_41.ALVENARIA">#REF!</definedName>
    <definedName name="_47.IMP._ISOLA." localSheetId="5">#REF!</definedName>
    <definedName name="_47.IMP._ISOLA.">#REF!</definedName>
    <definedName name="_5__123Graph_ACHART_1" localSheetId="5" hidden="1">#REF!</definedName>
    <definedName name="_5__123Graph_ACHART_1" hidden="1">#REF!</definedName>
    <definedName name="_51.REV.ARGAMAS" localSheetId="5">#REF!</definedName>
    <definedName name="_51.REV.ARGAMAS">#REF!</definedName>
    <definedName name="_52.REV.CERAM.I" localSheetId="5">#REF!</definedName>
    <definedName name="_52.REV.CERAM.I">#REF!</definedName>
    <definedName name="_53.REV.CERAM.E" localSheetId="5">#REF!</definedName>
    <definedName name="_53.REV.CERAM.E">#REF!</definedName>
    <definedName name="_54.TACOS_E_ASS" localSheetId="5">#REF!</definedName>
    <definedName name="_54.TACOS_E_ASS">#REF!</definedName>
    <definedName name="_55.MARM._E_GRA" localSheetId="5">#REF!</definedName>
    <definedName name="_55.MARM._E_GRA">#REF!</definedName>
    <definedName name="_56.MARMORITE" localSheetId="5">#REF!</definedName>
    <definedName name="_56.MARMORITE">#REF!</definedName>
    <definedName name="_59.OUTRS_REVES" localSheetId="5">#REF!</definedName>
    <definedName name="_59.OUTRS_REVES">#REF!</definedName>
    <definedName name="_6__123Graph_AChart_1A" localSheetId="5" hidden="1">#REF!</definedName>
    <definedName name="_6__123Graph_AChart_1A" hidden="1">#REF!</definedName>
    <definedName name="_61.ESQUAD._MAD" localSheetId="5">#REF!</definedName>
    <definedName name="_61.ESQUAD._MAD">#REF!</definedName>
    <definedName name="_63.ESQUAD._ALU" localSheetId="5">#REF!</definedName>
    <definedName name="_63.ESQUAD._ALU">#REF!</definedName>
    <definedName name="_65.ESQUAD._FER" localSheetId="5">#REF!</definedName>
    <definedName name="_65.ESQUAD._FER">#REF!</definedName>
    <definedName name="_67.VIDROS" localSheetId="5">#REF!</definedName>
    <definedName name="_67.VIDROS">#REF!</definedName>
    <definedName name="_7__123Graph_ACHART_2" localSheetId="5" hidden="1">#REF!</definedName>
    <definedName name="_7__123Graph_ACHART_2" hidden="1">#REF!</definedName>
    <definedName name="_71_73.I.ELET_H" localSheetId="5">#REF!</definedName>
    <definedName name="_71_73.I.ELET_H">#REF!</definedName>
    <definedName name="_77.OUTRAS_INST." localSheetId="5">#REF!</definedName>
    <definedName name="_77.OUTRAS_INST.">#REF!</definedName>
    <definedName name="_78.ELEVADORES" localSheetId="5">#REF!</definedName>
    <definedName name="_78.ELEVADORES">#REF!</definedName>
    <definedName name="_8__123Graph_BChart_1A" localSheetId="5" hidden="1">#REF!</definedName>
    <definedName name="_8__123Graph_BChart_1A" hidden="1">#REF!</definedName>
    <definedName name="_81.APAR._SANIT" localSheetId="5">#REF!</definedName>
    <definedName name="_81.APAR._SANIT">#REF!</definedName>
    <definedName name="_83_85.PINT_LIM" localSheetId="5">#REF!</definedName>
    <definedName name="_83_85.PINT_LIM">#REF!</definedName>
    <definedName name="_9__123Graph_BCHART_2" localSheetId="5" hidden="1">#REF!</definedName>
    <definedName name="_9__123Graph_BCHART_2" hidden="1">#REF!</definedName>
    <definedName name="_ACR10" localSheetId="5">#REF!</definedName>
    <definedName name="_ACR10">#REF!</definedName>
    <definedName name="_ACR15" localSheetId="5">#REF!</definedName>
    <definedName name="_ACR15">#REF!</definedName>
    <definedName name="_acr20" localSheetId="5">#REF!</definedName>
    <definedName name="_acr20">#REF!</definedName>
    <definedName name="_acr5" localSheetId="5">#REF!</definedName>
    <definedName name="_acr5">#REF!</definedName>
    <definedName name="_AMO_UniqueIdentifier" hidden="1">"'54256040-62ff-475a-9348-dbdfce08df30'"</definedName>
    <definedName name="_ARQ1" localSheetId="5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 localSheetId="5">#REF!</definedName>
    <definedName name="_Axe3">#REF!</definedName>
    <definedName name="_Axe4" localSheetId="5">#REF!</definedName>
    <definedName name="_Axe4">#REF!</definedName>
    <definedName name="_Builtin13" localSheetId="5" hidden="1">#REF!</definedName>
    <definedName name="_Builtin13" hidden="1">#REF!</definedName>
    <definedName name="_CAB1" localSheetId="5">#REF!</definedName>
    <definedName name="_CAB1">#REF!</definedName>
    <definedName name="_CAB2" localSheetId="5">#REF!</definedName>
    <definedName name="_CAB2">#REF!</definedName>
    <definedName name="_CO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5" hidden="1">#REF!</definedName>
    <definedName name="_Dist_Bin" hidden="1">#REF!</definedName>
    <definedName name="_Dist_Values" localSheetId="5" hidden="1">#REF!</definedName>
    <definedName name="_Dist_Values" hidden="1">#REF!</definedName>
    <definedName name="_ECS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5" hidden="1">#REF!</definedName>
    <definedName name="_Fill" hidden="1">#REF!</definedName>
    <definedName name="_fill1" localSheetId="5" hidden="1">#REF!</definedName>
    <definedName name="_fill1" hidden="1">#REF!</definedName>
    <definedName name="_FiltrarBancoDados2" localSheetId="5" hidden="1">#REF!</definedName>
    <definedName name="_FiltrarBancoDados2" hidden="1">#REF!</definedName>
    <definedName name="_xlnm._FilterDatabase" localSheetId="12" hidden="1">AMBIENTES!$A$10:$W$582</definedName>
    <definedName name="_xlnm._FilterDatabase" localSheetId="21" hidden="1">Auxiliar!$A$1:$D$68</definedName>
    <definedName name="_xlnm._FilterDatabase" localSheetId="5" hidden="1">#REF!</definedName>
    <definedName name="_xlnm._FilterDatabase" localSheetId="0" hidden="1">DADOS_INICIAIS!#REF!</definedName>
    <definedName name="_xlnm._FilterDatabase" hidden="1">#REF!</definedName>
    <definedName name="_htm2" localSheetId="5">#REF!</definedName>
    <definedName name="_htm2">#REF!</definedName>
    <definedName name="_htn2" localSheetId="5">#REF!</definedName>
    <definedName name="_htn2">#REF!</definedName>
    <definedName name="_IA0542" localSheetId="5" hidden="1">{#N/A,#N/A,FALSE,"Plan1";#N/A,#N/A,FALSE,"Plan2"}</definedName>
    <definedName name="_IA0542" hidden="1">{#N/A,#N/A,FALSE,"Plan1";#N/A,#N/A,FALSE,"Plan2"}</definedName>
    <definedName name="_iss2" localSheetId="5">#REF!</definedName>
    <definedName name="_iss2">#REF!</definedName>
    <definedName name="_IV65617" localSheetId="5">#REF!</definedName>
    <definedName name="_IV65617">#REF!</definedName>
    <definedName name="_IV65999" localSheetId="5">#REF!</definedName>
    <definedName name="_IV65999">#REF!</definedName>
    <definedName name="_IV66000" localSheetId="5">#REF!</definedName>
    <definedName name="_IV66000">#REF!</definedName>
    <definedName name="_IV67021" localSheetId="5">#REF!</definedName>
    <definedName name="_IV67021">#REF!</definedName>
    <definedName name="_IV67022" localSheetId="5">#REF!</definedName>
    <definedName name="_IV67022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hidden="1">#REF!</definedName>
    <definedName name="_key4" localSheetId="5" hidden="1">#REF!</definedName>
    <definedName name="_key4" hidden="1">#REF!</definedName>
    <definedName name="_l" localSheetId="5">#REF!</definedName>
    <definedName name="_l">#REF!</definedName>
    <definedName name="_la29" localSheetId="5" hidden="1">#REF!</definedName>
    <definedName name="_la29" hidden="1">#REF!</definedName>
    <definedName name="_la3" localSheetId="5" hidden="1">#REF!</definedName>
    <definedName name="_la3" hidden="1">#REF!</definedName>
    <definedName name="_la31" localSheetId="5" hidden="1">#REF!</definedName>
    <definedName name="_la31" hidden="1">#REF!</definedName>
    <definedName name="_la32" localSheetId="5" hidden="1">#REF!</definedName>
    <definedName name="_la32" hidden="1">#REF!</definedName>
    <definedName name="_la4" localSheetId="5" hidden="1">#REF!</definedName>
    <definedName name="_la4" hidden="1">#REF!</definedName>
    <definedName name="_la5" localSheetId="5" hidden="1">#REF!</definedName>
    <definedName name="_la5" hidden="1">#REF!</definedName>
    <definedName name="_la6" localSheetId="5" hidden="1">#REF!</definedName>
    <definedName name="_la6" hidden="1">#REF!</definedName>
    <definedName name="_la7" localSheetId="5" hidden="1">#REF!</definedName>
    <definedName name="_la7" hidden="1">#REF!</definedName>
    <definedName name="_la8" localSheetId="5" hidden="1">#REF!</definedName>
    <definedName name="_la8" hidden="1">#REF!</definedName>
    <definedName name="_la9" localSheetId="5" hidden="1">#REF!</definedName>
    <definedName name="_la9" hidden="1">#REF!</definedName>
    <definedName name="_lb1" localSheetId="5" hidden="1">#REF!</definedName>
    <definedName name="_lb1" hidden="1">#REF!</definedName>
    <definedName name="_lb10" localSheetId="5" hidden="1">#REF!</definedName>
    <definedName name="_lb10" hidden="1">#REF!</definedName>
    <definedName name="_lb11" localSheetId="5" hidden="1">#REF!</definedName>
    <definedName name="_lb11" hidden="1">#REF!</definedName>
    <definedName name="_lb12" localSheetId="5" hidden="1">#REF!</definedName>
    <definedName name="_lb12" hidden="1">#REF!</definedName>
    <definedName name="_lb13" localSheetId="5" hidden="1">#REF!</definedName>
    <definedName name="_lb13" hidden="1">#REF!</definedName>
    <definedName name="_lb14" localSheetId="5" hidden="1">#REF!</definedName>
    <definedName name="_lb14" hidden="1">#REF!</definedName>
    <definedName name="_lb15" localSheetId="5" hidden="1">#REF!</definedName>
    <definedName name="_lb15" hidden="1">#REF!</definedName>
    <definedName name="_lb16" localSheetId="5" hidden="1">#REF!</definedName>
    <definedName name="_lb16" hidden="1">#REF!</definedName>
    <definedName name="_lb17" localSheetId="5" hidden="1">#REF!</definedName>
    <definedName name="_lb17" hidden="1">#REF!</definedName>
    <definedName name="_lb18" localSheetId="5" hidden="1">#REF!</definedName>
    <definedName name="_lb18" hidden="1">#REF!</definedName>
    <definedName name="_lb19" localSheetId="5" hidden="1">#REF!</definedName>
    <definedName name="_lb19" hidden="1">#REF!</definedName>
    <definedName name="_lb2" localSheetId="5" hidden="1">#REF!</definedName>
    <definedName name="_lb2" hidden="1">#REF!</definedName>
    <definedName name="_lb20" localSheetId="5" hidden="1">#REF!</definedName>
    <definedName name="_lb20" hidden="1">#REF!</definedName>
    <definedName name="_lb21" localSheetId="5" hidden="1">#REF!</definedName>
    <definedName name="_lb21" hidden="1">#REF!</definedName>
    <definedName name="_lb22" localSheetId="5" hidden="1">#REF!</definedName>
    <definedName name="_lb22" hidden="1">#REF!</definedName>
    <definedName name="_lb23" localSheetId="5" hidden="1">#REF!</definedName>
    <definedName name="_lb23" hidden="1">#REF!</definedName>
    <definedName name="_lb24" localSheetId="5" hidden="1">#REF!</definedName>
    <definedName name="_lb24" hidden="1">#REF!</definedName>
    <definedName name="_lb25" localSheetId="5" hidden="1">#REF!</definedName>
    <definedName name="_lb25" hidden="1">#REF!</definedName>
    <definedName name="_lb27" localSheetId="5" hidden="1">#REF!</definedName>
    <definedName name="_lb27" hidden="1">#REF!</definedName>
    <definedName name="_lb28" localSheetId="5" hidden="1">#REF!</definedName>
    <definedName name="_lb28" hidden="1">#REF!</definedName>
    <definedName name="_lb29" localSheetId="5" hidden="1">#REF!</definedName>
    <definedName name="_lb29" hidden="1">#REF!</definedName>
    <definedName name="_lb3" localSheetId="5" hidden="1">#REF!</definedName>
    <definedName name="_lb3" hidden="1">#REF!</definedName>
    <definedName name="_lb30" localSheetId="5" hidden="1">#REF!</definedName>
    <definedName name="_lb30" hidden="1">#REF!</definedName>
    <definedName name="_lb31" localSheetId="5" hidden="1">#REF!</definedName>
    <definedName name="_lb31" hidden="1">#REF!</definedName>
    <definedName name="_lb32" localSheetId="5" hidden="1">#REF!</definedName>
    <definedName name="_lb32" hidden="1">#REF!</definedName>
    <definedName name="_lb4" localSheetId="5" hidden="1">#REF!</definedName>
    <definedName name="_lb4" hidden="1">#REF!</definedName>
    <definedName name="_lb5" localSheetId="5" hidden="1">#REF!</definedName>
    <definedName name="_lb5" hidden="1">#REF!</definedName>
    <definedName name="_lb6" localSheetId="5" hidden="1">#REF!</definedName>
    <definedName name="_lb6" hidden="1">#REF!</definedName>
    <definedName name="_lb7" localSheetId="5" hidden="1">#REF!</definedName>
    <definedName name="_lb7" hidden="1">#REF!</definedName>
    <definedName name="_lb8" localSheetId="5" hidden="1">#REF!</definedName>
    <definedName name="_lb8" hidden="1">#REF!</definedName>
    <definedName name="_lb9" localSheetId="5" hidden="1">#REF!</definedName>
    <definedName name="_lb9" hidden="1">#REF!</definedName>
    <definedName name="_lbc1" localSheetId="5" hidden="1">#REF!</definedName>
    <definedName name="_lbc1" hidden="1">#REF!</definedName>
    <definedName name="_lbc10" localSheetId="5" hidden="1">#REF!</definedName>
    <definedName name="_lbc10" hidden="1">#REF!</definedName>
    <definedName name="_lbc11" localSheetId="5" hidden="1">#REF!</definedName>
    <definedName name="_lbc11" hidden="1">#REF!</definedName>
    <definedName name="_lbc12" localSheetId="5" hidden="1">#REF!</definedName>
    <definedName name="_lbc12" hidden="1">#REF!</definedName>
    <definedName name="_lbc13" localSheetId="5" hidden="1">#REF!</definedName>
    <definedName name="_lbc13" hidden="1">#REF!</definedName>
    <definedName name="_lbc14" localSheetId="5" hidden="1">#REF!</definedName>
    <definedName name="_lbc14" hidden="1">#REF!</definedName>
    <definedName name="_lbc15" localSheetId="5" hidden="1">#REF!</definedName>
    <definedName name="_lbc15" hidden="1">#REF!</definedName>
    <definedName name="_lbc16" localSheetId="5" hidden="1">#REF!</definedName>
    <definedName name="_lbc16" hidden="1">#REF!</definedName>
    <definedName name="_lbc17" localSheetId="5" hidden="1">#REF!</definedName>
    <definedName name="_lbc17" hidden="1">#REF!</definedName>
    <definedName name="_lbc18" localSheetId="5" hidden="1">#REF!</definedName>
    <definedName name="_lbc18" hidden="1">#REF!</definedName>
    <definedName name="_lbc19" localSheetId="5" hidden="1">#REF!</definedName>
    <definedName name="_lbc19" hidden="1">#REF!</definedName>
    <definedName name="_lbc2" localSheetId="5" hidden="1">#REF!</definedName>
    <definedName name="_lbc2" hidden="1">#REF!</definedName>
    <definedName name="_lbc20" localSheetId="5" hidden="1">#REF!</definedName>
    <definedName name="_lbc20" hidden="1">#REF!</definedName>
    <definedName name="_lbc21" localSheetId="5" hidden="1">#REF!</definedName>
    <definedName name="_lbc21" hidden="1">#REF!</definedName>
    <definedName name="_lbc22" localSheetId="5" hidden="1">#REF!</definedName>
    <definedName name="_lbc22" hidden="1">#REF!</definedName>
    <definedName name="_lbc23" localSheetId="5" hidden="1">#REF!</definedName>
    <definedName name="_lbc23" hidden="1">#REF!</definedName>
    <definedName name="_lbc24" localSheetId="5" hidden="1">#REF!</definedName>
    <definedName name="_lbc24" hidden="1">#REF!</definedName>
    <definedName name="_lbc25" localSheetId="5" hidden="1">#REF!</definedName>
    <definedName name="_lbc25" hidden="1">#REF!</definedName>
    <definedName name="_lbc26" localSheetId="5" hidden="1">#REF!</definedName>
    <definedName name="_lbc26" hidden="1">#REF!</definedName>
    <definedName name="_lbc27" localSheetId="5" hidden="1">#REF!</definedName>
    <definedName name="_lbc27" hidden="1">#REF!</definedName>
    <definedName name="_lbc28" localSheetId="5" hidden="1">#REF!</definedName>
    <definedName name="_lbc28" hidden="1">#REF!</definedName>
    <definedName name="_lbc29" localSheetId="5" hidden="1">#REF!</definedName>
    <definedName name="_lbc29" hidden="1">#REF!</definedName>
    <definedName name="_lbc3" localSheetId="5" hidden="1">#REF!</definedName>
    <definedName name="_lbc3" hidden="1">#REF!</definedName>
    <definedName name="_lbc31" localSheetId="5" hidden="1">#REF!</definedName>
    <definedName name="_lbc31" hidden="1">#REF!</definedName>
    <definedName name="_lbc32" localSheetId="5" hidden="1">#REF!</definedName>
    <definedName name="_lbc32" hidden="1">#REF!</definedName>
    <definedName name="_lbc4" localSheetId="5" hidden="1">#REF!</definedName>
    <definedName name="_lbc4" hidden="1">#REF!</definedName>
    <definedName name="_lbc5" localSheetId="5" hidden="1">#REF!</definedName>
    <definedName name="_lbc5" hidden="1">#REF!</definedName>
    <definedName name="_lbc6" localSheetId="5" hidden="1">#REF!</definedName>
    <definedName name="_lbc6" hidden="1">#REF!</definedName>
    <definedName name="_lbc7" localSheetId="5" hidden="1">#REF!</definedName>
    <definedName name="_lbc7" hidden="1">#REF!</definedName>
    <definedName name="_lbc8" localSheetId="5" hidden="1">#REF!</definedName>
    <definedName name="_lbc8" hidden="1">#REF!</definedName>
    <definedName name="_lbc9" localSheetId="5" hidden="1">#REF!</definedName>
    <definedName name="_lbc9" hidden="1">#REF!</definedName>
    <definedName name="_ld26" localSheetId="5" hidden="1">#REF!</definedName>
    <definedName name="_ld26" hidden="1">#REF!</definedName>
    <definedName name="_ld31" localSheetId="5" hidden="1">#REF!</definedName>
    <definedName name="_ld31" hidden="1">#REF!</definedName>
    <definedName name="_le31" localSheetId="5" hidden="1">#REF!</definedName>
    <definedName name="_le31" hidden="1">#REF!</definedName>
    <definedName name="_lf31" localSheetId="5" hidden="1">#REF!</definedName>
    <definedName name="_lf31" hidden="1">#REF!</definedName>
    <definedName name="_MatInverse_In" localSheetId="5" hidden="1">#REF!</definedName>
    <definedName name="_MatInverse_In" hidden="1">#REF!</definedName>
    <definedName name="_MatMult_A" localSheetId="5" hidden="1">#REF!</definedName>
    <definedName name="_MatMult_A" hidden="1">#REF!</definedName>
    <definedName name="_MatMult_AxB" localSheetId="5" hidden="1">#REF!</definedName>
    <definedName name="_MatMult_AxB" hidden="1">#REF!</definedName>
    <definedName name="_MatMult_B" localSheetId="5" hidden="1">#REF!</definedName>
    <definedName name="_MatMult_B" hidden="1">#REF!</definedName>
    <definedName name="_new11" localSheetId="5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localSheetId="5" hidden="1">#REF!</definedName>
    <definedName name="_Parse_Out" hidden="1">#REF!</definedName>
    <definedName name="_PAV01" localSheetId="5">#REF!</definedName>
    <definedName name="_PAV01">#REF!</definedName>
    <definedName name="_PAV02" localSheetId="5">#REF!</definedName>
    <definedName name="_PAV02">#REF!</definedName>
    <definedName name="_PAV03" localSheetId="5">#REF!</definedName>
    <definedName name="_PAV03">#REF!</definedName>
    <definedName name="_PAV04" localSheetId="5">#REF!</definedName>
    <definedName name="_PAV04">#REF!</definedName>
    <definedName name="_PAV05" localSheetId="5">#REF!</definedName>
    <definedName name="_PAV05">#REF!</definedName>
    <definedName name="_PAV06" localSheetId="5">#REF!</definedName>
    <definedName name="_PAV06">#REF!</definedName>
    <definedName name="_PAV07" localSheetId="5">#REF!</definedName>
    <definedName name="_PAV07">#REF!</definedName>
    <definedName name="_PAV08" localSheetId="5">#REF!</definedName>
    <definedName name="_PAV08">#REF!</definedName>
    <definedName name="_PAV09" localSheetId="5">#REF!</definedName>
    <definedName name="_PAV09">#REF!</definedName>
    <definedName name="_PAV10" localSheetId="5">#REF!</definedName>
    <definedName name="_PAV10">#REF!</definedName>
    <definedName name="_PAV11" localSheetId="5">#REF!</definedName>
    <definedName name="_PAV11">#REF!</definedName>
    <definedName name="_PK2" localSheetId="5" hidden="1">{"'장비'!$A$3:$M$12"}</definedName>
    <definedName name="_PK2" hidden="1">{"'장비'!$A$3:$M$12"}</definedName>
    <definedName name="_PKG3" localSheetId="5" hidden="1">{"'장비'!$A$3:$M$12"}</definedName>
    <definedName name="_PKG3" hidden="1">{"'장비'!$A$3:$M$12"}</definedName>
    <definedName name="_qqq222" localSheetId="5" hidden="1">{"'장비'!$A$3:$M$12"}</definedName>
    <definedName name="_qqq222" hidden="1">{"'장비'!$A$3:$M$12"}</definedName>
    <definedName name="_QT100" localSheetId="5">#REF!</definedName>
    <definedName name="_QT100">#REF!</definedName>
    <definedName name="_QT2" localSheetId="5">#REF!</definedName>
    <definedName name="_QT2">#REF!</definedName>
    <definedName name="_QT3" localSheetId="5">#REF!</definedName>
    <definedName name="_QT3">#REF!</definedName>
    <definedName name="_QT4" localSheetId="5">#REF!</definedName>
    <definedName name="_QT4">#REF!</definedName>
    <definedName name="_QT50" localSheetId="5">#REF!</definedName>
    <definedName name="_QT50">#REF!</definedName>
    <definedName name="_QT75" localSheetId="5">#REF!</definedName>
    <definedName name="_QT75">#REF!</definedName>
    <definedName name="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fe5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5" hidden="1">#REF!</definedName>
    <definedName name="_Sort" hidden="1">#REF!</definedName>
    <definedName name="_T" localSheetId="5">#REF!</definedName>
    <definedName name="_T">#REF!</definedName>
    <definedName name="_Table1_In1" localSheetId="5" hidden="1">#REF!</definedName>
    <definedName name="_Table1_In1" hidden="1">#REF!</definedName>
    <definedName name="_Table1_Out" localSheetId="5" hidden="1">#REF!</definedName>
    <definedName name="_Table1_Out" hidden="1">#REF!</definedName>
    <definedName name="_wer3" localSheetId="5" hidden="1">{#N/A,#N/A,FALSE,"Plan1";#N/A,#N/A,FALSE,"Plan2"}</definedName>
    <definedName name="_wer3" hidden="1">{#N/A,#N/A,FALSE,"Plan1";#N/A,#N/A,FALSE,"Plan2"}</definedName>
    <definedName name="_wrn.pendenci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5" hidden="1">#REF!</definedName>
    <definedName name="_x10" hidden="1">#REF!</definedName>
    <definedName name="_x11" localSheetId="5" hidden="1">#REF!</definedName>
    <definedName name="_x11" hidden="1">#REF!</definedName>
    <definedName name="_x12" localSheetId="5" hidden="1">#REF!</definedName>
    <definedName name="_x12" hidden="1">#REF!</definedName>
    <definedName name="_x13" localSheetId="5" hidden="1">#REF!</definedName>
    <definedName name="_x13" hidden="1">#REF!</definedName>
    <definedName name="_x14" localSheetId="5" hidden="1">#REF!</definedName>
    <definedName name="_x14" hidden="1">#REF!</definedName>
    <definedName name="_x15" localSheetId="5" hidden="1">#REF!</definedName>
    <definedName name="_x15" hidden="1">#REF!</definedName>
    <definedName name="_x16" localSheetId="5" hidden="1">#REF!</definedName>
    <definedName name="_x16" hidden="1">#REF!</definedName>
    <definedName name="_x17" localSheetId="5" hidden="1">#REF!</definedName>
    <definedName name="_x17" hidden="1">#REF!</definedName>
    <definedName name="_x18" localSheetId="5" hidden="1">#REF!</definedName>
    <definedName name="_x18" hidden="1">#REF!</definedName>
    <definedName name="_x19" localSheetId="5" hidden="1">#REF!</definedName>
    <definedName name="_x19" hidden="1">#REF!</definedName>
    <definedName name="_x20" localSheetId="5" hidden="1">#REF!</definedName>
    <definedName name="_x20" hidden="1">#REF!</definedName>
    <definedName name="_x21" localSheetId="5" hidden="1">#REF!</definedName>
    <definedName name="_x21" hidden="1">#REF!</definedName>
    <definedName name="_x22" localSheetId="5" hidden="1">#REF!</definedName>
    <definedName name="_x22" hidden="1">#REF!</definedName>
    <definedName name="_x23" localSheetId="5" hidden="1">#REF!</definedName>
    <definedName name="_x23" hidden="1">#REF!</definedName>
    <definedName name="_x24" localSheetId="5" hidden="1">#REF!</definedName>
    <definedName name="_x24" hidden="1">#REF!</definedName>
    <definedName name="_x25" localSheetId="5" hidden="1">#REF!</definedName>
    <definedName name="_x25" hidden="1">#REF!</definedName>
    <definedName name="_x28" localSheetId="5" hidden="1">#REF!</definedName>
    <definedName name="_x28" hidden="1">#REF!</definedName>
    <definedName name="_x29" localSheetId="5" hidden="1">#REF!</definedName>
    <definedName name="_x29" hidden="1">#REF!</definedName>
    <definedName name="_x32" localSheetId="5" hidden="1">#REF!</definedName>
    <definedName name="_x32" hidden="1">#REF!</definedName>
    <definedName name="_x4" localSheetId="5" hidden="1">#REF!</definedName>
    <definedName name="_x4" hidden="1">#REF!</definedName>
    <definedName name="_x5" localSheetId="5" hidden="1">#REF!</definedName>
    <definedName name="_x5" hidden="1">#REF!</definedName>
    <definedName name="_x6" localSheetId="5" hidden="1">#REF!</definedName>
    <definedName name="_x6" hidden="1">#REF!</definedName>
    <definedName name="_x7" localSheetId="5" hidden="1">#REF!</definedName>
    <definedName name="_x7" hidden="1">#REF!</definedName>
    <definedName name="_x8" localSheetId="5" hidden="1">#REF!</definedName>
    <definedName name="_x8" hidden="1">#REF!</definedName>
    <definedName name="_x9" localSheetId="5" hidden="1">#REF!</definedName>
    <definedName name="_x9" hidden="1">#REF!</definedName>
    <definedName name="_xlcn.WorksheetConnection_2018_03ResumoRGOObrasRJ.xlsbTabela1" localSheetId="5" hidden="1">#REF!</definedName>
    <definedName name="_xlcn.WorksheetConnection_2018_03ResumoRGOObrasRJ.xlsbTabela1" hidden="1">#REF!</definedName>
    <definedName name="_xlcn.WorksheetConnection_ProjetocontrolefisicoefinanceiroRJ.xlsxTabela31" localSheetId="5" hidden="1">#REF!</definedName>
    <definedName name="_xlcn.WorksheetConnection_ProjetocontrolefisicoefinanceiroRJ.xlsxTabela31" hidden="1">#REF!</definedName>
    <definedName name="´cAE°eE¹" localSheetId="5" hidden="1">#REF!</definedName>
    <definedName name="´cAE°eE¹" hidden="1">#REF!</definedName>
    <definedName name="￠￥cAE¡ÆeEⓒo" localSheetId="5" hidden="1">#REF!</definedName>
    <definedName name="￠￥cAE¡ÆeEⓒo" hidden="1">#REF!</definedName>
    <definedName name="a" localSheetId="5">#REF!</definedName>
    <definedName name="a">#REF!</definedName>
    <definedName name="a\sgt" localSheetId="5" hidden="1">{#N/A,#N/A,FALSE,"Plan1";#N/A,#N/A,FALSE,"Plan2"}</definedName>
    <definedName name="a\sgt" hidden="1">{#N/A,#N/A,FALSE,"Plan1";#N/A,#N/A,FALSE,"Plan2"}</definedName>
    <definedName name="aa" localSheetId="12">#REF!</definedName>
    <definedName name="aa" localSheetId="5">#REF!</definedName>
    <definedName name="aa" localSheetId="0">#REF!</definedName>
    <definedName name="aa">#REF!</definedName>
    <definedName name="aaa" localSheetId="5">#REF!</definedName>
    <definedName name="aaa">#REF!</definedName>
    <definedName name="aaaa" localSheetId="12">#REF!</definedName>
    <definedName name="aaaa" localSheetId="18">'[1]M.O.'!#REF!</definedName>
    <definedName name="aaaa" localSheetId="20">'[1]M.O.'!#REF!</definedName>
    <definedName name="aaaa" localSheetId="5">#REF!</definedName>
    <definedName name="aaaa" localSheetId="0">'[1]M.O.'!#REF!</definedName>
    <definedName name="aaaa" localSheetId="8">'[1]M.O.'!#REF!</definedName>
    <definedName name="aaaa" localSheetId="2">'[1]M.O.'!#REF!</definedName>
    <definedName name="aaaa" localSheetId="9">'[1]M.O.'!#REF!</definedName>
    <definedName name="aaaa" localSheetId="10">'[1]M.O.'!#REF!</definedName>
    <definedName name="aaaa">'[1]M.O.'!#REF!</definedName>
    <definedName name="aaaaaaaaa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5">#REF!</definedName>
    <definedName name="aaaadc">#REF!</definedName>
    <definedName name="aaacccc" localSheetId="5" hidden="1">{#N/A,#N/A,FALSE,"Plan1";#N/A,#N/A,FALSE,"Plan2"}</definedName>
    <definedName name="aaacccc" hidden="1">{#N/A,#N/A,FALSE,"Plan1";#N/A,#N/A,FALSE,"Plan2"}</definedName>
    <definedName name="aaas" localSheetId="5">#REF!</definedName>
    <definedName name="aaas">#REF!</definedName>
    <definedName name="AB" localSheetId="5">#REF!</definedName>
    <definedName name="AB">#REF!</definedName>
    <definedName name="Abat_ISS" localSheetId="5">#REF!</definedName>
    <definedName name="Abat_ISS">#REF!</definedName>
    <definedName name="abc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5" hidden="1">#REF!</definedName>
    <definedName name="ABCD" hidden="1">#REF!</definedName>
    <definedName name="abebqt" localSheetId="5">#REF!</definedName>
    <definedName name="abebqt">#REF!</definedName>
    <definedName name="abr17RJ" localSheetId="5">#REF!</definedName>
    <definedName name="abr17RJ">#REF!</definedName>
    <definedName name="ABRIL" localSheetId="5">#REF!</definedName>
    <definedName name="ABRIL">#REF!</definedName>
    <definedName name="ABRIL2001" localSheetId="5">#REF!</definedName>
    <definedName name="ABRIL2001">#REF!</definedName>
    <definedName name="ac" localSheetId="5" hidden="1">#REF!</definedName>
    <definedName name="ac" hidden="1">#REF!</definedName>
    <definedName name="Acabam." localSheetId="5">#REF!</definedName>
    <definedName name="Acabam.">#REF!</definedName>
    <definedName name="ACADUC" localSheetId="5">#REF!</definedName>
    <definedName name="ACADUC">#REF!</definedName>
    <definedName name="ACBEB" localSheetId="5">#REF!</definedName>
    <definedName name="ACBEB">#REF!</definedName>
    <definedName name="ACBOMB" localSheetId="5">#REF!</definedName>
    <definedName name="ACBOMB">#REF!</definedName>
    <definedName name="AccessDatabase" hidden="1">"C:\posec\DATABASE\vlv_list\vlvlist1.mdb"</definedName>
    <definedName name="ACCHAF" localSheetId="5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5" hidden="1">#REF!</definedName>
    <definedName name="acdb" hidden="1">#REF!</definedName>
    <definedName name="ACDER" localSheetId="5">#REF!</definedName>
    <definedName name="ACDER">#REF!</definedName>
    <definedName name="ACDIV" localSheetId="5">#REF!</definedName>
    <definedName name="ACDIV">#REF!</definedName>
    <definedName name="ACDS" localSheetId="5" hidden="1">#REF!</definedName>
    <definedName name="ACDS" hidden="1">#REF!</definedName>
    <definedName name="ACEQP" localSheetId="5">#REF!</definedName>
    <definedName name="ACEQP">#REF!</definedName>
    <definedName name="ACHAFQT" localSheetId="5">#REF!</definedName>
    <definedName name="ACHAFQT">#REF!</definedName>
    <definedName name="achar18" localSheetId="5" hidden="1">#REF!</definedName>
    <definedName name="achar18" hidden="1">#REF!</definedName>
    <definedName name="achar19" localSheetId="5" hidden="1">#REF!</definedName>
    <definedName name="achar19" hidden="1">#REF!</definedName>
    <definedName name="achart1" localSheetId="5" hidden="1">#REF!</definedName>
    <definedName name="achart1" hidden="1">#REF!</definedName>
    <definedName name="achart10" localSheetId="5" hidden="1">#REF!</definedName>
    <definedName name="achart10" hidden="1">#REF!</definedName>
    <definedName name="achart11" localSheetId="5" hidden="1">#REF!</definedName>
    <definedName name="achart11" hidden="1">#REF!</definedName>
    <definedName name="achart12" localSheetId="5" hidden="1">#REF!</definedName>
    <definedName name="achart12" hidden="1">#REF!</definedName>
    <definedName name="achart13" localSheetId="5" hidden="1">#REF!</definedName>
    <definedName name="achart13" hidden="1">#REF!</definedName>
    <definedName name="achart14" localSheetId="5" hidden="1">#REF!</definedName>
    <definedName name="achart14" hidden="1">#REF!</definedName>
    <definedName name="achart15" localSheetId="5" hidden="1">#REF!</definedName>
    <definedName name="achart15" hidden="1">#REF!</definedName>
    <definedName name="achart16" localSheetId="5" hidden="1">#REF!</definedName>
    <definedName name="achart16" hidden="1">#REF!</definedName>
    <definedName name="achart17" localSheetId="5" hidden="1">#REF!</definedName>
    <definedName name="achart17" hidden="1">#REF!</definedName>
    <definedName name="achart2" localSheetId="5" hidden="1">#REF!</definedName>
    <definedName name="achart2" hidden="1">#REF!</definedName>
    <definedName name="achart20" localSheetId="5" hidden="1">#REF!</definedName>
    <definedName name="achart20" hidden="1">#REF!</definedName>
    <definedName name="achart21" localSheetId="5" hidden="1">#REF!</definedName>
    <definedName name="achart21" hidden="1">#REF!</definedName>
    <definedName name="achart22" localSheetId="5" hidden="1">#REF!</definedName>
    <definedName name="achart22" hidden="1">#REF!</definedName>
    <definedName name="achart23" localSheetId="5" hidden="1">#REF!</definedName>
    <definedName name="achart23" hidden="1">#REF!</definedName>
    <definedName name="achart24" localSheetId="5" hidden="1">#REF!</definedName>
    <definedName name="achart24" hidden="1">#REF!</definedName>
    <definedName name="achart25" localSheetId="5" hidden="1">#REF!</definedName>
    <definedName name="achart25" hidden="1">#REF!</definedName>
    <definedName name="achart26" localSheetId="5" hidden="1">#REF!</definedName>
    <definedName name="achart26" hidden="1">#REF!</definedName>
    <definedName name="achart27" localSheetId="5" hidden="1">#REF!</definedName>
    <definedName name="achart27" hidden="1">#REF!</definedName>
    <definedName name="achart28" localSheetId="5" hidden="1">#REF!</definedName>
    <definedName name="achart28" hidden="1">#REF!</definedName>
    <definedName name="achart29" localSheetId="5" hidden="1">#REF!</definedName>
    <definedName name="achart29" hidden="1">#REF!</definedName>
    <definedName name="achart3" localSheetId="5" hidden="1">#REF!</definedName>
    <definedName name="achart3" hidden="1">#REF!</definedName>
    <definedName name="achart30" localSheetId="5" hidden="1">#REF!</definedName>
    <definedName name="achart30" hidden="1">#REF!</definedName>
    <definedName name="achart31" localSheetId="5" hidden="1">#REF!</definedName>
    <definedName name="achart31" hidden="1">#REF!</definedName>
    <definedName name="achart32" localSheetId="5" hidden="1">#REF!</definedName>
    <definedName name="achart32" hidden="1">#REF!</definedName>
    <definedName name="achart4" localSheetId="5" hidden="1">#REF!</definedName>
    <definedName name="achart4" hidden="1">#REF!</definedName>
    <definedName name="achart5" localSheetId="5" hidden="1">#REF!</definedName>
    <definedName name="achart5" hidden="1">#REF!</definedName>
    <definedName name="achart6" localSheetId="5" hidden="1">#REF!</definedName>
    <definedName name="achart6" hidden="1">#REF!</definedName>
    <definedName name="achart7" localSheetId="5" hidden="1">#REF!</definedName>
    <definedName name="achart7" hidden="1">#REF!</definedName>
    <definedName name="achart8" localSheetId="5" hidden="1">#REF!</definedName>
    <definedName name="achart8" hidden="1">#REF!</definedName>
    <definedName name="achart9" localSheetId="5" hidden="1">#REF!</definedName>
    <definedName name="achart9" hidden="1">#REF!</definedName>
    <definedName name="ACMUR" localSheetId="5">#REF!</definedName>
    <definedName name="ACMUR">#REF!</definedName>
    <definedName name="açoeeer" localSheetId="5" hidden="1">{#N/A,#N/A,FALSE,"Plan1";#N/A,#N/A,FALSE,"Plan2"}</definedName>
    <definedName name="açoeeer" hidden="1">{#N/A,#N/A,FALSE,"Plan1";#N/A,#N/A,FALSE,"Plan2"}</definedName>
    <definedName name="ACOMP" localSheetId="5">#REF!</definedName>
    <definedName name="ACOMP">#REF!</definedName>
    <definedName name="ACONT2" localSheetId="5">#REF!</definedName>
    <definedName name="ACONT2">#REF!</definedName>
    <definedName name="ACPIPA" localSheetId="5">#REF!</definedName>
    <definedName name="ACPIPA">#REF!</definedName>
    <definedName name="ACTRANSP" localSheetId="5">#REF!</definedName>
    <definedName name="ACTRANSP">#REF!</definedName>
    <definedName name="ACwvu.Características." localSheetId="5" hidden="1">#REF!</definedName>
    <definedName name="ACwvu.Características." hidden="1">#REF!</definedName>
    <definedName name="ACwvu.Ciclos." localSheetId="5" hidden="1">#REF!</definedName>
    <definedName name="ACwvu.Ciclos." hidden="1">#REF!</definedName>
    <definedName name="ACwvu.Custos." localSheetId="5" hidden="1">#REF!</definedName>
    <definedName name="ACwvu.Custos." hidden="1">#REF!</definedName>
    <definedName name="ACwvu.PLANILHA2." localSheetId="5" hidden="1">#REF!</definedName>
    <definedName name="ACwvu.PLANILHA2." hidden="1">#REF!</definedName>
    <definedName name="ACwvu.Recursos." localSheetId="5" hidden="1">#REF!</definedName>
    <definedName name="ACwvu.Recursos." hidden="1">#REF!</definedName>
    <definedName name="ad" localSheetId="5" hidden="1">{#N/A,#N/A,FALSE,"Plan1";#N/A,#N/A,FALSE,"Plan2"}</definedName>
    <definedName name="ad" hidden="1">{#N/A,#N/A,FALSE,"Plan1";#N/A,#N/A,FALSE,"Plan2"}</definedName>
    <definedName name="adads" localSheetId="5" hidden="1">{#N/A,#N/A,FALSE,"Plan1";#N/A,#N/A,FALSE,"Plan2"}</definedName>
    <definedName name="adads" hidden="1">{#N/A,#N/A,FALSE,"Plan1";#N/A,#N/A,FALSE,"Plan2"}</definedName>
    <definedName name="adads2" localSheetId="5" hidden="1">{#N/A,#N/A,FALSE,"Plan1";#N/A,#N/A,FALSE,"Plan2"}</definedName>
    <definedName name="adads2" hidden="1">{#N/A,#N/A,FALSE,"Plan1";#N/A,#N/A,FALSE,"Plan2"}</definedName>
    <definedName name="adced" localSheetId="5" hidden="1">{#N/A,#N/A,FALSE,"Plan1";#N/A,#N/A,FALSE,"Plan2"}</definedName>
    <definedName name="adced" hidden="1">{#N/A,#N/A,FALSE,"Plan1";#N/A,#N/A,FALSE,"Plan2"}</definedName>
    <definedName name="adced2" localSheetId="5" hidden="1">{#N/A,#N/A,FALSE,"Plan1";#N/A,#N/A,FALSE,"Plan2"}</definedName>
    <definedName name="adced2" hidden="1">{#N/A,#N/A,FALSE,"Plan1";#N/A,#N/A,FALSE,"Plan2"}</definedName>
    <definedName name="ader" localSheetId="5" hidden="1">{#N/A,#N/A,FALSE,"Plan1";#N/A,#N/A,FALSE,"Plan2"}</definedName>
    <definedName name="ader" hidden="1">{#N/A,#N/A,FALSE,"Plan1";#N/A,#N/A,FALSE,"Plan2"}</definedName>
    <definedName name="ader2" localSheetId="5" hidden="1">{#N/A,#N/A,FALSE,"Plan1";#N/A,#N/A,FALSE,"Plan2"}</definedName>
    <definedName name="ader2" hidden="1">{#N/A,#N/A,FALSE,"Plan1";#N/A,#N/A,FALSE,"Plan2"}</definedName>
    <definedName name="adesr" localSheetId="5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5" hidden="1">{#N/A,#N/A,FALSE,"Plan1";#N/A,#N/A,FALSE,"Plan2"}</definedName>
    <definedName name="adewr" hidden="1">{#N/A,#N/A,FALSE,"Plan1";#N/A,#N/A,FALSE,"Plan2"}</definedName>
    <definedName name="adf" localSheetId="5" hidden="1">{#N/A,#N/A,FALSE,"Plan1";#N/A,#N/A,FALSE,"Plan2"}</definedName>
    <definedName name="adf" hidden="1">{#N/A,#N/A,FALSE,"Plan1";#N/A,#N/A,FALSE,"Plan2"}</definedName>
    <definedName name="ADITIVO_BRUTO" localSheetId="5">#REF!</definedName>
    <definedName name="ADITIVO_BRUTO">#REF!</definedName>
    <definedName name="ADITIVO_LIQUIDO" localSheetId="5">#REF!</definedName>
    <definedName name="ADITIVO_LIQUIDO">#REF!</definedName>
    <definedName name="ADM.EXTERNA" localSheetId="5">#REF!</definedName>
    <definedName name="ADM.EXTERNA">#REF!</definedName>
    <definedName name="adsfr" localSheetId="5" hidden="1">{#N/A,#N/A,FALSE,"Plan1";#N/A,#N/A,FALSE,"Plan2"}</definedName>
    <definedName name="adsfr" hidden="1">{#N/A,#N/A,FALSE,"Plan1";#N/A,#N/A,FALSE,"Plan2"}</definedName>
    <definedName name="adssrgtg" localSheetId="5" hidden="1">{#N/A,#N/A,FALSE,"Plan1";#N/A,#N/A,FALSE,"Plan2"}</definedName>
    <definedName name="adssrgtg" hidden="1">{#N/A,#N/A,FALSE,"Plan1";#N/A,#N/A,FALSE,"Plan2"}</definedName>
    <definedName name="adtsetrr6t" localSheetId="5" hidden="1">{#N/A,#N/A,FALSE,"Plan1";#N/A,#N/A,FALSE,"Plan2"}</definedName>
    <definedName name="adtsetrr6t" hidden="1">{#N/A,#N/A,FALSE,"Plan1";#N/A,#N/A,FALSE,"Plan2"}</definedName>
    <definedName name="ADUCQT" localSheetId="5">#REF!</definedName>
    <definedName name="ADUCQT">#REF!</definedName>
    <definedName name="adwr" localSheetId="5" hidden="1">{#N/A,#N/A,FALSE,"Plan1";#N/A,#N/A,FALSE,"Plan2"}</definedName>
    <definedName name="adwr" hidden="1">{#N/A,#N/A,FALSE,"Plan1";#N/A,#N/A,FALSE,"Plan2"}</definedName>
    <definedName name="aeiresft" localSheetId="5" hidden="1">{#N/A,#N/A,FALSE,"Plan1";#N/A,#N/A,FALSE,"Plan2"}</definedName>
    <definedName name="aeiresft" hidden="1">{#N/A,#N/A,FALSE,"Plan1";#N/A,#N/A,FALSE,"Plan2"}</definedName>
    <definedName name="aEL3QE" localSheetId="5" hidden="1">{#N/A,#N/A,FALSE,"Plan1";#N/A,#N/A,FALSE,"Plan2"}</definedName>
    <definedName name="aEL3QE" hidden="1">{#N/A,#N/A,FALSE,"Plan1";#N/A,#N/A,FALSE,"Plan2"}</definedName>
    <definedName name="afeasfre" localSheetId="5" hidden="1">{#N/A,#N/A,FALSE,"Plan1";#N/A,#N/A,FALSE,"Plan2"}</definedName>
    <definedName name="afeasfre" hidden="1">{#N/A,#N/A,FALSE,"Plan1";#N/A,#N/A,FALSE,"Plan2"}</definedName>
    <definedName name="agdsf" localSheetId="5" hidden="1">#REF!</definedName>
    <definedName name="agdsf" hidden="1">#REF!</definedName>
    <definedName name="ago17RJ" localSheetId="5">#REF!</definedName>
    <definedName name="ago17RJ">#REF!</definedName>
    <definedName name="AGOSTO" localSheetId="5">#REF!</definedName>
    <definedName name="AGOSTO">#REF!</definedName>
    <definedName name="agu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5" hidden="1">{#N/A,#N/A,FALSE,"CCTV"}</definedName>
    <definedName name="AH" hidden="1">{#N/A,#N/A,FALSE,"CCTV"}</definedName>
    <definedName name="AITEM" localSheetId="5">#REF!</definedName>
    <definedName name="AITEM">#REF!</definedName>
    <definedName name="Ajudante_Geral" localSheetId="5">#REF!</definedName>
    <definedName name="Ajudante_Geral">#REF!</definedName>
    <definedName name="ajudante_mes" localSheetId="5">#REF!</definedName>
    <definedName name="ajudante_mes">#REF!</definedName>
    <definedName name="AL" localSheetId="5">#REF!</definedName>
    <definedName name="AL">#REF!</definedName>
    <definedName name="ALTADUC" localSheetId="5">#REF!</definedName>
    <definedName name="ALTADUC">#REF!</definedName>
    <definedName name="ALTBOMB" localSheetId="5">#REF!</definedName>
    <definedName name="ALTBOMB">#REF!</definedName>
    <definedName name="ALTCAP" localSheetId="5">#REF!</definedName>
    <definedName name="ALTCAP">#REF!</definedName>
    <definedName name="ALTDER" localSheetId="5">#REF!</definedName>
    <definedName name="ALTDER">#REF!</definedName>
    <definedName name="ALTEQUIP" localSheetId="5">#REF!</definedName>
    <definedName name="ALTEQUIP">#REF!</definedName>
    <definedName name="ALTIEQP" localSheetId="5">#REF!</definedName>
    <definedName name="ALTIEQP">#REF!</definedName>
    <definedName name="ALTMUR" localSheetId="5">#REF!</definedName>
    <definedName name="ALTMUR">#REF!</definedName>
    <definedName name="ALTRES10" localSheetId="5">#REF!</definedName>
    <definedName name="ALTRES10">#REF!</definedName>
    <definedName name="ALTRES15" localSheetId="5">#REF!</definedName>
    <definedName name="ALTRES15">#REF!</definedName>
    <definedName name="ALTRES20" localSheetId="5">#REF!</definedName>
    <definedName name="ALTRES20">#REF!</definedName>
    <definedName name="ALTTRANS" localSheetId="5">#REF!</definedName>
    <definedName name="ALTTRANS">#REF!</definedName>
    <definedName name="ALUMÍNIO_2" localSheetId="5">#REF!</definedName>
    <definedName name="ALUMÍNIO_2">#REF!</definedName>
    <definedName name="angelo" localSheetId="12">#REF!</definedName>
    <definedName name="angelo" localSheetId="18">[2]Geral!#REF!</definedName>
    <definedName name="angelo" localSheetId="20">[2]Geral!#REF!</definedName>
    <definedName name="angelo" localSheetId="5">#REF!</definedName>
    <definedName name="angelo" localSheetId="0">[2]Geral!#REF!</definedName>
    <definedName name="angelo" localSheetId="8">[2]Geral!#REF!</definedName>
    <definedName name="angelo" localSheetId="2">[2]Geral!#REF!</definedName>
    <definedName name="angelo" localSheetId="9">[2]Geral!#REF!</definedName>
    <definedName name="angelo" localSheetId="10">[2]Geral!#REF!</definedName>
    <definedName name="angelo">[2]Geral!#REF!</definedName>
    <definedName name="anscount" hidden="1">3</definedName>
    <definedName name="AQE" localSheetId="5" hidden="1">{"'장비'!$A$3:$M$12"}</definedName>
    <definedName name="AQE" hidden="1">{"'장비'!$A$3:$M$12"}</definedName>
    <definedName name="AQTEMP1" localSheetId="5">#REF!</definedName>
    <definedName name="AQTEMP1">#REF!</definedName>
    <definedName name="AQTEMP2" localSheetId="5">#REF!</definedName>
    <definedName name="AQTEMP2">#REF!</definedName>
    <definedName name="ArComprimido" localSheetId="5" hidden="1">{"'Estimativa de Lançamento-JAN'!$A$1:$AI$85"}</definedName>
    <definedName name="ArComprimido" hidden="1">{"'Estimativa de Lançamento-JAN'!$A$1:$AI$85"}</definedName>
    <definedName name="area" localSheetId="12">#REF!</definedName>
    <definedName name="area" localSheetId="5">#REF!</definedName>
    <definedName name="area">#REF!</definedName>
    <definedName name="área" localSheetId="5">#REF!</definedName>
    <definedName name="área">#REF!</definedName>
    <definedName name="_xlnm.Print_Area" localSheetId="15">'Acabamentos de Piso e Parede'!$A$1:$H$29</definedName>
    <definedName name="_xlnm.Print_Area" localSheetId="7">ALVENARIA!$A$1:$I$33</definedName>
    <definedName name="_xlnm.Print_Area" localSheetId="12">#REF!</definedName>
    <definedName name="_xlnm.Print_Area" localSheetId="18">COBERTURA!$A$1:$H$16</definedName>
    <definedName name="_xlnm.Print_Area" localSheetId="20">COMPLEMENTARES!$A$1:$G$18</definedName>
    <definedName name="_xlnm.Print_Area" localSheetId="3">CONTENÇÕES!$A$1:$I$45</definedName>
    <definedName name="_xlnm.Print_Area" localSheetId="5">'CONTENÇÕES (2)'!$A$1:$I$49</definedName>
    <definedName name="_xlnm.Print_Area" localSheetId="0">DADOS_INICIAIS!$A$1:$H$40</definedName>
    <definedName name="_xlnm.Print_Area" localSheetId="17">ESQUADRIAS!$A$1:$I$22</definedName>
    <definedName name="_xlnm.Print_Area" localSheetId="11">IMPERMEABILIZAÇÃO!$A$1:$I$22</definedName>
    <definedName name="_xlnm.Print_Area" localSheetId="4">INFRAESTRUTURA!$A$1:$I$28</definedName>
    <definedName name="_xlnm.Print_Area" localSheetId="8">INSTALAÇÕES!$A$1:$E$34</definedName>
    <definedName name="_xlnm.Print_Area" localSheetId="2">MOVIMENTAÇÃO_DE_TERRA!$A$1:$G$26</definedName>
    <definedName name="_xlnm.Print_Area" localSheetId="16">'PINTURA INTERNA'!$A$1:$I$14</definedName>
    <definedName name="_xlnm.Print_Area" localSheetId="19">'Rev. Fachada'!$A$1:$H$25</definedName>
    <definedName name="_xlnm.Print_Area" localSheetId="13">'Rev. Internos Piso e Parede'!$A$1:$H$24</definedName>
    <definedName name="_xlnm.Print_Area" localSheetId="9">'SISTEMAS ESPECIAIS 3'!$A$1:$E$40</definedName>
    <definedName name="_xlnm.Print_Area" localSheetId="10">'SISTEMAS ESPECIAIS 4'!$A$1:$E$39</definedName>
    <definedName name="_xlnm.Print_Area" localSheetId="6">SUPRAESTRUTURA!$A$1:$I$31</definedName>
    <definedName name="_xlnm.Print_Area" localSheetId="14">TETO!$A$1:$I$14</definedName>
    <definedName name="_xlnm.Print_Area">#REF!</definedName>
    <definedName name="Área_impressão_IM" localSheetId="5">#REF!</definedName>
    <definedName name="Área_impressão_IM">#REF!</definedName>
    <definedName name="area1" localSheetId="5">#REF!</definedName>
    <definedName name="area1">#REF!</definedName>
    <definedName name="Areaimpresso" localSheetId="5">#REF!</definedName>
    <definedName name="Areaimpresso">#REF!</definedName>
    <definedName name="ARM" localSheetId="5">#REF!</definedName>
    <definedName name="ARM">#REF!</definedName>
    <definedName name="ARMABLOCOS" localSheetId="5">#REF!</definedName>
    <definedName name="ARMABLOCOS">#REF!</definedName>
    <definedName name="ARMAÇÃO" localSheetId="5">#REF!</definedName>
    <definedName name="ARMAÇÃO">#REF!</definedName>
    <definedName name="ARQ" localSheetId="5">#REF!</definedName>
    <definedName name="ARQ">#REF!</definedName>
    <definedName name="ARQERR" localSheetId="5">#REF!</definedName>
    <definedName name="ARQERR">#REF!</definedName>
    <definedName name="ARQPLAN" localSheetId="5">#REF!</definedName>
    <definedName name="ARQPLAN">#REF!</definedName>
    <definedName name="ARQT" localSheetId="5">#REF!</definedName>
    <definedName name="ARQT">#REF!</definedName>
    <definedName name="ARQTEMP" localSheetId="5">#REF!</definedName>
    <definedName name="ARQTEMP">#REF!</definedName>
    <definedName name="ARQTXT" localSheetId="5">#REF!</definedName>
    <definedName name="ARQTXT">#REF!</definedName>
    <definedName name="ARTEMP" localSheetId="5">#REF!</definedName>
    <definedName name="ARTEMP">#REF!</definedName>
    <definedName name="AS" localSheetId="5">#REF!</definedName>
    <definedName name="AS">#REF!</definedName>
    <definedName name="AS2DocOpenMode" hidden="1">"AS2DocumentBrowse"</definedName>
    <definedName name="asawe3" localSheetId="5" hidden="1">{#N/A,#N/A,FALSE,"Plan1";#N/A,#N/A,FALSE,"Plan2"}</definedName>
    <definedName name="asawe3" hidden="1">{#N/A,#N/A,FALSE,"Plan1";#N/A,#N/A,FALSE,"Plan2"}</definedName>
    <definedName name="ASD" hidden="1">17</definedName>
    <definedName name="ASDA" localSheetId="5" hidden="1">{#N/A,#N/A,FALSE,"Plan1";#N/A,#N/A,FALSE,"Plan2"}</definedName>
    <definedName name="ASDA" hidden="1">{#N/A,#N/A,FALSE,"Plan1";#N/A,#N/A,FALSE,"Plan2"}</definedName>
    <definedName name="asdade" localSheetId="5" hidden="1">{#N/A,#N/A,FALSE,"Plan1";#N/A,#N/A,FALSE,"Plan2"}</definedName>
    <definedName name="asdade" hidden="1">{#N/A,#N/A,FALSE,"Plan1";#N/A,#N/A,FALSE,"Plan2"}</definedName>
    <definedName name="asdas" localSheetId="5" hidden="1">{#N/A,#N/A,FALSE,"Plan1";#N/A,#N/A,FALSE,"Plan2"}</definedName>
    <definedName name="asdas" hidden="1">{#N/A,#N/A,FALSE,"Plan1";#N/A,#N/A,FALSE,"Plan2"}</definedName>
    <definedName name="asdawed" localSheetId="5" hidden="1">{#N/A,#N/A,FALSE,"Plan1";#N/A,#N/A,FALSE,"Plan2"}</definedName>
    <definedName name="asdawed" hidden="1">{#N/A,#N/A,FALSE,"Plan1";#N/A,#N/A,FALSE,"Plan2"}</definedName>
    <definedName name="ASDER" localSheetId="5" hidden="1">{#N/A,#N/A,FALSE,"Plan1";#N/A,#N/A,FALSE,"Plan2"}</definedName>
    <definedName name="ASDER" hidden="1">{#N/A,#N/A,FALSE,"Plan1";#N/A,#N/A,FALSE,"Plan2"}</definedName>
    <definedName name="asderr" localSheetId="5" hidden="1">{#N/A,#N/A,FALSE,"Plan1";#N/A,#N/A,FALSE,"Plan2"}</definedName>
    <definedName name="asderr" hidden="1">{#N/A,#N/A,FALSE,"Plan1";#N/A,#N/A,FALSE,"Plan2"}</definedName>
    <definedName name="asdesre" localSheetId="5" hidden="1">{#N/A,#N/A,FALSE,"Plan1";#N/A,#N/A,FALSE,"Plan2"}</definedName>
    <definedName name="asdesre" hidden="1">{#N/A,#N/A,FALSE,"Plan1";#N/A,#N/A,FALSE,"Plan2"}</definedName>
    <definedName name="asdewr" localSheetId="5" hidden="1">{#N/A,#N/A,FALSE,"Plan1";#N/A,#N/A,FALSE,"Plan2"}</definedName>
    <definedName name="asdewr" hidden="1">{#N/A,#N/A,FALSE,"Plan1";#N/A,#N/A,FALSE,"Plan2"}</definedName>
    <definedName name="ASDFASDFA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5" hidden="1">{#N/A,#N/A,FALSE,"Plan1";#N/A,#N/A,FALSE,"Plan2"}</definedName>
    <definedName name="asdfs" hidden="1">{#N/A,#N/A,FALSE,"Plan1";#N/A,#N/A,FALSE,"Plan2"}</definedName>
    <definedName name="asdg" localSheetId="5" hidden="1">{#N/A,#N/A,FALSE,"Plan1";#N/A,#N/A,FALSE,"Plan2"}</definedName>
    <definedName name="asdg" hidden="1">{#N/A,#N/A,FALSE,"Plan1";#N/A,#N/A,FALSE,"Plan2"}</definedName>
    <definedName name="asdjksej" localSheetId="5" hidden="1">#REF!</definedName>
    <definedName name="asdjksej" hidden="1">#REF!</definedName>
    <definedName name="asdk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5" hidden="1">{#N/A,#N/A,FALSE,"Plan1";#N/A,#N/A,FALSE,"Plan2"}</definedName>
    <definedName name="asdlas" hidden="1">{#N/A,#N/A,FALSE,"Plan1";#N/A,#N/A,FALSE,"Plan2"}</definedName>
    <definedName name="asdqwe" localSheetId="5" hidden="1">{#N/A,#N/A,FALSE,"Plan1";#N/A,#N/A,FALSE,"Plan2"}</definedName>
    <definedName name="asdqwe" hidden="1">{#N/A,#N/A,FALSE,"Plan1";#N/A,#N/A,FALSE,"Plan2"}</definedName>
    <definedName name="asdsa" localSheetId="5" hidden="1">{#N/A,#N/A,FALSE,"Plan1";#N/A,#N/A,FALSE,"Plan2"}</definedName>
    <definedName name="asdsa" hidden="1">{#N/A,#N/A,FALSE,"Plan1";#N/A,#N/A,FALSE,"Plan2"}</definedName>
    <definedName name="asdser" localSheetId="5" hidden="1">{#N/A,#N/A,FALSE,"Plan1";#N/A,#N/A,FALSE,"Plan2"}</definedName>
    <definedName name="asdser" hidden="1">{#N/A,#N/A,FALSE,"Plan1";#N/A,#N/A,FALSE,"Plan2"}</definedName>
    <definedName name="asdwef" localSheetId="5" hidden="1">{#N/A,#N/A,FALSE,"Plan1";#N/A,#N/A,FALSE,"Plan2"}</definedName>
    <definedName name="asdwef" hidden="1">{#N/A,#N/A,FALSE,"Plan1";#N/A,#N/A,FALSE,"Plan2"}</definedName>
    <definedName name="aseiuw" localSheetId="5" hidden="1">#REF!</definedName>
    <definedName name="aseiuw" hidden="1">#REF!</definedName>
    <definedName name="ASET" localSheetId="5" hidden="1">{#N/A,#N/A,FALSE,"Plan1";#N/A,#N/A,FALSE,"Plan2"}</definedName>
    <definedName name="ASET" hidden="1">{#N/A,#N/A,FALSE,"Plan1";#N/A,#N/A,FALSE,"Plan2"}</definedName>
    <definedName name="asfDSF" localSheetId="5" hidden="1">{#N/A,#N/A,FALSE,"Plan1";#N/A,#N/A,FALSE,"Plan2"}</definedName>
    <definedName name="asfDSF" hidden="1">{#N/A,#N/A,FALSE,"Plan1";#N/A,#N/A,FALSE,"Plan2"}</definedName>
    <definedName name="ASFERTE" localSheetId="5" hidden="1">{#N/A,#N/A,FALSE,"Plan1";#N/A,#N/A,FALSE,"Plan2"}</definedName>
    <definedName name="ASFERTE" hidden="1">{#N/A,#N/A,FALSE,"Plan1";#N/A,#N/A,FALSE,"Plan2"}</definedName>
    <definedName name="asfl" localSheetId="5" hidden="1">{#N/A,#N/A,FALSE,"Plan1";#N/A,#N/A,FALSE,"Plan2"}</definedName>
    <definedName name="asfl" hidden="1">{#N/A,#N/A,FALSE,"Plan1";#N/A,#N/A,FALSE,"Plan2"}</definedName>
    <definedName name="asfsz" localSheetId="5" hidden="1">{#N/A,#N/A,FALSE,"Plan1";#N/A,#N/A,FALSE,"Plan2"}</definedName>
    <definedName name="asfsz" hidden="1">{#N/A,#N/A,FALSE,"Plan1";#N/A,#N/A,FALSE,"Plan2"}</definedName>
    <definedName name="askserf" localSheetId="5" hidden="1">{#N/A,#N/A,FALSE,"Plan1";#N/A,#N/A,FALSE,"Plan2"}</definedName>
    <definedName name="askserf" hidden="1">{#N/A,#N/A,FALSE,"Plan1";#N/A,#N/A,FALSE,"Plan2"}</definedName>
    <definedName name="ASSFSDF" localSheetId="5" hidden="1">{#N/A,#N/A,FALSE,"Plan1";#N/A,#N/A,FALSE,"Plan2"}</definedName>
    <definedName name="ASSFSDF" hidden="1">{#N/A,#N/A,FALSE,"Plan1";#N/A,#N/A,FALSE,"Plan2"}</definedName>
    <definedName name="asw" localSheetId="5" hidden="1">{#N/A,#N/A,FALSE,"Plan1";#N/A,#N/A,FALSE,"Plan2"}</definedName>
    <definedName name="asw" hidden="1">{#N/A,#N/A,FALSE,"Plan1";#N/A,#N/A,FALSE,"Plan2"}</definedName>
    <definedName name="Até_Chaves" localSheetId="5">#REF!</definedName>
    <definedName name="Até_Chaves">#REF!</definedName>
    <definedName name="ATIVOS" localSheetId="5" hidden="1">{#N/A,#N/A,FALSE,"F-01"}</definedName>
    <definedName name="ATIVOS" hidden="1">{#N/A,#N/A,FALSE,"F-01"}</definedName>
    <definedName name="Ato" localSheetId="5">#REF!</definedName>
    <definedName name="Ato">#REF!</definedName>
    <definedName name="ATUAL" localSheetId="5">#REF!</definedName>
    <definedName name="ATUAL">#REF!</definedName>
    <definedName name="aux" localSheetId="12">#REF!</definedName>
    <definedName name="aux" localSheetId="18">#REF!</definedName>
    <definedName name="aux" localSheetId="20">#REF!</definedName>
    <definedName name="aux" localSheetId="0">#REF!</definedName>
    <definedName name="aux" localSheetId="8">#REF!</definedName>
    <definedName name="aux" localSheetId="2">#REF!</definedName>
    <definedName name="aux" localSheetId="9">#REF!</definedName>
    <definedName name="aux" localSheetId="10">#REF!</definedName>
    <definedName name="aux">#REF!</definedName>
    <definedName name="AUXILIO" localSheetId="5">#REF!</definedName>
    <definedName name="AUXILIO">#REF!</definedName>
    <definedName name="avulsos" localSheetId="5">#REF!</definedName>
    <definedName name="avulsos">#REF!</definedName>
    <definedName name="awdjw" localSheetId="5" hidden="1">{#N/A,#N/A,FALSE,"Plan1";#N/A,#N/A,FALSE,"Plan2"}</definedName>
    <definedName name="awdjw" hidden="1">{#N/A,#N/A,FALSE,"Plan1";#N/A,#N/A,FALSE,"Plan2"}</definedName>
    <definedName name="aweqw4" localSheetId="5" hidden="1">{#N/A,#N/A,FALSE,"Plan1";#N/A,#N/A,FALSE,"Plan2"}</definedName>
    <definedName name="aweqw4" hidden="1">{#N/A,#N/A,FALSE,"Plan1";#N/A,#N/A,FALSE,"Plan2"}</definedName>
    <definedName name="awssdwaer" localSheetId="5" hidden="1">{#N/A,#N/A,FALSE,"Plan1";#N/A,#N/A,FALSE,"Plan2"}</definedName>
    <definedName name="awssdwaer" hidden="1">{#N/A,#N/A,FALSE,"Plan1";#N/A,#N/A,FALSE,"Plan2"}</definedName>
    <definedName name="AZ" localSheetId="5" hidden="1">#REF!</definedName>
    <definedName name="AZ" hidden="1">#REF!</definedName>
    <definedName name="B" localSheetId="5">#REF!</definedName>
    <definedName name="B">#REF!</definedName>
    <definedName name="BA" localSheetId="5">#REF!</definedName>
    <definedName name="BA">#REF!</definedName>
    <definedName name="balão1">"AutoForma 17"</definedName>
    <definedName name="BANCO" localSheetId="5">#REF!</definedName>
    <definedName name="BANCO">#REF!</definedName>
    <definedName name="Banco_dados_IM" localSheetId="5">#REF!</definedName>
    <definedName name="Banco_dados_IM">#REF!</definedName>
    <definedName name="_xlnm.Database" localSheetId="5">#REF!</definedName>
    <definedName name="_xlnm.Database">#REF!</definedName>
    <definedName name="BANCO1" localSheetId="5">#REF!</definedName>
    <definedName name="BANCO1">#REF!</definedName>
    <definedName name="BANCO2" localSheetId="5">#REF!</definedName>
    <definedName name="BANCO2">#REF!</definedName>
    <definedName name="BANCO3" localSheetId="5">#REF!</definedName>
    <definedName name="BANCO3">#REF!</definedName>
    <definedName name="BANCO4" localSheetId="5">#REF!</definedName>
    <definedName name="BANCO4">#REF!</definedName>
    <definedName name="BASE" localSheetId="5">OFFSET(#REF!,0,0,COUNTA(#REF!)+1,5)</definedName>
    <definedName name="BASE">OFFSET(#REF!,0,0,COUNTA(#REF!)+1,5)</definedName>
    <definedName name="BASE_DE_DADOS_FLUXO_DE_CAIXA" localSheetId="5">OFFSET(#REF!,0,0,COUNTA(#REF!),COUNTA(#REF!))</definedName>
    <definedName name="BASE_DE_DADOS_FLUXO_DE_CAIXA">OFFSET(#REF!,0,0,COUNTA(#REF!),COUNTA(#REF!))</definedName>
    <definedName name="BASE_FL_CX_3S" localSheetId="5">OFFSET(#REF!,0,0,COUNTA(#REF!),COUNTA(#REF!))</definedName>
    <definedName name="BASE_FL_CX_3S">OFFSET(#REF!,0,0,COUNTA(#REF!),COUNTA(#REF!))</definedName>
    <definedName name="BASE_FLUXO_CAIXA_2017" localSheetId="5">OFFSET(#REF!,0,0,COUNTA(#REF!),COUNTA(#REF!))</definedName>
    <definedName name="BASE_FLUXO_CAIXA_2017">OFFSET(#REF!,0,0,COUNTA(#REF!),COUNTA(#REF!))</definedName>
    <definedName name="bb" localSheetId="5">#REF!</definedName>
    <definedName name="bb">#REF!</definedName>
    <definedName name="bbb" localSheetId="5">#REF!</definedName>
    <definedName name="bbb">#REF!</definedName>
    <definedName name="bbbbbbbbbbbbbbb" localSheetId="5" hidden="1">{"'Edit'!$A$1:$V$2277"}</definedName>
    <definedName name="bbbbbbbbbbbbbbb" hidden="1">{"'Edit'!$A$1:$V$2277"}</definedName>
    <definedName name="bchar10" localSheetId="5" hidden="1">#REF!</definedName>
    <definedName name="bchar10" hidden="1">#REF!</definedName>
    <definedName name="bchart1" localSheetId="5" hidden="1">#REF!</definedName>
    <definedName name="bchart1" hidden="1">#REF!</definedName>
    <definedName name="bchart11" localSheetId="5" hidden="1">#REF!</definedName>
    <definedName name="bchart11" hidden="1">#REF!</definedName>
    <definedName name="bchart12" localSheetId="5" hidden="1">#REF!</definedName>
    <definedName name="bchart12" hidden="1">#REF!</definedName>
    <definedName name="bchart13" localSheetId="5" hidden="1">#REF!</definedName>
    <definedName name="bchart13" hidden="1">#REF!</definedName>
    <definedName name="bchart14" localSheetId="5" hidden="1">#REF!</definedName>
    <definedName name="bchart14" hidden="1">#REF!</definedName>
    <definedName name="bchart15" localSheetId="5" hidden="1">#REF!</definedName>
    <definedName name="bchart15" hidden="1">#REF!</definedName>
    <definedName name="bchart16" localSheetId="5" hidden="1">#REF!</definedName>
    <definedName name="bchart16" hidden="1">#REF!</definedName>
    <definedName name="bchart17" localSheetId="5" hidden="1">#REF!</definedName>
    <definedName name="bchart17" hidden="1">#REF!</definedName>
    <definedName name="bchart18" localSheetId="5" hidden="1">#REF!</definedName>
    <definedName name="bchart18" hidden="1">#REF!</definedName>
    <definedName name="bchart19" localSheetId="5" hidden="1">#REF!</definedName>
    <definedName name="bchart19" hidden="1">#REF!</definedName>
    <definedName name="bchart2" localSheetId="5" hidden="1">#REF!</definedName>
    <definedName name="bchart2" hidden="1">#REF!</definedName>
    <definedName name="bchart20" localSheetId="5" hidden="1">#REF!</definedName>
    <definedName name="bchart20" hidden="1">#REF!</definedName>
    <definedName name="bchart21" localSheetId="5" hidden="1">#REF!</definedName>
    <definedName name="bchart21" hidden="1">#REF!</definedName>
    <definedName name="bchart22" localSheetId="5" hidden="1">#REF!</definedName>
    <definedName name="bchart22" hidden="1">#REF!</definedName>
    <definedName name="bchart23" localSheetId="5" hidden="1">#REF!</definedName>
    <definedName name="bchart23" hidden="1">#REF!</definedName>
    <definedName name="bchart24" localSheetId="5" hidden="1">#REF!</definedName>
    <definedName name="bchart24" hidden="1">#REF!</definedName>
    <definedName name="bchart25" localSheetId="5" hidden="1">#REF!</definedName>
    <definedName name="bchart25" hidden="1">#REF!</definedName>
    <definedName name="bchart26" localSheetId="5" hidden="1">#REF!</definedName>
    <definedName name="bchart26" hidden="1">#REF!</definedName>
    <definedName name="bchart27" localSheetId="5" hidden="1">#REF!</definedName>
    <definedName name="bchart27" hidden="1">#REF!</definedName>
    <definedName name="bchart28" localSheetId="5" hidden="1">#REF!</definedName>
    <definedName name="bchart28" hidden="1">#REF!</definedName>
    <definedName name="bchart29" localSheetId="5" hidden="1">#REF!</definedName>
    <definedName name="bchart29" hidden="1">#REF!</definedName>
    <definedName name="bchart3" localSheetId="5" hidden="1">#REF!</definedName>
    <definedName name="bchart3" hidden="1">#REF!</definedName>
    <definedName name="bchart30" localSheetId="5" hidden="1">#REF!</definedName>
    <definedName name="bchart30" hidden="1">#REF!</definedName>
    <definedName name="bchart31" localSheetId="5" hidden="1">#REF!</definedName>
    <definedName name="bchart31" hidden="1">#REF!</definedName>
    <definedName name="bchart32" localSheetId="5" hidden="1">#REF!</definedName>
    <definedName name="bchart32" hidden="1">#REF!</definedName>
    <definedName name="bchart4" localSheetId="5" hidden="1">#REF!</definedName>
    <definedName name="bchart4" hidden="1">#REF!</definedName>
    <definedName name="bchart5" localSheetId="5" hidden="1">#REF!</definedName>
    <definedName name="bchart5" hidden="1">#REF!</definedName>
    <definedName name="bchart6" localSheetId="5" hidden="1">#REF!</definedName>
    <definedName name="bchart6" hidden="1">#REF!</definedName>
    <definedName name="bchart7" localSheetId="5" hidden="1">#REF!</definedName>
    <definedName name="bchart7" hidden="1">#REF!</definedName>
    <definedName name="bchart8" localSheetId="5" hidden="1">#REF!</definedName>
    <definedName name="bchart8" hidden="1">#REF!</definedName>
    <definedName name="bchart9" localSheetId="5" hidden="1">#REF!</definedName>
    <definedName name="bchart9" hidden="1">#REF!</definedName>
    <definedName name="BD" localSheetId="5">#REF!</definedName>
    <definedName name="BD">#REF!</definedName>
    <definedName name="BDA" localSheetId="12">#REF!</definedName>
    <definedName name="BDA" localSheetId="0">#REF!</definedName>
    <definedName name="BDA">#REF!</definedName>
    <definedName name="bdfjghf" localSheetId="5" hidden="1">{#N/A,#N/A,FALSE,"Plan1";#N/A,#N/A,FALSE,"Plan2"}</definedName>
    <definedName name="bdfjghf" hidden="1">{#N/A,#N/A,FALSE,"Plan1";#N/A,#N/A,FALSE,"Plan2"}</definedName>
    <definedName name="BDI" localSheetId="12">#REF!</definedName>
    <definedName name="BDI" localSheetId="5">#REF!</definedName>
    <definedName name="BDI">#REF!</definedName>
    <definedName name="bdzbfbdr" localSheetId="5" hidden="1">{#N/A,#N/A,FALSE,"Plan1";#N/A,#N/A,FALSE,"Plan2"}</definedName>
    <definedName name="bdzbfbdr" hidden="1">{#N/A,#N/A,FALSE,"Plan1";#N/A,#N/A,FALSE,"Plan2"}</definedName>
    <definedName name="be" localSheetId="5">#REF!</definedName>
    <definedName name="be">#REF!</definedName>
    <definedName name="bebqt" localSheetId="5">#REF!</definedName>
    <definedName name="bebqt">#REF!</definedName>
    <definedName name="bela_cdi" localSheetId="5">#REF!</definedName>
    <definedName name="bela_cdi">#REF!</definedName>
    <definedName name="bela_hist" localSheetId="5">#REF!</definedName>
    <definedName name="bela_hist">#REF!</definedName>
    <definedName name="bela_uss" localSheetId="5">#REF!</definedName>
    <definedName name="bela_uss">#REF!</definedName>
    <definedName name="bg" localSheetId="5" hidden="1">#REF!</definedName>
    <definedName name="bg" hidden="1">#REF!</definedName>
    <definedName name="BGG" localSheetId="5" hidden="1">{#N/A,#N/A,FALSE,"Plan1";#N/A,#N/A,FALSE,"Plan2"}</definedName>
    <definedName name="BGG" hidden="1">{#N/A,#N/A,FALSE,"Plan1";#N/A,#N/A,FALSE,"Plan2"}</definedName>
    <definedName name="bhjgfhfh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5" hidden="1">{#N/A,#N/A,FALSE,"Plan1";#N/A,#N/A,FALSE,"Plan2"}</definedName>
    <definedName name="BJSDKHFE" hidden="1">{#N/A,#N/A,FALSE,"Plan1";#N/A,#N/A,FALSE,"Plan2"}</definedName>
    <definedName name="bloco" localSheetId="5">#REF!</definedName>
    <definedName name="bloco">#REF!</definedName>
    <definedName name="BLPH1" localSheetId="5" hidden="1">#REF!</definedName>
    <definedName name="BLPH1" hidden="1">#REF!</definedName>
    <definedName name="BLPH100" localSheetId="5" hidden="1">#REF!</definedName>
    <definedName name="BLPH100" hidden="1">#REF!</definedName>
    <definedName name="BLPH101" localSheetId="5" hidden="1">#REF!</definedName>
    <definedName name="BLPH101" hidden="1">#REF!</definedName>
    <definedName name="BLPH102" localSheetId="5" hidden="1">#REF!</definedName>
    <definedName name="BLPH102" hidden="1">#REF!</definedName>
    <definedName name="BLPH103" localSheetId="5" hidden="1">#REF!</definedName>
    <definedName name="BLPH103" hidden="1">#REF!</definedName>
    <definedName name="BLPH104" localSheetId="5" hidden="1">#REF!</definedName>
    <definedName name="BLPH104" hidden="1">#REF!</definedName>
    <definedName name="BLPH107" localSheetId="5" hidden="1">#REF!</definedName>
    <definedName name="BLPH107" hidden="1">#REF!</definedName>
    <definedName name="BLPH2" localSheetId="5" hidden="1">#REF!</definedName>
    <definedName name="BLPH2" hidden="1">#REF!</definedName>
    <definedName name="BLPH3" localSheetId="5" hidden="1">#REF!</definedName>
    <definedName name="BLPH3" hidden="1">#REF!</definedName>
    <definedName name="BLPH4" localSheetId="5" hidden="1">#REF!</definedName>
    <definedName name="BLPH4" hidden="1">#REF!</definedName>
    <definedName name="BLPH5" localSheetId="5" hidden="1">#REF!</definedName>
    <definedName name="BLPH5" hidden="1">#REF!</definedName>
    <definedName name="BLPH6" localSheetId="5" hidden="1">#REF!</definedName>
    <definedName name="BLPH6" hidden="1">#REF!</definedName>
    <definedName name="BLPH7" localSheetId="5" hidden="1">#REF!</definedName>
    <definedName name="BLPH7" hidden="1">#REF!</definedName>
    <definedName name="BLPH8" localSheetId="5" hidden="1">#REF!</definedName>
    <definedName name="BLPH8" hidden="1">#REF!</definedName>
    <definedName name="BLPH96" localSheetId="5" hidden="1">#REF!</definedName>
    <definedName name="BLPH96" hidden="1">#REF!</definedName>
    <definedName name="BLPH97" localSheetId="5" hidden="1">#REF!</definedName>
    <definedName name="BLPH97" hidden="1">#REF!</definedName>
    <definedName name="BLPH98" localSheetId="5" hidden="1">#REF!</definedName>
    <definedName name="BLPH98" hidden="1">#REF!</definedName>
    <definedName name="BLPH99" localSheetId="5" hidden="1">#REF!</definedName>
    <definedName name="BLPH99" hidden="1">#REF!</definedName>
    <definedName name="bmdgghrtfde" localSheetId="5" hidden="1">{#N/A,#N/A,FALSE,"Plan1";#N/A,#N/A,FALSE,"Plan2"}</definedName>
    <definedName name="bmdgghrtfde" hidden="1">{#N/A,#N/A,FALSE,"Plan1";#N/A,#N/A,FALSE,"Plan2"}</definedName>
    <definedName name="bnkjhjhdfxgt" localSheetId="5" hidden="1">{#N/A,#N/A,FALSE,"Plan1";#N/A,#N/A,FALSE,"Plan2"}</definedName>
    <definedName name="bnkjhjhdfxgt" hidden="1">{#N/A,#N/A,FALSE,"Plan1";#N/A,#N/A,FALSE,"Plan2"}</definedName>
    <definedName name="BORBA2" localSheetId="5">#REF!</definedName>
    <definedName name="BORBA2">#REF!</definedName>
    <definedName name="BORDA1">#N/A</definedName>
    <definedName name="BuiltIn_Print_Area" localSheetId="5">#REF!</definedName>
    <definedName name="BuiltIn_Print_Area">#REF!</definedName>
    <definedName name="BuiltIn_Print_Area___0" localSheetId="5">#REF!</definedName>
    <definedName name="BuiltIn_Print_Area___0">#REF!</definedName>
    <definedName name="BuiltIn_Print_Titles" localSheetId="5">#REF!</definedName>
    <definedName name="BuiltIn_Print_Titles">#REF!</definedName>
    <definedName name="BuiltIn_Print_Titles___0" localSheetId="5">#REF!</definedName>
    <definedName name="BuiltIn_Print_Titles___0">#REF!</definedName>
    <definedName name="BV" localSheetId="5" hidden="1">#REF!</definedName>
    <definedName name="BV" hidden="1">#REF!</definedName>
    <definedName name="bxnzfmkzxbhdf" localSheetId="5" hidden="1">{#N/A,#N/A,FALSE,"Plan1";#N/A,#N/A,FALSE,"Plan2"}</definedName>
    <definedName name="bxnzfmkzxbhdf" hidden="1">{#N/A,#N/A,FALSE,"Plan1";#N/A,#N/A,FALSE,"Plan2"}</definedName>
    <definedName name="ca" localSheetId="12">#REF!</definedName>
    <definedName name="ca" localSheetId="5">#REF!</definedName>
    <definedName name="ca">#REF!</definedName>
    <definedName name="CAB">#N/A</definedName>
    <definedName name="CAFS">"Carlos Antonio Fernandes da Silva"</definedName>
    <definedName name="CAGR" localSheetId="5">#REF!</definedName>
    <definedName name="CAGR">#REF!</definedName>
    <definedName name="caixa" localSheetId="5">#REF!</definedName>
    <definedName name="caixa">#REF!</definedName>
    <definedName name="caix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5">#REF!</definedName>
    <definedName name="Cambio">#REF!</definedName>
    <definedName name="CAMP" localSheetId="5">#REF!</definedName>
    <definedName name="CAMP">#REF!</definedName>
    <definedName name="CAMPOS" localSheetId="5">#REF!</definedName>
    <definedName name="CAMPOS">#REF!</definedName>
    <definedName name="çaos\ewapo" localSheetId="5" hidden="1">{#N/A,#N/A,FALSE,"Plan1";#N/A,#N/A,FALSE,"Plan2"}</definedName>
    <definedName name="çaos\ewapo" hidden="1">{#N/A,#N/A,FALSE,"Plan1";#N/A,#N/A,FALSE,"Plan2"}</definedName>
    <definedName name="Capa" localSheetId="12">#REF!</definedName>
    <definedName name="Capa" localSheetId="5">#REF!</definedName>
    <definedName name="Capa">#REF!</definedName>
    <definedName name="CAPA2" localSheetId="5">#REF!</definedName>
    <definedName name="CAPA2">#REF!</definedName>
    <definedName name="CAPA55" localSheetId="5">#REF!</definedName>
    <definedName name="CAPA55">#REF!</definedName>
    <definedName name="CAPA55A" localSheetId="5">#REF!</definedName>
    <definedName name="CAPA55A">#REF!</definedName>
    <definedName name="CAPELA" localSheetId="5">#REF!</definedName>
    <definedName name="CAPELA">#REF!</definedName>
    <definedName name="CARLA" localSheetId="5" hidden="1">#REF!</definedName>
    <definedName name="CARLA" hidden="1">#REF!</definedName>
    <definedName name="CARLOS1" localSheetId="5">#REF!</definedName>
    <definedName name="CARLOS1">#REF!</definedName>
    <definedName name="CARTÃO4" localSheetId="5">#REF!</definedName>
    <definedName name="CARTÃO4">#REF!</definedName>
    <definedName name="CAT6_IP" localSheetId="5" hidden="1">{#N/A,#N/A,FALSE,"F-01"}</definedName>
    <definedName name="CAT6_IP" hidden="1">{#N/A,#N/A,FALSE,"F-01"}</definedName>
    <definedName name="categori45" localSheetId="5">#REF!</definedName>
    <definedName name="categori45">#REF!</definedName>
    <definedName name="CATEGORIA1" localSheetId="5">#REF!</definedName>
    <definedName name="CATEGORIA1">#REF!</definedName>
    <definedName name="CATEGORIA10" localSheetId="5">#REF!</definedName>
    <definedName name="CATEGORIA10">#REF!</definedName>
    <definedName name="CATEGORIA11" localSheetId="5">#REF!</definedName>
    <definedName name="CATEGORIA11">#REF!</definedName>
    <definedName name="CATEGORIA12" localSheetId="5">#REF!</definedName>
    <definedName name="CATEGORIA12">#REF!</definedName>
    <definedName name="CATEGORIA13" localSheetId="5">#REF!</definedName>
    <definedName name="CATEGORIA13">#REF!</definedName>
    <definedName name="CATEGORIA14" localSheetId="5">#REF!</definedName>
    <definedName name="CATEGORIA14">#REF!</definedName>
    <definedName name="CATEGORIA15" localSheetId="5">#REF!</definedName>
    <definedName name="CATEGORIA15">#REF!</definedName>
    <definedName name="CATEGORIA16" localSheetId="5">#REF!</definedName>
    <definedName name="CATEGORIA16">#REF!</definedName>
    <definedName name="CATEGORIA17" localSheetId="5">#REF!</definedName>
    <definedName name="CATEGORIA17">#REF!</definedName>
    <definedName name="CATEGORIA18" localSheetId="5">#REF!</definedName>
    <definedName name="CATEGORIA18">#REF!</definedName>
    <definedName name="CATEGORIA19" localSheetId="5">#REF!</definedName>
    <definedName name="CATEGORIA19">#REF!</definedName>
    <definedName name="CATEGORIA2" localSheetId="5">#REF!</definedName>
    <definedName name="CATEGORIA2">#REF!</definedName>
    <definedName name="CATEGORIA20" localSheetId="5">#REF!</definedName>
    <definedName name="CATEGORIA20">#REF!</definedName>
    <definedName name="CATEGORIA21" localSheetId="5">#REF!</definedName>
    <definedName name="CATEGORIA21">#REF!</definedName>
    <definedName name="CATEGORIA22" localSheetId="5">#REF!</definedName>
    <definedName name="CATEGORIA22">#REF!</definedName>
    <definedName name="CATEGORIA3" localSheetId="5">#REF!</definedName>
    <definedName name="CATEGORIA3">#REF!</definedName>
    <definedName name="CATEGORIA4" localSheetId="5">#REF!</definedName>
    <definedName name="CATEGORIA4">#REF!</definedName>
    <definedName name="CATEGORIA5" localSheetId="5">#REF!</definedName>
    <definedName name="CATEGORIA5">#REF!</definedName>
    <definedName name="CATEGORIA6" localSheetId="5">#REF!</definedName>
    <definedName name="CATEGORIA6">#REF!</definedName>
    <definedName name="CATEGORIA7" localSheetId="5">#REF!</definedName>
    <definedName name="CATEGORIA7">#REF!</definedName>
    <definedName name="CATEGORIA8" localSheetId="5">#REF!</definedName>
    <definedName name="CATEGORIA8">#REF!</definedName>
    <definedName name="CATEGORIA9" localSheetId="5">#REF!</definedName>
    <definedName name="CATEGORIA9">#REF!</definedName>
    <definedName name="CATORZE" localSheetId="5">#REF!</definedName>
    <definedName name="CATORZE">#REF!</definedName>
    <definedName name="CAUX2" localSheetId="5">OFFSET(#REF!,0,0,COUNTA(#REF!)+1,1)</definedName>
    <definedName name="CAUX2">OFFSET(#REF!,0,0,COUNTA(#REF!)+1,1)</definedName>
    <definedName name="CAUX3" localSheetId="5">OFFSET(#REF!,0,0,COUNTA(#REF!)+1,1)</definedName>
    <definedName name="CAUX3">OFFSET(#REF!,0,0,COUNTA(#REF!)+1,1)</definedName>
    <definedName name="CCC" localSheetId="5">#REF!</definedName>
    <definedName name="CCC">#REF!</definedName>
    <definedName name="ççç" localSheetId="5" hidden="1">{#N/A,#N/A,FALSE,"Plan1";#N/A,#N/A,FALSE,"Plan2"}</definedName>
    <definedName name="ççç" hidden="1">{#N/A,#N/A,FALSE,"Plan1";#N/A,#N/A,FALSE,"Plan2"}</definedName>
    <definedName name="cccc" localSheetId="5" hidden="1">{#N/A,#N/A,FALSE,"Plan1";#N/A,#N/A,FALSE,"Plan2"}</definedName>
    <definedName name="cccc" hidden="1">{#N/A,#N/A,FALSE,"Plan1";#N/A,#N/A,FALSE,"Plan2"}</definedName>
    <definedName name="ççççççç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5" hidden="1">{"HW",#N/A,FALSE,"1998"}</definedName>
    <definedName name="cccccccccccccccc" hidden="1">{"HW",#N/A,FALSE,"1998"}</definedName>
    <definedName name="cchart1" localSheetId="5" hidden="1">#REF!</definedName>
    <definedName name="cchart1" hidden="1">#REF!</definedName>
    <definedName name="cchart10" localSheetId="5" hidden="1">#REF!</definedName>
    <definedName name="cchart10" hidden="1">#REF!</definedName>
    <definedName name="cchart11" localSheetId="5" hidden="1">#REF!</definedName>
    <definedName name="cchart11" hidden="1">#REF!</definedName>
    <definedName name="cchart12" localSheetId="5" hidden="1">#REF!</definedName>
    <definedName name="cchart12" hidden="1">#REF!</definedName>
    <definedName name="cchart13" localSheetId="5" hidden="1">#REF!</definedName>
    <definedName name="cchart13" hidden="1">#REF!</definedName>
    <definedName name="cchart14" localSheetId="5" hidden="1">#REF!</definedName>
    <definedName name="cchart14" hidden="1">#REF!</definedName>
    <definedName name="cchart15" localSheetId="5" hidden="1">#REF!</definedName>
    <definedName name="cchart15" hidden="1">#REF!</definedName>
    <definedName name="cchart16" localSheetId="5" hidden="1">#REF!</definedName>
    <definedName name="cchart16" hidden="1">#REF!</definedName>
    <definedName name="cchart17" localSheetId="5" hidden="1">#REF!</definedName>
    <definedName name="cchart17" hidden="1">#REF!</definedName>
    <definedName name="cchart18" localSheetId="5" hidden="1">#REF!</definedName>
    <definedName name="cchart18" hidden="1">#REF!</definedName>
    <definedName name="cchart19" localSheetId="5" hidden="1">#REF!</definedName>
    <definedName name="cchart19" hidden="1">#REF!</definedName>
    <definedName name="cchart2" localSheetId="5" hidden="1">#REF!</definedName>
    <definedName name="cchart2" hidden="1">#REF!</definedName>
    <definedName name="cchart20" localSheetId="5" hidden="1">#REF!</definedName>
    <definedName name="cchart20" hidden="1">#REF!</definedName>
    <definedName name="cchart21" localSheetId="5" hidden="1">#REF!</definedName>
    <definedName name="cchart21" hidden="1">#REF!</definedName>
    <definedName name="cchart22" localSheetId="5" hidden="1">#REF!</definedName>
    <definedName name="cchart22" hidden="1">#REF!</definedName>
    <definedName name="cchart23" localSheetId="5" hidden="1">#REF!</definedName>
    <definedName name="cchart23" hidden="1">#REF!</definedName>
    <definedName name="cchart24" localSheetId="5" hidden="1">#REF!</definedName>
    <definedName name="cchart24" hidden="1">#REF!</definedName>
    <definedName name="cchart25" localSheetId="5" hidden="1">#REF!</definedName>
    <definedName name="cchart25" hidden="1">#REF!</definedName>
    <definedName name="cchart26" localSheetId="5" hidden="1">#REF!</definedName>
    <definedName name="cchart26" hidden="1">#REF!</definedName>
    <definedName name="cchart27" localSheetId="5" hidden="1">#REF!</definedName>
    <definedName name="cchart27" hidden="1">#REF!</definedName>
    <definedName name="cchart28" localSheetId="5" hidden="1">#REF!</definedName>
    <definedName name="cchart28" hidden="1">#REF!</definedName>
    <definedName name="cchart29" localSheetId="5" hidden="1">#REF!</definedName>
    <definedName name="cchart29" hidden="1">#REF!</definedName>
    <definedName name="cchart3" localSheetId="5" hidden="1">#REF!</definedName>
    <definedName name="cchart3" hidden="1">#REF!</definedName>
    <definedName name="cchart31" localSheetId="5" hidden="1">#REF!</definedName>
    <definedName name="cchart31" hidden="1">#REF!</definedName>
    <definedName name="cchart32" localSheetId="5" hidden="1">#REF!</definedName>
    <definedName name="cchart32" hidden="1">#REF!</definedName>
    <definedName name="cchart4" localSheetId="5" hidden="1">#REF!</definedName>
    <definedName name="cchart4" hidden="1">#REF!</definedName>
    <definedName name="cchart5" localSheetId="5" hidden="1">#REF!</definedName>
    <definedName name="cchart5" hidden="1">#REF!</definedName>
    <definedName name="cchart6" localSheetId="5" hidden="1">#REF!</definedName>
    <definedName name="cchart6" hidden="1">#REF!</definedName>
    <definedName name="cchart7" localSheetId="5" hidden="1">#REF!</definedName>
    <definedName name="cchart7" hidden="1">#REF!</definedName>
    <definedName name="cchart8" localSheetId="5" hidden="1">#REF!</definedName>
    <definedName name="cchart8" hidden="1">#REF!</definedName>
    <definedName name="cchart9" localSheetId="5" hidden="1">#REF!</definedName>
    <definedName name="cchart9" hidden="1">#REF!</definedName>
    <definedName name="çcklfj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5">#REF!</definedName>
    <definedName name="CD">#REF!</definedName>
    <definedName name="çdfmerf" localSheetId="5" hidden="1">{#N/A,#N/A,FALSE,"Plan1";#N/A,#N/A,FALSE,"Plan2"}</definedName>
    <definedName name="çdfmerf" hidden="1">{#N/A,#N/A,FALSE,"Plan1";#N/A,#N/A,FALSE,"Plan2"}</definedName>
    <definedName name="CDSGHE" localSheetId="5" hidden="1">{#N/A,#N/A,FALSE,"Plan1";#N/A,#N/A,FALSE,"Plan2"}</definedName>
    <definedName name="CDSGHE" hidden="1">{#N/A,#N/A,FALSE,"Plan1";#N/A,#N/A,FALSE,"Plan2"}</definedName>
    <definedName name="cdvthd" localSheetId="5">#REF!</definedName>
    <definedName name="cdvthd">#REF!</definedName>
    <definedName name="Cel_Constr" localSheetId="5">#REF!</definedName>
    <definedName name="Cel_Constr">#REF!</definedName>
    <definedName name="CestaExcel" localSheetId="5">#REF!</definedName>
    <definedName name="CestaExcel">#REF!</definedName>
    <definedName name="CevaG" localSheetId="5">#REF!</definedName>
    <definedName name="CevaG">#REF!</definedName>
    <definedName name="CevaGS" localSheetId="5">#REF!</definedName>
    <definedName name="CevaGS">#REF!</definedName>
    <definedName name="çfhjglkjhkljy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5" hidden="1">{#N/A,#N/A,FALSE,"Plan1";#N/A,#N/A,FALSE,"Plan2"}</definedName>
    <definedName name="çflçf" hidden="1">{#N/A,#N/A,FALSE,"Plan1";#N/A,#N/A,FALSE,"Plan2"}</definedName>
    <definedName name="CHAFQT" localSheetId="5">#REF!</definedName>
    <definedName name="CHAFQT">#REF!</definedName>
    <definedName name="Chaves" localSheetId="5">#REF!</definedName>
    <definedName name="Chaves">#REF!</definedName>
    <definedName name="chfch" localSheetId="5" hidden="1">{#N/A,#N/A,FALSE,"Plan1";#N/A,#N/A,FALSE,"Plan2"}</definedName>
    <definedName name="chfch" hidden="1">{#N/A,#N/A,FALSE,"Plan1";#N/A,#N/A,FALSE,"Plan2"}</definedName>
    <definedName name="CI" localSheetId="5">#REF!</definedName>
    <definedName name="CI">#REF!</definedName>
    <definedName name="cidades" localSheetId="5">#REF!</definedName>
    <definedName name="cidades">#REF!</definedName>
    <definedName name="CIFIXA" localSheetId="5">#REF!</definedName>
    <definedName name="CIFIXA">#REF!</definedName>
    <definedName name="CINCO" localSheetId="5">#REF!</definedName>
    <definedName name="CINCO">#REF!</definedName>
    <definedName name="CITOTAL" localSheetId="5">#REF!</definedName>
    <definedName name="CITOTAL">#REF!</definedName>
    <definedName name="CIVAR" localSheetId="5">#REF!</definedName>
    <definedName name="CIVAR">#REF!</definedName>
    <definedName name="ÇJKRÇLFS" localSheetId="5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5" hidden="1">{#N/A,#N/A,FALSE,"Plan1";#N/A,#N/A,FALSE,"Plan2"}</definedName>
    <definedName name="ÇJsrejtçe" hidden="1">{#N/A,#N/A,FALSE,"Plan1";#N/A,#N/A,FALSE,"Plan2"}</definedName>
    <definedName name="çkaçekow" localSheetId="5" hidden="1">{#N/A,#N/A,FALSE,"Plan1";#N/A,#N/A,FALSE,"Plan2"}</definedName>
    <definedName name="çkaçekow" hidden="1">{#N/A,#N/A,FALSE,"Plan1";#N/A,#N/A,FALSE,"Plan2"}</definedName>
    <definedName name="ÇKSDOEKR" localSheetId="5" hidden="1">{#N/A,#N/A,FALSE,"Plan1";#N/A,#N/A,FALSE,"Plan2"}</definedName>
    <definedName name="ÇKSDOEKR" hidden="1">{#N/A,#N/A,FALSE,"Plan1";#N/A,#N/A,FALSE,"Plan2"}</definedName>
    <definedName name="çl" localSheetId="5" hidden="1">{#N/A,#N/A,FALSE,"Plan1";#N/A,#N/A,FALSE,"Plan2"}</definedName>
    <definedName name="çl" hidden="1">{#N/A,#N/A,FALSE,"Plan1";#N/A,#N/A,FALSE,"Plan2"}</definedName>
    <definedName name="çlassde" localSheetId="5" hidden="1">{#N/A,#N/A,FALSE,"Plan1";#N/A,#N/A,FALSE,"Plan2"}</definedName>
    <definedName name="çlassde" hidden="1">{#N/A,#N/A,FALSE,"Plan1";#N/A,#N/A,FALSE,"Plan2"}</definedName>
    <definedName name="Classificação" localSheetId="5">#REF!</definedName>
    <definedName name="Classificação">#REF!</definedName>
    <definedName name="çlçlç" localSheetId="5" hidden="1">{#N/A,#N/A,FALSE,"Plan1";#N/A,#N/A,FALSE,"Plan2"}</definedName>
    <definedName name="çlçlç" hidden="1">{#N/A,#N/A,FALSE,"Plan1";#N/A,#N/A,FALSE,"Plan2"}</definedName>
    <definedName name="çld" localSheetId="5" hidden="1">{#N/A,#N/A,FALSE,"Plan1";#N/A,#N/A,FALSE,"Plan2"}</definedName>
    <definedName name="çld" hidden="1">{#N/A,#N/A,FALSE,"Plan1";#N/A,#N/A,FALSE,"Plan2"}</definedName>
    <definedName name="çlererr" localSheetId="5" hidden="1">{#N/A,#N/A,FALSE,"Plan1";#N/A,#N/A,FALSE,"Plan2"}</definedName>
    <definedName name="çlererr" hidden="1">{#N/A,#N/A,FALSE,"Plan1";#N/A,#N/A,FALSE,"Plan2"}</definedName>
    <definedName name="çlertert" localSheetId="5" hidden="1">{#N/A,#N/A,FALSE,"Plan1";#N/A,#N/A,FALSE,"Plan2"}</definedName>
    <definedName name="çlertert" hidden="1">{#N/A,#N/A,FALSE,"Plan1";#N/A,#N/A,FALSE,"Plan2"}</definedName>
    <definedName name="çlkdflçkrlr" localSheetId="5" hidden="1">#REF!</definedName>
    <definedName name="çlkdflçkrlr" hidden="1">#REF!</definedName>
    <definedName name="çll" localSheetId="5" hidden="1">{#N/A,#N/A,FALSE,"Plan1";#N/A,#N/A,FALSE,"Plan2"}</definedName>
    <definedName name="çll" hidden="1">{#N/A,#N/A,FALSE,"Plan1";#N/A,#N/A,FALSE,"Plan2"}</definedName>
    <definedName name="CM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5">#REF!</definedName>
    <definedName name="COBRANÇA">#REF!</definedName>
    <definedName name="Cod_Esquadrias" localSheetId="5">#REF!</definedName>
    <definedName name="Cod_Esquadrias">#REF!</definedName>
    <definedName name="CÓDG" localSheetId="5">OFFSET(#REF!,0,0,COUNTA(#REF!),1)</definedName>
    <definedName name="CÓDG">OFFSET(#REF!,0,0,COUNTA(#REF!),1)</definedName>
    <definedName name="codigo2" localSheetId="5">#REF!</definedName>
    <definedName name="codigo2">#REF!</definedName>
    <definedName name="codigo3" localSheetId="5">#REF!</definedName>
    <definedName name="codigo3">#REF!</definedName>
    <definedName name="CÓDT" localSheetId="5">OFFSET(#REF!,0,0,COUNTA(#REF!)+1,1)</definedName>
    <definedName name="CÓDT">OFFSET(#REF!,0,0,COUNTA(#REF!)+1,1)</definedName>
    <definedName name="COFINS" localSheetId="5">#REF!</definedName>
    <definedName name="COFINS">#REF!</definedName>
    <definedName name="cofins2" localSheetId="5">#REF!</definedName>
    <definedName name="cofins2">#REF!</definedName>
    <definedName name="COGS" localSheetId="5">#REF!</definedName>
    <definedName name="COGS">#REF!</definedName>
    <definedName name="COLSUB" localSheetId="5">#REF!</definedName>
    <definedName name="COLSUB">#REF!</definedName>
    <definedName name="COMISSOES" localSheetId="5">#REF!</definedName>
    <definedName name="COMISSOES">#REF!</definedName>
    <definedName name="COMPOSICAO" localSheetId="5">#REF!</definedName>
    <definedName name="COMPOSICAO">#REF!</definedName>
    <definedName name="composição" localSheetId="5">#REF!</definedName>
    <definedName name="composição">#REF!</definedName>
    <definedName name="COMPR" localSheetId="5">#REF!</definedName>
    <definedName name="COMPR">#REF!</definedName>
    <definedName name="COMPRIMENTO" localSheetId="5">#REF!</definedName>
    <definedName name="COMPRIMENTO">#REF!</definedName>
    <definedName name="COMPROMETIDO" localSheetId="5">#REF!</definedName>
    <definedName name="COMPROMETIDO">#REF!</definedName>
    <definedName name="CONFIRMAR" localSheetId="5" hidden="1">{#N/A,#N/A,TRUE,"Quinzena 01 à 15-04-98 "}</definedName>
    <definedName name="CONFIRMAR" hidden="1">{#N/A,#N/A,TRUE,"Quinzena 01 à 15-04-98 "}</definedName>
    <definedName name="cont" localSheetId="5" hidden="1">{#N/A,#N/A,FALSE,"Plan1";#N/A,#N/A,FALSE,"Plan2"}</definedName>
    <definedName name="cont" hidden="1">{#N/A,#N/A,FALSE,"Plan1";#N/A,#N/A,FALSE,"Plan2"}</definedName>
    <definedName name="CONT1" localSheetId="5">#REF!</definedName>
    <definedName name="CONT1">#REF!</definedName>
    <definedName name="CONT2" localSheetId="5">#REF!</definedName>
    <definedName name="CONT2">#REF!</definedName>
    <definedName name="CONT3" localSheetId="5">#REF!</definedName>
    <definedName name="CONT3">#REF!</definedName>
    <definedName name="CONTAIT" localSheetId="5">#REF!</definedName>
    <definedName name="CONTAIT">#REF!</definedName>
    <definedName name="CONTREC" localSheetId="5">#REF!</definedName>
    <definedName name="CONTREC">#REF!</definedName>
    <definedName name="CONTRES" localSheetId="5">#REF!</definedName>
    <definedName name="CONTRES">#REF!</definedName>
    <definedName name="CONTROLE" localSheetId="5">#REF!</definedName>
    <definedName name="CONTROLE">#REF!</definedName>
    <definedName name="CONVERSÃO" localSheetId="5">#REF!</definedName>
    <definedName name="CONVERSÃO">#REF!</definedName>
    <definedName name="cpmf" localSheetId="5">#REF!</definedName>
    <definedName name="cpmf">#REF!</definedName>
    <definedName name="Credor_Rel_Sienge" localSheetId="5">#REF!</definedName>
    <definedName name="Credor_Rel_Sienge">#REF!</definedName>
    <definedName name="_xlnm.Criteria" localSheetId="5">#REF!</definedName>
    <definedName name="_xlnm.Criteria">#REF!</definedName>
    <definedName name="CRONG" localSheetId="5">#REF!</definedName>
    <definedName name="CRONG">#REF!</definedName>
    <definedName name="cronograma" localSheetId="12">#REF!</definedName>
    <definedName name="cronograma">#REF!</definedName>
    <definedName name="CRONOGRAMA_FÍSICO_FINANCEIRO" localSheetId="5">#REF!</definedName>
    <definedName name="CRONOGRAMA_FÍSICO_FINANCEIRO">#REF!</definedName>
    <definedName name="CS" localSheetId="5">#REF!</definedName>
    <definedName name="CS">#REF!</definedName>
    <definedName name="cs_diferida" localSheetId="5">#REF!</definedName>
    <definedName name="cs_diferida">#REF!</definedName>
    <definedName name="ÇSAÇDFW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5" hidden="1">#REF!</definedName>
    <definedName name="çsdkfçdrkt" hidden="1">#REF!</definedName>
    <definedName name="CS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5" hidden="1">{#N/A,#N/A,FALSE,"Plan1";#N/A,#N/A,FALSE,"Plan2"}</definedName>
    <definedName name="ÇSLÇDLFKD" hidden="1">{#N/A,#N/A,FALSE,"Plan1";#N/A,#N/A,FALSE,"Plan2"}</definedName>
    <definedName name="CT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5">#REF!</definedName>
    <definedName name="CUST_DIR_IND">#REF!</definedName>
    <definedName name="CUSTINDIRETO" localSheetId="5">#REF!</definedName>
    <definedName name="CUSTINDIRETO">#REF!</definedName>
    <definedName name="CUSTO_DIR_IND" localSheetId="5">#REF!</definedName>
    <definedName name="CUSTO_DIR_IND">#REF!</definedName>
    <definedName name="Custo_Direto_de_Obras_Civis_e_Instalações_..........................................." localSheetId="5">#REF!</definedName>
    <definedName name="Custo_Direto_de_Obras_Civis_e_Instalações_...........................................">#REF!</definedName>
    <definedName name="Custo_Direto_em_geral" localSheetId="5">#REF!</definedName>
    <definedName name="Custo_Direto_em_geral">#REF!</definedName>
    <definedName name="custo_financing" localSheetId="5">#REF!</definedName>
    <definedName name="custo_financing">#REF!</definedName>
    <definedName name="CUSTO_OUTROS" localSheetId="5">#REF!</definedName>
    <definedName name="CUSTO_OUTROS">#REF!</definedName>
    <definedName name="Custo_Outros1" localSheetId="5">#REF!</definedName>
    <definedName name="Custo_Outros1">#REF!</definedName>
    <definedName name="CUSTODIRETO" localSheetId="5">#REF!</definedName>
    <definedName name="CUSTODIRETO">#REF!</definedName>
    <definedName name="CUSTODIRETO_R" localSheetId="5">#REF!</definedName>
    <definedName name="CUSTODIRETO_R">#REF!</definedName>
    <definedName name="CUSTODIRETO_U" localSheetId="5">#REF!</definedName>
    <definedName name="CUSTODIRETO_U">#REF!</definedName>
    <definedName name="CUSTODIRETO1" localSheetId="5">#REF!</definedName>
    <definedName name="CUSTODIRETO1">#REF!</definedName>
    <definedName name="CUSTOFIN" localSheetId="5">#REF!</definedName>
    <definedName name="CUSTOFIN">#REF!</definedName>
    <definedName name="D" localSheetId="12">#REF!</definedName>
    <definedName name="D">#REF!</definedName>
    <definedName name="da" localSheetId="5">#REF!</definedName>
    <definedName name="da">#REF!</definedName>
    <definedName name="dalm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5" hidden="1">{#N/A,#N/A,FALSE,"Plan1";#N/A,#N/A,FALSE,"Plan2"}</definedName>
    <definedName name="dasfrt" hidden="1">{#N/A,#N/A,FALSE,"Plan1";#N/A,#N/A,FALSE,"Plan2"}</definedName>
    <definedName name="DATA" localSheetId="5">#REF!</definedName>
    <definedName name="DATA">#REF!</definedName>
    <definedName name="Data_base" localSheetId="5">#REF!</definedName>
    <definedName name="Data_base">#REF!</definedName>
    <definedName name="data_base_VL" localSheetId="5">#REF!</definedName>
    <definedName name="data_base_VL">#REF!</definedName>
    <definedName name="DATA_COTAÇÃO" localSheetId="5">#REF!</definedName>
    <definedName name="DATA_COTAÇÃO">#REF!</definedName>
    <definedName name="DATA_ENTREGA" localSheetId="5">#REF!</definedName>
    <definedName name="DATA_ENTREGA">#REF!</definedName>
    <definedName name="DATA_FECHA" localSheetId="5">#REF!</definedName>
    <definedName name="DATA_FECHA">#REF!</definedName>
    <definedName name="Data_Inicio" localSheetId="5">#REF!</definedName>
    <definedName name="Data_Inicio">#REF!</definedName>
    <definedName name="Data_Lançado_Sienge" localSheetId="5">#REF!</definedName>
    <definedName name="Data_Lançado_Sienge">#REF!</definedName>
    <definedName name="Data_Pagamento_Sienge" localSheetId="5">#REF!</definedName>
    <definedName name="Data_Pagamento_Sienge">#REF!</definedName>
    <definedName name="Data_Previsão_Medição_Fin_Medição" localSheetId="5">#REF!</definedName>
    <definedName name="Data_Previsão_Medição_Fin_Medição">#REF!</definedName>
    <definedName name="Data_Tendência_Recebimento_Fin_Medições" localSheetId="5">#REF!</definedName>
    <definedName name="Data_Tendência_Recebimento_Fin_Medições">#REF!</definedName>
    <definedName name="DATA1" localSheetId="5">#REF!</definedName>
    <definedName name="DATA1">#REF!</definedName>
    <definedName name="DATA3" localSheetId="5">#REF!</definedName>
    <definedName name="DATA3">#REF!</definedName>
    <definedName name="DATA4" localSheetId="5">#REF!</definedName>
    <definedName name="DATA4">#REF!</definedName>
    <definedName name="DATA6" localSheetId="5">#REF!</definedName>
    <definedName name="DATA6">#REF!</definedName>
    <definedName name="DataChaves_MAP" localSheetId="5">#REF!</definedName>
    <definedName name="DataChaves_MAP">#REF!</definedName>
    <definedName name="DatasOut13AteDez20" localSheetId="5">#REF!</definedName>
    <definedName name="DatasOut13AteDez20">#REF!</definedName>
    <definedName name="DÇDL" localSheetId="5" hidden="1">{#N/A,#N/A,FALSE,"Plan1";#N/A,#N/A,FALSE,"Plan2"}</definedName>
    <definedName name="DÇDL" hidden="1">{#N/A,#N/A,FALSE,"Plan1";#N/A,#N/A,FALSE,"Plan2"}</definedName>
    <definedName name="dchart26" localSheetId="5" hidden="1">#REF!</definedName>
    <definedName name="dchart26" hidden="1">#REF!</definedName>
    <definedName name="dchart31" localSheetId="5" hidden="1">#REF!</definedName>
    <definedName name="dchart31" hidden="1">#REF!</definedName>
    <definedName name="dcnsfgdjkgb" localSheetId="5" hidden="1">{#N/A,#N/A,FALSE,"Plan1";#N/A,#N/A,FALSE,"Plan2"}</definedName>
    <definedName name="dcnsfgdjkgb" hidden="1">{#N/A,#N/A,FALSE,"Plan1";#N/A,#N/A,FALSE,"Plan2"}</definedName>
    <definedName name="DÇWK" localSheetId="5" hidden="1">{#N/A,#N/A,FALSE,"Plan1";#N/A,#N/A,FALSE,"Plan2"}</definedName>
    <definedName name="DÇWK" hidden="1">{#N/A,#N/A,FALSE,"Plan1";#N/A,#N/A,FALSE,"Plan2"}</definedName>
    <definedName name="DD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5">#REF!</definedName>
    <definedName name="DDD">#REF!</definedName>
    <definedName name="ddddd" localSheetId="5" hidden="1">{#N/A,#N/A,FALSE,"Plan1";#N/A,#N/A,FALSE,"Plan2"}</definedName>
    <definedName name="ddddd" hidden="1">{#N/A,#N/A,FALSE,"Plan1";#N/A,#N/A,FALSE,"Plan2"}</definedName>
    <definedName name="ddddddddddd" localSheetId="5">#REF!</definedName>
    <definedName name="ddddddddddd">#REF!</definedName>
    <definedName name="dddddddddddddddddddddddddd" localSheetId="5">#REF!</definedName>
    <definedName name="dddddddddddddddddddddddddd">#REF!</definedName>
    <definedName name="dddddddddddddppppppppp" localSheetId="5">#REF!</definedName>
    <definedName name="dddddddddddddppppppppp">#REF!</definedName>
    <definedName name="dde" localSheetId="5" hidden="1">{#N/A,#N/A,FALSE,"Plan1";#N/A,#N/A,FALSE,"Plan2"}</definedName>
    <definedName name="dde" hidden="1">{#N/A,#N/A,FALSE,"Plan1";#N/A,#N/A,FALSE,"Plan2"}</definedName>
    <definedName name="ddfs" localSheetId="5" hidden="1">#REF!</definedName>
    <definedName name="ddfs" hidden="1">#REF!</definedName>
    <definedName name="ddgfdvgd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5" hidden="1">{#N/A,#N/A,FALSE,"Plan1";#N/A,#N/A,FALSE,"Plan2"}</definedName>
    <definedName name="DDGSFG" hidden="1">{#N/A,#N/A,FALSE,"Plan1";#N/A,#N/A,FALSE,"Plan2"}</definedName>
    <definedName name="dede" localSheetId="5" hidden="1">{#N/A,#N/A,FALSE,"Plan1";#N/A,#N/A,FALSE,"Plan2"}</definedName>
    <definedName name="dede" hidden="1">{#N/A,#N/A,FALSE,"Plan1";#N/A,#N/A,FALSE,"Plan2"}</definedName>
    <definedName name="defasagem" localSheetId="5">OFFSET(INDEX(#REF!,MATCH(#REF!,#REF!,0)),1,0,COUNTA(#REF!)-1)</definedName>
    <definedName name="defasagem">OFFSET(INDEX(#REF!,MATCH(#REF!,#REF!,0)),1,0,COUNTA(#REF!)-1)</definedName>
    <definedName name="depara" localSheetId="5">#REF!</definedName>
    <definedName name="depara">#REF!</definedName>
    <definedName name="DERIVQT" localSheetId="5">#REF!</definedName>
    <definedName name="DERIVQT">#REF!</definedName>
    <definedName name="des" localSheetId="5" hidden="1">{#N/A,#N/A,FALSE,"Plan1";#N/A,#N/A,FALSE,"Plan2"}</definedName>
    <definedName name="des" hidden="1">{#N/A,#N/A,FALSE,"Plan1";#N/A,#N/A,FALSE,"Plan2"}</definedName>
    <definedName name="desc" localSheetId="5" hidden="1">{#N/A,#N/A,FALSE,"Plan1";#N/A,#N/A,FALSE,"Plan2"}</definedName>
    <definedName name="desc" hidden="1">{#N/A,#N/A,FALSE,"Plan1";#N/A,#N/A,FALSE,"Plan2"}</definedName>
    <definedName name="DESCONTO" localSheetId="5">#REF!</definedName>
    <definedName name="DESCONTO">#REF!</definedName>
    <definedName name="DESCRIÇÃO_OBRA" localSheetId="5">#REF!</definedName>
    <definedName name="DESCRIÇÃO_OBRA">#REF!</definedName>
    <definedName name="DespFatur" localSheetId="5">#REF!</definedName>
    <definedName name="DespFatur">#REF!</definedName>
    <definedName name="DEZ" localSheetId="5">#REF!</definedName>
    <definedName name="DEZ">#REF!</definedName>
    <definedName name="dez17RJ" localSheetId="5">#REF!</definedName>
    <definedName name="dez17RJ">#REF!</definedName>
    <definedName name="DEZEMBRO" localSheetId="5">#REF!</definedName>
    <definedName name="DEZEMBRO">#REF!</definedName>
    <definedName name="DEZENOVE" localSheetId="5">#REF!</definedName>
    <definedName name="DEZENOVE">#REF!</definedName>
    <definedName name="DEZESSEIS" localSheetId="5">#REF!</definedName>
    <definedName name="DEZESSEIS">#REF!</definedName>
    <definedName name="DEZESSETE" localSheetId="5">#REF!</definedName>
    <definedName name="DEZESSETE">#REF!</definedName>
    <definedName name="DEZOITO" localSheetId="5">#REF!</definedName>
    <definedName name="DEZOITO">#REF!</definedName>
    <definedName name="d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5" hidden="1">{#N/A,#N/A,FALSE,"명세표"}</definedName>
    <definedName name="DFD" hidden="1">{#N/A,#N/A,FALSE,"명세표"}</definedName>
    <definedName name="dfdfty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5" hidden="1">{#N/A,#N/A,FALSE,"Plan1";#N/A,#N/A,FALSE,"Plan2"}</definedName>
    <definedName name="dfdjgfdfgdf" hidden="1">{#N/A,#N/A,FALSE,"Plan1";#N/A,#N/A,FALSE,"Plan2"}</definedName>
    <definedName name="dfdrtrr" localSheetId="5" hidden="1">{#N/A,#N/A,FALSE,"Plan1";#N/A,#N/A,FALSE,"Plan2"}</definedName>
    <definedName name="dfdrtrr" hidden="1">{#N/A,#N/A,FALSE,"Plan1";#N/A,#N/A,FALSE,"Plan2"}</definedName>
    <definedName name="DFDSG" localSheetId="5" hidden="1">{#N/A,#N/A,FALSE,"Plan1";#N/A,#N/A,FALSE,"Plan2"}</definedName>
    <definedName name="DFDSG" hidden="1">{#N/A,#N/A,FALSE,"Plan1";#N/A,#N/A,FALSE,"Plan2"}</definedName>
    <definedName name="dfer" localSheetId="5" hidden="1">{#N/A,#N/A,FALSE,"Plan1";#N/A,#N/A,FALSE,"Plan2"}</definedName>
    <definedName name="dfer" hidden="1">{#N/A,#N/A,FALSE,"Plan1";#N/A,#N/A,FALSE,"Plan2"}</definedName>
    <definedName name="dffbty" localSheetId="5" hidden="1">{#N/A,#N/A,FALSE,"Plan1";#N/A,#N/A,FALSE,"Plan2"}</definedName>
    <definedName name="dffbty" hidden="1">{#N/A,#N/A,FALSE,"Plan1";#N/A,#N/A,FALSE,"Plan2"}</definedName>
    <definedName name="dffg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5" hidden="1">{#N/A,#N/A,FALSE,"Plan1";#N/A,#N/A,FALSE,"Plan2"}</definedName>
    <definedName name="dffhg" hidden="1">{#N/A,#N/A,FALSE,"Plan1";#N/A,#N/A,FALSE,"Plan2"}</definedName>
    <definedName name="dfg" localSheetId="5" hidden="1">{#N/A,#N/A,FALSE,"Plan1";#N/A,#N/A,FALSE,"Plan2"}</definedName>
    <definedName name="dfg" hidden="1">{#N/A,#N/A,FALSE,"Plan1";#N/A,#N/A,FALSE,"Plan2"}</definedName>
    <definedName name="dfgdf" localSheetId="5" hidden="1">{#N/A,#N/A,FALSE,"Plan1";#N/A,#N/A,FALSE,"Plan2"}</definedName>
    <definedName name="dfgdf" hidden="1">{#N/A,#N/A,FALSE,"Plan1";#N/A,#N/A,FALSE,"Plan2"}</definedName>
    <definedName name="dfgdytygr" localSheetId="5" hidden="1">{#N/A,#N/A,FALSE,"Plan1";#N/A,#N/A,FALSE,"Plan2"}</definedName>
    <definedName name="dfgdytygr" hidden="1">{#N/A,#N/A,FALSE,"Plan1";#N/A,#N/A,FALSE,"Plan2"}</definedName>
    <definedName name="dfgftrrdt5" localSheetId="5" hidden="1">{#N/A,#N/A,FALSE,"Plan1";#N/A,#N/A,FALSE,"Plan2"}</definedName>
    <definedName name="dfgftrrdt5" hidden="1">{#N/A,#N/A,FALSE,"Plan1";#N/A,#N/A,FALSE,"Plan2"}</definedName>
    <definedName name="dfgh" localSheetId="5">#REF!</definedName>
    <definedName name="dfgh">#REF!</definedName>
    <definedName name="dfghjfhsg" localSheetId="5" hidden="1">{#N/A,#N/A,FALSE,"Plan1";#N/A,#N/A,FALSE,"Plan2"}</definedName>
    <definedName name="dfghjfhsg" hidden="1">{#N/A,#N/A,FALSE,"Plan1";#N/A,#N/A,FALSE,"Plan2"}</definedName>
    <definedName name="dfgj" localSheetId="5" hidden="1">{#N/A,#N/A,FALSE,"Plan1";#N/A,#N/A,FALSE,"Plan2"}</definedName>
    <definedName name="dfgj" hidden="1">{#N/A,#N/A,FALSE,"Plan1";#N/A,#N/A,FALSE,"Plan2"}</definedName>
    <definedName name="dfgjfttyd" localSheetId="5" hidden="1">{#N/A,#N/A,FALSE,"Plan1";#N/A,#N/A,FALSE,"Plan2"}</definedName>
    <definedName name="dfgjfttyd" hidden="1">{#N/A,#N/A,FALSE,"Plan1";#N/A,#N/A,FALSE,"Plan2"}</definedName>
    <definedName name="dfgjjtdrtg" localSheetId="5" hidden="1">{#N/A,#N/A,FALSE,"Plan1";#N/A,#N/A,FALSE,"Plan2"}</definedName>
    <definedName name="dfgjjtdrtg" hidden="1">{#N/A,#N/A,FALSE,"Plan1";#N/A,#N/A,FALSE,"Plan2"}</definedName>
    <definedName name="dfgt" localSheetId="5" hidden="1">{#N/A,#N/A,FALSE,"Plan1";#N/A,#N/A,FALSE,"Plan2"}</definedName>
    <definedName name="dfgt" hidden="1">{#N/A,#N/A,FALSE,"Plan1";#N/A,#N/A,FALSE,"Plan2"}</definedName>
    <definedName name="dfgtrkjhk" localSheetId="5" hidden="1">{#N/A,#N/A,FALSE,"Plan1";#N/A,#N/A,FALSE,"Plan2"}</definedName>
    <definedName name="dfgtrkjhk" hidden="1">{#N/A,#N/A,FALSE,"Plan1";#N/A,#N/A,FALSE,"Plan2"}</definedName>
    <definedName name="dfgty" localSheetId="5" hidden="1">{#N/A,#N/A,FALSE,"Plan1";#N/A,#N/A,FALSE,"Plan2"}</definedName>
    <definedName name="dfgty" hidden="1">{#N/A,#N/A,FALSE,"Plan1";#N/A,#N/A,FALSE,"Plan2"}</definedName>
    <definedName name="dfhdgfdgf" localSheetId="5" hidden="1">{#N/A,#N/A,FALSE,"Plan1";#N/A,#N/A,FALSE,"Plan2"}</definedName>
    <definedName name="dfhdgfdgf" hidden="1">{#N/A,#N/A,FALSE,"Plan1";#N/A,#N/A,FALSE,"Plan2"}</definedName>
    <definedName name="DFHDJGJFHJGF" localSheetId="5" hidden="1">{#N/A,#N/A,FALSE,"Plan1";#N/A,#N/A,FALSE,"Plan2"}</definedName>
    <definedName name="DFHDJGJFHJGF" hidden="1">{#N/A,#N/A,FALSE,"Plan1";#N/A,#N/A,FALSE,"Plan2"}</definedName>
    <definedName name="dfhdyg" localSheetId="5" hidden="1">{#N/A,#N/A,FALSE,"Plan1";#N/A,#N/A,FALSE,"Plan2"}</definedName>
    <definedName name="dfhdyg" hidden="1">{#N/A,#N/A,FALSE,"Plan1";#N/A,#N/A,FALSE,"Plan2"}</definedName>
    <definedName name="DFHGDHUR" localSheetId="5" hidden="1">{#N/A,#N/A,FALSE,"Plan1";#N/A,#N/A,FALSE,"Plan2"}</definedName>
    <definedName name="DFHGDHUR" hidden="1">{#N/A,#N/A,FALSE,"Plan1";#N/A,#N/A,FALSE,"Plan2"}</definedName>
    <definedName name="dfhgjfgdhfjdrf" localSheetId="5" hidden="1">{#N/A,#N/A,FALSE,"Plan1";#N/A,#N/A,FALSE,"Plan2"}</definedName>
    <definedName name="dfhgjfgdhfjdrf" hidden="1">{#N/A,#N/A,FALSE,"Plan1";#N/A,#N/A,FALSE,"Plan2"}</definedName>
    <definedName name="dfhgkhfut" localSheetId="5" hidden="1">{#N/A,#N/A,FALSE,"Plan1";#N/A,#N/A,FALSE,"Plan2"}</definedName>
    <definedName name="dfhgkhfut" hidden="1">{#N/A,#N/A,FALSE,"Plan1";#N/A,#N/A,FALSE,"Plan2"}</definedName>
    <definedName name="dfhgkjdhkjghjd" localSheetId="5" hidden="1">#REF!</definedName>
    <definedName name="dfhgkjdhkjghjd" hidden="1">#REF!</definedName>
    <definedName name="dfhguitrhfg" localSheetId="5" hidden="1">{#N/A,#N/A,FALSE,"Plan1";#N/A,#N/A,FALSE,"Plan2"}</definedName>
    <definedName name="dfhguitrhfg" hidden="1">{#N/A,#N/A,FALSE,"Plan1";#N/A,#N/A,FALSE,"Plan2"}</definedName>
    <definedName name="DFHKHDGKJHDKS" localSheetId="5" hidden="1">{#N/A,#N/A,FALSE,"Plan1";#N/A,#N/A,FALSE,"Plan2"}</definedName>
    <definedName name="DFHKHDGKJHDKS" hidden="1">{#N/A,#N/A,FALSE,"Plan1";#N/A,#N/A,FALSE,"Plan2"}</definedName>
    <definedName name="dfijvnqienvvnjv" localSheetId="5">#REF!</definedName>
    <definedName name="dfijvnqienvvnjv">#REF!</definedName>
    <definedName name="dfjgjfhykj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5" hidden="1">{#N/A,#N/A,FALSE,"Plan1";#N/A,#N/A,FALSE,"Plan2"}</definedName>
    <definedName name="dfjkgtdftr" hidden="1">{#N/A,#N/A,FALSE,"Plan1";#N/A,#N/A,FALSE,"Plan2"}</definedName>
    <definedName name="dfkhgf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5" hidden="1">{#N/A,#N/A,FALSE,"Plan1";#N/A,#N/A,FALSE,"Plan2"}</definedName>
    <definedName name="dfknfhkdrj" hidden="1">{#N/A,#N/A,FALSE,"Plan1";#N/A,#N/A,FALSE,"Plan2"}</definedName>
    <definedName name="dfnert" localSheetId="5" hidden="1">{#N/A,#N/A,FALSE,"Plan1";#N/A,#N/A,FALSE,"Plan2"}</definedName>
    <definedName name="dfnert" hidden="1">{#N/A,#N/A,FALSE,"Plan1";#N/A,#N/A,FALSE,"Plan2"}</definedName>
    <definedName name="dfrt" localSheetId="5" hidden="1">{#N/A,#N/A,FALSE,"Plan1";#N/A,#N/A,FALSE,"Plan2"}</definedName>
    <definedName name="dfrt" hidden="1">{#N/A,#N/A,FALSE,"Plan1";#N/A,#N/A,FALSE,"Plan2"}</definedName>
    <definedName name="dfsdr5tt" localSheetId="5" hidden="1">{#N/A,#N/A,FALSE,"Plan1";#N/A,#N/A,FALSE,"Plan2"}</definedName>
    <definedName name="dfsdr5tt" hidden="1">{#N/A,#N/A,FALSE,"Plan1";#N/A,#N/A,FALSE,"Plan2"}</definedName>
    <definedName name="dfsds" localSheetId="5" hidden="1">#REF!</definedName>
    <definedName name="dfsds" hidden="1">#REF!</definedName>
    <definedName name="dfsd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5" hidden="1">{#N/A,#N/A,FALSE,"Plan1";#N/A,#N/A,FALSE,"Plan2"}</definedName>
    <definedName name="dfsdtr" hidden="1">{#N/A,#N/A,FALSE,"Plan1";#N/A,#N/A,FALSE,"Plan2"}</definedName>
    <definedName name="dfsf" localSheetId="5" hidden="1">{#N/A,#N/A,FALSE,"Plan1";#N/A,#N/A,FALSE,"Plan2"}</definedName>
    <definedName name="dfsf" hidden="1">{#N/A,#N/A,FALSE,"Plan1";#N/A,#N/A,FALSE,"Plan2"}</definedName>
    <definedName name="DFT" localSheetId="5" hidden="1">{#N/A,#N/A,FALSE,"Plan1";#N/A,#N/A,FALSE,"Plan2"}</definedName>
    <definedName name="DFT" hidden="1">{#N/A,#N/A,FALSE,"Plan1";#N/A,#N/A,FALSE,"Plan2"}</definedName>
    <definedName name="DFTRTTY" localSheetId="5" hidden="1">{#N/A,#N/A,FALSE,"Plan1";#N/A,#N/A,FALSE,"Plan2"}</definedName>
    <definedName name="DFTRTTY" hidden="1">{#N/A,#N/A,FALSE,"Plan1";#N/A,#N/A,FALSE,"Plan2"}</definedName>
    <definedName name="dfurghifdjyhits" localSheetId="5" hidden="1">{#N/A,#N/A,FALSE,"Plan1";#N/A,#N/A,FALSE,"Plan2"}</definedName>
    <definedName name="dfurghifdjyhits" hidden="1">{#N/A,#N/A,FALSE,"Plan1";#N/A,#N/A,FALSE,"Plan2"}</definedName>
    <definedName name="dfxgdrged" localSheetId="5" hidden="1">{#N/A,#N/A,FALSE,"Plan1";#N/A,#N/A,FALSE,"Plan2"}</definedName>
    <definedName name="dfxgdrged" hidden="1">{#N/A,#N/A,FALSE,"Plan1";#N/A,#N/A,FALSE,"Plan2"}</definedName>
    <definedName name="dgfrtyt" localSheetId="5" hidden="1">{#N/A,#N/A,FALSE,"Plan1";#N/A,#N/A,FALSE,"Plan2"}</definedName>
    <definedName name="dgfrtyt" hidden="1">{#N/A,#N/A,FALSE,"Plan1";#N/A,#N/A,FALSE,"Plan2"}</definedName>
    <definedName name="dggfdg" localSheetId="5" hidden="1">{#N/A,#N/A,FALSE,"Plan1";#N/A,#N/A,FALSE,"Plan2"}</definedName>
    <definedName name="dggfdg" hidden="1">{#N/A,#N/A,FALSE,"Plan1";#N/A,#N/A,FALSE,"Plan2"}</definedName>
    <definedName name="dgldfhgkljslh" localSheetId="5" hidden="1">{#N/A,#N/A,FALSE,"Plan1";#N/A,#N/A,FALSE,"Plan2"}</definedName>
    <definedName name="dgldfhgkljslh" hidden="1">{#N/A,#N/A,FALSE,"Plan1";#N/A,#N/A,FALSE,"Plan2"}</definedName>
    <definedName name="dhfgdhrehrwe" localSheetId="5" hidden="1">{#N/A,#N/A,FALSE,"Plan1";#N/A,#N/A,FALSE,"Plan2"}</definedName>
    <definedName name="dhfgdhrehrwe" hidden="1">{#N/A,#N/A,FALSE,"Plan1";#N/A,#N/A,FALSE,"Plan2"}</definedName>
    <definedName name="dhgfdgrfgdfgd" localSheetId="5" hidden="1">{#N/A,#N/A,FALSE,"Plan1";#N/A,#N/A,FALSE,"Plan2"}</definedName>
    <definedName name="dhgfdgrfgdfgd" hidden="1">{#N/A,#N/A,FALSE,"Plan1";#N/A,#N/A,FALSE,"Plan2"}</definedName>
    <definedName name="dhkjfhdhfjdh" localSheetId="5" hidden="1">{#N/A,#N/A,FALSE,"Plan1";#N/A,#N/A,FALSE,"Plan2"}</definedName>
    <definedName name="dhkjfhdhfjdh" hidden="1">{#N/A,#N/A,FALSE,"Plan1";#N/A,#N/A,FALSE,"Plan2"}</definedName>
    <definedName name="DHTJRT" localSheetId="5" hidden="1">{#N/A,#N/A,FALSE,"Plan1";#N/A,#N/A,FALSE,"Plan2"}</definedName>
    <definedName name="DHTJRT" hidden="1">{#N/A,#N/A,FALSE,"Plan1";#N/A,#N/A,FALSE,"Plan2"}</definedName>
    <definedName name="DI" localSheetId="5">#REF!</definedName>
    <definedName name="DI">#REF!</definedName>
    <definedName name="dia3estac" localSheetId="5">#REF!</definedName>
    <definedName name="dia3estac">#REF!</definedName>
    <definedName name="diaestaca" localSheetId="5">#REF!</definedName>
    <definedName name="diaestaca">#REF!</definedName>
    <definedName name="diambase" localSheetId="5">#REF!</definedName>
    <definedName name="diambase">#REF!</definedName>
    <definedName name="DIFQT" localSheetId="5">#REF!</definedName>
    <definedName name="DIFQT">#REF!</definedName>
    <definedName name="dijghdhks" localSheetId="5" hidden="1">{#N/A,#N/A,FALSE,"Plan1";#N/A,#N/A,FALSE,"Plan2"}</definedName>
    <definedName name="dijghdhks" hidden="1">{#N/A,#N/A,FALSE,"Plan1";#N/A,#N/A,FALSE,"Plan2"}</definedName>
    <definedName name="DIMENSÕES" localSheetId="5">#REF!</definedName>
    <definedName name="DIMENSÕES">#REF!</definedName>
    <definedName name="DIR_OPER" localSheetId="5">#REF!</definedName>
    <definedName name="DIR_OPER">#REF!</definedName>
    <definedName name="DIR_TECNICO" localSheetId="5">#REF!</definedName>
    <definedName name="DIR_TECNICO">#REF!</definedName>
    <definedName name="direto" localSheetId="12">#REF!</definedName>
    <definedName name="direto">#REF!</definedName>
    <definedName name="DIRETORIA" localSheetId="5">#REF!</definedName>
    <definedName name="DIRETORIA">#REF!</definedName>
    <definedName name="diretorias" localSheetId="5">#REF!</definedName>
    <definedName name="diretorias">#REF!</definedName>
    <definedName name="Discrim" localSheetId="5">#REF!</definedName>
    <definedName name="Discrim">#REF!</definedName>
    <definedName name="DISCRIMINAÇÃO" localSheetId="5">#REF!</definedName>
    <definedName name="DISCRIMINAÇÃO">#REF!</definedName>
    <definedName name="Discriminação_Controladoria" localSheetId="5">#REF!</definedName>
    <definedName name="Discriminação_Controladoria">#REF!</definedName>
    <definedName name="DistCidade" localSheetId="5">#REF!</definedName>
    <definedName name="DistCidade">#REF!</definedName>
    <definedName name="distratos" localSheetId="5">#REF!</definedName>
    <definedName name="distratos">#REF!</definedName>
    <definedName name="div" localSheetId="5">#REF!</definedName>
    <definedName name="div">#REF!</definedName>
    <definedName name="djasdrjas" localSheetId="5" hidden="1">{#N/A,#N/A,FALSE,"Plan1";#N/A,#N/A,FALSE,"Plan2"}</definedName>
    <definedName name="djasdrjas" hidden="1">{#N/A,#N/A,FALSE,"Plan1";#N/A,#N/A,FALSE,"Plan2"}</definedName>
    <definedName name="dj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5" hidden="1">{#N/A,#N/A,FALSE,"Plan1";#N/A,#N/A,FALSE,"Plan2"}</definedName>
    <definedName name="djfkhjhfgrgdfh" hidden="1">{#N/A,#N/A,FALSE,"Plan1";#N/A,#N/A,FALSE,"Plan2"}</definedName>
    <definedName name="djfkhsdkjhf" localSheetId="5" hidden="1">{#N/A,#N/A,FALSE,"Plan1";#N/A,#N/A,FALSE,"Plan2"}</definedName>
    <definedName name="djfkhsdkjhf" hidden="1">{#N/A,#N/A,FALSE,"Plan1";#N/A,#N/A,FALSE,"Plan2"}</definedName>
    <definedName name="djfldjsgljslkjtg" localSheetId="5" hidden="1">{#N/A,#N/A,FALSE,"Plan1";#N/A,#N/A,FALSE,"Plan2"}</definedName>
    <definedName name="djfldjsgljslkjtg" hidden="1">{#N/A,#N/A,FALSE,"Plan1";#N/A,#N/A,FALSE,"Plan2"}</definedName>
    <definedName name="djflkdjgdth" localSheetId="5" hidden="1">{#N/A,#N/A,FALSE,"Plan1";#N/A,#N/A,FALSE,"Plan2"}</definedName>
    <definedName name="djflkdjgdth" hidden="1">{#N/A,#N/A,FALSE,"Plan1";#N/A,#N/A,FALSE,"Plan2"}</definedName>
    <definedName name="DJFLKDJGKTJYJT" localSheetId="5" hidden="1">{#N/A,#N/A,FALSE,"Plan1";#N/A,#N/A,FALSE,"Plan2"}</definedName>
    <definedName name="DJFLKDJGKTJYJT" hidden="1">{#N/A,#N/A,FALSE,"Plan1";#N/A,#N/A,FALSE,"Plan2"}</definedName>
    <definedName name="djgkfjgtiyty" localSheetId="5" hidden="1">{#N/A,#N/A,FALSE,"Plan1";#N/A,#N/A,FALSE,"Plan2"}</definedName>
    <definedName name="djgkfjgtiyty" hidden="1">{#N/A,#N/A,FALSE,"Plan1";#N/A,#N/A,FALSE,"Plan2"}</definedName>
    <definedName name="djrkehrjfhng" localSheetId="5" hidden="1">{#N/A,#N/A,FALSE,"Plan1";#N/A,#N/A,FALSE,"Plan2"}</definedName>
    <definedName name="djrkehrjfhng" hidden="1">{#N/A,#N/A,FALSE,"Plan1";#N/A,#N/A,FALSE,"Plan2"}</definedName>
    <definedName name="djswfr" localSheetId="5" hidden="1">#REF!</definedName>
    <definedName name="djswfr" hidden="1">#REF!</definedName>
    <definedName name="djtkjldfr" localSheetId="5" hidden="1">{#N/A,#N/A,FALSE,"Plan1";#N/A,#N/A,FALSE,"Plan2"}</definedName>
    <definedName name="djtkjldfr" hidden="1">{#N/A,#N/A,FALSE,"Plan1";#N/A,#N/A,FALSE,"Plan2"}</definedName>
    <definedName name="DJXDLFGDFG" localSheetId="5" hidden="1">{#N/A,#N/A,FALSE,"Plan1";#N/A,#N/A,FALSE,"Plan2"}</definedName>
    <definedName name="DJXDLFGDFG" hidden="1">{#N/A,#N/A,FALSE,"Plan1";#N/A,#N/A,FALSE,"Plan2"}</definedName>
    <definedName name="dkdkdkdkd" localSheetId="5" hidden="1">{#N/A,#N/A,FALSE,"명세표"}</definedName>
    <definedName name="dkdkdkdkd" hidden="1">{#N/A,#N/A,FALSE,"명세표"}</definedName>
    <definedName name="dkfhskgf" localSheetId="5" hidden="1">{#N/A,#N/A,FALSE,"Plan1";#N/A,#N/A,FALSE,"Plan2"}</definedName>
    <definedName name="dkfhskgf" hidden="1">{#N/A,#N/A,FALSE,"Plan1";#N/A,#N/A,FALSE,"Plan2"}</definedName>
    <definedName name="dkjfk" localSheetId="5" hidden="1">{#N/A,#N/A,FALSE,"Plan1";#N/A,#N/A,FALSE,"Plan2"}</definedName>
    <definedName name="dkjfk" hidden="1">{#N/A,#N/A,FALSE,"Plan1";#N/A,#N/A,FALSE,"Plan2"}</definedName>
    <definedName name="DKLD" localSheetId="5" hidden="1">{#N/A,#N/A,FALSE,"Plan1";#N/A,#N/A,FALSE,"Plan2"}</definedName>
    <definedName name="DKLD" hidden="1">{#N/A,#N/A,FALSE,"Plan1";#N/A,#N/A,FALSE,"Plan2"}</definedName>
    <definedName name="DKLFJDKFD" localSheetId="5" hidden="1">{#N/A,#N/A,FALSE,"Plan1";#N/A,#N/A,FALSE,"Plan2"}</definedName>
    <definedName name="DKLFJDKFD" hidden="1">{#N/A,#N/A,FALSE,"Plan1";#N/A,#N/A,FALSE,"Plan2"}</definedName>
    <definedName name="dklfjgirtgid" localSheetId="5" hidden="1">{#N/A,#N/A,FALSE,"Plan1";#N/A,#N/A,FALSE,"Plan2"}</definedName>
    <definedName name="dklfjgirtgid" hidden="1">{#N/A,#N/A,FALSE,"Plan1";#N/A,#N/A,FALSE,"Plan2"}</definedName>
    <definedName name="dklf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5" hidden="1">{#N/A,#N/A,FALSE,"Plan1";#N/A,#N/A,FALSE,"Plan2"}</definedName>
    <definedName name="dmbfmndbmtrhed" hidden="1">{#N/A,#N/A,FALSE,"Plan1";#N/A,#N/A,FALSE,"Plan2"}</definedName>
    <definedName name="DNFJKDHTKRE" localSheetId="5" hidden="1">{#N/A,#N/A,FALSE,"Plan1";#N/A,#N/A,FALSE,"Plan2"}</definedName>
    <definedName name="DNFJKDHTKRE" hidden="1">{#N/A,#N/A,FALSE,"Plan1";#N/A,#N/A,FALSE,"Plan2"}</definedName>
    <definedName name="dn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5">#REF!</definedName>
    <definedName name="DOCUMENT">#REF!</definedName>
    <definedName name="DOIS" localSheetId="5">#REF!</definedName>
    <definedName name="DOIS">#REF!</definedName>
    <definedName name="dolar" localSheetId="5">#REF!</definedName>
    <definedName name="dolar">#REF!</definedName>
    <definedName name="dolar_dez" localSheetId="5">#REF!</definedName>
    <definedName name="dolar_dez">#REF!</definedName>
    <definedName name="dolar_nov" localSheetId="5">#REF!</definedName>
    <definedName name="dolar_nov">#REF!</definedName>
    <definedName name="dolar_out" localSheetId="5">#REF!</definedName>
    <definedName name="dolar_out">#REF!</definedName>
    <definedName name="dolar2" localSheetId="5">#REF!</definedName>
    <definedName name="dolar2">#REF!</definedName>
    <definedName name="dolarabr" localSheetId="5">#REF!</definedName>
    <definedName name="dolarabr">#REF!</definedName>
    <definedName name="dolarabr02" localSheetId="5">#REF!</definedName>
    <definedName name="dolarabr02">#REF!</definedName>
    <definedName name="DolarAgo" localSheetId="5">#REF!</definedName>
    <definedName name="DolarAgo">#REF!</definedName>
    <definedName name="dolarago02" localSheetId="5">#REF!</definedName>
    <definedName name="dolarago02">#REF!</definedName>
    <definedName name="dolardez" localSheetId="5">#REF!</definedName>
    <definedName name="dolardez">#REF!</definedName>
    <definedName name="dolarfev" localSheetId="5">#REF!</definedName>
    <definedName name="dolarfev">#REF!</definedName>
    <definedName name="dolarfev02" localSheetId="5">#REF!</definedName>
    <definedName name="dolarfev02">#REF!</definedName>
    <definedName name="dolarfimdez" localSheetId="5">#REF!</definedName>
    <definedName name="dolarfimdez">#REF!</definedName>
    <definedName name="dolarFimJun" localSheetId="5">#REF!</definedName>
    <definedName name="dolarFimJun">#REF!</definedName>
    <definedName name="dolarfindez" localSheetId="5">#REF!</definedName>
    <definedName name="dolarfindez">#REF!</definedName>
    <definedName name="dolarfinmar" localSheetId="5">#REF!</definedName>
    <definedName name="dolarfinmar">#REF!</definedName>
    <definedName name="DolarFinSet" localSheetId="5">#REF!</definedName>
    <definedName name="DolarFinSet">#REF!</definedName>
    <definedName name="dolarjan" localSheetId="5">#REF!</definedName>
    <definedName name="dolarjan">#REF!</definedName>
    <definedName name="dolarjan02" localSheetId="5">#REF!</definedName>
    <definedName name="dolarjan02">#REF!</definedName>
    <definedName name="DolarJul" localSheetId="5">#REF!</definedName>
    <definedName name="DolarJul">#REF!</definedName>
    <definedName name="dolarjul02" localSheetId="5">#REF!</definedName>
    <definedName name="dolarjul02">#REF!</definedName>
    <definedName name="dolarjun" localSheetId="5">#REF!</definedName>
    <definedName name="dolarjun">#REF!</definedName>
    <definedName name="dolarjun02" localSheetId="5">#REF!</definedName>
    <definedName name="dolarjun02">#REF!</definedName>
    <definedName name="dolarmai" localSheetId="5">#REF!</definedName>
    <definedName name="dolarmai">#REF!</definedName>
    <definedName name="dolarmai02" localSheetId="5">#REF!</definedName>
    <definedName name="dolarmai02">#REF!</definedName>
    <definedName name="dolarmar" localSheetId="5">#REF!</definedName>
    <definedName name="dolarmar">#REF!</definedName>
    <definedName name="dolarmar02" localSheetId="5">#REF!</definedName>
    <definedName name="dolarmar02">#REF!</definedName>
    <definedName name="dolarnov" localSheetId="5">#REF!</definedName>
    <definedName name="dolarnov">#REF!</definedName>
    <definedName name="dolarout" localSheetId="5">#REF!</definedName>
    <definedName name="dolarout">#REF!</definedName>
    <definedName name="DolarSet" localSheetId="5">#REF!</definedName>
    <definedName name="DolarSet">#REF!</definedName>
    <definedName name="dolarset02" localSheetId="5">#REF!</definedName>
    <definedName name="dolarset02">#REF!</definedName>
    <definedName name="DOZE" localSheetId="5">#REF!</definedName>
    <definedName name="DOZE">#REF!</definedName>
    <definedName name="DRE" localSheetId="12">#REF!</definedName>
    <definedName name="DRE">#REF!</definedName>
    <definedName name="drewr" localSheetId="5" hidden="1">{#N/A,#N/A,FALSE,"Plan1";#N/A,#N/A,FALSE,"Plan2"}</definedName>
    <definedName name="drewr" hidden="1">{#N/A,#N/A,FALSE,"Plan1";#N/A,#N/A,FALSE,"Plan2"}</definedName>
    <definedName name="DRRJR" localSheetId="5" hidden="1">{#N/A,#N/A,FALSE,"Plan1";#N/A,#N/A,FALSE,"Plan2"}</definedName>
    <definedName name="DRRJR" hidden="1">{#N/A,#N/A,FALSE,"Plan1";#N/A,#N/A,FALSE,"Plan2"}</definedName>
    <definedName name="drtr" localSheetId="5" hidden="1">#REF!</definedName>
    <definedName name="drtr" hidden="1">#REF!</definedName>
    <definedName name="drtrt" localSheetId="5" hidden="1">{"'Estimativa de Lançamento-JAN'!$A$1:$AI$85"}</definedName>
    <definedName name="drtrt" hidden="1">{"'Estimativa de Lançamento-JAN'!$A$1:$AI$85"}</definedName>
    <definedName name="dsdrf" localSheetId="5" hidden="1">{#N/A,#N/A,FALSE,"Plan1";#N/A,#N/A,FALSE,"Plan2"}</definedName>
    <definedName name="dsdrf" hidden="1">{#N/A,#N/A,FALSE,"Plan1";#N/A,#N/A,FALSE,"Plan2"}</definedName>
    <definedName name="dsfdf" localSheetId="5" hidden="1">{#N/A,#N/A,FALSE,"Plan1";#N/A,#N/A,FALSE,"Plan2"}</definedName>
    <definedName name="dsfdf" hidden="1">{#N/A,#N/A,FALSE,"Plan1";#N/A,#N/A,FALSE,"Plan2"}</definedName>
    <definedName name="dsfg" localSheetId="5" hidden="1">{#N/A,#N/A,FALSE,"Plan1";#N/A,#N/A,FALSE,"Plan2"}</definedName>
    <definedName name="dsfg" hidden="1">{#N/A,#N/A,FALSE,"Plan1";#N/A,#N/A,FALSE,"Plan2"}</definedName>
    <definedName name="DSFKDSKH" localSheetId="5" hidden="1">{#N/A,#N/A,FALSE,"Plan1";#N/A,#N/A,FALSE,"Plan2"}</definedName>
    <definedName name="DSFKDSKH" hidden="1">{#N/A,#N/A,FALSE,"Plan1";#N/A,#N/A,FALSE,"Plan2"}</definedName>
    <definedName name="DSF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5" hidden="1">{#N/A,#N/A,FALSE,"Plan1";#N/A,#N/A,FALSE,"Plan2"}</definedName>
    <definedName name="dsfrtyy" hidden="1">{#N/A,#N/A,FALSE,"Plan1";#N/A,#N/A,FALSE,"Plan2"}</definedName>
    <definedName name="DSFSAD" localSheetId="5" hidden="1">{#N/A,#N/A,FALSE,"Plan1";#N/A,#N/A,FALSE,"Plan2"}</definedName>
    <definedName name="DSFSAD" hidden="1">{#N/A,#N/A,FALSE,"Plan1";#N/A,#N/A,FALSE,"Plan2"}</definedName>
    <definedName name="dsfsdf" localSheetId="5" hidden="1">{#N/A,#N/A,FALSE,"Plan1";#N/A,#N/A,FALSE,"Plan2"}</definedName>
    <definedName name="dsfsdf" hidden="1">{#N/A,#N/A,FALSE,"Plan1";#N/A,#N/A,FALSE,"Plan2"}</definedName>
    <definedName name="dsfsdgfb" localSheetId="5" hidden="1">{#N/A,#N/A,FALSE,"Plan1";#N/A,#N/A,FALSE,"Plan2"}</definedName>
    <definedName name="dsfsdgfb" hidden="1">{#N/A,#N/A,FALSE,"Plan1";#N/A,#N/A,FALSE,"Plan2"}</definedName>
    <definedName name="dsgfr" localSheetId="5" hidden="1">{#N/A,#N/A,FALSE,"Plan1";#N/A,#N/A,FALSE,"Plan2"}</definedName>
    <definedName name="dsgfr" hidden="1">{#N/A,#N/A,FALSE,"Plan1";#N/A,#N/A,FALSE,"Plan2"}</definedName>
    <definedName name="dshfkhkrhesru" localSheetId="5" hidden="1">{#N/A,#N/A,FALSE,"Plan1";#N/A,#N/A,FALSE,"Plan2"}</definedName>
    <definedName name="dshfkhkrhesru" hidden="1">{#N/A,#N/A,FALSE,"Plan1";#N/A,#N/A,FALSE,"Plan2"}</definedName>
    <definedName name="dsjkthkr" localSheetId="5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5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5" hidden="1">{#N/A,#N/A,FALSE,"Plan1";#N/A,#N/A,FALSE,"Plan2"}</definedName>
    <definedName name="dss" hidden="1">{#N/A,#N/A,FALSE,"Plan1";#N/A,#N/A,FALSE,"Plan2"}</definedName>
    <definedName name="dtgsrytt" localSheetId="5" hidden="1">{#N/A,#N/A,FALSE,"Plan1";#N/A,#N/A,FALSE,"Plan2"}</definedName>
    <definedName name="dtgsrytt" hidden="1">{#N/A,#N/A,FALSE,"Plan1";#N/A,#N/A,FALSE,"Plan2"}</definedName>
    <definedName name="dtrjkhtrgkfh" localSheetId="5" hidden="1">{#N/A,#N/A,FALSE,"Plan1";#N/A,#N/A,FALSE,"Plan2"}</definedName>
    <definedName name="dtrjkhtrgkfh" hidden="1">{#N/A,#N/A,FALSE,"Plan1";#N/A,#N/A,FALSE,"Plan2"}</definedName>
    <definedName name="dttjuk" localSheetId="5" hidden="1">{#N/A,#N/A,FALSE,"Plan1";#N/A,#N/A,FALSE,"Plan2"}</definedName>
    <definedName name="dttjuk" hidden="1">{#N/A,#N/A,FALSE,"Plan1";#N/A,#N/A,FALSE,"Plan2"}</definedName>
    <definedName name="dvtry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5" hidden="1">{#N/A,#N/A,FALSE,"Plan1";#N/A,#N/A,FALSE,"Plan2"}</definedName>
    <definedName name="dwetrt" hidden="1">{#N/A,#N/A,FALSE,"Plan1";#N/A,#N/A,FALSE,"Plan2"}</definedName>
    <definedName name="dwqhdjwqgdwq" localSheetId="5">#REF!</definedName>
    <definedName name="dwqhdjwqgdwq">#REF!</definedName>
    <definedName name="DY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5" hidden="1">{#N/A,#N/A,FALSE,"Plan1";#N/A,#N/A,FALSE,"Plan2"}</definedName>
    <definedName name="DYHYGJDHZKGF" hidden="1">{#N/A,#N/A,FALSE,"Plan1";#N/A,#N/A,FALSE,"Plan2"}</definedName>
    <definedName name="dzdfr" localSheetId="5" hidden="1">{#N/A,#N/A,FALSE,"Plan1";#N/A,#N/A,FALSE,"Plan2"}</definedName>
    <definedName name="dzdfr" hidden="1">{#N/A,#N/A,FALSE,"Plan1";#N/A,#N/A,FALSE,"Plan2"}</definedName>
    <definedName name="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2">#REF!</definedName>
    <definedName name="ea" localSheetId="5">#REF!</definedName>
    <definedName name="ea">#REF!</definedName>
    <definedName name="EC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5" hidden="1">{#N/A,#N/A,FALSE,"F-01"}</definedName>
    <definedName name="ECEW" hidden="1">{#N/A,#N/A,FALSE,"F-01"}</definedName>
    <definedName name="ECEW_1" localSheetId="5" hidden="1">{#N/A,#N/A,FALSE,"F-01"}</definedName>
    <definedName name="ECEW_1" hidden="1">{#N/A,#N/A,FALSE,"F-01"}</definedName>
    <definedName name="echart31" localSheetId="5" hidden="1">#REF!</definedName>
    <definedName name="echart31" hidden="1">#REF!</definedName>
    <definedName name="EcoPark" localSheetId="5">#REF!</definedName>
    <definedName name="EcoPark">#REF!</definedName>
    <definedName name="ECS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5" hidden="1">{#N/A,#N/A,FALSE,"Plan1";#N/A,#N/A,FALSE,"Plan2"}</definedName>
    <definedName name="EDE" hidden="1">{#N/A,#N/A,FALSE,"Plan1";#N/A,#N/A,FALSE,"Plan2"}</definedName>
    <definedName name="ee" localSheetId="5">#REF!</definedName>
    <definedName name="ee">#REF!</definedName>
    <definedName name="eee" localSheetId="12" hidden="1">{#N/A,#N/A,FALSE,"ET-CAPA";#N/A,#N/A,FALSE,"ET-PAG1";#N/A,#N/A,FALSE,"ET-PAG2";#N/A,#N/A,FALSE,"ET-PAG3";#N/A,#N/A,FALSE,"ET-PAG4";#N/A,#N/A,FALSE,"ET-PAG5"}</definedName>
    <definedName name="eee" localSheetId="18" hidden="1">{#N/A,#N/A,FALSE,"ET-CAPA";#N/A,#N/A,FALSE,"ET-PAG1";#N/A,#N/A,FALSE,"ET-PAG2";#N/A,#N/A,FALSE,"ET-PAG3";#N/A,#N/A,FALSE,"ET-PAG4";#N/A,#N/A,FALSE,"ET-PAG5"}</definedName>
    <definedName name="eee" localSheetId="20" hidden="1">{#N/A,#N/A,FALSE,"ET-CAPA";#N/A,#N/A,FALSE,"ET-PAG1";#N/A,#N/A,FALSE,"ET-PAG2";#N/A,#N/A,FALSE,"ET-PAG3";#N/A,#N/A,FALSE,"ET-PAG4";#N/A,#N/A,FALSE,"ET-PAG5"}</definedName>
    <definedName name="eee" localSheetId="5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9" hidden="1">{#N/A,#N/A,FALSE,"ET-CAPA";#N/A,#N/A,FALSE,"ET-PAG1";#N/A,#N/A,FALSE,"ET-PAG2";#N/A,#N/A,FALSE,"ET-PAG3";#N/A,#N/A,FALSE,"ET-PAG4";#N/A,#N/A,FALSE,"ET-PAG5"}</definedName>
    <definedName name="eee" localSheetId="1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5">#REF!</definedName>
    <definedName name="EF">#REF!</definedName>
    <definedName name="efestfr" localSheetId="5" hidden="1">{#N/A,#N/A,FALSE,"Plan1";#N/A,#N/A,FALSE,"Plan2"}</definedName>
    <definedName name="efestfr" hidden="1">{#N/A,#N/A,FALSE,"Plan1";#N/A,#N/A,FALSE,"Plan2"}</definedName>
    <definedName name="EFICIÊNCIA" localSheetId="5">#REF!</definedName>
    <definedName name="EFICIÊNCIA">#REF!</definedName>
    <definedName name="Eficiência1" localSheetId="5">#REF!</definedName>
    <definedName name="Eficiência1">#REF!</definedName>
    <definedName name="efrdrt" localSheetId="5" hidden="1">{#N/A,#N/A,FALSE,"Plan1";#N/A,#N/A,FALSE,"Plan2"}</definedName>
    <definedName name="efrdrt" hidden="1">{#N/A,#N/A,FALSE,"Plan1";#N/A,#N/A,FALSE,"Plan2"}</definedName>
    <definedName name="efrg" localSheetId="5" hidden="1">{#N/A,#N/A,FALSE,"Plan1";#N/A,#N/A,FALSE,"Plan2"}</definedName>
    <definedName name="efrg" hidden="1">{#N/A,#N/A,FALSE,"Plan1";#N/A,#N/A,FALSE,"Plan2"}</definedName>
    <definedName name="efsgfr" localSheetId="5" hidden="1">{#N/A,#N/A,FALSE,"Plan1";#N/A,#N/A,FALSE,"Plan2"}</definedName>
    <definedName name="efsgfr" hidden="1">{#N/A,#N/A,FALSE,"Plan1";#N/A,#N/A,FALSE,"Plan2"}</definedName>
    <definedName name="eixo_x_fluxo_graf1" localSheetId="5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5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5">#REF!</definedName>
    <definedName name="eixo_x_graf3_distratos">#REF!</definedName>
    <definedName name="eixo_x_graf3_vendas" localSheetId="5">#REF!</definedName>
    <definedName name="eixo_x_graf3_vendas">#REF!</definedName>
    <definedName name="eixo_y_cury_graf2" localSheetId="5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5">#REF!</definedName>
    <definedName name="eixo_y_graf3">#REF!</definedName>
    <definedName name="eixo_y_socio_graf2" localSheetId="5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5">#REF!</definedName>
    <definedName name="EM">#REF!</definedName>
    <definedName name="Empreend" localSheetId="5">#REF!</definedName>
    <definedName name="Empreend">#REF!</definedName>
    <definedName name="Empreendimentos" localSheetId="5">#REF!</definedName>
    <definedName name="Empreendimentos">#REF!</definedName>
    <definedName name="empresas" localSheetId="5">#REF!</definedName>
    <definedName name="empresas">#REF!</definedName>
    <definedName name="encanador" localSheetId="5">#REF!</definedName>
    <definedName name="encanador">#REF!</definedName>
    <definedName name="EPI" localSheetId="5">#REF!</definedName>
    <definedName name="EPI">#REF!</definedName>
    <definedName name="EQUIP" localSheetId="5">#REF!</definedName>
    <definedName name="EQUIP">#REF!</definedName>
    <definedName name="equipamento" localSheetId="5">#REF!</definedName>
    <definedName name="equipamento">#REF!</definedName>
    <definedName name="E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5" hidden="1">{#N/A,#N/A,FALSE,"Plan1";#N/A,#N/A,FALSE,"Plan2"}</definedName>
    <definedName name="ergfhyu" hidden="1">{#N/A,#N/A,FALSE,"Plan1";#N/A,#N/A,FALSE,"Plan2"}</definedName>
    <definedName name="erne_cdi" localSheetId="5">#REF!</definedName>
    <definedName name="erne_cdi">#REF!</definedName>
    <definedName name="erne_hist" localSheetId="5">#REF!</definedName>
    <definedName name="erne_hist">#REF!</definedName>
    <definedName name="erne_uss" localSheetId="5">#REF!</definedName>
    <definedName name="erne_uss">#REF!</definedName>
    <definedName name="erte" localSheetId="5" hidden="1">#REF!</definedName>
    <definedName name="erte" hidden="1">#REF!</definedName>
    <definedName name="ESGFDSFD" localSheetId="5" hidden="1">{#N/A,#N/A,FALSE,"Plan1";#N/A,#N/A,FALSE,"Plan2"}</definedName>
    <definedName name="ESGFDSFD" hidden="1">{#N/A,#N/A,FALSE,"Plan1";#N/A,#N/A,FALSE,"Plan2"}</definedName>
    <definedName name="esp" localSheetId="5">#REF!</definedName>
    <definedName name="esp">#REF!</definedName>
    <definedName name="ESPESSURA" localSheetId="5">#REF!</definedName>
    <definedName name="ESPESSURA">#REF!</definedName>
    <definedName name="estaca" localSheetId="5">#REF!</definedName>
    <definedName name="estaca">#REF!</definedName>
    <definedName name="estaca3" localSheetId="5">#REF!</definedName>
    <definedName name="estaca3">#REF!</definedName>
    <definedName name="ESTADO" localSheetId="5">#REF!</definedName>
    <definedName name="ESTADO">#REF!</definedName>
    <definedName name="estados" localSheetId="5">#REF!</definedName>
    <definedName name="estados">#REF!</definedName>
    <definedName name="estagiário" localSheetId="5">#REF!</definedName>
    <definedName name="estagiário">#REF!</definedName>
    <definedName name="ESTOQUE" localSheetId="5">#REF!</definedName>
    <definedName name="ESTOQUE">#REF!</definedName>
    <definedName name="Etq_final" localSheetId="5">#REF!</definedName>
    <definedName name="Etq_final">#REF!</definedName>
    <definedName name="EU" localSheetId="5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5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5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5" hidden="1">{#N/A,#N/A,FALSE,"Plan1";#N/A,#N/A,FALSE,"Plan2"}</definedName>
    <definedName name="ewfr" hidden="1">{#N/A,#N/A,FALSE,"Plan1";#N/A,#N/A,FALSE,"Plan2"}</definedName>
    <definedName name="exce_cdi" localSheetId="5">#REF!</definedName>
    <definedName name="exce_cdi">#REF!</definedName>
    <definedName name="exce_hist" localSheetId="5">#REF!</definedName>
    <definedName name="exce_hist">#REF!</definedName>
    <definedName name="exce_uss" localSheetId="5">#REF!</definedName>
    <definedName name="exce_uss">#REF!</definedName>
    <definedName name="Excel_BuiltIn__FilterDatabase_1" localSheetId="5">#REF!</definedName>
    <definedName name="Excel_BuiltIn__FilterDatabase_1">#REF!</definedName>
    <definedName name="Excel_BuiltIn__FilterDatabase_1_1" localSheetId="5">#REF!</definedName>
    <definedName name="Excel_BuiltIn__FilterDatabase_1_1">#REF!</definedName>
    <definedName name="Excel_BuiltIn__FilterDatabase_6" localSheetId="5">#REF!</definedName>
    <definedName name="Excel_BuiltIn__FilterDatabase_6">#REF!</definedName>
    <definedName name="Excel_BuiltIn_Print_Area_0" localSheetId="5">#REF!</definedName>
    <definedName name="Excel_BuiltIn_Print_Area_0">#REF!</definedName>
    <definedName name="Excel_BuiltIn_Print_Area_1_1" localSheetId="5">#REF!</definedName>
    <definedName name="Excel_BuiltIn_Print_Area_1_1">#REF!</definedName>
    <definedName name="Excel_BuiltIn_Print_Titles_1_1_1" localSheetId="5">#REF!</definedName>
    <definedName name="Excel_BuiltIn_Print_Titles_1_1_1">#REF!</definedName>
    <definedName name="Excel_BuiltIn_Print_Titles_1_1_4" localSheetId="5">#REF!</definedName>
    <definedName name="Excel_BuiltIn_Print_Titles_1_1_4">#REF!</definedName>
    <definedName name="Excel_BuiltIn_Print_Titles_1_1_5" localSheetId="5">#REF!</definedName>
    <definedName name="Excel_BuiltIn_Print_Titles_1_1_5">#REF!</definedName>
    <definedName name="Exrate" localSheetId="5">#REF!</definedName>
    <definedName name="Exrate">#REF!</definedName>
    <definedName name="eyruieyteta" localSheetId="5" hidden="1">{#N/A,#N/A,FALSE,"Plan1";#N/A,#N/A,FALSE,"Plan2"}</definedName>
    <definedName name="eyruieyteta" hidden="1">{#N/A,#N/A,FALSE,"Plan1";#N/A,#N/A,FALSE,"Plan2"}</definedName>
    <definedName name="f" localSheetId="5">#REF!</definedName>
    <definedName name="f">#REF!</definedName>
    <definedName name="FACULDADE" localSheetId="5">#REF!</definedName>
    <definedName name="FACULDADE">#REF!</definedName>
    <definedName name="FAL" localSheetId="5">#REF!</definedName>
    <definedName name="FAL">#REF!</definedName>
    <definedName name="farialima" localSheetId="5">#REF!</definedName>
    <definedName name="farialima">#REF!</definedName>
    <definedName name="FAS" localSheetId="5" hidden="1">{"'Total'!$A$1","'Total'!$A$3"}</definedName>
    <definedName name="FAS" hidden="1">{"'Total'!$A$1","'Total'!$A$3"}</definedName>
    <definedName name="fasfasf" localSheetId="5" hidden="1">{#N/A,#N/A,TRUE,"Quinzena 01 à 15-04-98 "}</definedName>
    <definedName name="fasfasf" hidden="1">{#N/A,#N/A,TRUE,"Quinzena 01 à 15-04-98 "}</definedName>
    <definedName name="FATOR_K" localSheetId="5">#REF!</definedName>
    <definedName name="FATOR_K">#REF!</definedName>
    <definedName name="FATORK" localSheetId="5">#REF!</definedName>
    <definedName name="FATORK">#REF!</definedName>
    <definedName name="FBancaria" localSheetId="5">#REF!</definedName>
    <definedName name="FBancaria">#REF!</definedName>
    <definedName name="fchart31" localSheetId="5" hidden="1">#REF!</definedName>
    <definedName name="fchart31" hidden="1">#REF!</definedName>
    <definedName name="fddhght" localSheetId="5" hidden="1">{#N/A,#N/A,FALSE,"Plan1";#N/A,#N/A,FALSE,"Plan2"}</definedName>
    <definedName name="fddhght" hidden="1">{#N/A,#N/A,FALSE,"Plan1";#N/A,#N/A,FALSE,"Plan2"}</definedName>
    <definedName name="fdfgd" localSheetId="5" hidden="1">{#N/A,#N/A,FALSE,"Plan1";#N/A,#N/A,FALSE,"Plan2"}</definedName>
    <definedName name="fdfgd" hidden="1">{#N/A,#N/A,FALSE,"Plan1";#N/A,#N/A,FALSE,"Plan2"}</definedName>
    <definedName name="fdfn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5" hidden="1">{#N/A,#N/A,FALSE,"Plan1";#N/A,#N/A,FALSE,"Plan2"}</definedName>
    <definedName name="fdgaf" hidden="1">{#N/A,#N/A,FALSE,"Plan1";#N/A,#N/A,FALSE,"Plan2"}</definedName>
    <definedName name="fdgdf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5" hidden="1">{#N/A,#N/A,FALSE,"Plan1";#N/A,#N/A,FALSE,"Plan2"}</definedName>
    <definedName name="FDGFDJHGZEDR" hidden="1">{#N/A,#N/A,FALSE,"Plan1";#N/A,#N/A,FALSE,"Plan2"}</definedName>
    <definedName name="fdgfyhygfuj" localSheetId="5" hidden="1">{#N/A,#N/A,FALSE,"Plan1";#N/A,#N/A,FALSE,"Plan2"}</definedName>
    <definedName name="fdgfyhygfuj" hidden="1">{#N/A,#N/A,FALSE,"Plan1";#N/A,#N/A,FALSE,"Plan2"}</definedName>
    <definedName name="fdhgfdf" localSheetId="5" hidden="1">{#N/A,#N/A,FALSE,"Plan1";#N/A,#N/A,FALSE,"Plan2"}</definedName>
    <definedName name="fdhgfdf" hidden="1">{#N/A,#N/A,FALSE,"Plan1";#N/A,#N/A,FALSE,"Plan2"}</definedName>
    <definedName name="fdjfgdfjg" localSheetId="5" hidden="1">{#N/A,#N/A,FALSE,"Plan1";#N/A,#N/A,FALSE,"Plan2"}</definedName>
    <definedName name="fdjfgdfjg" hidden="1">{#N/A,#N/A,FALSE,"Plan1";#N/A,#N/A,FALSE,"Plan2"}</definedName>
    <definedName name="fdjghkshtygt" localSheetId="5" hidden="1">{#N/A,#N/A,FALSE,"Plan1";#N/A,#N/A,FALSE,"Plan2"}</definedName>
    <definedName name="fdjghkshtygt" hidden="1">{#N/A,#N/A,FALSE,"Plan1";#N/A,#N/A,FALSE,"Plan2"}</definedName>
    <definedName name="fdnhgf" localSheetId="5" hidden="1">{"'Estimativa de Lançamento-JAN'!$A$1:$AI$85"}</definedName>
    <definedName name="fdnhgf" hidden="1">{"'Estimativa de Lançamento-JAN'!$A$1:$AI$85"}</definedName>
    <definedName name="fdsf" localSheetId="5" hidden="1">{#N/A,#N/A,FALSE,"Plan1";#N/A,#N/A,FALSE,"Plan2"}</definedName>
    <definedName name="fdsf" hidden="1">{#N/A,#N/A,FALSE,"Plan1";#N/A,#N/A,FALSE,"Plan2"}</definedName>
    <definedName name="FE" localSheetId="5">#REF!</definedName>
    <definedName name="FE">#REF!</definedName>
    <definedName name="fefefefe" localSheetId="5">#REF!</definedName>
    <definedName name="fefefefe">#REF!</definedName>
    <definedName name="FER" localSheetId="5" hidden="1">#REF!</definedName>
    <definedName name="FER" hidden="1">#REF!</definedName>
    <definedName name="fev17RJ" localSheetId="5">#REF!</definedName>
    <definedName name="fev17RJ">#REF!</definedName>
    <definedName name="FEVEREIRO2001" localSheetId="5">#REF!</definedName>
    <definedName name="FEVEREIRO2001">#REF!</definedName>
    <definedName name="ff" localSheetId="5">#REF!</definedName>
    <definedName name="ff">#REF!</definedName>
    <definedName name="fffefes" localSheetId="5">#REF!</definedName>
    <definedName name="fffefes">#REF!</definedName>
    <definedName name="fffff" localSheetId="5" hidden="1">{#N/A,#N/A,FALSE,"Plan1";#N/A,#N/A,FALSE,"Plan2"}</definedName>
    <definedName name="fffff" hidden="1">{#N/A,#N/A,FALSE,"Plan1";#N/A,#N/A,FALSE,"Plan2"}</definedName>
    <definedName name="FFFFFFF" localSheetId="12">#REF!</definedName>
    <definedName name="FFFFFFF" localSheetId="18">#REF!</definedName>
    <definedName name="FFFFFFF" localSheetId="20">#REF!</definedName>
    <definedName name="FFFFFFF" localSheetId="0">#REF!</definedName>
    <definedName name="FFFFFFF" localSheetId="8">#REF!</definedName>
    <definedName name="FFFFFFF" localSheetId="2">#REF!</definedName>
    <definedName name="FFFFFFF" localSheetId="9">#REF!</definedName>
    <definedName name="FFFFFFF" localSheetId="10">#REF!</definedName>
    <definedName name="FFFFFFF">#REF!</definedName>
    <definedName name="FFTY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5" hidden="1">{#N/A,#N/A,FALSE,"Plan1";#N/A,#N/A,FALSE,"Plan2"}</definedName>
    <definedName name="fg" hidden="1">{#N/A,#N/A,FALSE,"Plan1";#N/A,#N/A,FALSE,"Plan2"}</definedName>
    <definedName name="fgg" localSheetId="5" hidden="1">{"'장비'!$A$3:$M$12"}</definedName>
    <definedName name="fgg" hidden="1">{"'장비'!$A$3:$M$12"}</definedName>
    <definedName name="fghfh" localSheetId="5" hidden="1">{"'Estimativa de Lançamento-JAN'!$A$1:$AI$85"}</definedName>
    <definedName name="fghfh" hidden="1">{"'Estimativa de Lançamento-JAN'!$A$1:$AI$85"}</definedName>
    <definedName name="fghgfh" localSheetId="5" hidden="1">{#N/A,#N/A,FALSE,"Plan1";#N/A,#N/A,FALSE,"Plan2"}</definedName>
    <definedName name="fghgfh" hidden="1">{#N/A,#N/A,FALSE,"Plan1";#N/A,#N/A,FALSE,"Plan2"}</definedName>
    <definedName name="FGJHFGK" localSheetId="5" hidden="1">{#N/A,#N/A,FALSE,"Plan1";#N/A,#N/A,FALSE,"Plan2"}</definedName>
    <definedName name="FGJHFGK" hidden="1">{#N/A,#N/A,FALSE,"Plan1";#N/A,#N/A,FALSE,"Plan2"}</definedName>
    <definedName name="fgktyhd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5" hidden="1">{#N/A,#N/A,FALSE,"Plan1";#N/A,#N/A,FALSE,"Plan2"}</definedName>
    <definedName name="fgtrgty" hidden="1">{#N/A,#N/A,FALSE,"Plan1";#N/A,#N/A,FALSE,"Plan2"}</definedName>
    <definedName name="fgty" localSheetId="5" hidden="1">#REF!</definedName>
    <definedName name="fgty" hidden="1">#REF!</definedName>
    <definedName name="fhgjfgyt" localSheetId="5" hidden="1">{#N/A,#N/A,FALSE,"Plan1";#N/A,#N/A,FALSE,"Plan2"}</definedName>
    <definedName name="fhgjfgyt" hidden="1">{#N/A,#N/A,FALSE,"Plan1";#N/A,#N/A,FALSE,"Plan2"}</definedName>
    <definedName name="fhgjkhtrfg" localSheetId="5" hidden="1">{#N/A,#N/A,FALSE,"Plan1";#N/A,#N/A,FALSE,"Plan2"}</definedName>
    <definedName name="fhgjkhtrfg" hidden="1">{#N/A,#N/A,FALSE,"Plan1";#N/A,#N/A,FALSE,"Plan2"}</definedName>
    <definedName name="FHGTGSRSG" localSheetId="5" hidden="1">{#N/A,#N/A,FALSE,"Plan1";#N/A,#N/A,FALSE,"Plan2"}</definedName>
    <definedName name="FHGTGSRSG" hidden="1">{#N/A,#N/A,FALSE,"Plan1";#N/A,#N/A,FALSE,"Plan2"}</definedName>
    <definedName name="FIELD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5" hidden="1">{#N/A,#N/A,TRUE,"Quinzena 01 à 15-04-98 "}</definedName>
    <definedName name="FILTRO" hidden="1">{#N/A,#N/A,TRUE,"Quinzena 01 à 15-04-98 "}</definedName>
    <definedName name="Filtro_Rel_Sienge" localSheetId="5">#REF!</definedName>
    <definedName name="Filtro_Rel_Sienge">#REF!</definedName>
    <definedName name="Firs_hist" localSheetId="5">#REF!</definedName>
    <definedName name="Firs_hist">#REF!</definedName>
    <definedName name="First_cdi" localSheetId="5">#REF!</definedName>
    <definedName name="First_cdi">#REF!</definedName>
    <definedName name="First_uss" localSheetId="5">#REF!</definedName>
    <definedName name="First_uss">#REF!</definedName>
    <definedName name="fjdhfgjdhtgu" localSheetId="5" hidden="1">{#N/A,#N/A,FALSE,"Plan1";#N/A,#N/A,FALSE,"Plan2"}</definedName>
    <definedName name="fjdhfgjdhtgu" hidden="1">{#N/A,#N/A,FALSE,"Plan1";#N/A,#N/A,FALSE,"Plan2"}</definedName>
    <definedName name="fjfjg" localSheetId="5" hidden="1">{#N/A,#N/A,FALSE,"명세표"}</definedName>
    <definedName name="fjfjg" hidden="1">{#N/A,#N/A,FALSE,"명세표"}</definedName>
    <definedName name="FJG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5" hidden="1">{#N/A,#N/A,FALSE,"Plan1";#N/A,#N/A,FALSE,"Plan2"}</definedName>
    <definedName name="FJHJHG" hidden="1">{#N/A,#N/A,FALSE,"Plan1";#N/A,#N/A,FALSE,"Plan2"}</definedName>
    <definedName name="fjtgfh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5" hidden="1">{#N/A,#N/A,FALSE,"Plan1";#N/A,#N/A,FALSE,"Plan2"}</definedName>
    <definedName name="fkfw" hidden="1">{#N/A,#N/A,FALSE,"Plan1";#N/A,#N/A,FALSE,"Plan2"}</definedName>
    <definedName name="fl" localSheetId="5">#REF!</definedName>
    <definedName name="fl">#REF!</definedName>
    <definedName name="FL_1" localSheetId="5">#REF!</definedName>
    <definedName name="FL_1">#REF!</definedName>
    <definedName name="FL_2" localSheetId="5">#REF!</definedName>
    <definedName name="FL_2">#REF!</definedName>
    <definedName name="FL_3" localSheetId="5">#REF!</definedName>
    <definedName name="FL_3">#REF!</definedName>
    <definedName name="Fluxo_captação" localSheetId="5">#REF!</definedName>
    <definedName name="Fluxo_captação">#REF!</definedName>
    <definedName name="FOLHA2" localSheetId="5">#REF!</definedName>
    <definedName name="FOLHA2">#REF!</definedName>
    <definedName name="Format" localSheetId="5">#REF!</definedName>
    <definedName name="Format">#REF!</definedName>
    <definedName name="Formato_da_Loja" localSheetId="5">#REF!</definedName>
    <definedName name="Formato_da_Loja">#REF!</definedName>
    <definedName name="FORMULA" localSheetId="5">#REF!</definedName>
    <definedName name="FORMULA">#REF!</definedName>
    <definedName name="FORNECEDOR" localSheetId="5">OFFSET(#REF!,6,0,COUNTA(#REF!))</definedName>
    <definedName name="FORNECEDOR">OFFSET(#REF!,6,0,COUNTA(#REF!))</definedName>
    <definedName name="FORNECEDOR_2" localSheetId="5">OFFSET(#REF!,6,0,COUNTA(#REF!))</definedName>
    <definedName name="FORNECEDOR_2">OFFSET(#REF!,6,0,COUNTA(#REF!))</definedName>
    <definedName name="FORNECEDOR_3" localSheetId="5">OFFSET(#REF!,6,0,COUNTA(#REF!))</definedName>
    <definedName name="FORNECEDOR_3">OFFSET(#REF!,6,0,COUNTA(#REF!))</definedName>
    <definedName name="FORNECEDOR_4" localSheetId="5">OFFSET(#REF!,6,0,COUNTA(#REF!))</definedName>
    <definedName name="FORNECEDOR_4">OFFSET(#REF!,6,0,COUNTA(#REF!))</definedName>
    <definedName name="FORNECEDOR_5" localSheetId="5">OFFSET(#REF!,6,0,COUNTA(#REF!))</definedName>
    <definedName name="FORNECEDOR_5">OFFSET(#REF!,6,0,COUNTA(#REF!))</definedName>
    <definedName name="FORNECEDOR_7" localSheetId="5">OFFSET(#REF!,6,0,COUNTA(#REF!))</definedName>
    <definedName name="FORNECEDOR_7">OFFSET(#REF!,6,0,COUNTA(#REF!))</definedName>
    <definedName name="FORNECEDOR_8" localSheetId="5">OFFSET(#REF!,6,0,COUNTA(#REF!))</definedName>
    <definedName name="FORNECEDOR_8">OFFSET(#REF!,6,0,COUNTA(#REF!))</definedName>
    <definedName name="frçt4r" localSheetId="5" hidden="1">{#N/A,#N/A,FALSE,"Plan1";#N/A,#N/A,FALSE,"Plan2"}</definedName>
    <definedName name="frçt4r" hidden="1">{#N/A,#N/A,FALSE,"Plan1";#N/A,#N/A,FALSE,"Plan2"}</definedName>
    <definedName name="frdtty" localSheetId="5" hidden="1">{#N/A,#N/A,FALSE,"Plan1";#N/A,#N/A,FALSE,"Plan2"}</definedName>
    <definedName name="frdtty" hidden="1">{#N/A,#N/A,FALSE,"Plan1";#N/A,#N/A,FALSE,"Plan2"}</definedName>
    <definedName name="fsdfs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5" hidden="1">{#N/A,#N/A,FALSE,"Plan1";#N/A,#N/A,FALSE,"Plan2"}</definedName>
    <definedName name="fuihgjk" hidden="1">{#N/A,#N/A,FALSE,"Plan1";#N/A,#N/A,FALSE,"Plan2"}</definedName>
    <definedName name="fuste" localSheetId="5">#REF!</definedName>
    <definedName name="fuste">#REF!</definedName>
    <definedName name="fxjghkfg" localSheetId="5" hidden="1">{#N/A,#N/A,FALSE,"Plan1";#N/A,#N/A,FALSE,"Plan2"}</definedName>
    <definedName name="fxjghkfg" hidden="1">{#N/A,#N/A,FALSE,"Plan1";#N/A,#N/A,FALSE,"Plan2"}</definedName>
    <definedName name="g_10" localSheetId="5">#REF!</definedName>
    <definedName name="g_10">#REF!</definedName>
    <definedName name="g_11" localSheetId="5">#REF!</definedName>
    <definedName name="g_11">#REF!</definedName>
    <definedName name="g_12" localSheetId="5">#REF!</definedName>
    <definedName name="g_12">#REF!</definedName>
    <definedName name="g_13" localSheetId="5">#REF!</definedName>
    <definedName name="g_13">#REF!</definedName>
    <definedName name="g_15" localSheetId="5">#REF!</definedName>
    <definedName name="g_15">#REF!</definedName>
    <definedName name="g_16" localSheetId="5">#REF!</definedName>
    <definedName name="g_16">#REF!</definedName>
    <definedName name="g_17" localSheetId="5">#REF!</definedName>
    <definedName name="g_17">#REF!</definedName>
    <definedName name="g_19" localSheetId="5">#REF!</definedName>
    <definedName name="g_19">#REF!</definedName>
    <definedName name="g_21" localSheetId="5">#REF!</definedName>
    <definedName name="g_21">#REF!</definedName>
    <definedName name="g_25" localSheetId="5">#REF!</definedName>
    <definedName name="g_25">#REF!</definedName>
    <definedName name="g_27" localSheetId="5">#REF!</definedName>
    <definedName name="g_27">#REF!</definedName>
    <definedName name="g_31" localSheetId="5">#REF!</definedName>
    <definedName name="g_31">#REF!</definedName>
    <definedName name="g_32" localSheetId="5">#REF!</definedName>
    <definedName name="g_32">#REF!</definedName>
    <definedName name="g_33" localSheetId="5">#REF!</definedName>
    <definedName name="g_33">#REF!</definedName>
    <definedName name="g_34" localSheetId="5">#REF!</definedName>
    <definedName name="g_34">#REF!</definedName>
    <definedName name="G_35" localSheetId="5">#REF!</definedName>
    <definedName name="G_35">#REF!</definedName>
    <definedName name="g_37" localSheetId="5">#REF!</definedName>
    <definedName name="g_37">#REF!</definedName>
    <definedName name="g_41" localSheetId="5">#REF!</definedName>
    <definedName name="g_41">#REF!</definedName>
    <definedName name="g_42" localSheetId="5">#REF!</definedName>
    <definedName name="g_42">#REF!</definedName>
    <definedName name="g_45" localSheetId="5">#REF!</definedName>
    <definedName name="g_45">#REF!</definedName>
    <definedName name="g_47" localSheetId="5">#REF!</definedName>
    <definedName name="g_47">#REF!</definedName>
    <definedName name="g_51" localSheetId="5">#REF!</definedName>
    <definedName name="g_51">#REF!</definedName>
    <definedName name="g_52" localSheetId="5">#REF!</definedName>
    <definedName name="g_52">#REF!</definedName>
    <definedName name="g_53" localSheetId="5">#REF!</definedName>
    <definedName name="g_53">#REF!</definedName>
    <definedName name="G_54" localSheetId="5">#REF!</definedName>
    <definedName name="G_54">#REF!</definedName>
    <definedName name="G_55" localSheetId="5">#REF!</definedName>
    <definedName name="G_55">#REF!</definedName>
    <definedName name="G_56" localSheetId="5">#REF!</definedName>
    <definedName name="G_56">#REF!</definedName>
    <definedName name="G_57" localSheetId="5">#REF!</definedName>
    <definedName name="G_57">#REF!</definedName>
    <definedName name="G_58" localSheetId="5">#REF!</definedName>
    <definedName name="G_58">#REF!</definedName>
    <definedName name="G_59" localSheetId="5">#REF!</definedName>
    <definedName name="G_59">#REF!</definedName>
    <definedName name="G_61" localSheetId="5">#REF!</definedName>
    <definedName name="G_61">#REF!</definedName>
    <definedName name="G_63" localSheetId="5">#REF!</definedName>
    <definedName name="G_63">#REF!</definedName>
    <definedName name="G_65" localSheetId="5">#REF!</definedName>
    <definedName name="G_65">#REF!</definedName>
    <definedName name="G_67" localSheetId="5">#REF!</definedName>
    <definedName name="G_67">#REF!</definedName>
    <definedName name="g_68" localSheetId="5">#REF!</definedName>
    <definedName name="g_68">#REF!</definedName>
    <definedName name="g_69" localSheetId="5">#REF!</definedName>
    <definedName name="g_69">#REF!</definedName>
    <definedName name="G_71" localSheetId="5">#REF!</definedName>
    <definedName name="G_71">#REF!</definedName>
    <definedName name="G_73" localSheetId="5">#REF!</definedName>
    <definedName name="G_73">#REF!</definedName>
    <definedName name="G_75" localSheetId="5">#REF!</definedName>
    <definedName name="G_75">#REF!</definedName>
    <definedName name="G_77" localSheetId="5">#REF!</definedName>
    <definedName name="G_77">#REF!</definedName>
    <definedName name="G_78" localSheetId="5">#REF!</definedName>
    <definedName name="G_78">#REF!</definedName>
    <definedName name="G_81" localSheetId="5">#REF!</definedName>
    <definedName name="G_81">#REF!</definedName>
    <definedName name="G_83" localSheetId="5">#REF!</definedName>
    <definedName name="G_83">#REF!</definedName>
    <definedName name="G_85" localSheetId="5">#REF!</definedName>
    <definedName name="G_85">#REF!</definedName>
    <definedName name="G_87" localSheetId="5">#REF!</definedName>
    <definedName name="G_87">#REF!</definedName>
    <definedName name="G_90" localSheetId="5">#REF!</definedName>
    <definedName name="G_90">#REF!</definedName>
    <definedName name="G_91" localSheetId="5">#REF!</definedName>
    <definedName name="G_91">#REF!</definedName>
    <definedName name="G_92" localSheetId="5">#REF!</definedName>
    <definedName name="G_92">#REF!</definedName>
    <definedName name="G_94" localSheetId="5">#REF!</definedName>
    <definedName name="G_94">#REF!</definedName>
    <definedName name="G_95" localSheetId="5">#REF!</definedName>
    <definedName name="G_95">#REF!</definedName>
    <definedName name="G_96" localSheetId="5">#REF!</definedName>
    <definedName name="G_96">#REF!</definedName>
    <definedName name="gal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5">#REF!</definedName>
    <definedName name="GARAGEM">#REF!</definedName>
    <definedName name="garcia" localSheetId="5">#REF!</definedName>
    <definedName name="garcia">#REF!</definedName>
    <definedName name="GASTOS_JULHO" localSheetId="5">#REF!</definedName>
    <definedName name="GASTOS_JULHO">#REF!</definedName>
    <definedName name="gbdjkvhgd" localSheetId="5" hidden="1">{#N/A,#N/A,FALSE,"Plan1";#N/A,#N/A,FALSE,"Plan2"}</definedName>
    <definedName name="gbdjkvhgd" hidden="1">{#N/A,#N/A,FALSE,"Plan1";#N/A,#N/A,FALSE,"Plan2"}</definedName>
    <definedName name="gbdsjgsjfdgj" localSheetId="5" hidden="1">{#N/A,#N/A,FALSE,"Plan1";#N/A,#N/A,FALSE,"Plan2"}</definedName>
    <definedName name="gbdsjgsjfdgj" hidden="1">{#N/A,#N/A,FALSE,"Plan1";#N/A,#N/A,FALSE,"Plan2"}</definedName>
    <definedName name="gdfdhgfjgj" localSheetId="5" hidden="1">{#N/A,#N/A,FALSE,"Plan1";#N/A,#N/A,FALSE,"Plan2"}</definedName>
    <definedName name="gdfdhgfjgj" hidden="1">{#N/A,#N/A,FALSE,"Plan1";#N/A,#N/A,FALSE,"Plan2"}</definedName>
    <definedName name="gdfgdstggt" localSheetId="5" hidden="1">{#N/A,#N/A,FALSE,"Plan1";#N/A,#N/A,FALSE,"Plan2"}</definedName>
    <definedName name="gdfgdstggt" hidden="1">{#N/A,#N/A,FALSE,"Plan1";#N/A,#N/A,FALSE,"Plan2"}</definedName>
    <definedName name="GDFHGRJGFJDRF" localSheetId="5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5" hidden="1">{#N/A,#N/A,FALSE,"Plan1";#N/A,#N/A,FALSE,"Plan2"}</definedName>
    <definedName name="gdfigfhuyuy" hidden="1">{#N/A,#N/A,FALSE,"Plan1";#N/A,#N/A,FALSE,"Plan2"}</definedName>
    <definedName name="gdfsgfew" localSheetId="5" hidden="1">{#N/A,#N/A,FALSE,"Plan1";#N/A,#N/A,FALSE,"Plan2"}</definedName>
    <definedName name="gdfsgfew" hidden="1">{#N/A,#N/A,FALSE,"Plan1";#N/A,#N/A,FALSE,"Plan2"}</definedName>
    <definedName name="gdhfgdhfgf" localSheetId="5" hidden="1">{#N/A,#N/A,FALSE,"Plan1";#N/A,#N/A,FALSE,"Plan2"}</definedName>
    <definedName name="gdhfgdhfgf" hidden="1">{#N/A,#N/A,FALSE,"Plan1";#N/A,#N/A,FALSE,"Plan2"}</definedName>
    <definedName name="gdsfhefrwrw" localSheetId="5" hidden="1">{#N/A,#N/A,FALSE,"Plan1";#N/A,#N/A,FALSE,"Plan2"}</definedName>
    <definedName name="gdsfhefrwrw" hidden="1">{#N/A,#N/A,FALSE,"Plan1";#N/A,#N/A,FALSE,"Plan2"}</definedName>
    <definedName name="GER_TECNICO" localSheetId="5">#REF!</definedName>
    <definedName name="GER_TECNICO">#REF!</definedName>
    <definedName name="Gerentes" localSheetId="5">#REF!</definedName>
    <definedName name="Gerentes">#REF!</definedName>
    <definedName name="geshrjhed" localSheetId="5" hidden="1">{#N/A,#N/A,FALSE,"Plan1";#N/A,#N/A,FALSE,"Plan2"}</definedName>
    <definedName name="geshrjhed" hidden="1">{#N/A,#N/A,FALSE,"Plan1";#N/A,#N/A,FALSE,"Plan2"}</definedName>
    <definedName name="gestao" localSheetId="5" hidden="1">OFFSET(INDEX(#REF!,MATCH(#REF!,#REF!,0)),1,0,COUNTA(#REF!)-1)</definedName>
    <definedName name="gestao" hidden="1">OFFSET(INDEX(#REF!,MATCH(#REF!,#REF!,0)),1,0,COUNTA(#REF!)-1)</definedName>
    <definedName name="gfdcgnkf" localSheetId="5" hidden="1">{#N/A,#N/A,FALSE,"Plan1";#N/A,#N/A,FALSE,"Plan2"}</definedName>
    <definedName name="gfdcgnkf" hidden="1">{#N/A,#N/A,FALSE,"Plan1";#N/A,#N/A,FALSE,"Plan2"}</definedName>
    <definedName name="gfdjtgur" localSheetId="5" hidden="1">{#N/A,#N/A,FALSE,"Plan1";#N/A,#N/A,FALSE,"Plan2"}</definedName>
    <definedName name="gfdjtgur" hidden="1">{#N/A,#N/A,FALSE,"Plan1";#N/A,#N/A,FALSE,"Plan2"}</definedName>
    <definedName name="gfdrtg" localSheetId="5" hidden="1">#REF!</definedName>
    <definedName name="gfdrtg" hidden="1">#REF!</definedName>
    <definedName name="gfgdhxgfdhf" localSheetId="5" hidden="1">{#N/A,#N/A,FALSE,"Plan1";#N/A,#N/A,FALSE,"Plan2"}</definedName>
    <definedName name="gfgdhxgfdhf" hidden="1">{#N/A,#N/A,FALSE,"Plan1";#N/A,#N/A,FALSE,"Plan2"}</definedName>
    <definedName name="gfhfdtgjb" localSheetId="5" hidden="1">{#N/A,#N/A,FALSE,"Plan1";#N/A,#N/A,FALSE,"Plan2"}</definedName>
    <definedName name="gfhfdtgjb" hidden="1">{#N/A,#N/A,FALSE,"Plan1";#N/A,#N/A,FALSE,"Plan2"}</definedName>
    <definedName name="gfjdshrtjhtged" localSheetId="5" hidden="1">{#N/A,#N/A,FALSE,"Plan1";#N/A,#N/A,FALSE,"Plan2"}</definedName>
    <definedName name="gfjdshrtjhtged" hidden="1">{#N/A,#N/A,FALSE,"Plan1";#N/A,#N/A,FALSE,"Plan2"}</definedName>
    <definedName name="gfjgkddgfd" localSheetId="5" hidden="1">{#N/A,#N/A,FALSE,"Plan1";#N/A,#N/A,FALSE,"Plan2"}</definedName>
    <definedName name="gfjgkddgfd" hidden="1">{#N/A,#N/A,FALSE,"Plan1";#N/A,#N/A,FALSE,"Plan2"}</definedName>
    <definedName name="gfsghjdgygr" localSheetId="5" hidden="1">{#N/A,#N/A,FALSE,"Plan1";#N/A,#N/A,FALSE,"Plan2"}</definedName>
    <definedName name="gfsghjdgygr" hidden="1">{#N/A,#N/A,FALSE,"Plan1";#N/A,#N/A,FALSE,"Plan2"}</definedName>
    <definedName name="gftfy" localSheetId="5" hidden="1">{#N/A,#N/A,FALSE,"Plan1";#N/A,#N/A,FALSE,"Plan2"}</definedName>
    <definedName name="gftfy" hidden="1">{#N/A,#N/A,FALSE,"Plan1";#N/A,#N/A,FALSE,"Plan2"}</definedName>
    <definedName name="gfty" localSheetId="5" hidden="1">{#N/A,#N/A,FALSE,"Plan1";#N/A,#N/A,FALSE,"Plan2"}</definedName>
    <definedName name="gfty" hidden="1">{#N/A,#N/A,FALSE,"Plan1";#N/A,#N/A,FALSE,"Plan2"}</definedName>
    <definedName name="GFUJU9" localSheetId="5" hidden="1">{#N/A,#N/A,FALSE,"Plan1";#N/A,#N/A,FALSE,"Plan2"}</definedName>
    <definedName name="GFUJU9" hidden="1">{#N/A,#N/A,FALSE,"Plan1";#N/A,#N/A,FALSE,"Plan2"}</definedName>
    <definedName name="ggg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5" hidden="1">{#N/A,#N/A,FALSE,"Plan1";#N/A,#N/A,FALSE,"Plan2"}</definedName>
    <definedName name="GGGG" hidden="1">{#N/A,#N/A,FALSE,"Plan1";#N/A,#N/A,FALSE,"Plan2"}</definedName>
    <definedName name="ggggggggg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5" hidden="1">{"'장비'!$A$3:$M$12"}</definedName>
    <definedName name="gh" hidden="1">{"'장비'!$A$3:$M$12"}</definedName>
    <definedName name="ghfgdfrtert" localSheetId="5" hidden="1">{#N/A,#N/A,FALSE,"Plan1";#N/A,#N/A,FALSE,"Plan2"}</definedName>
    <definedName name="ghfgdfrtert" hidden="1">{#N/A,#N/A,FALSE,"Plan1";#N/A,#N/A,FALSE,"Plan2"}</definedName>
    <definedName name="ghfhghft" localSheetId="5" hidden="1">{#N/A,#N/A,FALSE,"Plan1";#N/A,#N/A,FALSE,"Plan2"}</definedName>
    <definedName name="ghfhghft" hidden="1">{#N/A,#N/A,FALSE,"Plan1";#N/A,#N/A,FALSE,"Plan2"}</definedName>
    <definedName name="ghjg" localSheetId="5" hidden="1">{"'Estimativa de Lançamento-JAN'!$A$1:$AI$85"}</definedName>
    <definedName name="ghjg" hidden="1">{"'Estimativa de Lançamento-JAN'!$A$1:$AI$85"}</definedName>
    <definedName name="ghkfhgh" localSheetId="5" hidden="1">{#N/A,#N/A,FALSE,"Plan1";#N/A,#N/A,FALSE,"Plan2"}</definedName>
    <definedName name="ghkfhgh" hidden="1">{#N/A,#N/A,FALSE,"Plan1";#N/A,#N/A,FALSE,"Plan2"}</definedName>
    <definedName name="ghkjh" localSheetId="5" hidden="1">{#N/A,#N/A,FALSE,"ENG'G(보호계전기)"}</definedName>
    <definedName name="ghkjh" hidden="1">{#N/A,#N/A,FALSE,"ENG'G(보호계전기)"}</definedName>
    <definedName name="GJ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5" hidden="1">{#N/A,#N/A,FALSE,"Plan1";#N/A,#N/A,FALSE,"Plan2"}</definedName>
    <definedName name="gjfhjktgcf" hidden="1">{#N/A,#N/A,FALSE,"Plan1";#N/A,#N/A,FALSE,"Plan2"}</definedName>
    <definedName name="GJ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5" hidden="1">{#N/A,#N/A,FALSE,"Plan1";#N/A,#N/A,FALSE,"Plan2"}</definedName>
    <definedName name="gjkhgjhjfggfjhfg" hidden="1">{#N/A,#N/A,FALSE,"Plan1";#N/A,#N/A,FALSE,"Plan2"}</definedName>
    <definedName name="glgl" localSheetId="5" hidden="1">{#N/A,#N/A,FALSE,"Plan1";#N/A,#N/A,FALSE,"Plan2"}</definedName>
    <definedName name="glgl" hidden="1">{#N/A,#N/A,FALSE,"Plan1";#N/A,#N/A,FALSE,"Plan2"}</definedName>
    <definedName name="GLOBAL" localSheetId="5">#REF!</definedName>
    <definedName name="GLOBAL">#REF!</definedName>
    <definedName name="gnfrt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5">#REF!</definedName>
    <definedName name="grec_cdi">#REF!</definedName>
    <definedName name="grec_hist" localSheetId="5">#REF!</definedName>
    <definedName name="grec_hist">#REF!</definedName>
    <definedName name="grec_uss" localSheetId="5">#REF!</definedName>
    <definedName name="grec_uss">#REF!</definedName>
    <definedName name="grua" localSheetId="5">#REF!</definedName>
    <definedName name="grua">#REF!</definedName>
    <definedName name="GSDWJSTG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5" hidden="1">{#N/A,#N/A,FALSE,"Plan1";#N/A,#N/A,FALSE,"Plan2"}</definedName>
    <definedName name="gtuigsdyugsdf" hidden="1">{#N/A,#N/A,FALSE,"Plan1";#N/A,#N/A,FALSE,"Plan2"}</definedName>
    <definedName name="GUI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5" hidden="1">{#N/A,#N/A,FALSE,"CCTV"}</definedName>
    <definedName name="GV" hidden="1">{#N/A,#N/A,FALSE,"CCTV"}</definedName>
    <definedName name="h" localSheetId="5">#REF!</definedName>
    <definedName name="h">#REF!</definedName>
    <definedName name="hbjgjuae" localSheetId="5">#REF!</definedName>
    <definedName name="hbjgjuae">#REF!</definedName>
    <definedName name="hcjfkhdghfktg" localSheetId="5" hidden="1">{#N/A,#N/A,FALSE,"Plan1";#N/A,#N/A,FALSE,"Plan2"}</definedName>
    <definedName name="hcjfkhdghfktg" hidden="1">{#N/A,#N/A,FALSE,"Plan1";#N/A,#N/A,FALSE,"Plan2"}</definedName>
    <definedName name="hckhjfdkgfdg" localSheetId="5" hidden="1">#REF!</definedName>
    <definedName name="hckhjfdkgfdg" hidden="1">#REF!</definedName>
    <definedName name="hddfndgdf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5" hidden="1">{#N/A,#N/A,FALSE,"Plan1";#N/A,#N/A,FALSE,"Plan2"}</definedName>
    <definedName name="HDFGHGST" hidden="1">{#N/A,#N/A,FALSE,"Plan1";#N/A,#N/A,FALSE,"Plan2"}</definedName>
    <definedName name="HDFGJKHKFDHTY" localSheetId="5" hidden="1">{#N/A,#N/A,FALSE,"Plan1";#N/A,#N/A,FALSE,"Plan2"}</definedName>
    <definedName name="HDFGJKHKFDHTY" hidden="1">{#N/A,#N/A,FALSE,"Plan1";#N/A,#N/A,FALSE,"Plan2"}</definedName>
    <definedName name="hdfhdhrtgd" localSheetId="5" hidden="1">{#N/A,#N/A,FALSE,"Plan1";#N/A,#N/A,FALSE,"Plan2"}</definedName>
    <definedName name="hdfhdhrtgd" hidden="1">{#N/A,#N/A,FALSE,"Plan1";#N/A,#N/A,FALSE,"Plan2"}</definedName>
    <definedName name="hdfhftde" localSheetId="5" hidden="1">{#N/A,#N/A,FALSE,"Plan1";#N/A,#N/A,FALSE,"Plan2"}</definedName>
    <definedName name="hdfhftde" hidden="1">{#N/A,#N/A,FALSE,"Plan1";#N/A,#N/A,FALSE,"Plan2"}</definedName>
    <definedName name="hdfhgkdhgtrf" localSheetId="5" hidden="1">{#N/A,#N/A,FALSE,"Plan1";#N/A,#N/A,FALSE,"Plan2"}</definedName>
    <definedName name="hdfhgkdhgtrf" hidden="1">{#N/A,#N/A,FALSE,"Plan1";#N/A,#N/A,FALSE,"Plan2"}</definedName>
    <definedName name="hdfjhdkzhgdr" localSheetId="5" hidden="1">{#N/A,#N/A,FALSE,"Plan1";#N/A,#N/A,FALSE,"Plan2"}</definedName>
    <definedName name="hdfjhdkzhgdr" hidden="1">{#N/A,#N/A,FALSE,"Plan1";#N/A,#N/A,FALSE,"Plan2"}</definedName>
    <definedName name="hdfjkgvjgtd" localSheetId="5" hidden="1">{#N/A,#N/A,FALSE,"Plan1";#N/A,#N/A,FALSE,"Plan2"}</definedName>
    <definedName name="hdfjkgvjgtd" hidden="1">{#N/A,#N/A,FALSE,"Plan1";#N/A,#N/A,FALSE,"Plan2"}</definedName>
    <definedName name="hdfjkhdhrute" localSheetId="5" hidden="1">{#N/A,#N/A,FALSE,"Plan1";#N/A,#N/A,FALSE,"Plan2"}</definedName>
    <definedName name="hdfjkhdhrute" hidden="1">{#N/A,#N/A,FALSE,"Plan1";#N/A,#N/A,FALSE,"Plan2"}</definedName>
    <definedName name="HDFKGVF" localSheetId="5" hidden="1">{#N/A,#N/A,FALSE,"Plan1";#N/A,#N/A,FALSE,"Plan2"}</definedName>
    <definedName name="HDFKGVF" hidden="1">{#N/A,#N/A,FALSE,"Plan1";#N/A,#N/A,FALSE,"Plan2"}</definedName>
    <definedName name="hdgfhdgtdrt" localSheetId="5" hidden="1">{#N/A,#N/A,FALSE,"Plan1";#N/A,#N/A,FALSE,"Plan2"}</definedName>
    <definedName name="hdgfhdgtdrt" hidden="1">{#N/A,#N/A,FALSE,"Plan1";#N/A,#N/A,FALSE,"Plan2"}</definedName>
    <definedName name="hdghgtgtrgd" localSheetId="5" hidden="1">{#N/A,#N/A,FALSE,"Plan1";#N/A,#N/A,FALSE,"Plan2"}</definedName>
    <definedName name="hdghgtgtrgd" hidden="1">{#N/A,#N/A,FALSE,"Plan1";#N/A,#N/A,FALSE,"Plan2"}</definedName>
    <definedName name="HDHDGHTUHDTG" localSheetId="5" hidden="1">{#N/A,#N/A,FALSE,"Plan1";#N/A,#N/A,FALSE,"Plan2"}</definedName>
    <definedName name="HDHDGHTUHDTG" hidden="1">{#N/A,#N/A,FALSE,"Plan1";#N/A,#N/A,FALSE,"Plan2"}</definedName>
    <definedName name="hdhghfthrrhy" localSheetId="5" hidden="1">{#N/A,#N/A,FALSE,"Plan1";#N/A,#N/A,FALSE,"Plan2"}</definedName>
    <definedName name="hdhghfthrrhy" hidden="1">{#N/A,#N/A,FALSE,"Plan1";#N/A,#N/A,FALSE,"Plan2"}</definedName>
    <definedName name="hdkfjhydjh" localSheetId="5" hidden="1">{#N/A,#N/A,FALSE,"Plan1";#N/A,#N/A,FALSE,"Plan2"}</definedName>
    <definedName name="hdkfjhydjh" hidden="1">{#N/A,#N/A,FALSE,"Plan1";#N/A,#N/A,FALSE,"Plan2"}</definedName>
    <definedName name="hdsgfgrrdgr" localSheetId="5" hidden="1">{#N/A,#N/A,FALSE,"Plan1";#N/A,#N/A,FALSE,"Plan2"}</definedName>
    <definedName name="hdsgfgrrdgr" hidden="1">{#N/A,#N/A,FALSE,"Plan1";#N/A,#N/A,FALSE,"Plan2"}</definedName>
    <definedName name="hdtertkkdsa" localSheetId="5" hidden="1">{#N/A,#N/A,FALSE,"Plan1";#N/A,#N/A,FALSE,"Plan2"}</definedName>
    <definedName name="hdtertkkdsa" hidden="1">{#N/A,#N/A,FALSE,"Plan1";#N/A,#N/A,FALSE,"Plan2"}</definedName>
    <definedName name="Header" localSheetId="5">#REF!</definedName>
    <definedName name="Header">#REF!</definedName>
    <definedName name="HEDHA" localSheetId="5" hidden="1">{#N/A,#N/A,FALSE,"Plan1";#N/A,#N/A,FALSE,"Plan2"}</definedName>
    <definedName name="HEDHA" hidden="1">{#N/A,#N/A,FALSE,"Plan1";#N/A,#N/A,FALSE,"Plan2"}</definedName>
    <definedName name="heif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5">#REF!</definedName>
    <definedName name="HELP">#REF!</definedName>
    <definedName name="herkfdshfker" localSheetId="5" hidden="1">{#N/A,#N/A,FALSE,"Plan1";#N/A,#N/A,FALSE,"Plan2"}</definedName>
    <definedName name="herkfdshfker" hidden="1">{#N/A,#N/A,FALSE,"Plan1";#N/A,#N/A,FALSE,"Plan2"}</definedName>
    <definedName name="hersdtretyt" localSheetId="5" hidden="1">{#N/A,#N/A,FALSE,"Plan1";#N/A,#N/A,FALSE,"Plan2"}</definedName>
    <definedName name="hersdtretyt" hidden="1">{#N/A,#N/A,FALSE,"Plan1";#N/A,#N/A,FALSE,"Plan2"}</definedName>
    <definedName name="HFDJTHTRS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5" hidden="1">{#N/A,#N/A,FALSE,"Plan1";#N/A,#N/A,FALSE,"Plan2"}</definedName>
    <definedName name="HFDKHGFR" hidden="1">{#N/A,#N/A,FALSE,"Plan1";#N/A,#N/A,FALSE,"Plan2"}</definedName>
    <definedName name="hfdkhgkfdhtj" localSheetId="5" hidden="1">{#N/A,#N/A,FALSE,"Plan1";#N/A,#N/A,FALSE,"Plan2"}</definedName>
    <definedName name="hfdkhgkfdhtj" hidden="1">{#N/A,#N/A,FALSE,"Plan1";#N/A,#N/A,FALSE,"Plan2"}</definedName>
    <definedName name="hfgfktgkhyt" localSheetId="5" hidden="1">{#N/A,#N/A,FALSE,"Plan1";#N/A,#N/A,FALSE,"Plan2"}</definedName>
    <definedName name="hfgfktgkhyt" hidden="1">{#N/A,#N/A,FALSE,"Plan1";#N/A,#N/A,FALSE,"Plan2"}</definedName>
    <definedName name="hfghdkhrgkjg" localSheetId="5" hidden="1">{#N/A,#N/A,FALSE,"Plan1";#N/A,#N/A,FALSE,"Plan2"}</definedName>
    <definedName name="hfghdkhrgkjg" hidden="1">{#N/A,#N/A,FALSE,"Plan1";#N/A,#N/A,FALSE,"Plan2"}</definedName>
    <definedName name="hfighfth" localSheetId="5" hidden="1">{#N/A,#N/A,FALSE,"Plan1";#N/A,#N/A,FALSE,"Plan2"}</definedName>
    <definedName name="hfighfth" hidden="1">{#N/A,#N/A,FALSE,"Plan1";#N/A,#N/A,FALSE,"Plan2"}</definedName>
    <definedName name="hfjghtfuyrf" localSheetId="5" hidden="1">{#N/A,#N/A,FALSE,"Plan1";#N/A,#N/A,FALSE,"Plan2"}</definedName>
    <definedName name="hfjghtfuyrf" hidden="1">{#N/A,#N/A,FALSE,"Plan1";#N/A,#N/A,FALSE,"Plan2"}</definedName>
    <definedName name="HFKJHDJGHFJ" localSheetId="5" hidden="1">{#N/A,#N/A,FALSE,"Plan1";#N/A,#N/A,FALSE,"Plan2"}</definedName>
    <definedName name="HFKJHDJGHFJ" hidden="1">{#N/A,#N/A,FALSE,"Plan1";#N/A,#N/A,FALSE,"Plan2"}</definedName>
    <definedName name="hgdesgfgsj" localSheetId="5" hidden="1">{#N/A,#N/A,FALSE,"Plan1";#N/A,#N/A,FALSE,"Plan2"}</definedName>
    <definedName name="hgdesgfgsj" hidden="1">{#N/A,#N/A,FALSE,"Plan1";#N/A,#N/A,FALSE,"Plan2"}</definedName>
    <definedName name="hgdgfd" localSheetId="5" hidden="1">{#N/A,#N/A,FALSE,"Plan1";#N/A,#N/A,FALSE,"Plan2"}</definedName>
    <definedName name="hgdgfd" hidden="1">{#N/A,#N/A,FALSE,"Plan1";#N/A,#N/A,FALSE,"Plan2"}</definedName>
    <definedName name="hgfhjkdfhj" localSheetId="5" hidden="1">{#N/A,#N/A,FALSE,"Plan1";#N/A,#N/A,FALSE,"Plan2"}</definedName>
    <definedName name="hgfhjkdfhj" hidden="1">{#N/A,#N/A,FALSE,"Plan1";#N/A,#N/A,FALSE,"Plan2"}</definedName>
    <definedName name="hgg" localSheetId="5" hidden="1">{#N/A,#N/A,FALSE,"Plan1";#N/A,#N/A,FALSE,"Plan2"}</definedName>
    <definedName name="hgg" hidden="1">{#N/A,#N/A,FALSE,"Plan1";#N/A,#N/A,FALSE,"Plan2"}</definedName>
    <definedName name="hgjdfgghg" localSheetId="5" hidden="1">{#N/A,#N/A,FALSE,"Plan1";#N/A,#N/A,FALSE,"Plan2"}</definedName>
    <definedName name="hgjdfgghg" hidden="1">{#N/A,#N/A,FALSE,"Plan1";#N/A,#N/A,FALSE,"Plan2"}</definedName>
    <definedName name="hgjkfdhg" localSheetId="5" hidden="1">{#N/A,#N/A,FALSE,"Plan1";#N/A,#N/A,FALSE,"Plan2"}</definedName>
    <definedName name="hgjkfdhg" hidden="1">{#N/A,#N/A,FALSE,"Plan1";#N/A,#N/A,FALSE,"Plan2"}</definedName>
    <definedName name="hgkdfhkfk" localSheetId="5" hidden="1">{#N/A,#N/A,FALSE,"Plan1";#N/A,#N/A,FALSE,"Plan2"}</definedName>
    <definedName name="hgkdfhkfk" hidden="1">{#N/A,#N/A,FALSE,"Plan1";#N/A,#N/A,FALSE,"Plan2"}</definedName>
    <definedName name="hgkjhdfhtrdyt" localSheetId="5" hidden="1">{#N/A,#N/A,FALSE,"Plan1";#N/A,#N/A,FALSE,"Plan2"}</definedName>
    <definedName name="hgkjhdfhtrdyt" hidden="1">{#N/A,#N/A,FALSE,"Plan1";#N/A,#N/A,FALSE,"Plan2"}</definedName>
    <definedName name="hgkjhdfkhgtfhg" localSheetId="5" hidden="1">{#N/A,#N/A,FALSE,"Plan1";#N/A,#N/A,FALSE,"Plan2"}</definedName>
    <definedName name="hgkjhdfkhgtfhg" hidden="1">{#N/A,#N/A,FALSE,"Plan1";#N/A,#N/A,FALSE,"Plan2"}</definedName>
    <definedName name="hgkjhkfhsdkdhgk" localSheetId="5" hidden="1">{#N/A,#N/A,FALSE,"Plan1";#N/A,#N/A,FALSE,"Plan2"}</definedName>
    <definedName name="hgkjhkfhsdkdhgk" hidden="1">{#N/A,#N/A,FALSE,"Plan1";#N/A,#N/A,FALSE,"Plan2"}</definedName>
    <definedName name="hgsufgdhghd" localSheetId="5" hidden="1">{#N/A,#N/A,FALSE,"Plan1";#N/A,#N/A,FALSE,"Plan2"}</definedName>
    <definedName name="hgsufgdhghd" hidden="1">{#N/A,#N/A,FALSE,"Plan1";#N/A,#N/A,FALSE,"Plan2"}</definedName>
    <definedName name="HHGFHTYUT" localSheetId="5" hidden="1">{#N/A,#N/A,FALSE,"Plan1";#N/A,#N/A,FALSE,"Plan2"}</definedName>
    <definedName name="HHGFHTYUT" hidden="1">{#N/A,#N/A,FALSE,"Plan1";#N/A,#N/A,FALSE,"Plan2"}</definedName>
    <definedName name="hhh" localSheetId="5" hidden="1">{"'Total'!$A$1","'Total'!$A$3"}</definedName>
    <definedName name="hhh" hidden="1">{"'Total'!$A$1","'Total'!$A$3"}</definedName>
    <definedName name="HHIHLK" localSheetId="5" hidden="1">#REF!</definedName>
    <definedName name="HHIHLK" hidden="1">#REF!</definedName>
    <definedName name="hik" localSheetId="5" hidden="1">{#N/A,#N/A,FALSE,"TABLE"}</definedName>
    <definedName name="hik" hidden="1">{#N/A,#N/A,FALSE,"TABLE"}</definedName>
    <definedName name="hist" localSheetId="5">#REF!</definedName>
    <definedName name="hist">#REF!</definedName>
    <definedName name="HIST1" localSheetId="5">#REF!</definedName>
    <definedName name="HIST1">#REF!</definedName>
    <definedName name="HISTEQ" localSheetId="5">#REF!</definedName>
    <definedName name="HISTEQ">#REF!</definedName>
    <definedName name="HISTOGRAMA" localSheetId="5">#REF!</definedName>
    <definedName name="HISTOGRAMA">#REF!</definedName>
    <definedName name="hjdgtjdjxrfg" localSheetId="5" hidden="1">{#N/A,#N/A,FALSE,"Plan1";#N/A,#N/A,FALSE,"Plan2"}</definedName>
    <definedName name="hjdgtjdjxrfg" hidden="1">{#N/A,#N/A,FALSE,"Plan1";#N/A,#N/A,FALSE,"Plan2"}</definedName>
    <definedName name="HJFDGD" localSheetId="5" hidden="1">{#N/A,#N/A,FALSE,"Plan1";#N/A,#N/A,FALSE,"Plan2"}</definedName>
    <definedName name="HJFDGD" hidden="1">{#N/A,#N/A,FALSE,"Plan1";#N/A,#N/A,FALSE,"Plan2"}</definedName>
    <definedName name="HJGASD" localSheetId="5" hidden="1">{#N/A,#N/A,FALSE,"Plan1";#N/A,#N/A,FALSE,"Plan2"}</definedName>
    <definedName name="HJGASD" hidden="1">{#N/A,#N/A,FALSE,"Plan1";#N/A,#N/A,FALSE,"Plan2"}</definedName>
    <definedName name="HJGFGTFDG" localSheetId="5" hidden="1">{#N/A,#N/A,FALSE,"Plan1";#N/A,#N/A,FALSE,"Plan2"}</definedName>
    <definedName name="HJGFGTFDG" hidden="1">{#N/A,#N/A,FALSE,"Plan1";#N/A,#N/A,FALSE,"Plan2"}</definedName>
    <definedName name="hjgfhdsgfhsd" localSheetId="5" hidden="1">{#N/A,#N/A,FALSE,"Plan1";#N/A,#N/A,FALSE,"Plan2"}</definedName>
    <definedName name="hjgfhdsgfhsd" hidden="1">{#N/A,#N/A,FALSE,"Plan1";#N/A,#N/A,FALSE,"Plan2"}</definedName>
    <definedName name="hjgxfjgdjyftr" localSheetId="5" hidden="1">{#N/A,#N/A,FALSE,"Plan1";#N/A,#N/A,FALSE,"Plan2"}</definedName>
    <definedName name="hjgxfjgdjyftr" hidden="1">{#N/A,#N/A,FALSE,"Plan1";#N/A,#N/A,FALSE,"Plan2"}</definedName>
    <definedName name="hjgyugasd" localSheetId="5" hidden="1">{#N/A,#N/A,FALSE,"Plan1";#N/A,#N/A,FALSE,"Plan2"}</definedName>
    <definedName name="hjgyugasd" hidden="1">{#N/A,#N/A,FALSE,"Plan1";#N/A,#N/A,FALSE,"Plan2"}</definedName>
    <definedName name="hjjfyfy" localSheetId="5" hidden="1">{#N/A,#N/A,FALSE,"Plan1";#N/A,#N/A,FALSE,"Plan2"}</definedName>
    <definedName name="hjjfyfy" hidden="1">{#N/A,#N/A,FALSE,"Plan1";#N/A,#N/A,FALSE,"Plan2"}</definedName>
    <definedName name="hjkchkvjhdjkgh" localSheetId="5" hidden="1">{#N/A,#N/A,FALSE,"Plan1";#N/A,#N/A,FALSE,"Plan2"}</definedName>
    <definedName name="hjkchkvjhdjkgh" hidden="1">{#N/A,#N/A,FALSE,"Plan1";#N/A,#N/A,FALSE,"Plan2"}</definedName>
    <definedName name="hjkfjdyht" localSheetId="5" hidden="1">{#N/A,#N/A,FALSE,"Plan1";#N/A,#N/A,FALSE,"Plan2"}</definedName>
    <definedName name="hjkfjdyht" hidden="1">{#N/A,#N/A,FALSE,"Plan1";#N/A,#N/A,FALSE,"Plan2"}</definedName>
    <definedName name="hjsdff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5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5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5" hidden="1">{#N/A,#N/A,FALSE,"Plan1";#N/A,#N/A,FALSE,"Plan2"}</definedName>
    <definedName name="HKewewsr" hidden="1">{#N/A,#N/A,FALSE,"Plan1";#N/A,#N/A,FALSE,"Plan2"}</definedName>
    <definedName name="hkhdskacd" localSheetId="5" hidden="1">{#N/A,#N/A,FALSE,"Plan1";#N/A,#N/A,FALSE,"Plan2"}</definedName>
    <definedName name="hkhdskacd" hidden="1">{#N/A,#N/A,FALSE,"Plan1";#N/A,#N/A,FALSE,"Plan2"}</definedName>
    <definedName name="hkjfgfhgfh" localSheetId="5" hidden="1">{#N/A,#N/A,FALSE,"Plan1";#N/A,#N/A,FALSE,"Plan2"}</definedName>
    <definedName name="hkjfgfhgfh" hidden="1">{#N/A,#N/A,FALSE,"Plan1";#N/A,#N/A,FALSE,"Plan2"}</definedName>
    <definedName name="hkjfhgjkfhghfg" localSheetId="5" hidden="1">{#N/A,#N/A,FALSE,"Plan1";#N/A,#N/A,FALSE,"Plan2"}</definedName>
    <definedName name="hkjfhgjkfhghfg" hidden="1">{#N/A,#N/A,FALSE,"Plan1";#N/A,#N/A,FALSE,"Plan2"}</definedName>
    <definedName name="HKLZHFRH" localSheetId="5" hidden="1">{#N/A,#N/A,FALSE,"Plan1";#N/A,#N/A,FALSE,"Plan2"}</definedName>
    <definedName name="HKLZHFRH" hidden="1">{#N/A,#N/A,FALSE,"Plan1";#N/A,#N/A,FALSE,"Plan2"}</definedName>
    <definedName name="ho" localSheetId="5" hidden="1">{#N/A,#N/A,FALSE,"TABLE"}</definedName>
    <definedName name="ho" hidden="1">{#N/A,#N/A,FALSE,"TABLE"}</definedName>
    <definedName name="HOJE" localSheetId="5">#REF!</definedName>
    <definedName name="HOJE">#REF!</definedName>
    <definedName name="HONORARIOS" localSheetId="5">#REF!</definedName>
    <definedName name="HONORARIOS">#REF!</definedName>
    <definedName name="HOSPEDES" localSheetId="5">#REF!</definedName>
    <definedName name="HOSPEDES">#REF!</definedName>
    <definedName name="HOTEL" localSheetId="5">#REF!</definedName>
    <definedName name="HOTEL">#REF!</definedName>
    <definedName name="hrterte" localSheetId="5" hidden="1">{#N/A,#N/A,FALSE,"Plan1";#N/A,#N/A,FALSE,"Plan2"}</definedName>
    <definedName name="hrterte" hidden="1">{#N/A,#N/A,FALSE,"Plan1";#N/A,#N/A,FALSE,"Plan2"}</definedName>
    <definedName name="hsdf" localSheetId="5" hidden="1">{#N/A,#N/A,FALSE,"Plan1";#N/A,#N/A,FALSE,"Plan2"}</definedName>
    <definedName name="hsdf" hidden="1">{#N/A,#N/A,FALSE,"Plan1";#N/A,#N/A,FALSE,"Plan2"}</definedName>
    <definedName name="hsdfgdgudrt" localSheetId="5" hidden="1">{#N/A,#N/A,FALSE,"Plan1";#N/A,#N/A,FALSE,"Plan2"}</definedName>
    <definedName name="hsdfgdgudrt" hidden="1">{#N/A,#N/A,FALSE,"Plan1";#N/A,#N/A,FALSE,"Plan2"}</definedName>
    <definedName name="hsdfjkdhur" localSheetId="5" hidden="1">{#N/A,#N/A,FALSE,"Plan1";#N/A,#N/A,FALSE,"Plan2"}</definedName>
    <definedName name="hsdfjkdhur" hidden="1">{#N/A,#N/A,FALSE,"Plan1";#N/A,#N/A,FALSE,"Plan2"}</definedName>
    <definedName name="hsdgftdh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5" hidden="1">{#N/A,#N/A,FALSE,"Plan1";#N/A,#N/A,FALSE,"Plan2"}</definedName>
    <definedName name="hsdjffd" hidden="1">{#N/A,#N/A,FALSE,"Plan1";#N/A,#N/A,FALSE,"Plan2"}</definedName>
    <definedName name="hsdjffe" localSheetId="5" hidden="1">{#N/A,#N/A,FALSE,"Plan1";#N/A,#N/A,FALSE,"Plan2"}</definedName>
    <definedName name="hsdjffe" hidden="1">{#N/A,#N/A,FALSE,"Plan1";#N/A,#N/A,FALSE,"Plan2"}</definedName>
    <definedName name="HSFIHDTR" localSheetId="5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5" hidden="1">{#N/A,#N/A,FALSE,"Plan1";#N/A,#N/A,FALSE,"Plan2"}</definedName>
    <definedName name="hsfjkdshrgf" hidden="1">{#N/A,#N/A,FALSE,"Plan1";#N/A,#N/A,FALSE,"Plan2"}</definedName>
    <definedName name="hthhrtetdre" localSheetId="5" hidden="1">{#N/A,#N/A,FALSE,"Plan1";#N/A,#N/A,FALSE,"Plan2"}</definedName>
    <definedName name="hthhrtetdre" hidden="1">{#N/A,#N/A,FALSE,"Plan1";#N/A,#N/A,FALSE,"Plan2"}</definedName>
    <definedName name="HTM" localSheetId="5">#REF!</definedName>
    <definedName name="HTM">#REF!</definedName>
    <definedName name="HTML_CodePage" hidden="1">949</definedName>
    <definedName name="HTML_Control" localSheetId="5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5" hidden="1">{"'Estimativa de Lançamento-JAN'!$A$1:$AI$85"}</definedName>
    <definedName name="HTML2_CONTROL" hidden="1">{"'Estimativa de Lançamento-JAN'!$A$1:$AI$85"}</definedName>
    <definedName name="HTML3_CONTROL" localSheetId="5" hidden="1">{"'Estimativa de Lançamento-JAN'!$A$1:$AI$85"}</definedName>
    <definedName name="HTML3_CONTROL" hidden="1">{"'Estimativa de Lançamento-JAN'!$A$1:$AI$85"}</definedName>
    <definedName name="HTMLControl" localSheetId="5" hidden="1">{"'Edit'!$A$1:$V$2277"}</definedName>
    <definedName name="HTMLControl" hidden="1">{"'Edit'!$A$1:$V$2277"}</definedName>
    <definedName name="HTN" localSheetId="5">#REF!</definedName>
    <definedName name="HTN">#REF!</definedName>
    <definedName name="HVJKHGKFXHFD" localSheetId="5" hidden="1">{#N/A,#N/A,FALSE,"Plan1";#N/A,#N/A,FALSE,"Plan2"}</definedName>
    <definedName name="HVJKHGKFXHFD" hidden="1">{#N/A,#N/A,FALSE,"Plan1";#N/A,#N/A,FALSE,"Plan2"}</definedName>
    <definedName name="hwekjhekhf" localSheetId="5" hidden="1">{#N/A,#N/A,FALSE,"Plan1";#N/A,#N/A,FALSE,"Plan2"}</definedName>
    <definedName name="hwekjhekhf" hidden="1">{#N/A,#N/A,FALSE,"Plan1";#N/A,#N/A,FALSE,"Plan2"}</definedName>
    <definedName name="HXFRE" localSheetId="5" hidden="1">{#N/A,#N/A,FALSE,"Plan1";#N/A,#N/A,FALSE,"Plan2"}</definedName>
    <definedName name="HXFRE" hidden="1">{#N/A,#N/A,FALSE,"Plan1";#N/A,#N/A,FALSE,"Plan2"}</definedName>
    <definedName name="HXKJFGDKHG" localSheetId="5" hidden="1">{#N/A,#N/A,FALSE,"Plan1";#N/A,#N/A,FALSE,"Plan2"}</definedName>
    <definedName name="HXKJFGDKHG" hidden="1">{#N/A,#N/A,FALSE,"Plan1";#N/A,#N/A,FALSE,"Plan2"}</definedName>
    <definedName name="I" localSheetId="5">#REF!</definedName>
    <definedName name="I">#REF!</definedName>
    <definedName name="ibir_cdi" localSheetId="5">#REF!</definedName>
    <definedName name="ibir_cdi">#REF!</definedName>
    <definedName name="ibir_hist" localSheetId="5">#REF!</definedName>
    <definedName name="ibir_hist">#REF!</definedName>
    <definedName name="ibir_uss" localSheetId="5">#REF!</definedName>
    <definedName name="ibir_uss">#REF!</definedName>
    <definedName name="IC" localSheetId="5" hidden="1">#REF!</definedName>
    <definedName name="IC" hidden="1">#REF!</definedName>
    <definedName name="icoa_cdi" localSheetId="5">#REF!</definedName>
    <definedName name="icoa_cdi">#REF!</definedName>
    <definedName name="icoa_hist" localSheetId="5">#REF!</definedName>
    <definedName name="icoa_hist">#REF!</definedName>
    <definedName name="icoa_uss" localSheetId="5">#REF!</definedName>
    <definedName name="icoa_uss">#REF!</definedName>
    <definedName name="Identificação" localSheetId="5">#REF!</definedName>
    <definedName name="Identificação">#REF!</definedName>
    <definedName name="idfhgkjhfkthy" localSheetId="5" hidden="1">{#N/A,#N/A,FALSE,"Plan1";#N/A,#N/A,FALSE,"Plan2"}</definedName>
    <definedName name="idfhgkjhfkthy" hidden="1">{#N/A,#N/A,FALSE,"Plan1";#N/A,#N/A,FALSE,"Plan2"}</definedName>
    <definedName name="ieroweft" localSheetId="5" hidden="1">{#N/A,#N/A,FALSE,"Plan1";#N/A,#N/A,FALSE,"Plan2"}</definedName>
    <definedName name="ieroweft" hidden="1">{#N/A,#N/A,FALSE,"Plan1";#N/A,#N/A,FALSE,"Plan2"}</definedName>
    <definedName name="iewpotqi5poejy" localSheetId="5" hidden="1">{#N/A,#N/A,FALSE,"Plan1";#N/A,#N/A,FALSE,"Plan2"}</definedName>
    <definedName name="iewpotqi5poejy" hidden="1">{#N/A,#N/A,FALSE,"Plan1";#N/A,#N/A,FALSE,"Plan2"}</definedName>
    <definedName name="ihdfifguhgfuiy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5" hidden="1">#REF!</definedName>
    <definedName name="iheidhgufr" hidden="1">#REF!</definedName>
    <definedName name="ihfdkjhktgrd" localSheetId="5" hidden="1">{#N/A,#N/A,FALSE,"Plan1";#N/A,#N/A,FALSE,"Plan2"}</definedName>
    <definedName name="ihfdkjhktgrd" hidden="1">{#N/A,#N/A,FALSE,"Plan1";#N/A,#N/A,FALSE,"Plan2"}</definedName>
    <definedName name="ihrtetw4r" localSheetId="5" hidden="1">{#N/A,#N/A,FALSE,"Plan1";#N/A,#N/A,FALSE,"Plan2"}</definedName>
    <definedName name="ihrtetw4r" hidden="1">{#N/A,#N/A,FALSE,"Plan1";#N/A,#N/A,FALSE,"Plan2"}</definedName>
    <definedName name="II" localSheetId="5">#REF!</definedName>
    <definedName name="II">#REF!</definedName>
    <definedName name="IIASDSAWE" localSheetId="5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5">#REF!</definedName>
    <definedName name="III">#REF!</definedName>
    <definedName name="iinstalaçõ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5" hidden="1">{#N/A,#N/A,FALSE,"Plan1";#N/A,#N/A,FALSE,"Plan2"}</definedName>
    <definedName name="ilhweilrji4e" hidden="1">{#N/A,#N/A,FALSE,"Plan1";#N/A,#N/A,FALSE,"Plan2"}</definedName>
    <definedName name="ilsdr4wf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5">#REF!</definedName>
    <definedName name="IM">#REF!</definedName>
    <definedName name="IMP" localSheetId="5" hidden="1">#REF!</definedName>
    <definedName name="IMP" hidden="1">#REF!</definedName>
    <definedName name="IMPERMEABILIZ." localSheetId="5">#REF!</definedName>
    <definedName name="IMPERMEABILIZ.">#REF!</definedName>
    <definedName name="IMPF" localSheetId="5">#REF!</definedName>
    <definedName name="IMPF">#REF!</definedName>
    <definedName name="IMPI" localSheetId="5">#REF!</definedName>
    <definedName name="IMPI">#REF!</definedName>
    <definedName name="IMPOSTO" localSheetId="5">#REF!</definedName>
    <definedName name="IMPOSTO">#REF!</definedName>
    <definedName name="INCC" localSheetId="5">#REF!</definedName>
    <definedName name="INCC">#REF!</definedName>
    <definedName name="Incorido_Aplicado_X_Físico" localSheetId="5">#REF!</definedName>
    <definedName name="Incorido_Aplicado_X_Físico">#REF!</definedName>
    <definedName name="INCORPORAÇÃO" localSheetId="5">#REF!</definedName>
    <definedName name="INCORPORAÇÃO">#REF!</definedName>
    <definedName name="Index" localSheetId="5" hidden="1">#REF!</definedName>
    <definedName name="Index" hidden="1">#REF!</definedName>
    <definedName name="Indice" localSheetId="5">#REF!</definedName>
    <definedName name="Indice">#REF!</definedName>
    <definedName name="indice_correcao_proj" localSheetId="5">#REF!</definedName>
    <definedName name="indice_correcao_proj">#REF!</definedName>
    <definedName name="infra" localSheetId="5">#REF!</definedName>
    <definedName name="infra">#REF!</definedName>
    <definedName name="Infra_OBra_Sienge" localSheetId="5">#REF!</definedName>
    <definedName name="Infra_OBra_Sienge">#REF!</definedName>
    <definedName name="Infra_Projetos_Sienge" localSheetId="5">#REF!</definedName>
    <definedName name="Infra_Projetos_Sienge">#REF!</definedName>
    <definedName name="INFRA2" localSheetId="5">#REF!</definedName>
    <definedName name="INFRA2">#REF!</definedName>
    <definedName name="Insatalaçõ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5">#REF!</definedName>
    <definedName name="INSS_Bloqueado_Fin_Medição">#REF!</definedName>
    <definedName name="Inss_Bloqueado_Previsão_Fin_Medições" localSheetId="5">#REF!</definedName>
    <definedName name="Inss_Bloqueado_Previsão_Fin_Medições">#REF!</definedName>
    <definedName name="instalaçoes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5">OFFSET(#REF!,0,0,COUNTA(#REF!),1)</definedName>
    <definedName name="INSU">OFFSET(#REF!,0,0,COUNTA(#REF!),1)</definedName>
    <definedName name="INSUMOS" localSheetId="5">#REF!</definedName>
    <definedName name="INSUMOS">#REF!</definedName>
    <definedName name="INT.FILTRO.NBASE" localSheetId="5">#REF!</definedName>
    <definedName name="INT.FILTRO.NBASE">#REF!</definedName>
    <definedName name="INTEGRA" localSheetId="5" hidden="1">{"'Edit'!$A$1:$V$2277"}</definedName>
    <definedName name="INTEGRA" hidden="1">{"'Edit'!$A$1:$V$2277"}</definedName>
    <definedName name="IO">196.003</definedName>
    <definedName name="ioeriotyt" localSheetId="5" hidden="1">{#N/A,#N/A,FALSE,"Plan1";#N/A,#N/A,FALSE,"Plan2"}</definedName>
    <definedName name="ioeriotyt" hidden="1">{#N/A,#N/A,FALSE,"Plan1";#N/A,#N/A,FALSE,"Plan2"}</definedName>
    <definedName name="iohudtorh" localSheetId="5" hidden="1">{#N/A,#N/A,FALSE,"Plan1";#N/A,#N/A,FALSE,"Plan2"}</definedName>
    <definedName name="iohudtorh" hidden="1">{#N/A,#N/A,FALSE,"Plan1";#N/A,#N/A,FALSE,"Plan2"}</definedName>
    <definedName name="iojtkheayed" localSheetId="5" hidden="1">{#N/A,#N/A,FALSE,"Plan1";#N/A,#N/A,FALSE,"Plan2"}</definedName>
    <definedName name="iojtkheayed" hidden="1">{#N/A,#N/A,FALSE,"Plan1";#N/A,#N/A,FALSE,"Plan2"}</definedName>
    <definedName name="iouweroieuw4" localSheetId="5" hidden="1">{#N/A,#N/A,FALSE,"Plan1";#N/A,#N/A,FALSE,"Plan2"}</definedName>
    <definedName name="iouweroieuw4" hidden="1">{#N/A,#N/A,FALSE,"Plan1";#N/A,#N/A,FALSE,"Plan2"}</definedName>
    <definedName name="iphifpgh" localSheetId="5" hidden="1">{#N/A,#N/A,FALSE,"Plan1";#N/A,#N/A,FALSE,"Plan2"}</definedName>
    <definedName name="iphifpgh" hidden="1">{#N/A,#N/A,FALSE,"Plan1";#N/A,#N/A,FALSE,"Plan2"}</definedName>
    <definedName name="IPMF" localSheetId="5">#REF!</definedName>
    <definedName name="IPMF">#REF!</definedName>
    <definedName name="ipodsifgpds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5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5">#REF!</definedName>
    <definedName name="IR_diferido">#REF!</definedName>
    <definedName name="ISOPOR" localSheetId="5">#REF!</definedName>
    <definedName name="ISOPOR">#REF!</definedName>
    <definedName name="ISS" localSheetId="5">#REF!</definedName>
    <definedName name="ISS">#REF!</definedName>
    <definedName name="ItalieNS" localSheetId="5">#REF!</definedName>
    <definedName name="ItalieNS">#REF!</definedName>
    <definedName name="ItalieNT" localSheetId="5">#REF!</definedName>
    <definedName name="ItalieNT">#REF!</definedName>
    <definedName name="itc_cdi" localSheetId="5">#REF!</definedName>
    <definedName name="itc_cdi">#REF!</definedName>
    <definedName name="itc_hist" localSheetId="5">#REF!</definedName>
    <definedName name="itc_hist">#REF!</definedName>
    <definedName name="itc_uss" localSheetId="5">#REF!</definedName>
    <definedName name="itc_uss">#REF!</definedName>
    <definedName name="item_1" localSheetId="12">#REF!</definedName>
    <definedName name="item_1" localSheetId="18">#REF!</definedName>
    <definedName name="item_1" localSheetId="20">#REF!</definedName>
    <definedName name="item_1" localSheetId="0">#REF!</definedName>
    <definedName name="item_1" localSheetId="8">#REF!</definedName>
    <definedName name="item_1" localSheetId="2">#REF!</definedName>
    <definedName name="item_1" localSheetId="9">#REF!</definedName>
    <definedName name="item_1" localSheetId="10">#REF!</definedName>
    <definedName name="item_1">#REF!</definedName>
    <definedName name="ITEMCONT" localSheetId="5">#REF!</definedName>
    <definedName name="ITEMCONT">#REF!</definedName>
    <definedName name="ITEMDER" localSheetId="5">#REF!</definedName>
    <definedName name="ITEMDER">#REF!</definedName>
    <definedName name="ITEMIZAÇÃO" localSheetId="5">#REF!</definedName>
    <definedName name="ITEMIZAÇÃO">#REF!</definedName>
    <definedName name="ITEMIZAÇÃO_2" localSheetId="5">#REF!</definedName>
    <definedName name="ITEMIZAÇÃO_2">#REF!</definedName>
    <definedName name="ITEMIZAÇÃO_3" localSheetId="5">#REF!</definedName>
    <definedName name="ITEMIZAÇÃO_3">#REF!</definedName>
    <definedName name="ITEMIZAÇÃO_4" localSheetId="5">#REF!</definedName>
    <definedName name="ITEMIZAÇÃO_4">#REF!</definedName>
    <definedName name="ITEMIZAÇÃO_5" localSheetId="5">#REF!</definedName>
    <definedName name="ITEMIZAÇÃO_5">#REF!</definedName>
    <definedName name="ITEMIZAÇÃO_7" localSheetId="5">#REF!</definedName>
    <definedName name="ITEMIZAÇÃO_7">#REF!</definedName>
    <definedName name="ITEMIZAÇÃO_8" localSheetId="5">#REF!</definedName>
    <definedName name="ITEMIZAÇÃO_8">#REF!</definedName>
    <definedName name="ITEMR20" localSheetId="5">#REF!</definedName>
    <definedName name="ITEMR20">#REF!</definedName>
    <definedName name="ITEM별상세업무분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5">#REF!</definedName>
    <definedName name="ITENS">#REF!</definedName>
    <definedName name="ITENS0" localSheetId="5">#REF!</definedName>
    <definedName name="ITENS0">#REF!</definedName>
    <definedName name="ITENS1" localSheetId="5">#REF!</definedName>
    <definedName name="ITENS1">#REF!</definedName>
    <definedName name="ITENSP" localSheetId="5">#REF!</definedName>
    <definedName name="ITENSP">#REF!</definedName>
    <definedName name="ITENSPMED" localSheetId="5">#REF!</definedName>
    <definedName name="ITENSPMED">#REF!</definedName>
    <definedName name="IUGFGDFUY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5">#REF!</definedName>
    <definedName name="IV">#REF!</definedName>
    <definedName name="iyguygiyt" localSheetId="5" hidden="1">{#N/A,#N/A,FALSE,"Plan1";#N/A,#N/A,FALSE,"Plan2"}</definedName>
    <definedName name="iyguygiyt" hidden="1">{#N/A,#N/A,FALSE,"Plan1";#N/A,#N/A,FALSE,"Plan2"}</definedName>
    <definedName name="iyuyheturtd" localSheetId="5" hidden="1">{#N/A,#N/A,FALSE,"Plan1";#N/A,#N/A,FALSE,"Plan2"}</definedName>
    <definedName name="iyuyheturtd" hidden="1">{#N/A,#N/A,FALSE,"Plan1";#N/A,#N/A,FALSE,"Plan2"}</definedName>
    <definedName name="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5" hidden="1">{#N/A,#N/A,FALSE,"Plan1";#N/A,#N/A,FALSE,"Plan2"}</definedName>
    <definedName name="jalejdasjf" hidden="1">{#N/A,#N/A,FALSE,"Plan1";#N/A,#N/A,FALSE,"Plan2"}</definedName>
    <definedName name="jan_05" localSheetId="5">#REF!</definedName>
    <definedName name="jan_05">#REF!</definedName>
    <definedName name="jan17RJ" localSheetId="5">#REF!</definedName>
    <definedName name="jan17RJ">#REF!</definedName>
    <definedName name="JANEIRO2001" localSheetId="5">#REF!</definedName>
    <definedName name="JANEIRO2001">#REF!</definedName>
    <definedName name="JASDJS" localSheetId="5" hidden="1">{#N/A,#N/A,FALSE,"Plan1";#N/A,#N/A,FALSE,"Plan2"}</definedName>
    <definedName name="JASDJS" hidden="1">{#N/A,#N/A,FALSE,"Plan1";#N/A,#N/A,FALSE,"Plan2"}</definedName>
    <definedName name="jaskldjlse" localSheetId="5" hidden="1">{#N/A,#N/A,FALSE,"Plan1";#N/A,#N/A,FALSE,"Plan2"}</definedName>
    <definedName name="jaskldjlse" hidden="1">{#N/A,#N/A,FALSE,"Plan1";#N/A,#N/A,FALSE,"Plan2"}</definedName>
    <definedName name="JASLDKLD" localSheetId="5" hidden="1">{#N/A,#N/A,FALSE,"Plan1";#N/A,#N/A,FALSE,"Plan2"}</definedName>
    <definedName name="JASLDKLD" hidden="1">{#N/A,#N/A,FALSE,"Plan1";#N/A,#N/A,FALSE,"Plan2"}</definedName>
    <definedName name="jasoe" localSheetId="5" hidden="1">#REF!</definedName>
    <definedName name="jasoe" hidden="1">#REF!</definedName>
    <definedName name="jbzxffcbgdhgft" localSheetId="5" hidden="1">#REF!</definedName>
    <definedName name="jbzxffcbgdhgft" hidden="1">#REF!</definedName>
    <definedName name="JÇDFHDF" localSheetId="5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5" hidden="1">{#N/A,#N/A,FALSE,"Plan1";#N/A,#N/A,FALSE,"Plan2"}</definedName>
    <definedName name="jdbgftbhr" hidden="1">{#N/A,#N/A,FALSE,"Plan1";#N/A,#N/A,FALSE,"Plan2"}</definedName>
    <definedName name="jdfgkrhgft" localSheetId="5" hidden="1">#REF!</definedName>
    <definedName name="jdfgkrhgft" hidden="1">#REF!</definedName>
    <definedName name="jdfgldfjgklh" localSheetId="5" hidden="1">{#N/A,#N/A,FALSE,"Plan1";#N/A,#N/A,FALSE,"Plan2"}</definedName>
    <definedName name="jdfgldfjgklh" hidden="1">{#N/A,#N/A,FALSE,"Plan1";#N/A,#N/A,FALSE,"Plan2"}</definedName>
    <definedName name="jdfhjkdrhjtkg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5" hidden="1">{#N/A,#N/A,FALSE,"Plan1";#N/A,#N/A,FALSE,"Plan2"}</definedName>
    <definedName name="jdfjdtrgt" hidden="1">{#N/A,#N/A,FALSE,"Plan1";#N/A,#N/A,FALSE,"Plan2"}</definedName>
    <definedName name="JDFJLDJR" localSheetId="5" hidden="1">{#N/A,#N/A,FALSE,"Plan1";#N/A,#N/A,FALSE,"Plan2"}</definedName>
    <definedName name="JDFJLDJR" hidden="1">{#N/A,#N/A,FALSE,"Plan1";#N/A,#N/A,FALSE,"Plan2"}</definedName>
    <definedName name="jdfkgitfgdrtt" localSheetId="5" hidden="1">{#N/A,#N/A,FALSE,"Plan1";#N/A,#N/A,FALSE,"Plan2"}</definedName>
    <definedName name="jdfkgitfgdrtt" hidden="1">{#N/A,#N/A,FALSE,"Plan1";#N/A,#N/A,FALSE,"Plan2"}</definedName>
    <definedName name="JDFKHFKJ" localSheetId="5" hidden="1">{#N/A,#N/A,FALSE,"Plan1";#N/A,#N/A,FALSE,"Plan2"}</definedName>
    <definedName name="JDFKHFKJ" hidden="1">{#N/A,#N/A,FALSE,"Plan1";#N/A,#N/A,FALSE,"Plan2"}</definedName>
    <definedName name="jdfklgtdtr" localSheetId="5" hidden="1">{#N/A,#N/A,FALSE,"Plan1";#N/A,#N/A,FALSE,"Plan2"}</definedName>
    <definedName name="jdfklgtdtr" hidden="1">{#N/A,#N/A,FALSE,"Plan1";#N/A,#N/A,FALSE,"Plan2"}</definedName>
    <definedName name="JDFKTHRT" localSheetId="5" hidden="1">{#N/A,#N/A,FALSE,"Plan1";#N/A,#N/A,FALSE,"Plan2"}</definedName>
    <definedName name="JDFKTHRT" hidden="1">{#N/A,#N/A,FALSE,"Plan1";#N/A,#N/A,FALSE,"Plan2"}</definedName>
    <definedName name="JDFLKJDRF" localSheetId="5" hidden="1">{#N/A,#N/A,FALSE,"Plan1";#N/A,#N/A,FALSE,"Plan2"}</definedName>
    <definedName name="JDFLKJDRF" hidden="1">{#N/A,#N/A,FALSE,"Plan1";#N/A,#N/A,FALSE,"Plan2"}</definedName>
    <definedName name="jdfzlkjgfdht" localSheetId="5" hidden="1">{#N/A,#N/A,FALSE,"Plan1";#N/A,#N/A,FALSE,"Plan2"}</definedName>
    <definedName name="jdfzlkjgfdht" hidden="1">{#N/A,#N/A,FALSE,"Plan1";#N/A,#N/A,FALSE,"Plan2"}</definedName>
    <definedName name="jdglhfghkt" localSheetId="5" hidden="1">{#N/A,#N/A,FALSE,"Plan1";#N/A,#N/A,FALSE,"Plan2"}</definedName>
    <definedName name="jdglhfghkt" hidden="1">{#N/A,#N/A,FALSE,"Plan1";#N/A,#N/A,FALSE,"Plan2"}</definedName>
    <definedName name="jdhfjdhgfd" localSheetId="5" hidden="1">{#N/A,#N/A,FALSE,"Plan1";#N/A,#N/A,FALSE,"Plan2"}</definedName>
    <definedName name="jdhfjdhgfd" hidden="1">{#N/A,#N/A,FALSE,"Plan1";#N/A,#N/A,FALSE,"Plan2"}</definedName>
    <definedName name="jdjdjdjd" localSheetId="5" hidden="1">{#N/A,#N/A,FALSE,"명세표"}</definedName>
    <definedName name="jdjdjdjd" hidden="1">{#N/A,#N/A,FALSE,"명세표"}</definedName>
    <definedName name="jdkfhgjhf" localSheetId="5" hidden="1">{#N/A,#N/A,FALSE,"Plan1";#N/A,#N/A,FALSE,"Plan2"}</definedName>
    <definedName name="jdkfhgjhf" hidden="1">{#N/A,#N/A,FALSE,"Plan1";#N/A,#N/A,FALSE,"Plan2"}</definedName>
    <definedName name="jdkfjdtr" localSheetId="5" hidden="1">{#N/A,#N/A,FALSE,"Plan1";#N/A,#N/A,FALSE,"Plan2"}</definedName>
    <definedName name="jdkfjdtr" hidden="1">{#N/A,#N/A,FALSE,"Plan1";#N/A,#N/A,FALSE,"Plan2"}</definedName>
    <definedName name="jdljgftldjti5r" localSheetId="5" hidden="1">{#N/A,#N/A,FALSE,"Plan1";#N/A,#N/A,FALSE,"Plan2"}</definedName>
    <definedName name="jdljgftldjti5r" hidden="1">{#N/A,#N/A,FALSE,"Plan1";#N/A,#N/A,FALSE,"Plan2"}</definedName>
    <definedName name="JDLKJDASGF" localSheetId="5" hidden="1">{#N/A,#N/A,FALSE,"Plan1";#N/A,#N/A,FALSE,"Plan2"}</definedName>
    <definedName name="JDLKJDASGF" hidden="1">{#N/A,#N/A,FALSE,"Plan1";#N/A,#N/A,FALSE,"Plan2"}</definedName>
    <definedName name="jdrfkdjfghrtfjg" localSheetId="5" hidden="1">{#N/A,#N/A,FALSE,"Plan1";#N/A,#N/A,FALSE,"Plan2"}</definedName>
    <definedName name="jdrfkdjfghrtfjg" hidden="1">{#N/A,#N/A,FALSE,"Plan1";#N/A,#N/A,FALSE,"Plan2"}</definedName>
    <definedName name="jdskfhdk" localSheetId="5" hidden="1">{#N/A,#N/A,FALSE,"Plan1";#N/A,#N/A,FALSE,"Plan2"}</definedName>
    <definedName name="jdskfhdk" hidden="1">{#N/A,#N/A,FALSE,"Plan1";#N/A,#N/A,FALSE,"Plan2"}</definedName>
    <definedName name="JDSKLGKDRHGGF" localSheetId="5" hidden="1">{#N/A,#N/A,FALSE,"Plan1";#N/A,#N/A,FALSE,"Plan2"}</definedName>
    <definedName name="JDSKLGKDRHGGF" hidden="1">{#N/A,#N/A,FALSE,"Plan1";#N/A,#N/A,FALSE,"Plan2"}</definedName>
    <definedName name="jefsgfr" localSheetId="5" hidden="1">{#N/A,#N/A,FALSE,"Plan1";#N/A,#N/A,FALSE,"Plan2"}</definedName>
    <definedName name="jefsgfr" hidden="1">{#N/A,#N/A,FALSE,"Plan1";#N/A,#N/A,FALSE,"Plan2"}</definedName>
    <definedName name="JERHIEHYURE" localSheetId="5" hidden="1">{#N/A,#N/A,FALSE,"Plan1";#N/A,#N/A,FALSE,"Plan2"}</definedName>
    <definedName name="JERHIEHYURE" hidden="1">{#N/A,#N/A,FALSE,"Plan1";#N/A,#N/A,FALSE,"Plan2"}</definedName>
    <definedName name="jfddlsrtyty" localSheetId="5" hidden="1">{#N/A,#N/A,FALSE,"Plan1";#N/A,#N/A,FALSE,"Plan2"}</definedName>
    <definedName name="jfddlsrtyty" hidden="1">{#N/A,#N/A,FALSE,"Plan1";#N/A,#N/A,FALSE,"Plan2"}</definedName>
    <definedName name="jfdjtgdjghitfyh" localSheetId="5" hidden="1">{#N/A,#N/A,FALSE,"Plan1";#N/A,#N/A,FALSE,"Plan2"}</definedName>
    <definedName name="jfdjtgdjghitfyh" hidden="1">{#N/A,#N/A,FALSE,"Plan1";#N/A,#N/A,FALSE,"Plan2"}</definedName>
    <definedName name="jfdkgkftftg" localSheetId="5" hidden="1">{#N/A,#N/A,FALSE,"Plan1";#N/A,#N/A,FALSE,"Plan2"}</definedName>
    <definedName name="jfdkgkftftg" hidden="1">{#N/A,#N/A,FALSE,"Plan1";#N/A,#N/A,FALSE,"Plan2"}</definedName>
    <definedName name="jfghjkfdhtkyru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5" hidden="1">{#N/A,#N/A,FALSE,"Plan1";#N/A,#N/A,FALSE,"Plan2"}</definedName>
    <definedName name="JFGJYHTY" hidden="1">{#N/A,#N/A,FALSE,"Plan1";#N/A,#N/A,FALSE,"Plan2"}</definedName>
    <definedName name="jfgkflcnjkglc" localSheetId="5" hidden="1">{#N/A,#N/A,FALSE,"Plan1";#N/A,#N/A,FALSE,"Plan2"}</definedName>
    <definedName name="jfgkflcnjkglc" hidden="1">{#N/A,#N/A,FALSE,"Plan1";#N/A,#N/A,FALSE,"Plan2"}</definedName>
    <definedName name="JFHRE" localSheetId="5" hidden="1">{#N/A,#N/A,FALSE,"Plan1";#N/A,#N/A,FALSE,"Plan2"}</definedName>
    <definedName name="JFHRE" hidden="1">{#N/A,#N/A,FALSE,"Plan1";#N/A,#N/A,FALSE,"Plan2"}</definedName>
    <definedName name="jfkdls5jtirjd" localSheetId="5" hidden="1">{#N/A,#N/A,FALSE,"Plan1";#N/A,#N/A,FALSE,"Plan2"}</definedName>
    <definedName name="jfkdls5jtirjd" hidden="1">{#N/A,#N/A,FALSE,"Plan1";#N/A,#N/A,FALSE,"Plan2"}</definedName>
    <definedName name="jfkljdkfcj" localSheetId="5" hidden="1">{#N/A,#N/A,FALSE,"Plan1";#N/A,#N/A,FALSE,"Plan2"}</definedName>
    <definedName name="jfkljdkfcj" hidden="1">{#N/A,#N/A,FALSE,"Plan1";#N/A,#N/A,FALSE,"Plan2"}</definedName>
    <definedName name="jfkrhdtghdut" localSheetId="5" hidden="1">{#N/A,#N/A,FALSE,"Plan1";#N/A,#N/A,FALSE,"Plan2"}</definedName>
    <definedName name="jfkrhdtghdut" hidden="1">{#N/A,#N/A,FALSE,"Plan1";#N/A,#N/A,FALSE,"Plan2"}</definedName>
    <definedName name="JFRESR" localSheetId="5" hidden="1">{#N/A,#N/A,FALSE,"Plan1";#N/A,#N/A,FALSE,"Plan2"}</definedName>
    <definedName name="JFRESR" hidden="1">{#N/A,#N/A,FALSE,"Plan1";#N/A,#N/A,FALSE,"Plan2"}</definedName>
    <definedName name="jgdfdgfjgdj" localSheetId="5" hidden="1">{#N/A,#N/A,FALSE,"Plan1";#N/A,#N/A,FALSE,"Plan2"}</definedName>
    <definedName name="jgdfdgfjgdj" hidden="1">{#N/A,#N/A,FALSE,"Plan1";#N/A,#N/A,FALSE,"Plan2"}</definedName>
    <definedName name="jgdfght" localSheetId="5" hidden="1">{#N/A,#N/A,FALSE,"Plan1";#N/A,#N/A,FALSE,"Plan2"}</definedName>
    <definedName name="jgdfght" hidden="1">{#N/A,#N/A,FALSE,"Plan1";#N/A,#N/A,FALSE,"Plan2"}</definedName>
    <definedName name="jgfgdsgfdhrf" localSheetId="5" hidden="1">{#N/A,#N/A,FALSE,"Plan1";#N/A,#N/A,FALSE,"Plan2"}</definedName>
    <definedName name="jgfgdsgfdhrf" hidden="1">{#N/A,#N/A,FALSE,"Plan1";#N/A,#N/A,FALSE,"Plan2"}</definedName>
    <definedName name="JGFJGTFT" localSheetId="5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5" hidden="1">{#N/A,#N/A,FALSE,"Plan1";#N/A,#N/A,FALSE,"Plan2"}</definedName>
    <definedName name="jgkjkhjuftgi" hidden="1">{#N/A,#N/A,FALSE,"Plan1";#N/A,#N/A,FALSE,"Plan2"}</definedName>
    <definedName name="jh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5" hidden="1">{#N/A,#N/A,FALSE,"Plan1";#N/A,#N/A,FALSE,"Plan2"}</definedName>
    <definedName name="jhdfjjhirft" hidden="1">{#N/A,#N/A,FALSE,"Plan1";#N/A,#N/A,FALSE,"Plan2"}</definedName>
    <definedName name="jhdfjkhtrdhf" localSheetId="5" hidden="1">{#N/A,#N/A,FALSE,"Plan1";#N/A,#N/A,FALSE,"Plan2"}</definedName>
    <definedName name="jhdfjkhtrdhf" hidden="1">{#N/A,#N/A,FALSE,"Plan1";#N/A,#N/A,FALSE,"Plan2"}</definedName>
    <definedName name="jhdfuthr" localSheetId="5" hidden="1">{#N/A,#N/A,FALSE,"Plan1";#N/A,#N/A,FALSE,"Plan2"}</definedName>
    <definedName name="jhdfuthr" hidden="1">{#N/A,#N/A,FALSE,"Plan1";#N/A,#N/A,FALSE,"Plan2"}</definedName>
    <definedName name="JHDFZGRDHF" localSheetId="5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5" hidden="1">{#N/A,#N/A,FALSE,"Plan1";#N/A,#N/A,FALSE,"Plan2"}</definedName>
    <definedName name="JHERKHKFGH" hidden="1">{#N/A,#N/A,FALSE,"Plan1";#N/A,#N/A,FALSE,"Plan2"}</definedName>
    <definedName name="jhfhhztfhe" localSheetId="5" hidden="1">#REF!</definedName>
    <definedName name="jhfhhztfhe" hidden="1">#REF!</definedName>
    <definedName name="JHGKJFJFJGL" localSheetId="5" hidden="1">{#N/A,#N/A,FALSE,"Plan1";#N/A,#N/A,FALSE,"Plan2"}</definedName>
    <definedName name="JHGKJFJFJGL" hidden="1">{#N/A,#N/A,FALSE,"Plan1";#N/A,#N/A,FALSE,"Plan2"}</definedName>
    <definedName name="jhsdjkhfuks" localSheetId="5" hidden="1">{#N/A,#N/A,FALSE,"Plan1";#N/A,#N/A,FALSE,"Plan2"}</definedName>
    <definedName name="jhsdjkhfuks" hidden="1">{#N/A,#N/A,FALSE,"Plan1";#N/A,#N/A,FALSE,"Plan2"}</definedName>
    <definedName name="jisdrkje" localSheetId="5" hidden="1">{#N/A,#N/A,FALSE,"Plan1";#N/A,#N/A,FALSE,"Plan2"}</definedName>
    <definedName name="jisdrkje" hidden="1">{#N/A,#N/A,FALSE,"Plan1";#N/A,#N/A,FALSE,"Plan2"}</definedName>
    <definedName name="jishfrieyhtau" localSheetId="5" hidden="1">{#N/A,#N/A,FALSE,"Plan1";#N/A,#N/A,FALSE,"Plan2"}</definedName>
    <definedName name="jishfrieyhtau" hidden="1">{#N/A,#N/A,FALSE,"Plan1";#N/A,#N/A,FALSE,"Plan2"}</definedName>
    <definedName name="jiu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5" hidden="1">{"'Apr-00'!$B$4:$AD$44"}</definedName>
    <definedName name="jj" hidden="1">{"'Apr-00'!$B$4:$AD$44"}</definedName>
    <definedName name="jjfdsktyhhy" localSheetId="5" hidden="1">{#N/A,#N/A,FALSE,"Plan1";#N/A,#N/A,FALSE,"Plan2"}</definedName>
    <definedName name="jjfdsktyhhy" hidden="1">{#N/A,#N/A,FALSE,"Plan1";#N/A,#N/A,FALSE,"Plan2"}</definedName>
    <definedName name="jjjjjjjjjjjjjjjjjjjj" localSheetId="5">#REF!</definedName>
    <definedName name="jjjjjjjjjjjjjjjjjjjj">#REF!</definedName>
    <definedName name="jjkjkjk" localSheetId="5" hidden="1">{#N/A,#N/A,FALSE,"Plan1";#N/A,#N/A,FALSE,"Plan2"}</definedName>
    <definedName name="jjkjkjk" hidden="1">{#N/A,#N/A,FALSE,"Plan1";#N/A,#N/A,FALSE,"Plan2"}</definedName>
    <definedName name="JKDCK" localSheetId="5" hidden="1">{#N/A,#N/A,FALSE,"Plan1";#N/A,#N/A,FALSE,"Plan2"}</definedName>
    <definedName name="JKDCK" hidden="1">{#N/A,#N/A,FALSE,"Plan1";#N/A,#N/A,FALSE,"Plan2"}</definedName>
    <definedName name="JKDFHKHFR" localSheetId="5" hidden="1">{#N/A,#N/A,FALSE,"Plan1";#N/A,#N/A,FALSE,"Plan2"}</definedName>
    <definedName name="JKDFHKHFR" hidden="1">{#N/A,#N/A,FALSE,"Plan1";#N/A,#N/A,FALSE,"Plan2"}</definedName>
    <definedName name="JKDFTRDRJ" localSheetId="5" hidden="1">{#N/A,#N/A,FALSE,"Plan1";#N/A,#N/A,FALSE,"Plan2"}</definedName>
    <definedName name="JKDFTRDRJ" hidden="1">{#N/A,#N/A,FALSE,"Plan1";#N/A,#N/A,FALSE,"Plan2"}</definedName>
    <definedName name="jkdhfukhddf" localSheetId="5" hidden="1">{#N/A,#N/A,FALSE,"Plan1";#N/A,#N/A,FALSE,"Plan2"}</definedName>
    <definedName name="jkdhfukhddf" hidden="1">{#N/A,#N/A,FALSE,"Plan1";#N/A,#N/A,FALSE,"Plan2"}</definedName>
    <definedName name="JKDRKGJHTDR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5" hidden="1">{#N/A,#N/A,FALSE,"Plan1";#N/A,#N/A,FALSE,"Plan2"}</definedName>
    <definedName name="jkelsjreja" hidden="1">{#N/A,#N/A,FALSE,"Plan1";#N/A,#N/A,FALSE,"Plan2"}</definedName>
    <definedName name="jkfhjgkfhghh" localSheetId="5" hidden="1">{#N/A,#N/A,FALSE,"Plan1";#N/A,#N/A,FALSE,"Plan2"}</definedName>
    <definedName name="jkfhjgkfhghh" hidden="1">{#N/A,#N/A,FALSE,"Plan1";#N/A,#N/A,FALSE,"Plan2"}</definedName>
    <definedName name="jkhderjkhes" localSheetId="5" hidden="1">{#N/A,#N/A,FALSE,"Plan1";#N/A,#N/A,FALSE,"Plan2"}</definedName>
    <definedName name="jkhderjkhes" hidden="1">{#N/A,#N/A,FALSE,"Plan1";#N/A,#N/A,FALSE,"Plan2"}</definedName>
    <definedName name="jkhdfhfd" localSheetId="5" hidden="1">{#N/A,#N/A,FALSE,"Plan1";#N/A,#N/A,FALSE,"Plan2"}</definedName>
    <definedName name="jkhdfhfd" hidden="1">{#N/A,#N/A,FALSE,"Plan1";#N/A,#N/A,FALSE,"Plan2"}</definedName>
    <definedName name="jkhfhes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5" hidden="1">{#N/A,#N/A,FALSE,"Plan1";#N/A,#N/A,FALSE,"Plan2"}</definedName>
    <definedName name="JKHFKJHGKFTHUDET" hidden="1">{#N/A,#N/A,FALSE,"Plan1";#N/A,#N/A,FALSE,"Plan2"}</definedName>
    <definedName name="JKHGDHFUHTG" localSheetId="5" hidden="1">{#N/A,#N/A,FALSE,"Plan1";#N/A,#N/A,FALSE,"Plan2"}</definedName>
    <definedName name="JKHGDHFUHTG" hidden="1">{#N/A,#N/A,FALSE,"Plan1";#N/A,#N/A,FALSE,"Plan2"}</definedName>
    <definedName name="jkhsdzjkfyiu" localSheetId="5" hidden="1">{#N/A,#N/A,FALSE,"Plan1";#N/A,#N/A,FALSE,"Plan2"}</definedName>
    <definedName name="jkhsdzjkfyiu" hidden="1">{#N/A,#N/A,FALSE,"Plan1";#N/A,#N/A,FALSE,"Plan2"}</definedName>
    <definedName name="jkjsdkhfdhrf" localSheetId="5" hidden="1">{#N/A,#N/A,FALSE,"Plan1";#N/A,#N/A,FALSE,"Plan2"}</definedName>
    <definedName name="jkjsdkhfdhrf" hidden="1">{#N/A,#N/A,FALSE,"Plan1";#N/A,#N/A,FALSE,"Plan2"}</definedName>
    <definedName name="jklgfsjgtjtg" localSheetId="5" hidden="1">{#N/A,#N/A,FALSE,"Plan1";#N/A,#N/A,FALSE,"Plan2"}</definedName>
    <definedName name="jklgfsjgtjtg" hidden="1">{#N/A,#N/A,FALSE,"Plan1";#N/A,#N/A,FALSE,"Plan2"}</definedName>
    <definedName name="jksldfjsdhf" localSheetId="5" hidden="1">{#N/A,#N/A,FALSE,"Plan1";#N/A,#N/A,FALSE,"Plan2"}</definedName>
    <definedName name="jksldfjsdhf" hidden="1">{#N/A,#N/A,FALSE,"Plan1";#N/A,#N/A,FALSE,"Plan2"}</definedName>
    <definedName name="jkxhcjkhfr" localSheetId="5" hidden="1">{#N/A,#N/A,FALSE,"Plan1";#N/A,#N/A,FALSE,"Plan2"}</definedName>
    <definedName name="jkxhcjkhfr" hidden="1">{#N/A,#N/A,FALSE,"Plan1";#N/A,#N/A,FALSE,"Plan2"}</definedName>
    <definedName name="JNGCKFKJFGH" localSheetId="5" hidden="1">{#N/A,#N/A,FALSE,"Plan1";#N/A,#N/A,FALSE,"Plan2"}</definedName>
    <definedName name="JNGCKFKJFGH" hidden="1">{#N/A,#N/A,FALSE,"Plan1";#N/A,#N/A,FALSE,"Plan2"}</definedName>
    <definedName name="JOALDO" localSheetId="5">#REF!</definedName>
    <definedName name="JOALDO">#REF!</definedName>
    <definedName name="joao_cdi" localSheetId="5">#REF!</definedName>
    <definedName name="joao_cdi">#REF!</definedName>
    <definedName name="joao_hist" localSheetId="5">#REF!</definedName>
    <definedName name="joao_hist">#REF!</definedName>
    <definedName name="joao_uss" localSheetId="5">#REF!</definedName>
    <definedName name="joao_uss">#REF!</definedName>
    <definedName name="JREJRW" localSheetId="5" hidden="1">{#N/A,#N/A,FALSE,"Plan1";#N/A,#N/A,FALSE,"Plan2"}</definedName>
    <definedName name="JREJRW" hidden="1">{#N/A,#N/A,FALSE,"Plan1";#N/A,#N/A,FALSE,"Plan2"}</definedName>
    <definedName name="JSADKAH" localSheetId="5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5" hidden="1">{#N/A,#N/A,FALSE,"Plan1";#N/A,#N/A,FALSE,"Plan2"}</definedName>
    <definedName name="JSDAJRE" hidden="1">{#N/A,#N/A,FALSE,"Plan1";#N/A,#N/A,FALSE,"Plan2"}</definedName>
    <definedName name="jsdffs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5" hidden="1">{#N/A,#N/A,FALSE,"Plan1";#N/A,#N/A,FALSE,"Plan2"}</definedName>
    <definedName name="jsdfjgx" hidden="1">{#N/A,#N/A,FALSE,"Plan1";#N/A,#N/A,FALSE,"Plan2"}</definedName>
    <definedName name="jsdfkgnfr" localSheetId="5" hidden="1">#REF!</definedName>
    <definedName name="jsdfkgnfr" hidden="1">#REF!</definedName>
    <definedName name="jsdfsdfd" localSheetId="5" hidden="1">{#N/A,#N/A,FALSE,"Plan1";#N/A,#N/A,FALSE,"Plan2"}</definedName>
    <definedName name="jsdfsdfd" hidden="1">{#N/A,#N/A,FALSE,"Plan1";#N/A,#N/A,FALSE,"Plan2"}</definedName>
    <definedName name="jsdljficd" localSheetId="5" hidden="1">{#N/A,#N/A,FALSE,"Plan1";#N/A,#N/A,FALSE,"Plan2"}</definedName>
    <definedName name="jsdljficd" hidden="1">{#N/A,#N/A,FALSE,"Plan1";#N/A,#N/A,FALSE,"Plan2"}</definedName>
    <definedName name="JSDTLFJDRG" localSheetId="5" hidden="1">{#N/A,#N/A,FALSE,"Plan1";#N/A,#N/A,FALSE,"Plan2"}</definedName>
    <definedName name="JSDTLFJDRG" hidden="1">{#N/A,#N/A,FALSE,"Plan1";#N/A,#N/A,FALSE,"Plan2"}</definedName>
    <definedName name="jsfjsjferwea" localSheetId="5" hidden="1">{#N/A,#N/A,FALSE,"Plan1";#N/A,#N/A,FALSE,"Plan2"}</definedName>
    <definedName name="jsfjsjferwea" hidden="1">{#N/A,#N/A,FALSE,"Plan1";#N/A,#N/A,FALSE,"Plan2"}</definedName>
    <definedName name="jslrjer" localSheetId="5" hidden="1">{#N/A,#N/A,FALSE,"Plan1";#N/A,#N/A,FALSE,"Plan2"}</definedName>
    <definedName name="jslrjer" hidden="1">{#N/A,#N/A,FALSE,"Plan1";#N/A,#N/A,FALSE,"Plan2"}</definedName>
    <definedName name="juklhkhdf" localSheetId="5" hidden="1">{#N/A,#N/A,FALSE,"Plan1";#N/A,#N/A,FALSE,"Plan2"}</definedName>
    <definedName name="juklhkhdf" hidden="1">{#N/A,#N/A,FALSE,"Plan1";#N/A,#N/A,FALSE,"Plan2"}</definedName>
    <definedName name="jul17RJ" localSheetId="5">#REF!</definedName>
    <definedName name="jul17RJ">#REF!</definedName>
    <definedName name="JULHO" localSheetId="5">#REF!</definedName>
    <definedName name="JULHO">#REF!</definedName>
    <definedName name="JULHO2001" localSheetId="5">#REF!</definedName>
    <definedName name="JULHO2001">#REF!</definedName>
    <definedName name="JULHO99" localSheetId="5" hidden="1">{#N/A,#N/A,TRUE,"Quinzena 01 à 15-04-98 "}</definedName>
    <definedName name="JULHO99" hidden="1">{#N/A,#N/A,TRUE,"Quinzena 01 à 15-04-98 "}</definedName>
    <definedName name="jun17RJ" localSheetId="5">#REF!</definedName>
    <definedName name="jun17RJ">#REF!</definedName>
    <definedName name="JUNHO" localSheetId="5">#REF!</definedName>
    <definedName name="JUNHO">#REF!</definedName>
    <definedName name="JUNHO2001" localSheetId="5">#REF!</definedName>
    <definedName name="JUNHO2001">#REF!</definedName>
    <definedName name="JurosTpMes" localSheetId="5">#REF!</definedName>
    <definedName name="JurosTpMes">#REF!</definedName>
    <definedName name="jwekljd" localSheetId="5" hidden="1">{#N/A,#N/A,FALSE,"Plan1";#N/A,#N/A,FALSE,"Plan2"}</definedName>
    <definedName name="jwekljd" hidden="1">{#N/A,#N/A,FALSE,"Plan1";#N/A,#N/A,FALSE,"Plan2"}</definedName>
    <definedName name="JWEOITORU5Y" localSheetId="5" hidden="1">{#N/A,#N/A,FALSE,"Plan1";#N/A,#N/A,FALSE,"Plan2"}</definedName>
    <definedName name="JWEOITORU5Y" hidden="1">{#N/A,#N/A,FALSE,"Plan1";#N/A,#N/A,FALSE,"Plan2"}</definedName>
    <definedName name="jxdfjsrf" localSheetId="5" hidden="1">{#N/A,#N/A,FALSE,"Plan1";#N/A,#N/A,FALSE,"Plan2"}</definedName>
    <definedName name="jxdfjsrf" hidden="1">{#N/A,#N/A,FALSE,"Plan1";#N/A,#N/A,FALSE,"Plan2"}</definedName>
    <definedName name="jxdklfjv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5" hidden="1">#REF!</definedName>
    <definedName name="JY" hidden="1">#REF!</definedName>
    <definedName name="jzsdjkszl" localSheetId="5" hidden="1">{#N/A,#N/A,FALSE,"Plan1";#N/A,#N/A,FALSE,"Plan2"}</definedName>
    <definedName name="jzsdjkszl" hidden="1">{#N/A,#N/A,FALSE,"Plan1";#N/A,#N/A,FALSE,"Plan2"}</definedName>
    <definedName name="JZXFKLJLDJF" localSheetId="5" hidden="1">{#N/A,#N/A,FALSE,"Plan1";#N/A,#N/A,FALSE,"Plan2"}</definedName>
    <definedName name="JZXFKLJLDJF" hidden="1">{#N/A,#N/A,FALSE,"Plan1";#N/A,#N/A,FALSE,"Plan2"}</definedName>
    <definedName name="jzxklfdlvgfg" localSheetId="5" hidden="1">{#N/A,#N/A,FALSE,"Plan1";#N/A,#N/A,FALSE,"Plan2"}</definedName>
    <definedName name="jzxklfdlvgfg" hidden="1">{#N/A,#N/A,FALSE,"Plan1";#N/A,#N/A,FALSE,"Plan2"}</definedName>
    <definedName name="k" localSheetId="5" hidden="1">{#N/A,#N/A,FALSE,"Plan1";#N/A,#N/A,FALSE,"Plan2"}</definedName>
    <definedName name="k" hidden="1">{#N/A,#N/A,FALSE,"Plan1";#N/A,#N/A,FALSE,"Plan2"}</definedName>
    <definedName name="K_1" localSheetId="5">#REF!</definedName>
    <definedName name="K_1">#REF!</definedName>
    <definedName name="kaedkroswr" localSheetId="5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5">#REF!</definedName>
    <definedName name="kapa">#REF!</definedName>
    <definedName name="kç\lKçaksdçaqew" localSheetId="5" hidden="1">{#N/A,#N/A,FALSE,"Plan1";#N/A,#N/A,FALSE,"Plan2"}</definedName>
    <definedName name="kç\lKçaksdçaqew" hidden="1">{#N/A,#N/A,FALSE,"Plan1";#N/A,#N/A,FALSE,"Plan2"}</definedName>
    <definedName name="kçdasekr" localSheetId="5" hidden="1">{#N/A,#N/A,FALSE,"Plan1";#N/A,#N/A,FALSE,"Plan2"}</definedName>
    <definedName name="kçdasekr" hidden="1">{#N/A,#N/A,FALSE,"Plan1";#N/A,#N/A,FALSE,"Plan2"}</definedName>
    <definedName name="kçfdljtredr" localSheetId="5" hidden="1">{#N/A,#N/A,FALSE,"Plan1";#N/A,#N/A,FALSE,"Plan2"}</definedName>
    <definedName name="kçfdljtredr" hidden="1">{#N/A,#N/A,FALSE,"Plan1";#N/A,#N/A,FALSE,"Plan2"}</definedName>
    <definedName name="KCIVIL" localSheetId="5">#REF!</definedName>
    <definedName name="KCIVIL">#REF!</definedName>
    <definedName name="kclçkglf" localSheetId="5" hidden="1">{#N/A,#N/A,FALSE,"Plan1";#N/A,#N/A,FALSE,"Plan2"}</definedName>
    <definedName name="kclçkglf" hidden="1">{#N/A,#N/A,FALSE,"Plan1";#N/A,#N/A,FALSE,"Plan2"}</definedName>
    <definedName name="kçlkasçkere" localSheetId="5" hidden="1">{#N/A,#N/A,FALSE,"Plan1";#N/A,#N/A,FALSE,"Plan2"}</definedName>
    <definedName name="kçlkasçkere" hidden="1">{#N/A,#N/A,FALSE,"Plan1";#N/A,#N/A,FALSE,"Plan2"}</definedName>
    <definedName name="kdfbngtjkbf" localSheetId="5" hidden="1">{#N/A,#N/A,FALSE,"Plan1";#N/A,#N/A,FALSE,"Plan2"}</definedName>
    <definedName name="kdfbngtjkbf" hidden="1">{#N/A,#N/A,FALSE,"Plan1";#N/A,#N/A,FALSE,"Plan2"}</definedName>
    <definedName name="kdfhkghkrh" localSheetId="5" hidden="1">{#N/A,#N/A,FALSE,"Plan1";#N/A,#N/A,FALSE,"Plan2"}</definedName>
    <definedName name="kdfhkghkrh" hidden="1">{#N/A,#N/A,FALSE,"Plan1";#N/A,#N/A,FALSE,"Plan2"}</definedName>
    <definedName name="kdfier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5" hidden="1">{#N/A,#N/A,FALSE,"Plan1";#N/A,#N/A,FALSE,"Plan2"}</definedName>
    <definedName name="kdfkçrkf" hidden="1">{#N/A,#N/A,FALSE,"Plan1";#N/A,#N/A,FALSE,"Plan2"}</definedName>
    <definedName name="kdfljlfr" localSheetId="5" hidden="1">{#N/A,#N/A,FALSE,"Plan1";#N/A,#N/A,FALSE,"Plan2"}</definedName>
    <definedName name="kdfljlfr" hidden="1">{#N/A,#N/A,FALSE,"Plan1";#N/A,#N/A,FALSE,"Plan2"}</definedName>
    <definedName name="kdhfgkdfhytgu" localSheetId="5" hidden="1">{#N/A,#N/A,FALSE,"Plan1";#N/A,#N/A,FALSE,"Plan2"}</definedName>
    <definedName name="kdhfgkdfhytgu" hidden="1">{#N/A,#N/A,FALSE,"Plan1";#N/A,#N/A,FALSE,"Plan2"}</definedName>
    <definedName name="kdhgftfg" localSheetId="5" hidden="1">{#N/A,#N/A,FALSE,"Plan1";#N/A,#N/A,FALSE,"Plan2"}</definedName>
    <definedName name="kdhgftfg" hidden="1">{#N/A,#N/A,FALSE,"Plan1";#N/A,#N/A,FALSE,"Plan2"}</definedName>
    <definedName name="KDHKFGKKHGF" localSheetId="5" hidden="1">{#N/A,#N/A,FALSE,"Plan1";#N/A,#N/A,FALSE,"Plan2"}</definedName>
    <definedName name="KDHKFGKKHGF" hidden="1">{#N/A,#N/A,FALSE,"Plan1";#N/A,#N/A,FALSE,"Plan2"}</definedName>
    <definedName name="kdjfdr" localSheetId="5" hidden="1">#REF!</definedName>
    <definedName name="kdjfdr" hidden="1">#REF!</definedName>
    <definedName name="kdjgkfjgd" localSheetId="5" hidden="1">{#N/A,#N/A,FALSE,"Plan1";#N/A,#N/A,FALSE,"Plan2"}</definedName>
    <definedName name="kdjgkfjgd" hidden="1">{#N/A,#N/A,FALSE,"Plan1";#N/A,#N/A,FALSE,"Plan2"}</definedName>
    <definedName name="kdjglkdlgjd" localSheetId="5" hidden="1">{#N/A,#N/A,FALSE,"Plan1";#N/A,#N/A,FALSE,"Plan2"}</definedName>
    <definedName name="kdjglkdlgjd" hidden="1">{#N/A,#N/A,FALSE,"Plan1";#N/A,#N/A,FALSE,"Plan2"}</definedName>
    <definedName name="kdjsfkldjgkty" localSheetId="5" hidden="1">{#N/A,#N/A,FALSE,"Plan1";#N/A,#N/A,FALSE,"Plan2"}</definedName>
    <definedName name="kdjsfkldjgkty" hidden="1">{#N/A,#N/A,FALSE,"Plan1";#N/A,#N/A,FALSE,"Plan2"}</definedName>
    <definedName name="KDJU" localSheetId="5" hidden="1">{"'장비'!$A$3:$M$12"}</definedName>
    <definedName name="KDJU" hidden="1">{"'장비'!$A$3:$M$12"}</definedName>
    <definedName name="kdkjhgdkfhjk" localSheetId="5" hidden="1">{#N/A,#N/A,FALSE,"Plan1";#N/A,#N/A,FALSE,"Plan2"}</definedName>
    <definedName name="kdkjhgdkfhjk" hidden="1">{#N/A,#N/A,FALSE,"Plan1";#N/A,#N/A,FALSE,"Plan2"}</definedName>
    <definedName name="kdsf" localSheetId="5" hidden="1">{#N/A,#N/A,FALSE,"Plan1";#N/A,#N/A,FALSE,"Plan2"}</definedName>
    <definedName name="kdsf" hidden="1">{#N/A,#N/A,FALSE,"Plan1";#N/A,#N/A,FALSE,"Plan2"}</definedName>
    <definedName name="kdsr" localSheetId="5" hidden="1">{#N/A,#N/A,FALSE,"Plan1";#N/A,#N/A,FALSE,"Plan2"}</definedName>
    <definedName name="kdsr" hidden="1">{#N/A,#N/A,FALSE,"Plan1";#N/A,#N/A,FALSE,"Plan2"}</definedName>
    <definedName name="kergtfdstr" localSheetId="5" hidden="1">{#N/A,#N/A,FALSE,"Plan1";#N/A,#N/A,FALSE,"Plan2"}</definedName>
    <definedName name="kergtfdstr" hidden="1">{#N/A,#N/A,FALSE,"Plan1";#N/A,#N/A,FALSE,"Plan2"}</definedName>
    <definedName name="kesp" localSheetId="5">#REF!</definedName>
    <definedName name="kesp">#REF!</definedName>
    <definedName name="KFDKTHGT" localSheetId="5" hidden="1">{#N/A,#N/A,FALSE,"Plan1";#N/A,#N/A,FALSE,"Plan2"}</definedName>
    <definedName name="KFDKTHGT" hidden="1">{#N/A,#N/A,FALSE,"Plan1";#N/A,#N/A,FALSE,"Plan2"}</definedName>
    <definedName name="kfdxlfdzs" localSheetId="5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5" hidden="1">{#N/A,#N/A,FALSE,"Plan1";#N/A,#N/A,FALSE,"Plan2"}</definedName>
    <definedName name="kfgkhjkjhy" hidden="1">{#N/A,#N/A,FALSE,"Plan1";#N/A,#N/A,FALSE,"Plan2"}</definedName>
    <definedName name="KFJFDSDF" localSheetId="5" hidden="1">{#N/A,#N/A,FALSE,"Plan1";#N/A,#N/A,FALSE,"Plan2"}</definedName>
    <definedName name="KFJFDSDF" hidden="1">{#N/A,#N/A,FALSE,"Plan1";#N/A,#N/A,FALSE,"Plan2"}</definedName>
    <definedName name="kfnkeasd" localSheetId="5" hidden="1">{#N/A,#N/A,FALSE,"Plan1";#N/A,#N/A,FALSE,"Plan2"}</definedName>
    <definedName name="kfnkeasd" hidden="1">{#N/A,#N/A,FALSE,"Plan1";#N/A,#N/A,FALSE,"Plan2"}</definedName>
    <definedName name="khdjkfkjhtg" localSheetId="5" hidden="1">{#N/A,#N/A,FALSE,"Plan1";#N/A,#N/A,FALSE,"Plan2"}</definedName>
    <definedName name="khdjkfkjhtg" hidden="1">{#N/A,#N/A,FALSE,"Plan1";#N/A,#N/A,FALSE,"Plan2"}</definedName>
    <definedName name="khdkfjhhfsdg" localSheetId="5" hidden="1">{#N/A,#N/A,FALSE,"Plan1";#N/A,#N/A,FALSE,"Plan2"}</definedName>
    <definedName name="khdkfjhhfsdg" hidden="1">{#N/A,#N/A,FALSE,"Plan1";#N/A,#N/A,FALSE,"Plan2"}</definedName>
    <definedName name="khdkjfhgudytu" localSheetId="5" hidden="1">{#N/A,#N/A,FALSE,"Plan1";#N/A,#N/A,FALSE,"Plan2"}</definedName>
    <definedName name="khdkjfhgudytu" hidden="1">{#N/A,#N/A,FALSE,"Plan1";#N/A,#N/A,FALSE,"Plan2"}</definedName>
    <definedName name="khfdghhhgd" localSheetId="5" hidden="1">{#N/A,#N/A,FALSE,"Plan1";#N/A,#N/A,FALSE,"Plan2"}</definedName>
    <definedName name="khfdghhhgd" hidden="1">{#N/A,#N/A,FALSE,"Plan1";#N/A,#N/A,FALSE,"Plan2"}</definedName>
    <definedName name="khfdkjhsdjf" localSheetId="5" hidden="1">{#N/A,#N/A,FALSE,"Plan1";#N/A,#N/A,FALSE,"Plan2"}</definedName>
    <definedName name="khfdkjhsdjf" hidden="1">{#N/A,#N/A,FALSE,"Plan1";#N/A,#N/A,FALSE,"Plan2"}</definedName>
    <definedName name="khgdkftfy" localSheetId="5" hidden="1">{#N/A,#N/A,FALSE,"Plan1";#N/A,#N/A,FALSE,"Plan2"}</definedName>
    <definedName name="khgdkftfy" hidden="1">{#N/A,#N/A,FALSE,"Plan1";#N/A,#N/A,FALSE,"Plan2"}</definedName>
    <definedName name="khgfhhtuhf" localSheetId="5" hidden="1">{#N/A,#N/A,FALSE,"Plan1";#N/A,#N/A,FALSE,"Plan2"}</definedName>
    <definedName name="khgfhhtuhf" hidden="1">{#N/A,#N/A,FALSE,"Plan1";#N/A,#N/A,FALSE,"Plan2"}</definedName>
    <definedName name="khjk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5" hidden="1">{#N/A,#N/A,FALSE,"Plan1";#N/A,#N/A,FALSE,"Plan2"}</definedName>
    <definedName name="KHJKLSDF" hidden="1">{#N/A,#N/A,FALSE,"Plan1";#N/A,#N/A,FALSE,"Plan2"}</definedName>
    <definedName name="kieret" localSheetId="5" hidden="1">{#N/A,#N/A,FALSE,"Plan1";#N/A,#N/A,FALSE,"Plan2"}</definedName>
    <definedName name="kieret" hidden="1">{#N/A,#N/A,FALSE,"Plan1";#N/A,#N/A,FALSE,"Plan2"}</definedName>
    <definedName name="kiweokwr" localSheetId="5" hidden="1">#REF!</definedName>
    <definedName name="kiweokwr" hidden="1">#REF!</definedName>
    <definedName name="kjchkfhsezk" localSheetId="5" hidden="1">{#N/A,#N/A,FALSE,"Plan1";#N/A,#N/A,FALSE,"Plan2"}</definedName>
    <definedName name="kjchkfhsezk" hidden="1">{#N/A,#N/A,FALSE,"Plan1";#N/A,#N/A,FALSE,"Plan2"}</definedName>
    <definedName name="kjdghksef" localSheetId="5" hidden="1">{#N/A,#N/A,FALSE,"Plan1";#N/A,#N/A,FALSE,"Plan2"}</definedName>
    <definedName name="kjdghksef" hidden="1">{#N/A,#N/A,FALSE,"Plan1";#N/A,#N/A,FALSE,"Plan2"}</definedName>
    <definedName name="kjdkftyhtert" localSheetId="5" hidden="1">{#N/A,#N/A,FALSE,"Plan1";#N/A,#N/A,FALSE,"Plan2"}</definedName>
    <definedName name="kjdkftyhtert" hidden="1">{#N/A,#N/A,FALSE,"Plan1";#N/A,#N/A,FALSE,"Plan2"}</definedName>
    <definedName name="kjdlfkjds" localSheetId="5" hidden="1">{#N/A,#N/A,FALSE,"Plan1";#N/A,#N/A,FALSE,"Plan2"}</definedName>
    <definedName name="kjdlfkjds" hidden="1">{#N/A,#N/A,FALSE,"Plan1";#N/A,#N/A,FALSE,"Plan2"}</definedName>
    <definedName name="kjdzhfytrfy" localSheetId="5" hidden="1">{#N/A,#N/A,FALSE,"Plan1";#N/A,#N/A,FALSE,"Plan2"}</definedName>
    <definedName name="kjdzhfytrfy" hidden="1">{#N/A,#N/A,FALSE,"Plan1";#N/A,#N/A,FALSE,"Plan2"}</definedName>
    <definedName name="kjhdfgjthdft" localSheetId="5" hidden="1">{#N/A,#N/A,FALSE,"Plan1";#N/A,#N/A,FALSE,"Plan2"}</definedName>
    <definedName name="kjhdfgjthdft" hidden="1">{#N/A,#N/A,FALSE,"Plan1";#N/A,#N/A,FALSE,"Plan2"}</definedName>
    <definedName name="kjhsdf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5" hidden="1">{#N/A,#N/A,FALSE,"Plan1";#N/A,#N/A,FALSE,"Plan2"}</definedName>
    <definedName name="kjhsiorf" hidden="1">{#N/A,#N/A,FALSE,"Plan1";#N/A,#N/A,FALSE,"Plan2"}</definedName>
    <definedName name="KJ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5" hidden="1">{#N/A,#N/A,FALSE,"Plan1";#N/A,#N/A,FALSE,"Plan2"}</definedName>
    <definedName name="kjjwww" hidden="1">{#N/A,#N/A,FALSE,"Plan1";#N/A,#N/A,FALSE,"Plan2"}</definedName>
    <definedName name="kjl" localSheetId="5" hidden="1">{#N/A,#N/A,FALSE,"ENG'G(보호계전기)"}</definedName>
    <definedName name="kjl" hidden="1">{#N/A,#N/A,FALSE,"ENG'G(보호계전기)"}</definedName>
    <definedName name="KJOI" localSheetId="5" hidden="1">{#N/A,#N/A,FALSE,"Plan1";#N/A,#N/A,FALSE,"Plan2"}</definedName>
    <definedName name="KJOI" hidden="1">{#N/A,#N/A,FALSE,"Plan1";#N/A,#N/A,FALSE,"Plan2"}</definedName>
    <definedName name="kjqwerw" localSheetId="5" hidden="1">{#N/A,#N/A,FALSE,"Plan1";#N/A,#N/A,FALSE,"Plan2"}</definedName>
    <definedName name="kjqwerw" hidden="1">{#N/A,#N/A,FALSE,"Plan1";#N/A,#N/A,FALSE,"Plan2"}</definedName>
    <definedName name="kjsfert" localSheetId="5" hidden="1">{#N/A,#N/A,FALSE,"Plan1";#N/A,#N/A,FALSE,"Plan2"}</definedName>
    <definedName name="kjsfert" hidden="1">{#N/A,#N/A,FALSE,"Plan1";#N/A,#N/A,FALSE,"Plan2"}</definedName>
    <definedName name="KJXCFKR" localSheetId="5" hidden="1">{#N/A,#N/A,FALSE,"Plan1";#N/A,#N/A,FALSE,"Plan2"}</definedName>
    <definedName name="KJXCFKR" hidden="1">{#N/A,#N/A,FALSE,"Plan1";#N/A,#N/A,FALSE,"Plan2"}</definedName>
    <definedName name="KJXDFD" localSheetId="5" hidden="1">{#N/A,#N/A,FALSE,"Plan1";#N/A,#N/A,FALSE,"Plan2"}</definedName>
    <definedName name="KJXDFD" hidden="1">{#N/A,#N/A,FALSE,"Plan1";#N/A,#N/A,FALSE,"Plan2"}</definedName>
    <definedName name="kjydhfkjghkjfh" localSheetId="5" hidden="1">#REF!</definedName>
    <definedName name="kjydhfkjghkjfh" hidden="1">#REF!</definedName>
    <definedName name="kk" localSheetId="5">#REF!</definedName>
    <definedName name="kk">#REF!</definedName>
    <definedName name="kk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5" hidden="1">{#N/A,#N/A,FALSE,"Plan1";#N/A,#N/A,FALSE,"Plan2"}</definedName>
    <definedName name="kkk" hidden="1">{#N/A,#N/A,FALSE,"Plan1";#N/A,#N/A,FALSE,"Plan2"}</definedName>
    <definedName name="kkkkk" localSheetId="5" hidden="1">{#N/A,#N/A,FALSE,"Plan1";#N/A,#N/A,FALSE,"Plan2"}</definedName>
    <definedName name="kkkkk" hidden="1">{#N/A,#N/A,FALSE,"Plan1";#N/A,#N/A,FALSE,"Plan2"}</definedName>
    <definedName name="kkkkkk" localSheetId="5" hidden="1">{#N/A,#N/A,FALSE,"Plan1";#N/A,#N/A,FALSE,"Plan2"}</definedName>
    <definedName name="kkkkkk" hidden="1">{#N/A,#N/A,FALSE,"Plan1";#N/A,#N/A,FALSE,"Plan2"}</definedName>
    <definedName name="kk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5" hidden="1">{#N/A,#N/A,FALSE,"Plan1";#N/A,#N/A,FALSE,"Plan2"}</definedName>
    <definedName name="kksaklçer" hidden="1">{#N/A,#N/A,FALSE,"Plan1";#N/A,#N/A,FALSE,"Plan2"}</definedName>
    <definedName name="kksarde" localSheetId="5" hidden="1">{#N/A,#N/A,FALSE,"Plan1";#N/A,#N/A,FALSE,"Plan2"}</definedName>
    <definedName name="kksarde" hidden="1">{#N/A,#N/A,FALSE,"Plan1";#N/A,#N/A,FALSE,"Plan2"}</definedName>
    <definedName name="klaskldjsw" localSheetId="5" hidden="1">{#N/A,#N/A,FALSE,"Plan1";#N/A,#N/A,FALSE,"Plan2"}</definedName>
    <definedName name="klaskldjsw" hidden="1">{#N/A,#N/A,FALSE,"Plan1";#N/A,#N/A,FALSE,"Plan2"}</definedName>
    <definedName name="klçkop" localSheetId="5" hidden="1">{#N/A,#N/A,FALSE,"Plan1";#N/A,#N/A,FALSE,"Plan2"}</definedName>
    <definedName name="klçkop" hidden="1">{#N/A,#N/A,FALSE,"Plan1";#N/A,#N/A,FALSE,"Plan2"}</definedName>
    <definedName name="KLDFNTRDT" localSheetId="5" hidden="1">{#N/A,#N/A,FALSE,"Plan1";#N/A,#N/A,FALSE,"Plan2"}</definedName>
    <definedName name="KLDFNTRDT" hidden="1">{#N/A,#N/A,FALSE,"Plan1";#N/A,#N/A,FALSE,"Plan2"}</definedName>
    <definedName name="klhjsdklhdf" localSheetId="5" hidden="1">{#N/A,#N/A,FALSE,"Plan1";#N/A,#N/A,FALSE,"Plan2"}</definedName>
    <definedName name="klhjsdklhdf" hidden="1">{#N/A,#N/A,FALSE,"Plan1";#N/A,#N/A,FALSE,"Plan2"}</definedName>
    <definedName name="KLHSKLRHWE" localSheetId="5" hidden="1">{#N/A,#N/A,FALSE,"Plan1";#N/A,#N/A,FALSE,"Plan2"}</definedName>
    <definedName name="KLHSKLRHWE" hidden="1">{#N/A,#N/A,FALSE,"Plan1";#N/A,#N/A,FALSE,"Plan2"}</definedName>
    <definedName name="KLJASKJD" localSheetId="5" hidden="1">{#N/A,#N/A,FALSE,"Plan1";#N/A,#N/A,FALSE,"Plan2"}</definedName>
    <definedName name="KLJASKJD" hidden="1">{#N/A,#N/A,FALSE,"Plan1";#N/A,#N/A,FALSE,"Plan2"}</definedName>
    <definedName name="KLJDXL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5" hidden="1">{#N/A,#N/A,FALSE,"Plan1";#N/A,#N/A,FALSE,"Plan2"}</definedName>
    <definedName name="kljeflwr" hidden="1">{#N/A,#N/A,FALSE,"Plan1";#N/A,#N/A,FALSE,"Plan2"}</definedName>
    <definedName name="kljflgjrf" localSheetId="5" hidden="1">{#N/A,#N/A,FALSE,"Plan1";#N/A,#N/A,FALSE,"Plan2"}</definedName>
    <definedName name="kljflgjrf" hidden="1">{#N/A,#N/A,FALSE,"Plan1";#N/A,#N/A,FALSE,"Plan2"}</definedName>
    <definedName name="kljgfdfr" localSheetId="5" hidden="1">{#N/A,#N/A,FALSE,"Plan1";#N/A,#N/A,FALSE,"Plan2"}</definedName>
    <definedName name="kljgfdfr" hidden="1">{#N/A,#N/A,FALSE,"Plan1";#N/A,#N/A,FALSE,"Plan2"}</definedName>
    <definedName name="kljgfjrt" localSheetId="5" hidden="1">{#N/A,#N/A,FALSE,"Plan1";#N/A,#N/A,FALSE,"Plan2"}</definedName>
    <definedName name="kljgfjrt" hidden="1">{#N/A,#N/A,FALSE,"Plan1";#N/A,#N/A,FALSE,"Plan2"}</definedName>
    <definedName name="kljlkdfj" localSheetId="5" hidden="1">{#N/A,#N/A,FALSE,"Plan1";#N/A,#N/A,FALSE,"Plan2"}</definedName>
    <definedName name="kljlkdfj" hidden="1">{#N/A,#N/A,FALSE,"Plan1";#N/A,#N/A,FALSE,"Plan2"}</definedName>
    <definedName name="kljsakjfr" localSheetId="5" hidden="1">{#N/A,#N/A,FALSE,"Plan1";#N/A,#N/A,FALSE,"Plan2"}</definedName>
    <definedName name="kljsakjfr" hidden="1">{#N/A,#N/A,FALSE,"Plan1";#N/A,#N/A,FALSE,"Plan2"}</definedName>
    <definedName name="kljsdje" localSheetId="5" hidden="1">{#N/A,#N/A,FALSE,"Plan1";#N/A,#N/A,FALSE,"Plan2"}</definedName>
    <definedName name="kljsdje" hidden="1">{#N/A,#N/A,FALSE,"Plan1";#N/A,#N/A,FALSE,"Plan2"}</definedName>
    <definedName name="kljsfwe" localSheetId="5" hidden="1">{#N/A,#N/A,FALSE,"Plan1";#N/A,#N/A,FALSE,"Plan2"}</definedName>
    <definedName name="kljsfwe" hidden="1">{#N/A,#N/A,FALSE,"Plan1";#N/A,#N/A,FALSE,"Plan2"}</definedName>
    <definedName name="klk" localSheetId="5" hidden="1">{#N/A,#N/A,FALSE,"Plan1";#N/A,#N/A,FALSE,"Plan2"}</definedName>
    <definedName name="klk" hidden="1">{#N/A,#N/A,FALSE,"Plan1";#N/A,#N/A,FALSE,"Plan2"}</definedName>
    <definedName name="KLKKLKÇJÇ" localSheetId="5" hidden="1">{#N/A,#N/A,FALSE,"Plan1";#N/A,#N/A,FALSE,"Plan2"}</definedName>
    <definedName name="KLKKLKÇJÇ" hidden="1">{#N/A,#N/A,FALSE,"Plan1";#N/A,#N/A,FALSE,"Plan2"}</definedName>
    <definedName name="KLSDFT" localSheetId="5" hidden="1">{#N/A,#N/A,FALSE,"Plan1";#N/A,#N/A,FALSE,"Plan2"}</definedName>
    <definedName name="KLSDFT" hidden="1">{#N/A,#N/A,FALSE,"Plan1";#N/A,#N/A,FALSE,"Plan2"}</definedName>
    <definedName name="KLSDHSJKHF" localSheetId="5" hidden="1">{#N/A,#N/A,FALSE,"Plan1";#N/A,#N/A,FALSE,"Plan2"}</definedName>
    <definedName name="KLSDHSJKHF" hidden="1">{#N/A,#N/A,FALSE,"Plan1";#N/A,#N/A,FALSE,"Plan2"}</definedName>
    <definedName name="klsdkre" localSheetId="5" hidden="1">{#N/A,#N/A,FALSE,"Plan1";#N/A,#N/A,FALSE,"Plan2"}</definedName>
    <definedName name="klsdkre" hidden="1">{#N/A,#N/A,FALSE,"Plan1";#N/A,#N/A,FALSE,"Plan2"}</definedName>
    <definedName name="KLSIDJE" localSheetId="5" hidden="1">{#N/A,#N/A,FALSE,"Plan1";#N/A,#N/A,FALSE,"Plan2"}</definedName>
    <definedName name="KLSIDJE" hidden="1">{#N/A,#N/A,FALSE,"Plan1";#N/A,#N/A,FALSE,"Plan2"}</definedName>
    <definedName name="klsjarsf" localSheetId="5" hidden="1">{#N/A,#N/A,FALSE,"Plan1";#N/A,#N/A,FALSE,"Plan2"}</definedName>
    <definedName name="klsjarsf" hidden="1">{#N/A,#N/A,FALSE,"Plan1";#N/A,#N/A,FALSE,"Plan2"}</definedName>
    <definedName name="klsjdwe" localSheetId="5" hidden="1">#REF!</definedName>
    <definedName name="klsjdwe" hidden="1">#REF!</definedName>
    <definedName name="klxhjfdkhser" localSheetId="5" hidden="1">{#N/A,#N/A,FALSE,"Plan1";#N/A,#N/A,FALSE,"Plan2"}</definedName>
    <definedName name="klxhjfdkhser" hidden="1">{#N/A,#N/A,FALSE,"Plan1";#N/A,#N/A,FALSE,"Plan2"}</definedName>
    <definedName name="kopipnsdfne" localSheetId="5" hidden="1">{#N/A,#N/A,FALSE,"Plan1";#N/A,#N/A,FALSE,"Plan2"}</definedName>
    <definedName name="kopipnsdfne" hidden="1">{#N/A,#N/A,FALSE,"Plan1";#N/A,#N/A,FALSE,"Plan2"}</definedName>
    <definedName name="kp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5" hidden="1">{#N/A,#N/A,FALSE,"Plan1";#N/A,#N/A,FALSE,"Plan2"}</definedName>
    <definedName name="KSDLDF" hidden="1">{#N/A,#N/A,FALSE,"Plan1";#N/A,#N/A,FALSE,"Plan2"}</definedName>
    <definedName name="ksdlkfsçzd" localSheetId="5" hidden="1">{#N/A,#N/A,FALSE,"Plan1";#N/A,#N/A,FALSE,"Plan2"}</definedName>
    <definedName name="ksdlkfsçzd" hidden="1">{#N/A,#N/A,FALSE,"Plan1";#N/A,#N/A,FALSE,"Plan2"}</definedName>
    <definedName name="KSDNFK" localSheetId="5">#REF!</definedName>
    <definedName name="KSDNFK">#REF!</definedName>
    <definedName name="ksdoçierfe" localSheetId="5" hidden="1">{#N/A,#N/A,FALSE,"Plan1";#N/A,#N/A,FALSE,"Plan2"}</definedName>
    <definedName name="ksdoçierfe" hidden="1">{#N/A,#N/A,FALSE,"Plan1";#N/A,#N/A,FALSE,"Plan2"}</definedName>
    <definedName name="ksdtrdrkf" localSheetId="5" hidden="1">{#N/A,#N/A,FALSE,"Plan1";#N/A,#N/A,FALSE,"Plan2"}</definedName>
    <definedName name="ksdtrdrkf" hidden="1">{#N/A,#N/A,FALSE,"Plan1";#N/A,#N/A,FALSE,"Plan2"}</definedName>
    <definedName name="KSFÇJDFJL" localSheetId="5" hidden="1">{#N/A,#N/A,FALSE,"Plan1";#N/A,#N/A,FALSE,"Plan2"}</definedName>
    <definedName name="KSFÇJDFJL" hidden="1">{#N/A,#N/A,FALSE,"Plan1";#N/A,#N/A,FALSE,"Plan2"}</definedName>
    <definedName name="ksfhse" localSheetId="5" hidden="1">{#N/A,#N/A,FALSE,"Plan1";#N/A,#N/A,FALSE,"Plan2"}</definedName>
    <definedName name="ksfhse" hidden="1">{#N/A,#N/A,FALSE,"Plan1";#N/A,#N/A,FALSE,"Plan2"}</definedName>
    <definedName name="KSRKOE" localSheetId="5" hidden="1">{#N/A,#N/A,FALSE,"Plan1";#N/A,#N/A,FALSE,"Plan2"}</definedName>
    <definedName name="KSRKOE" hidden="1">{#N/A,#N/A,FALSE,"Plan1";#N/A,#N/A,FALSE,"Plan2"}</definedName>
    <definedName name="KSWKE" localSheetId="5" hidden="1">{#N/A,#N/A,FALSE,"Plan1";#N/A,#N/A,FALSE,"Plan2"}</definedName>
    <definedName name="KSWKE" hidden="1">{#N/A,#N/A,FALSE,"Plan1";#N/A,#N/A,FALSE,"Plan2"}</definedName>
    <definedName name="kubus" localSheetId="5">#REF!</definedName>
    <definedName name="kubus">#REF!</definedName>
    <definedName name="kubus1" localSheetId="5">#REF!</definedName>
    <definedName name="kubus1">#REF!</definedName>
    <definedName name="kysdusf" localSheetId="5" hidden="1">{#N/A,#N/A,FALSE,"Plan1";#N/A,#N/A,FALSE,"Plan2"}</definedName>
    <definedName name="kysdusf" hidden="1">{#N/A,#N/A,FALSE,"Plan1";#N/A,#N/A,FALSE,"Plan2"}</definedName>
    <definedName name="kzslçdkçle" localSheetId="5" hidden="1">{#N/A,#N/A,FALSE,"Plan1";#N/A,#N/A,FALSE,"Plan2"}</definedName>
    <definedName name="kzslçdkçle" hidden="1">{#N/A,#N/A,FALSE,"Plan1";#N/A,#N/A,FALSE,"Plan2"}</definedName>
    <definedName name="L_" localSheetId="5">#REF!</definedName>
    <definedName name="L_">#REF!</definedName>
    <definedName name="LAEKWRK" localSheetId="5" hidden="1">{#N/A,#N/A,FALSE,"Plan1";#N/A,#N/A,FALSE,"Plan2"}</definedName>
    <definedName name="LAEKWRK" hidden="1">{#N/A,#N/A,FALSE,"Plan1";#N/A,#N/A,FALSE,"Plan2"}</definedName>
    <definedName name="laeqwep" localSheetId="5" hidden="1">#REF!</definedName>
    <definedName name="laeqwep" hidden="1">#REF!</definedName>
    <definedName name="LAKDEWRF" localSheetId="5" hidden="1">{#N/A,#N/A,FALSE,"Plan1";#N/A,#N/A,FALSE,"Plan2"}</definedName>
    <definedName name="LAKDEWRF" hidden="1">{#N/A,#N/A,FALSE,"Plan1";#N/A,#N/A,FALSE,"Plan2"}</definedName>
    <definedName name="Lancamentos" localSheetId="5">#REF!</definedName>
    <definedName name="Lancamentos">#REF!</definedName>
    <definedName name="LARGURA" localSheetId="5">#REF!</definedName>
    <definedName name="LARGURA">#REF!</definedName>
    <definedName name="LASÇDSRLF" localSheetId="5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5" hidden="1">{#N/A,#N/A,FALSE,"Plan1";#N/A,#N/A,FALSE,"Plan2"}</definedName>
    <definedName name="lasrlswer" hidden="1">{#N/A,#N/A,FALSE,"Plan1";#N/A,#N/A,FALSE,"Plan2"}</definedName>
    <definedName name="LAZER" localSheetId="5">#REF!</definedName>
    <definedName name="LAZER">#REF!</definedName>
    <definedName name="lbla1" localSheetId="5" hidden="1">#REF!</definedName>
    <definedName name="lbla1" hidden="1">#REF!</definedName>
    <definedName name="lbla10" localSheetId="5" hidden="1">#REF!</definedName>
    <definedName name="lbla10" hidden="1">#REF!</definedName>
    <definedName name="lbla11" localSheetId="5" hidden="1">#REF!</definedName>
    <definedName name="lbla11" hidden="1">#REF!</definedName>
    <definedName name="lbla12" localSheetId="5" hidden="1">#REF!</definedName>
    <definedName name="lbla12" hidden="1">#REF!</definedName>
    <definedName name="lbla13" localSheetId="5" hidden="1">#REF!</definedName>
    <definedName name="lbla13" hidden="1">#REF!</definedName>
    <definedName name="lbla14" localSheetId="5" hidden="1">#REF!</definedName>
    <definedName name="lbla14" hidden="1">#REF!</definedName>
    <definedName name="lbla15" localSheetId="5" hidden="1">#REF!</definedName>
    <definedName name="lbla15" hidden="1">#REF!</definedName>
    <definedName name="lbla16" localSheetId="5" hidden="1">#REF!</definedName>
    <definedName name="lbla16" hidden="1">#REF!</definedName>
    <definedName name="lbla17" localSheetId="5" hidden="1">#REF!</definedName>
    <definedName name="lbla17" hidden="1">#REF!</definedName>
    <definedName name="lbla18" localSheetId="5" hidden="1">#REF!</definedName>
    <definedName name="lbla18" hidden="1">#REF!</definedName>
    <definedName name="lbla19" localSheetId="5" hidden="1">#REF!</definedName>
    <definedName name="lbla19" hidden="1">#REF!</definedName>
    <definedName name="lbla2" localSheetId="5" hidden="1">#REF!</definedName>
    <definedName name="lbla2" hidden="1">#REF!</definedName>
    <definedName name="lbla20" localSheetId="5" hidden="1">#REF!</definedName>
    <definedName name="lbla20" hidden="1">#REF!</definedName>
    <definedName name="lbla21" localSheetId="5" hidden="1">#REF!</definedName>
    <definedName name="lbla21" hidden="1">#REF!</definedName>
    <definedName name="lbla22" localSheetId="5" hidden="1">#REF!</definedName>
    <definedName name="lbla22" hidden="1">#REF!</definedName>
    <definedName name="lbla23" localSheetId="5" hidden="1">#REF!</definedName>
    <definedName name="lbla23" hidden="1">#REF!</definedName>
    <definedName name="lbla24" localSheetId="5" hidden="1">#REF!</definedName>
    <definedName name="lbla24" hidden="1">#REF!</definedName>
    <definedName name="lbla25" localSheetId="5" hidden="1">#REF!</definedName>
    <definedName name="lbla25" hidden="1">#REF!</definedName>
    <definedName name="lbla27" localSheetId="5" hidden="1">#REF!</definedName>
    <definedName name="lbla27" hidden="1">#REF!</definedName>
    <definedName name="lbla28" localSheetId="5" hidden="1">#REF!</definedName>
    <definedName name="lbla28" hidden="1">#REF!</definedName>
    <definedName name="lçadple4r" localSheetId="5" hidden="1">{#N/A,#N/A,FALSE,"Plan1";#N/A,#N/A,FALSE,"Plan2"}</definedName>
    <definedName name="lçadple4r" hidden="1">{#N/A,#N/A,FALSE,"Plan1";#N/A,#N/A,FALSE,"Plan2"}</definedName>
    <definedName name="lçasser" localSheetId="5" hidden="1">{#N/A,#N/A,FALSE,"Plan1";#N/A,#N/A,FALSE,"Plan2"}</definedName>
    <definedName name="lçasser" hidden="1">{#N/A,#N/A,FALSE,"Plan1";#N/A,#N/A,FALSE,"Plan2"}</definedName>
    <definedName name="lcdgjtklfrn" localSheetId="5" hidden="1">{#N/A,#N/A,FALSE,"Plan1";#N/A,#N/A,FALSE,"Plan2"}</definedName>
    <definedName name="lcdgjtklfrn" hidden="1">{#N/A,#N/A,FALSE,"Plan1";#N/A,#N/A,FALSE,"Plan2"}</definedName>
    <definedName name="lçfklsdkçaer" localSheetId="5" hidden="1">{#N/A,#N/A,FALSE,"Plan1";#N/A,#N/A,FALSE,"Plan2"}</definedName>
    <definedName name="lçfklsdkçaer" hidden="1">{#N/A,#N/A,FALSE,"Plan1";#N/A,#N/A,FALSE,"Plan2"}</definedName>
    <definedName name="lçjkgf" localSheetId="5" hidden="1">{#N/A,#N/A,FALSE,"Plan1";#N/A,#N/A,FALSE,"Plan2"}</definedName>
    <definedName name="lçjkgf" hidden="1">{#N/A,#N/A,FALSE,"Plan1";#N/A,#N/A,FALSE,"Plan2"}</definedName>
    <definedName name="LÇJSLDFJ" localSheetId="5" hidden="1">{#N/A,#N/A,FALSE,"Plan1";#N/A,#N/A,FALSE,"Plan2"}</definedName>
    <definedName name="LÇJSLDFJ" hidden="1">{#N/A,#N/A,FALSE,"Plan1";#N/A,#N/A,FALSE,"Plan2"}</definedName>
    <definedName name="LÇKÇSDRLK" localSheetId="5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5" hidden="1">{#N/A,#N/A,FALSE,"Plan1";#N/A,#N/A,FALSE,"Plan2"}</definedName>
    <definedName name="lçlfklçdglfdgt" hidden="1">{#N/A,#N/A,FALSE,"Plan1";#N/A,#N/A,FALSE,"Plan2"}</definedName>
    <definedName name="lçslrr4r" localSheetId="5" hidden="1">{#N/A,#N/A,FALSE,"Plan1";#N/A,#N/A,FALSE,"Plan2"}</definedName>
    <definedName name="lçslrr4r" hidden="1">{#N/A,#N/A,FALSE,"Plan1";#N/A,#N/A,FALSE,"Plan2"}</definedName>
    <definedName name="ldfjgry" localSheetId="5" hidden="1">{#N/A,#N/A,FALSE,"Plan1";#N/A,#N/A,FALSE,"Plan2"}</definedName>
    <definedName name="ldfjgry" hidden="1">{#N/A,#N/A,FALSE,"Plan1";#N/A,#N/A,FALSE,"Plan2"}</definedName>
    <definedName name="ldfjgtilrf" localSheetId="5" hidden="1">{#N/A,#N/A,FALSE,"Plan1";#N/A,#N/A,FALSE,"Plan2"}</definedName>
    <definedName name="ldfjgtilrf" hidden="1">{#N/A,#N/A,FALSE,"Plan1";#N/A,#N/A,FALSE,"Plan2"}</definedName>
    <definedName name="ldk" localSheetId="5" hidden="1">{#N/A,#N/A,FALSE,"Plan1";#N/A,#N/A,FALSE,"Plan2"}</definedName>
    <definedName name="ldk" hidden="1">{#N/A,#N/A,FALSE,"Plan1";#N/A,#N/A,FALSE,"Plan2"}</definedName>
    <definedName name="ldkgkdfjgkh" localSheetId="5" hidden="1">{#N/A,#N/A,FALSE,"Plan1";#N/A,#N/A,FALSE,"Plan2"}</definedName>
    <definedName name="ldkgkdfjgkh" hidden="1">{#N/A,#N/A,FALSE,"Plan1";#N/A,#N/A,FALSE,"Plan2"}</definedName>
    <definedName name="LDTJGR" localSheetId="5" hidden="1">{#N/A,#N/A,FALSE,"Plan1";#N/A,#N/A,FALSE,"Plan2"}</definedName>
    <definedName name="LDTJGR" hidden="1">{#N/A,#N/A,FALSE,"Plan1";#N/A,#N/A,FALSE,"Plan2"}</definedName>
    <definedName name="Leg" localSheetId="5" hidden="1">#REF!</definedName>
    <definedName name="Leg" hidden="1">#REF!</definedName>
    <definedName name="legr_cdi" localSheetId="5">#REF!</definedName>
    <definedName name="legr_cdi">#REF!</definedName>
    <definedName name="legr_hist" localSheetId="5">#REF!</definedName>
    <definedName name="legr_hist">#REF!</definedName>
    <definedName name="legr_uss" localSheetId="5">#REF!</definedName>
    <definedName name="legr_uss">#REF!</definedName>
    <definedName name="LEK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5">#REF!</definedName>
    <definedName name="LEVANTAMENTO">#REF!</definedName>
    <definedName name="lfjdjrt" localSheetId="5" hidden="1">{#N/A,#N/A,FALSE,"Plan1";#N/A,#N/A,FALSE,"Plan2"}</definedName>
    <definedName name="lfjdjrt" hidden="1">{#N/A,#N/A,FALSE,"Plan1";#N/A,#N/A,FALSE,"Plan2"}</definedName>
    <definedName name="LI" localSheetId="5">#REF!</definedName>
    <definedName name="LI">#REF!</definedName>
    <definedName name="LIDER_OPER" localSheetId="5">#REF!</definedName>
    <definedName name="LIDER_OPER">#REF!</definedName>
    <definedName name="lidfjgklruf" localSheetId="5" hidden="1">{#N/A,#N/A,FALSE,"Plan1";#N/A,#N/A,FALSE,"Plan2"}</definedName>
    <definedName name="lidfjgklruf" hidden="1">{#N/A,#N/A,FALSE,"Plan1";#N/A,#N/A,FALSE,"Plan2"}</definedName>
    <definedName name="LII" localSheetId="5">#REF!</definedName>
    <definedName name="LII">#REF!</definedName>
    <definedName name="LIII" localSheetId="5">#REF!</definedName>
    <definedName name="LIII">#REF!</definedName>
    <definedName name="LIMBO" localSheetId="5">#REF!</definedName>
    <definedName name="LIMBO">#REF!</definedName>
    <definedName name="limcount" hidden="1">3</definedName>
    <definedName name="LIN" localSheetId="5">#REF!</definedName>
    <definedName name="LIN">#REF!</definedName>
    <definedName name="list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5">#REF!</definedName>
    <definedName name="LISTA">#REF!</definedName>
    <definedName name="LISTA_CONTAS" localSheetId="5">#REF!</definedName>
    <definedName name="LISTA_CONTAS">#REF!</definedName>
    <definedName name="lista_empresa" localSheetId="5">OFFSET(INDEX(#REF!,MATCH(#REF!,#REF!,0)),1,0,COUNTA(#REF!)-1)</definedName>
    <definedName name="lista_empresa">OFFSET(INDEX(#REF!,MATCH(#REF!,#REF!,0)),1,0,COUNTA(#REF!)-1)</definedName>
    <definedName name="LISTA_FORNECEDORES" localSheetId="5">#REF!</definedName>
    <definedName name="LISTA_FORNECEDORES">#REF!</definedName>
    <definedName name="LISTSEL" localSheetId="5">#REF!</definedName>
    <definedName name="LISTSEL">#REF!</definedName>
    <definedName name="listt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5">#REF!</definedName>
    <definedName name="LIV">#REF!</definedName>
    <definedName name="LIX" localSheetId="5">#REF!</definedName>
    <definedName name="LIX">#REF!</definedName>
    <definedName name="ljdfkgyt" localSheetId="5" hidden="1">{#N/A,#N/A,FALSE,"Plan1";#N/A,#N/A,FALSE,"Plan2"}</definedName>
    <definedName name="ljdfkgyt" hidden="1">{#N/A,#N/A,FALSE,"Plan1";#N/A,#N/A,FALSE,"Plan2"}</definedName>
    <definedName name="LJDFLJRL" localSheetId="5" hidden="1">{#N/A,#N/A,FALSE,"Plan1";#N/A,#N/A,FALSE,"Plan2"}</definedName>
    <definedName name="LJDFLJRL" hidden="1">{#N/A,#N/A,FALSE,"Plan1";#N/A,#N/A,FALSE,"Plan2"}</definedName>
    <definedName name="ljsdfrd" localSheetId="5" hidden="1">{#N/A,#N/A,FALSE,"Plan1";#N/A,#N/A,FALSE,"Plan2"}</definedName>
    <definedName name="ljsdfrd" hidden="1">{#N/A,#N/A,FALSE,"Plan1";#N/A,#N/A,FALSE,"Plan2"}</definedName>
    <definedName name="LJSFLDJDLKFJG" localSheetId="5" hidden="1">#REF!</definedName>
    <definedName name="LJSFLDJDLKFJG" hidden="1">#REF!</definedName>
    <definedName name="LK" localSheetId="5" hidden="1">{#N/A,#N/A,TRUE,"Quinzena 01 à 15-04-98 "}</definedName>
    <definedName name="LK" hidden="1">{#N/A,#N/A,TRUE,"Quinzena 01 à 15-04-98 "}</definedName>
    <definedName name="lkasdkeo" localSheetId="5" hidden="1">{#N/A,#N/A,FALSE,"Plan1";#N/A,#N/A,FALSE,"Plan2"}</definedName>
    <definedName name="lkasdkeo" hidden="1">{#N/A,#N/A,FALSE,"Plan1";#N/A,#N/A,FALSE,"Plan2"}</definedName>
    <definedName name="lkdeas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5" hidden="1">{#N/A,#N/A,FALSE,"Plan1";#N/A,#N/A,FALSE,"Plan2"}</definedName>
    <definedName name="lkdzxfsdrf" hidden="1">{#N/A,#N/A,FALSE,"Plan1";#N/A,#N/A,FALSE,"Plan2"}</definedName>
    <definedName name="lkfdkçtktr" localSheetId="5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5" hidden="1">{#N/A,#N/A,FALSE,"Plan1";#N/A,#N/A,FALSE,"Plan2"}</definedName>
    <definedName name="LKSSDKÇ\E" hidden="1">{#N/A,#N/A,FALSE,"Plan1";#N/A,#N/A,FALSE,"Plan2"}</definedName>
    <definedName name="lkt" localSheetId="5" hidden="1">{#N/A,#N/A,FALSE,"Plan1";#N/A,#N/A,FALSE,"Plan2"}</definedName>
    <definedName name="lkt" hidden="1">{#N/A,#N/A,FALSE,"Plan1";#N/A,#N/A,FALSE,"Plan2"}</definedName>
    <definedName name="lktlyklt" localSheetId="5" hidden="1">{#N/A,#N/A,FALSE,"Plan1";#N/A,#N/A,FALSE,"Plan2"}</definedName>
    <definedName name="lktlyklt" hidden="1">{#N/A,#N/A,FALSE,"Plan1";#N/A,#N/A,FALSE,"Plan2"}</definedName>
    <definedName name="LKTTYT" localSheetId="5" hidden="1">{#N/A,#N/A,FALSE,"Plan1";#N/A,#N/A,FALSE,"Plan2"}</definedName>
    <definedName name="LKTTYT" hidden="1">{#N/A,#N/A,FALSE,"Plan1";#N/A,#N/A,FALSE,"Plan2"}</definedName>
    <definedName name="llgg" localSheetId="5" hidden="1">{#N/A,#N/A,FALSE,"Plan1";#N/A,#N/A,FALSE,"Plan2"}</definedName>
    <definedName name="llgg" hidden="1">{#N/A,#N/A,FALSE,"Plan1";#N/A,#N/A,FALSE,"Plan2"}</definedName>
    <definedName name="LLL" localSheetId="5" hidden="1">{#N/A,#N/A,FALSE,"Plan1";#N/A,#N/A,FALSE,"Plan2"}</definedName>
    <definedName name="LLL" hidden="1">{#N/A,#N/A,FALSE,"Plan1";#N/A,#N/A,FALSE,"Plan2"}</definedName>
    <definedName name="LM_AR" localSheetId="5" hidden="1">{#N/A,#N/A,FALSE,"F-01"}</definedName>
    <definedName name="LM_AR" hidden="1">{#N/A,#N/A,FALSE,"F-01"}</definedName>
    <definedName name="LM_AT" localSheetId="5" hidden="1">{#N/A,#N/A,FALSE,"F-01"}</definedName>
    <definedName name="LM_AT" hidden="1">{#N/A,#N/A,FALSE,"F-01"}</definedName>
    <definedName name="LM_INC" localSheetId="5" hidden="1">{#N/A,#N/A,FALSE,"F-01"}</definedName>
    <definedName name="LM_INC" hidden="1">{#N/A,#N/A,FALSE,"F-01"}</definedName>
    <definedName name="LMPAS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5">#REF!</definedName>
    <definedName name="LOCALMENU">#REF!</definedName>
    <definedName name="LOCALOBRA" localSheetId="5">#REF!</definedName>
    <definedName name="LOCALOBRA">#REF!</definedName>
    <definedName name="LS" localSheetId="12">#REF!</definedName>
    <definedName name="LS" localSheetId="18">'[1]M.O.'!#REF!</definedName>
    <definedName name="LS" localSheetId="20">'[1]M.O.'!#REF!</definedName>
    <definedName name="LS" localSheetId="5">#REF!</definedName>
    <definedName name="LS" localSheetId="0">'[1]M.O.'!#REF!</definedName>
    <definedName name="LS" localSheetId="8">'[1]M.O.'!#REF!</definedName>
    <definedName name="LS" localSheetId="2">'[1]M.O.'!#REF!</definedName>
    <definedName name="LS" localSheetId="9">'[1]M.O.'!#REF!</definedName>
    <definedName name="LS" localSheetId="10">'[1]M.O.'!#REF!</definedName>
    <definedName name="LS">'[1]M.O.'!#REF!</definedName>
    <definedName name="LSDFKLDKFTR" localSheetId="5" hidden="1">{#N/A,#N/A,FALSE,"Plan1";#N/A,#N/A,FALSE,"Plan2"}</definedName>
    <definedName name="LSDFKLDKFTR" hidden="1">{#N/A,#N/A,FALSE,"Plan1";#N/A,#N/A,FALSE,"Plan2"}</definedName>
    <definedName name="lsdjs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5" hidden="1">{#N/A,#N/A,FALSE,"Plan1";#N/A,#N/A,FALSE,"Plan2"}</definedName>
    <definedName name="lsdkljfkg" hidden="1">{#N/A,#N/A,FALSE,"Plan1";#N/A,#N/A,FALSE,"Plan2"}</definedName>
    <definedName name="lsdsder" localSheetId="5" hidden="1">{#N/A,#N/A,FALSE,"Plan1";#N/A,#N/A,FALSE,"Plan2"}</definedName>
    <definedName name="lsdsder" hidden="1">{#N/A,#N/A,FALSE,"Plan1";#N/A,#N/A,FALSE,"Plan2"}</definedName>
    <definedName name="ltj6ljyhdjhngças" localSheetId="5" hidden="1">{#N/A,#N/A,FALSE,"Plan1";#N/A,#N/A,FALSE,"Plan2"}</definedName>
    <definedName name="ltj6ljyhdjhngças" hidden="1">{#N/A,#N/A,FALSE,"Plan1";#N/A,#N/A,FALSE,"Plan2"}</definedName>
    <definedName name="LUCRO" localSheetId="5">#REF!</definedName>
    <definedName name="LUCRO">#REF!</definedName>
    <definedName name="luis_cdi" localSheetId="5">#REF!</definedName>
    <definedName name="luis_cdi">#REF!</definedName>
    <definedName name="luis_hist" localSheetId="5">#REF!</definedName>
    <definedName name="luis_hist">#REF!</definedName>
    <definedName name="luis_uss" localSheetId="5">#REF!</definedName>
    <definedName name="luis_uss">#REF!</definedName>
    <definedName name="LV" localSheetId="5">#REF!</definedName>
    <definedName name="LV">#REF!</definedName>
    <definedName name="LVI" localSheetId="5">#REF!</definedName>
    <definedName name="LVI">#REF!</definedName>
    <definedName name="LVII" localSheetId="5">#REF!</definedName>
    <definedName name="LVII">#REF!</definedName>
    <definedName name="LVIII" localSheetId="5">#REF!</definedName>
    <definedName name="LVIII">#REF!</definedName>
    <definedName name="lwaeddew" localSheetId="5" hidden="1">#REF!</definedName>
    <definedName name="lwaeddew" hidden="1">#REF!</definedName>
    <definedName name="LXX" localSheetId="5">#REF!</definedName>
    <definedName name="LXX">#REF!</definedName>
    <definedName name="LXXI" localSheetId="5">#REF!</definedName>
    <definedName name="LXXI">#REF!</definedName>
    <definedName name="LXXII" localSheetId="5">#REF!</definedName>
    <definedName name="LXXII">#REF!</definedName>
    <definedName name="LXXIII" localSheetId="5">#REF!</definedName>
    <definedName name="LXXIII">#REF!</definedName>
    <definedName name="LXXIV" localSheetId="5">#REF!</definedName>
    <definedName name="LXXIV">#REF!</definedName>
    <definedName name="LXXIX" localSheetId="5">#REF!</definedName>
    <definedName name="LXXIX">#REF!</definedName>
    <definedName name="LXXV" localSheetId="5">#REF!</definedName>
    <definedName name="LXXV">#REF!</definedName>
    <definedName name="LXXVI" localSheetId="5">#REF!</definedName>
    <definedName name="LXXVI">#REF!</definedName>
    <definedName name="LXXVII" localSheetId="5">#REF!</definedName>
    <definedName name="LXXVII">#REF!</definedName>
    <definedName name="LXXVIII" localSheetId="5">#REF!</definedName>
    <definedName name="LXXVIII">#REF!</definedName>
    <definedName name="LXXX" localSheetId="5">#REF!</definedName>
    <definedName name="LXXX">#REF!</definedName>
    <definedName name="LXXXI" localSheetId="5">#REF!</definedName>
    <definedName name="LXXXI">#REF!</definedName>
    <definedName name="LXXXII" localSheetId="5">#REF!</definedName>
    <definedName name="LXXXII">#REF!</definedName>
    <definedName name="LXXXIII" localSheetId="5">#REF!</definedName>
    <definedName name="LXXXIII">#REF!</definedName>
    <definedName name="LXXXIV" localSheetId="5">#REF!</definedName>
    <definedName name="LXXXIV">#REF!</definedName>
    <definedName name="LXXXV" localSheetId="5">#REF!</definedName>
    <definedName name="LXXXV">#REF!</definedName>
    <definedName name="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5">#REF!</definedName>
    <definedName name="MADRI">#REF!</definedName>
    <definedName name="mai17RJ" localSheetId="5">#REF!</definedName>
    <definedName name="mai17RJ">#REF!</definedName>
    <definedName name="MAIO" localSheetId="5">#REF!</definedName>
    <definedName name="MAIO">#REF!</definedName>
    <definedName name="MAIO2001" localSheetId="5">#REF!</definedName>
    <definedName name="MAIO2001">#REF!</definedName>
    <definedName name="MAISAP" localSheetId="5" hidden="1">{#N/A,#N/A,FALSE,"Plan1";#N/A,#N/A,FALSE,"Plan2"}</definedName>
    <definedName name="MAISAP" hidden="1">{#N/A,#N/A,FALSE,"Plan1";#N/A,#N/A,FALSE,"Plan2"}</definedName>
    <definedName name="MANT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5">#REF!</definedName>
    <definedName name="MAO_DE_OBRA">#REF!</definedName>
    <definedName name="mar17RJ" localSheetId="5">#REF!</definedName>
    <definedName name="mar17RJ">#REF!</definedName>
    <definedName name="MARCAX" localSheetId="5">#REF!</definedName>
    <definedName name="MARCAX">#REF!</definedName>
    <definedName name="MARÇO" localSheetId="5">#REF!</definedName>
    <definedName name="MARÇO">#REF!</definedName>
    <definedName name="MARÇO2001" localSheetId="5">#REF!</definedName>
    <definedName name="MARÇO2001">#REF!</definedName>
    <definedName name="martha" localSheetId="5">#REF!</definedName>
    <definedName name="martha">#REF!</definedName>
    <definedName name="MASTE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5">#REF!</definedName>
    <definedName name="MATERIAL">#REF!</definedName>
    <definedName name="mattubcus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5" hidden="1">{#N/A,#N/A,FALSE,"Plan1";#N/A,#N/A,FALSE,"Plan2"}</definedName>
    <definedName name="MAURILIO" hidden="1">{#N/A,#N/A,FALSE,"Plan1";#N/A,#N/A,FALSE,"Plan2"}</definedName>
    <definedName name="M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5">#REF!</definedName>
    <definedName name="MCMV">#REF!</definedName>
    <definedName name="mdfgtr" localSheetId="5" hidden="1">{#N/A,#N/A,FALSE,"Plan1";#N/A,#N/A,FALSE,"Plan2"}</definedName>
    <definedName name="mdfgtr" hidden="1">{#N/A,#N/A,FALSE,"Plan1";#N/A,#N/A,FALSE,"Plan2"}</definedName>
    <definedName name="MDSÇLFJKJSD" localSheetId="5" hidden="1">{#N/A,#N/A,FALSE,"Plan1";#N/A,#N/A,FALSE,"Plan2"}</definedName>
    <definedName name="MDSÇLFJKJSD" hidden="1">{#N/A,#N/A,FALSE,"Plan1";#N/A,#N/A,FALSE,"Plan2"}</definedName>
    <definedName name="ME" localSheetId="5" hidden="1">{"HW",#N/A,FALSE,"1998"}</definedName>
    <definedName name="ME" hidden="1">{"HW",#N/A,FALSE,"1998"}</definedName>
    <definedName name="Medido_Fin_Medições" localSheetId="5">#REF!</definedName>
    <definedName name="Medido_Fin_Medições">#REF!</definedName>
    <definedName name="melo_cdi" localSheetId="5">#REF!</definedName>
    <definedName name="melo_cdi">#REF!</definedName>
    <definedName name="melo_hist" localSheetId="5">#REF!</definedName>
    <definedName name="melo_hist">#REF!</definedName>
    <definedName name="melo_uss" localSheetId="5">#REF!</definedName>
    <definedName name="melo_uss">#REF!</definedName>
    <definedName name="MEMÓRIA" localSheetId="5">#REF!</definedName>
    <definedName name="MEMÓRIA">#REF!</definedName>
    <definedName name="memória2" localSheetId="5">#REF!</definedName>
    <definedName name="memória2">#REF!</definedName>
    <definedName name="mensal" localSheetId="5">#REF!</definedName>
    <definedName name="mensal">#REF!</definedName>
    <definedName name="MENU" localSheetId="12">#REF!</definedName>
    <definedName name="MENU" localSheetId="18">#REF!</definedName>
    <definedName name="MENU" localSheetId="20">#REF!</definedName>
    <definedName name="MENU" localSheetId="0">#REF!</definedName>
    <definedName name="MENU" localSheetId="8">#REF!</definedName>
    <definedName name="MENU" localSheetId="2">#REF!</definedName>
    <definedName name="MENU" localSheetId="9">#REF!</definedName>
    <definedName name="MENU" localSheetId="10">#REF!</definedName>
    <definedName name="MENU">#REF!</definedName>
    <definedName name="MENU1" localSheetId="12">#REF!</definedName>
    <definedName name="MENU1" localSheetId="0">#REF!</definedName>
    <definedName name="MENU1">#REF!</definedName>
    <definedName name="MENU2" localSheetId="12">#REF!</definedName>
    <definedName name="MENU2" localSheetId="0">#REF!</definedName>
    <definedName name="MENU2">#REF!</definedName>
    <definedName name="MENU3" localSheetId="12">#REF!</definedName>
    <definedName name="MENU3">#REF!</definedName>
    <definedName name="MENU4" localSheetId="12">#REF!</definedName>
    <definedName name="MENU4">#REF!</definedName>
    <definedName name="MENU5" localSheetId="12">#REF!</definedName>
    <definedName name="MENU5">#REF!</definedName>
    <definedName name="MENU6" localSheetId="12">#REF!</definedName>
    <definedName name="MENU6">#REF!</definedName>
    <definedName name="MENUBOM" localSheetId="5">#REF!</definedName>
    <definedName name="MENUBOM">#REF!</definedName>
    <definedName name="MENUEQP" localSheetId="5">#REF!</definedName>
    <definedName name="MENUEQP">#REF!</definedName>
    <definedName name="MENUFIM" localSheetId="5">#REF!</definedName>
    <definedName name="MENUFIM">#REF!</definedName>
    <definedName name="MENUMED" localSheetId="5">#REF!</definedName>
    <definedName name="MENUMED">#REF!</definedName>
    <definedName name="MENUOBRA" localSheetId="5">#REF!</definedName>
    <definedName name="MENUOBRA">#REF!</definedName>
    <definedName name="MENUOUT" localSheetId="5">#REF!</definedName>
    <definedName name="MENUOUT">#REF!</definedName>
    <definedName name="MENUOUTRO" localSheetId="5">#REF!</definedName>
    <definedName name="MENUOUTRO">#REF!</definedName>
    <definedName name="menures" localSheetId="5">#REF!</definedName>
    <definedName name="menures">#REF!</definedName>
    <definedName name="Mês_data_base" localSheetId="5">#REF!</definedName>
    <definedName name="Mês_data_base">#REF!</definedName>
    <definedName name="Mês_Medição_Fin_Medições" localSheetId="5">#REF!</definedName>
    <definedName name="Mês_Medição_Fin_Medições">#REF!</definedName>
    <definedName name="mes_relatorio" localSheetId="5">#REF!</definedName>
    <definedName name="mes_relatorio">#REF!</definedName>
    <definedName name="Meses" localSheetId="5">#REF!</definedName>
    <definedName name="Meses">#REF!</definedName>
    <definedName name="MESTRE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5">#REF!</definedName>
    <definedName name="meta_venda">#REF!</definedName>
    <definedName name="MetaBP" localSheetId="5">#REF!</definedName>
    <definedName name="MetaBP">#REF!</definedName>
    <definedName name="MILENA" localSheetId="5" hidden="1">#REF!</definedName>
    <definedName name="MILENA" hidden="1">#REF!</definedName>
    <definedName name="Minha_Casa_Minha_Vida" localSheetId="5">#REF!</definedName>
    <definedName name="Minha_Casa_Minha_Vida">#REF!</definedName>
    <definedName name="MLMÇLKJKI" localSheetId="5" hidden="1">{#N/A,#N/A,FALSE,"Plan1";#N/A,#N/A,FALSE,"Plan2"}</definedName>
    <definedName name="MLMÇLKJKI" hidden="1">{#N/A,#N/A,FALSE,"Plan1";#N/A,#N/A,FALSE,"Plan2"}</definedName>
    <definedName name="M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5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5" hidden="1">{#N/A,#N/A,FALSE,"Plan1";#N/A,#N/A,FALSE,"Plan2"}</definedName>
    <definedName name="MNBXFKGS" hidden="1">{#N/A,#N/A,FALSE,"Plan1";#N/A,#N/A,FALSE,"Plan2"}</definedName>
    <definedName name="mncvbgcvmc" localSheetId="5" hidden="1">{#N/A,#N/A,FALSE,"Plan1";#N/A,#N/A,FALSE,"Plan2"}</definedName>
    <definedName name="mncvbgcvmc" hidden="1">{#N/A,#N/A,FALSE,"Plan1";#N/A,#N/A,FALSE,"Plan2"}</definedName>
    <definedName name="MNDKZSFNCEA" localSheetId="5" hidden="1">{#N/A,#N/A,FALSE,"Plan1";#N/A,#N/A,FALSE,"Plan2"}</definedName>
    <definedName name="MNDKZSFNCEA" hidden="1">{#N/A,#N/A,FALSE,"Plan1";#N/A,#N/A,FALSE,"Plan2"}</definedName>
    <definedName name="mnhdshfgfhd" localSheetId="5" hidden="1">{#N/A,#N/A,FALSE,"Plan1";#N/A,#N/A,FALSE,"Plan2"}</definedName>
    <definedName name="mnhdshfgfhd" hidden="1">{#N/A,#N/A,FALSE,"Plan1";#N/A,#N/A,FALSE,"Plan2"}</definedName>
    <definedName name="mo" localSheetId="12">#REF!</definedName>
    <definedName name="mo" localSheetId="5">#REF!</definedName>
    <definedName name="mo">#REF!</definedName>
    <definedName name="mobr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5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5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5">#REF!</definedName>
    <definedName name="módulo">#REF!</definedName>
    <definedName name="mond_cdi" localSheetId="5">#REF!</definedName>
    <definedName name="mond_cdi">#REF!</definedName>
    <definedName name="mond_hist" localSheetId="5">#REF!</definedName>
    <definedName name="mond_hist">#REF!</definedName>
    <definedName name="mond_uss" localSheetId="5">#REF!</definedName>
    <definedName name="mond_uss">#REF!</definedName>
    <definedName name="MP" localSheetId="5" hidden="1">{#N/A,#N/A,FALSE,"CCTV"}</definedName>
    <definedName name="MP" hidden="1">{#N/A,#N/A,FALSE,"CCTV"}</definedName>
    <definedName name="MSDFJKDT" hidden="1">25</definedName>
    <definedName name="MSDRFSWER" localSheetId="5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5">#REF!</definedName>
    <definedName name="MURBOMB">#REF!</definedName>
    <definedName name="mzshdjshjs" localSheetId="5" hidden="1">{#N/A,#N/A,FALSE,"Plan1";#N/A,#N/A,FALSE,"Plan2"}</definedName>
    <definedName name="mzshdjshjs" hidden="1">{#N/A,#N/A,FALSE,"Plan1";#N/A,#N/A,FALSE,"Plan2"}</definedName>
    <definedName name="na" localSheetId="5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5" hidden="1">{#N/A,#N/A,FALSE,"Plan1";#N/A,#N/A,FALSE,"Plan2"}</definedName>
    <definedName name="ncdgrdhrtg" hidden="1">{#N/A,#N/A,FALSE,"Plan1";#N/A,#N/A,FALSE,"Plan2"}</definedName>
    <definedName name="nchngdfhgdh" localSheetId="5" hidden="1">{#N/A,#N/A,FALSE,"Plan1";#N/A,#N/A,FALSE,"Plan2"}</definedName>
    <definedName name="nchngdfhgdh" hidden="1">{#N/A,#N/A,FALSE,"Plan1";#N/A,#N/A,FALSE,"Plan2"}</definedName>
    <definedName name="NCJFKNGJHF" localSheetId="5" hidden="1">{#N/A,#N/A,FALSE,"Plan1";#N/A,#N/A,FALSE,"Plan2"}</definedName>
    <definedName name="NCJFKNGJHF" hidden="1">{#N/A,#N/A,FALSE,"Plan1";#N/A,#N/A,FALSE,"Plan2"}</definedName>
    <definedName name="NDATA" localSheetId="5">#REF!</definedName>
    <definedName name="NDATA">#REF!</definedName>
    <definedName name="ndcxhgdhf" localSheetId="5" hidden="1">{#N/A,#N/A,FALSE,"Plan1";#N/A,#N/A,FALSE,"Plan2"}</definedName>
    <definedName name="ndcxhgdhf" hidden="1">{#N/A,#N/A,FALSE,"Plan1";#N/A,#N/A,FALSE,"Plan2"}</definedName>
    <definedName name="ndfjnjkrhdgt" localSheetId="5" hidden="1">{#N/A,#N/A,FALSE,"Plan1";#N/A,#N/A,FALSE,"Plan2"}</definedName>
    <definedName name="ndfjnjkrhdgt" hidden="1">{#N/A,#N/A,FALSE,"Plan1";#N/A,#N/A,FALSE,"Plan2"}</definedName>
    <definedName name="ndfkghkjthfyst" localSheetId="5" hidden="1">{#N/A,#N/A,FALSE,"Plan1";#N/A,#N/A,FALSE,"Plan2"}</definedName>
    <definedName name="ndfkghkjthfyst" hidden="1">{#N/A,#N/A,FALSE,"Plan1";#N/A,#N/A,FALSE,"Plan2"}</definedName>
    <definedName name="ndfldslvjnvberugberqubquierbv" localSheetId="5">#REF!</definedName>
    <definedName name="ndfldslvjnvberugberqubquierbv">#REF!</definedName>
    <definedName name="NDJGKFKGHUFG" localSheetId="5" hidden="1">{#N/A,#N/A,FALSE,"Plan1";#N/A,#N/A,FALSE,"Plan2"}</definedName>
    <definedName name="NDJGKFKGHUFG" hidden="1">{#N/A,#N/A,FALSE,"Plan1";#N/A,#N/A,FALSE,"Plan2"}</definedName>
    <definedName name="ndrjkt" localSheetId="5" hidden="1">{#N/A,#N/A,FALSE,"Plan1";#N/A,#N/A,FALSE,"Plan2"}</definedName>
    <definedName name="ndrjkt" hidden="1">{#N/A,#N/A,FALSE,"Plan1";#N/A,#N/A,FALSE,"Plan2"}</definedName>
    <definedName name="new" localSheetId="5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5" hidden="1">{#N/A,#N/A,FALSE,"CCTV"}</definedName>
    <definedName name="NEWNAME" hidden="1">{#N/A,#N/A,FALSE,"CCTV"}</definedName>
    <definedName name="nfgjkhvhfghn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5" hidden="1">{#N/A,#N/A,FALSE,"Plan1";#N/A,#N/A,FALSE,"Plan2"}</definedName>
    <definedName name="nfkhdjkthde" hidden="1">{#N/A,#N/A,FALSE,"Plan1";#N/A,#N/A,FALSE,"Plan2"}</definedName>
    <definedName name="n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5" hidden="1">{#N/A,#N/A,FALSE,"Plan1";#N/A,#N/A,FALSE,"Plan2"}</definedName>
    <definedName name="NHJHFDSHF" hidden="1">{#N/A,#N/A,FALSE,"Plan1";#N/A,#N/A,FALSE,"Plan2"}</definedName>
    <definedName name="NJSDFHERTG" localSheetId="5" hidden="1">{#N/A,#N/A,FALSE,"Plan1";#N/A,#N/A,FALSE,"Plan2"}</definedName>
    <definedName name="NJSDFHERTG" hidden="1">{#N/A,#N/A,FALSE,"Plan1";#N/A,#N/A,FALSE,"Plan2"}</definedName>
    <definedName name="nkfnsskdn" localSheetId="5" hidden="1">{#N/A,#N/A,FALSE,"Plan1";#N/A,#N/A,FALSE,"Plan2"}</definedName>
    <definedName name="nkfnsskdn" hidden="1">{#N/A,#N/A,FALSE,"Plan1";#N/A,#N/A,FALSE,"Plan2"}</definedName>
    <definedName name="NKJ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5">#REF!</definedName>
    <definedName name="nl">#REF!</definedName>
    <definedName name="nlaksjdwe" localSheetId="5" hidden="1">{#N/A,#N/A,FALSE,"Plan1";#N/A,#N/A,FALSE,"Plan2"}</definedName>
    <definedName name="nlaksjdwe" hidden="1">{#N/A,#N/A,FALSE,"Plan1";#N/A,#N/A,FALSE,"Plan2"}</definedName>
    <definedName name="nljsdfljfdsfr" localSheetId="5" hidden="1">{#N/A,#N/A,FALSE,"Plan1";#N/A,#N/A,FALSE,"Plan2"}</definedName>
    <definedName name="nljsdfljfdsfr" hidden="1">{#N/A,#N/A,FALSE,"Plan1";#N/A,#N/A,FALSE,"Plan2"}</definedName>
    <definedName name="nm_k1" localSheetId="5">#REF!</definedName>
    <definedName name="nm_k1">#REF!</definedName>
    <definedName name="nm_k2" localSheetId="5">#REF!</definedName>
    <definedName name="nm_k2">#REF!</definedName>
    <definedName name="nm_k3" localSheetId="5">#REF!</definedName>
    <definedName name="nm_k3">#REF!</definedName>
    <definedName name="nmjdfhxj" localSheetId="5" hidden="1">{#N/A,#N/A,FALSE,"Plan1";#N/A,#N/A,FALSE,"Plan2"}</definedName>
    <definedName name="nmjdfhxj" hidden="1">{#N/A,#N/A,FALSE,"Plan1";#N/A,#N/A,FALSE,"Plan2"}</definedName>
    <definedName name="nnmn" localSheetId="5" hidden="1">{#N/A,#N/A,FALSE,"Plan1";#N/A,#N/A,FALSE,"Plan2"}</definedName>
    <definedName name="nnmn" hidden="1">{#N/A,#N/A,FALSE,"Plan1";#N/A,#N/A,FALSE,"Plan2"}</definedName>
    <definedName name="nnn" localSheetId="5" hidden="1">{#N/A,#N/A,FALSE,"Plan1";#N/A,#N/A,FALSE,"Plan2"}</definedName>
    <definedName name="nnn" hidden="1">{#N/A,#N/A,FALSE,"Plan1";#N/A,#N/A,FALSE,"Plan2"}</definedName>
    <definedName name="nnnnnnnnnnn" localSheetId="5" hidden="1">{"HW",#N/A,FALSE,"1998"}</definedName>
    <definedName name="nnnnnnnnnnn" hidden="1">{"HW",#N/A,FALSE,"1998"}</definedName>
    <definedName name="NNNNNNNNNNNNNNN" localSheetId="5" hidden="1">{#N/A,#N/A,FALSE,"Plan1";#N/A,#N/A,FALSE,"Plan2"}</definedName>
    <definedName name="NNNNNNNNNNNNNNN" hidden="1">{#N/A,#N/A,FALSE,"Plan1";#N/A,#N/A,FALSE,"Plan2"}</definedName>
    <definedName name="nnnnnnnnnnnnnnnnnnnn" localSheetId="5" hidden="1">{#N/A,#N/A,FALSE,"Plan1";#N/A,#N/A,FALSE,"Plan2"}</definedName>
    <definedName name="nnnnnnnnnnnnnnnnnnnn" hidden="1">{#N/A,#N/A,FALSE,"Plan1";#N/A,#N/A,FALSE,"Plan2"}</definedName>
    <definedName name="NNXFT" localSheetId="5" hidden="1">{#N/A,#N/A,FALSE,"Plan1";#N/A,#N/A,FALSE,"Plan2"}</definedName>
    <definedName name="NNXFT" hidden="1">{#N/A,#N/A,FALSE,"Plan1";#N/A,#N/A,FALSE,"Plan2"}</definedName>
    <definedName name="no" localSheetId="5">#REF!</definedName>
    <definedName name="no">#REF!</definedName>
    <definedName name="NOME" localSheetId="5">#REF!</definedName>
    <definedName name="NOME">#REF!</definedName>
    <definedName name="nome2" localSheetId="5">#REF!</definedName>
    <definedName name="nome2">#REF!</definedName>
    <definedName name="NOMEITEM" localSheetId="5">#REF!</definedName>
    <definedName name="NOMEITEM">#REF!</definedName>
    <definedName name="NOMEOBRA" localSheetId="5">#REF!</definedName>
    <definedName name="NOMEOBRA">#REF!</definedName>
    <definedName name="nov17RJ" localSheetId="5">#REF!</definedName>
    <definedName name="nov17RJ">#REF!</definedName>
    <definedName name="NOVE" localSheetId="5">#REF!</definedName>
    <definedName name="NOVE">#REF!</definedName>
    <definedName name="NOVEMBRO" localSheetId="5">#REF!</definedName>
    <definedName name="NOVEMBRO">#REF!</definedName>
    <definedName name="nsdkfndgfdnatf" localSheetId="5" hidden="1">{#N/A,#N/A,FALSE,"Plan1";#N/A,#N/A,FALSE,"Plan2"}</definedName>
    <definedName name="nsdkfndgfdnatf" hidden="1">{#N/A,#N/A,FALSE,"Plan1";#N/A,#N/A,FALSE,"Plan2"}</definedName>
    <definedName name="nsfljdiljrf" localSheetId="5" hidden="1">{#N/A,#N/A,FALSE,"Plan1";#N/A,#N/A,FALSE,"Plan2"}</definedName>
    <definedName name="nsfljdiljrf" hidden="1">{#N/A,#N/A,FALSE,"Plan1";#N/A,#N/A,FALSE,"Plan2"}</definedName>
    <definedName name="NUCOPIAS" localSheetId="5">#REF!</definedName>
    <definedName name="NUCOPIAS">#REF!</definedName>
    <definedName name="NUMOBRA" localSheetId="5">#REF!</definedName>
    <definedName name="NUMOBRA">#REF!</definedName>
    <definedName name="NutN" localSheetId="5">#REF!</definedName>
    <definedName name="NutN">#REF!</definedName>
    <definedName name="nzxcnnjkd" localSheetId="5" hidden="1">{#N/A,#N/A,FALSE,"Plan1";#N/A,#N/A,FALSE,"Plan2"}</definedName>
    <definedName name="nzxcnnjkd" hidden="1">{#N/A,#N/A,FALSE,"Plan1";#N/A,#N/A,FALSE,"Plan2"}</definedName>
    <definedName name="OAE" localSheetId="12">#REF!</definedName>
    <definedName name="OAE" localSheetId="5">#REF!</definedName>
    <definedName name="OAE">#REF!</definedName>
    <definedName name="OBRA" localSheetId="5">#REF!</definedName>
    <definedName name="OBRA">#REF!</definedName>
    <definedName name="Obra_Fin_Medição" localSheetId="5">#REF!</definedName>
    <definedName name="Obra_Fin_Medição">#REF!</definedName>
    <definedName name="OBRA_PROJETADO" localSheetId="5">#REF!</definedName>
    <definedName name="OBRA_PROJETADO">#REF!</definedName>
    <definedName name="Obra_Rel_Controladoria" localSheetId="5">#REF!</definedName>
    <definedName name="Obra_Rel_Controladoria">#REF!</definedName>
    <definedName name="Obra_Sienge" localSheetId="5">#REF!</definedName>
    <definedName name="Obra_Sienge">#REF!</definedName>
    <definedName name="Obra2_Fin_Medição" localSheetId="5">#REF!</definedName>
    <definedName name="Obra2_Fin_Medição">#REF!</definedName>
    <definedName name="OBRALOC" localSheetId="5">#REF!</definedName>
    <definedName name="OBRALOC">#REF!</definedName>
    <definedName name="OBRAS" localSheetId="5">#REF!</definedName>
    <definedName name="OBRAS">#REF!</definedName>
    <definedName name="Obras_Apoio_Rel_Controladoria" localSheetId="5">#REF!</definedName>
    <definedName name="Obras_Apoio_Rel_Controladoria">#REF!</definedName>
    <definedName name="OBRAS_REALIZADO" localSheetId="5">#REF!</definedName>
    <definedName name="OBRAS_REALIZADO">#REF!</definedName>
    <definedName name="OBRASEL" localSheetId="5">#REF!</definedName>
    <definedName name="OBRASEL">#REF!</definedName>
    <definedName name="odflgj" hidden="1">25</definedName>
    <definedName name="odfuudor" localSheetId="5" hidden="1">{#N/A,#N/A,FALSE,"Plan1";#N/A,#N/A,FALSE,"Plan2"}</definedName>
    <definedName name="odfuudor" hidden="1">{#N/A,#N/A,FALSE,"Plan1";#N/A,#N/A,FALSE,"Plan2"}</definedName>
    <definedName name="ODH" localSheetId="5" hidden="1">#REF!</definedName>
    <definedName name="ODH" hidden="1">#REF!</definedName>
    <definedName name="oficial_mes" localSheetId="5">#REF!</definedName>
    <definedName name="oficial_mes">#REF!</definedName>
    <definedName name="oficial2_mes" localSheetId="5">#REF!</definedName>
    <definedName name="oficial2_mes">#REF!</definedName>
    <definedName name="oiditrot" localSheetId="5" hidden="1">{#N/A,#N/A,FALSE,"Plan1";#N/A,#N/A,FALSE,"Plan2"}</definedName>
    <definedName name="oiditrot" hidden="1">{#N/A,#N/A,FALSE,"Plan1";#N/A,#N/A,FALSE,"Plan2"}</definedName>
    <definedName name="oio" localSheetId="5" hidden="1">{#N/A,#N/A,FALSE,"Plan1";#N/A,#N/A,FALSE,"Plan2"}</definedName>
    <definedName name="oio" hidden="1">{#N/A,#N/A,FALSE,"Plan1";#N/A,#N/A,FALSE,"Plan2"}</definedName>
    <definedName name="OITO" localSheetId="5">#REF!</definedName>
    <definedName name="OITO">#REF!</definedName>
    <definedName name="oiufioorif" localSheetId="5" hidden="1">#REF!</definedName>
    <definedName name="oiufioorif" hidden="1">#REF!</definedName>
    <definedName name="OJÇLJ" localSheetId="5" hidden="1">{#N/A,#N/A,FALSE,"Plan1";#N/A,#N/A,FALSE,"Plan2"}</definedName>
    <definedName name="OJÇLJ" hidden="1">{#N/A,#N/A,FALSE,"Plan1";#N/A,#N/A,FALSE,"Plan2"}</definedName>
    <definedName name="ojkdfit" localSheetId="5" hidden="1">{#N/A,#N/A,FALSE,"Plan1";#N/A,#N/A,FALSE,"Plan2"}</definedName>
    <definedName name="ojkdfit" hidden="1">{#N/A,#N/A,FALSE,"Plan1";#N/A,#N/A,FALSE,"Plan2"}</definedName>
    <definedName name="oMISSOS" localSheetId="5" hidden="1">#REF!</definedName>
    <definedName name="oMISSOS" hidden="1">#REF!</definedName>
    <definedName name="ONZE" localSheetId="5">#REF!</definedName>
    <definedName name="ONZE">#REF!</definedName>
    <definedName name="ooo" localSheetId="5" hidden="1">{#N/A,#N/A,FALSE,"Plan1";#N/A,#N/A,FALSE,"Plan2"}</definedName>
    <definedName name="ooo" hidden="1">{#N/A,#N/A,FALSE,"Plan1";#N/A,#N/A,FALSE,"Plan2"}</definedName>
    <definedName name="OPASEDWED" localSheetId="5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5">#REF!</definedName>
    <definedName name="opcao_taxa_desconto">#REF!</definedName>
    <definedName name="opções" localSheetId="5">#REF!</definedName>
    <definedName name="opções">#REF!</definedName>
    <definedName name="opiwre" localSheetId="5" hidden="1">{#N/A,#N/A,FALSE,"Plan1";#N/A,#N/A,FALSE,"Plan2"}</definedName>
    <definedName name="opiwre" hidden="1">{#N/A,#N/A,FALSE,"Plan1";#N/A,#N/A,FALSE,"Plan2"}</definedName>
    <definedName name="ORCAMEN" localSheetId="5">#REF!</definedName>
    <definedName name="ORCAMEN">#REF!</definedName>
    <definedName name="Orcamentistas" localSheetId="5">#REF!</definedName>
    <definedName name="Orcamentistas">#REF!</definedName>
    <definedName name="origem_recebiveis" localSheetId="5">#REF!</definedName>
    <definedName name="origem_recebiveis">#REF!</definedName>
    <definedName name="origem_unidades" localSheetId="5">#REF!</definedName>
    <definedName name="origem_unidades">#REF!</definedName>
    <definedName name="Origem2_Recebimento_Fin_Medições" localSheetId="5">#REF!</definedName>
    <definedName name="Origem2_Recebimento_Fin_Medições">#REF!</definedName>
    <definedName name="os" localSheetId="5" hidden="1">{#N/A,#N/A,FALSE,"TABLE"}</definedName>
    <definedName name="os" hidden="1">{#N/A,#N/A,FALSE,"TABLE"}</definedName>
    <definedName name="osca_cdi" localSheetId="5">#REF!</definedName>
    <definedName name="osca_cdi">#REF!</definedName>
    <definedName name="osca_hist" localSheetId="5">#REF!</definedName>
    <definedName name="osca_hist">#REF!</definedName>
    <definedName name="osca_uss" localSheetId="5">#REF!</definedName>
    <definedName name="osca_uss">#REF!</definedName>
    <definedName name="otodgkrjglsrd" localSheetId="5" hidden="1">{#N/A,#N/A,FALSE,"Plan1";#N/A,#N/A,FALSE,"Plan2"}</definedName>
    <definedName name="otodgkrjglsrd" hidden="1">{#N/A,#N/A,FALSE,"Plan1";#N/A,#N/A,FALSE,"Plan2"}</definedName>
    <definedName name="OUERWRSR" localSheetId="5" hidden="1">{#N/A,#N/A,FALSE,"Plan1";#N/A,#N/A,FALSE,"Plan2"}</definedName>
    <definedName name="OUERWRSR" hidden="1">{#N/A,#N/A,FALSE,"Plan1";#N/A,#N/A,FALSE,"Plan2"}</definedName>
    <definedName name="out17RJ" localSheetId="5">#REF!</definedName>
    <definedName name="out17RJ">#REF!</definedName>
    <definedName name="outro" localSheetId="5" hidden="1">#REF!</definedName>
    <definedName name="outro" hidden="1">#REF!</definedName>
    <definedName name="OUTROS" localSheetId="5">#REF!</definedName>
    <definedName name="OUTROS">#REF!</definedName>
    <definedName name="OUTROS_CCUSTO" localSheetId="5">#REF!</definedName>
    <definedName name="OUTROS_CCUSTO">#REF!</definedName>
    <definedName name="Outros_Pisos" localSheetId="5">#REF!</definedName>
    <definedName name="Outros_Pisos">#REF!</definedName>
    <definedName name="Outros1" localSheetId="5">#REF!</definedName>
    <definedName name="Outros1">#REF!</definedName>
    <definedName name="OUTUBRO" localSheetId="5">#REF!</definedName>
    <definedName name="OUTUBRO">#REF!</definedName>
    <definedName name="overhaul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5">#REF!</definedName>
    <definedName name="oxfo_cdi">#REF!</definedName>
    <definedName name="oxfo_hist" localSheetId="5">#REF!</definedName>
    <definedName name="oxfo_hist">#REF!</definedName>
    <definedName name="oxfo_uss" localSheetId="5">#REF!</definedName>
    <definedName name="oxfo_uss">#REF!</definedName>
    <definedName name="P" localSheetId="5">#REF!</definedName>
    <definedName name="P">#REF!</definedName>
    <definedName name="PA" localSheetId="5">#REF!</definedName>
    <definedName name="PA">#REF!</definedName>
    <definedName name="Padrao_A" localSheetId="5">#REF!</definedName>
    <definedName name="Padrao_A">#REF!</definedName>
    <definedName name="Padrao_B" localSheetId="5">#REF!</definedName>
    <definedName name="Padrao_B">#REF!</definedName>
    <definedName name="Padrao_C" localSheetId="5">#REF!</definedName>
    <definedName name="Padrao_C">#REF!</definedName>
    <definedName name="Padrao_D" localSheetId="5">#REF!</definedName>
    <definedName name="Padrao_D">#REF!</definedName>
    <definedName name="Padrao_E" localSheetId="5">#REF!</definedName>
    <definedName name="Padrao_E">#REF!</definedName>
    <definedName name="Padrao_F" localSheetId="5">#REF!</definedName>
    <definedName name="Padrao_F">#REF!</definedName>
    <definedName name="Pagamento_Num" localSheetId="5">ROW()-Linha_Cabeçalho</definedName>
    <definedName name="Pagamento_Num">ROW()-Linha_Cabeçalho</definedName>
    <definedName name="Pago_Até_2015_Controladoria" localSheetId="5">#REF!</definedName>
    <definedName name="Pago_Até_2015_Controladoria">#REF!</definedName>
    <definedName name="Pal_Workbook_GUID" hidden="1">"3HURD34M2XKWJ5V6M4BWCR5Q"</definedName>
    <definedName name="PAP" localSheetId="5">#REF!</definedName>
    <definedName name="PAP">#REF!</definedName>
    <definedName name="PARAM_FIS_1" localSheetId="5">#REF!</definedName>
    <definedName name="PARAM_FIS_1">#REF!</definedName>
    <definedName name="PARAM_FIS_2" localSheetId="5">#REF!</definedName>
    <definedName name="PARAM_FIS_2">#REF!</definedName>
    <definedName name="ParamValues1" localSheetId="12">#REF!</definedName>
    <definedName name="ParamValues1" localSheetId="5">#REF!</definedName>
    <definedName name="ParamValues1">[3]ParamValues!$A$1:$A$39</definedName>
    <definedName name="Parao_E" localSheetId="5">#REF!</definedName>
    <definedName name="Parao_E">#REF!</definedName>
    <definedName name="Parede1" localSheetId="5">#REF!</definedName>
    <definedName name="Parede1">#REF!</definedName>
    <definedName name="Parede2" localSheetId="5">#REF!</definedName>
    <definedName name="Parede2">#REF!</definedName>
    <definedName name="PAREDES" localSheetId="5">#REF!</definedName>
    <definedName name="PAREDES">#REF!</definedName>
    <definedName name="PAV" localSheetId="12">#REF!</definedName>
    <definedName name="PAV" localSheetId="18">#REF!</definedName>
    <definedName name="PAV" localSheetId="20">#REF!</definedName>
    <definedName name="PAV" localSheetId="0">#REF!</definedName>
    <definedName name="PAV" localSheetId="8">#REF!</definedName>
    <definedName name="PAV" localSheetId="2">#REF!</definedName>
    <definedName name="PAV" localSheetId="9">#REF!</definedName>
    <definedName name="PAV" localSheetId="10">#REF!</definedName>
    <definedName name="PAV">#REF!</definedName>
    <definedName name="PAVILHAO" localSheetId="5">#REF!</definedName>
    <definedName name="PAVILHAO">#REF!</definedName>
    <definedName name="PAVT" localSheetId="5">#REF!</definedName>
    <definedName name="PAVT">#REF!</definedName>
    <definedName name="pçgktr" localSheetId="5" hidden="1">#REF!</definedName>
    <definedName name="pçgktr" hidden="1">#REF!</definedName>
    <definedName name="PDER" localSheetId="5">#REF!</definedName>
    <definedName name="PDER">#REF!</definedName>
    <definedName name="PDIVERS" localSheetId="5">#REF!</definedName>
    <definedName name="PDIVERS">#REF!</definedName>
    <definedName name="PE" localSheetId="5">#REF!</definedName>
    <definedName name="PE">#REF!</definedName>
    <definedName name="PEMD" localSheetId="5">#REF!</definedName>
    <definedName name="PEMD">#REF!</definedName>
    <definedName name="Pendenci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5">#REF!</definedName>
    <definedName name="perfura">#REF!</definedName>
    <definedName name="pessoal" localSheetId="5">#REF!</definedName>
    <definedName name="pessoal">#REF!</definedName>
    <definedName name="petro2" localSheetId="5" hidden="1">#REF!</definedName>
    <definedName name="petro2" hidden="1">#REF!</definedName>
    <definedName name="PhyG" localSheetId="5">#REF!</definedName>
    <definedName name="PhyG">#REF!</definedName>
    <definedName name="PhyGS" localSheetId="5">#REF!</definedName>
    <definedName name="PhyGS">#REF!</definedName>
    <definedName name="PI" localSheetId="5">#REF!</definedName>
    <definedName name="PI">#REF!</definedName>
    <definedName name="piaz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5">#REF!</definedName>
    <definedName name="PIEQUIP">#REF!</definedName>
    <definedName name="PIS_COFINS" localSheetId="5">#REF!</definedName>
    <definedName name="PIS_COFINS">#REF!</definedName>
    <definedName name="PisCofins" localSheetId="5">#REF!</definedName>
    <definedName name="PisCofins">#REF!</definedName>
    <definedName name="Piso1" localSheetId="5">#REF!</definedName>
    <definedName name="Piso1">#REF!</definedName>
    <definedName name="Piso2" localSheetId="5">#REF!</definedName>
    <definedName name="Piso2">#REF!</definedName>
    <definedName name="PISOS" localSheetId="5">#REF!</definedName>
    <definedName name="PISOS">#REF!</definedName>
    <definedName name="PL" localSheetId="5">#REF!</definedName>
    <definedName name="PL">#REF!</definedName>
    <definedName name="PLACAS" localSheetId="5" hidden="1">{#N/A,#N/A,TRUE,"Quinzena 01 à 15-04-98 "}</definedName>
    <definedName name="PLACAS" hidden="1">{#N/A,#N/A,TRUE,"Quinzena 01 à 15-04-98 "}</definedName>
    <definedName name="Placas_Areas" localSheetId="5" hidden="1">{#N/A,#N/A,TRUE,"Quinzena 01 à 15-04-98 "}</definedName>
    <definedName name="Placas_Areas" hidden="1">{#N/A,#N/A,TRUE,"Quinzena 01 à 15-04-98 "}</definedName>
    <definedName name="PLAN" localSheetId="5">#REF!</definedName>
    <definedName name="PLAN">#REF!</definedName>
    <definedName name="plan2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5">#REF!</definedName>
    <definedName name="PLANILHA">#REF!</definedName>
    <definedName name="Planilha2" localSheetId="5">#REF!</definedName>
    <definedName name="Planilha2">#REF!</definedName>
    <definedName name="plasçdeaw" localSheetId="5" hidden="1">{#N/A,#N/A,FALSE,"Plan1";#N/A,#N/A,FALSE,"Plan2"}</definedName>
    <definedName name="plasçdeaw" hidden="1">{#N/A,#N/A,FALSE,"Plan1";#N/A,#N/A,FALSE,"Plan2"}</definedName>
    <definedName name="plaslrswe" localSheetId="5" hidden="1">{#N/A,#N/A,FALSE,"Plan1";#N/A,#N/A,FALSE,"Plan2"}</definedName>
    <definedName name="plaslrswe" hidden="1">{#N/A,#N/A,FALSE,"Plan1";#N/A,#N/A,FALSE,"Plan2"}</definedName>
    <definedName name="pls" localSheetId="5" hidden="1">#REF!</definedName>
    <definedName name="pls" hidden="1">#REF!</definedName>
    <definedName name="plsearpef" localSheetId="5" hidden="1">{#N/A,#N/A,FALSE,"Plan1";#N/A,#N/A,FALSE,"Plan2"}</definedName>
    <definedName name="plsearpef" hidden="1">{#N/A,#N/A,FALSE,"Plan1";#N/A,#N/A,FALSE,"Plan2"}</definedName>
    <definedName name="plss" localSheetId="5" hidden="1">{#N/A,#N/A,FALSE,"Plan1";#N/A,#N/A,FALSE,"Plan2"}</definedName>
    <definedName name="plss" hidden="1">{#N/A,#N/A,FALSE,"Plan1";#N/A,#N/A,FALSE,"Plan2"}</definedName>
    <definedName name="PMUR" localSheetId="5">#REF!</definedName>
    <definedName name="PMUR">#REF!</definedName>
    <definedName name="PN2건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5">#REF!</definedName>
    <definedName name="Ponderações">#REF!</definedName>
    <definedName name="Pós_Chaves" localSheetId="5">#REF!</definedName>
    <definedName name="Pós_Chaves">#REF!</definedName>
    <definedName name="pr" localSheetId="12">#REF!</definedName>
    <definedName name="pr">#REF!</definedName>
    <definedName name="PRAZO" localSheetId="5">#REF!</definedName>
    <definedName name="PRAZO">#REF!</definedName>
    <definedName name="PRAZO_EDITAL" localSheetId="5">#REF!</definedName>
    <definedName name="PRAZO_EDITAL">#REF!</definedName>
    <definedName name="PRAZO_ORC" localSheetId="5">#REF!</definedName>
    <definedName name="PRAZO_ORC">#REF!</definedName>
    <definedName name="prazo2" localSheetId="5">#REF!</definedName>
    <definedName name="prazo2">#REF!</definedName>
    <definedName name="PRE" localSheetId="12">#REF!</definedName>
    <definedName name="PRE">#REF!</definedName>
    <definedName name="PREÇ" localSheetId="5">OFFSET(#REF!,0,0,COUNTA(#REF!),1)</definedName>
    <definedName name="PREÇ">OFFSET(#REF!,0,0,COUNTA(#REF!),1)</definedName>
    <definedName name="Previsão_Inicial_abr_16" localSheetId="5">#REF!</definedName>
    <definedName name="Previsão_Inicial_abr_16">#REF!</definedName>
    <definedName name="Previsão_Inicial_ago_16" localSheetId="5">#REF!</definedName>
    <definedName name="Previsão_Inicial_ago_16">#REF!</definedName>
    <definedName name="Previsão_Inicial_dez_16" localSheetId="5">#REF!</definedName>
    <definedName name="Previsão_Inicial_dez_16">#REF!</definedName>
    <definedName name="Previsão_Inicial_fev_16" localSheetId="5">#REF!</definedName>
    <definedName name="Previsão_Inicial_fev_16">#REF!</definedName>
    <definedName name="Previsão_Inicial_jan_16" localSheetId="5">#REF!</definedName>
    <definedName name="Previsão_Inicial_jan_16">#REF!</definedName>
    <definedName name="Previsão_Inicial_jul_16" localSheetId="5">#REF!</definedName>
    <definedName name="Previsão_Inicial_jul_16">#REF!</definedName>
    <definedName name="Previsão_Inicial_jun_16" localSheetId="5">#REF!</definedName>
    <definedName name="Previsão_Inicial_jun_16">#REF!</definedName>
    <definedName name="Previsão_Inicial_mai_16" localSheetId="5">#REF!</definedName>
    <definedName name="Previsão_Inicial_mai_16">#REF!</definedName>
    <definedName name="Previsão_Inicial_mar_16" localSheetId="5">#REF!</definedName>
    <definedName name="Previsão_Inicial_mar_16">#REF!</definedName>
    <definedName name="Previsão_Inicial_nov_16" localSheetId="5">#REF!</definedName>
    <definedName name="Previsão_Inicial_nov_16">#REF!</definedName>
    <definedName name="Previsão_Inicial_out_16" localSheetId="5">#REF!</definedName>
    <definedName name="Previsão_Inicial_out_16">#REF!</definedName>
    <definedName name="Previsão_Inicial_set_16" localSheetId="5">#REF!</definedName>
    <definedName name="Previsão_Inicial_set_16">#REF!</definedName>
    <definedName name="Previsão_Vento1" localSheetId="5">#REF!</definedName>
    <definedName name="Previsão_Vento1">#REF!</definedName>
    <definedName name="Previsto_a_medir_Fin_Medições" localSheetId="5">#REF!</definedName>
    <definedName name="Previsto_a_medir_Fin_Medições">#REF!</definedName>
    <definedName name="print" localSheetId="5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_MI" localSheetId="12">#REF!</definedName>
    <definedName name="Print_Area_MI" localSheetId="5">#REF!</definedName>
    <definedName name="Print_Area_MI">#REF!</definedName>
    <definedName name="PRINT_TITLES_MI" localSheetId="5">#REF!</definedName>
    <definedName name="PRINT_TITLES_MI">#REF!</definedName>
    <definedName name="programa" localSheetId="5">#REF!</definedName>
    <definedName name="programa">#REF!</definedName>
    <definedName name="Programaa" localSheetId="5">#REF!</definedName>
    <definedName name="Programaa">#REF!</definedName>
    <definedName name="projeto_nome_com" localSheetId="5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5">#REF!</definedName>
    <definedName name="PROPAGANDA">#REF!</definedName>
    <definedName name="ptirigyiotut" localSheetId="5" hidden="1">{#N/A,#N/A,FALSE,"Plan1";#N/A,#N/A,FALSE,"Plan2"}</definedName>
    <definedName name="ptirigyiotut" hidden="1">{#N/A,#N/A,FALSE,"Plan1";#N/A,#N/A,FALSE,"Plan2"}</definedName>
    <definedName name="PWER3" localSheetId="5" hidden="1">{#N/A,#N/A,FALSE,"Plan1";#N/A,#N/A,FALSE,"Plan2"}</definedName>
    <definedName name="PWER3" hidden="1">{#N/A,#N/A,FALSE,"Plan1";#N/A,#N/A,FALSE,"Plan2"}</definedName>
    <definedName name="q" localSheetId="5">#REF!</definedName>
    <definedName name="q">#REF!</definedName>
    <definedName name="QCLIENTE_PCLIENTE" localSheetId="5">#REF!</definedName>
    <definedName name="QCLIENTE_PCLIENTE">#REF!</definedName>
    <definedName name="QCliente_PCliente1" localSheetId="5">#REF!</definedName>
    <definedName name="QCliente_PCliente1">#REF!</definedName>
    <definedName name="qe" localSheetId="12">#REF!</definedName>
    <definedName name="qe">#REF!</definedName>
    <definedName name="qee" localSheetId="12">#REF!</definedName>
    <definedName name="qee">#REF!</definedName>
    <definedName name="qkqh1" localSheetId="5" hidden="1">{#N/A,#N/A,FALSE,"명세표"}</definedName>
    <definedName name="qkqh1" hidden="1">{#N/A,#N/A,FALSE,"명세표"}</definedName>
    <definedName name="QOAS_POAS" localSheetId="5">#REF!</definedName>
    <definedName name="QOAS_POAS">#REF!</definedName>
    <definedName name="QQ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5">#REF!:#REF!</definedName>
    <definedName name="QQQ">#REF!:#REF!</definedName>
    <definedName name="QQQQQQQQ" localSheetId="5" hidden="1">#REF!</definedName>
    <definedName name="QQQQQQQQ" hidden="1">#REF!</definedName>
    <definedName name="QREAL_PCLIENTE" localSheetId="5">#REF!</definedName>
    <definedName name="QREAL_PCLIENTE">#REF!</definedName>
    <definedName name="QReal_PCliente1" localSheetId="5">#REF!</definedName>
    <definedName name="QReal_PCliente1">#REF!</definedName>
    <definedName name="QSQWSE" localSheetId="5" hidden="1">{#N/A,#N/A,FALSE,"Plan1";#N/A,#N/A,FALSE,"Plan2"}</definedName>
    <definedName name="QSQWSE" hidden="1">{#N/A,#N/A,FALSE,"Plan1";#N/A,#N/A,FALSE,"Plan2"}</definedName>
    <definedName name="qtd_mensal" localSheetId="5">#REF!</definedName>
    <definedName name="qtd_mensal">#REF!</definedName>
    <definedName name="qtd3esta" localSheetId="5">#REF!</definedName>
    <definedName name="qtd3esta">#REF!</definedName>
    <definedName name="qtdbase" localSheetId="5">#REF!</definedName>
    <definedName name="qtdbase">#REF!</definedName>
    <definedName name="qtdbltub" localSheetId="5">#REF!</definedName>
    <definedName name="qtdbltub">#REF!</definedName>
    <definedName name="qtdestac" localSheetId="5">#REF!</definedName>
    <definedName name="qtdestac">#REF!</definedName>
    <definedName name="qtdsap" localSheetId="5">#REF!</definedName>
    <definedName name="qtdsap">#REF!</definedName>
    <definedName name="qtdtub" localSheetId="5">#REF!</definedName>
    <definedName name="qtdtub">#REF!</definedName>
    <definedName name="QTNULO" localSheetId="5">#REF!</definedName>
    <definedName name="QTNULO">#REF!</definedName>
    <definedName name="QTPADRAO" localSheetId="5">#REF!</definedName>
    <definedName name="QTPADRAO">#REF!</definedName>
    <definedName name="QTRES" localSheetId="5">#REF!</definedName>
    <definedName name="QTRES">#REF!</definedName>
    <definedName name="QuadraE" localSheetId="5">#REF!</definedName>
    <definedName name="QuadraE">#REF!</definedName>
    <definedName name="quadrocompar." localSheetId="5">#REF!</definedName>
    <definedName name="quadrocompar.">#REF!</definedName>
    <definedName name="QUANT" localSheetId="5">#REF!</definedName>
    <definedName name="QUANT">#REF!</definedName>
    <definedName name="QUANTP" localSheetId="5">#REF!</definedName>
    <definedName name="QUANTP">#REF!</definedName>
    <definedName name="QUATRO" localSheetId="5">#REF!</definedName>
    <definedName name="QUATRO">#REF!</definedName>
    <definedName name="QUINZE" localSheetId="5">#REF!</definedName>
    <definedName name="QUINZE">#REF!</definedName>
    <definedName name="qwdqw" localSheetId="5" hidden="1">{#N/A,#N/A,FALSE,"Plan1";#N/A,#N/A,FALSE,"Plan2"}</definedName>
    <definedName name="qwdqw" hidden="1">{#N/A,#N/A,FALSE,"Plan1";#N/A,#N/A,FALSE,"Plan2"}</definedName>
    <definedName name="qweqwe" localSheetId="5" hidden="1">{#N/A,#N/A,FALSE,"Plan1";#N/A,#N/A,FALSE,"Plan2"}</definedName>
    <definedName name="qweqwe" hidden="1">{#N/A,#N/A,FALSE,"Plan1";#N/A,#N/A,FALSE,"Plan2"}</definedName>
    <definedName name="qweqwe4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5" hidden="1">#REF!</definedName>
    <definedName name="qwewqe" hidden="1">#REF!</definedName>
    <definedName name="qwqw" localSheetId="5" hidden="1">#REF!</definedName>
    <definedName name="qwqw" hidden="1">#REF!</definedName>
    <definedName name="R.imobAtualiz" localSheetId="5">#REF!</definedName>
    <definedName name="R.imobAtualiz">#REF!</definedName>
    <definedName name="R_CorretAtualiz" localSheetId="5">#REF!</definedName>
    <definedName name="R_CorretAtualiz">#REF!</definedName>
    <definedName name="R_G.Cobr.Atualiz" localSheetId="5">#REF!</definedName>
    <definedName name="R_G.Cobr.Atualiz">#REF!</definedName>
    <definedName name="R_PmaisJAtualiz" localSheetId="5">#REF!</definedName>
    <definedName name="R_PmaisJAtualiz">#REF!</definedName>
    <definedName name="R_Prev.PerdaAtualiz" localSheetId="5">#REF!</definedName>
    <definedName name="R_Prev.PerdaAtualiz">#REF!</definedName>
    <definedName name="RADIO" localSheetId="5" hidden="1">{"HW",#N/A,FALSE,"1998"}</definedName>
    <definedName name="RADIO" hidden="1">{"HW",#N/A,FALSE,"1998"}</definedName>
    <definedName name="RANGE" localSheetId="5">#REF!</definedName>
    <definedName name="RANGE">#REF!</definedName>
    <definedName name="RANGE1" localSheetId="5">#REF!</definedName>
    <definedName name="RANGE1">#REF!</definedName>
    <definedName name="RANGE2" localSheetId="5">#REF!</definedName>
    <definedName name="RANGE2">#REF!</definedName>
    <definedName name="RARQIMP" localSheetId="5">#REF!</definedName>
    <definedName name="RARQIMP">#REF!</definedName>
    <definedName name="RawData" localSheetId="5">#REF!</definedName>
    <definedName name="RawData">#REF!</definedName>
    <definedName name="RE" localSheetId="5">#REF!</definedName>
    <definedName name="RE">#REF!</definedName>
    <definedName name="RECADUC" localSheetId="5">#REF!</definedName>
    <definedName name="RECADUC">#REF!</definedName>
    <definedName name="Recebido_Acumulado_2015_Controladoria" localSheetId="5">#REF!</definedName>
    <definedName name="Recebido_Acumulado_2015_Controladoria">#REF!</definedName>
    <definedName name="RE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2">#REF!</definedName>
    <definedName name="reforsu" localSheetId="5">#REF!</definedName>
    <definedName name="reforsu">#REF!</definedName>
    <definedName name="REL_RJ" localSheetId="5">#REF!</definedName>
    <definedName name="REL_RJ">#REF!</definedName>
    <definedName name="REL_SP" localSheetId="5">#REF!</definedName>
    <definedName name="REL_SP">#REF!</definedName>
    <definedName name="relat3" localSheetId="5">#REF!</definedName>
    <definedName name="relat3">#REF!</definedName>
    <definedName name="ren" localSheetId="12">#REF!</definedName>
    <definedName name="ren">#REF!</definedName>
    <definedName name="REPETIÇÃO" localSheetId="5">#REF!</definedName>
    <definedName name="REPETIÇÃO">#REF!</definedName>
    <definedName name="ReqC" localSheetId="5">#REF!</definedName>
    <definedName name="ReqC">#REF!</definedName>
    <definedName name="Responsável_Rel_Controladoria" localSheetId="5">#REF!</definedName>
    <definedName name="Responsável_Rel_Controladoria">#REF!</definedName>
    <definedName name="resum" localSheetId="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5">#REF!</definedName>
    <definedName name="RESUMO">#REF!</definedName>
    <definedName name="RESUMO2" localSheetId="5" hidden="1">{#N/A,#N/A,TRUE,"Quinzena 01 à 15-04-98 "}</definedName>
    <definedName name="RESUMO2" hidden="1">{#N/A,#N/A,TRUE,"Quinzena 01 à 15-04-98 "}</definedName>
    <definedName name="REV" localSheetId="12">#REF!</definedName>
    <definedName name="REV" localSheetId="5">#REF!</definedName>
    <definedName name="REV">#REF!</definedName>
    <definedName name="RF" localSheetId="5" hidden="1">{#N/A,#N/A,FALSE,"CCTV"}</definedName>
    <definedName name="RF" hidden="1">{#N/A,#N/A,FALSE,"CCTV"}</definedName>
    <definedName name="rgedrfrgfdg" localSheetId="5" hidden="1">{#N/A,#N/A,FALSE,"Plan1";#N/A,#N/A,FALSE,"Plan2"}</definedName>
    <definedName name="rgedrfrgfdg" hidden="1">{#N/A,#N/A,FALSE,"Plan1";#N/A,#N/A,FALSE,"Plan2"}</definedName>
    <definedName name="rhdrmq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5">#REF!</definedName>
    <definedName name="RI">#REF!</definedName>
    <definedName name="ridbeb" localSheetId="5">#REF!</definedName>
    <definedName name="ridbeb">#REF!</definedName>
    <definedName name="RIDCHAF" localSheetId="5">#REF!</definedName>
    <definedName name="RIDCHAF">#REF!</definedName>
    <definedName name="ridres05" localSheetId="5">#REF!</definedName>
    <definedName name="ridres05">#REF!</definedName>
    <definedName name="RIDRES10" localSheetId="5">#REF!</definedName>
    <definedName name="RIDRES10">#REF!</definedName>
    <definedName name="RIDRES15" localSheetId="5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5">#REF!</definedName>
    <definedName name="RO">#REF!</definedName>
    <definedName name="Rodapé" localSheetId="5">#REF!</definedName>
    <definedName name="Rodapé">#REF!</definedName>
    <definedName name="RODAPÉS" localSheetId="5">#REF!</definedName>
    <definedName name="RODAPÉS">#REF!</definedName>
    <definedName name="ROMANO" localSheetId="5">#REF!</definedName>
    <definedName name="ROMANO">#REF!</definedName>
    <definedName name="ROTCOMP" localSheetId="5">#REF!</definedName>
    <definedName name="ROTCOMP">#REF!</definedName>
    <definedName name="ROTIMP" localSheetId="5">#REF!</definedName>
    <definedName name="ROTIMP">#REF!</definedName>
    <definedName name="ROTRES" localSheetId="5">#REF!</definedName>
    <definedName name="ROTRES">#REF!</definedName>
    <definedName name="RQTADUC" localSheetId="5">#REF!</definedName>
    <definedName name="RQTADUC">#REF!</definedName>
    <definedName name="rqtbeb" localSheetId="5">#REF!</definedName>
    <definedName name="rqtbeb">#REF!</definedName>
    <definedName name="RQTCHAF" localSheetId="5">#REF!</definedName>
    <definedName name="RQTCHAF">#REF!</definedName>
    <definedName name="RQTDERV" localSheetId="5">#REF!</definedName>
    <definedName name="RQTDERV">#REF!</definedName>
    <definedName name="rres05" localSheetId="5">#REF!</definedName>
    <definedName name="rres05">#REF!</definedName>
    <definedName name="RRES10" localSheetId="5">#REF!</definedName>
    <definedName name="RRES10">#REF!</definedName>
    <definedName name="RRES15" localSheetId="5">#REF!</definedName>
    <definedName name="RRES15">#REF!</definedName>
    <definedName name="RRES20" localSheetId="5">#REF!</definedName>
    <definedName name="RRES20">#REF!</definedName>
    <definedName name="RRR" localSheetId="5" hidden="1">#REF!</definedName>
    <definedName name="RRR" hidden="1">#REF!</definedName>
    <definedName name="rrrrr" localSheetId="5" hidden="1">{"'장비'!$A$3:$M$12"}</definedName>
    <definedName name="rrrrr" hidden="1">{"'장비'!$A$3:$M$12"}</definedName>
    <definedName name="rrrrrrrr" localSheetId="5" hidden="1">{"'장비'!$A$3:$M$12"}</definedName>
    <definedName name="rrrrrrrr" hidden="1">{"'장비'!$A$3:$M$12"}</definedName>
    <definedName name="rrrrrrrrrrr" localSheetId="5" hidden="1">{#N/A,#N/A,TRUE,"Quinzena 01 à 15-04-98 "}</definedName>
    <definedName name="rrrrrrrrrrr" hidden="1">{#N/A,#N/A,TRUE,"Quinzena 01 à 15-04-98 "}</definedName>
    <definedName name="RSEQ" localSheetId="5">#REF!</definedName>
    <definedName name="RSEQ">#REF!</definedName>
    <definedName name="RSUBTOT" localSheetId="5">#REF!</definedName>
    <definedName name="RSUBTOT">#REF!</definedName>
    <definedName name="rtitbeb" localSheetId="5">#REF!</definedName>
    <definedName name="rtitbeb">#REF!</definedName>
    <definedName name="RTITCHAF" localSheetId="5">#REF!</definedName>
    <definedName name="RTITCHAF">#REF!</definedName>
    <definedName name="rtubos" localSheetId="5">#REF!</definedName>
    <definedName name="rtubos">#REF!</definedName>
    <definedName name="RTYE" localSheetId="5" hidden="1">{"'장비'!$A$3:$M$12"}</definedName>
    <definedName name="RTYE" hidden="1">{"'장비'!$A$3:$M$12"}</definedName>
    <definedName name="s" localSheetId="5">#REF!</definedName>
    <definedName name="s">#REF!</definedName>
    <definedName name="sa" localSheetId="12">#REF!</definedName>
    <definedName name="sa" localSheetId="5">#REF!</definedName>
    <definedName name="sa">#REF!</definedName>
    <definedName name="sa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5" hidden="1">{#N/A,#N/A,FALSE,"Plan1";#N/A,#N/A,FALSE,"Plan2"}</definedName>
    <definedName name="sadasd" hidden="1">{#N/A,#N/A,FALSE,"Plan1";#N/A,#N/A,FALSE,"Plan2"}</definedName>
    <definedName name="sadk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5" hidden="1">{#N/A,#N/A,FALSE,"Plan1";#N/A,#N/A,FALSE,"Plan2"}</definedName>
    <definedName name="sadkrjkedft" hidden="1">{#N/A,#N/A,FALSE,"Plan1";#N/A,#N/A,FALSE,"Plan2"}</definedName>
    <definedName name="SADSRTR" localSheetId="5" hidden="1">{#N/A,#N/A,FALSE,"Plan1";#N/A,#N/A,FALSE,"Plan2"}</definedName>
    <definedName name="SADSRTR" hidden="1">{#N/A,#N/A,FALSE,"Plan1";#N/A,#N/A,FALSE,"Plan2"}</definedName>
    <definedName name="sadwde" localSheetId="5" hidden="1">{#N/A,#N/A,FALSE,"Plan1";#N/A,#N/A,FALSE,"Plan2"}</definedName>
    <definedName name="sadwde" hidden="1">{#N/A,#N/A,FALSE,"Plan1";#N/A,#N/A,FALSE,"Plan2"}</definedName>
    <definedName name="Salas" localSheetId="5">#REF!</definedName>
    <definedName name="Salas">#REF!</definedName>
    <definedName name="sanjay" localSheetId="5" hidden="1">{#N/A,#N/A,FALSE,"TABLE"}</definedName>
    <definedName name="sanjay" hidden="1">{#N/A,#N/A,FALSE,"TABLE"}</definedName>
    <definedName name="sapata" localSheetId="5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5" hidden="1">{#N/A,#N/A,FALSE,"Plan1";#N/A,#N/A,FALSE,"Plan2"}</definedName>
    <definedName name="SAS" hidden="1">{#N/A,#N/A,FALSE,"Plan1";#N/A,#N/A,FALSE,"Plan2"}</definedName>
    <definedName name="sasads" localSheetId="5" hidden="1">{#N/A,#N/A,FALSE,"Plan1";#N/A,#N/A,FALSE,"Plan2"}</definedName>
    <definedName name="sasads" hidden="1">{#N/A,#N/A,FALSE,"Plan1";#N/A,#N/A,FALSE,"Plan2"}</definedName>
    <definedName name="SC" localSheetId="5" hidden="1">#REF!</definedName>
    <definedName name="SC" hidden="1">#REF!</definedName>
    <definedName name="sçadldfsfd" hidden="1">25</definedName>
    <definedName name="sda" localSheetId="5">#REF!</definedName>
    <definedName name="sda">#REF!</definedName>
    <definedName name="sda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5" hidden="1">{#N/A,#N/A,FALSE,"Plan1";#N/A,#N/A,FALSE,"Plan2"}</definedName>
    <definedName name="SDAOTGFR" hidden="1">{#N/A,#N/A,FALSE,"Plan1";#N/A,#N/A,FALSE,"Plan2"}</definedName>
    <definedName name="sdckd" localSheetId="5" hidden="1">{#N/A,#N/A,FALSE,"Plan1";#N/A,#N/A,FALSE,"Plan2"}</definedName>
    <definedName name="sdckd" hidden="1">{#N/A,#N/A,FALSE,"Plan1";#N/A,#N/A,FALSE,"Plan2"}</definedName>
    <definedName name="SDDFKSEDE" localSheetId="5" hidden="1">{#N/A,#N/A,FALSE,"Plan1";#N/A,#N/A,FALSE,"Plan2"}</definedName>
    <definedName name="SDDFKSEDE" hidden="1">{#N/A,#N/A,FALSE,"Plan1";#N/A,#N/A,FALSE,"Plan2"}</definedName>
    <definedName name="sddkslker" localSheetId="5" hidden="1">{#N/A,#N/A,FALSE,"Plan1";#N/A,#N/A,FALSE,"Plan2"}</definedName>
    <definedName name="sddkslker" hidden="1">{#N/A,#N/A,FALSE,"Plan1";#N/A,#N/A,FALSE,"Plan2"}</definedName>
    <definedName name="sdefr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5" hidden="1">#REF!</definedName>
    <definedName name="sdert" hidden="1">#REF!</definedName>
    <definedName name="sdf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5" hidden="1">{#N/A,#N/A,FALSE,"Plan1";#N/A,#N/A,FALSE,"Plan2"}</definedName>
    <definedName name="sdfdds" hidden="1">{#N/A,#N/A,FALSE,"Plan1";#N/A,#N/A,FALSE,"Plan2"}</definedName>
    <definedName name="sdfdfc" localSheetId="5" hidden="1">{#N/A,#N/A,FALSE,"Plan1";#N/A,#N/A,FALSE,"Plan2"}</definedName>
    <definedName name="sdfdfc" hidden="1">{#N/A,#N/A,FALSE,"Plan1";#N/A,#N/A,FALSE,"Plan2"}</definedName>
    <definedName name="sdfdf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5" hidden="1">{#N/A,#N/A,FALSE,"Plan1";#N/A,#N/A,FALSE,"Plan2"}</definedName>
    <definedName name="sdfdgft" hidden="1">{#N/A,#N/A,FALSE,"Plan1";#N/A,#N/A,FALSE,"Plan2"}</definedName>
    <definedName name="sdfdsf" localSheetId="5" hidden="1">{#N/A,#N/A,FALSE,"Plan1";#N/A,#N/A,FALSE,"Plan2"}</definedName>
    <definedName name="sdfdsf" hidden="1">{#N/A,#N/A,FALSE,"Plan1";#N/A,#N/A,FALSE,"Plan2"}</definedName>
    <definedName name="sdfdsf\da" localSheetId="5" hidden="1">{#N/A,#N/A,FALSE,"Plan1";#N/A,#N/A,FALSE,"Plan2"}</definedName>
    <definedName name="sdfdsf\da" hidden="1">{#N/A,#N/A,FALSE,"Plan1";#N/A,#N/A,FALSE,"Plan2"}</definedName>
    <definedName name="SDFEDRT" localSheetId="5" hidden="1">{#N/A,#N/A,FALSE,"Plan1";#N/A,#N/A,FALSE,"Plan2"}</definedName>
    <definedName name="SDFEDRT" hidden="1">{#N/A,#N/A,FALSE,"Plan1";#N/A,#N/A,FALSE,"Plan2"}</definedName>
    <definedName name="sdfer" localSheetId="5" hidden="1">{#N/A,#N/A,FALSE,"Plan1";#N/A,#N/A,FALSE,"Plan2"}</definedName>
    <definedName name="sdfer" hidden="1">{#N/A,#N/A,FALSE,"Plan1";#N/A,#N/A,FALSE,"Plan2"}</definedName>
    <definedName name="sdferr" localSheetId="5" hidden="1">{#N/A,#N/A,FALSE,"Plan1";#N/A,#N/A,FALSE,"Plan2"}</definedName>
    <definedName name="sdferr" hidden="1">{#N/A,#N/A,FALSE,"Plan1";#N/A,#N/A,FALSE,"Plan2"}</definedName>
    <definedName name="sdfe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5" hidden="1">{#N/A,#N/A,FALSE,"Plan1";#N/A,#N/A,FALSE,"Plan2"}</definedName>
    <definedName name="SDFGJFSRF" hidden="1">{#N/A,#N/A,FALSE,"Plan1";#N/A,#N/A,FALSE,"Plan2"}</definedName>
    <definedName name="sdfgtr" localSheetId="5" hidden="1">{#N/A,#N/A,FALSE,"Plan1";#N/A,#N/A,FALSE,"Plan2"}</definedName>
    <definedName name="sdfgtr" hidden="1">{#N/A,#N/A,FALSE,"Plan1";#N/A,#N/A,FALSE,"Plan2"}</definedName>
    <definedName name="sdfjdetrt" localSheetId="5" hidden="1">{#N/A,#N/A,FALSE,"Plan1";#N/A,#N/A,FALSE,"Plan2"}</definedName>
    <definedName name="sdfjdetrt" hidden="1">{#N/A,#N/A,FALSE,"Plan1";#N/A,#N/A,FALSE,"Plan2"}</definedName>
    <definedName name="SDFJDRTJEIDR" localSheetId="5" hidden="1">{#N/A,#N/A,FALSE,"Plan1";#N/A,#N/A,FALSE,"Plan2"}</definedName>
    <definedName name="SDFJDRTJEIDR" hidden="1">{#N/A,#N/A,FALSE,"Plan1";#N/A,#N/A,FALSE,"Plan2"}</definedName>
    <definedName name="sdfjergtij" localSheetId="5" hidden="1">{#N/A,#N/A,FALSE,"Plan1";#N/A,#N/A,FALSE,"Plan2"}</definedName>
    <definedName name="sdfjergtij" hidden="1">{#N/A,#N/A,FALSE,"Plan1";#N/A,#N/A,FALSE,"Plan2"}</definedName>
    <definedName name="SDFOPJKWE" localSheetId="5" hidden="1">{#N/A,#N/A,FALSE,"Plan1";#N/A,#N/A,FALSE,"Plan2"}</definedName>
    <definedName name="SDFOPJKWE" hidden="1">{#N/A,#N/A,FALSE,"Plan1";#N/A,#N/A,FALSE,"Plan2"}</definedName>
    <definedName name="sdfrdt5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5" hidden="1">{#N/A,#N/A,FALSE,"Plan1";#N/A,#N/A,FALSE,"Plan2"}</definedName>
    <definedName name="sdfrt" hidden="1">{#N/A,#N/A,FALSE,"Plan1";#N/A,#N/A,FALSE,"Plan2"}</definedName>
    <definedName name="SDFRTKK" localSheetId="5" hidden="1">{#N/A,#N/A,FALSE,"Plan1";#N/A,#N/A,FALSE,"Plan2"}</definedName>
    <definedName name="SDFRTKK" hidden="1">{#N/A,#N/A,FALSE,"Plan1";#N/A,#N/A,FALSE,"Plan2"}</definedName>
    <definedName name="SDFRTR" localSheetId="5" hidden="1">{#N/A,#N/A,FALSE,"Plan1";#N/A,#N/A,FALSE,"Plan2"}</definedName>
    <definedName name="SDFRTR" hidden="1">{#N/A,#N/A,FALSE,"Plan1";#N/A,#N/A,FALSE,"Plan2"}</definedName>
    <definedName name="sdfry6" localSheetId="5" hidden="1">{#N/A,#N/A,FALSE,"Plan1";#N/A,#N/A,FALSE,"Plan2"}</definedName>
    <definedName name="sdfry6" hidden="1">{#N/A,#N/A,FALSE,"Plan1";#N/A,#N/A,FALSE,"Plan2"}</definedName>
    <definedName name="sdfsaf" localSheetId="5" hidden="1">{#N/A,#N/A,FALSE,"Plan1";#N/A,#N/A,FALSE,"Plan2"}</definedName>
    <definedName name="sdfsaf" hidden="1">{#N/A,#N/A,FALSE,"Plan1";#N/A,#N/A,FALSE,"Plan2"}</definedName>
    <definedName name="sdfsd" localSheetId="5" hidden="1">{"'Estimativa de Lançamento-JAN'!$A$1:$AI$85"}</definedName>
    <definedName name="sdfsd" hidden="1">{"'Estimativa de Lançamento-JAN'!$A$1:$AI$85"}</definedName>
    <definedName name="sdfsdfg" localSheetId="5" hidden="1">{#N/A,#N/A,FALSE,"Plan1";#N/A,#N/A,FALSE,"Plan2"}</definedName>
    <definedName name="sdfsdfg" hidden="1">{#N/A,#N/A,FALSE,"Plan1";#N/A,#N/A,FALSE,"Plan2"}</definedName>
    <definedName name="SDFSDFK" localSheetId="5" hidden="1">{#N/A,#N/A,FALSE,"Plan1";#N/A,#N/A,FALSE,"Plan2"}</definedName>
    <definedName name="SDFSDFK" hidden="1">{#N/A,#N/A,FALSE,"Plan1";#N/A,#N/A,FALSE,"Plan2"}</definedName>
    <definedName name="sdfsdgftret" localSheetId="5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5" hidden="1">{#N/A,#N/A,FALSE,"Plan1";#N/A,#N/A,FALSE,"Plan2"}</definedName>
    <definedName name="sdfsf" hidden="1">{#N/A,#N/A,FALSE,"Plan1";#N/A,#N/A,FALSE,"Plan2"}</definedName>
    <definedName name="SDFSFRT" localSheetId="5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5" hidden="1">{#N/A,#N/A,FALSE,"Plan1";#N/A,#N/A,FALSE,"Plan2"}</definedName>
    <definedName name="sdfsr" hidden="1">{#N/A,#N/A,FALSE,"Plan1";#N/A,#N/A,FALSE,"Plan2"}</definedName>
    <definedName name="sdfty" localSheetId="5" hidden="1">{#N/A,#N/A,FALSE,"Plan1";#N/A,#N/A,FALSE,"Plan2"}</definedName>
    <definedName name="sdfty" hidden="1">{#N/A,#N/A,FALSE,"Plan1";#N/A,#N/A,FALSE,"Plan2"}</definedName>
    <definedName name="sdgdf" localSheetId="5" hidden="1">{#N/A,#N/A,FALSE,"Plan1";#N/A,#N/A,FALSE,"Plan2"}</definedName>
    <definedName name="sdgdf" hidden="1">{#N/A,#N/A,FALSE,"Plan1";#N/A,#N/A,FALSE,"Plan2"}</definedName>
    <definedName name="sdgfrt" localSheetId="5" hidden="1">{#N/A,#N/A,FALSE,"Plan1";#N/A,#N/A,FALSE,"Plan2"}</definedName>
    <definedName name="sdgfrt" hidden="1">{#N/A,#N/A,FALSE,"Plan1";#N/A,#N/A,FALSE,"Plan2"}</definedName>
    <definedName name="sdgft" localSheetId="5" hidden="1">{#N/A,#N/A,FALSE,"Plan1";#N/A,#N/A,FALSE,"Plan2"}</definedName>
    <definedName name="sdgft" hidden="1">{#N/A,#N/A,FALSE,"Plan1";#N/A,#N/A,FALSE,"Plan2"}</definedName>
    <definedName name="sdgt" localSheetId="5" hidden="1">{#N/A,#N/A,FALSE,"Plan1";#N/A,#N/A,FALSE,"Plan2"}</definedName>
    <definedName name="sdgt" hidden="1">{#N/A,#N/A,FALSE,"Plan1";#N/A,#N/A,FALSE,"Plan2"}</definedName>
    <definedName name="sdgtry" localSheetId="5" hidden="1">#REF!</definedName>
    <definedName name="sdgtry" hidden="1">#REF!</definedName>
    <definedName name="sdhfghdsfg" localSheetId="5" hidden="1">{#N/A,#N/A,FALSE,"Plan1";#N/A,#N/A,FALSE,"Plan2"}</definedName>
    <definedName name="sdhfghdsfg" hidden="1">{#N/A,#N/A,FALSE,"Plan1";#N/A,#N/A,FALSE,"Plan2"}</definedName>
    <definedName name="SDHFJKHDFJRE" localSheetId="5" hidden="1">{#N/A,#N/A,FALSE,"Plan1";#N/A,#N/A,FALSE,"Plan2"}</definedName>
    <definedName name="SDHFJKHDFJRE" hidden="1">{#N/A,#N/A,FALSE,"Plan1";#N/A,#N/A,FALSE,"Plan2"}</definedName>
    <definedName name="SDHKFDRKGTR" localSheetId="5" hidden="1">{#N/A,#N/A,FALSE,"Plan1";#N/A,#N/A,FALSE,"Plan2"}</definedName>
    <definedName name="SDHKFDRKGTR" hidden="1">{#N/A,#N/A,FALSE,"Plan1";#N/A,#N/A,FALSE,"Plan2"}</definedName>
    <definedName name="sdjdswger" localSheetId="5" hidden="1">{#N/A,#N/A,FALSE,"Plan1";#N/A,#N/A,FALSE,"Plan2"}</definedName>
    <definedName name="sdjdswger" hidden="1">{#N/A,#N/A,FALSE,"Plan1";#N/A,#N/A,FALSE,"Plan2"}</definedName>
    <definedName name="sdjfdf" localSheetId="5" hidden="1">{#N/A,#N/A,FALSE,"Plan1";#N/A,#N/A,FALSE,"Plan2"}</definedName>
    <definedName name="sdjfdf" hidden="1">{#N/A,#N/A,FALSE,"Plan1";#N/A,#N/A,FALSE,"Plan2"}</definedName>
    <definedName name="sdjfhdjk" localSheetId="5" hidden="1">{#N/A,#N/A,FALSE,"Plan1";#N/A,#N/A,FALSE,"Plan2"}</definedName>
    <definedName name="sdjfhdjk" hidden="1">{#N/A,#N/A,FALSE,"Plan1";#N/A,#N/A,FALSE,"Plan2"}</definedName>
    <definedName name="SDJFJDER" localSheetId="5" hidden="1">{#N/A,#N/A,FALSE,"Plan1";#N/A,#N/A,FALSE,"Plan2"}</definedName>
    <definedName name="SDJFJDER" hidden="1">{#N/A,#N/A,FALSE,"Plan1";#N/A,#N/A,FALSE,"Plan2"}</definedName>
    <definedName name="sdjflsdjfl" localSheetId="5" hidden="1">{#N/A,#N/A,FALSE,"Plan1";#N/A,#N/A,FALSE,"Plan2"}</definedName>
    <definedName name="sdjflsdjfl" hidden="1">{#N/A,#N/A,FALSE,"Plan1";#N/A,#N/A,FALSE,"Plan2"}</definedName>
    <definedName name="SDJHF" localSheetId="5" hidden="1">{#N/A,#N/A,FALSE,"Plan1";#N/A,#N/A,FALSE,"Plan2"}</definedName>
    <definedName name="SDJHF" hidden="1">{#N/A,#N/A,FALSE,"Plan1";#N/A,#N/A,FALSE,"Plan2"}</definedName>
    <definedName name="sdjrderertrr" localSheetId="5" hidden="1">{#N/A,#N/A,FALSE,"Plan1";#N/A,#N/A,FALSE,"Plan2"}</definedName>
    <definedName name="sdjrderertrr" hidden="1">{#N/A,#N/A,FALSE,"Plan1";#N/A,#N/A,FALSE,"Plan2"}</definedName>
    <definedName name="sdkdjk" localSheetId="5" hidden="1">{#N/A,#N/A,FALSE,"Plan1";#N/A,#N/A,FALSE,"Plan2"}</definedName>
    <definedName name="sdkdjk" hidden="1">{#N/A,#N/A,FALSE,"Plan1";#N/A,#N/A,FALSE,"Plan2"}</definedName>
    <definedName name="sdkfjhkdgfh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5" hidden="1">{#N/A,#N/A,FALSE,"Plan1";#N/A,#N/A,FALSE,"Plan2"}</definedName>
    <definedName name="sdkfnjd" hidden="1">{#N/A,#N/A,FALSE,"Plan1";#N/A,#N/A,FALSE,"Plan2"}</definedName>
    <definedName name="sdkk" localSheetId="5" hidden="1">{#N/A,#N/A,FALSE,"Plan1";#N/A,#N/A,FALSE,"Plan2"}</definedName>
    <definedName name="sdkk" hidden="1">{#N/A,#N/A,FALSE,"Plan1";#N/A,#N/A,FALSE,"Plan2"}</definedName>
    <definedName name="sdlfsdflj" localSheetId="5" hidden="1">{#N/A,#N/A,FALSE,"Plan1";#N/A,#N/A,FALSE,"Plan2"}</definedName>
    <definedName name="sdlfsdflj" hidden="1">{#N/A,#N/A,FALSE,"Plan1";#N/A,#N/A,FALSE,"Plan2"}</definedName>
    <definedName name="sdmfmdfsgfd" localSheetId="5" hidden="1">{#N/A,#N/A,FALSE,"Plan1";#N/A,#N/A,FALSE,"Plan2"}</definedName>
    <definedName name="sdmfmdfsgfd" hidden="1">{#N/A,#N/A,FALSE,"Plan1";#N/A,#N/A,FALSE,"Plan2"}</definedName>
    <definedName name="sd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5" hidden="1">{#N/A,#N/A,FALSE,"Plan1";#N/A,#N/A,FALSE,"Plan2"}</definedName>
    <definedName name="sdrfgt" hidden="1">{#N/A,#N/A,FALSE,"Plan1";#N/A,#N/A,FALSE,"Plan2"}</definedName>
    <definedName name="sdsd" localSheetId="5" hidden="1">{#N/A,#N/A,FALSE,"Plan1";#N/A,#N/A,FALSE,"Plan2"}</definedName>
    <definedName name="sdsd" hidden="1">{#N/A,#N/A,FALSE,"Plan1";#N/A,#N/A,FALSE,"Plan2"}</definedName>
    <definedName name="sdser" localSheetId="5" hidden="1">{#N/A,#N/A,FALSE,"Plan1";#N/A,#N/A,FALSE,"Plan2"}</definedName>
    <definedName name="sdser" hidden="1">{#N/A,#N/A,FALSE,"Plan1";#N/A,#N/A,FALSE,"Plan2"}</definedName>
    <definedName name="sdsre" localSheetId="5" hidden="1">{#N/A,#N/A,FALSE,"Plan1";#N/A,#N/A,FALSE,"Plan2"}</definedName>
    <definedName name="sdsre" hidden="1">{#N/A,#N/A,FALSE,"Plan1";#N/A,#N/A,FALSE,"Plan2"}</definedName>
    <definedName name="sdss" localSheetId="5" hidden="1">{#N/A,#N/A,FALSE,"Plan1";#N/A,#N/A,FALSE,"Plan2"}</definedName>
    <definedName name="sdss" hidden="1">{#N/A,#N/A,FALSE,"Plan1";#N/A,#N/A,FALSE,"Plan2"}</definedName>
    <definedName name="sdtrtg" localSheetId="5" hidden="1">#REF!</definedName>
    <definedName name="sdtrtg" hidden="1">#REF!</definedName>
    <definedName name="sdusi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5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5" hidden="1">{#N/A,#N/A,FALSE,"Plan1";#N/A,#N/A,FALSE,"Plan2"}</definedName>
    <definedName name="sdxfrt" hidden="1">{#N/A,#N/A,FALSE,"Plan1";#N/A,#N/A,FALSE,"Plan2"}</definedName>
    <definedName name="SDZFERF" localSheetId="5" hidden="1">{#N/A,#N/A,FALSE,"Plan1";#N/A,#N/A,FALSE,"Plan2"}</definedName>
    <definedName name="SDZFERF" hidden="1">{#N/A,#N/A,FALSE,"Plan1";#N/A,#N/A,FALSE,"Plan2"}</definedName>
    <definedName name="se" localSheetId="5">#REF!</definedName>
    <definedName name="se">#REF!</definedName>
    <definedName name="SEDE" localSheetId="5">#REF!</definedName>
    <definedName name="SEDE">#REF!</definedName>
    <definedName name="sefret4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2">#REF!</definedName>
    <definedName name="SEG" localSheetId="5">#REF!</definedName>
    <definedName name="SEG">#REF!</definedName>
    <definedName name="segftru" localSheetId="5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5">#REF!</definedName>
    <definedName name="SEIS">#REF!</definedName>
    <definedName name="sencount" hidden="1">3</definedName>
    <definedName name="SEQUENCIA" localSheetId="5">#REF!</definedName>
    <definedName name="SEQUENCIA">#REF!</definedName>
    <definedName name="SEREWRSWE" localSheetId="5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5">#REF!</definedName>
    <definedName name="Set_17">#REF!</definedName>
    <definedName name="SETE" localSheetId="5">#REF!</definedName>
    <definedName name="SETE">#REF!</definedName>
    <definedName name="SETEMBRO" localSheetId="5">#REF!</definedName>
    <definedName name="SETEMBRO">#REF!</definedName>
    <definedName name="setRJ17" localSheetId="5">#REF!</definedName>
    <definedName name="setRJ17">#REF!</definedName>
    <definedName name="severo" localSheetId="5">#REF!</definedName>
    <definedName name="severo">#REF!</definedName>
    <definedName name="sf" localSheetId="5" hidden="1">{#N/A,#N/A,FALSE,"Plan1";#N/A,#N/A,FALSE,"Plan2"}</definedName>
    <definedName name="sf" hidden="1">{#N/A,#N/A,FALSE,"Plan1";#N/A,#N/A,FALSE,"Plan2"}</definedName>
    <definedName name="sfcre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5" hidden="1">{#N/A,#N/A,FALSE,"Plan1";#N/A,#N/A,FALSE,"Plan2"}</definedName>
    <definedName name="sfddfd" hidden="1">{#N/A,#N/A,FALSE,"Plan1";#N/A,#N/A,FALSE,"Plan2"}</definedName>
    <definedName name="sfds" localSheetId="5" hidden="1">{#N/A,#N/A,FALSE,"Plan1";#N/A,#N/A,FALSE,"Plan2"}</definedName>
    <definedName name="sfds" hidden="1">{#N/A,#N/A,FALSE,"Plan1";#N/A,#N/A,FALSE,"Plan2"}</definedName>
    <definedName name="sfdsd" localSheetId="5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5" hidden="1">{#N/A,#N/A,FALSE,"Plan1";#N/A,#N/A,FALSE,"Plan2"}</definedName>
    <definedName name="sfrsdrgt" hidden="1">{#N/A,#N/A,FALSE,"Plan1";#N/A,#N/A,FALSE,"Plan2"}</definedName>
    <definedName name="SFRT" localSheetId="5" hidden="1">{#N/A,#N/A,FALSE,"Plan1";#N/A,#N/A,FALSE,"Plan2"}</definedName>
    <definedName name="SFRT" hidden="1">{#N/A,#N/A,FALSE,"Plan1";#N/A,#N/A,FALSE,"Plan2"}</definedName>
    <definedName name="sfsdferf" localSheetId="5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5" hidden="1">{#N/A,#N/A,FALSE,"Plan1";#N/A,#N/A,FALSE,"Plan2"}</definedName>
    <definedName name="SFSDS" hidden="1">{#N/A,#N/A,FALSE,"Plan1";#N/A,#N/A,FALSE,"Plan2"}</definedName>
    <definedName name="SGarantia" localSheetId="5">#REF!</definedName>
    <definedName name="SGarantia">#REF!</definedName>
    <definedName name="sgtghty" localSheetId="5" hidden="1">{#N/A,#N/A,FALSE,"Plan1";#N/A,#N/A,FALSE,"Plan2"}</definedName>
    <definedName name="sgtghty" hidden="1">{#N/A,#N/A,FALSE,"Plan1";#N/A,#N/A,FALSE,"Plan2"}</definedName>
    <definedName name="S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12">#REF!</definedName>
    <definedName name="SIH" localSheetId="5">#REF!</definedName>
    <definedName name="SIH">#REF!</definedName>
    <definedName name="SISTEM1" localSheetId="5">#REF!</definedName>
    <definedName name="SISTEM1">#REF!</definedName>
    <definedName name="SISTEM2" localSheetId="5">#REF!</definedName>
    <definedName name="SISTEM2">#REF!</definedName>
    <definedName name="SIV" localSheetId="12">#REF!</definedName>
    <definedName name="SIV">#REF!</definedName>
    <definedName name="sjawe" localSheetId="5" hidden="1">{#N/A,#N/A,FALSE,"Plan1";#N/A,#N/A,FALSE,"Plan2"}</definedName>
    <definedName name="sjawe" hidden="1">{#N/A,#N/A,FALSE,"Plan1";#N/A,#N/A,FALSE,"Plan2"}</definedName>
    <definedName name="sjdffd" localSheetId="5" hidden="1">{#N/A,#N/A,FALSE,"Plan1";#N/A,#N/A,FALSE,"Plan2"}</definedName>
    <definedName name="sjdffd" hidden="1">{#N/A,#N/A,FALSE,"Plan1";#N/A,#N/A,FALSE,"Plan2"}</definedName>
    <definedName name="SJDFHDJS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5" hidden="1">{#N/A,#N/A,FALSE,"Plan1";#N/A,#N/A,FALSE,"Plan2"}</definedName>
    <definedName name="SJDHFHRE" hidden="1">{#N/A,#N/A,FALSE,"Plan1";#N/A,#N/A,FALSE,"Plan2"}</definedName>
    <definedName name="SJDKJDE" localSheetId="5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5" hidden="1">{#N/A,#N/A,FALSE,"Plan1";#N/A,#N/A,FALSE,"Plan2"}</definedName>
    <definedName name="sjekwjri" hidden="1">{#N/A,#N/A,FALSE,"Plan1";#N/A,#N/A,FALSE,"Plan2"}</definedName>
    <definedName name="sjfkdhsfds" localSheetId="5" hidden="1">{#N/A,#N/A,FALSE,"Plan1";#N/A,#N/A,FALSE,"Plan2"}</definedName>
    <definedName name="sjfkdhsfds" hidden="1">{#N/A,#N/A,FALSE,"Plan1";#N/A,#N/A,FALSE,"Plan2"}</definedName>
    <definedName name="sjkdljslkrje" localSheetId="5" hidden="1">{#N/A,#N/A,FALSE,"Plan1";#N/A,#N/A,FALSE,"Plan2"}</definedName>
    <definedName name="sjkdljslkrje" hidden="1">{#N/A,#N/A,FALSE,"Plan1";#N/A,#N/A,FALSE,"Plan2"}</definedName>
    <definedName name="skadadaszs" localSheetId="5" hidden="1">{#N/A,#N/A,FALSE,"Plan1";#N/A,#N/A,FALSE,"Plan2"}</definedName>
    <definedName name="skadadaszs" hidden="1">{#N/A,#N/A,FALSE,"Plan1";#N/A,#N/A,FALSE,"Plan2"}</definedName>
    <definedName name="SKASH" localSheetId="5" hidden="1">{#N/A,#N/A,FALSE,"Plan1";#N/A,#N/A,FALSE,"Plan2"}</definedName>
    <definedName name="SKASH" hidden="1">{#N/A,#N/A,FALSE,"Plan1";#N/A,#N/A,FALSE,"Plan2"}</definedName>
    <definedName name="skldfrde" localSheetId="5" hidden="1">{#N/A,#N/A,FALSE,"Plan1";#N/A,#N/A,FALSE,"Plan2"}</definedName>
    <definedName name="skldfrde" hidden="1">{#N/A,#N/A,FALSE,"Plan1";#N/A,#N/A,FALSE,"Plan2"}</definedName>
    <definedName name="skosroer" localSheetId="5" hidden="1">{#N/A,#N/A,FALSE,"Plan1";#N/A,#N/A,FALSE,"Plan2"}</definedName>
    <definedName name="skosroer" hidden="1">{#N/A,#N/A,FALSE,"Plan1";#N/A,#N/A,FALSE,"Plan2"}</definedName>
    <definedName name="SO" localSheetId="5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5">#REF!</definedName>
    <definedName name="soma">#REF!</definedName>
    <definedName name="sp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5" hidden="1">{#N/A,#N/A,FALSE,"Plan1";#N/A,#N/A,FALSE,"Plan2"}</definedName>
    <definedName name="sQEWWE" hidden="1">{#N/A,#N/A,FALSE,"Plan1";#N/A,#N/A,FALSE,"Plan2"}</definedName>
    <definedName name="SR" localSheetId="5" hidden="1">#REF!</definedName>
    <definedName name="SR" hidden="1">#REF!</definedName>
    <definedName name="SR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2">#REF!</definedName>
    <definedName name="ss" localSheetId="5">#REF!</definedName>
    <definedName name="ss">#REF!</definedName>
    <definedName name="sssss" localSheetId="5" hidden="1">#REF!</definedName>
    <definedName name="sssss" hidden="1">#REF!</definedName>
    <definedName name="stake_cury" localSheetId="5">#REF!</definedName>
    <definedName name="stake_cury">#REF!</definedName>
    <definedName name="status_projeto" localSheetId="5" hidden="1">OFFSET(INDEX(#REF!,MATCH(#REF!,#REF!,0)),1,0,COUNTA(#REF!)-1)</definedName>
    <definedName name="status_projeto" hidden="1">OFFSET(INDEX(#REF!,MATCH(#REF!,#REF!,0)),1,0,COUNTA(#REF!)-1)</definedName>
    <definedName name="SUB_TOTAL_1" localSheetId="5">#REF!</definedName>
    <definedName name="SUB_TOTAL_1">#REF!</definedName>
    <definedName name="SUBDER" localSheetId="5">#REF!</definedName>
    <definedName name="SUBDER">#REF!</definedName>
    <definedName name="SUBDIV" localSheetId="5">#REF!</definedName>
    <definedName name="SUBDIV">#REF!</definedName>
    <definedName name="SUBEQP" localSheetId="5">#REF!</definedName>
    <definedName name="SUBEQP">#REF!</definedName>
    <definedName name="SUBMUR" localSheetId="5">#REF!</definedName>
    <definedName name="SUBMUR">#REF!</definedName>
    <definedName name="summ" localSheetId="5" hidden="1">#REF!</definedName>
    <definedName name="summ" hidden="1">#REF!</definedName>
    <definedName name="susref" localSheetId="12">#REF!</definedName>
    <definedName name="susref">#REF!</definedName>
    <definedName name="Swvu.Características." localSheetId="5" hidden="1">#REF!</definedName>
    <definedName name="Swvu.Características." hidden="1">#REF!</definedName>
    <definedName name="Swvu.Ciclos." localSheetId="5" hidden="1">#REF!</definedName>
    <definedName name="Swvu.Ciclos." hidden="1">#REF!</definedName>
    <definedName name="Swvu.Custos." localSheetId="5" hidden="1">#REF!</definedName>
    <definedName name="Swvu.Custos." hidden="1">#REF!</definedName>
    <definedName name="Swvu.PLANILHA2." localSheetId="5" hidden="1">#REF!</definedName>
    <definedName name="Swvu.PLANILHA2." hidden="1">#REF!</definedName>
    <definedName name="Swvu.Recursos." localSheetId="5" hidden="1">#REF!</definedName>
    <definedName name="Swvu.Recursos." hidden="1">#REF!</definedName>
    <definedName name="T_actual" localSheetId="5">#REF!</definedName>
    <definedName name="T_actual">#REF!</definedName>
    <definedName name="t_cc" localSheetId="5">#REF!</definedName>
    <definedName name="t_cc">#REF!</definedName>
    <definedName name="t_KSB1_Transport" localSheetId="5">#REF!</definedName>
    <definedName name="t_KSB1_Transport">#REF!</definedName>
    <definedName name="tab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5">#REF!</definedName>
    <definedName name="TAB_GASTOS">#REF!</definedName>
    <definedName name="TABACABAMENTOS" localSheetId="5">#REF!</definedName>
    <definedName name="TABACABAMENTOS">#REF!</definedName>
    <definedName name="tabela" localSheetId="5">#REF!</definedName>
    <definedName name="tabela">#REF!</definedName>
    <definedName name="Tabela_Atribuição" localSheetId="5">#REF!</definedName>
    <definedName name="Tabela_Atribuição">#REF!</definedName>
    <definedName name="TABELA_DE_REVESTIMENTOS" localSheetId="5">#REF!</definedName>
    <definedName name="TABELA_DE_REVESTIMENTOS">#REF!</definedName>
    <definedName name="Tabela_Recursos" localSheetId="5">#REF!</definedName>
    <definedName name="Tabela_Recursos">#REF!</definedName>
    <definedName name="Tabela_Tarefas" localSheetId="5">#REF!</definedName>
    <definedName name="Tabela_Tarefas">#REF!</definedName>
    <definedName name="Tabela1" localSheetId="5">#REF!</definedName>
    <definedName name="Tabela1">#REF!</definedName>
    <definedName name="Tabela2" localSheetId="5">#REF!</definedName>
    <definedName name="Tabela2">#REF!</definedName>
    <definedName name="tabela3" localSheetId="5">#REF!</definedName>
    <definedName name="tabela3">#REF!</definedName>
    <definedName name="TABREF" localSheetId="5">#REF!</definedName>
    <definedName name="TABREF">#REF!</definedName>
    <definedName name="tania" localSheetId="12">#REF!</definedName>
    <definedName name="tania">#REF!</definedName>
    <definedName name="TAUX2" localSheetId="5">OFFSET(#REF!,0,0,COUNTA(#REF!)+1,1)</definedName>
    <definedName name="TAUX2">OFFSET(#REF!,0,0,COUNTA(#REF!)+1,1)</definedName>
    <definedName name="TAUX3" localSheetId="5">OFFSET(#REF!,0,0,COUNTA(#REF!)+1,1)</definedName>
    <definedName name="TAUX3">OFFSET(#REF!,0,0,COUNTA(#REF!)+1,1)</definedName>
    <definedName name="TAXA_VENTO" localSheetId="5">#REF!</definedName>
    <definedName name="TAXA_VENTO">#REF!</definedName>
    <definedName name="TAXAS" localSheetId="5">#REF!</definedName>
    <definedName name="TAXAS">#REF!</definedName>
    <definedName name="TbDin" localSheetId="5">OFFSET(#REF!,0,0,COUNTA(#REF!),13)</definedName>
    <definedName name="TbDin">OFFSET(#REF!,0,0,COUNTA(#REF!),13)</definedName>
    <definedName name="tc" localSheetId="12">#REF!</definedName>
    <definedName name="tc" localSheetId="5">#REF!</definedName>
    <definedName name="tc">#REF!</definedName>
    <definedName name="TE" localSheetId="5">#REF!</definedName>
    <definedName name="TE">#REF!</definedName>
    <definedName name="TECLA" localSheetId="5">#REF!</definedName>
    <definedName name="TECLA">#REF!</definedName>
    <definedName name="Tendência_Obra_Controladoria" localSheetId="5">#REF!</definedName>
    <definedName name="Tendência_Obra_Controladoria">#REF!</definedName>
    <definedName name="TERRENO" localSheetId="5">#REF!</definedName>
    <definedName name="TERRENO">#REF!</definedName>
    <definedName name="Test" localSheetId="5" hidden="1">{"'Edit'!$A$1:$V$2277"}</definedName>
    <definedName name="Test" hidden="1">{"'Edit'!$A$1:$V$2277"}</definedName>
    <definedName name="TESTANDO" localSheetId="5" hidden="1">{#N/A,#N/A,TRUE,"Quinzena 01 à 15-04-98 "}</definedName>
    <definedName name="TESTANDO" hidden="1">{#N/A,#N/A,TRUE,"Quinzena 01 à 15-04-98 "}</definedName>
    <definedName name="teste" localSheetId="5">#REF!</definedName>
    <definedName name="teste">#REF!</definedName>
    <definedName name="teste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5">#REF!</definedName>
    <definedName name="teste3">#REF!</definedName>
    <definedName name="TESTHKEY" localSheetId="5">#REF!</definedName>
    <definedName name="TESTHKEY">#REF!</definedName>
    <definedName name="teto1" localSheetId="5">#REF!</definedName>
    <definedName name="teto1">#REF!</definedName>
    <definedName name="Teto2" localSheetId="5">#REF!</definedName>
    <definedName name="Teto2">#REF!</definedName>
    <definedName name="tetuytw" localSheetId="5">#REF!</definedName>
    <definedName name="tetuytw">#REF!</definedName>
    <definedName name="TextRefCopyRangeCount" hidden="1">1</definedName>
    <definedName name="thjgsergsr" localSheetId="5" hidden="1">{#N/A,#N/A,FALSE,"Plan1";#N/A,#N/A,FALSE,"Plan2"}</definedName>
    <definedName name="thjgsergsr" hidden="1">{#N/A,#N/A,FALSE,"Plan1";#N/A,#N/A,FALSE,"Plan2"}</definedName>
    <definedName name="THYJ" localSheetId="5" hidden="1">{#N/A,#N/A,FALSE,"Plan1";#N/A,#N/A,FALSE,"Plan2"}</definedName>
    <definedName name="THYJ" hidden="1">{#N/A,#N/A,FALSE,"Plan1";#N/A,#N/A,FALSE,"Plan2"}</definedName>
    <definedName name="tihjgih" localSheetId="5" hidden="1">{#N/A,#N/A,FALSE,"Plan1";#N/A,#N/A,FALSE,"Plan2"}</definedName>
    <definedName name="tihjgih" hidden="1">{#N/A,#N/A,FALSE,"Plan1";#N/A,#N/A,FALSE,"Plan2"}</definedName>
    <definedName name="TIPO_CTT" localSheetId="5">#REF!</definedName>
    <definedName name="TIPO_CTT">#REF!</definedName>
    <definedName name="Tipo_de_Diretoria" localSheetId="5">#REF!</definedName>
    <definedName name="Tipo_de_Diretoria">#REF!</definedName>
    <definedName name="Tipo_de_Gestao" localSheetId="5">#REF!</definedName>
    <definedName name="Tipo_de_Gestao">#REF!</definedName>
    <definedName name="Tipo_de_Padrao" localSheetId="5">#REF!</definedName>
    <definedName name="Tipo_de_Padrao">#REF!</definedName>
    <definedName name="Tipo_de_Regiao" localSheetId="5">#REF!</definedName>
    <definedName name="Tipo_de_Regiao">#REF!</definedName>
    <definedName name="Tipo_de_Segmento" localSheetId="5">#REF!</definedName>
    <definedName name="Tipo_de_Segmento">#REF!</definedName>
    <definedName name="Tipo_de_Status" localSheetId="5">#REF!</definedName>
    <definedName name="Tipo_de_Status">#REF!</definedName>
    <definedName name="Tipo_de_UF" localSheetId="5">#REF!</definedName>
    <definedName name="Tipo_de_UF">#REF!</definedName>
    <definedName name="Tipo_de_Unidade_de_Negocio" localSheetId="5">#REF!</definedName>
    <definedName name="Tipo_de_Unidade_de_Negocio">#REF!</definedName>
    <definedName name="Tipo_do_cliente" localSheetId="5">#REF!</definedName>
    <definedName name="Tipo_do_cliente">#REF!</definedName>
    <definedName name="tipo_subtotal" localSheetId="5">#REF!</definedName>
    <definedName name="tipo_subtotal">#REF!</definedName>
    <definedName name="tipobloco" localSheetId="5">#REF!</definedName>
    <definedName name="tipobloco">#REF!</definedName>
    <definedName name="titbeb" localSheetId="5">#REF!</definedName>
    <definedName name="titbeb">#REF!</definedName>
    <definedName name="TITCHAF" localSheetId="5">#REF!</definedName>
    <definedName name="TITCHAF">#REF!</definedName>
    <definedName name="TituloMkt" localSheetId="5">#REF!</definedName>
    <definedName name="TituloMkt">#REF!</definedName>
    <definedName name="titulos" localSheetId="12">#REF!</definedName>
    <definedName name="titulos">#REF!</definedName>
    <definedName name="_xlnm.Print_Titles" localSheetId="15">'Acabamentos de Piso e Parede'!$7:$11</definedName>
    <definedName name="_xlnm.Print_Titles" localSheetId="7">ALVENARIA!$2:$2</definedName>
    <definedName name="_xlnm.Print_Titles" localSheetId="12">#REF!</definedName>
    <definedName name="_xlnm.Print_Titles" localSheetId="18">COBERTURA!#REF!</definedName>
    <definedName name="_xlnm.Print_Titles" localSheetId="20">COMPLEMENTARES!#REF!</definedName>
    <definedName name="_xlnm.Print_Titles" localSheetId="3">CONTENÇÕES!$2:$2</definedName>
    <definedName name="_xlnm.Print_Titles" localSheetId="5">'CONTENÇÕES (2)'!$2:$2</definedName>
    <definedName name="_xlnm.Print_Titles" localSheetId="0">DADOS_INICIAIS!$1:$6</definedName>
    <definedName name="_xlnm.Print_Titles" localSheetId="17">ESQUADRIAS!$2:$2</definedName>
    <definedName name="_xlnm.Print_Titles" localSheetId="11">IMPERMEABILIZAÇÃO!$2:$2</definedName>
    <definedName name="_xlnm.Print_Titles" localSheetId="4">INFRAESTRUTURA!$2:$2</definedName>
    <definedName name="_xlnm.Print_Titles" localSheetId="8">INSTALAÇÕES!#REF!</definedName>
    <definedName name="_xlnm.Print_Titles" localSheetId="2">MOVIMENTAÇÃO_DE_TERRA!#REF!</definedName>
    <definedName name="_xlnm.Print_Titles" localSheetId="16">'PINTURA INTERNA'!$2:$2</definedName>
    <definedName name="_xlnm.Print_Titles" localSheetId="19">'Rev. Fachada'!$7:$11</definedName>
    <definedName name="_xlnm.Print_Titles" localSheetId="13">'Rev. Internos Piso e Parede'!$7:$11</definedName>
    <definedName name="_xlnm.Print_Titles" localSheetId="9">'SISTEMAS ESPECIAIS 3'!#REF!</definedName>
    <definedName name="_xlnm.Print_Titles" localSheetId="10">'SISTEMAS ESPECIAIS 4'!#REF!</definedName>
    <definedName name="_xlnm.Print_Titles" localSheetId="6">SUPRAESTRUTURA!$2:$2</definedName>
    <definedName name="_xlnm.Print_Titles" localSheetId="14">TETO!$2:$2</definedName>
    <definedName name="_xlnm.Print_Titles">#REF!</definedName>
    <definedName name="Títulos_impressão_IM" localSheetId="5">#REF!</definedName>
    <definedName name="Títulos_impressão_IM">#REF!</definedName>
    <definedName name="TMO" localSheetId="5">#REF!</definedName>
    <definedName name="TMO">#REF!</definedName>
    <definedName name="TOLTAL2" localSheetId="5">#REF!</definedName>
    <definedName name="TOLTAL2">#REF!</definedName>
    <definedName name="TOT" localSheetId="12">#REF!</definedName>
    <definedName name="TOT" localSheetId="18">#REF!</definedName>
    <definedName name="TOT" localSheetId="20">#REF!</definedName>
    <definedName name="TOT" localSheetId="0">#REF!</definedName>
    <definedName name="TOT" localSheetId="8">#REF!</definedName>
    <definedName name="TOT" localSheetId="2">#REF!</definedName>
    <definedName name="TOT" localSheetId="9">#REF!</definedName>
    <definedName name="TOT" localSheetId="10">#REF!</definedName>
    <definedName name="TOT">#REF!</definedName>
    <definedName name="tot3estac" localSheetId="5">#REF!</definedName>
    <definedName name="tot3estac">#REF!</definedName>
    <definedName name="TOTAIS" localSheetId="5">#REF!</definedName>
    <definedName name="TOTAIS">#REF!</definedName>
    <definedName name="Total" localSheetId="12">#REF!</definedName>
    <definedName name="Total" localSheetId="0">#REF!</definedName>
    <definedName name="Total">#REF!</definedName>
    <definedName name="Total_2016_Rel_Controladoria" localSheetId="5">#REF!</definedName>
    <definedName name="Total_2016_Rel_Controladoria">#REF!</definedName>
    <definedName name="Total_Parcelas_MAP" localSheetId="5">#REF!</definedName>
    <definedName name="Total_Parcelas_MAP">#REF!</definedName>
    <definedName name="total_unid" localSheetId="5">#REF!</definedName>
    <definedName name="total_unid">#REF!</definedName>
    <definedName name="TOTAL1" localSheetId="5">#REF!</definedName>
    <definedName name="TOTAL1">#REF!</definedName>
    <definedName name="TOTAL10" localSheetId="5">#REF!</definedName>
    <definedName name="TOTAL10">#REF!</definedName>
    <definedName name="TOTAL11" localSheetId="5">#REF!</definedName>
    <definedName name="TOTAL11">#REF!</definedName>
    <definedName name="TOTAL12" localSheetId="5">#REF!</definedName>
    <definedName name="TOTAL12">#REF!</definedName>
    <definedName name="TOTAL13" localSheetId="5">#REF!</definedName>
    <definedName name="TOTAL13">#REF!</definedName>
    <definedName name="TOTAL14" localSheetId="5">#REF!</definedName>
    <definedName name="TOTAL14">#REF!</definedName>
    <definedName name="TOTAL15" localSheetId="5">#REF!</definedName>
    <definedName name="TOTAL15">#REF!</definedName>
    <definedName name="TOTAL16" localSheetId="5">#REF!</definedName>
    <definedName name="TOTAL16">#REF!</definedName>
    <definedName name="TOTAL2" localSheetId="5">#REF!</definedName>
    <definedName name="TOTAL2">#REF!</definedName>
    <definedName name="TOTAL3" localSheetId="5">#REF!</definedName>
    <definedName name="TOTAL3">#REF!</definedName>
    <definedName name="TOTAL4" localSheetId="5">#REF!</definedName>
    <definedName name="TOTAL4">#REF!</definedName>
    <definedName name="TOTAL5" localSheetId="5">#REF!</definedName>
    <definedName name="TOTAL5">#REF!</definedName>
    <definedName name="TOTAL6" localSheetId="5">#REF!</definedName>
    <definedName name="TOTAL6">#REF!</definedName>
    <definedName name="TOTAL7" localSheetId="5">#REF!</definedName>
    <definedName name="TOTAL7">#REF!</definedName>
    <definedName name="TOTAL8" localSheetId="5">#REF!</definedName>
    <definedName name="TOTAL8">#REF!</definedName>
    <definedName name="TOTAL9" localSheetId="5">#REF!</definedName>
    <definedName name="TOTAL9">#REF!</definedName>
    <definedName name="TOTALITEM" localSheetId="5">#REF!</definedName>
    <definedName name="TOTALITEM">#REF!</definedName>
    <definedName name="totbase" localSheetId="5">#REF!</definedName>
    <definedName name="totbase">#REF!</definedName>
    <definedName name="totestaca" localSheetId="5">#REF!</definedName>
    <definedName name="totestaca">#REF!</definedName>
    <definedName name="TOTG" localSheetId="5">OFFSET(#REF!,0,0,COUNTA(#REF!),1)</definedName>
    <definedName name="TOTG">OFFSET(#REF!,0,0,COUNTA(#REF!),1)</definedName>
    <definedName name="totperfura" localSheetId="5">#REF!</definedName>
    <definedName name="totperfura">#REF!</definedName>
    <definedName name="TOTQTS" localSheetId="5">#REF!</definedName>
    <definedName name="TOTQTS">#REF!</definedName>
    <definedName name="TOTT" localSheetId="5">OFFSET(#REF!,0,0,COUNTA(#REF!)+1,1)</definedName>
    <definedName name="TOTT">OFFSET(#REF!,0,0,COUNTA(#REF!)+1,1)</definedName>
    <definedName name="TR" localSheetId="5">#REF!</definedName>
    <definedName name="TR">#REF!</definedName>
    <definedName name="Transferencia1" localSheetId="5">#REF!</definedName>
    <definedName name="Transferencia1">#REF!</definedName>
    <definedName name="TRES" localSheetId="5">#REF!</definedName>
    <definedName name="TRES">#REF!</definedName>
    <definedName name="TREZE" localSheetId="5">#REF!</definedName>
    <definedName name="TREZE">#REF!</definedName>
    <definedName name="tri" localSheetId="5">#REF!</definedName>
    <definedName name="tri">#REF!</definedName>
    <definedName name="Trimestre_data_base" localSheetId="5">#REF!</definedName>
    <definedName name="Trimestre_data_base">#REF!</definedName>
    <definedName name="trjyidih" localSheetId="5" hidden="1">{#N/A,#N/A,FALSE,"Plan1";#N/A,#N/A,FALSE,"Plan2"}</definedName>
    <definedName name="trjyidih" hidden="1">{#N/A,#N/A,FALSE,"Plan1";#N/A,#N/A,FALSE,"Plan2"}</definedName>
    <definedName name="TRP" localSheetId="12">#REF!</definedName>
    <definedName name="TRP" localSheetId="5">#REF!</definedName>
    <definedName name="TRP">#REF!</definedName>
    <definedName name="TTT" localSheetId="5">#REF!</definedName>
    <definedName name="TTT">#REF!</definedName>
    <definedName name="TURNO" localSheetId="5">#REF!</definedName>
    <definedName name="TURNO">#REF!</definedName>
    <definedName name="tuyedjsksj" localSheetId="5" hidden="1">{#N/A,#N/A,FALSE,"Plan1";#N/A,#N/A,FALSE,"Plan2"}</definedName>
    <definedName name="tuyedjsksj" hidden="1">{#N/A,#N/A,FALSE,"Plan1";#N/A,#N/A,FALSE,"Plan2"}</definedName>
    <definedName name="TX_ADM" localSheetId="5">#REF!</definedName>
    <definedName name="TX_ADM">#REF!</definedName>
    <definedName name="tx_desconto_real" localSheetId="5">#REF!</definedName>
    <definedName name="tx_desconto_real">#REF!</definedName>
    <definedName name="TxAplicMes" localSheetId="5">#REF!</definedName>
    <definedName name="TxAplicMes">#REF!</definedName>
    <definedName name="TxCdiMes" localSheetId="5">#REF!</definedName>
    <definedName name="TxCdiMes">#REF!</definedName>
    <definedName name="TxDescMes" localSheetId="5">#REF!</definedName>
    <definedName name="TxDescMes">#REF!</definedName>
    <definedName name="TxSecuritizacaoMes" localSheetId="5">#REF!</definedName>
    <definedName name="TxSecuritizacaoMes">#REF!</definedName>
    <definedName name="TxSfhEco" localSheetId="5">#REF!</definedName>
    <definedName name="TxSfhEco">#REF!</definedName>
    <definedName name="TxSfhMap" localSheetId="5">#REF!</definedName>
    <definedName name="TxSfhMap">#REF!</definedName>
    <definedName name="TXTEQUIP" localSheetId="5">#REF!</definedName>
    <definedName name="TXTEQUIP">#REF!</definedName>
    <definedName name="TXTMARCA" localSheetId="5">#REF!</definedName>
    <definedName name="TXTMARCA">#REF!</definedName>
    <definedName name="TXTMOD" localSheetId="5">#REF!</definedName>
    <definedName name="TXTMOD">#REF!</definedName>
    <definedName name="TXTPOT" localSheetId="5">#REF!</definedName>
    <definedName name="TXTPOT">#REF!</definedName>
    <definedName name="TYHGFHFHG" localSheetId="5" hidden="1">{#N/A,#N/A,FALSE,"Plan1";#N/A,#N/A,FALSE,"Plan2"}</definedName>
    <definedName name="TYHGFHFHG" hidden="1">{#N/A,#N/A,FALSE,"Plan1";#N/A,#N/A,FALSE,"Plan2"}</definedName>
    <definedName name="u" localSheetId="12" hidden="1">{#N/A,#N/A,FALSE,"ET-CAPA";#N/A,#N/A,FALSE,"ET-PAG1";#N/A,#N/A,FALSE,"ET-PAG2";#N/A,#N/A,FALSE,"ET-PAG3";#N/A,#N/A,FALSE,"ET-PAG4";#N/A,#N/A,FALSE,"ET-PAG5"}</definedName>
    <definedName name="u" localSheetId="18" hidden="1">{#N/A,#N/A,FALSE,"ET-CAPA";#N/A,#N/A,FALSE,"ET-PAG1";#N/A,#N/A,FALSE,"ET-PAG2";#N/A,#N/A,FALSE,"ET-PAG3";#N/A,#N/A,FALSE,"ET-PAG4";#N/A,#N/A,FALSE,"ET-PAG5"}</definedName>
    <definedName name="u" localSheetId="20" hidden="1">{#N/A,#N/A,FALSE,"ET-CAPA";#N/A,#N/A,FALSE,"ET-PAG1";#N/A,#N/A,FALSE,"ET-PAG2";#N/A,#N/A,FALSE,"ET-PAG3";#N/A,#N/A,FALSE,"ET-PAG4";#N/A,#N/A,FALSE,"ET-PAG5"}</definedName>
    <definedName name="u" localSheetId="5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9" hidden="1">{#N/A,#N/A,FALSE,"ET-CAPA";#N/A,#N/A,FALSE,"ET-PAG1";#N/A,#N/A,FALSE,"ET-PAG2";#N/A,#N/A,FALSE,"ET-PAG3";#N/A,#N/A,FALSE,"ET-PAG4";#N/A,#N/A,FALSE,"ET-PAG5"}</definedName>
    <definedName name="u" localSheetId="1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5" hidden="1">{#N/A,#N/A,FALSE,"Plan1";#N/A,#N/A,FALSE,"Plan2"}</definedName>
    <definedName name="udhgfhfg" hidden="1">{#N/A,#N/A,FALSE,"Plan1";#N/A,#N/A,FALSE,"Plan2"}</definedName>
    <definedName name="ueiutriuef" localSheetId="5" hidden="1">{#N/A,#N/A,FALSE,"Plan1";#N/A,#N/A,FALSE,"Plan2"}</definedName>
    <definedName name="ueiutriuef" hidden="1">{#N/A,#N/A,FALSE,"Plan1";#N/A,#N/A,FALSE,"Plan2"}</definedName>
    <definedName name="UENSIT" localSheetId="5">#REF!</definedName>
    <definedName name="UENSIT">#REF!</definedName>
    <definedName name="UENSITS" localSheetId="5">#REF!</definedName>
    <definedName name="UENSITS">#REF!</definedName>
    <definedName name="UHGSDUS" localSheetId="5" hidden="1">{#N/A,#N/A,FALSE,"Plan1";#N/A,#N/A,FALSE,"Plan2"}</definedName>
    <definedName name="UHGSDUS" hidden="1">{#N/A,#N/A,FALSE,"Plan1";#N/A,#N/A,FALSE,"Plan2"}</definedName>
    <definedName name="UI" localSheetId="5" hidden="1">#REF!</definedName>
    <definedName name="UI" hidden="1">#REF!</definedName>
    <definedName name="UIHWER45R" localSheetId="5" hidden="1">{#N/A,#N/A,FALSE,"Plan1";#N/A,#N/A,FALSE,"Plan2"}</definedName>
    <definedName name="UIHWER45R" hidden="1">{#N/A,#N/A,FALSE,"Plan1";#N/A,#N/A,FALSE,"Plan2"}</definedName>
    <definedName name="uiosderuiu" localSheetId="5" hidden="1">{#N/A,#N/A,FALSE,"Plan1";#N/A,#N/A,FALSE,"Plan2"}</definedName>
    <definedName name="uiosderuiu" hidden="1">{#N/A,#N/A,FALSE,"Plan1";#N/A,#N/A,FALSE,"Plan2"}</definedName>
    <definedName name="UIOURET" localSheetId="5" hidden="1">{#N/A,#N/A,FALSE,"Plan1";#N/A,#N/A,FALSE,"Plan2"}</definedName>
    <definedName name="UIOURET" hidden="1">{#N/A,#N/A,FALSE,"Plan1";#N/A,#N/A,FALSE,"Plan2"}</definedName>
    <definedName name="uiwuer" localSheetId="5" hidden="1">{#N/A,#N/A,FALSE,"Plan1";#N/A,#N/A,FALSE,"Plan2"}</definedName>
    <definedName name="uiwuer" hidden="1">{#N/A,#N/A,FALSE,"Plan1";#N/A,#N/A,FALSE,"Plan2"}</definedName>
    <definedName name="UKHDFDSGUDFKD" localSheetId="5" hidden="1">{#N/A,#N/A,FALSE,"Plan1";#N/A,#N/A,FALSE,"Plan2"}</definedName>
    <definedName name="UKHDFDSGUDFKD" hidden="1">{#N/A,#N/A,FALSE,"Plan1";#N/A,#N/A,FALSE,"Plan2"}</definedName>
    <definedName name="UM" localSheetId="5">#REF!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5">OFFSET(#REF!,0,0,COUNTA(#REF!),1)</definedName>
    <definedName name="UNID">OFFSET(#REF!,0,0,COUNTA(#REF!),1)</definedName>
    <definedName name="uni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5">#REF!</definedName>
    <definedName name="univ_cdi">#REF!</definedName>
    <definedName name="univ_hist" localSheetId="5">#REF!</definedName>
    <definedName name="univ_hist">#REF!</definedName>
    <definedName name="univ_uss" localSheetId="5">#REF!</definedName>
    <definedName name="univ_uss">#REF!</definedName>
    <definedName name="UPS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5" hidden="1">{#N/A,#N/A,FALSE,"Plan1";#N/A,#N/A,FALSE,"Plan2"}</definedName>
    <definedName name="uryrtyt" hidden="1">{#N/A,#N/A,FALSE,"Plan1";#N/A,#N/A,FALSE,"Plan2"}</definedName>
    <definedName name="V" localSheetId="5">#REF!</definedName>
    <definedName name="V">#REF!</definedName>
    <definedName name="VALIDADE_EXECUÇÃO" localSheetId="5">#REF!</definedName>
    <definedName name="VALIDADE_EXECUÇÃO">#REF!</definedName>
    <definedName name="Valor_PLS_Controladoria" localSheetId="5">#REF!</definedName>
    <definedName name="Valor_PLS_Controladoria">#REF!</definedName>
    <definedName name="Valor_Previsto_Fin_Medições" localSheetId="5">#REF!</definedName>
    <definedName name="Valor_Previsto_Fin_Medições">#REF!</definedName>
    <definedName name="VALOR_REAIS" localSheetId="5">#REF!</definedName>
    <definedName name="VALOR_REAIS">#REF!</definedName>
    <definedName name="Valor_Recebido_Fin_Medições" localSheetId="5">#REF!</definedName>
    <definedName name="Valor_Recebido_Fin_Medições">#REF!</definedName>
    <definedName name="Valor_Sienge" localSheetId="5">#REF!</definedName>
    <definedName name="Valor_Sienge">#REF!</definedName>
    <definedName name="VALOR_VENDA" localSheetId="5">#REF!</definedName>
    <definedName name="VALOR_VENDA">#REF!</definedName>
    <definedName name="valores_diferidos" localSheetId="5">#REF!</definedName>
    <definedName name="valores_diferidos">#REF!</definedName>
    <definedName name="valv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5">#REF!</definedName>
    <definedName name="VAOS">#REF!</definedName>
    <definedName name="vdsgfrhgfr" localSheetId="5" hidden="1">{#N/A,#N/A,FALSE,"Plan1";#N/A,#N/A,FALSE,"Plan2"}</definedName>
    <definedName name="vdsgfrhgfr" hidden="1">{#N/A,#N/A,FALSE,"Plan1";#N/A,#N/A,FALSE,"Plan2"}</definedName>
    <definedName name="Veiculos" localSheetId="5">#REF!</definedName>
    <definedName name="Veiculos">#REF!</definedName>
    <definedName name="VENDA_ADOTADA" localSheetId="5">#REF!</definedName>
    <definedName name="VENDA_ADOTADA">#REF!</definedName>
    <definedName name="VENDAFINAL_R" localSheetId="5">#REF!</definedName>
    <definedName name="VENDAFINAL_R">#REF!</definedName>
    <definedName name="VENDAFINAL_U" localSheetId="5">#REF!</definedName>
    <definedName name="VENDAFINAL_U">#REF!</definedName>
    <definedName name="Vendas" localSheetId="5">#REF!</definedName>
    <definedName name="Vendas">#REF!</definedName>
    <definedName name="vendas_" localSheetId="5">#REF!</definedName>
    <definedName name="vendas_">#REF!</definedName>
    <definedName name="VERIFICAR" localSheetId="5" hidden="1">{#N/A,#N/A,TRUE,"Quinzena 01 à 15-04-98 "}</definedName>
    <definedName name="VERIFICAR" hidden="1">{#N/A,#N/A,TRUE,"Quinzena 01 à 15-04-98 "}</definedName>
    <definedName name="versao_estudo" localSheetId="5">#REF!</definedName>
    <definedName name="versao_estudo">#REF!</definedName>
    <definedName name="vfbg" localSheetId="5">#REF!</definedName>
    <definedName name="vfbg">#REF!</definedName>
    <definedName name="vfnijf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5" hidden="1">{#N/A,#N/A,FALSE,"Plan1";#N/A,#N/A,FALSE,"Plan2"}</definedName>
    <definedName name="VFV" hidden="1">{#N/A,#N/A,FALSE,"Plan1";#N/A,#N/A,FALSE,"Plan2"}</definedName>
    <definedName name="VI" localSheetId="5">#REF!</definedName>
    <definedName name="VI">#REF!</definedName>
    <definedName name="VINTE" localSheetId="5">#REF!</definedName>
    <definedName name="VINTE">#REF!</definedName>
    <definedName name="visao_cashflow" localSheetId="5">#REF!</definedName>
    <definedName name="visao_cashflow">#REF!</definedName>
    <definedName name="visao_VL" localSheetId="5">#REF!</definedName>
    <definedName name="visao_VL">#REF!</definedName>
    <definedName name="vl_cd" localSheetId="5">#REF!</definedName>
    <definedName name="vl_cd">#REF!</definedName>
    <definedName name="vl_k1" localSheetId="5">#REF!</definedName>
    <definedName name="vl_k1">#REF!</definedName>
    <definedName name="vl_k2" localSheetId="5">#REF!</definedName>
    <definedName name="vl_k2">#REF!</definedName>
    <definedName name="vl_k3" localSheetId="5">#REF!</definedName>
    <definedName name="vl_k3">#REF!</definedName>
    <definedName name="vld_classificacao" localSheetId="5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5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5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5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5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5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5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5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5">#REF!</definedName>
    <definedName name="VOLUME1">#REF!</definedName>
    <definedName name="VOLUME2" localSheetId="5">#REF!</definedName>
    <definedName name="VOLUME2">#REF!</definedName>
    <definedName name="VOLUME3" localSheetId="5">#REF!</definedName>
    <definedName name="VOLUME3">#REF!</definedName>
    <definedName name="VSDHFGDFGR" localSheetId="5" hidden="1">{#N/A,#N/A,FALSE,"Plan1";#N/A,#N/A,FALSE,"Plan2"}</definedName>
    <definedName name="VSDHFGDFGR" hidden="1">{#N/A,#N/A,FALSE,"Plan1";#N/A,#N/A,FALSE,"Plan2"}</definedName>
    <definedName name="vvbb" localSheetId="5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5" hidden="1">{#N/A,#N/A,FALSE,"Plan1";#N/A,#N/A,FALSE,"Plan2"}</definedName>
    <definedName name="vvcbnb" hidden="1">{#N/A,#N/A,FALSE,"Plan1";#N/A,#N/A,FALSE,"Plan2"}</definedName>
    <definedName name="vvvvv" localSheetId="5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5" hidden="1">{#N/A,#N/A,FALSE,"Plan1";#N/A,#N/A,FALSE,"Plan2"}</definedName>
    <definedName name="vvvvvv" hidden="1">{#N/A,#N/A,FALSE,"Plan1";#N/A,#N/A,FALSE,"Plan2"}</definedName>
    <definedName name="vvvvvvvvvvvvvvvvv" localSheetId="5" hidden="1">{"HW",#N/A,FALSE,"1998"}</definedName>
    <definedName name="vvvvvvvvvvvvvvvvv" hidden="1">{"HW",#N/A,FALSE,"1998"}</definedName>
    <definedName name="VX" localSheetId="5" hidden="1">#REF!</definedName>
    <definedName name="VX" hidden="1">#REF!</definedName>
    <definedName name="w" localSheetId="5">#REF!</definedName>
    <definedName name="w">#REF!</definedName>
    <definedName name="wacc" localSheetId="5">#REF!</definedName>
    <definedName name="wacc">#REF!</definedName>
    <definedName name="wadalrdjlaev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5" hidden="1">#REF!</definedName>
    <definedName name="wdewr" hidden="1">#REF!</definedName>
    <definedName name="WE" localSheetId="5" hidden="1">#REF!</definedName>
    <definedName name="WE" hidden="1">#REF!</definedName>
    <definedName name="weki_9701.xls" localSheetId="5" hidden="1">#REF!</definedName>
    <definedName name="weki_9701.xls" hidden="1">#REF!</definedName>
    <definedName name="wekir9701.xls" localSheetId="5" hidden="1">#REF!</definedName>
    <definedName name="wekir9701.xls" hidden="1">#REF!</definedName>
    <definedName name="werw4tr" localSheetId="5" hidden="1">{#N/A,#N/A,FALSE,"Plan1";#N/A,#N/A,FALSE,"Plan2"}</definedName>
    <definedName name="werw4tr" hidden="1">{#N/A,#N/A,FALSE,"Plan1";#N/A,#N/A,FALSE,"Plan2"}</definedName>
    <definedName name="wetoedjtkdr" localSheetId="5" hidden="1">{#N/A,#N/A,FALSE,"Plan1";#N/A,#N/A,FALSE,"Plan2"}</definedName>
    <definedName name="wetoedjtkdr" hidden="1">{#N/A,#N/A,FALSE,"Plan1";#N/A,#N/A,FALSE,"Plan2"}</definedName>
    <definedName name="WHATS" localSheetId="5" hidden="1">{"'Edit'!$A$1:$V$2277"}</definedName>
    <definedName name="WHATS" hidden="1">{"'Edit'!$A$1:$V$2277"}</definedName>
    <definedName name="win.VESSEL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5">#REF!</definedName>
    <definedName name="WITENS">#REF!</definedName>
    <definedName name="WKJHIR" localSheetId="5" hidden="1">{#N/A,#N/A,FALSE,"Plan1";#N/A,#N/A,FALSE,"Plan2"}</definedName>
    <definedName name="WKJHIR" hidden="1">{#N/A,#N/A,FALSE,"Plan1";#N/A,#N/A,FALSE,"Plan2"}</definedName>
    <definedName name="WLQ" localSheetId="5" hidden="1">{#N/A,#N/A,FALSE,"명세표"}</definedName>
    <definedName name="WLQ" hidden="1">{#N/A,#N/A,FALSE,"명세표"}</definedName>
    <definedName name="WNMLOCAL" localSheetId="5">#REF!</definedName>
    <definedName name="WNMLOCAL">#REF!</definedName>
    <definedName name="WNMMUN" localSheetId="5">#REF!</definedName>
    <definedName name="WNMMUN">#REF!</definedName>
    <definedName name="WNMSERV" localSheetId="5">#REF!</definedName>
    <definedName name="WNMSERV">#REF!</definedName>
    <definedName name="worl_cdi" localSheetId="5">#REF!</definedName>
    <definedName name="worl_cdi">#REF!</definedName>
    <definedName name="worl_hist" localSheetId="5">#REF!</definedName>
    <definedName name="worl_hist">#REF!</definedName>
    <definedName name="worl_uss" localSheetId="5">#REF!</definedName>
    <definedName name="worl_uss">#REF!</definedName>
    <definedName name="WRITE" localSheetId="5" hidden="1">{#N/A,#N/A,FALSE,"CCTV"}</definedName>
    <definedName name="WRITE" hidden="1">{#N/A,#N/A,FALSE,"CCTV"}</definedName>
    <definedName name="wrn.BM." localSheetId="5" hidden="1">{#N/A,#N/A,FALSE,"CCTV"}</definedName>
    <definedName name="wrn.BM." hidden="1">{#N/A,#N/A,FALSE,"CCTV"}</definedName>
    <definedName name="wrn.Brita98.xls." localSheetId="5" hidden="1">{#N/A,#N/A,TRUE,"Quinzena 01 à 15-04-98 "}</definedName>
    <definedName name="wrn.Brita98.xls." hidden="1">{#N/A,#N/A,TRUE,"Quinzena 01 à 15-04-98 "}</definedName>
    <definedName name="wrn.Completo." localSheetId="5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5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5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20" hidden="1">{#N/A,#N/A,FALSE,"ET-CAPA";#N/A,#N/A,FALSE,"ET-PAG1";#N/A,#N/A,FALSE,"ET-PAG2";#N/A,#N/A,FALSE,"ET-PAG3";#N/A,#N/A,FALSE,"ET-PAG4";#N/A,#N/A,FALSE,"ET-PAG5"}</definedName>
    <definedName name="wrn.GERAL." localSheetId="5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1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5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5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5" hidden="1">{"HW",#N/A,FALSE,"1998"}</definedName>
    <definedName name="wrn.HW." hidden="1">{"HW",#N/A,FALSE,"1998"}</definedName>
    <definedName name="wrn.imp_flx." localSheetId="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5" hidden="1">{#N/A,#N/A,FALSE,"Plan1";#N/A,#N/A,FALSE,"Plan2"}</definedName>
    <definedName name="wrn.IMPRESSO." hidden="1">{#N/A,#N/A,FALSE,"Plan1";#N/A,#N/A,FALSE,"Plan2"}</definedName>
    <definedName name="wrn.Imprimir." localSheetId="5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5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5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5" hidden="1">{#N/A,#N/A,FALSE,"F-01"}</definedName>
    <definedName name="wrn.Planiha._.de._.Medição._.F._.01." hidden="1">{#N/A,#N/A,FALSE,"F-01"}</definedName>
    <definedName name="wrn.Planiha._.de._.Medição._.F._.01._1" localSheetId="5" hidden="1">{#N/A,#N/A,FALSE,"F-01"}</definedName>
    <definedName name="wrn.Planiha._.de._.Medição._.F._.01._1" hidden="1">{#N/A,#N/A,FALSE,"F-01"}</definedName>
    <definedName name="wrn.Planilha_de_Medição_F_02" localSheetId="5" hidden="1">{#N/A,#N/A,FALSE,"F-01"}</definedName>
    <definedName name="wrn.Planilha_de_Medição_F_02" hidden="1">{#N/A,#N/A,FALSE,"F-01"}</definedName>
    <definedName name="wrn.print._.all." localSheetId="5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5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5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5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5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5" hidden="1">{#N/A,#N/A,FALSE,"TABLE"}</definedName>
    <definedName name="wrn.STAFFS." hidden="1">{#N/A,#N/A,FALSE,"TABLE"}</definedName>
    <definedName name="wrn.TERCEIRO." localSheetId="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5" hidden="1">{#N/A,#N/A,FALSE,"명세표"}</definedName>
    <definedName name="wrn.test1." hidden="1">{#N/A,#N/A,FALSE,"명세표"}</definedName>
    <definedName name="wrn.Unidades." localSheetId="5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5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5" hidden="1">{#N/A,#N/A,FALSE,"ENG'G(보호계전기)"}</definedName>
    <definedName name="wrn.보호계전기." hidden="1">{#N/A,#N/A,FALSE,"ENG'G(보호계전기)"}</definedName>
    <definedName name="wrn.현장._.NCR._.분석." localSheetId="5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5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5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5" hidden="1">{"'장비'!$A$3:$M$12"}</definedName>
    <definedName name="WRS" hidden="1">{"'장비'!$A$3:$M$12"}</definedName>
    <definedName name="wrt" localSheetId="5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5">#REF!</definedName>
    <definedName name="X">#REF!</definedName>
    <definedName name="XALFA" localSheetId="5">#REF!</definedName>
    <definedName name="XALFA">#REF!</definedName>
    <definedName name="XC" localSheetId="5">#REF!</definedName>
    <definedName name="XC">#REF!</definedName>
    <definedName name="xcfrt" localSheetId="5" hidden="1">{#N/A,#N/A,FALSE,"Plan1";#N/A,#N/A,FALSE,"Plan2"}</definedName>
    <definedName name="xcfrt" hidden="1">{#N/A,#N/A,FALSE,"Plan1";#N/A,#N/A,FALSE,"Plan2"}</definedName>
    <definedName name="xcgjkfghf" localSheetId="5" hidden="1">{#N/A,#N/A,FALSE,"Plan1";#N/A,#N/A,FALSE,"Plan2"}</definedName>
    <definedName name="xcgjkfghf" hidden="1">{#N/A,#N/A,FALSE,"Plan1";#N/A,#N/A,FALSE,"Plan2"}</definedName>
    <definedName name="XCGJKVHFDG" localSheetId="5" hidden="1">{#N/A,#N/A,FALSE,"Plan1";#N/A,#N/A,FALSE,"Plan2"}</definedName>
    <definedName name="XCGJKVHFDG" hidden="1">{#N/A,#N/A,FALSE,"Plan1";#N/A,#N/A,FALSE,"Plan2"}</definedName>
    <definedName name="xcgtrty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5">#REF!</definedName>
    <definedName name="XCI">#REF!</definedName>
    <definedName name="XCII" localSheetId="5">#REF!</definedName>
    <definedName name="XCII">#REF!</definedName>
    <definedName name="XCIII" localSheetId="5">#REF!</definedName>
    <definedName name="XCIII">#REF!</definedName>
    <definedName name="XCIV" localSheetId="5">#REF!</definedName>
    <definedName name="XCIV">#REF!</definedName>
    <definedName name="XCIX" localSheetId="5">#REF!</definedName>
    <definedName name="XCIX">#REF!</definedName>
    <definedName name="xçl" localSheetId="5" hidden="1">{#N/A,#N/A,FALSE,"Plan1";#N/A,#N/A,FALSE,"Plan2"}</definedName>
    <definedName name="xçl" hidden="1">{#N/A,#N/A,FALSE,"Plan1";#N/A,#N/A,FALSE,"Plan2"}</definedName>
    <definedName name="xcndj" localSheetId="5" hidden="1">{#N/A,#N/A,FALSE,"Plan1";#N/A,#N/A,FALSE,"Plan2"}</definedName>
    <definedName name="xcndj" hidden="1">{#N/A,#N/A,FALSE,"Plan1";#N/A,#N/A,FALSE,"Plan2"}</definedName>
    <definedName name="XCV" localSheetId="5">#REF!</definedName>
    <definedName name="XCV">#REF!</definedName>
    <definedName name="XCVGGT" localSheetId="5" hidden="1">{#N/A,#N/A,FALSE,"Plan1";#N/A,#N/A,FALSE,"Plan2"}</definedName>
    <definedName name="XCVGGT" hidden="1">{#N/A,#N/A,FALSE,"Plan1";#N/A,#N/A,FALSE,"Plan2"}</definedName>
    <definedName name="XCVI" localSheetId="5">#REF!</definedName>
    <definedName name="XCVI">#REF!</definedName>
    <definedName name="XCVII" localSheetId="5">#REF!</definedName>
    <definedName name="XCVII">#REF!</definedName>
    <definedName name="XCVIII" localSheetId="5">#REF!</definedName>
    <definedName name="XCVIII">#REF!</definedName>
    <definedName name="xcvrg" localSheetId="5" hidden="1">{#N/A,#N/A,FALSE,"Plan1";#N/A,#N/A,FALSE,"Plan2"}</definedName>
    <definedName name="xcvrg" hidden="1">{#N/A,#N/A,FALSE,"Plan1";#N/A,#N/A,FALSE,"Plan2"}</definedName>
    <definedName name="XDATA" localSheetId="5">#REF!</definedName>
    <definedName name="XDATA">#REF!</definedName>
    <definedName name="xdfe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5" hidden="1">{#N/A,#N/A,FALSE,"Plan1";#N/A,#N/A,FALSE,"Plan2"}</definedName>
    <definedName name="xdgtyhyt" hidden="1">{#N/A,#N/A,FALSE,"Plan1";#N/A,#N/A,FALSE,"Plan2"}</definedName>
    <definedName name="xfdlfj" localSheetId="5" hidden="1">{#N/A,#N/A,FALSE,"Plan1";#N/A,#N/A,FALSE,"Plan2"}</definedName>
    <definedName name="xfdlfj" hidden="1">{#N/A,#N/A,FALSE,"Plan1";#N/A,#N/A,FALSE,"Plan2"}</definedName>
    <definedName name="xfdxfdf" localSheetId="5" hidden="1">{#N/A,#N/A,FALSE,"Plan1";#N/A,#N/A,FALSE,"Plan2"}</definedName>
    <definedName name="xfdxfdf" hidden="1">{#N/A,#N/A,FALSE,"Plan1";#N/A,#N/A,FALSE,"Plan2"}</definedName>
    <definedName name="XFJKLDJKLG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5" hidden="1">{#N/A,#N/A,FALSE,"Plan1";#N/A,#N/A,FALSE,"Plan2"}</definedName>
    <definedName name="xfrty" hidden="1">{#N/A,#N/A,FALSE,"Plan1";#N/A,#N/A,FALSE,"Plan2"}</definedName>
    <definedName name="X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5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5" hidden="1">{#N/A,#N/A,FALSE,"Plan1";#N/A,#N/A,FALSE,"Plan2"}</definedName>
    <definedName name="xfvgcfgt" hidden="1">{#N/A,#N/A,FALSE,"Plan1";#N/A,#N/A,FALSE,"Plan2"}</definedName>
    <definedName name="xgrg" localSheetId="5" hidden="1">{#N/A,#N/A,FALSE,"Plan1";#N/A,#N/A,FALSE,"Plan2"}</definedName>
    <definedName name="xgrg" hidden="1">{#N/A,#N/A,FALSE,"Plan1";#N/A,#N/A,FALSE,"Plan2"}</definedName>
    <definedName name="XI" localSheetId="5">#REF!</definedName>
    <definedName name="XI">#REF!</definedName>
    <definedName name="XII" localSheetId="5">#REF!</definedName>
    <definedName name="XII">#REF!</definedName>
    <definedName name="XIII" localSheetId="5">#REF!</definedName>
    <definedName name="XIII">#REF!</definedName>
    <definedName name="XITEM" localSheetId="5">#REF!</definedName>
    <definedName name="XITEM">#REF!</definedName>
    <definedName name="XIV" localSheetId="5">#REF!</definedName>
    <definedName name="XIV">#REF!</definedName>
    <definedName name="XLOC" localSheetId="5">#REF!</definedName>
    <definedName name="XLOC">#REF!</definedName>
    <definedName name="xmght" localSheetId="5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5">#REF!</definedName>
    <definedName name="xnInforme_quantos_bebedouros____bebqt__if_bebqt__0__xlQt.bebedouros_invalida___ENTER_p_reinformar__xresp__branch_rqtderv">#REF!</definedName>
    <definedName name="XNUCOPIAS" localSheetId="5">#REF!</definedName>
    <definedName name="XNUCOPIAS">#REF!</definedName>
    <definedName name="xo" localSheetId="5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5" hidden="1">#REF!</definedName>
    <definedName name="XREF_COLUMN_1" hidden="1">#REF!</definedName>
    <definedName name="XREF_COLUMN_2" localSheetId="5" hidden="1">#REF!</definedName>
    <definedName name="XREF_COLUMN_2" hidden="1">#REF!</definedName>
    <definedName name="XREF_COLUMN_3" localSheetId="5" hidden="1">#REF!</definedName>
    <definedName name="XREF_COLUMN_3" hidden="1">#REF!</definedName>
    <definedName name="XREF_COLUMN_4" localSheetId="5" hidden="1">#REF!</definedName>
    <definedName name="XREF_COLUMN_4" hidden="1">#REF!</definedName>
    <definedName name="XRefColumnsCount" hidden="1">1</definedName>
    <definedName name="XRefCopy2" localSheetId="5" hidden="1">#REF!</definedName>
    <definedName name="XRefCopy2" hidden="1">#REF!</definedName>
    <definedName name="XRefCopy3Row" localSheetId="5" hidden="1">#REF!</definedName>
    <definedName name="XRefCopy3Row" hidden="1">#REF!</definedName>
    <definedName name="XRefCopy4Row" localSheetId="5" hidden="1">#REF!</definedName>
    <definedName name="XRefCopy4Row" hidden="1">#REF!</definedName>
    <definedName name="XRefCopy6" localSheetId="5" hidden="1">#REF!</definedName>
    <definedName name="XRefCopy6" hidden="1">#REF!</definedName>
    <definedName name="XRefCopyRangeCount" hidden="1">1</definedName>
    <definedName name="XRefPaste2" localSheetId="5" hidden="1">#REF!</definedName>
    <definedName name="XRefPaste2" hidden="1">#REF!</definedName>
    <definedName name="XRefPaste4" localSheetId="5" hidden="1">#REF!</definedName>
    <definedName name="XRefPaste4" hidden="1">#REF!</definedName>
    <definedName name="XRefPaste5" localSheetId="5" hidden="1">#REF!</definedName>
    <definedName name="XRefPaste5" hidden="1">#REF!</definedName>
    <definedName name="XRefPaste6" localSheetId="5" hidden="1">#REF!</definedName>
    <definedName name="XRefPaste6" hidden="1">#REF!</definedName>
    <definedName name="XRefPaste7Row" localSheetId="5" hidden="1">#REF!</definedName>
    <definedName name="XRefPaste7Row" hidden="1">#REF!</definedName>
    <definedName name="XRefPasteRangeCount" hidden="1">1</definedName>
    <definedName name="XRESP" localSheetId="5">#REF!</definedName>
    <definedName name="XRESP">#REF!</definedName>
    <definedName name="XTITRES" localSheetId="5">#REF!</definedName>
    <definedName name="XTITRES">#REF!</definedName>
    <definedName name="XV" localSheetId="5">#REF!</definedName>
    <definedName name="XV">#REF!</definedName>
    <definedName name="XX" localSheetId="5">#REF!</definedName>
    <definedName name="XX">#REF!</definedName>
    <definedName name="XXI" localSheetId="5">#REF!</definedName>
    <definedName name="XXI">#REF!</definedName>
    <definedName name="XXII" localSheetId="5">#REF!</definedName>
    <definedName name="XXII">#REF!</definedName>
    <definedName name="XXIII" localSheetId="5">#REF!</definedName>
    <definedName name="XXIII">#REF!</definedName>
    <definedName name="XXIV" localSheetId="5">#REF!</definedName>
    <definedName name="XXIV">#REF!</definedName>
    <definedName name="XXV" localSheetId="5">#REF!</definedName>
    <definedName name="XXV">#REF!</definedName>
    <definedName name="XXX" localSheetId="5">#REF!</definedName>
    <definedName name="XXX">#REF!</definedName>
    <definedName name="XXXI" localSheetId="5">#REF!</definedName>
    <definedName name="XXXI">#REF!</definedName>
    <definedName name="XXXII" localSheetId="5">#REF!</definedName>
    <definedName name="XXXII">#REF!</definedName>
    <definedName name="XXXIII" localSheetId="5">#REF!</definedName>
    <definedName name="XXXIII">#REF!</definedName>
    <definedName name="XXXIV" localSheetId="5">#REF!</definedName>
    <definedName name="XXXIV">#REF!</definedName>
    <definedName name="XXXIX" localSheetId="5">#REF!</definedName>
    <definedName name="XXXIX">#REF!</definedName>
    <definedName name="XXXV" localSheetId="5">#REF!</definedName>
    <definedName name="XXXV">#REF!</definedName>
    <definedName name="XXXVI" localSheetId="5">#REF!</definedName>
    <definedName name="XXXVI">#REF!</definedName>
    <definedName name="XXXVII" localSheetId="5">#REF!</definedName>
    <definedName name="XXXVII">#REF!</definedName>
    <definedName name="XXXVIII" localSheetId="5">#REF!</definedName>
    <definedName name="XXXVIII">#REF!</definedName>
    <definedName name="xxxx" localSheetId="12">#REF!</definedName>
    <definedName name="xxxx" localSheetId="18">#REF!</definedName>
    <definedName name="xxxx" localSheetId="20">#REF!</definedName>
    <definedName name="xxxx" localSheetId="0">#REF!</definedName>
    <definedName name="xxxx" localSheetId="8">#REF!</definedName>
    <definedName name="xxxx" localSheetId="2">#REF!</definedName>
    <definedName name="xxxx" localSheetId="9">#REF!</definedName>
    <definedName name="xxxx" localSheetId="10">#REF!</definedName>
    <definedName name="xxxx">#REF!</definedName>
    <definedName name="XXXXX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5">#REF!</definedName>
    <definedName name="xxxxxxxxxxxx">#REF!</definedName>
    <definedName name="xxxxxxxxxxxxxx" localSheetId="5" hidden="1">{#N/A,#N/A,FALSE,"Plan1";#N/A,#N/A,FALSE,"Plan2"}</definedName>
    <definedName name="xxxxxxxxxxxxxx" hidden="1">{#N/A,#N/A,FALSE,"Plan1";#N/A,#N/A,FALSE,"Plan2"}</definedName>
    <definedName name="xzfrt" localSheetId="5" hidden="1">{#N/A,#N/A,FALSE,"Plan1";#N/A,#N/A,FALSE,"Plan2"}</definedName>
    <definedName name="xzfrt" hidden="1">{#N/A,#N/A,FALSE,"Plan1";#N/A,#N/A,FALSE,"Plan2"}</definedName>
    <definedName name="yeitrtged" localSheetId="5" hidden="1">{#N/A,#N/A,FALSE,"Plan1";#N/A,#N/A,FALSE,"Plan2"}</definedName>
    <definedName name="yeitrtged" hidden="1">{#N/A,#N/A,FALSE,"Plan1";#N/A,#N/A,FALSE,"Plan2"}</definedName>
    <definedName name="yhdfiuygrui" localSheetId="5" hidden="1">{#N/A,#N/A,FALSE,"Plan1";#N/A,#N/A,FALSE,"Plan2"}</definedName>
    <definedName name="yhdfiuygrui" hidden="1">{#N/A,#N/A,FALSE,"Plan1";#N/A,#N/A,FALSE,"Plan2"}</definedName>
    <definedName name="YRGUYDRIY" localSheetId="5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5">#REF!</definedName>
    <definedName name="ytdju">#REF!</definedName>
    <definedName name="yuegursdmksf" localSheetId="5" hidden="1">{#N/A,#N/A,FALSE,"Plan1";#N/A,#N/A,FALSE,"Plan2"}</definedName>
    <definedName name="yuegursdmksf" hidden="1">{#N/A,#N/A,FALSE,"Plan1";#N/A,#N/A,FALSE,"Plan2"}</definedName>
    <definedName name="yuekl4fr" localSheetId="5" hidden="1">{#N/A,#N/A,FALSE,"Plan1";#N/A,#N/A,FALSE,"Plan2"}</definedName>
    <definedName name="yuekl4fr" hidden="1">{#N/A,#N/A,FALSE,"Plan1";#N/A,#N/A,FALSE,"Plan2"}</definedName>
    <definedName name="yureytuyrea" localSheetId="5" hidden="1">{#N/A,#N/A,FALSE,"Plan1";#N/A,#N/A,FALSE,"Plan2"}</definedName>
    <definedName name="yureytuyrea" hidden="1">{#N/A,#N/A,FALSE,"Plan1";#N/A,#N/A,FALSE,"Plan2"}</definedName>
    <definedName name="z" localSheetId="5" hidden="1">{"'Estimativa de Lançamento-JAN'!$A$1:$AI$85"}</definedName>
    <definedName name="z" hidden="1">{"'Estimativa de Lançamento-JAN'!$A$1:$AI$85"}</definedName>
    <definedName name="z\djs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5" hidden="1">#REF!</definedName>
    <definedName name="Z_022B7420_7F94_427F_B370_84030F9B3342_.wvu.FilterData" hidden="1">#REF!</definedName>
    <definedName name="Z_04BC043C_175B_412D_8093_6F29CD74FBAE_.wvu.FilterData" localSheetId="5" hidden="1">#REF!</definedName>
    <definedName name="Z_04BC043C_175B_412D_8093_6F29CD74FBAE_.wvu.FilterData" hidden="1">#REF!</definedName>
    <definedName name="Z_058B9256_CB4D_4C39_834D_D693FEEB491F_.wvu.FilterData" localSheetId="5" hidden="1">#REF!</definedName>
    <definedName name="Z_058B9256_CB4D_4C39_834D_D693FEEB491F_.wvu.FilterData" hidden="1">#REF!</definedName>
    <definedName name="Z_05D1A71D_3B7B_4FB7_8DF3_B8E29CA3927A_.wvu.FilterData" localSheetId="5" hidden="1">#REF!</definedName>
    <definedName name="Z_05D1A71D_3B7B_4FB7_8DF3_B8E29CA3927A_.wvu.FilterData" hidden="1">#REF!</definedName>
    <definedName name="Z_07C2CF55_E6DF_411A_AB00_7E155615468C_.wvu.FilterData" localSheetId="5" hidden="1">#REF!</definedName>
    <definedName name="Z_07C2CF55_E6DF_411A_AB00_7E155615468C_.wvu.FilterData" hidden="1">#REF!</definedName>
    <definedName name="Z_0B1003A7_69DB_4D5B_966D_57B9E8AF76FB_.wvu.FilterData" localSheetId="5" hidden="1">#REF!</definedName>
    <definedName name="Z_0B1003A7_69DB_4D5B_966D_57B9E8AF76FB_.wvu.FilterData" hidden="1">#REF!</definedName>
    <definedName name="Z_0C3EE359_64F6_4049_9576_8EACA8563EA4_.wvu.FilterData" localSheetId="5" hidden="1">#REF!</definedName>
    <definedName name="Z_0C3EE359_64F6_4049_9576_8EACA8563EA4_.wvu.FilterData" hidden="1">#REF!</definedName>
    <definedName name="Z_0D05AC4E_32D3_4985_8208_9776E00AC749_.wvu.FilterData" localSheetId="5" hidden="1">#REF!</definedName>
    <definedName name="Z_0D05AC4E_32D3_4985_8208_9776E00AC749_.wvu.FilterData" hidden="1">#REF!</definedName>
    <definedName name="Z_0DB407A0_1449_11D8_ADD1_0060083A646F_.wvu.PrintArea" localSheetId="5" hidden="1">#REF!</definedName>
    <definedName name="Z_0DB407A0_1449_11D8_ADD1_0060083A646F_.wvu.PrintArea" hidden="1">#REF!</definedName>
    <definedName name="Z_0DC459DE_F68C_4E33_8D1E_F1663ABAC944_.wvu.FilterData" localSheetId="5" hidden="1">#REF!</definedName>
    <definedName name="Z_0DC459DE_F68C_4E33_8D1E_F1663ABAC944_.wvu.FilterData" hidden="1">#REF!</definedName>
    <definedName name="Z_0FACBA89_1203_4ED8_87E5_EC1D45B051B7_.wvu.FilterData" localSheetId="5" hidden="1">#REF!</definedName>
    <definedName name="Z_0FACBA89_1203_4ED8_87E5_EC1D45B051B7_.wvu.FilterData" hidden="1">#REF!</definedName>
    <definedName name="Z_0FEA3536_5108_4591_BECF_C3181387F85F_.wvu.FilterData" localSheetId="5" hidden="1">#REF!</definedName>
    <definedName name="Z_0FEA3536_5108_4591_BECF_C3181387F85F_.wvu.FilterData" hidden="1">#REF!</definedName>
    <definedName name="Z_0FEFDB42_ECBC_4500_A6C8_FEE3D368790B_.wvu.FilterData" localSheetId="5" hidden="1">#REF!</definedName>
    <definedName name="Z_0FEFDB42_ECBC_4500_A6C8_FEE3D368790B_.wvu.FilterData" hidden="1">#REF!</definedName>
    <definedName name="Z_110A0651_47C7_408E_B3BF_0C80D30B95FC_.wvu.FilterData" localSheetId="5" hidden="1">#REF!</definedName>
    <definedName name="Z_110A0651_47C7_408E_B3BF_0C80D30B95FC_.wvu.FilterData" hidden="1">#REF!</definedName>
    <definedName name="Z_128E64DD_BE84_40EE_A6D2_C9B0EB25CBBD_.wvu.FilterData" localSheetId="5" hidden="1">#REF!</definedName>
    <definedName name="Z_128E64DD_BE84_40EE_A6D2_C9B0EB25CBBD_.wvu.FilterData" hidden="1">#REF!</definedName>
    <definedName name="Z_12F2973E_0018_407B_98AD_CD9C5D1F65FA_.wvu.FilterData" localSheetId="5" hidden="1">#REF!</definedName>
    <definedName name="Z_12F2973E_0018_407B_98AD_CD9C5D1F65FA_.wvu.FilterData" hidden="1">#REF!</definedName>
    <definedName name="Z_137DAE61_8A8D_4219_A4CC_0EEC18A94882_.wvu.FilterData" localSheetId="5" hidden="1">#REF!</definedName>
    <definedName name="Z_137DAE61_8A8D_4219_A4CC_0EEC18A94882_.wvu.FilterData" hidden="1">#REF!</definedName>
    <definedName name="Z_13E06FB5_D019_406D_B278_1B53AD2F6386_.wvu.FilterData" localSheetId="5" hidden="1">#REF!</definedName>
    <definedName name="Z_13E06FB5_D019_406D_B278_1B53AD2F6386_.wvu.FilterData" hidden="1">#REF!</definedName>
    <definedName name="Z_14D375AC_5615_46DE_8EE3_95915B2A8B54_.wvu.FilterData" localSheetId="5" hidden="1">#REF!</definedName>
    <definedName name="Z_14D375AC_5615_46DE_8EE3_95915B2A8B54_.wvu.FilterData" hidden="1">#REF!</definedName>
    <definedName name="Z_15697660_066E_11D5_AF15_00010242ED40_.wvu.PrintArea" localSheetId="5" hidden="1">#REF!</definedName>
    <definedName name="Z_15697660_066E_11D5_AF15_00010242ED40_.wvu.PrintArea" hidden="1">#REF!</definedName>
    <definedName name="Z_15697660_066E_11D5_AF15_00010242ED40_.wvu.PrintTitles" localSheetId="5" hidden="1">#REF!</definedName>
    <definedName name="Z_15697660_066E_11D5_AF15_00010242ED40_.wvu.PrintTitles" hidden="1">#REF!</definedName>
    <definedName name="Z_15697660_066E_11D5_AF15_00010242ED40_.wvu.Rows" localSheetId="5" hidden="1">#REF!</definedName>
    <definedName name="Z_15697660_066E_11D5_AF15_00010242ED40_.wvu.Rows" hidden="1">#REF!</definedName>
    <definedName name="Z_15B5DC78_B02F_4AC6_8572_015040A55619_.wvu.FilterData" localSheetId="5" hidden="1">#REF!</definedName>
    <definedName name="Z_15B5DC78_B02F_4AC6_8572_015040A55619_.wvu.FilterData" hidden="1">#REF!</definedName>
    <definedName name="Z_166D6F0F_4D44_46E7_8C36_48FD4848B5AA_.wvu.FilterData" localSheetId="5" hidden="1">#REF!</definedName>
    <definedName name="Z_166D6F0F_4D44_46E7_8C36_48FD4848B5AA_.wvu.FilterData" hidden="1">#REF!</definedName>
    <definedName name="Z_16FAB836_2255_4D4C_90E4_6B46255F3759_.wvu.FilterData" localSheetId="5" hidden="1">#REF!</definedName>
    <definedName name="Z_16FAB836_2255_4D4C_90E4_6B46255F3759_.wvu.FilterData" hidden="1">#REF!</definedName>
    <definedName name="Z_198D391C_95CB_49F5_8924_5FEA3CE5C98A_.wvu.FilterData" localSheetId="5" hidden="1">#REF!</definedName>
    <definedName name="Z_198D391C_95CB_49F5_8924_5FEA3CE5C98A_.wvu.FilterData" hidden="1">#REF!</definedName>
    <definedName name="Z_1D9C37CC_3E33_4D4D_B7CD_819F75C83D65_.wvu.FilterData" localSheetId="5" hidden="1">#REF!</definedName>
    <definedName name="Z_1D9C37CC_3E33_4D4D_B7CD_819F75C83D65_.wvu.FilterData" hidden="1">#REF!</definedName>
    <definedName name="Z_1DF9838C_880D_4C4E_BFFE_89B5894EC40F_.wvu.FilterData" localSheetId="5" hidden="1">#REF!</definedName>
    <definedName name="Z_1DF9838C_880D_4C4E_BFFE_89B5894EC40F_.wvu.FilterData" hidden="1">#REF!</definedName>
    <definedName name="Z_1EF42BFC_874B_4E01_B67D_1607E823ACD0_.wvu.FilterData" localSheetId="5" hidden="1">#REF!</definedName>
    <definedName name="Z_1EF42BFC_874B_4E01_B67D_1607E823ACD0_.wvu.FilterData" hidden="1">#REF!</definedName>
    <definedName name="Z_1F94C6E7_3CCA_4599_AF6F_4D6291B2AD93_.wvu.FilterData" localSheetId="5" hidden="1">#REF!</definedName>
    <definedName name="Z_1F94C6E7_3CCA_4599_AF6F_4D6291B2AD93_.wvu.FilterData" hidden="1">#REF!</definedName>
    <definedName name="Z_20A9AA17_0DEB_4190_8DAD_FC60D0D33A52_.wvu.FilterData" localSheetId="5" hidden="1">#REF!</definedName>
    <definedName name="Z_20A9AA17_0DEB_4190_8DAD_FC60D0D33A52_.wvu.FilterData" hidden="1">#REF!</definedName>
    <definedName name="Z_2103F656_ECB2_4F99_BE9B_56F4D7A5CEE2_.wvu.FilterData" localSheetId="5" hidden="1">#REF!</definedName>
    <definedName name="Z_2103F656_ECB2_4F99_BE9B_56F4D7A5CEE2_.wvu.FilterData" hidden="1">#REF!</definedName>
    <definedName name="Z_2158A2BC_8DB5_455D_AFDE_914B22949288_.wvu.FilterData" localSheetId="5" hidden="1">#REF!</definedName>
    <definedName name="Z_2158A2BC_8DB5_455D_AFDE_914B22949288_.wvu.FilterData" hidden="1">#REF!</definedName>
    <definedName name="Z_21A967FF_561E_495F_AEB9_4DD3BEDA53BC_.wvu.FilterData" localSheetId="5" hidden="1">#REF!</definedName>
    <definedName name="Z_21A967FF_561E_495F_AEB9_4DD3BEDA53BC_.wvu.FilterData" hidden="1">#REF!</definedName>
    <definedName name="Z_227E7522_DC52_4EA7_A11A_0741FF23CC42_.wvu.FilterData" localSheetId="5" hidden="1">#REF!</definedName>
    <definedName name="Z_227E7522_DC52_4EA7_A11A_0741FF23CC42_.wvu.FilterData" hidden="1">#REF!</definedName>
    <definedName name="Z_23BA0C23_280B_4568_A53C_1C6D2E85772A_.wvu.FilterData" localSheetId="5" hidden="1">#REF!</definedName>
    <definedName name="Z_23BA0C23_280B_4568_A53C_1C6D2E85772A_.wvu.FilterData" hidden="1">#REF!</definedName>
    <definedName name="Z_244346C6_3866_4160_9E2E_C77913F25398_.wvu.FilterData" localSheetId="5" hidden="1">#REF!</definedName>
    <definedName name="Z_244346C6_3866_4160_9E2E_C77913F25398_.wvu.FilterData" hidden="1">#REF!</definedName>
    <definedName name="Z_25117F67_F0EE_43EF_8FF9_79F533CE10B0_.wvu.FilterData" localSheetId="5" hidden="1">#REF!</definedName>
    <definedName name="Z_25117F67_F0EE_43EF_8FF9_79F533CE10B0_.wvu.FilterData" hidden="1">#REF!</definedName>
    <definedName name="Z_259E2DDE_5459_4510_B7A2_66F49964C56E_.wvu.FilterData" localSheetId="5" hidden="1">#REF!</definedName>
    <definedName name="Z_259E2DDE_5459_4510_B7A2_66F49964C56E_.wvu.FilterData" hidden="1">#REF!</definedName>
    <definedName name="Z_25C7DFCF_BE54_4A41_B957_DE39B9B2A5B5_.wvu.FilterData" localSheetId="5" hidden="1">#REF!</definedName>
    <definedName name="Z_25C7DFCF_BE54_4A41_B957_DE39B9B2A5B5_.wvu.FilterData" hidden="1">#REF!</definedName>
    <definedName name="Z_272E0E4D_901D_11D7_B59C_0050DAB35C7B_.wvu.FilterData" localSheetId="5" hidden="1">#REF!</definedName>
    <definedName name="Z_272E0E4D_901D_11D7_B59C_0050DAB35C7B_.wvu.FilterData" hidden="1">#REF!</definedName>
    <definedName name="Z_27D9353E_5A5F_49BF_8724_FA312A4073FF_.wvu.FilterData" localSheetId="5" hidden="1">#REF!</definedName>
    <definedName name="Z_27D9353E_5A5F_49BF_8724_FA312A4073FF_.wvu.FilterData" hidden="1">#REF!</definedName>
    <definedName name="Z_299BE965_B904_49FA_A79D_B9538F94936F_.wvu.FilterData" localSheetId="5" hidden="1">#REF!</definedName>
    <definedName name="Z_299BE965_B904_49FA_A79D_B9538F94936F_.wvu.FilterData" hidden="1">#REF!</definedName>
    <definedName name="Z_29D37CE9_76D1_4D09_99A0_55ABA6929929_.wvu.FilterData" localSheetId="5" hidden="1">#REF!</definedName>
    <definedName name="Z_29D37CE9_76D1_4D09_99A0_55ABA6929929_.wvu.FilterData" hidden="1">#REF!</definedName>
    <definedName name="Z_2C05BC27_731C_41F4_980F_CD81E4A7A662_.wvu.FilterData" localSheetId="5" hidden="1">#REF!</definedName>
    <definedName name="Z_2C05BC27_731C_41F4_980F_CD81E4A7A662_.wvu.FilterData" hidden="1">#REF!</definedName>
    <definedName name="Z_2C0BDCBF_705B_4E5A_9659_05D99EC56641_.wvu.FilterData" localSheetId="5" hidden="1">#REF!</definedName>
    <definedName name="Z_2C0BDCBF_705B_4E5A_9659_05D99EC56641_.wvu.FilterData" hidden="1">#REF!</definedName>
    <definedName name="Z_2CD580B5_D99D_45ED_AC1E_45F8CBBBB9F1_.wvu.FilterData" localSheetId="5" hidden="1">#REF!</definedName>
    <definedName name="Z_2CD580B5_D99D_45ED_AC1E_45F8CBBBB9F1_.wvu.FilterData" hidden="1">#REF!</definedName>
    <definedName name="Z_2D98D706_A306_4353_8B3D_DA92F9EAEC9A_.wvu.FilterData" localSheetId="5" hidden="1">#REF!</definedName>
    <definedName name="Z_2D98D706_A306_4353_8B3D_DA92F9EAEC9A_.wvu.FilterData" hidden="1">#REF!</definedName>
    <definedName name="Z_2F8736FC_F07E_49E8_9C13_8E0A0F5EFE5F_.wvu.FilterData" localSheetId="5" hidden="1">#REF!</definedName>
    <definedName name="Z_2F8736FC_F07E_49E8_9C13_8E0A0F5EFE5F_.wvu.FilterData" hidden="1">#REF!</definedName>
    <definedName name="Z_304C2F7A_D3A6_4DBA_A568_C3E56D7C6E2F_.wvu.FilterData" localSheetId="5" hidden="1">#REF!</definedName>
    <definedName name="Z_304C2F7A_D3A6_4DBA_A568_C3E56D7C6E2F_.wvu.FilterData" hidden="1">#REF!</definedName>
    <definedName name="Z_30E0ACE8_B29A_44E9_B542_E8C1CA3FD802_.wvu.FilterData" localSheetId="5" hidden="1">#REF!</definedName>
    <definedName name="Z_30E0ACE8_B29A_44E9_B542_E8C1CA3FD802_.wvu.FilterData" hidden="1">#REF!</definedName>
    <definedName name="Z_31A27EA2_D574_43B8_A671_7419A12151C9_.wvu.FilterData" localSheetId="5" hidden="1">#REF!</definedName>
    <definedName name="Z_31A27EA2_D574_43B8_A671_7419A12151C9_.wvu.FilterData" hidden="1">#REF!</definedName>
    <definedName name="Z_32D1B352_62AB_4105_8DFC_EAA2DF743365_.wvu.FilterData" localSheetId="5" hidden="1">#REF!</definedName>
    <definedName name="Z_32D1B352_62AB_4105_8DFC_EAA2DF743365_.wvu.FilterData" hidden="1">#REF!</definedName>
    <definedName name="Z_330DF436_5BED_40AF_AC51_73D268BD9DF4_.wvu.FilterData" localSheetId="5" hidden="1">#REF!</definedName>
    <definedName name="Z_330DF436_5BED_40AF_AC51_73D268BD9DF4_.wvu.FilterData" hidden="1">#REF!</definedName>
    <definedName name="Z_33B8EF57_2FB1_4600_9590_B0A2F2FE409B_.wvu.FilterData" localSheetId="5" hidden="1">#REF!</definedName>
    <definedName name="Z_33B8EF57_2FB1_4600_9590_B0A2F2FE409B_.wvu.FilterData" hidden="1">#REF!</definedName>
    <definedName name="Z_3404588C_6CE7_4C97_A62C_D19D9EE290D3_.wvu.FilterData" localSheetId="5" hidden="1">#REF!</definedName>
    <definedName name="Z_3404588C_6CE7_4C97_A62C_D19D9EE290D3_.wvu.FilterData" hidden="1">#REF!</definedName>
    <definedName name="Z_34E71878_8D1A_4343_91A1_3FE085136D2B_.wvu.FilterData" localSheetId="5" hidden="1">#REF!</definedName>
    <definedName name="Z_34E71878_8D1A_4343_91A1_3FE085136D2B_.wvu.FilterData" hidden="1">#REF!</definedName>
    <definedName name="Z_37611AA0_E86A_42C8_8705_108B25E060A1_.wvu.FilterData" localSheetId="5" hidden="1">#REF!</definedName>
    <definedName name="Z_37611AA0_E86A_42C8_8705_108B25E060A1_.wvu.FilterData" hidden="1">#REF!</definedName>
    <definedName name="Z_38FE6CED_4C19_4332_9788_ACC902B20A46_.wvu.FilterData" localSheetId="5" hidden="1">#REF!</definedName>
    <definedName name="Z_38FE6CED_4C19_4332_9788_ACC902B20A46_.wvu.FilterData" hidden="1">#REF!</definedName>
    <definedName name="Z_394E75CB_4F7F_4C88_A08F_29E48E587341_.wvu.FilterData" localSheetId="5" hidden="1">#REF!</definedName>
    <definedName name="Z_394E75CB_4F7F_4C88_A08F_29E48E587341_.wvu.FilterData" hidden="1">#REF!</definedName>
    <definedName name="Z_3C200595_20A3_4A0C_B071_705F4AD5DAD3_.wvu.FilterData" localSheetId="5" hidden="1">#REF!</definedName>
    <definedName name="Z_3C200595_20A3_4A0C_B071_705F4AD5DAD3_.wvu.FilterData" hidden="1">#REF!</definedName>
    <definedName name="Z_3E93FF4A_0B7F_475C_A63C_54FBDB9DB4C5_.wvu.FilterData" localSheetId="5" hidden="1">#REF!</definedName>
    <definedName name="Z_3E93FF4A_0B7F_475C_A63C_54FBDB9DB4C5_.wvu.FilterData" hidden="1">#REF!</definedName>
    <definedName name="Z_3FF05DC4_CA9E_470D_A193_91785ACE00EF_.wvu.FilterData" localSheetId="5" hidden="1">#REF!</definedName>
    <definedName name="Z_3FF05DC4_CA9E_470D_A193_91785ACE00EF_.wvu.FilterData" hidden="1">#REF!</definedName>
    <definedName name="Z_43791B95_57D7_42F4_8815_D1B7E488543E_.wvu.FilterData" localSheetId="5" hidden="1">#REF!</definedName>
    <definedName name="Z_43791B95_57D7_42F4_8815_D1B7E488543E_.wvu.FilterData" hidden="1">#REF!</definedName>
    <definedName name="Z_445AA90F_6D9B_40F5_8E1D_CE1EF57CF450_.wvu.FilterData" localSheetId="5" hidden="1">#REF!</definedName>
    <definedName name="Z_445AA90F_6D9B_40F5_8E1D_CE1EF57CF450_.wvu.FilterData" hidden="1">#REF!</definedName>
    <definedName name="Z_454E0C40_F84F_42A3_A371_6F23C1F38595_.wvu.FilterData" localSheetId="5" hidden="1">#REF!</definedName>
    <definedName name="Z_454E0C40_F84F_42A3_A371_6F23C1F38595_.wvu.FilterData" hidden="1">#REF!</definedName>
    <definedName name="Z_4608FCB3_3552_4D58_B6CE_B8F34D78221E_.wvu.FilterData" localSheetId="5" hidden="1">#REF!</definedName>
    <definedName name="Z_4608FCB3_3552_4D58_B6CE_B8F34D78221E_.wvu.FilterData" hidden="1">#REF!</definedName>
    <definedName name="Z_46E47F7C_9185_4E39_BED5_B4A69FF64CC1_.wvu.FilterData" localSheetId="5" hidden="1">#REF!</definedName>
    <definedName name="Z_46E47F7C_9185_4E39_BED5_B4A69FF64CC1_.wvu.FilterData" hidden="1">#REF!</definedName>
    <definedName name="Z_48202D5D_77CB_41DE_8C59_9325C98D7C97_.wvu.FilterData" localSheetId="5" hidden="1">#REF!</definedName>
    <definedName name="Z_48202D5D_77CB_41DE_8C59_9325C98D7C97_.wvu.FilterData" hidden="1">#REF!</definedName>
    <definedName name="Z_48824DFE_B714_4D0B_9E95_F01C5BAD5D1F_.wvu.FilterData" localSheetId="5" hidden="1">#REF!</definedName>
    <definedName name="Z_48824DFE_B714_4D0B_9E95_F01C5BAD5D1F_.wvu.FilterData" hidden="1">#REF!</definedName>
    <definedName name="Z_4C45D885_33EE_4DA9_BF96_6B10CFBA5596_.wvu.FilterData" localSheetId="5" hidden="1">#REF!</definedName>
    <definedName name="Z_4C45D885_33EE_4DA9_BF96_6B10CFBA5596_.wvu.FilterData" hidden="1">#REF!</definedName>
    <definedName name="Z_4CA4BF7C_65C1_4E25_8563_22DF58586D2C_.wvu.PrintArea" localSheetId="5" hidden="1">#REF!</definedName>
    <definedName name="Z_4CA4BF7C_65C1_4E25_8563_22DF58586D2C_.wvu.PrintArea" hidden="1">#REF!</definedName>
    <definedName name="Z_4CA4BF7C_65C1_4E25_8563_22DF58586D2C_.wvu.PrintTitles" localSheetId="5" hidden="1">#REF!</definedName>
    <definedName name="Z_4CA4BF7C_65C1_4E25_8563_22DF58586D2C_.wvu.PrintTitles" hidden="1">#REF!</definedName>
    <definedName name="Z_4CA4BF7C_65C1_4E25_8563_22DF58586D2C_.wvu.Rows" localSheetId="5" hidden="1">#REF!</definedName>
    <definedName name="Z_4CA4BF7C_65C1_4E25_8563_22DF58586D2C_.wvu.Rows" hidden="1">#REF!</definedName>
    <definedName name="Z_4D344757_9064_4D2F_A3A5_69132D23B7B9_.wvu.FilterData" localSheetId="5" hidden="1">#REF!</definedName>
    <definedName name="Z_4D344757_9064_4D2F_A3A5_69132D23B7B9_.wvu.FilterData" hidden="1">#REF!</definedName>
    <definedName name="Z_4E773EE1_0A5B_43A9_9C28_FFB0A27D19C3_.wvu.FilterData" localSheetId="5" hidden="1">#REF!</definedName>
    <definedName name="Z_4E773EE1_0A5B_43A9_9C28_FFB0A27D19C3_.wvu.FilterData" hidden="1">#REF!</definedName>
    <definedName name="Z_5122F04C_91B2_4031_BAE2_43203D520992_.wvu.FilterData" localSheetId="5" hidden="1">#REF!</definedName>
    <definedName name="Z_5122F04C_91B2_4031_BAE2_43203D520992_.wvu.FilterData" hidden="1">#REF!</definedName>
    <definedName name="Z_52B8D0B0_5872_4367_8D38_9AA5A4B975B3_.wvu.FilterData" localSheetId="5" hidden="1">#REF!</definedName>
    <definedName name="Z_52B8D0B0_5872_4367_8D38_9AA5A4B975B3_.wvu.FilterData" hidden="1">#REF!</definedName>
    <definedName name="Z_532423B2_94C7_44C1_9A2A_9712DAE92CE9_.wvu.FilterData" localSheetId="5" hidden="1">#REF!</definedName>
    <definedName name="Z_532423B2_94C7_44C1_9A2A_9712DAE92CE9_.wvu.FilterData" hidden="1">#REF!</definedName>
    <definedName name="Z_53F31130_5EA7_42BA_93EB_88A7CB743782_.wvu.FilterData" localSheetId="5" hidden="1">#REF!</definedName>
    <definedName name="Z_53F31130_5EA7_42BA_93EB_88A7CB743782_.wvu.FilterData" hidden="1">#REF!</definedName>
    <definedName name="Z_55213581_1831_4A94_AB4D_23E4F8BC8085_.wvu.FilterData" localSheetId="5" hidden="1">#REF!</definedName>
    <definedName name="Z_55213581_1831_4A94_AB4D_23E4F8BC8085_.wvu.FilterData" hidden="1">#REF!</definedName>
    <definedName name="Z_552B9204_1C85_45BC_B148_AF3E206BDAA2_.wvu.FilterData" localSheetId="5" hidden="1">#REF!</definedName>
    <definedName name="Z_552B9204_1C85_45BC_B148_AF3E206BDAA2_.wvu.FilterData" hidden="1">#REF!</definedName>
    <definedName name="Z_566671FC_5910_47FD_B961_1065A17D262D_.wvu.FilterData" localSheetId="5" hidden="1">#REF!</definedName>
    <definedName name="Z_566671FC_5910_47FD_B961_1065A17D262D_.wvu.FilterData" hidden="1">#REF!</definedName>
    <definedName name="Z_569D17FA_30FE_42CA_8D65_E126C1C01EC2_.wvu.FilterData" localSheetId="5" hidden="1">#REF!</definedName>
    <definedName name="Z_569D17FA_30FE_42CA_8D65_E126C1C01EC2_.wvu.FilterData" hidden="1">#REF!</definedName>
    <definedName name="Z_573E904E_5C2F_4CA2_AFCF_918B916322E4_.wvu.FilterData" localSheetId="5" hidden="1">#REF!</definedName>
    <definedName name="Z_573E904E_5C2F_4CA2_AFCF_918B916322E4_.wvu.FilterData" hidden="1">#REF!</definedName>
    <definedName name="Z_58DA6172_DC47_4A5F_B420_207BB6987764_.wvu.FilterData" localSheetId="5" hidden="1">#REF!</definedName>
    <definedName name="Z_58DA6172_DC47_4A5F_B420_207BB6987764_.wvu.FilterData" hidden="1">#REF!</definedName>
    <definedName name="Z_58FCB891_F6F4_46F2_BF6B_861E585C9231_.wvu.FilterData" localSheetId="5" hidden="1">#REF!</definedName>
    <definedName name="Z_58FCB891_F6F4_46F2_BF6B_861E585C9231_.wvu.FilterData" hidden="1">#REF!</definedName>
    <definedName name="Z_59A87EBA_E018_40E8_A580_AB2176E95D7E_.wvu.FilterData" localSheetId="5" hidden="1">#REF!</definedName>
    <definedName name="Z_59A87EBA_E018_40E8_A580_AB2176E95D7E_.wvu.FilterData" hidden="1">#REF!</definedName>
    <definedName name="Z_5A3E740D_87C0_4F85_AB6D_B402AD860D04_.wvu.FilterData" localSheetId="5" hidden="1">#REF!</definedName>
    <definedName name="Z_5A3E740D_87C0_4F85_AB6D_B402AD860D04_.wvu.FilterData" hidden="1">#REF!</definedName>
    <definedName name="Z_5B42E6B5_40AA_4D3F_B932_EF1583491CDE_.wvu.FilterData" localSheetId="5" hidden="1">#REF!</definedName>
    <definedName name="Z_5B42E6B5_40AA_4D3F_B932_EF1583491CDE_.wvu.FilterData" hidden="1">#REF!</definedName>
    <definedName name="Z_5B7B4951_7310_4C66_B906_4D046076272E_.wvu.FilterData" localSheetId="5" hidden="1">#REF!</definedName>
    <definedName name="Z_5B7B4951_7310_4C66_B906_4D046076272E_.wvu.FilterData" hidden="1">#REF!</definedName>
    <definedName name="Z_5D41F4B9_83DF_4509_9C07_453BA5A62846_.wvu.FilterData" localSheetId="5" hidden="1">#REF!</definedName>
    <definedName name="Z_5D41F4B9_83DF_4509_9C07_453BA5A62846_.wvu.FilterData" hidden="1">#REF!</definedName>
    <definedName name="Z_5DB05E9F_8F3B_4886_A6CB_2CC53331BA7A_.wvu.FilterData" localSheetId="5" hidden="1">#REF!</definedName>
    <definedName name="Z_5DB05E9F_8F3B_4886_A6CB_2CC53331BA7A_.wvu.FilterData" hidden="1">#REF!</definedName>
    <definedName name="Z_5F096896_2CB8_4B96_A0FE_9AB50EEEEFAB_.wvu.FilterData" localSheetId="5" hidden="1">#REF!</definedName>
    <definedName name="Z_5F096896_2CB8_4B96_A0FE_9AB50EEEEFAB_.wvu.FilterData" hidden="1">#REF!</definedName>
    <definedName name="Z_60DF8B29_1C1F_4B50_BDA8_B8E0C7DD04C3_.wvu.Cols" localSheetId="5" hidden="1">#REF!,#REF!</definedName>
    <definedName name="Z_60DF8B29_1C1F_4B50_BDA8_B8E0C7DD04C3_.wvu.Cols" hidden="1">#REF!,#REF!</definedName>
    <definedName name="Z_60DF8B29_1C1F_4B50_BDA8_B8E0C7DD04C3_.wvu.FilterData" localSheetId="5" hidden="1">#REF!</definedName>
    <definedName name="Z_60DF8B29_1C1F_4B50_BDA8_B8E0C7DD04C3_.wvu.FilterData" hidden="1">#REF!</definedName>
    <definedName name="Z_615F4A4D_D5AB_4A04_81F5_F436484247A5_.wvu.FilterData" localSheetId="5" hidden="1">#REF!</definedName>
    <definedName name="Z_615F4A4D_D5AB_4A04_81F5_F436484247A5_.wvu.FilterData" hidden="1">#REF!</definedName>
    <definedName name="Z_616443B5_6F0D_4082_9223_F71B54305366_.wvu.FilterData" localSheetId="5" hidden="1">#REF!</definedName>
    <definedName name="Z_616443B5_6F0D_4082_9223_F71B54305366_.wvu.FilterData" hidden="1">#REF!</definedName>
    <definedName name="Z_631F0312_B404_409F_AF2B_39FB2D25040B_.wvu.FilterData" localSheetId="5" hidden="1">#REF!</definedName>
    <definedName name="Z_631F0312_B404_409F_AF2B_39FB2D25040B_.wvu.FilterData" hidden="1">#REF!</definedName>
    <definedName name="Z_632CF316_8294_4588_87E1_2B69E184A62B_.wvu.FilterData" localSheetId="5" hidden="1">#REF!</definedName>
    <definedName name="Z_632CF316_8294_4588_87E1_2B69E184A62B_.wvu.FilterData" hidden="1">#REF!</definedName>
    <definedName name="Z_66D1BA5F_F4AE_443C_8583_CE89D6674A73_.wvu.FilterData" localSheetId="5" hidden="1">#REF!</definedName>
    <definedName name="Z_66D1BA5F_F4AE_443C_8583_CE89D6674A73_.wvu.FilterData" hidden="1">#REF!</definedName>
    <definedName name="Z_66DD4806_8039_438A_B1CE_46CC5B464050_.wvu.FilterData" localSheetId="5" hidden="1">#REF!</definedName>
    <definedName name="Z_66DD4806_8039_438A_B1CE_46CC5B464050_.wvu.FilterData" hidden="1">#REF!</definedName>
    <definedName name="Z_67B65FDF_FF67_490E_B8E5_92DC66C9FC9D_.wvu.FilterData" localSheetId="5" hidden="1">#REF!</definedName>
    <definedName name="Z_67B65FDF_FF67_490E_B8E5_92DC66C9FC9D_.wvu.FilterData" hidden="1">#REF!</definedName>
    <definedName name="Z_68B709DF_9429_4090_9106_386C5F16C4D7_.wvu.FilterData" localSheetId="5" hidden="1">#REF!</definedName>
    <definedName name="Z_68B709DF_9429_4090_9106_386C5F16C4D7_.wvu.FilterData" hidden="1">#REF!</definedName>
    <definedName name="Z_690BC25F_5AA3_4B4B_9507_8C197E768E98_.wvu.FilterData" localSheetId="5" hidden="1">#REF!</definedName>
    <definedName name="Z_690BC25F_5AA3_4B4B_9507_8C197E768E98_.wvu.FilterData" hidden="1">#REF!</definedName>
    <definedName name="Z_6A66B8A7_491B_4A29_94A1_39F4FDA32C48_.wvu.FilterData" localSheetId="5" hidden="1">#REF!</definedName>
    <definedName name="Z_6A66B8A7_491B_4A29_94A1_39F4FDA32C48_.wvu.FilterData" hidden="1">#REF!</definedName>
    <definedName name="Z_6A6F36C8_24A1_4147_9C63_27B7978935DD_.wvu.FilterData" localSheetId="5" hidden="1">#REF!</definedName>
    <definedName name="Z_6A6F36C8_24A1_4147_9C63_27B7978935DD_.wvu.FilterData" hidden="1">#REF!</definedName>
    <definedName name="Z_6C2050D3_ABE5_4B48_B2A7_DDDD21669987_.wvu.FilterData" localSheetId="5" hidden="1">#REF!</definedName>
    <definedName name="Z_6C2050D3_ABE5_4B48_B2A7_DDDD21669987_.wvu.FilterData" hidden="1">#REF!</definedName>
    <definedName name="Z_6CD84A0B_C00D_4BC8_A655_6383CCA4B296_.wvu.FilterData" localSheetId="5" hidden="1">#REF!</definedName>
    <definedName name="Z_6CD84A0B_C00D_4BC8_A655_6383CCA4B296_.wvu.FilterData" hidden="1">#REF!</definedName>
    <definedName name="Z_6D5E5F42_E924_48A0_A50F_5BB481AFD1D5_.wvu.FilterData" localSheetId="5" hidden="1">#REF!</definedName>
    <definedName name="Z_6D5E5F42_E924_48A0_A50F_5BB481AFD1D5_.wvu.FilterData" hidden="1">#REF!</definedName>
    <definedName name="Z_6D789842_F56B_40C4_8907_F36C02855F76_.wvu.FilterData" localSheetId="5" hidden="1">#REF!</definedName>
    <definedName name="Z_6D789842_F56B_40C4_8907_F36C02855F76_.wvu.FilterData" hidden="1">#REF!</definedName>
    <definedName name="Z_6E345713_0818_471C_B54B_D890B987A0BC_.wvu.FilterData" localSheetId="5" hidden="1">#REF!</definedName>
    <definedName name="Z_6E345713_0818_471C_B54B_D890B987A0BC_.wvu.FilterData" hidden="1">#REF!</definedName>
    <definedName name="Z_701DEAE4_9CF1_491A_A54B_A6AE3235639D_.wvu.FilterData" localSheetId="5" hidden="1">#REF!</definedName>
    <definedName name="Z_701DEAE4_9CF1_491A_A54B_A6AE3235639D_.wvu.FilterData" hidden="1">#REF!</definedName>
    <definedName name="Z_7319B1DA_C8AE_4D1D_AB4C_B14141921483_.wvu.FilterData" localSheetId="5" hidden="1">#REF!</definedName>
    <definedName name="Z_7319B1DA_C8AE_4D1D_AB4C_B14141921483_.wvu.FilterData" hidden="1">#REF!</definedName>
    <definedName name="Z_75A1B66F_9EE1_4406_8264_C9BF12113183_.wvu.FilterData" localSheetId="5" hidden="1">#REF!</definedName>
    <definedName name="Z_75A1B66F_9EE1_4406_8264_C9BF12113183_.wvu.FilterData" hidden="1">#REF!</definedName>
    <definedName name="Z_7651BD63_D75B_41A5_B133_06AE6A84AE8F_.wvu.FilterData" localSheetId="5" hidden="1">#REF!</definedName>
    <definedName name="Z_7651BD63_D75B_41A5_B133_06AE6A84AE8F_.wvu.FilterData" hidden="1">#REF!</definedName>
    <definedName name="Z_767B7DB4_B657_4E6E_831B_84CA933FFCBE_.wvu.FilterData" localSheetId="5" hidden="1">#REF!</definedName>
    <definedName name="Z_767B7DB4_B657_4E6E_831B_84CA933FFCBE_.wvu.FilterData" hidden="1">#REF!</definedName>
    <definedName name="Z_76FA93EF_40A9_4929_9B4A_2213742C1620_.wvu.FilterData" localSheetId="5" hidden="1">#REF!</definedName>
    <definedName name="Z_76FA93EF_40A9_4929_9B4A_2213742C1620_.wvu.FilterData" hidden="1">#REF!</definedName>
    <definedName name="Z_78A33412_D032_45F7_9C2D_D4A31DB937D9_.wvu.FilterData" localSheetId="5" hidden="1">#REF!</definedName>
    <definedName name="Z_78A33412_D032_45F7_9C2D_D4A31DB937D9_.wvu.FilterData" hidden="1">#REF!</definedName>
    <definedName name="Z_796E4E5E_16C3_474D_B1D5_F6D39CD34051_.wvu.FilterData" localSheetId="5" hidden="1">#REF!</definedName>
    <definedName name="Z_796E4E5E_16C3_474D_B1D5_F6D39CD34051_.wvu.FilterData" hidden="1">#REF!</definedName>
    <definedName name="Z_7BFA9C41_C881_48A8_90C2_F93F8E16E599_.wvu.FilterData" localSheetId="5" hidden="1">#REF!</definedName>
    <definedName name="Z_7BFA9C41_C881_48A8_90C2_F93F8E16E599_.wvu.FilterData" hidden="1">#REF!</definedName>
    <definedName name="Z_7BFBCE1E_B6C5_4BAC_AD95_2B50D2ED28AB_.wvu.FilterData" localSheetId="5" hidden="1">#REF!</definedName>
    <definedName name="Z_7BFBCE1E_B6C5_4BAC_AD95_2B50D2ED28AB_.wvu.FilterData" hidden="1">#REF!</definedName>
    <definedName name="Z_7C6FEBF3_4382_4282_BBB0_E0269BEE42DE_.wvu.FilterData" localSheetId="5" hidden="1">#REF!</definedName>
    <definedName name="Z_7C6FEBF3_4382_4282_BBB0_E0269BEE42DE_.wvu.FilterData" hidden="1">#REF!</definedName>
    <definedName name="Z_7D057642_92FA_4DD6_84C5_B10B17893E1F_.wvu.FilterData" localSheetId="5" hidden="1">#REF!</definedName>
    <definedName name="Z_7D057642_92FA_4DD6_84C5_B10B17893E1F_.wvu.FilterData" hidden="1">#REF!</definedName>
    <definedName name="Z_7ED5F3D1_B838_492E_9467_7E7CE6B348ED_.wvu.FilterData" localSheetId="5" hidden="1">#REF!</definedName>
    <definedName name="Z_7ED5F3D1_B838_492E_9467_7E7CE6B348ED_.wvu.FilterData" hidden="1">#REF!</definedName>
    <definedName name="Z_8090FD3B_94DF_4ACF_9708_D5B9ADEFD29C_.wvu.FilterData" localSheetId="5" hidden="1">#REF!</definedName>
    <definedName name="Z_8090FD3B_94DF_4ACF_9708_D5B9ADEFD29C_.wvu.FilterData" hidden="1">#REF!</definedName>
    <definedName name="Z_8149A5A7_8307_4FA6_B457_A66B8A6DFABD_.wvu.FilterData" localSheetId="5" hidden="1">#REF!</definedName>
    <definedName name="Z_8149A5A7_8307_4FA6_B457_A66B8A6DFABD_.wvu.FilterData" hidden="1">#REF!</definedName>
    <definedName name="Z_819A0FD3_B678_47E8_9DFB_641B3990B590_.wvu.FilterData" localSheetId="5" hidden="1">#REF!</definedName>
    <definedName name="Z_819A0FD3_B678_47E8_9DFB_641B3990B590_.wvu.FilterData" hidden="1">#REF!</definedName>
    <definedName name="Z_82999604_BD48_4054_BDCB_CB8B074A34A3_.wvu.FilterData" localSheetId="5" hidden="1">#REF!</definedName>
    <definedName name="Z_82999604_BD48_4054_BDCB_CB8B074A34A3_.wvu.FilterData" hidden="1">#REF!</definedName>
    <definedName name="Z_8473B3F0_0740_4E9F_9BAE_9113E5077DE8_.wvu.FilterData" localSheetId="5" hidden="1">#REF!</definedName>
    <definedName name="Z_8473B3F0_0740_4E9F_9BAE_9113E5077DE8_.wvu.FilterData" hidden="1">#REF!</definedName>
    <definedName name="Z_85A83A94_71B4_44C8_8B5A_68CAA2461241_.wvu.FilterData" localSheetId="5" hidden="1">#REF!</definedName>
    <definedName name="Z_85A83A94_71B4_44C8_8B5A_68CAA2461241_.wvu.FilterData" hidden="1">#REF!</definedName>
    <definedName name="Z_86E0C273_91AF_11D7_9C1E_0004231B06E7_.wvu.FilterData" localSheetId="5" hidden="1">#REF!</definedName>
    <definedName name="Z_86E0C273_91AF_11D7_9C1E_0004231B06E7_.wvu.FilterData" hidden="1">#REF!</definedName>
    <definedName name="Z_87F04A72_68BF_497D_8569_47D1A3B89590_.wvu.FilterData" localSheetId="5" hidden="1">#REF!</definedName>
    <definedName name="Z_87F04A72_68BF_497D_8569_47D1A3B89590_.wvu.FilterData" hidden="1">#REF!</definedName>
    <definedName name="Z_893CBEFD_F317_41F0_BA87_CC1860E1F73B_.wvu.FilterData" localSheetId="5" hidden="1">#REF!</definedName>
    <definedName name="Z_893CBEFD_F317_41F0_BA87_CC1860E1F73B_.wvu.FilterData" hidden="1">#REF!</definedName>
    <definedName name="Z_89D83FA2_2F4F_4275_9074_3A6247C2CDA6_.wvu.FilterData" localSheetId="5" hidden="1">#REF!</definedName>
    <definedName name="Z_89D83FA2_2F4F_4275_9074_3A6247C2CDA6_.wvu.FilterData" hidden="1">#REF!</definedName>
    <definedName name="Z_8B2E8E84_1A68_4B75_A867_04E8EAC8E685_.wvu.FilterData" localSheetId="5" hidden="1">#REF!</definedName>
    <definedName name="Z_8B2E8E84_1A68_4B75_A867_04E8EAC8E685_.wvu.FilterData" hidden="1">#REF!</definedName>
    <definedName name="Z_8B5FADF8_BAFC_44E0_9D1D_DE21657D83CA_.wvu.FilterData" localSheetId="5" hidden="1">#REF!</definedName>
    <definedName name="Z_8B5FADF8_BAFC_44E0_9D1D_DE21657D83CA_.wvu.FilterData" hidden="1">#REF!</definedName>
    <definedName name="Z_8CBA7976_3F45_4926_8F5C_251343B1DCDB_.wvu.FilterData" localSheetId="5" hidden="1">#REF!</definedName>
    <definedName name="Z_8CBA7976_3F45_4926_8F5C_251343B1DCDB_.wvu.FilterData" hidden="1">#REF!</definedName>
    <definedName name="Z_8D213052_8AFD_4E06_B410_DCB431062572_.wvu.FilterData" localSheetId="5" hidden="1">#REF!</definedName>
    <definedName name="Z_8D213052_8AFD_4E06_B410_DCB431062572_.wvu.FilterData" hidden="1">#REF!</definedName>
    <definedName name="Z_8EA755F4_0515_4AA0_970C_55F473C7FD9B_.wvu.FilterData" localSheetId="5" hidden="1">#REF!</definedName>
    <definedName name="Z_8EA755F4_0515_4AA0_970C_55F473C7FD9B_.wvu.FilterData" hidden="1">#REF!</definedName>
    <definedName name="Z_8F33F4E3_A14E_4DD4_ADD4_B19023A45B10_.wvu.FilterData" localSheetId="5" hidden="1">#REF!</definedName>
    <definedName name="Z_8F33F4E3_A14E_4DD4_ADD4_B19023A45B10_.wvu.FilterData" hidden="1">#REF!</definedName>
    <definedName name="Z_901BF8EA_CA8A_411C_8FD3_BCB793FCF48A_.wvu.FilterData" localSheetId="5" hidden="1">#REF!</definedName>
    <definedName name="Z_901BF8EA_CA8A_411C_8FD3_BCB793FCF48A_.wvu.FilterData" hidden="1">#REF!</definedName>
    <definedName name="Z_9066F505_4944_4582_AAF9_B40B49D59413_.wvu.PrintArea" localSheetId="5" hidden="1">#REF!</definedName>
    <definedName name="Z_9066F505_4944_4582_AAF9_B40B49D59413_.wvu.PrintArea" hidden="1">#REF!</definedName>
    <definedName name="Z_9066F505_4944_4582_AAF9_B40B49D59413_.wvu.PrintTitles" localSheetId="5" hidden="1">#REF!</definedName>
    <definedName name="Z_9066F505_4944_4582_AAF9_B40B49D59413_.wvu.PrintTitles" hidden="1">#REF!</definedName>
    <definedName name="Z_9066F505_4944_4582_AAF9_B40B49D59413_.wvu.Rows" localSheetId="5" hidden="1">#REF!</definedName>
    <definedName name="Z_9066F505_4944_4582_AAF9_B40B49D59413_.wvu.Rows" hidden="1">#REF!</definedName>
    <definedName name="Z_91488B6D_F045_4050_BA1B_41C2E3B3B10A_.wvu.FilterData" localSheetId="5" hidden="1">#REF!</definedName>
    <definedName name="Z_91488B6D_F045_4050_BA1B_41C2E3B3B10A_.wvu.FilterData" hidden="1">#REF!</definedName>
    <definedName name="Z_92919032_3A1D_4E0A_A8D8_FD23494D13A8_.wvu.FilterData" localSheetId="5" hidden="1">#REF!</definedName>
    <definedName name="Z_92919032_3A1D_4E0A_A8D8_FD23494D13A8_.wvu.FilterData" hidden="1">#REF!</definedName>
    <definedName name="Z_9587B38A_B060_410B_8598_4B23623A371C_.wvu.FilterData" localSheetId="5" hidden="1">#REF!</definedName>
    <definedName name="Z_9587B38A_B060_410B_8598_4B23623A371C_.wvu.FilterData" hidden="1">#REF!</definedName>
    <definedName name="Z_96EB0306_BB94_45E8_9D0D_4C07A6623010_.wvu.FilterData" localSheetId="5" hidden="1">#REF!</definedName>
    <definedName name="Z_96EB0306_BB94_45E8_9D0D_4C07A6623010_.wvu.FilterData" hidden="1">#REF!</definedName>
    <definedName name="Z_97666733_8666_4F9D_9588_AF9B6CF9224C_.wvu.FilterData" localSheetId="5" hidden="1">#REF!</definedName>
    <definedName name="Z_97666733_8666_4F9D_9588_AF9B6CF9224C_.wvu.FilterData" hidden="1">#REF!</definedName>
    <definedName name="Z_98599B4F_1D05_4040_9183_E1D7A1DDEB9C_.wvu.FilterData" localSheetId="5" hidden="1">#REF!</definedName>
    <definedName name="Z_98599B4F_1D05_4040_9183_E1D7A1DDEB9C_.wvu.FilterData" hidden="1">#REF!</definedName>
    <definedName name="Z_98C8BF36_C172_45C3_8EFB_521E6ACCA0D3_.wvu.FilterData" localSheetId="5" hidden="1">#REF!</definedName>
    <definedName name="Z_98C8BF36_C172_45C3_8EFB_521E6ACCA0D3_.wvu.FilterData" hidden="1">#REF!</definedName>
    <definedName name="Z_9A372634_7C2D_4502_BF44_0C63FD1FB6D2_.wvu.FilterData" localSheetId="5" hidden="1">#REF!</definedName>
    <definedName name="Z_9A372634_7C2D_4502_BF44_0C63FD1FB6D2_.wvu.FilterData" hidden="1">#REF!</definedName>
    <definedName name="Z_9A5CC0D4_28E7_4461_BE2E_802002496535_.wvu.FilterData" localSheetId="5" hidden="1">#REF!</definedName>
    <definedName name="Z_9A5CC0D4_28E7_4461_BE2E_802002496535_.wvu.FilterData" hidden="1">#REF!</definedName>
    <definedName name="Z_9C86BF25_210A_4B5C_9F2A_856CA801294A_.wvu.FilterData" localSheetId="5" hidden="1">#REF!</definedName>
    <definedName name="Z_9C86BF25_210A_4B5C_9F2A_856CA801294A_.wvu.FilterData" hidden="1">#REF!</definedName>
    <definedName name="Z_9C8AF864_7E20_415C_848E_C2849E8CBF0C_.wvu.FilterData" localSheetId="5" hidden="1">#REF!</definedName>
    <definedName name="Z_9C8AF864_7E20_415C_848E_C2849E8CBF0C_.wvu.FilterData" hidden="1">#REF!</definedName>
    <definedName name="Z_9E7B61E2_2701_4257_A261_86548A6D7D7C_.wvu.FilterData" localSheetId="5" hidden="1">#REF!</definedName>
    <definedName name="Z_9E7B61E2_2701_4257_A261_86548A6D7D7C_.wvu.FilterData" hidden="1">#REF!</definedName>
    <definedName name="Z_A0276843_5A14_4A7A_AD1C_583475FE9ED2_.wvu.FilterData" localSheetId="5" hidden="1">#REF!</definedName>
    <definedName name="Z_A0276843_5A14_4A7A_AD1C_583475FE9ED2_.wvu.FilterData" hidden="1">#REF!</definedName>
    <definedName name="Z_A2CB926C_E33A_4E38_9626_682814771DB1_.wvu.FilterData" localSheetId="5" hidden="1">#REF!</definedName>
    <definedName name="Z_A2CB926C_E33A_4E38_9626_682814771DB1_.wvu.FilterData" hidden="1">#REF!</definedName>
    <definedName name="Z_A320C8A7_8D87_4204_85D4_AE25493D1363_.wvu.FilterData" localSheetId="5" hidden="1">#REF!</definedName>
    <definedName name="Z_A320C8A7_8D87_4204_85D4_AE25493D1363_.wvu.FilterData" hidden="1">#REF!</definedName>
    <definedName name="Z_A5F4C2AC_640B_40D9_88C9_69B3215DBE96_.wvu.FilterData" localSheetId="5" hidden="1">#REF!</definedName>
    <definedName name="Z_A5F4C2AC_640B_40D9_88C9_69B3215DBE96_.wvu.FilterData" hidden="1">#REF!</definedName>
    <definedName name="Z_A686C168_1672_48B1_ADFD_481A1276CC81_.wvu.FilterData" localSheetId="5" hidden="1">#REF!</definedName>
    <definedName name="Z_A686C168_1672_48B1_ADFD_481A1276CC81_.wvu.FilterData" hidden="1">#REF!</definedName>
    <definedName name="Z_A933351F_4BD3_4901_98D5_53D192BD61DC_.wvu.FilterData" localSheetId="5" hidden="1">#REF!</definedName>
    <definedName name="Z_A933351F_4BD3_4901_98D5_53D192BD61DC_.wvu.FilterData" hidden="1">#REF!</definedName>
    <definedName name="Z_AA0BD2F5_1513_40DB_B224_CC27CA57E181_.wvu.FilterData" localSheetId="5" hidden="1">#REF!</definedName>
    <definedName name="Z_AA0BD2F5_1513_40DB_B224_CC27CA57E181_.wvu.FilterData" hidden="1">#REF!</definedName>
    <definedName name="Z_AA329A38_94E6_4014_8D54_EFB48C7FA433_.wvu.FilterData" localSheetId="5" hidden="1">#REF!</definedName>
    <definedName name="Z_AA329A38_94E6_4014_8D54_EFB48C7FA433_.wvu.FilterData" hidden="1">#REF!</definedName>
    <definedName name="Z_AC5679A6_5A24_441C_BBA3_F0C9D8E8E441_.wvu.FilterData" localSheetId="5" hidden="1">#REF!</definedName>
    <definedName name="Z_AC5679A6_5A24_441C_BBA3_F0C9D8E8E441_.wvu.FilterData" hidden="1">#REF!</definedName>
    <definedName name="Z_ACE528A7_3516_429C_8E77_FA07F86ED2D8_.wvu.Cols" localSheetId="5" hidden="1">#REF!</definedName>
    <definedName name="Z_ACE528A7_3516_429C_8E77_FA07F86ED2D8_.wvu.Cols" hidden="1">#REF!</definedName>
    <definedName name="Z_AE302359_F16A_4874_8921_3865B0ECD878_.wvu.FilterData" localSheetId="5" hidden="1">#REF!</definedName>
    <definedName name="Z_AE302359_F16A_4874_8921_3865B0ECD878_.wvu.FilterData" hidden="1">#REF!</definedName>
    <definedName name="Z_AF0BF736_181F_4A59_8FB9_D3BCA8E591F7_.wvu.FilterData" localSheetId="5" hidden="1">#REF!</definedName>
    <definedName name="Z_AF0BF736_181F_4A59_8FB9_D3BCA8E591F7_.wvu.FilterData" hidden="1">#REF!</definedName>
    <definedName name="Z_AF12B415_1D2E_4088_9C86_BB0173951217_.wvu.FilterData" localSheetId="5" hidden="1">#REF!</definedName>
    <definedName name="Z_AF12B415_1D2E_4088_9C86_BB0173951217_.wvu.FilterData" hidden="1">#REF!</definedName>
    <definedName name="Z_AF537E87_E5DE_4792_8C82_FFA1FC35463A_.wvu.FilterData" localSheetId="5" hidden="1">#REF!</definedName>
    <definedName name="Z_AF537E87_E5DE_4792_8C82_FFA1FC35463A_.wvu.FilterData" hidden="1">#REF!</definedName>
    <definedName name="Z_B1269BAB_A618_45E5_8379_9ECE98405A14_.wvu.FilterData" localSheetId="5" hidden="1">#REF!</definedName>
    <definedName name="Z_B1269BAB_A618_45E5_8379_9ECE98405A14_.wvu.FilterData" hidden="1">#REF!</definedName>
    <definedName name="Z_B20EEB3D_E9E6_496E_8678_B417DDC74718_.wvu.FilterData" localSheetId="5" hidden="1">#REF!</definedName>
    <definedName name="Z_B20EEB3D_E9E6_496E_8678_B417DDC74718_.wvu.FilterData" hidden="1">#REF!</definedName>
    <definedName name="Z_B3255642_8A6B_11D5_916F_005004920FCB_.wvu.PrintTitles" localSheetId="5" hidden="1">#REF!</definedName>
    <definedName name="Z_B3255642_8A6B_11D5_916F_005004920FCB_.wvu.PrintTitles" hidden="1">#REF!</definedName>
    <definedName name="Z_B4864B96_AD18_4114_8AFA_A8BAA8915737_.wvu.FilterData" localSheetId="5" hidden="1">#REF!</definedName>
    <definedName name="Z_B4864B96_AD18_4114_8AFA_A8BAA8915737_.wvu.FilterData" hidden="1">#REF!</definedName>
    <definedName name="Z_B645C4A8_1830_42C7_9DBF_0F519499A6CE_.wvu.FilterData" localSheetId="5" hidden="1">#REF!</definedName>
    <definedName name="Z_B645C4A8_1830_42C7_9DBF_0F519499A6CE_.wvu.FilterData" hidden="1">#REF!</definedName>
    <definedName name="Z_B7475313_60A1_440E_A07B_6B97978B34F2_.wvu.FilterData" localSheetId="5" hidden="1">#REF!</definedName>
    <definedName name="Z_B7475313_60A1_440E_A07B_6B97978B34F2_.wvu.FilterData" hidden="1">#REF!</definedName>
    <definedName name="Z_B891B51F_1CA2_435F_A819_8A494B08D3EE_.wvu.FilterData" localSheetId="5" hidden="1">#REF!</definedName>
    <definedName name="Z_B891B51F_1CA2_435F_A819_8A494B08D3EE_.wvu.FilterData" hidden="1">#REF!</definedName>
    <definedName name="Z_B8CE2FA5_D3F2_48A0_8603_A3FBA2808CB4_.wvu.FilterData" localSheetId="5" hidden="1">#REF!</definedName>
    <definedName name="Z_B8CE2FA5_D3F2_48A0_8603_A3FBA2808CB4_.wvu.FilterData" hidden="1">#REF!</definedName>
    <definedName name="Z_B9837360_94DA_11D7_9C1E_0004231B06E7_.wvu.FilterData" localSheetId="5" hidden="1">#REF!</definedName>
    <definedName name="Z_B9837360_94DA_11D7_9C1E_0004231B06E7_.wvu.FilterData" hidden="1">#REF!</definedName>
    <definedName name="Z_BBE1AFA0_C6F6_4019_9D53_075DA4654337_.wvu.FilterData" localSheetId="5" hidden="1">#REF!</definedName>
    <definedName name="Z_BBE1AFA0_C6F6_4019_9D53_075DA4654337_.wvu.FilterData" hidden="1">#REF!</definedName>
    <definedName name="Z_BC0EED6A_3F15_49FF_A48F_B40AC74B528A_.wvu.FilterData" localSheetId="5" hidden="1">#REF!</definedName>
    <definedName name="Z_BC0EED6A_3F15_49FF_A48F_B40AC74B528A_.wvu.FilterData" hidden="1">#REF!</definedName>
    <definedName name="Z_BC4212E8_2D54_48E9_A2B4_66875F86EBEF_.wvu.FilterData" localSheetId="5" hidden="1">#REF!</definedName>
    <definedName name="Z_BC4212E8_2D54_48E9_A2B4_66875F86EBEF_.wvu.FilterData" hidden="1">#REF!</definedName>
    <definedName name="Z_BE48B5BF_102F_4FB8_8807_DA126440E01B_.wvu.FilterData" localSheetId="5" hidden="1">#REF!</definedName>
    <definedName name="Z_BE48B5BF_102F_4FB8_8807_DA126440E01B_.wvu.FilterData" hidden="1">#REF!</definedName>
    <definedName name="Z_BE949522_4A35_4352_9A91_0CE0E28D3461_.wvu.FilterData" localSheetId="5" hidden="1">#REF!</definedName>
    <definedName name="Z_BE949522_4A35_4352_9A91_0CE0E28D3461_.wvu.FilterData" hidden="1">#REF!</definedName>
    <definedName name="Z_C1310828_8567_4952_A9D3_7183F1221321_.wvu.FilterData" localSheetId="5" hidden="1">#REF!</definedName>
    <definedName name="Z_C1310828_8567_4952_A9D3_7183F1221321_.wvu.FilterData" hidden="1">#REF!</definedName>
    <definedName name="Z_C581774C_2FCD_4906_B930_CCB3F9F9A50B_.wvu.FilterData" localSheetId="5" hidden="1">#REF!</definedName>
    <definedName name="Z_C581774C_2FCD_4906_B930_CCB3F9F9A50B_.wvu.FilterData" hidden="1">#REF!</definedName>
    <definedName name="Z_C67C9A44_7556_4756_AC39_E00F137116ED_.wvu.FilterData" localSheetId="5" hidden="1">#REF!</definedName>
    <definedName name="Z_C67C9A44_7556_4756_AC39_E00F137116ED_.wvu.FilterData" hidden="1">#REF!</definedName>
    <definedName name="Z_C908089F_9A5A_11D7_9C1E_0004231B06E7_.wvu.FilterData" localSheetId="5" hidden="1">#REF!</definedName>
    <definedName name="Z_C908089F_9A5A_11D7_9C1E_0004231B06E7_.wvu.FilterData" hidden="1">#REF!</definedName>
    <definedName name="Z_C942EE3A_8DBF_41D7_ADAF_F43C01F31E23_.wvu.FilterData" localSheetId="5" hidden="1">#REF!</definedName>
    <definedName name="Z_C942EE3A_8DBF_41D7_ADAF_F43C01F31E23_.wvu.FilterData" hidden="1">#REF!</definedName>
    <definedName name="Z_CB8FB7EE_B771_11D7_9C1E_0004231B06E7_.wvu.FilterData" localSheetId="5" hidden="1">#REF!</definedName>
    <definedName name="Z_CB8FB7EE_B771_11D7_9C1E_0004231B06E7_.wvu.FilterData" hidden="1">#REF!</definedName>
    <definedName name="Z_CB8FB7F1_B771_11D7_9C1E_0004231B06E7_.wvu.FilterData" localSheetId="5" hidden="1">#REF!</definedName>
    <definedName name="Z_CB8FB7F1_B771_11D7_9C1E_0004231B06E7_.wvu.FilterData" hidden="1">#REF!</definedName>
    <definedName name="Z_CD48E0DF_E307_492A_9CFD_ADF6DE6ECCFB_.wvu.FilterData" localSheetId="5" hidden="1">#REF!</definedName>
    <definedName name="Z_CD48E0DF_E307_492A_9CFD_ADF6DE6ECCFB_.wvu.FilterData" hidden="1">#REF!</definedName>
    <definedName name="Z_CDAD3BC7_95B1_4949_91B3_EAB234D2A550_.wvu.FilterData" localSheetId="5" hidden="1">#REF!</definedName>
    <definedName name="Z_CDAD3BC7_95B1_4949_91B3_EAB234D2A550_.wvu.FilterData" hidden="1">#REF!</definedName>
    <definedName name="Z_CE1A6073_4007_44EE_88D3_3C79CF746C78_.wvu.FilterData" localSheetId="5" hidden="1">#REF!</definedName>
    <definedName name="Z_CE1A6073_4007_44EE_88D3_3C79CF746C78_.wvu.FilterData" hidden="1">#REF!</definedName>
    <definedName name="Z_D0500033_B90B_46E5_BD62_60D0DA033A55_.wvu.FilterData" localSheetId="5" hidden="1">#REF!</definedName>
    <definedName name="Z_D0500033_B90B_46E5_BD62_60D0DA033A55_.wvu.FilterData" hidden="1">#REF!</definedName>
    <definedName name="Z_D11C04A2_606C_4EF4_9AD3_4865E5EFAE70_.wvu.FilterData" localSheetId="5" hidden="1">#REF!</definedName>
    <definedName name="Z_D11C04A2_606C_4EF4_9AD3_4865E5EFAE70_.wvu.FilterData" hidden="1">#REF!</definedName>
    <definedName name="Z_D1371C66_ADFD_11D7_9C1E_0004231B06E7_.wvu.FilterData" localSheetId="5" hidden="1">#REF!</definedName>
    <definedName name="Z_D1371C66_ADFD_11D7_9C1E_0004231B06E7_.wvu.FilterData" hidden="1">#REF!</definedName>
    <definedName name="Z_D1371C82_ADFD_11D7_9C1E_0004231B06E7_.wvu.FilterData" localSheetId="5" hidden="1">#REF!</definedName>
    <definedName name="Z_D1371C82_ADFD_11D7_9C1E_0004231B06E7_.wvu.FilterData" hidden="1">#REF!</definedName>
    <definedName name="Z_D1371C98_ADFD_11D7_9C1E_0004231B06E7_.wvu.FilterData" localSheetId="5" hidden="1">#REF!</definedName>
    <definedName name="Z_D1371C98_ADFD_11D7_9C1E_0004231B06E7_.wvu.FilterData" hidden="1">#REF!</definedName>
    <definedName name="Z_D15727E9_9BC2_420E_AC98_E8E9B60BD754_.wvu.FilterData" localSheetId="5" hidden="1">#REF!</definedName>
    <definedName name="Z_D15727E9_9BC2_420E_AC98_E8E9B60BD754_.wvu.FilterData" hidden="1">#REF!</definedName>
    <definedName name="Z_D371D622_5497_46A4_826D_01F2F492E39D_.wvu.FilterData" localSheetId="5" hidden="1">#REF!</definedName>
    <definedName name="Z_D371D622_5497_46A4_826D_01F2F492E39D_.wvu.FilterData" hidden="1">#REF!</definedName>
    <definedName name="Z_D3FF2053_BD11_4CA8_9648_A06F387C0C79_.wvu.FilterData" localSheetId="5" hidden="1">#REF!</definedName>
    <definedName name="Z_D3FF2053_BD11_4CA8_9648_A06F387C0C79_.wvu.FilterData" hidden="1">#REF!</definedName>
    <definedName name="Z_D4D6DC3A_302F_4BF4_8221_EFB7EA05B30F_.wvu.FilterData" localSheetId="5" hidden="1">#REF!</definedName>
    <definedName name="Z_D4D6DC3A_302F_4BF4_8221_EFB7EA05B30F_.wvu.FilterData" hidden="1">#REF!</definedName>
    <definedName name="Z_D4FF4BA0_F9BE_4CEE_B334_FBD19DA86BF4_.wvu.FilterData" localSheetId="5" hidden="1">#REF!</definedName>
    <definedName name="Z_D4FF4BA0_F9BE_4CEE_B334_FBD19DA86BF4_.wvu.FilterData" hidden="1">#REF!</definedName>
    <definedName name="Z_D5810466_54E3_455B_B341_3E7B86FB72D3_.wvu.FilterData" localSheetId="5" hidden="1">#REF!</definedName>
    <definedName name="Z_D5810466_54E3_455B_B341_3E7B86FB72D3_.wvu.FilterData" hidden="1">#REF!</definedName>
    <definedName name="Z_D60B1DF7_D653_4F01_B5AD_6A66E578C24F_.wvu.FilterData" localSheetId="5" hidden="1">#REF!</definedName>
    <definedName name="Z_D60B1DF7_D653_4F01_B5AD_6A66E578C24F_.wvu.FilterData" hidden="1">#REF!</definedName>
    <definedName name="Z_D684BA0E_B94B_4BF7_8F27_4E3A1924425C_.wvu.FilterData" localSheetId="5" hidden="1">#REF!</definedName>
    <definedName name="Z_D684BA0E_B94B_4BF7_8F27_4E3A1924425C_.wvu.FilterData" hidden="1">#REF!</definedName>
    <definedName name="Z_D9443332_B48E_4E65_8F23_AC96FB75A5A9_.wvu.FilterData" localSheetId="5" hidden="1">#REF!</definedName>
    <definedName name="Z_D9443332_B48E_4E65_8F23_AC96FB75A5A9_.wvu.FilterData" hidden="1">#REF!</definedName>
    <definedName name="Z_DAA35AF8_874B_4671_A195_994D9700CFB0_.wvu.FilterData" localSheetId="5" hidden="1">#REF!</definedName>
    <definedName name="Z_DAA35AF8_874B_4671_A195_994D9700CFB0_.wvu.FilterData" hidden="1">#REF!</definedName>
    <definedName name="Z_DB31579F_8662_40C5_BB19_660F0F7B70E5_.wvu.FilterData" localSheetId="5" hidden="1">#REF!</definedName>
    <definedName name="Z_DB31579F_8662_40C5_BB19_660F0F7B70E5_.wvu.FilterData" hidden="1">#REF!</definedName>
    <definedName name="Z_DB349C77_BBCF_4BF0_8906_770DC9CEB279_.wvu.FilterData" localSheetId="5" hidden="1">#REF!</definedName>
    <definedName name="Z_DB349C77_BBCF_4BF0_8906_770DC9CEB279_.wvu.FilterData" hidden="1">#REF!</definedName>
    <definedName name="Z_DBA9A16F_C863_43D6_BEF6_4907AD7FF11A_.wvu.FilterData" localSheetId="5" hidden="1">#REF!</definedName>
    <definedName name="Z_DBA9A16F_C863_43D6_BEF6_4907AD7FF11A_.wvu.FilterData" hidden="1">#REF!</definedName>
    <definedName name="Z_DC39DC03_5BF1_41DE_A26D_8DA774859990_.wvu.FilterData" localSheetId="5" hidden="1">#REF!</definedName>
    <definedName name="Z_DC39DC03_5BF1_41DE_A26D_8DA774859990_.wvu.FilterData" hidden="1">#REF!</definedName>
    <definedName name="Z_DC4BE57B_E9B6_4823_AAB5_0B4AD0A1C9F8_.wvu.FilterData" localSheetId="5" hidden="1">#REF!</definedName>
    <definedName name="Z_DC4BE57B_E9B6_4823_AAB5_0B4AD0A1C9F8_.wvu.FilterData" hidden="1">#REF!</definedName>
    <definedName name="Z_DD40B456_B833_4D7B_A3C9_47AA2D6A0830_.wvu.FilterData" localSheetId="5" hidden="1">#REF!</definedName>
    <definedName name="Z_DD40B456_B833_4D7B_A3C9_47AA2D6A0830_.wvu.FilterData" hidden="1">#REF!</definedName>
    <definedName name="Z_DDC9046D_2716_4CA3_9471_7091058B3C12_.wvu.FilterData" localSheetId="5" hidden="1">#REF!</definedName>
    <definedName name="Z_DDC9046D_2716_4CA3_9471_7091058B3C12_.wvu.FilterData" hidden="1">#REF!</definedName>
    <definedName name="Z_DF3B204A_F509_4DA0_BCB7_F89536B5FEBF_.wvu.FilterData" localSheetId="5" hidden="1">#REF!</definedName>
    <definedName name="Z_DF3B204A_F509_4DA0_BCB7_F89536B5FEBF_.wvu.FilterData" hidden="1">#REF!</definedName>
    <definedName name="Z_E3FFE9E0_6C4F_4FB4_A56E_FBE96871B5C8_.wvu.Cols" localSheetId="5" hidden="1">#REF!,#REF!</definedName>
    <definedName name="Z_E3FFE9E0_6C4F_4FB4_A56E_FBE96871B5C8_.wvu.Cols" hidden="1">#REF!,#REF!</definedName>
    <definedName name="Z_E3FFE9E0_6C4F_4FB4_A56E_FBE96871B5C8_.wvu.FilterData" localSheetId="5" hidden="1">#REF!</definedName>
    <definedName name="Z_E3FFE9E0_6C4F_4FB4_A56E_FBE96871B5C8_.wvu.FilterData" hidden="1">#REF!</definedName>
    <definedName name="Z_E42D429F_E4E8_41D2_9176_83C726BAF8E3_.wvu.FilterData" localSheetId="5" hidden="1">#REF!</definedName>
    <definedName name="Z_E42D429F_E4E8_41D2_9176_83C726BAF8E3_.wvu.FilterData" hidden="1">#REF!</definedName>
    <definedName name="Z_E491B72F_902A_11D7_9C1E_0004231B06E7_.wvu.FilterData" localSheetId="5" hidden="1">#REF!</definedName>
    <definedName name="Z_E491B72F_902A_11D7_9C1E_0004231B06E7_.wvu.FilterData" hidden="1">#REF!</definedName>
    <definedName name="Z_E491B77E_902A_11D7_9C1E_0004231B06E7_.wvu.FilterData" localSheetId="5" hidden="1">#REF!</definedName>
    <definedName name="Z_E491B77E_902A_11D7_9C1E_0004231B06E7_.wvu.FilterData" hidden="1">#REF!</definedName>
    <definedName name="Z_E4A534A8_CD89_4423_9F3F_8134353F3CAC_.wvu.FilterData" localSheetId="5" hidden="1">#REF!</definedName>
    <definedName name="Z_E4A534A8_CD89_4423_9F3F_8134353F3CAC_.wvu.FilterData" hidden="1">#REF!</definedName>
    <definedName name="Z_E4E1532E_DC25_47E7_8CAC_8E70342889F1_.wvu.FilterData" localSheetId="5" hidden="1">#REF!</definedName>
    <definedName name="Z_E4E1532E_DC25_47E7_8CAC_8E70342889F1_.wvu.FilterData" hidden="1">#REF!</definedName>
    <definedName name="Z_E74731A0_5CEF_4B97_AFDD_B1DCA3953478_.wvu.FilterData" localSheetId="5" hidden="1">#REF!</definedName>
    <definedName name="Z_E74731A0_5CEF_4B97_AFDD_B1DCA3953478_.wvu.FilterData" hidden="1">#REF!</definedName>
    <definedName name="Z_E7582842_0D7F_4174_A223_2AB1DD8C9047_.wvu.FilterData" localSheetId="5" hidden="1">#REF!</definedName>
    <definedName name="Z_E7582842_0D7F_4174_A223_2AB1DD8C9047_.wvu.FilterData" hidden="1">#REF!</definedName>
    <definedName name="Z_E7E3B215_0D2B_424B_B9A9_091ABF42A9B2_.wvu.FilterData" localSheetId="5" hidden="1">#REF!</definedName>
    <definedName name="Z_E7E3B215_0D2B_424B_B9A9_091ABF42A9B2_.wvu.FilterData" hidden="1">#REF!</definedName>
    <definedName name="Z_E833D806_B408_4951_8EA0_84873DD98CC6_.wvu.FilterData" localSheetId="5" hidden="1">#REF!</definedName>
    <definedName name="Z_E833D806_B408_4951_8EA0_84873DD98CC6_.wvu.FilterData" hidden="1">#REF!</definedName>
    <definedName name="Z_E84FA520_D8B7_472A_9913_1B62E15D532D_.wvu.FilterData" localSheetId="5" hidden="1">#REF!</definedName>
    <definedName name="Z_E84FA520_D8B7_472A_9913_1B62E15D532D_.wvu.FilterData" hidden="1">#REF!</definedName>
    <definedName name="Z_E856A7FB_F0DE_4CE8_85BE_FBD78193AF0B_.wvu.FilterData" localSheetId="5" hidden="1">#REF!</definedName>
    <definedName name="Z_E856A7FB_F0DE_4CE8_85BE_FBD78193AF0B_.wvu.FilterData" hidden="1">#REF!</definedName>
    <definedName name="Z_E8B81FC8_C17A_451A_B505_641DE5886245_.wvu.FilterData" localSheetId="5" hidden="1">#REF!</definedName>
    <definedName name="Z_E8B81FC8_C17A_451A_B505_641DE5886245_.wvu.FilterData" hidden="1">#REF!</definedName>
    <definedName name="Z_EA900FC6_5EC3_4E18_9ED9_37FAC8862A4C_.wvu.FilterData" localSheetId="5" hidden="1">#REF!</definedName>
    <definedName name="Z_EA900FC6_5EC3_4E18_9ED9_37FAC8862A4C_.wvu.FilterData" hidden="1">#REF!</definedName>
    <definedName name="Z_EC12F0CE_807C_4CF2_B52D_1E5945238C05_.wvu.FilterData" localSheetId="5" hidden="1">#REF!</definedName>
    <definedName name="Z_EC12F0CE_807C_4CF2_B52D_1E5945238C05_.wvu.FilterData" hidden="1">#REF!</definedName>
    <definedName name="Z_EC74CDC8_4C91_4C55_BE9F_24DF0A9793FF_.wvu.FilterData" localSheetId="5" hidden="1">#REF!</definedName>
    <definedName name="Z_EC74CDC8_4C91_4C55_BE9F_24DF0A9793FF_.wvu.FilterData" hidden="1">#REF!</definedName>
    <definedName name="Z_ED3E33DB_FBFA_4FDE_929F_AD12074101A3_.wvu.FilterData" localSheetId="5" hidden="1">#REF!</definedName>
    <definedName name="Z_ED3E33DB_FBFA_4FDE_929F_AD12074101A3_.wvu.FilterData" hidden="1">#REF!</definedName>
    <definedName name="Z_EE21DFC7_81AA_40DA_B313_9BC83DA41DD6_.wvu.FilterData" localSheetId="5" hidden="1">#REF!</definedName>
    <definedName name="Z_EE21DFC7_81AA_40DA_B313_9BC83DA41DD6_.wvu.FilterData" hidden="1">#REF!</definedName>
    <definedName name="Z_EE5311D7_3149_40F1_82F5_7EEC6ACB6C85_.wvu.FilterData" localSheetId="5" hidden="1">#REF!</definedName>
    <definedName name="Z_EE5311D7_3149_40F1_82F5_7EEC6ACB6C85_.wvu.FilterData" hidden="1">#REF!</definedName>
    <definedName name="Z_EEE8CD21_C3A5_4786_B8BE_B9E68F0A5347_.wvu.FilterData" localSheetId="5" hidden="1">#REF!</definedName>
    <definedName name="Z_EEE8CD21_C3A5_4786_B8BE_B9E68F0A5347_.wvu.FilterData" hidden="1">#REF!</definedName>
    <definedName name="Z_F0522591_4E2E_4AD6_B99B_B69551272A68_.wvu.FilterData" localSheetId="5" hidden="1">#REF!</definedName>
    <definedName name="Z_F0522591_4E2E_4AD6_B99B_B69551272A68_.wvu.FilterData" hidden="1">#REF!</definedName>
    <definedName name="Z_F1326E0B_5376_4D6E_9BC8_214AA525DE83_.wvu.FilterData" localSheetId="5" hidden="1">#REF!</definedName>
    <definedName name="Z_F1326E0B_5376_4D6E_9BC8_214AA525DE83_.wvu.FilterData" hidden="1">#REF!</definedName>
    <definedName name="Z_F2145668_4090_4220_8C3C_9C4DCC7A01D1_.wvu.Cols" localSheetId="5" hidden="1">#REF!</definedName>
    <definedName name="Z_F2145668_4090_4220_8C3C_9C4DCC7A01D1_.wvu.Cols" hidden="1">#REF!</definedName>
    <definedName name="Z_F2145668_4090_4220_8C3C_9C4DCC7A01D1_.wvu.FilterData" localSheetId="5" hidden="1">#REF!</definedName>
    <definedName name="Z_F2145668_4090_4220_8C3C_9C4DCC7A01D1_.wvu.FilterData" hidden="1">#REF!</definedName>
    <definedName name="Z_F300E2D5_C458_4E4B_AB71_FF06367EF684_.wvu.FilterData" localSheetId="5" hidden="1">#REF!</definedName>
    <definedName name="Z_F300E2D5_C458_4E4B_AB71_FF06367EF684_.wvu.FilterData" hidden="1">#REF!</definedName>
    <definedName name="Z_F3F443DB_8EE1_48F9_9BF4_EAF21EDD719F_.wvu.FilterData" localSheetId="5" hidden="1">#REF!</definedName>
    <definedName name="Z_F3F443DB_8EE1_48F9_9BF4_EAF21EDD719F_.wvu.FilterData" hidden="1">#REF!</definedName>
    <definedName name="Z_F6923408_DB58_4A59_8717_D0133A922204_.wvu.FilterData" localSheetId="5" hidden="1">#REF!</definedName>
    <definedName name="Z_F6923408_DB58_4A59_8717_D0133A922204_.wvu.FilterData" hidden="1">#REF!</definedName>
    <definedName name="Z_F9CB3A99_6D24_412C_93C4_575819594890_.wvu.FilterData" localSheetId="5" hidden="1">#REF!</definedName>
    <definedName name="Z_F9CB3A99_6D24_412C_93C4_575819594890_.wvu.FilterData" hidden="1">#REF!</definedName>
    <definedName name="Z_FA40CB26_17FE_4901_96A4_2176E8FA5EEE_.wvu.FilterData" localSheetId="5" hidden="1">#REF!</definedName>
    <definedName name="Z_FA40CB26_17FE_4901_96A4_2176E8FA5EEE_.wvu.FilterData" hidden="1">#REF!</definedName>
    <definedName name="Z_FC4D1412_4B52_4393_A184_1BAD70B9C231_.wvu.FilterData" localSheetId="5" hidden="1">#REF!</definedName>
    <definedName name="Z_FC4D1412_4B52_4393_A184_1BAD70B9C231_.wvu.FilterData" hidden="1">#REF!</definedName>
    <definedName name="Z_FD259A29_AD61_4284_9BC7_5C3B20DD002B_.wvu.FilterData" localSheetId="5" hidden="1">#REF!</definedName>
    <definedName name="Z_FD259A29_AD61_4284_9BC7_5C3B20DD002B_.wvu.FilterData" hidden="1">#REF!</definedName>
    <definedName name="Z_FDFF93A6_D487_497C_8FA1_B8636451E74C_.wvu.FilterData" localSheetId="5" hidden="1">#REF!</definedName>
    <definedName name="Z_FDFF93A6_D487_497C_8FA1_B8636451E74C_.wvu.FilterData" hidden="1">#REF!</definedName>
    <definedName name="Z_FE37516D_56E4_424C_8DE6_6B2719F76EF4_.wvu.FilterData" localSheetId="5" hidden="1">#REF!</definedName>
    <definedName name="Z_FE37516D_56E4_424C_8DE6_6B2719F76EF4_.wvu.FilterData" hidden="1">#REF!</definedName>
    <definedName name="Z_FEBB3479_FB57_4CDC_BCCD_5D8B83257FC7_.wvu.FilterData" localSheetId="5" hidden="1">#REF!</definedName>
    <definedName name="Z_FEBB3479_FB57_4CDC_BCCD_5D8B83257FC7_.wvu.FilterData" hidden="1">#REF!</definedName>
    <definedName name="zcdçskld" localSheetId="5" hidden="1">{#N/A,#N/A,FALSE,"Plan1";#N/A,#N/A,FALSE,"Plan2"}</definedName>
    <definedName name="zcdçskld" hidden="1">{#N/A,#N/A,FALSE,"Plan1";#N/A,#N/A,FALSE,"Plan2"}</definedName>
    <definedName name="zcsdrfrt" localSheetId="5" hidden="1">{#N/A,#N/A,FALSE,"Plan1";#N/A,#N/A,FALSE,"Plan2"}</definedName>
    <definedName name="zcsdrfrt" hidden="1">{#N/A,#N/A,FALSE,"Plan1";#N/A,#N/A,FALSE,"Plan2"}</definedName>
    <definedName name="ZDRE" localSheetId="5" hidden="1">{#N/A,#N/A,FALSE,"Plan1";#N/A,#N/A,FALSE,"Plan2"}</definedName>
    <definedName name="ZDRE" hidden="1">{#N/A,#N/A,FALSE,"Plan1";#N/A,#N/A,FALSE,"Plan2"}</definedName>
    <definedName name="ZEZE" localSheetId="5">#REF!</definedName>
    <definedName name="ZEZE">#REF!</definedName>
    <definedName name="ZIN" localSheetId="5">#REF!</definedName>
    <definedName name="ZIN">#REF!</definedName>
    <definedName name="ZINS" localSheetId="5">#REF!</definedName>
    <definedName name="ZINS">#REF!</definedName>
    <definedName name="ZSADF" localSheetId="5" hidden="1">{#N/A,#N/A,FALSE,"Plan1";#N/A,#N/A,FALSE,"Plan2"}</definedName>
    <definedName name="ZSADF" hidden="1">{#N/A,#N/A,FALSE,"Plan1";#N/A,#N/A,FALSE,"Plan2"}</definedName>
    <definedName name="zsads" localSheetId="5" hidden="1">{#N/A,#N/A,FALSE,"Plan1";#N/A,#N/A,FALSE,"Plan2"}</definedName>
    <definedName name="zsads" hidden="1">{#N/A,#N/A,FALSE,"Plan1";#N/A,#N/A,FALSE,"Plan2"}</definedName>
    <definedName name="ZSDFSETR" localSheetId="5" hidden="1">#REF!</definedName>
    <definedName name="ZSDFSETR" hidden="1">#REF!</definedName>
    <definedName name="zsds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5" hidden="1">{#N/A,#N/A,FALSE,"Plan1";#N/A,#N/A,FALSE,"Plan2"}</definedName>
    <definedName name="zxccdf" hidden="1">{#N/A,#N/A,FALSE,"Plan1";#N/A,#N/A,FALSE,"Plan2"}</definedName>
    <definedName name="zxcdsf" localSheetId="5" hidden="1">#REF!</definedName>
    <definedName name="zxcdsf" hidden="1">#REF!</definedName>
    <definedName name="zxcfdstrrt" localSheetId="5" hidden="1">{#N/A,#N/A,FALSE,"Plan1";#N/A,#N/A,FALSE,"Plan2"}</definedName>
    <definedName name="zxcfdstrrt" hidden="1">{#N/A,#N/A,FALSE,"Plan1";#N/A,#N/A,FALSE,"Plan2"}</definedName>
    <definedName name="zxcx" localSheetId="5" hidden="1">{#N/A,#N/A,FALSE,"Plan1";#N/A,#N/A,FALSE,"Plan2"}</definedName>
    <definedName name="zxcx" hidden="1">{#N/A,#N/A,FALSE,"Plan1";#N/A,#N/A,FALSE,"Plan2"}</definedName>
    <definedName name="ZXFCR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5" hidden="1">{#N/A,#N/A,FALSE,"Plan1";#N/A,#N/A,FALSE,"Plan2"}</definedName>
    <definedName name="ZXFHDFRHDF" hidden="1">{#N/A,#N/A,FALSE,"Plan1";#N/A,#N/A,FALSE,"Plan2"}</definedName>
    <definedName name="ZZ" localSheetId="5">#REF!</definedName>
    <definedName name="ZZ">#REF!</definedName>
    <definedName name="zzdftr" localSheetId="5" hidden="1">{#N/A,#N/A,FALSE,"Plan1";#N/A,#N/A,FALSE,"Plan2"}</definedName>
    <definedName name="zzdftr" hidden="1">{#N/A,#N/A,FALSE,"Plan1";#N/A,#N/A,FALSE,"Plan2"}</definedName>
    <definedName name="zzz" localSheetId="5">#REF!</definedName>
    <definedName name="zzz">#REF!</definedName>
    <definedName name="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5" hidden="1">{"'장비'!$A$3:$M$12"}</definedName>
    <definedName name="ㄱㄷㄱㄷㄱㄱㅎㄺㄷ" hidden="1">{"'장비'!$A$3:$M$12"}</definedName>
    <definedName name="가나다" localSheetId="5" hidden="1">#REF!</definedName>
    <definedName name="가나다" hidden="1">#REF!</definedName>
    <definedName name="검증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5" hidden="1">#REF!</definedName>
    <definedName name="견적조건" hidden="1">#REF!</definedName>
    <definedName name="계약고햔황2" localSheetId="5" hidden="1">#REF!</definedName>
    <definedName name="계약고햔황2" hidden="1">#REF!</definedName>
    <definedName name="계약고현황2" localSheetId="5" hidden="1">#REF!</definedName>
    <definedName name="계약고현황2" hidden="1">#REF!</definedName>
    <definedName name="고문" localSheetId="5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5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5" hidden="1">{#N/A,#N/A,FALSE,"ENG'G(보호계전기)"}</definedName>
    <definedName name="공급구분표_수정" hidden="1">{#N/A,#N/A,FALSE,"ENG'G(보호계전기)"}</definedName>
    <definedName name="공급표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5" hidden="1">#REF!</definedName>
    <definedName name="ㄴㄴㄴㄴ" hidden="1">#REF!</definedName>
    <definedName name="내역" localSheetId="5" hidden="1">{#N/A,#N/A,FALSE,"CCTV"}</definedName>
    <definedName name="내역" hidden="1">{#N/A,#N/A,FALSE,"CCTV"}</definedName>
    <definedName name="ㄷㄳ" localSheetId="5" hidden="1">{"'장비'!$A$3:$M$12"}</definedName>
    <definedName name="ㄷㄳ" hidden="1">{"'장비'!$A$3:$M$12"}</definedName>
    <definedName name="ㄷㄷㄷㄷ" localSheetId="5" hidden="1">{"'장비'!$A$3:$M$12"}</definedName>
    <definedName name="ㄷㄷㄷㄷ" hidden="1">{"'장비'!$A$3:$M$12"}</definedName>
    <definedName name="ㄷㅈㅂㄷ" localSheetId="5" hidden="1">{"'장비'!$A$3:$M$12"}</definedName>
    <definedName name="ㄷㅈㅂㄷ" hidden="1">{"'장비'!$A$3:$M$12"}</definedName>
    <definedName name="당초계획" localSheetId="5" hidden="1">#REF!</definedName>
    <definedName name="당초계획" hidden="1">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ㄹㄹ" localSheetId="5" hidden="1">{"'장비'!$A$3:$M$12"}</definedName>
    <definedName name="ㄹㄹ" hidden="1">{"'장비'!$A$3:$M$12"}</definedName>
    <definedName name="ㄹㄹㄹ" localSheetId="5" hidden="1">#REF!</definedName>
    <definedName name="ㄹㄹㄹ" hidden="1">#REF!</definedName>
    <definedName name="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5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5" hidden="1">{#N/A,#N/A,FALSE,"명세표"}</definedName>
    <definedName name="ㅁ" hidden="1">{#N/A,#N/A,FALSE,"명세표"}</definedName>
    <definedName name="ㅁㄱ해ㅜ5" localSheetId="5" hidden="1">#REF!</definedName>
    <definedName name="ㅁㄱ해ㅜ5" hidden="1">#REF!</definedName>
    <definedName name="ㅁ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5" hidden="1">{#N/A,#N/A,FALSE,"명세표"}</definedName>
    <definedName name="ㅁㅁ" hidden="1">{#N/A,#N/A,FALSE,"명세표"}</definedName>
    <definedName name="ㅁㅁㅁ" localSheetId="5" hidden="1">#REF!</definedName>
    <definedName name="ㅁㅁㅁ" hidden="1">#REF!</definedName>
    <definedName name="ㅁㅁㅁㅁㅁㅁㅁㅁㅁㅁㅁㅁ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5" hidden="1">{#N/A,#N/A,FALSE,"명세표"}</definedName>
    <definedName name="머" hidden="1">{#N/A,#N/A,FALSE,"명세표"}</definedName>
    <definedName name="ㅂㅂㅂㅂ" localSheetId="5" hidden="1">{#N/A,#N/A,FALSE,"명세표"}</definedName>
    <definedName name="ㅂㅂㅂㅂ" hidden="1">{#N/A,#N/A,FALSE,"명세표"}</definedName>
    <definedName name="ㅂㅂㅂㅂㅂㅂㅂ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5" hidden="1">{"'장비'!$A$3:$M$12"}</definedName>
    <definedName name="ㅂㅈㄱㅂㅈㄷㄱ" hidden="1">{"'장비'!$A$3:$M$12"}</definedName>
    <definedName name="ㅂㅈㄷ" localSheetId="5" hidden="1">{"'장비'!$A$3:$M$12"}</definedName>
    <definedName name="ㅂㅈㄷ" hidden="1">{"'장비'!$A$3:$M$12"}</definedName>
    <definedName name="ㅂㅈㄷㄷㅂㅈㅈㅂ" localSheetId="5" hidden="1">{"'장비'!$A$3:$M$12"}</definedName>
    <definedName name="ㅂㅈㄷㄷㅂㅈㅈㅂ" hidden="1">{"'장비'!$A$3:$M$12"}</definedName>
    <definedName name="ㅂㅈㄷㅂㅈ" localSheetId="5" hidden="1">{"'장비'!$A$3:$M$12"}</definedName>
    <definedName name="ㅂㅈㄷㅂㅈ" hidden="1">{"'장비'!$A$3:$M$12"}</definedName>
    <definedName name="ㅂㅈㄷㅂㅈㅈㅂㄷ" localSheetId="5" hidden="1">{"'장비'!$A$3:$M$12"}</definedName>
    <definedName name="ㅂㅈㄷㅂㅈㅈㅂㄷ" hidden="1">{"'장비'!$A$3:$M$12"}</definedName>
    <definedName name="ㅂㅈㄷㅈㅂㄷ" localSheetId="5" hidden="1">{"'장비'!$A$3:$M$12"}</definedName>
    <definedName name="ㅂㅈㄷㅈㅂㄷ" hidden="1">{"'장비'!$A$3:$M$12"}</definedName>
    <definedName name="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5" hidden="1">#REF!</definedName>
    <definedName name="보충" hidden="1">#REF!</definedName>
    <definedName name="보호" localSheetId="5" hidden="1">{#N/A,#N/A,FALSE,"ENG'G(보호계전기)"}</definedName>
    <definedName name="보호" hidden="1">{#N/A,#N/A,FALSE,"ENG'G(보호계전기)"}</definedName>
    <definedName name="본공사공정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5" hidden="1">#REF!</definedName>
    <definedName name="부대공사" hidden="1">#REF!</definedName>
    <definedName name="부손익" localSheetId="5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5" hidden="1">{"'장비'!$A$3:$M$12"}</definedName>
    <definedName name="ㅅㄱㄱㄷ" hidden="1">{"'장비'!$A$3:$M$12"}</definedName>
    <definedName name="ㅅㅅㅅㅅㅅ" localSheetId="5" hidden="1">{"'장비'!$A$3:$M$12"}</definedName>
    <definedName name="ㅅㅅㅅㅅㅅ" hidden="1">{"'장비'!$A$3:$M$12"}</definedName>
    <definedName name="사업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5" hidden="1">#REF!</definedName>
    <definedName name="사업계획수정" hidden="1">#REF!</definedName>
    <definedName name="사업관리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5" hidden="1">#REF!</definedName>
    <definedName name="사업부양식2" hidden="1">#REF!</definedName>
    <definedName name="산출" localSheetId="5" hidden="1">#REF!</definedName>
    <definedName name="산출" hidden="1">#REF!</definedName>
    <definedName name="새안" localSheetId="5" hidden="1">{#N/A,#N/A,FALSE,"TABLE"}</definedName>
    <definedName name="새안" hidden="1">{#N/A,#N/A,FALSE,"TABLE"}</definedName>
    <definedName name="석항" localSheetId="5" hidden="1">{#N/A,#N/A,FALSE,"명세표"}</definedName>
    <definedName name="석항" hidden="1">{#N/A,#N/A,FALSE,"명세표"}</definedName>
    <definedName name="설계현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5" hidden="1">#REF!</definedName>
    <definedName name="손익계산서" hidden="1">#REF!</definedName>
    <definedName name="쇼ㅗㅎ로" localSheetId="5" hidden="1">{"'장비'!$A$3:$M$12"}</definedName>
    <definedName name="쇼ㅗㅎ로" hidden="1">{"'장비'!$A$3:$M$12"}</definedName>
    <definedName name="수" localSheetId="5" hidden="1">#REF!</definedName>
    <definedName name="수" hidden="1">#REF!</definedName>
    <definedName name="수당" hidden="1">#N/A</definedName>
    <definedName name="신설" localSheetId="5" hidden="1">{#N/A,#N/A,FALSE,"명세표"}</definedName>
    <definedName name="신설" hidden="1">{#N/A,#N/A,FALSE,"명세표"}</definedName>
    <definedName name="실적총괄1" localSheetId="5" hidden="1">#REF!</definedName>
    <definedName name="실적총괄1" hidden="1">#REF!</definedName>
    <definedName name="실총" localSheetId="5" hidden="1">#REF!</definedName>
    <definedName name="실총" hidden="1">#REF!</definedName>
    <definedName name="ㅇㄹㄹ" localSheetId="5" hidden="1">#REF!</definedName>
    <definedName name="ㅇㄹㄹ" hidden="1">#REF!</definedName>
    <definedName name="ㅇㅇ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5" hidden="1">#REF!</definedName>
    <definedName name="ㅇㅇㅇㅇ" hidden="1">#REF!</definedName>
    <definedName name="양식변경12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5" hidden="1">#REF!</definedName>
    <definedName name="이월" hidden="1">#REF!</definedName>
    <definedName name="이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5" hidden="1">{#N/A,#N/A,FALSE,"명세표"}</definedName>
    <definedName name="ㅈ" hidden="1">{#N/A,#N/A,FALSE,"명세표"}</definedName>
    <definedName name="ㅈㅈㅈㅈ" localSheetId="5" hidden="1">{#N/A,#N/A,FALSE,"명세표"}</definedName>
    <definedName name="ㅈㅈㅈㅈ" hidden="1">{#N/A,#N/A,FALSE,"명세표"}</definedName>
    <definedName name="자미" localSheetId="5" hidden="1">{#N/A,#N/A,FALSE,"명세표"}</definedName>
    <definedName name="자미" hidden="1">{#N/A,#N/A,FALSE,"명세표"}</definedName>
    <definedName name="자운" localSheetId="5" hidden="1">#REF!</definedName>
    <definedName name="자운" hidden="1">#REF!</definedName>
    <definedName name="자재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5" hidden="1">#REF!</definedName>
    <definedName name="전계장금액" hidden="1">#REF!</definedName>
    <definedName name="전기사양_SAMPL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5" hidden="1">#REF!</definedName>
    <definedName name="전선조장" hidden="1">#REF!</definedName>
    <definedName name="조직표현장" localSheetId="5" hidden="1">#REF!</definedName>
    <definedName name="조직표현장" hidden="1">#REF!</definedName>
    <definedName name="종합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5" hidden="1">{#N/A,#N/A,FALSE,"ENG'G(보호계전기)"}</definedName>
    <definedName name="중량비교검토" hidden="1">{#N/A,#N/A,FALSE,"ENG'G(보호계전기)"}</definedName>
    <definedName name="집계" localSheetId="5" hidden="1">{#N/A,#N/A,FALSE,"명세표"}</definedName>
    <definedName name="집계" hidden="1">{#N/A,#N/A,FALSE,"명세표"}</definedName>
    <definedName name="철골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5" hidden="1">{#N/A,#N/A,FALSE,"명세표"}</definedName>
    <definedName name="ㅋㅁ" hidden="1">{#N/A,#N/A,FALSE,"명세표"}</definedName>
    <definedName name="ㅋㅋㅋ" localSheetId="5" hidden="1">{#N/A,#N/A,FALSE,"명세표"}</definedName>
    <definedName name="ㅋㅋㅋ" hidden="1">{#N/A,#N/A,FALSE,"명세표"}</definedName>
    <definedName name="ㅌㅌ" localSheetId="5" hidden="1">{#N/A,#N/A,FALSE,"명세표"}</definedName>
    <definedName name="ㅌㅌ" hidden="1">{#N/A,#N/A,FALSE,"명세표"}</definedName>
    <definedName name="토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5" hidden="1">{"'장비'!$A$3:$M$12"}</definedName>
    <definedName name="ㅎㅎㅎㅎ" hidden="1">{"'장비'!$A$3:$M$12"}</definedName>
    <definedName name="하하하" localSheetId="5" hidden="1">{#N/A,#N/A,FALSE,"명세표"}</definedName>
    <definedName name="하하하" hidden="1">{#N/A,#N/A,FALSE,"명세표"}</definedName>
    <definedName name="한국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5" hidden="1">{#N/A,#N/A,FALSE,"명세표"}</definedName>
    <definedName name="호호호" hidden="1">{#N/A,#N/A,FALSE,"명세표"}</definedName>
    <definedName name="ㅏㅏㅏ" localSheetId="5" hidden="1">{#N/A,#N/A,FALSE,"명세표"}</definedName>
    <definedName name="ㅏㅏㅏ" hidden="1">{#N/A,#N/A,FALSE,"명세표"}</definedName>
    <definedName name="ㅔㅔ" localSheetId="5" hidden="1">{#N/A,#N/A,FALSE,"명세표"}</definedName>
    <definedName name="ㅔㅔ" hidden="1">{#N/A,#N/A,FALSE,"명세표"}</definedName>
    <definedName name="ㅔㅔㅔㅔㅔ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5" hidden="1">{"'장비'!$A$3:$M$12"}</definedName>
    <definedName name="ㅗ홓ㅎ로" hidden="1">{"'장비'!$A$3:$M$12"}</definedName>
    <definedName name="ㅗㅗ" localSheetId="5" hidden="1">{#N/A,#N/A,FALSE,"명세표"}</definedName>
    <definedName name="ㅗㅗ" hidden="1">{#N/A,#N/A,FALSE,"명세표"}</definedName>
    <definedName name="ㅗㅗㅗㅗㅗ" localSheetId="5" hidden="1">{"'장비'!$A$3:$M$12"}</definedName>
    <definedName name="ㅗㅗㅗㅗㅗ" hidden="1">{"'장비'!$A$3:$M$12"}</definedName>
    <definedName name="ㅛ" localSheetId="5" hidden="1">{"'장비'!$A$3:$M$12"}</definedName>
    <definedName name="ㅛ" hidden="1">{"'장비'!$A$3:$M$12"}</definedName>
    <definedName name="ㅛㅕㅛㅕㅛ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5" hidden="1">{"'장비'!$A$3:$M$12"}</definedName>
    <definedName name="ㅛㅛㅛ" hidden="1">{"'장비'!$A$3:$M$12"}</definedName>
    <definedName name="ㅜ" localSheetId="5" hidden="1">{#N/A,#N/A,FALSE,"명세표"}</definedName>
    <definedName name="ㅜ" hidden="1">{#N/A,#N/A,FALSE,"명세표"}</definedName>
    <definedName name="ㅠㅠ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5" hidden="1">{#N/A,#N/A,FALSE,"명세표"}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65" l="1"/>
  <c r="G16" i="67"/>
  <c r="H17" i="67"/>
  <c r="H15" i="67"/>
  <c r="G14" i="67"/>
  <c r="H14" i="67" s="1"/>
  <c r="F7" i="67"/>
  <c r="E6" i="67" s="1"/>
  <c r="E5" i="67" s="1"/>
  <c r="H18" i="67"/>
  <c r="G13" i="67"/>
  <c r="G12" i="67"/>
  <c r="G10" i="67"/>
  <c r="D31" i="65"/>
  <c r="F5" i="67" l="1"/>
  <c r="G5" i="67"/>
  <c r="F41" i="71"/>
  <c r="F26" i="71"/>
  <c r="F23" i="21"/>
  <c r="F15" i="48"/>
  <c r="F27" i="48"/>
  <c r="F17" i="48" l="1"/>
  <c r="G17" i="48" s="1"/>
  <c r="F13" i="48"/>
  <c r="F25" i="48" s="1"/>
  <c r="N10" i="48"/>
  <c r="N9" i="48"/>
  <c r="N8" i="48"/>
  <c r="L10" i="48"/>
  <c r="L9" i="48"/>
  <c r="L8" i="48"/>
  <c r="O8" i="48" l="1"/>
  <c r="T8" i="48" s="1"/>
  <c r="B13" i="48" s="1"/>
  <c r="B25" i="48" s="1"/>
  <c r="O9" i="48"/>
  <c r="T9" i="48" s="1"/>
  <c r="B14" i="48" s="1"/>
  <c r="B26" i="48" s="1"/>
  <c r="O10" i="48"/>
  <c r="T10" i="48" l="1"/>
  <c r="B11" i="48" s="1"/>
  <c r="B23" i="48" s="1"/>
  <c r="F31" i="65" l="1"/>
  <c r="F13" i="65"/>
  <c r="C38" i="59" l="1"/>
  <c r="C39" i="68"/>
  <c r="B9" i="47"/>
  <c r="D9" i="47" s="1"/>
  <c r="D44" i="71"/>
  <c r="G44" i="71" s="1"/>
  <c r="D40" i="71"/>
  <c r="D39" i="71"/>
  <c r="G39" i="71" s="1"/>
  <c r="B39" i="71"/>
  <c r="D41" i="71"/>
  <c r="G41" i="71" s="1"/>
  <c r="D42" i="71"/>
  <c r="G40" i="71"/>
  <c r="D45" i="71"/>
  <c r="D36" i="71" l="1"/>
  <c r="B37" i="71"/>
  <c r="F38" i="71"/>
  <c r="G36" i="71"/>
  <c r="D24" i="71"/>
  <c r="D43" i="71" l="1"/>
  <c r="G43" i="71" s="1"/>
  <c r="D37" i="71"/>
  <c r="D38" i="71"/>
  <c r="G38" i="71"/>
  <c r="G37" i="71"/>
  <c r="G45" i="71"/>
  <c r="G46" i="71" s="1"/>
  <c r="G50" i="71" s="1"/>
  <c r="G42" i="71"/>
  <c r="G35" i="71"/>
  <c r="B7" i="59" l="1"/>
  <c r="B7" i="68"/>
  <c r="D13" i="61" l="1"/>
  <c r="G13" i="61" s="1"/>
  <c r="D12" i="61"/>
  <c r="C25" i="59" l="1"/>
  <c r="C26" i="68"/>
  <c r="D26" i="71"/>
  <c r="B63" i="71"/>
  <c r="B62" i="71"/>
  <c r="B61" i="71"/>
  <c r="C59" i="71"/>
  <c r="B59" i="71"/>
  <c r="C57" i="71"/>
  <c r="B57" i="71"/>
  <c r="E59" i="71" s="1"/>
  <c r="C54" i="71"/>
  <c r="G28" i="71"/>
  <c r="F25" i="71"/>
  <c r="G18" i="71"/>
  <c r="D8" i="71"/>
  <c r="D11" i="71" s="1"/>
  <c r="D12" i="71" s="1"/>
  <c r="D29" i="71" l="1"/>
  <c r="D13" i="71"/>
  <c r="D14" i="71" s="1"/>
  <c r="G14" i="71" s="1"/>
  <c r="G29" i="71"/>
  <c r="D25" i="71"/>
  <c r="G25" i="71" s="1"/>
  <c r="D27" i="71"/>
  <c r="G27" i="71" s="1"/>
  <c r="G26" i="71"/>
  <c r="G12" i="71"/>
  <c r="D9" i="71"/>
  <c r="D10" i="71" s="1"/>
  <c r="G10" i="71" s="1"/>
  <c r="G30" i="71" l="1"/>
  <c r="C60" i="71" s="1"/>
  <c r="C63" i="71"/>
  <c r="C61" i="71"/>
  <c r="C62" i="71"/>
  <c r="D15" i="71"/>
  <c r="B15" i="71"/>
  <c r="G15" i="71" l="1"/>
  <c r="D16" i="71"/>
  <c r="G16" i="71" s="1"/>
  <c r="D17" i="71"/>
  <c r="G17" i="71" s="1"/>
  <c r="G19" i="71" l="1"/>
  <c r="H29" i="55" l="1"/>
  <c r="G13" i="66"/>
  <c r="D14" i="66"/>
  <c r="D12" i="66"/>
  <c r="G12" i="66" s="1"/>
  <c r="D11" i="66"/>
  <c r="F20" i="62" l="1"/>
  <c r="D20" i="62"/>
  <c r="B29" i="60"/>
  <c r="D29" i="60"/>
  <c r="G20" i="62" l="1"/>
  <c r="F29" i="60"/>
  <c r="B29" i="55" l="1"/>
  <c r="B54" i="55"/>
  <c r="F28" i="60"/>
  <c r="F13" i="60"/>
  <c r="G54" i="55" l="1"/>
  <c r="B41" i="55"/>
  <c r="B48" i="55" s="1"/>
  <c r="B16" i="55"/>
  <c r="B23" i="55" s="1"/>
  <c r="D48" i="55"/>
  <c r="D47" i="55"/>
  <c r="D41" i="55"/>
  <c r="D40" i="55"/>
  <c r="K22" i="55"/>
  <c r="K21" i="55"/>
  <c r="K25" i="55" s="1"/>
  <c r="B40" i="55" s="1"/>
  <c r="K20" i="55"/>
  <c r="G55" i="55" s="1"/>
  <c r="K19" i="55"/>
  <c r="K24" i="55" s="1"/>
  <c r="B15" i="55" s="1"/>
  <c r="B22" i="55" s="1"/>
  <c r="D29" i="65"/>
  <c r="G29" i="65" s="1"/>
  <c r="D11" i="65"/>
  <c r="D36" i="65"/>
  <c r="D18" i="65"/>
  <c r="G36" i="65"/>
  <c r="D38" i="65"/>
  <c r="G38" i="65" s="1"/>
  <c r="D20" i="65"/>
  <c r="D37" i="65"/>
  <c r="G37" i="65" s="1"/>
  <c r="D17" i="65"/>
  <c r="D35" i="65"/>
  <c r="G35" i="65" s="1"/>
  <c r="G33" i="65"/>
  <c r="F32" i="65"/>
  <c r="G32" i="65" s="1"/>
  <c r="G31" i="65"/>
  <c r="G30" i="65"/>
  <c r="D22" i="64"/>
  <c r="G22" i="64" s="1"/>
  <c r="B44" i="53"/>
  <c r="G44" i="53"/>
  <c r="G45" i="53"/>
  <c r="B22" i="53"/>
  <c r="G22" i="53"/>
  <c r="B21" i="53"/>
  <c r="B43" i="53"/>
  <c r="A50" i="53"/>
  <c r="G46" i="53"/>
  <c r="G42" i="53"/>
  <c r="G41" i="53"/>
  <c r="G40" i="53"/>
  <c r="G39" i="53"/>
  <c r="G38" i="53"/>
  <c r="K24" i="63"/>
  <c r="L24" i="63" s="1"/>
  <c r="B19" i="51"/>
  <c r="G19" i="51" s="1"/>
  <c r="B18" i="51"/>
  <c r="B34" i="51"/>
  <c r="G35" i="51"/>
  <c r="F30" i="69"/>
  <c r="I30" i="69" s="1"/>
  <c r="F29" i="69"/>
  <c r="I29" i="69" s="1"/>
  <c r="F28" i="69"/>
  <c r="I28" i="69" s="1"/>
  <c r="F27" i="69"/>
  <c r="I27" i="69" s="1"/>
  <c r="F26" i="69"/>
  <c r="I26" i="69" s="1"/>
  <c r="F24" i="69"/>
  <c r="L24" i="69"/>
  <c r="I24" i="69"/>
  <c r="F23" i="69"/>
  <c r="I23" i="69" s="1"/>
  <c r="F21" i="69"/>
  <c r="I21" i="69" s="1"/>
  <c r="F22" i="69"/>
  <c r="I22" i="69" s="1"/>
  <c r="F20" i="69"/>
  <c r="I20" i="69" s="1"/>
  <c r="F19" i="69"/>
  <c r="I19" i="69" s="1"/>
  <c r="F18" i="69"/>
  <c r="F17" i="69"/>
  <c r="I17" i="69" s="1"/>
  <c r="F16" i="69"/>
  <c r="F13" i="69"/>
  <c r="I13" i="69" s="1"/>
  <c r="F14" i="69"/>
  <c r="F11" i="69"/>
  <c r="I11" i="69" s="1"/>
  <c r="L29" i="69" s="1"/>
  <c r="F12" i="69"/>
  <c r="I12" i="69" s="1"/>
  <c r="I38" i="69"/>
  <c r="L37" i="69"/>
  <c r="I37" i="69"/>
  <c r="L36" i="69"/>
  <c r="I36" i="69"/>
  <c r="L35" i="69"/>
  <c r="I35" i="69"/>
  <c r="L34" i="69"/>
  <c r="I34" i="69"/>
  <c r="L33" i="69"/>
  <c r="I33" i="69"/>
  <c r="L32" i="69"/>
  <c r="I32" i="69"/>
  <c r="L31" i="69"/>
  <c r="I31" i="69"/>
  <c r="L30" i="69"/>
  <c r="L25" i="69"/>
  <c r="I25" i="69"/>
  <c r="L23" i="69"/>
  <c r="L21" i="69"/>
  <c r="B16" i="53" s="1"/>
  <c r="I18" i="69"/>
  <c r="L17" i="69"/>
  <c r="A17" i="69"/>
  <c r="I16" i="69"/>
  <c r="I15" i="69"/>
  <c r="I14" i="69"/>
  <c r="L20" i="69" s="1"/>
  <c r="L12" i="69"/>
  <c r="B47" i="55" l="1"/>
  <c r="G40" i="55"/>
  <c r="G41" i="55"/>
  <c r="G47" i="55"/>
  <c r="G48" i="55"/>
  <c r="G56" i="55"/>
  <c r="G42" i="55"/>
  <c r="G43" i="53"/>
  <c r="G34" i="51"/>
  <c r="L19" i="69"/>
  <c r="B16" i="51" s="1"/>
  <c r="L28" i="69"/>
  <c r="L16" i="69"/>
  <c r="L11" i="69"/>
  <c r="M11" i="69" s="1"/>
  <c r="L18" i="69"/>
  <c r="B15" i="51" s="1"/>
  <c r="D10" i="64" s="1"/>
  <c r="D31" i="62"/>
  <c r="G31" i="62" s="1"/>
  <c r="D11" i="62"/>
  <c r="K39" i="62"/>
  <c r="L39" i="62" s="1"/>
  <c r="G32" i="62"/>
  <c r="B9" i="68"/>
  <c r="D9" i="68" s="1"/>
  <c r="G49" i="55" l="1"/>
  <c r="G59" i="55" s="1"/>
  <c r="D29" i="61" l="1"/>
  <c r="D7" i="68"/>
  <c r="D39" i="68"/>
  <c r="D38" i="68"/>
  <c r="D37" i="68"/>
  <c r="D36" i="68"/>
  <c r="D35" i="68"/>
  <c r="D34" i="68"/>
  <c r="D33" i="68"/>
  <c r="D32" i="68"/>
  <c r="D31" i="68"/>
  <c r="C29" i="68"/>
  <c r="D29" i="68" s="1"/>
  <c r="D28" i="68"/>
  <c r="D27" i="68"/>
  <c r="D26" i="68"/>
  <c r="J11" i="68"/>
  <c r="B11" i="68"/>
  <c r="D11" i="68" s="1"/>
  <c r="K10" i="68"/>
  <c r="J10" i="68"/>
  <c r="I10" i="68"/>
  <c r="G10" i="68"/>
  <c r="B10" i="68"/>
  <c r="D10" i="68" s="1"/>
  <c r="I8" i="68"/>
  <c r="H8" i="68"/>
  <c r="K7" i="68"/>
  <c r="K8" i="68" s="1"/>
  <c r="J7" i="68"/>
  <c r="G7" i="68"/>
  <c r="G8" i="68" s="1"/>
  <c r="D16" i="61" l="1"/>
  <c r="B8" i="68"/>
  <c r="D8" i="68" s="1"/>
  <c r="D12" i="68" s="1"/>
  <c r="G9" i="59"/>
  <c r="I7" i="59"/>
  <c r="I9" i="59"/>
  <c r="I10" i="59"/>
  <c r="I8" i="59"/>
  <c r="G8" i="59"/>
  <c r="H9" i="59"/>
  <c r="H10" i="59"/>
  <c r="H7" i="59"/>
  <c r="D33" i="59"/>
  <c r="D37" i="59"/>
  <c r="D38" i="59"/>
  <c r="D34" i="59"/>
  <c r="D28" i="61" l="1"/>
  <c r="G28" i="61" s="1"/>
  <c r="D15" i="61"/>
  <c r="K32" i="61"/>
  <c r="L32" i="61" s="1"/>
  <c r="F30" i="61"/>
  <c r="G29" i="61"/>
  <c r="G23" i="61"/>
  <c r="F29" i="48" l="1"/>
  <c r="G29" i="48" s="1"/>
  <c r="D68" i="48"/>
  <c r="B25" i="21"/>
  <c r="G34" i="67" l="1"/>
  <c r="D10" i="21" s="1"/>
  <c r="D11" i="21" s="1"/>
  <c r="G31" i="67"/>
  <c r="D10" i="61" s="1"/>
  <c r="E31" i="67"/>
  <c r="G32" i="67"/>
  <c r="G19" i="67"/>
  <c r="D19" i="65" s="1"/>
  <c r="G30" i="67"/>
  <c r="B38" i="51"/>
  <c r="H13" i="67"/>
  <c r="H12" i="67"/>
  <c r="F37" i="46"/>
  <c r="F34" i="46"/>
  <c r="F35" i="46"/>
  <c r="F33" i="46"/>
  <c r="F28" i="46"/>
  <c r="F23" i="46"/>
  <c r="F21" i="46"/>
  <c r="F20" i="46"/>
  <c r="E19" i="46"/>
  <c r="F17" i="46"/>
  <c r="E17" i="46"/>
  <c r="D42" i="48"/>
  <c r="D43" i="48" s="1"/>
  <c r="B40" i="48"/>
  <c r="B39" i="48"/>
  <c r="F39" i="48" s="1"/>
  <c r="D41" i="48"/>
  <c r="F41" i="48"/>
  <c r="G38" i="51" l="1"/>
  <c r="D38" i="51"/>
  <c r="H30" i="67"/>
  <c r="D24" i="60"/>
  <c r="F24" i="60" s="1"/>
  <c r="D24" i="61"/>
  <c r="G24" i="61" s="1"/>
  <c r="H31" i="67"/>
  <c r="D26" i="61"/>
  <c r="G26" i="61" s="1"/>
  <c r="D9" i="60"/>
  <c r="D11" i="61"/>
  <c r="G41" i="48"/>
  <c r="G19" i="65"/>
  <c r="B37" i="51" l="1"/>
  <c r="G37" i="51" s="1"/>
  <c r="D25" i="61"/>
  <c r="G25" i="61" s="1"/>
  <c r="D15" i="48"/>
  <c r="G15" i="48" s="1"/>
  <c r="D12" i="48"/>
  <c r="G12" i="48" s="1"/>
  <c r="B20" i="51"/>
  <c r="D12" i="63"/>
  <c r="B17" i="51"/>
  <c r="H50" i="71"/>
  <c r="D12" i="60"/>
  <c r="F12" i="60" s="1"/>
  <c r="D16" i="60"/>
  <c r="D15" i="60"/>
  <c r="D14" i="60"/>
  <c r="D11" i="60"/>
  <c r="D10" i="60"/>
  <c r="F16" i="65"/>
  <c r="D10" i="65"/>
  <c r="D10" i="63"/>
  <c r="G26" i="53"/>
  <c r="G27" i="53"/>
  <c r="G25" i="53"/>
  <c r="F12" i="64"/>
  <c r="G22" i="51"/>
  <c r="F11" i="64"/>
  <c r="D16" i="62"/>
  <c r="D18" i="51"/>
  <c r="D15" i="62"/>
  <c r="D19" i="51"/>
  <c r="F13" i="62"/>
  <c r="D45" i="68"/>
  <c r="D46" i="68" s="1"/>
  <c r="F17" i="62"/>
  <c r="D17" i="68"/>
  <c r="D19" i="68"/>
  <c r="C30" i="68"/>
  <c r="D30" i="68" s="1"/>
  <c r="D40" i="68" s="1"/>
  <c r="D20" i="68"/>
  <c r="D18" i="68"/>
  <c r="D23" i="58"/>
  <c r="D13" i="58"/>
  <c r="D24" i="58"/>
  <c r="D7" i="58"/>
  <c r="D19" i="58"/>
  <c r="D31" i="58"/>
  <c r="D32" i="58"/>
  <c r="D14" i="61"/>
  <c r="D8" i="58"/>
  <c r="D9" i="58"/>
  <c r="D10" i="58"/>
  <c r="D22" i="58"/>
  <c r="D33" i="58"/>
  <c r="D30" i="58"/>
  <c r="D20" i="58"/>
  <c r="D21" i="58"/>
  <c r="D11" i="58"/>
  <c r="D12" i="58"/>
  <c r="D16" i="48"/>
  <c r="G16" i="48" s="1"/>
  <c r="D13" i="48"/>
  <c r="D11" i="48"/>
  <c r="D39" i="61"/>
  <c r="D40" i="61"/>
  <c r="D21" i="68" l="1"/>
  <c r="D48" i="68" s="1"/>
  <c r="E48" i="68" s="1"/>
  <c r="H14" i="61"/>
  <c r="H11" i="64" s="1"/>
  <c r="D17" i="61"/>
  <c r="B15" i="53"/>
  <c r="G15" i="53" s="1"/>
  <c r="D17" i="51"/>
  <c r="D10" i="48"/>
  <c r="G10" i="48" s="1"/>
  <c r="G11" i="48"/>
  <c r="H12" i="64"/>
  <c r="B21" i="51"/>
  <c r="G13" i="48"/>
  <c r="D18" i="62"/>
  <c r="G18" i="62" s="1"/>
  <c r="D34" i="58"/>
  <c r="D23" i="55"/>
  <c r="D16" i="55"/>
  <c r="G14" i="66"/>
  <c r="F76" i="48" l="1"/>
  <c r="G76" i="48" s="1"/>
  <c r="F75" i="48"/>
  <c r="F72" i="48"/>
  <c r="F73" i="48" s="1"/>
  <c r="D75" i="48"/>
  <c r="D72" i="48"/>
  <c r="F69" i="48"/>
  <c r="D71" i="48"/>
  <c r="G68" i="48"/>
  <c r="D67" i="48"/>
  <c r="D66" i="48" s="1"/>
  <c r="F71" i="48"/>
  <c r="G71" i="48" l="1"/>
  <c r="D73" i="48"/>
  <c r="G73" i="48" s="1"/>
  <c r="G72" i="48"/>
  <c r="G67" i="48"/>
  <c r="G66" i="48"/>
  <c r="G75" i="48"/>
  <c r="G37" i="46" l="1"/>
  <c r="D27" i="59" l="1"/>
  <c r="G18" i="53"/>
  <c r="D42" i="61" l="1"/>
  <c r="G42" i="61" s="1"/>
  <c r="D41" i="61"/>
  <c r="G41" i="61" s="1"/>
  <c r="F45" i="61"/>
  <c r="D38" i="61"/>
  <c r="G40" i="61" l="1"/>
  <c r="F46" i="48"/>
  <c r="F45" i="48"/>
  <c r="F42" i="48"/>
  <c r="F37" i="48"/>
  <c r="D45" i="48"/>
  <c r="D14" i="48"/>
  <c r="G14" i="48" s="1"/>
  <c r="F38" i="48"/>
  <c r="D37" i="48"/>
  <c r="D36" i="48"/>
  <c r="D35" i="48" s="1"/>
  <c r="F43" i="48" l="1"/>
  <c r="G43" i="48" s="1"/>
  <c r="G42" i="48"/>
  <c r="F9" i="60"/>
  <c r="G11" i="65"/>
  <c r="D15" i="55"/>
  <c r="D22" i="55"/>
  <c r="G12" i="65" l="1"/>
  <c r="G15" i="65"/>
  <c r="G16" i="51"/>
  <c r="G18" i="51"/>
  <c r="G17" i="51"/>
  <c r="G24" i="53"/>
  <c r="G15" i="51" l="1"/>
  <c r="G21" i="53"/>
  <c r="G20" i="53"/>
  <c r="G23" i="53"/>
  <c r="G17" i="53"/>
  <c r="G19" i="53"/>
  <c r="G16" i="53"/>
  <c r="G21" i="51"/>
  <c r="G20" i="51"/>
  <c r="D11" i="63"/>
  <c r="G11" i="63" s="1"/>
  <c r="D36" i="59"/>
  <c r="D35" i="59"/>
  <c r="D32" i="59"/>
  <c r="D30" i="59"/>
  <c r="D26" i="59"/>
  <c r="D25" i="59"/>
  <c r="C28" i="59"/>
  <c r="G23" i="51" l="1"/>
  <c r="G28" i="53"/>
  <c r="G18" i="65"/>
  <c r="G30" i="55"/>
  <c r="G10" i="66"/>
  <c r="G11" i="66"/>
  <c r="G9" i="66"/>
  <c r="F11" i="60"/>
  <c r="F14" i="60"/>
  <c r="F15" i="60"/>
  <c r="F16" i="60"/>
  <c r="F10" i="60"/>
  <c r="G12" i="64"/>
  <c r="G16" i="65"/>
  <c r="F14" i="65"/>
  <c r="G10" i="65"/>
  <c r="H10" i="65" s="1"/>
  <c r="G20" i="65"/>
  <c r="G17" i="65"/>
  <c r="K21" i="65"/>
  <c r="L21" i="65" s="1"/>
  <c r="G11" i="64"/>
  <c r="G10" i="64"/>
  <c r="K13" i="64"/>
  <c r="L13" i="64" s="1"/>
  <c r="G10" i="63"/>
  <c r="K13" i="63"/>
  <c r="L13" i="63" s="1"/>
  <c r="G15" i="66" l="1"/>
  <c r="G17" i="66" s="1"/>
  <c r="G15" i="55"/>
  <c r="G14" i="62"/>
  <c r="G29" i="55"/>
  <c r="G16" i="55"/>
  <c r="G23" i="55"/>
  <c r="G14" i="65"/>
  <c r="G13" i="65"/>
  <c r="G13" i="64"/>
  <c r="G15" i="64" s="1"/>
  <c r="H15" i="64" s="1"/>
  <c r="G31" i="55" l="1"/>
  <c r="G22" i="55"/>
  <c r="G24" i="55" s="1"/>
  <c r="G21" i="65"/>
  <c r="G23" i="65" s="1"/>
  <c r="H23" i="65" s="1"/>
  <c r="G17" i="55"/>
  <c r="H17" i="66"/>
  <c r="H17" i="64"/>
  <c r="D28" i="59" l="1"/>
  <c r="D31" i="59"/>
  <c r="B9" i="59"/>
  <c r="D9" i="59" s="1"/>
  <c r="B10" i="59"/>
  <c r="B8" i="59"/>
  <c r="D8" i="59" s="1"/>
  <c r="G11" i="62"/>
  <c r="D10" i="59" l="1"/>
  <c r="D43" i="61"/>
  <c r="D44" i="61" s="1"/>
  <c r="G44" i="61" s="1"/>
  <c r="D7" i="59"/>
  <c r="D11" i="59" s="1"/>
  <c r="D25" i="58"/>
  <c r="D23" i="21" l="1"/>
  <c r="D24" i="21" s="1"/>
  <c r="D22" i="47" l="1"/>
  <c r="D23" i="47" s="1"/>
  <c r="G17" i="62" l="1"/>
  <c r="G13" i="62"/>
  <c r="G15" i="62"/>
  <c r="K21" i="62"/>
  <c r="L21" i="62" s="1"/>
  <c r="F17" i="61"/>
  <c r="G16" i="61"/>
  <c r="G15" i="61"/>
  <c r="G14" i="61"/>
  <c r="G12" i="61"/>
  <c r="G11" i="61"/>
  <c r="G39" i="61"/>
  <c r="G38" i="61"/>
  <c r="K19" i="61"/>
  <c r="L19" i="61" s="1"/>
  <c r="F60" i="48"/>
  <c r="G60" i="48" s="1"/>
  <c r="F59" i="48"/>
  <c r="D59" i="48"/>
  <c r="F57" i="48"/>
  <c r="D57" i="48"/>
  <c r="D58" i="48" s="1"/>
  <c r="G58" i="48" s="1"/>
  <c r="F56" i="48"/>
  <c r="D56" i="48"/>
  <c r="D55" i="48"/>
  <c r="G55" i="48" s="1"/>
  <c r="D54" i="48"/>
  <c r="G54" i="48" s="1"/>
  <c r="D53" i="48"/>
  <c r="G53" i="48" s="1"/>
  <c r="G46" i="48"/>
  <c r="G37" i="48"/>
  <c r="G36" i="48"/>
  <c r="K18" i="48"/>
  <c r="M18" i="48" s="1"/>
  <c r="G23" i="21"/>
  <c r="G15" i="21"/>
  <c r="F16" i="47"/>
  <c r="E31" i="47"/>
  <c r="D31" i="47"/>
  <c r="D39" i="49"/>
  <c r="B39" i="49"/>
  <c r="F39" i="49" s="1"/>
  <c r="D37" i="49"/>
  <c r="D38" i="49" s="1"/>
  <c r="G38" i="49" s="1"/>
  <c r="D36" i="49"/>
  <c r="G36" i="49" s="1"/>
  <c r="D14" i="58"/>
  <c r="F31" i="47" l="1"/>
  <c r="D39" i="48"/>
  <c r="D69" i="48"/>
  <c r="G22" i="46"/>
  <c r="D37" i="61"/>
  <c r="G37" i="61" s="1"/>
  <c r="G10" i="61"/>
  <c r="D18" i="61"/>
  <c r="D10" i="62"/>
  <c r="G10" i="62" s="1"/>
  <c r="G16" i="62"/>
  <c r="D19" i="62"/>
  <c r="G19" i="62" s="1"/>
  <c r="F17" i="60"/>
  <c r="F19" i="60" s="1"/>
  <c r="G19" i="60" s="1"/>
  <c r="F32" i="47"/>
  <c r="H31" i="47"/>
  <c r="G59" i="48"/>
  <c r="G56" i="48"/>
  <c r="D52" i="48"/>
  <c r="G52" i="48" s="1"/>
  <c r="G35" i="48"/>
  <c r="G57" i="48"/>
  <c r="G38" i="48"/>
  <c r="G45" i="48"/>
  <c r="G39" i="49"/>
  <c r="G37" i="49"/>
  <c r="D36" i="58"/>
  <c r="E36" i="58" s="1"/>
  <c r="G18" i="61" l="1"/>
  <c r="B30" i="51"/>
  <c r="G17" i="61"/>
  <c r="D70" i="48"/>
  <c r="G69" i="48"/>
  <c r="G12" i="63"/>
  <c r="D46" i="61"/>
  <c r="G46" i="61" s="1"/>
  <c r="D45" i="61"/>
  <c r="D40" i="48"/>
  <c r="G39" i="48"/>
  <c r="E38" i="58"/>
  <c r="G61" i="48"/>
  <c r="G40" i="49"/>
  <c r="J32" i="55"/>
  <c r="A28" i="53"/>
  <c r="G19" i="61" l="1"/>
  <c r="G40" i="48"/>
  <c r="D44" i="48"/>
  <c r="G44" i="48" s="1"/>
  <c r="G45" i="61"/>
  <c r="G47" i="61" s="1"/>
  <c r="J40" i="61"/>
  <c r="J41" i="61" s="1"/>
  <c r="G13" i="63"/>
  <c r="G15" i="63" s="1"/>
  <c r="H15" i="63" s="1"/>
  <c r="G70" i="48"/>
  <c r="D74" i="48"/>
  <c r="G74" i="48" s="1"/>
  <c r="J14" i="51"/>
  <c r="G34" i="55"/>
  <c r="H34" i="55" s="1"/>
  <c r="G31" i="53"/>
  <c r="H31" i="53" s="1"/>
  <c r="G77" i="48" l="1"/>
  <c r="G47" i="48"/>
  <c r="H33" i="53"/>
  <c r="J13" i="51"/>
  <c r="G26" i="51"/>
  <c r="H26" i="51" s="1"/>
  <c r="H28" i="51" l="1"/>
  <c r="H35" i="55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F25" i="21"/>
  <c r="D25" i="21"/>
  <c r="D22" i="21"/>
  <c r="G22" i="21" s="1"/>
  <c r="F17" i="47"/>
  <c r="D12" i="62" l="1"/>
  <c r="G25" i="21"/>
  <c r="G24" i="21"/>
  <c r="G30" i="49"/>
  <c r="D17" i="49"/>
  <c r="B17" i="49"/>
  <c r="G14" i="49"/>
  <c r="D10" i="47"/>
  <c r="F10" i="47" s="1"/>
  <c r="G12" i="62" l="1"/>
  <c r="F23" i="47"/>
  <c r="F22" i="47"/>
  <c r="F9" i="47"/>
  <c r="F11" i="47" s="1"/>
  <c r="D18" i="49"/>
  <c r="G18" i="49" s="1"/>
  <c r="D19" i="49"/>
  <c r="G19" i="49" s="1"/>
  <c r="G17" i="49"/>
  <c r="G21" i="62" l="1"/>
  <c r="G23" i="62" s="1"/>
  <c r="H23" i="62" s="1"/>
  <c r="H26" i="62" s="1"/>
  <c r="D24" i="47"/>
  <c r="F24" i="47" s="1"/>
  <c r="G21" i="49"/>
  <c r="G46" i="49" s="1"/>
  <c r="H46" i="49" s="1"/>
  <c r="G26" i="21"/>
  <c r="G18" i="48" l="1"/>
  <c r="H11" i="36"/>
  <c r="H10" i="36"/>
  <c r="H9" i="36"/>
  <c r="H8" i="36"/>
  <c r="H7" i="36"/>
  <c r="H6" i="36"/>
  <c r="H12" i="36"/>
  <c r="H5" i="36"/>
  <c r="D12" i="21" l="1"/>
  <c r="D16" i="21"/>
  <c r="G16" i="21" s="1"/>
  <c r="G12" i="21" l="1"/>
  <c r="D13" i="21"/>
  <c r="G13" i="21" s="1"/>
  <c r="D25" i="47" l="1"/>
  <c r="F25" i="47" s="1"/>
  <c r="F26" i="47" s="1"/>
  <c r="F34" i="47" s="1"/>
  <c r="D14" i="21"/>
  <c r="G14" i="21" s="1"/>
  <c r="G17" i="21" s="1"/>
  <c r="H5" i="67"/>
  <c r="I5" i="67" s="1"/>
  <c r="G34" i="47" l="1"/>
  <c r="D27" i="48"/>
  <c r="G27" i="48" s="1"/>
  <c r="B39" i="51"/>
  <c r="D27" i="60"/>
  <c r="F27" i="60" s="1"/>
  <c r="D26" i="60"/>
  <c r="F26" i="60" s="1"/>
  <c r="D23" i="63"/>
  <c r="G23" i="63" s="1"/>
  <c r="B36" i="51"/>
  <c r="D24" i="48"/>
  <c r="G24" i="48" s="1"/>
  <c r="D32" i="60"/>
  <c r="F32" i="60" s="1"/>
  <c r="D31" i="60"/>
  <c r="F31" i="60" s="1"/>
  <c r="D30" i="60"/>
  <c r="F30" i="60" s="1"/>
  <c r="D25" i="60"/>
  <c r="F25" i="60" s="1"/>
  <c r="D28" i="65"/>
  <c r="G28" i="65" s="1"/>
  <c r="G48" i="53"/>
  <c r="D21" i="63"/>
  <c r="G49" i="53"/>
  <c r="G47" i="53"/>
  <c r="F24" i="64"/>
  <c r="G24" i="64" s="1"/>
  <c r="F23" i="64"/>
  <c r="G23" i="64" s="1"/>
  <c r="G41" i="51"/>
  <c r="F34" i="65"/>
  <c r="G34" i="65" s="1"/>
  <c r="F33" i="62"/>
  <c r="G33" i="62" s="1"/>
  <c r="D44" i="59"/>
  <c r="D45" i="59" s="1"/>
  <c r="D35" i="62"/>
  <c r="D34" i="62"/>
  <c r="F36" i="62"/>
  <c r="G36" i="62" s="1"/>
  <c r="H59" i="55"/>
  <c r="C29" i="59"/>
  <c r="D29" i="59" s="1"/>
  <c r="D39" i="59" s="1"/>
  <c r="D17" i="59"/>
  <c r="D18" i="59"/>
  <c r="D19" i="59"/>
  <c r="D16" i="59"/>
  <c r="E33" i="58"/>
  <c r="E31" i="58"/>
  <c r="E19" i="58"/>
  <c r="E32" i="58"/>
  <c r="D27" i="61"/>
  <c r="E30" i="58"/>
  <c r="E20" i="58"/>
  <c r="E13" i="58"/>
  <c r="E22" i="58"/>
  <c r="E8" i="58"/>
  <c r="E9" i="58"/>
  <c r="E10" i="58"/>
  <c r="E11" i="58"/>
  <c r="E12" i="58"/>
  <c r="E21" i="58"/>
  <c r="E7" i="58"/>
  <c r="E23" i="58"/>
  <c r="E24" i="58"/>
  <c r="D28" i="48"/>
  <c r="G28" i="48" s="1"/>
  <c r="D25" i="48"/>
  <c r="D23" i="48"/>
  <c r="D37" i="51"/>
  <c r="G29" i="21"/>
  <c r="H29" i="21" s="1"/>
  <c r="G25" i="64" l="1"/>
  <c r="G27" i="64" s="1"/>
  <c r="H27" i="64" s="1"/>
  <c r="E34" i="58"/>
  <c r="E14" i="58"/>
  <c r="D20" i="59"/>
  <c r="D47" i="59" s="1"/>
  <c r="E47" i="59" s="1"/>
  <c r="F33" i="60"/>
  <c r="F35" i="60" s="1"/>
  <c r="G35" i="60" s="1"/>
  <c r="D38" i="62"/>
  <c r="G38" i="62" s="1"/>
  <c r="G35" i="62"/>
  <c r="D36" i="51"/>
  <c r="B37" i="53"/>
  <c r="G37" i="53" s="1"/>
  <c r="G50" i="53" s="1"/>
  <c r="G53" i="53" s="1"/>
  <c r="H53" i="53" s="1"/>
  <c r="H55" i="53" s="1"/>
  <c r="G36" i="51"/>
  <c r="G25" i="48"/>
  <c r="D26" i="48"/>
  <c r="G26" i="48" s="1"/>
  <c r="D37" i="62"/>
  <c r="G37" i="62" s="1"/>
  <c r="D22" i="63"/>
  <c r="G22" i="63" s="1"/>
  <c r="G21" i="63"/>
  <c r="D30" i="62"/>
  <c r="G30" i="62" s="1"/>
  <c r="G34" i="62"/>
  <c r="B40" i="51"/>
  <c r="G39" i="51"/>
  <c r="D22" i="48"/>
  <c r="G22" i="48" s="1"/>
  <c r="G23" i="48"/>
  <c r="E25" i="58"/>
  <c r="G39" i="65"/>
  <c r="G41" i="65" s="1"/>
  <c r="H41" i="65" s="1"/>
  <c r="H28" i="65"/>
  <c r="G27" i="61"/>
  <c r="D30" i="61"/>
  <c r="G30" i="61" s="1"/>
  <c r="D31" i="61"/>
  <c r="G31" i="61" s="1"/>
  <c r="D37" i="58" l="1"/>
  <c r="E37" i="58" s="1"/>
  <c r="G32" i="61"/>
  <c r="G50" i="61" s="1"/>
  <c r="H50" i="61" s="1"/>
  <c r="G24" i="63"/>
  <c r="G26" i="63" s="1"/>
  <c r="H26" i="63" s="1"/>
  <c r="G39" i="62"/>
  <c r="G41" i="62" s="1"/>
  <c r="H41" i="62" s="1"/>
  <c r="H24" i="64"/>
  <c r="G40" i="51"/>
  <c r="G42" i="51" s="1"/>
  <c r="G45" i="51" s="1"/>
  <c r="H45" i="51" s="1"/>
  <c r="G30" i="48"/>
  <c r="G80" i="48" s="1"/>
  <c r="H80" i="48" s="1"/>
  <c r="G53" i="61" l="1"/>
  <c r="H53" i="6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17CDC728-8B2B-4200-86F5-DC772931C53B}">
      <text>
        <r>
          <rPr>
            <b/>
            <sz val="9"/>
            <color indexed="81"/>
            <rFont val="Segoe UI"/>
            <family val="2"/>
          </rPr>
          <t>EMPOLAMENTO</t>
        </r>
      </text>
    </comment>
    <comment ref="B16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4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3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3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4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41" authorId="0" shapeId="0" xr:uid="{8E7EBE30-9C12-4D61-B603-421086277EE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42" authorId="0" shapeId="0" xr:uid="{C030BCA3-2A33-4E4D-8BDF-F6F7D0C955F3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D15" authorId="0" shapeId="0" xr:uid="{091EE7F2-BA6A-4C87-9EEB-CCD2F4BB2BF3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B22" authorId="0" shapeId="0" xr:uid="{AFB51DAF-7C58-4599-8C6E-EBCADCFC26B4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8B6A7E57-F438-4965-A354-D0EC1E97F43D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E94E8EFE-1E98-43E0-88FF-698426FBD230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FB264896-12A6-47AE-AE74-3682110B3468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5" authorId="0" shapeId="0" xr:uid="{F7B4BC1D-E983-4962-942E-9F1092F4EA4E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6" authorId="0" shapeId="0" xr:uid="{DDF70E86-51A5-425B-820F-CE04661B3BC3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5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5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37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37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42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44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52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2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57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66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66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68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72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74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80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50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<sst xmlns="http://schemas.openxmlformats.org/spreadsheetml/2006/main" count="1901" uniqueCount="529">
  <si>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</si>
  <si>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</si>
  <si>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</si>
  <si>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</si>
  <si>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</si>
  <si>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</si>
  <si>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</si>
  <si>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</si>
  <si>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</si>
  <si>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</si>
  <si>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</si>
  <si>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</si>
  <si>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</si>
  <si>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</si>
  <si>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</si>
  <si>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</si>
  <si>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</si>
  <si>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</si>
  <si>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</si>
  <si>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</si>
  <si>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</si>
  <si>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</si>
  <si>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</si>
  <si>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</si>
  <si>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</si>
  <si>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</si>
  <si>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</si>
  <si>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</si>
  <si>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</si>
  <si>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</si>
  <si>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</si>
  <si>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</si>
  <si>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</si>
  <si>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</si>
  <si>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</si>
  <si>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</si>
  <si>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</si>
  <si>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</si>
  <si>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</si>
  <si>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</si>
  <si>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</si>
  <si>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</si>
  <si>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</si>
  <si>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</si>
  <si>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</si>
  <si>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</si>
  <si>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</si>
  <si>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</si>
  <si>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</si>
  <si>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</si>
  <si>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</si>
  <si>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</si>
  <si>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</si>
  <si>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</si>
  <si>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</si>
  <si>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</si>
  <si>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</si>
  <si>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</si>
  <si>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</si>
  <si>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</si>
  <si>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</si>
  <si>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</si>
  <si>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</si>
  <si>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</si>
  <si>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</si>
  <si>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</si>
  <si>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</si>
  <si>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</si>
  <si>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</si>
  <si>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</si>
  <si>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</si>
  <si>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</si>
  <si>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</si>
  <si>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</si>
  <si>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</si>
  <si>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</si>
  <si>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</si>
  <si>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</si>
  <si>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</si>
  <si>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</si>
  <si>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</si>
  <si>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</si>
  <si>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</si>
  <si>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</si>
  <si>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</si>
  <si>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</si>
  <si>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</si>
  <si>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</si>
  <si>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</si>
  <si>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</si>
  <si>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</si>
  <si>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</si>
  <si>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</si>
  <si>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</si>
  <si>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</si>
  <si>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</si>
  <si>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</si>
  <si>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</si>
  <si>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</si>
  <si>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</si>
  <si>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</si>
  <si>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</si>
  <si>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</si>
  <si>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</si>
  <si>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</si>
  <si>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</si>
  <si>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</si>
  <si>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</si>
  <si>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</si>
  <si>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</si>
  <si>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</si>
  <si>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</si>
  <si>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</si>
  <si>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</si>
  <si>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</si>
  <si>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</si>
  <si>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</si>
  <si>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</si>
  <si>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</si>
  <si>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</si>
  <si>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</si>
  <si>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</si>
  <si>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</si>
  <si>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</si>
  <si>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</si>
  <si>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</si>
  <si>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</si>
  <si>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</si>
  <si>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</si>
  <si>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</si>
  <si>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</si>
  <si>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</si>
  <si>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</si>
  <si>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</si>
  <si>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</si>
  <si>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</si>
  <si>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</si>
  <si>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</si>
  <si>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</si>
  <si>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</si>
  <si>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</si>
  <si>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</si>
  <si>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</si>
  <si>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</si>
  <si>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</si>
  <si>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</si>
  <si>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</si>
  <si>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</si>
  <si>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</si>
  <si>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</si>
  <si>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</si>
  <si>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</si>
  <si>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</si>
  <si>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</si>
  <si>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</si>
  <si>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</si>
  <si>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</si>
  <si>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</si>
  <si>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</si>
  <si>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</si>
  <si>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</si>
  <si>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</si>
  <si>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</si>
  <si>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</si>
  <si>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</si>
  <si>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</si>
  <si>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</si>
  <si>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</si>
  <si>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</si>
  <si>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</si>
  <si>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</si>
  <si>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</si>
  <si>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</si>
  <si>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</si>
  <si>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</si>
  <si>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</si>
  <si>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</si>
  <si>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</si>
  <si>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</si>
  <si>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</si>
  <si>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</si>
  <si>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</si>
  <si>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</si>
  <si>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R00</t>
  </si>
  <si>
    <t>Data</t>
  </si>
  <si>
    <t>San Felicce</t>
  </si>
  <si>
    <t>Amalfi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</si>
  <si>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</si>
  <si>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</si>
  <si>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</si>
  <si>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</si>
  <si>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</si>
  <si>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</si>
  <si>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</si>
  <si>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</si>
  <si>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Chapisco e reboco</t>
  </si>
  <si>
    <t>Estucamento</t>
  </si>
  <si>
    <t>Negativo</t>
  </si>
  <si>
    <t>COBERTURA</t>
  </si>
  <si>
    <t>TERREO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</si>
  <si>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</si>
  <si>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</si>
  <si>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</si>
  <si>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</si>
  <si>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</si>
  <si>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</si>
  <si>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</si>
  <si>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>Piso vinilico</t>
  </si>
  <si>
    <t xml:space="preserve">Porcelanato </t>
  </si>
  <si>
    <t>Pintura Interna</t>
  </si>
  <si>
    <t xml:space="preserve">Textura escadas </t>
  </si>
  <si>
    <t>Pintura piso epoxi</t>
  </si>
  <si>
    <t>TOTAL FACHADA</t>
  </si>
  <si>
    <t>-</t>
  </si>
  <si>
    <t>ACABAMENTOS ESPECIAIS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</si>
  <si>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</si>
  <si>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</si>
  <si>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</si>
  <si>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</si>
  <si>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</si>
  <si>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</si>
  <si>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</si>
  <si>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</si>
  <si>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</si>
  <si>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</si>
  <si>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</si>
  <si>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</si>
  <si>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</si>
  <si>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</si>
  <si>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</si>
  <si>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Gradil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</si>
  <si>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</si>
  <si>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</si>
  <si>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</si>
  <si>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</si>
  <si>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</si>
  <si>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</si>
  <si>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</si>
  <si>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</si>
  <si>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</si>
  <si>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</si>
  <si>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</si>
  <si>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</si>
  <si>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</si>
  <si>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</si>
  <si>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</si>
  <si>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</si>
  <si>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</si>
  <si>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</si>
  <si>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</si>
  <si>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</si>
  <si>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</si>
  <si>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</si>
  <si>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</si>
  <si>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</si>
  <si>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</si>
  <si>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</si>
  <si>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</si>
  <si>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</si>
  <si>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</si>
  <si>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</si>
  <si>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</si>
  <si>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</si>
  <si>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</si>
  <si>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</si>
  <si>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</si>
  <si>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</si>
  <si>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</si>
  <si>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</si>
  <si>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</si>
  <si>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</si>
  <si>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</si>
  <si>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</si>
  <si>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</si>
  <si>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</si>
  <si>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</si>
  <si>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</si>
  <si>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</si>
  <si>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</si>
  <si>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</si>
  <si>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</si>
  <si>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</si>
  <si>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</si>
  <si>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</si>
  <si>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</si>
  <si>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</si>
  <si>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</si>
  <si>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</si>
  <si>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</si>
  <si>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</si>
  <si>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</si>
  <si>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</si>
  <si>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</si>
  <si>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</si>
  <si>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</si>
  <si>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</si>
  <si>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</si>
  <si>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</si>
  <si>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</si>
  <si>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Concreto (40 Mpa)</t>
  </si>
  <si>
    <t>Definição de resitência  trazida do Celebration da Passe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</si>
  <si>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</si>
  <si>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</si>
  <si>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</si>
  <si>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</si>
  <si>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</si>
  <si>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TRELIÇADA</t>
  </si>
  <si>
    <t>Nova utiliza a verba de 1.500,00 por pav</t>
  </si>
  <si>
    <t>PAREDES E PAINÉIS</t>
  </si>
  <si>
    <t>ALVENARIA - DRTWALL</t>
  </si>
  <si>
    <t>Drywall tipo</t>
  </si>
  <si>
    <t>CHU</t>
  </si>
  <si>
    <t>m² * CHU</t>
  </si>
  <si>
    <t>perda</t>
  </si>
  <si>
    <t>m³ / Vol infra</t>
  </si>
  <si>
    <t>Definição de índice pelo Celebration</t>
  </si>
  <si>
    <t>Escoramento</t>
  </si>
  <si>
    <t>Escada pressurizada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</si>
  <si>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</si>
  <si>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</si>
  <si>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</si>
  <si>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</si>
  <si>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</si>
  <si>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</si>
  <si>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TELHADO</t>
  </si>
  <si>
    <t>TORRE 1</t>
  </si>
  <si>
    <t>TORRE 2</t>
  </si>
  <si>
    <t>Molduras ACM</t>
  </si>
  <si>
    <t>Textura</t>
  </si>
  <si>
    <t>Equipamento d ecarro eletrico</t>
  </si>
  <si>
    <t>Corrimão inox</t>
  </si>
  <si>
    <t>Trataamento de esgoto</t>
  </si>
  <si>
    <t>Cerâmico</t>
  </si>
  <si>
    <t>Carpete</t>
  </si>
  <si>
    <t>Deck</t>
  </si>
  <si>
    <t>Polimento de concreto</t>
  </si>
  <si>
    <t>Ladrilho hidaraulico</t>
  </si>
  <si>
    <t>Piso alisado</t>
  </si>
  <si>
    <t>TOTAL ESQUADRIAS</t>
  </si>
  <si>
    <t>PAS_CNC_ARQ_EP_R08</t>
  </si>
  <si>
    <t xml:space="preserve">un </t>
  </si>
  <si>
    <t>Emborrachado</t>
  </si>
  <si>
    <t>Subestação</t>
  </si>
  <si>
    <t xml:space="preserve">Armação </t>
  </si>
  <si>
    <t>Quantitativos trazidos de preliminar de fundação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</si>
  <si>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</si>
  <si>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</si>
  <si>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</si>
  <si>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</si>
  <si>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</si>
  <si>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</si>
  <si>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</si>
  <si>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</si>
  <si>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Chapisco e reboco molduras</t>
  </si>
  <si>
    <t>Textura molduras</t>
  </si>
  <si>
    <t>Cristalizante (reservatorios)</t>
  </si>
  <si>
    <t>Churrasqueiras pré-moldadas</t>
  </si>
  <si>
    <t>Louças e Metais (bacias sanitárias)</t>
  </si>
  <si>
    <t>R$</t>
  </si>
  <si>
    <t>Tratamento de frisos</t>
  </si>
  <si>
    <t>m²/m</t>
  </si>
  <si>
    <t>Corrimão metálico</t>
  </si>
  <si>
    <t>Fechadura biométrica</t>
  </si>
  <si>
    <t>R$ / m</t>
  </si>
  <si>
    <t>SUPRAESTRUTURA - LAJE CUBETAS PROTENDIDAS</t>
  </si>
  <si>
    <t>3º SUBSOLO</t>
  </si>
  <si>
    <t>2º SUBSOLO</t>
  </si>
  <si>
    <t>1º SUBSOLO</t>
  </si>
  <si>
    <t>MEZANINO</t>
  </si>
  <si>
    <t>SOBRELOJA</t>
  </si>
  <si>
    <t>LAZER</t>
  </si>
  <si>
    <t>TIPO (X22)</t>
  </si>
  <si>
    <t>LAZER SUPERIOR</t>
  </si>
  <si>
    <t>TIPO 2 (X16)</t>
  </si>
  <si>
    <t xml:space="preserve">BARRILETE 1 </t>
  </si>
  <si>
    <t>BARRILETE 2</t>
  </si>
  <si>
    <t>FASE</t>
  </si>
  <si>
    <t>FASE 1</t>
  </si>
  <si>
    <t>FASE 2</t>
  </si>
  <si>
    <t>FASE 3</t>
  </si>
  <si>
    <t>FASE 4</t>
  </si>
  <si>
    <t xml:space="preserve">MALL 1 </t>
  </si>
  <si>
    <t>MALL 2</t>
  </si>
  <si>
    <t>TIPO 2 (X18)</t>
  </si>
  <si>
    <t>Estaca Escavada Diâmetro 100</t>
  </si>
  <si>
    <t>ALVENARIA - FASE4</t>
  </si>
  <si>
    <t>ALVENARIA - FASE 3</t>
  </si>
  <si>
    <t>Mão de Obra</t>
  </si>
  <si>
    <t>Equipamentos para Sauna SECA</t>
  </si>
  <si>
    <t>Equipamentos para Sauna UMIDA</t>
  </si>
  <si>
    <t>Equipamentos para Piscina INTERNA</t>
  </si>
  <si>
    <t>Equipamentos para Piscina EXTERNA</t>
  </si>
  <si>
    <t>Equipamentos SPA</t>
  </si>
  <si>
    <t>Equipamentos para Piscina PARTY</t>
  </si>
  <si>
    <t xml:space="preserve">LAZER 1 </t>
  </si>
  <si>
    <t xml:space="preserve">LAZER </t>
  </si>
  <si>
    <t>LAZER SUP01</t>
  </si>
  <si>
    <t>LAZER SUP02</t>
  </si>
  <si>
    <t>29 paradas</t>
  </si>
  <si>
    <t>43 paradas</t>
  </si>
  <si>
    <t>subsolo</t>
  </si>
  <si>
    <t>Exaustão de subsolos</t>
  </si>
  <si>
    <t>IMPERM - FASE 3</t>
  </si>
  <si>
    <t>IMPERM - FASE 4</t>
  </si>
  <si>
    <t>LEVANTAMENTO QUANTITATIVO</t>
  </si>
  <si>
    <t>REVESTIMENTOS E ACABAMENTOS DE PISO</t>
  </si>
  <si>
    <t>LEVANTAMENTO DE PROJETO</t>
  </si>
  <si>
    <t>CONTRAPISO</t>
  </si>
  <si>
    <t>Pavimento</t>
  </si>
  <si>
    <t>Local</t>
  </si>
  <si>
    <t>Piso</t>
  </si>
  <si>
    <t>Teto</t>
  </si>
  <si>
    <t>Área (m²)</t>
  </si>
  <si>
    <t>Contrapiso (Sim/Não)</t>
  </si>
  <si>
    <t>Repetição</t>
  </si>
  <si>
    <t>Total</t>
  </si>
  <si>
    <t>Revestimento</t>
  </si>
  <si>
    <t>Área total</t>
  </si>
  <si>
    <t>TÉRREO</t>
  </si>
  <si>
    <t>Porcelanato</t>
  </si>
  <si>
    <t>Gesso</t>
  </si>
  <si>
    <t>Sim</t>
  </si>
  <si>
    <t>PISO</t>
  </si>
  <si>
    <t>Calçada</t>
  </si>
  <si>
    <t>Não</t>
  </si>
  <si>
    <t>Material</t>
  </si>
  <si>
    <t>Polido</t>
  </si>
  <si>
    <t>PAV 1 (MEZANINO)</t>
  </si>
  <si>
    <t>TETO</t>
  </si>
  <si>
    <t>SUBSOLO 2</t>
  </si>
  <si>
    <t>SUBSOLO1</t>
  </si>
  <si>
    <t>Garagem</t>
  </si>
  <si>
    <t>Estucamneto</t>
  </si>
  <si>
    <t>Rampa</t>
  </si>
  <si>
    <t>Polido ranhurado</t>
  </si>
  <si>
    <t>Lixo e rt</t>
  </si>
  <si>
    <t>Cimentado</t>
  </si>
  <si>
    <t>RT</t>
  </si>
  <si>
    <t>Drenante</t>
  </si>
  <si>
    <t>ESCADAS E ANTECAMARAS</t>
  </si>
  <si>
    <t>serviço</t>
  </si>
  <si>
    <t>Hall</t>
  </si>
  <si>
    <t>Porcelanato 120x120</t>
  </si>
  <si>
    <t>Areas comuns</t>
  </si>
  <si>
    <t>Aesso pedestres</t>
  </si>
  <si>
    <t>Escada</t>
  </si>
  <si>
    <t>Areas tecnicas</t>
  </si>
  <si>
    <t>LAZER - 1</t>
  </si>
  <si>
    <t>REVESTIMENTOS INTERNOS EM PISO E PAREDE - FASE 4</t>
  </si>
  <si>
    <t>REVESTIMENTOS INTERNOS EM PISO E PAREDE - FASE 3</t>
  </si>
  <si>
    <t>Junta de dilatação</t>
  </si>
  <si>
    <t>Manta lazer</t>
  </si>
  <si>
    <t>Forro acartonado</t>
  </si>
  <si>
    <t>FORRO - FASE 3</t>
  </si>
  <si>
    <t>FORRO - FASE 4</t>
  </si>
  <si>
    <t>ACABAMENTOS EM PISO E PAREDE - FASE 3</t>
  </si>
  <si>
    <t>ACABAMENTOS EM PISO E PAREDE - FASE 4</t>
  </si>
  <si>
    <t>Cimentado quadras</t>
  </si>
  <si>
    <t>PINTURA - FASE 3</t>
  </si>
  <si>
    <t>PINTURA - FASE 4</t>
  </si>
  <si>
    <t>ESQUADRIAS - FASE 3</t>
  </si>
  <si>
    <t>ESQUADRIAS - FASE 4</t>
  </si>
  <si>
    <t>Pele de vidro</t>
  </si>
  <si>
    <t>BARRILETE 1</t>
  </si>
  <si>
    <t>AREA FASE 3</t>
  </si>
  <si>
    <t>AREA FASE 4</t>
  </si>
  <si>
    <t>FACHADA FASE 4</t>
  </si>
  <si>
    <t>FACHADA FASE 3</t>
  </si>
  <si>
    <t>Cobertura acm</t>
  </si>
  <si>
    <t>Quadra beach</t>
  </si>
  <si>
    <t>Quadra multi</t>
  </si>
  <si>
    <t>SERVIÇOS COMPLEMENTARES - FASE 4</t>
  </si>
  <si>
    <t>SERVIÇOS COMPLEMENTARES - FASE 3</t>
  </si>
  <si>
    <t>Playground</t>
  </si>
  <si>
    <t>Irrigação, iluminação e mobiliário externo</t>
  </si>
  <si>
    <t>Cristalização elementos aparentes</t>
  </si>
  <si>
    <t>m2</t>
  </si>
  <si>
    <t xml:space="preserve">Pergolados - 4 </t>
  </si>
  <si>
    <t>Pergolados - 3</t>
  </si>
  <si>
    <t>Passarelas - 4</t>
  </si>
  <si>
    <t>Moldura ACM metálica</t>
  </si>
  <si>
    <t>Área de Contenção</t>
  </si>
  <si>
    <t>quantitativo de modelo (ambos subsolos)</t>
  </si>
  <si>
    <t>Fabricação, montagem e desmontagem de forma - resinado</t>
  </si>
  <si>
    <t>Custo Viva 4</t>
  </si>
  <si>
    <t>Estrutura - drenagem</t>
  </si>
  <si>
    <t xml:space="preserve">ATALAIA </t>
  </si>
  <si>
    <t>MONOLYT</t>
  </si>
  <si>
    <t>Projeção embasamento</t>
  </si>
  <si>
    <t>Perímetro contenção</t>
  </si>
  <si>
    <t>Área forma</t>
  </si>
  <si>
    <t>Altura média</t>
  </si>
  <si>
    <t>Índice</t>
  </si>
  <si>
    <t>Custo total</t>
  </si>
  <si>
    <t>Custo / m</t>
  </si>
  <si>
    <t>Custo / m²</t>
  </si>
  <si>
    <t>Custo / AC</t>
  </si>
  <si>
    <t>TOTAL CONTENÇÃO</t>
  </si>
  <si>
    <t>Perímetro de contenção</t>
  </si>
  <si>
    <t>Perfis metálicos</t>
  </si>
  <si>
    <t>Chapa W250x38,5</t>
  </si>
  <si>
    <t>Ancoragem CA-50 16mm</t>
  </si>
  <si>
    <t>kg/m</t>
  </si>
  <si>
    <t>altura</t>
  </si>
  <si>
    <t>largura</t>
  </si>
  <si>
    <t>Cravação de perfis metálicos</t>
  </si>
  <si>
    <t>Mão de obra contenção</t>
  </si>
  <si>
    <t>PERFIS METALICOS</t>
  </si>
  <si>
    <t>Placa dupla de concreto Pré-moldado</t>
  </si>
  <si>
    <t xml:space="preserve">Forma </t>
  </si>
  <si>
    <t>viga de coroamento 40x40</t>
  </si>
  <si>
    <t>Área de subsolo (m²)</t>
  </si>
  <si>
    <t>LAJE MACIÇA</t>
  </si>
  <si>
    <t>LAJE NERVURADA</t>
  </si>
  <si>
    <t>CONCRETO</t>
  </si>
  <si>
    <t>AÇO</t>
  </si>
  <si>
    <t>FORMA</t>
  </si>
  <si>
    <t xml:space="preserve">AREA </t>
  </si>
  <si>
    <t>CLIENTE (MACIÇA)</t>
  </si>
  <si>
    <t>PROJEÇÃO NERVURADA</t>
  </si>
  <si>
    <t>CARTESIAN (MACIÇA)</t>
  </si>
  <si>
    <t>Locação de cubetas</t>
  </si>
  <si>
    <t>SUPRAESTRUTURA - LAJE NERVURADA - FASE 3</t>
  </si>
  <si>
    <t>SUPRAESTRUTURA - LAJE NERVURADA - FASE 4</t>
  </si>
  <si>
    <t>VARIAÇÃO CUBETA-NERVURA</t>
  </si>
  <si>
    <t>TIPO 1/LAZER</t>
  </si>
  <si>
    <t>FASE 3 - TORRE 1</t>
  </si>
  <si>
    <t>FASE 4 - TORRE 2</t>
  </si>
  <si>
    <t>BARRILETE 1 /LAZER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</si>
</sst>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-* #,##0.00_-;\-* #,##0.00_-;_-* &quot;-&quot;??_-;_-@"/>
    <numFmt numFmtId="168" formatCode="_-&quot;R$&quot;\ * #,##0.000000_-;\-&quot;R$&quot;\ * #,##0.000000_-;_-&quot;R$&quot;\ * &quot;-&quot;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i/>
      <sz val="8"/>
      <color rgb="FF121212"/>
      <name val="Poppins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10000"/>
      <name val="Roboto"/>
    </font>
    <font>
      <b/>
      <sz val="11"/>
      <color theme="1"/>
      <name val="Roboto"/>
    </font>
    <font>
      <sz val="8"/>
      <name val="Poppins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A5A5A5"/>
        <bgColor rgb="FFA5A5A5"/>
      </patternFill>
    </fill>
    <fill>
      <patternFill patternType="solid">
        <fgColor rgb="FF255AE5"/>
        <bgColor rgb="FF255AE5"/>
      </patternFill>
    </fill>
    <fill>
      <patternFill patternType="solid">
        <fgColor rgb="FFFFFF00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81" xfId="0" applyFont="1" applyBorder="1" applyAlignment="1">
      <alignment horizontal="left" vertical="center" wrapText="1"/>
    </xf>
    <xf numFmtId="43" fontId="3" fillId="0" borderId="55" xfId="1" applyFont="1" applyBorder="1" applyAlignment="1">
      <alignment horizontal="center" vertical="center" wrapText="1"/>
    </xf>
    <xf numFmtId="43" fontId="3" fillId="0" borderId="82" xfId="1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43" fontId="7" fillId="2" borderId="83" xfId="1" applyFont="1" applyFill="1" applyBorder="1" applyAlignment="1">
      <alignment horizontal="center" vertical="center" wrapText="1"/>
    </xf>
    <xf numFmtId="43" fontId="7" fillId="2" borderId="84" xfId="1" applyFont="1" applyFill="1" applyBorder="1" applyAlignment="1">
      <alignment horizontal="center" vertical="center" wrapText="1"/>
    </xf>
    <xf numFmtId="43" fontId="7" fillId="2" borderId="85" xfId="1" applyFont="1" applyFill="1" applyBorder="1" applyAlignment="1">
      <alignment horizontal="center" vertical="center" wrapText="1"/>
    </xf>
    <xf numFmtId="43" fontId="38" fillId="2" borderId="5" xfId="1" applyFont="1" applyFill="1" applyBorder="1" applyAlignment="1">
      <alignment horizontal="center" vertical="center" wrapText="1"/>
    </xf>
    <xf numFmtId="43" fontId="38" fillId="2" borderId="84" xfId="1" applyFont="1" applyFill="1" applyBorder="1" applyAlignment="1">
      <alignment horizontal="center" vertical="center" wrapText="1"/>
    </xf>
    <xf numFmtId="43" fontId="38" fillId="2" borderId="13" xfId="1" applyFont="1" applyFill="1" applyBorder="1" applyAlignment="1">
      <alignment vertical="center" wrapText="1"/>
    </xf>
    <xf numFmtId="0" fontId="38" fillId="2" borderId="25" xfId="0" applyFont="1" applyFill="1" applyBorder="1" applyAlignment="1">
      <alignment horizontal="right" vertical="center" wrapText="1"/>
    </xf>
    <xf numFmtId="43" fontId="38" fillId="2" borderId="84" xfId="1" applyFont="1" applyFill="1" applyBorder="1" applyAlignment="1">
      <alignment vertical="center" wrapText="1"/>
    </xf>
    <xf numFmtId="43" fontId="38" fillId="2" borderId="85" xfId="1" applyFont="1" applyFill="1" applyBorder="1" applyAlignment="1">
      <alignment vertical="center" wrapText="1"/>
    </xf>
    <xf numFmtId="0" fontId="9" fillId="12" borderId="89" xfId="0" applyFont="1" applyFill="1" applyBorder="1" applyAlignment="1">
      <alignment vertical="center" wrapText="1"/>
    </xf>
    <xf numFmtId="0" fontId="39" fillId="0" borderId="90" xfId="0" applyFont="1" applyBorder="1"/>
    <xf numFmtId="0" fontId="39" fillId="0" borderId="91" xfId="0" applyFont="1" applyBorder="1"/>
    <xf numFmtId="0" fontId="16" fillId="13" borderId="92" xfId="0" applyFont="1" applyFill="1" applyBorder="1" applyAlignment="1">
      <alignment horizontal="left" vertical="center" wrapText="1"/>
    </xf>
    <xf numFmtId="0" fontId="39" fillId="13" borderId="92" xfId="0" applyFont="1" applyFill="1" applyBorder="1"/>
    <xf numFmtId="167" fontId="39" fillId="13" borderId="92" xfId="0" applyNumberFormat="1" applyFont="1" applyFill="1" applyBorder="1"/>
    <xf numFmtId="0" fontId="39" fillId="13" borderId="93" xfId="0" applyFont="1" applyFill="1" applyBorder="1"/>
    <xf numFmtId="0" fontId="9" fillId="12" borderId="94" xfId="0" applyFont="1" applyFill="1" applyBorder="1" applyAlignment="1">
      <alignment vertical="center" wrapText="1"/>
    </xf>
    <xf numFmtId="0" fontId="39" fillId="0" borderId="61" xfId="0" applyFont="1" applyBorder="1"/>
    <xf numFmtId="0" fontId="39" fillId="0" borderId="64" xfId="0" applyFont="1" applyBorder="1"/>
    <xf numFmtId="0" fontId="16" fillId="13" borderId="64" xfId="0" applyFont="1" applyFill="1" applyBorder="1" applyAlignment="1">
      <alignment horizontal="left" vertical="center" wrapText="1"/>
    </xf>
    <xf numFmtId="0" fontId="39" fillId="13" borderId="64" xfId="0" applyFont="1" applyFill="1" applyBorder="1"/>
    <xf numFmtId="167" fontId="39" fillId="13" borderId="64" xfId="0" applyNumberFormat="1" applyFont="1" applyFill="1" applyBorder="1"/>
    <xf numFmtId="0" fontId="39" fillId="13" borderId="95" xfId="0" applyFont="1" applyFill="1" applyBorder="1"/>
    <xf numFmtId="0" fontId="9" fillId="12" borderId="96" xfId="0" applyFont="1" applyFill="1" applyBorder="1" applyAlignment="1">
      <alignment vertical="center" wrapText="1"/>
    </xf>
    <xf numFmtId="0" fontId="39" fillId="0" borderId="97" xfId="0" applyFont="1" applyBorder="1"/>
    <xf numFmtId="0" fontId="39" fillId="0" borderId="98" xfId="0" applyFont="1" applyBorder="1"/>
    <xf numFmtId="0" fontId="39" fillId="13" borderId="98" xfId="0" applyFont="1" applyFill="1" applyBorder="1"/>
    <xf numFmtId="167" fontId="39" fillId="13" borderId="98" xfId="0" applyNumberFormat="1" applyFont="1" applyFill="1" applyBorder="1"/>
    <xf numFmtId="0" fontId="39" fillId="13" borderId="99" xfId="0" applyFont="1" applyFill="1" applyBorder="1"/>
    <xf numFmtId="0" fontId="39" fillId="13" borderId="0" xfId="0" applyFont="1" applyFill="1"/>
    <xf numFmtId="167" fontId="39" fillId="13" borderId="0" xfId="0" applyNumberFormat="1" applyFont="1" applyFill="1"/>
    <xf numFmtId="0" fontId="39" fillId="13" borderId="100" xfId="0" applyFont="1" applyFill="1" applyBorder="1"/>
    <xf numFmtId="0" fontId="5" fillId="17" borderId="106" xfId="0" applyFont="1" applyFill="1" applyBorder="1" applyAlignment="1">
      <alignment horizontal="center" vertical="center"/>
    </xf>
    <xf numFmtId="0" fontId="5" fillId="17" borderId="107" xfId="0" applyFont="1" applyFill="1" applyBorder="1" applyAlignment="1">
      <alignment horizontal="center" vertical="center"/>
    </xf>
    <xf numFmtId="0" fontId="5" fillId="17" borderId="108" xfId="0" applyFont="1" applyFill="1" applyBorder="1" applyAlignment="1">
      <alignment horizontal="center" vertical="center"/>
    </xf>
    <xf numFmtId="167" fontId="5" fillId="17" borderId="108" xfId="0" applyNumberFormat="1" applyFont="1" applyFill="1" applyBorder="1" applyAlignment="1">
      <alignment horizontal="center" vertical="center"/>
    </xf>
    <xf numFmtId="0" fontId="5" fillId="17" borderId="109" xfId="0" applyFont="1" applyFill="1" applyBorder="1" applyAlignment="1">
      <alignment horizontal="center"/>
    </xf>
    <xf numFmtId="167" fontId="5" fillId="17" borderId="110" xfId="0" applyNumberFormat="1" applyFont="1" applyFill="1" applyBorder="1" applyAlignment="1">
      <alignment horizontal="center" vertical="center"/>
    </xf>
    <xf numFmtId="167" fontId="5" fillId="17" borderId="111" xfId="0" applyNumberFormat="1" applyFont="1" applyFill="1" applyBorder="1" applyAlignment="1">
      <alignment horizontal="center" vertical="center"/>
    </xf>
    <xf numFmtId="0" fontId="5" fillId="17" borderId="112" xfId="0" applyFont="1" applyFill="1" applyBorder="1" applyAlignment="1">
      <alignment horizontal="center" vertical="center"/>
    </xf>
    <xf numFmtId="0" fontId="5" fillId="17" borderId="113" xfId="0" applyFont="1" applyFill="1" applyBorder="1" applyAlignment="1">
      <alignment horizontal="center" vertical="center"/>
    </xf>
    <xf numFmtId="0" fontId="39" fillId="12" borderId="114" xfId="0" applyFont="1" applyFill="1" applyBorder="1"/>
    <xf numFmtId="0" fontId="39" fillId="12" borderId="115" xfId="0" applyFont="1" applyFill="1" applyBorder="1"/>
    <xf numFmtId="0" fontId="39" fillId="12" borderId="97" xfId="0" applyFont="1" applyFill="1" applyBorder="1"/>
    <xf numFmtId="167" fontId="39" fillId="12" borderId="97" xfId="0" applyNumberFormat="1" applyFont="1" applyFill="1" applyBorder="1"/>
    <xf numFmtId="167" fontId="39" fillId="0" borderId="116" xfId="0" applyNumberFormat="1" applyFont="1" applyBorder="1"/>
    <xf numFmtId="167" fontId="39" fillId="0" borderId="117" xfId="0" applyNumberFormat="1" applyFont="1" applyBorder="1"/>
    <xf numFmtId="0" fontId="39" fillId="0" borderId="118" xfId="0" applyFont="1" applyBorder="1"/>
    <xf numFmtId="4" fontId="39" fillId="0" borderId="119" xfId="0" applyNumberFormat="1" applyFont="1" applyBorder="1"/>
    <xf numFmtId="0" fontId="39" fillId="12" borderId="120" xfId="0" applyFont="1" applyFill="1" applyBorder="1"/>
    <xf numFmtId="167" fontId="39" fillId="12" borderId="120" xfId="0" applyNumberFormat="1" applyFont="1" applyFill="1" applyBorder="1"/>
    <xf numFmtId="167" fontId="39" fillId="0" borderId="121" xfId="0" applyNumberFormat="1" applyFont="1" applyBorder="1"/>
    <xf numFmtId="167" fontId="39" fillId="0" borderId="122" xfId="0" applyNumberFormat="1" applyFont="1" applyBorder="1"/>
    <xf numFmtId="0" fontId="39" fillId="0" borderId="123" xfId="0" applyFont="1" applyBorder="1"/>
    <xf numFmtId="4" fontId="39" fillId="0" borderId="124" xfId="0" applyNumberFormat="1" applyFont="1" applyBorder="1"/>
    <xf numFmtId="0" fontId="39" fillId="12" borderId="125" xfId="0" applyFont="1" applyFill="1" applyBorder="1"/>
    <xf numFmtId="0" fontId="39" fillId="0" borderId="126" xfId="0" applyFont="1" applyBorder="1"/>
    <xf numFmtId="167" fontId="39" fillId="0" borderId="126" xfId="0" applyNumberFormat="1" applyFont="1" applyBorder="1"/>
    <xf numFmtId="167" fontId="5" fillId="17" borderId="127" xfId="0" applyNumberFormat="1" applyFont="1" applyFill="1" applyBorder="1" applyAlignment="1">
      <alignment horizontal="center" vertical="center"/>
    </xf>
    <xf numFmtId="167" fontId="39" fillId="0" borderId="128" xfId="0" applyNumberFormat="1" applyFont="1" applyBorder="1"/>
    <xf numFmtId="167" fontId="39" fillId="0" borderId="119" xfId="0" applyNumberFormat="1" applyFont="1" applyBorder="1"/>
    <xf numFmtId="167" fontId="39" fillId="0" borderId="118" xfId="0" applyNumberFormat="1" applyFont="1" applyBorder="1"/>
    <xf numFmtId="167" fontId="39" fillId="0" borderId="125" xfId="0" applyNumberFormat="1" applyFont="1" applyBorder="1"/>
    <xf numFmtId="167" fontId="39" fillId="0" borderId="129" xfId="0" applyNumberFormat="1" applyFont="1" applyBorder="1"/>
    <xf numFmtId="0" fontId="39" fillId="0" borderId="130" xfId="0" applyFont="1" applyBorder="1"/>
    <xf numFmtId="167" fontId="39" fillId="0" borderId="131" xfId="0" applyNumberFormat="1" applyFont="1" applyBorder="1"/>
    <xf numFmtId="167" fontId="39" fillId="0" borderId="0" xfId="0" applyNumberFormat="1" applyFont="1"/>
    <xf numFmtId="0" fontId="39" fillId="12" borderId="132" xfId="0" applyFont="1" applyFill="1" applyBorder="1"/>
    <xf numFmtId="0" fontId="39" fillId="12" borderId="133" xfId="0" applyFont="1" applyFill="1" applyBorder="1"/>
    <xf numFmtId="0" fontId="39" fillId="12" borderId="134" xfId="0" applyFont="1" applyFill="1" applyBorder="1"/>
    <xf numFmtId="167" fontId="39" fillId="12" borderId="134" xfId="0" applyNumberFormat="1" applyFont="1" applyFill="1" applyBorder="1"/>
    <xf numFmtId="0" fontId="39" fillId="12" borderId="135" xfId="0" applyFont="1" applyFill="1" applyBorder="1"/>
    <xf numFmtId="167" fontId="39" fillId="0" borderId="135" xfId="0" applyNumberFormat="1" applyFont="1" applyBorder="1"/>
    <xf numFmtId="0" fontId="42" fillId="2" borderId="136" xfId="0" applyFont="1" applyFill="1" applyBorder="1" applyAlignment="1">
      <alignment horizontal="left" vertical="center" wrapText="1"/>
    </xf>
    <xf numFmtId="43" fontId="10" fillId="4" borderId="10" xfId="1" applyFont="1" applyFill="1" applyBorder="1" applyAlignment="1">
      <alignment horizontal="right" vertical="center" wrapText="1"/>
    </xf>
    <xf numFmtId="168" fontId="19" fillId="0" borderId="0" xfId="0" applyNumberFormat="1" applyFont="1" applyAlignment="1">
      <alignment vertical="center"/>
    </xf>
    <xf numFmtId="0" fontId="43" fillId="4" borderId="0" xfId="0" applyFont="1" applyFill="1" applyAlignment="1">
      <alignment horizontal="right" vertical="center"/>
    </xf>
    <xf numFmtId="0" fontId="19" fillId="0" borderId="0" xfId="0" applyFont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9" fontId="19" fillId="0" borderId="0" xfId="6" applyFont="1" applyAlignment="1">
      <alignment vertical="center"/>
    </xf>
    <xf numFmtId="4" fontId="19" fillId="0" borderId="0" xfId="10" applyNumberFormat="1" applyFont="1" applyAlignment="1">
      <alignment horizontal="right" vertical="center"/>
    </xf>
    <xf numFmtId="44" fontId="10" fillId="18" borderId="1" xfId="10" applyFont="1" applyFill="1" applyBorder="1" applyAlignment="1">
      <alignment horizontal="left" vertical="center" wrapText="1"/>
    </xf>
    <xf numFmtId="0" fontId="19" fillId="0" borderId="1" xfId="0" applyFont="1" applyBorder="1" applyAlignment="1">
      <alignment vertical="center"/>
    </xf>
    <xf numFmtId="2" fontId="43" fillId="0" borderId="1" xfId="0" applyNumberFormat="1" applyFont="1" applyBorder="1" applyAlignment="1">
      <alignment vertical="center"/>
    </xf>
    <xf numFmtId="2" fontId="19" fillId="0" borderId="1" xfId="0" applyNumberFormat="1" applyFont="1" applyBorder="1" applyAlignment="1">
      <alignment vertical="center"/>
    </xf>
    <xf numFmtId="0" fontId="26" fillId="5" borderId="0" xfId="0" applyFont="1" applyFill="1" applyAlignment="1">
      <alignment vertical="center" wrapText="1"/>
    </xf>
    <xf numFmtId="43" fontId="26" fillId="5" borderId="0" xfId="1" applyFont="1" applyFill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10" fontId="43" fillId="0" borderId="1" xfId="6" applyNumberFormat="1" applyFont="1" applyBorder="1" applyAlignment="1">
      <alignment horizontal="center" vertical="center"/>
    </xf>
    <xf numFmtId="43" fontId="7" fillId="2" borderId="84" xfId="1" applyFont="1" applyFill="1" applyBorder="1" applyAlignment="1">
      <alignment vertical="center" wrapText="1"/>
    </xf>
    <xf numFmtId="43" fontId="38" fillId="2" borderId="84" xfId="1" applyFont="1" applyFill="1" applyBorder="1" applyAlignment="1">
      <alignment vertical="center" wrapText="1"/>
    </xf>
    <xf numFmtId="43" fontId="38" fillId="2" borderId="87" xfId="1" applyFont="1" applyFill="1" applyBorder="1" applyAlignment="1">
      <alignment vertical="center" wrapText="1"/>
    </xf>
    <xf numFmtId="43" fontId="38" fillId="2" borderId="84" xfId="1" applyFont="1" applyFill="1" applyBorder="1" applyAlignment="1">
      <alignment horizontal="center" vertical="center" wrapText="1"/>
    </xf>
    <xf numFmtId="43" fontId="38" fillId="2" borderId="87" xfId="1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43" fontId="7" fillId="2" borderId="84" xfId="1" applyFont="1" applyFill="1" applyBorder="1" applyAlignment="1">
      <alignment horizontal="center" vertical="center" wrapText="1"/>
    </xf>
    <xf numFmtId="43" fontId="7" fillId="2" borderId="88" xfId="1" applyFont="1" applyFill="1" applyBorder="1" applyAlignment="1">
      <alignment horizontal="center" vertical="center" wrapText="1"/>
    </xf>
    <xf numFmtId="43" fontId="7" fillId="2" borderId="84" xfId="1" applyFont="1" applyFill="1" applyBorder="1" applyAlignment="1">
      <alignment vertical="center" wrapText="1"/>
    </xf>
    <xf numFmtId="43" fontId="7" fillId="2" borderId="88" xfId="1" applyFont="1" applyFill="1" applyBorder="1" applyAlignment="1">
      <alignment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/>
    </xf>
    <xf numFmtId="2" fontId="43" fillId="0" borderId="35" xfId="0" applyNumberFormat="1" applyFont="1" applyBorder="1" applyAlignment="1">
      <alignment horizontal="center" vertical="center" wrapText="1"/>
    </xf>
    <xf numFmtId="2" fontId="43" fillId="0" borderId="11" xfId="0" applyNumberFormat="1" applyFont="1" applyBorder="1" applyAlignment="1">
      <alignment horizontal="center" vertical="center" wrapText="1"/>
    </xf>
    <xf numFmtId="167" fontId="41" fillId="16" borderId="101" xfId="0" applyNumberFormat="1" applyFont="1" applyFill="1" applyBorder="1" applyAlignment="1">
      <alignment horizontal="center"/>
    </xf>
    <xf numFmtId="0" fontId="40" fillId="0" borderId="103" xfId="0" applyFont="1" applyBorder="1"/>
    <xf numFmtId="0" fontId="11" fillId="14" borderId="99" xfId="0" applyFont="1" applyFill="1" applyBorder="1" applyAlignment="1">
      <alignment horizontal="center" vertical="center" wrapText="1"/>
    </xf>
    <xf numFmtId="0" fontId="40" fillId="0" borderId="0" xfId="0" applyFont="1"/>
    <xf numFmtId="0" fontId="40" fillId="0" borderId="100" xfId="0" applyFont="1" applyBorder="1"/>
    <xf numFmtId="0" fontId="11" fillId="15" borderId="99" xfId="0" applyFont="1" applyFill="1" applyBorder="1" applyAlignment="1">
      <alignment horizontal="center" vertical="center" wrapText="1"/>
    </xf>
    <xf numFmtId="0" fontId="41" fillId="16" borderId="101" xfId="0" applyFont="1" applyFill="1" applyBorder="1" applyAlignment="1">
      <alignment horizontal="center"/>
    </xf>
    <xf numFmtId="0" fontId="41" fillId="16" borderId="102" xfId="0" applyFont="1" applyFill="1" applyBorder="1" applyAlignment="1">
      <alignment horizontal="center"/>
    </xf>
    <xf numFmtId="0" fontId="40" fillId="0" borderId="102" xfId="0" applyFont="1" applyBorder="1"/>
    <xf numFmtId="0" fontId="41" fillId="16" borderId="104" xfId="0" applyFont="1" applyFill="1" applyBorder="1" applyAlignment="1">
      <alignment horizontal="center"/>
    </xf>
    <xf numFmtId="0" fontId="40" fillId="0" borderId="105" xfId="0" applyFont="1" applyBorder="1"/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43" fontId="44" fillId="2" borderId="84" xfId="1" applyFont="1" applyFill="1" applyBorder="1" applyAlignment="1">
      <alignment horizontal="center" vertical="center" wrapText="1"/>
    </xf>
    <xf numFmtId="4" fontId="7" fillId="2" borderId="86" xfId="1" applyNumberFormat="1" applyFont="1" applyFill="1" applyBorder="1" applyAlignment="1">
      <alignment vertical="center" wrapText="1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97595</xdr:colOff>
      <xdr:row>0</xdr:row>
      <xdr:rowOff>225491</xdr:rowOff>
    </xdr:from>
    <xdr:to>
      <xdr:col>7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156210</xdr:colOff>
      <xdr:row>1</xdr:row>
      <xdr:rowOff>8207</xdr:rowOff>
    </xdr:from>
    <xdr:to>
      <xdr:col>25</xdr:col>
      <xdr:colOff>339222</xdr:colOff>
      <xdr:row>13</xdr:row>
      <xdr:rowOff>118741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90124F-D2E3-4038-B1B0-A7ABFB21C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7630" y="198707"/>
          <a:ext cx="9317487" cy="2891834"/>
        </a:xfrm>
        <a:prstGeom prst="rect">
          <a:avLst/>
        </a:prstGeom>
      </xdr:spPr>
    </xdr:pic>
    <xdr:clientData/>
  </xdr:twoCellAnchor>
  <xdr:twoCellAnchor editAs="oneCell">
    <xdr:from>
      <xdr:col>10</xdr:col>
      <xdr:colOff>394334</xdr:colOff>
      <xdr:row>11</xdr:row>
      <xdr:rowOff>126350</xdr:rowOff>
    </xdr:from>
    <xdr:to>
      <xdr:col>17</xdr:col>
      <xdr:colOff>347354</xdr:colOff>
      <xdr:row>18</xdr:row>
      <xdr:rowOff>41910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57A043-C32A-42FD-AFEB-BBBB38747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7414" y="2900030"/>
          <a:ext cx="4227840" cy="1310020"/>
        </a:xfrm>
        <a:prstGeom prst="rect">
          <a:avLst/>
        </a:prstGeom>
      </xdr:spPr>
    </xdr:pic>
    <xdr:clientData/>
  </xdr:twoCellAnchor>
  <xdr:twoCellAnchor editAs="oneCell">
    <xdr:from>
      <xdr:col>10</xdr:col>
      <xdr:colOff>91440</xdr:colOff>
      <xdr:row>19</xdr:row>
      <xdr:rowOff>53340</xdr:rowOff>
    </xdr:from>
    <xdr:to>
      <xdr:col>26</xdr:col>
      <xdr:colOff>39453</xdr:colOff>
      <xdr:row>50</xdr:row>
      <xdr:rowOff>4648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B55DCA1-D4F3-C1F5-C036-140109BB0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94520" y="4213860"/>
          <a:ext cx="9701613" cy="6001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</xdr:row>
      <xdr:rowOff>0</xdr:rowOff>
    </xdr:from>
    <xdr:to>
      <xdr:col>16</xdr:col>
      <xdr:colOff>95521</xdr:colOff>
      <xdr:row>17</xdr:row>
      <xdr:rowOff>196551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E11FBF-642F-492C-8B46-9357F8863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87800" y="3152775"/>
          <a:ext cx="5365228" cy="240635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</xdr:colOff>
      <xdr:row>20</xdr:row>
      <xdr:rowOff>35719</xdr:rowOff>
    </xdr:from>
    <xdr:to>
      <xdr:col>13</xdr:col>
      <xdr:colOff>436136</xdr:colOff>
      <xdr:row>29</xdr:row>
      <xdr:rowOff>24232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7D168E0-BA88-47FD-AAB7-9FBF04FA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49812" y="5917407"/>
          <a:ext cx="2638793" cy="30007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</xdr:row>
      <xdr:rowOff>66675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3F1E2F65-26E0-42FF-9D40-F655EC55E0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78200" y="259080"/>
          <a:ext cx="1381125" cy="2286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Blue%20Heaven/2024.03%20-%20Monolyt/04.%20Custo/03.0%20Custo%20-%20Or&#231;amento%20Parametrico/Custos%20diretos/CTN-BHV-%20MONOLYT%20-%20LEVANTAMENTOS_R0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Sisa%20Constru&#231;&#245;es/04.%20Custo/03.0%20Custo%20-%20Or&#231;amento%20Param&#233;trico/CTN-SISA-WAVE%20%20-%20Gerenciamento%20-M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INICIAIS"/>
      <sheetName val="MOVIMENTAÇÃO_DE_TERRA"/>
      <sheetName val="TERRAPLENAGEM"/>
      <sheetName val="CONTENÇÕES"/>
      <sheetName val="INFRAESTRUTURA REV01"/>
      <sheetName val="SUPRAESTRUTURA"/>
      <sheetName val="SUPRAESTRUTURA (2)"/>
      <sheetName val="Alvenaria"/>
      <sheetName val="REVESTIMENTO PISO"/>
      <sheetName val="REVESTIMENTO PAREDE PISCINA"/>
      <sheetName val="REVESTIMENTO TETO"/>
      <sheetName val="Acabamentos de Piso"/>
      <sheetName val="Rev. Internos de Parede"/>
      <sheetName val="Acabamentos de Teto"/>
      <sheetName val="Ambientes"/>
      <sheetName val="Pintura Interna"/>
      <sheetName val="Impermeabilização"/>
      <sheetName val="Instalações"/>
      <sheetName val="Instalações Lumis"/>
      <sheetName val="Sistemas Especiais"/>
      <sheetName val="Simulador Solar"/>
      <sheetName val="Complementares"/>
      <sheetName val="Canteiro"/>
      <sheetName val="Bases"/>
      <sheetName val="EPCs"/>
      <sheetName val="CUSTOS_INDIRETOS"/>
      <sheetName val="Esquadrias"/>
      <sheetName val="ESQUADRIAS_MADEIRA"/>
      <sheetName val="PORTA_CORTA_FOGO"/>
      <sheetName val="ESQUADRIAS_DE_ALUMÍNIO"/>
      <sheetName val="GUARDA_CORPO"/>
      <sheetName val="BRISES"/>
      <sheetName val="Rev. Fachada"/>
      <sheetName val="FACHADA"/>
      <sheetName val="ORÇAMENTO_EXECUTIVO_REV03"/>
      <sheetName val="ORÇAMENTO_EXECUTIVO_REV02"/>
      <sheetName val="ORÇAMENTO_EXECUTIVO_REV01"/>
      <sheetName val="ANÁLISE_CUSTOS"/>
      <sheetName val="AREAS_PRIVATIVAS"/>
      <sheetName val="CÁLCULO_MÉDIAS"/>
      <sheetName val="ATALAIA"/>
      <sheetName val="Spotico"/>
      <sheetName val="Índices"/>
      <sheetName val="Auxiliar"/>
    </sheetNames>
    <sheetDataSet>
      <sheetData sheetId="0">
        <row r="11">
          <cell r="E11">
            <v>14693.42</v>
          </cell>
        </row>
        <row r="23">
          <cell r="E23">
            <v>1879.83</v>
          </cell>
          <cell r="F23">
            <v>2024.31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INICIAIS"/>
      <sheetName val="AREAS"/>
      <sheetName val="MOVIMENTAÇÃO_DE_TERRA"/>
      <sheetName val="CONTENÇÕES"/>
      <sheetName val="INFRAESTRUTURA"/>
      <sheetName val="SUPRAESTRUTURA"/>
      <sheetName val="ALVENARIA"/>
      <sheetName val="INSTALAÇÕES"/>
      <sheetName val="SISTEMAS ESPECIAIS"/>
      <sheetName val="IMPERMEABILIZAÇÃO"/>
      <sheetName val="AMBIENTES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/>
      <sheetData sheetId="1">
        <row r="6">
          <cell r="E6">
            <v>7907.87</v>
          </cell>
        </row>
      </sheetData>
      <sheetData sheetId="2"/>
      <sheetData sheetId="3"/>
      <sheetData sheetId="4">
        <row r="12">
          <cell r="D12">
            <v>2635.38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H40"/>
  <sheetViews>
    <sheetView view="pageBreakPreview" topLeftCell="A4" zoomScale="115" zoomScaleNormal="115" zoomScaleSheetLayoutView="115" workbookViewId="0">
      <selection activeCell="F38" sqref="F38"/>
    </sheetView>
  </sheetViews>
  <sheetFormatPr defaultRowHeight="21.75" x14ac:dyDescent="0.6"/>
  <cols>
    <col min="1" max="1" width="19.140625" style="41" customWidth="1"/>
    <col min="2" max="2" width="83.7109375" style="42" customWidth="1"/>
    <col min="3" max="5" width="11.28515625" style="42" customWidth="1"/>
    <col min="6" max="6" width="11.28515625" style="43" customWidth="1"/>
    <col min="7" max="7" width="11.140625" style="44" customWidth="1"/>
    <col min="8" max="8" width="24" style="41" customWidth="1"/>
    <col min="9" max="10" width="9.28515625" bestFit="1" customWidth="1"/>
  </cols>
  <sheetData>
    <row r="1" spans="1:8" ht="18" customHeight="1" x14ac:dyDescent="0.6">
      <c r="A1" s="4" t="s">
        <v>0</v>
      </c>
      <c r="B1" s="5" t="s">
        <v>284</v>
      </c>
      <c r="C1" s="6"/>
      <c r="D1" s="6"/>
      <c r="E1" s="6"/>
      <c r="F1" s="7"/>
      <c r="G1" s="8"/>
      <c r="H1" s="9"/>
    </row>
    <row r="2" spans="1:8" ht="18" customHeight="1" x14ac:dyDescent="0.6">
      <c r="A2" s="10" t="s">
        <v>117</v>
      </c>
      <c r="B2" s="11" t="s">
        <v>285</v>
      </c>
      <c r="C2" s="12"/>
      <c r="D2" s="12"/>
      <c r="E2" s="12"/>
      <c r="F2" s="13"/>
      <c r="G2" s="14"/>
      <c r="H2" s="15"/>
    </row>
    <row r="3" spans="1:8" ht="18" customHeight="1" x14ac:dyDescent="0.6">
      <c r="A3" s="10" t="s">
        <v>1</v>
      </c>
      <c r="B3" s="11" t="s">
        <v>183</v>
      </c>
      <c r="C3" s="12"/>
      <c r="D3" s="12"/>
      <c r="E3" s="12"/>
      <c r="F3" s="13"/>
      <c r="G3" s="14"/>
      <c r="H3" s="15"/>
    </row>
    <row r="4" spans="1:8" ht="18" customHeight="1" x14ac:dyDescent="0.6">
      <c r="A4" s="10" t="s">
        <v>286</v>
      </c>
      <c r="B4" s="11" t="s">
        <v>339</v>
      </c>
      <c r="C4" s="12"/>
      <c r="D4" s="12"/>
      <c r="E4" s="12"/>
      <c r="F4" s="13"/>
      <c r="G4" s="14"/>
      <c r="H4" s="20"/>
    </row>
    <row r="5" spans="1:8" ht="25.15" customHeight="1" x14ac:dyDescent="0.25">
      <c r="A5" s="304" t="s">
        <v>126</v>
      </c>
      <c r="B5" s="305"/>
      <c r="C5" s="305"/>
      <c r="D5" s="305"/>
      <c r="E5" s="305"/>
      <c r="F5" s="305"/>
      <c r="G5" s="305"/>
      <c r="H5" s="306"/>
    </row>
    <row r="6" spans="1:8" ht="14.45" customHeight="1" thickBot="1" x14ac:dyDescent="0.65">
      <c r="A6" s="16"/>
      <c r="B6" s="17"/>
      <c r="C6" s="17"/>
      <c r="D6" s="17"/>
      <c r="E6" s="17"/>
      <c r="F6" s="18"/>
      <c r="G6" s="19"/>
      <c r="H6" s="20"/>
    </row>
    <row r="7" spans="1:8" x14ac:dyDescent="0.6">
      <c r="A7" s="22"/>
      <c r="B7" s="23" t="s">
        <v>14</v>
      </c>
      <c r="C7" s="24" t="s">
        <v>15</v>
      </c>
      <c r="D7" s="24" t="s">
        <v>127</v>
      </c>
      <c r="E7" s="206"/>
      <c r="F7" s="25" t="s">
        <v>18</v>
      </c>
      <c r="G7" s="26"/>
      <c r="H7" s="21"/>
    </row>
    <row r="8" spans="1:8" x14ac:dyDescent="0.6">
      <c r="A8" s="22"/>
      <c r="B8" s="27" t="s">
        <v>128</v>
      </c>
      <c r="C8" s="28" t="s">
        <v>7</v>
      </c>
      <c r="D8" s="28" t="s">
        <v>120</v>
      </c>
      <c r="E8" s="207"/>
      <c r="F8" s="29">
        <v>9027.7900000000009</v>
      </c>
      <c r="G8" s="26"/>
      <c r="H8" s="21"/>
    </row>
    <row r="9" spans="1:8" x14ac:dyDescent="0.6">
      <c r="A9" s="22"/>
      <c r="B9" s="30" t="s">
        <v>129</v>
      </c>
      <c r="C9" s="31" t="s">
        <v>8</v>
      </c>
      <c r="D9" s="31" t="s">
        <v>120</v>
      </c>
      <c r="E9" s="208"/>
      <c r="F9" s="32">
        <v>73831.22</v>
      </c>
      <c r="G9" s="26"/>
      <c r="H9" s="21"/>
    </row>
    <row r="10" spans="1:8" x14ac:dyDescent="0.6">
      <c r="A10" s="22"/>
      <c r="B10" s="213" t="s">
        <v>365</v>
      </c>
      <c r="C10" s="210"/>
      <c r="D10" s="31" t="s">
        <v>120</v>
      </c>
      <c r="E10" s="300">
        <v>4679.95</v>
      </c>
      <c r="F10" s="301"/>
      <c r="G10" s="26"/>
      <c r="H10" s="21"/>
    </row>
    <row r="11" spans="1:8" x14ac:dyDescent="0.6">
      <c r="A11" s="22"/>
      <c r="B11" s="213" t="s">
        <v>366</v>
      </c>
      <c r="C11" s="210"/>
      <c r="D11" s="31" t="s">
        <v>120</v>
      </c>
      <c r="E11" s="300">
        <v>4528.1400000000003</v>
      </c>
      <c r="F11" s="301"/>
      <c r="G11" s="26"/>
      <c r="H11" s="21"/>
    </row>
    <row r="12" spans="1:8" x14ac:dyDescent="0.6">
      <c r="A12" s="22"/>
      <c r="B12" s="213" t="s">
        <v>367</v>
      </c>
      <c r="C12" s="210"/>
      <c r="D12" s="31" t="s">
        <v>120</v>
      </c>
      <c r="E12" s="300">
        <v>4528.1400000000003</v>
      </c>
      <c r="F12" s="301"/>
      <c r="G12" s="26"/>
      <c r="H12" s="21"/>
    </row>
    <row r="13" spans="1:8" x14ac:dyDescent="0.6">
      <c r="A13" s="22"/>
      <c r="B13" s="213" t="s">
        <v>199</v>
      </c>
      <c r="C13" s="210"/>
      <c r="D13" s="31" t="s">
        <v>120</v>
      </c>
      <c r="E13" s="300">
        <v>5529.88</v>
      </c>
      <c r="F13" s="301"/>
      <c r="G13" s="26"/>
      <c r="H13" s="21"/>
    </row>
    <row r="14" spans="1:8" x14ac:dyDescent="0.6">
      <c r="A14" s="22"/>
      <c r="B14" s="213" t="s">
        <v>368</v>
      </c>
      <c r="C14" s="210"/>
      <c r="D14" s="31" t="s">
        <v>120</v>
      </c>
      <c r="E14" s="300">
        <v>2740.07</v>
      </c>
      <c r="F14" s="301"/>
      <c r="G14" s="26"/>
      <c r="H14" s="21"/>
    </row>
    <row r="15" spans="1:8" x14ac:dyDescent="0.6">
      <c r="A15" s="22"/>
      <c r="B15" s="213" t="s">
        <v>369</v>
      </c>
      <c r="C15" s="210"/>
      <c r="D15" s="31" t="s">
        <v>120</v>
      </c>
      <c r="E15" s="300">
        <v>4855.8500000000004</v>
      </c>
      <c r="F15" s="301"/>
      <c r="G15" s="26"/>
      <c r="H15" s="21"/>
    </row>
    <row r="16" spans="1:8" x14ac:dyDescent="0.6">
      <c r="A16" s="22"/>
      <c r="B16" s="213" t="s">
        <v>370</v>
      </c>
      <c r="C16" s="210"/>
      <c r="D16" s="31" t="s">
        <v>120</v>
      </c>
      <c r="E16" s="300">
        <v>5014.3</v>
      </c>
      <c r="F16" s="301"/>
      <c r="G16" s="26"/>
      <c r="H16" s="21"/>
    </row>
    <row r="17" spans="1:8" x14ac:dyDescent="0.6">
      <c r="A17" s="22"/>
      <c r="B17" s="213" t="s">
        <v>371</v>
      </c>
      <c r="C17" s="210"/>
      <c r="D17" s="31" t="s">
        <v>120</v>
      </c>
      <c r="E17" s="211">
        <f>618.71*22</f>
        <v>13611.62</v>
      </c>
      <c r="F17" s="212">
        <f>682.92*22</f>
        <v>15024.24</v>
      </c>
      <c r="G17" s="26"/>
      <c r="H17" s="21"/>
    </row>
    <row r="18" spans="1:8" x14ac:dyDescent="0.6">
      <c r="A18" s="22"/>
      <c r="B18" s="213" t="s">
        <v>372</v>
      </c>
      <c r="C18" s="210"/>
      <c r="D18" s="31" t="s">
        <v>120</v>
      </c>
      <c r="E18" s="302">
        <v>1554.82</v>
      </c>
      <c r="F18" s="303"/>
      <c r="G18" s="26"/>
      <c r="H18" s="21"/>
    </row>
    <row r="19" spans="1:8" x14ac:dyDescent="0.6">
      <c r="A19" s="22"/>
      <c r="B19" s="213" t="s">
        <v>374</v>
      </c>
      <c r="C19" s="210"/>
      <c r="D19" s="31" t="s">
        <v>120</v>
      </c>
      <c r="E19" s="211">
        <f>76.57*2</f>
        <v>153.13999999999999</v>
      </c>
      <c r="F19" s="212"/>
      <c r="G19" s="26"/>
      <c r="H19" s="21"/>
    </row>
    <row r="20" spans="1:8" x14ac:dyDescent="0.6">
      <c r="A20" s="22"/>
      <c r="B20" s="213" t="s">
        <v>373</v>
      </c>
      <c r="C20" s="210"/>
      <c r="D20" s="31" t="s">
        <v>120</v>
      </c>
      <c r="E20" s="211"/>
      <c r="F20" s="212">
        <f>682.92*16</f>
        <v>10926.72</v>
      </c>
      <c r="G20" s="26"/>
      <c r="H20" s="21"/>
    </row>
    <row r="21" spans="1:8" x14ac:dyDescent="0.6">
      <c r="A21" s="22"/>
      <c r="B21" s="213" t="s">
        <v>375</v>
      </c>
      <c r="C21" s="210"/>
      <c r="D21" s="31" t="s">
        <v>120</v>
      </c>
      <c r="E21" s="211"/>
      <c r="F21" s="212">
        <f>111.98*2</f>
        <v>223.96</v>
      </c>
      <c r="G21" s="26"/>
      <c r="H21" s="21"/>
    </row>
    <row r="22" spans="1:8" x14ac:dyDescent="0.6">
      <c r="A22" s="22"/>
      <c r="B22" s="30" t="s">
        <v>287</v>
      </c>
      <c r="C22" s="31" t="s">
        <v>288</v>
      </c>
      <c r="D22" s="31" t="s">
        <v>123</v>
      </c>
      <c r="E22" s="208"/>
      <c r="F22" s="32">
        <v>596</v>
      </c>
      <c r="G22" s="200">
        <f>F9-F34-F33</f>
        <v>50078.889999999992</v>
      </c>
      <c r="H22" s="21"/>
    </row>
    <row r="23" spans="1:8" x14ac:dyDescent="0.6">
      <c r="A23" s="22"/>
      <c r="B23" s="30" t="s">
        <v>289</v>
      </c>
      <c r="C23" s="31" t="s">
        <v>293</v>
      </c>
      <c r="D23" s="31" t="s">
        <v>123</v>
      </c>
      <c r="E23" s="208"/>
      <c r="F23" s="32">
        <f>480+90*2+30*3</f>
        <v>750</v>
      </c>
      <c r="G23" s="26"/>
      <c r="H23" s="21"/>
    </row>
    <row r="24" spans="1:8" x14ac:dyDescent="0.6">
      <c r="A24" s="22"/>
      <c r="B24" s="30" t="s">
        <v>290</v>
      </c>
      <c r="C24" s="31" t="s">
        <v>294</v>
      </c>
      <c r="D24" s="31" t="s">
        <v>123</v>
      </c>
      <c r="E24" s="208"/>
      <c r="F24" s="32"/>
      <c r="G24" s="26"/>
      <c r="H24" s="21"/>
    </row>
    <row r="25" spans="1:8" x14ac:dyDescent="0.6">
      <c r="A25" s="22"/>
      <c r="B25" s="30" t="s">
        <v>291</v>
      </c>
      <c r="C25" s="31" t="s">
        <v>292</v>
      </c>
      <c r="D25" s="31" t="s">
        <v>123</v>
      </c>
      <c r="E25" s="208"/>
      <c r="F25" s="32">
        <v>2</v>
      </c>
      <c r="G25" s="26"/>
      <c r="H25" s="21"/>
    </row>
    <row r="26" spans="1:8" x14ac:dyDescent="0.6">
      <c r="A26" s="22"/>
      <c r="B26" s="30" t="s">
        <v>269</v>
      </c>
      <c r="C26" s="31" t="s">
        <v>311</v>
      </c>
      <c r="D26" s="31" t="s">
        <v>123</v>
      </c>
      <c r="E26" s="208"/>
      <c r="F26" s="32"/>
      <c r="G26" s="26"/>
      <c r="H26" s="21"/>
    </row>
    <row r="27" spans="1:8" x14ac:dyDescent="0.6">
      <c r="A27" s="22"/>
      <c r="B27" s="30" t="s">
        <v>130</v>
      </c>
      <c r="C27" s="31" t="s">
        <v>9</v>
      </c>
      <c r="D27" s="31" t="s">
        <v>123</v>
      </c>
      <c r="E27" s="208"/>
      <c r="F27" s="32">
        <v>42</v>
      </c>
      <c r="G27" s="26"/>
      <c r="H27" s="21"/>
    </row>
    <row r="28" spans="1:8" x14ac:dyDescent="0.6">
      <c r="A28" s="22"/>
      <c r="B28" s="30" t="s">
        <v>131</v>
      </c>
      <c r="C28" s="31" t="s">
        <v>10</v>
      </c>
      <c r="D28" s="31" t="s">
        <v>123</v>
      </c>
      <c r="E28" s="208"/>
      <c r="F28" s="32">
        <f>22+16</f>
        <v>38</v>
      </c>
      <c r="G28" s="26"/>
      <c r="H28" s="21"/>
    </row>
    <row r="29" spans="1:8" x14ac:dyDescent="0.6">
      <c r="A29" s="22"/>
      <c r="B29" s="30" t="s">
        <v>132</v>
      </c>
      <c r="C29" s="31" t="s">
        <v>40</v>
      </c>
      <c r="D29" s="31" t="s">
        <v>123</v>
      </c>
      <c r="E29" s="208"/>
      <c r="F29" s="32">
        <v>1</v>
      </c>
      <c r="G29" s="26" t="s">
        <v>372</v>
      </c>
      <c r="H29" s="21"/>
    </row>
    <row r="30" spans="1:8" x14ac:dyDescent="0.6">
      <c r="A30" s="22"/>
      <c r="B30" s="30" t="s">
        <v>133</v>
      </c>
      <c r="C30" s="31" t="s">
        <v>41</v>
      </c>
      <c r="D30" s="31" t="s">
        <v>123</v>
      </c>
      <c r="E30" s="208"/>
      <c r="F30" s="32">
        <v>0</v>
      </c>
      <c r="G30" s="26"/>
      <c r="H30" s="21"/>
    </row>
    <row r="31" spans="1:8" x14ac:dyDescent="0.6">
      <c r="A31" s="22"/>
      <c r="B31" s="30" t="s">
        <v>134</v>
      </c>
      <c r="C31" s="31" t="s">
        <v>11</v>
      </c>
      <c r="D31" s="31" t="s">
        <v>120</v>
      </c>
      <c r="E31" s="208">
        <v>669.94600000000003</v>
      </c>
      <c r="F31" s="32">
        <v>690.61199999999997</v>
      </c>
      <c r="G31" s="26"/>
      <c r="H31" s="21"/>
    </row>
    <row r="32" spans="1:8" x14ac:dyDescent="0.6">
      <c r="A32" s="22"/>
      <c r="B32" s="30" t="s">
        <v>135</v>
      </c>
      <c r="C32" s="31" t="s">
        <v>12</v>
      </c>
      <c r="D32" s="31" t="s">
        <v>119</v>
      </c>
      <c r="E32" s="208">
        <v>112.63</v>
      </c>
      <c r="F32" s="32">
        <v>116.82</v>
      </c>
      <c r="G32" s="26"/>
      <c r="H32" s="21"/>
    </row>
    <row r="33" spans="1:8" x14ac:dyDescent="0.6">
      <c r="A33" s="22"/>
      <c r="B33" s="30" t="s">
        <v>136</v>
      </c>
      <c r="C33" s="31" t="s">
        <v>36</v>
      </c>
      <c r="D33" s="31" t="s">
        <v>120</v>
      </c>
      <c r="E33" s="208"/>
      <c r="F33" s="32">
        <f>5014.3-956.89+1554.82</f>
        <v>5612.2300000000005</v>
      </c>
      <c r="G33" s="26"/>
      <c r="H33" s="21"/>
    </row>
    <row r="34" spans="1:8" x14ac:dyDescent="0.6">
      <c r="A34" s="22"/>
      <c r="B34" s="30" t="s">
        <v>137</v>
      </c>
      <c r="C34" s="31" t="s">
        <v>35</v>
      </c>
      <c r="D34" s="31" t="s">
        <v>120</v>
      </c>
      <c r="E34" s="208"/>
      <c r="F34" s="32">
        <f>E13+E14+E15+E16</f>
        <v>18140.100000000002</v>
      </c>
      <c r="G34" s="26"/>
      <c r="H34" s="21"/>
    </row>
    <row r="35" spans="1:8" x14ac:dyDescent="0.6">
      <c r="A35" s="22"/>
      <c r="B35" s="30" t="s">
        <v>138</v>
      </c>
      <c r="C35" s="31" t="s">
        <v>139</v>
      </c>
      <c r="D35" s="31" t="s">
        <v>120</v>
      </c>
      <c r="E35" s="208"/>
      <c r="F35" s="32">
        <f>E10+E11+E12</f>
        <v>13736.23</v>
      </c>
      <c r="G35" s="26"/>
      <c r="H35" s="21"/>
    </row>
    <row r="36" spans="1:8" x14ac:dyDescent="0.6">
      <c r="A36" s="22"/>
      <c r="B36" s="30" t="s">
        <v>140</v>
      </c>
      <c r="C36" s="31" t="s">
        <v>13</v>
      </c>
      <c r="D36" s="31" t="s">
        <v>123</v>
      </c>
      <c r="E36" s="208"/>
      <c r="F36" s="32">
        <v>3</v>
      </c>
      <c r="G36" s="26"/>
      <c r="H36" s="21"/>
    </row>
    <row r="37" spans="1:8" x14ac:dyDescent="0.6">
      <c r="A37" s="22"/>
      <c r="B37" s="30" t="s">
        <v>141</v>
      </c>
      <c r="C37" s="31" t="s">
        <v>39</v>
      </c>
      <c r="D37" s="31" t="s">
        <v>120</v>
      </c>
      <c r="E37" s="208"/>
      <c r="F37" s="32">
        <f>E10</f>
        <v>4679.95</v>
      </c>
      <c r="G37" s="26">
        <f>F37/F9</f>
        <v>6.3387141645499009E-2</v>
      </c>
      <c r="H37" s="21"/>
    </row>
    <row r="38" spans="1:8" x14ac:dyDescent="0.6">
      <c r="A38" s="22"/>
      <c r="B38" s="30" t="s">
        <v>142</v>
      </c>
      <c r="C38" s="31" t="s">
        <v>153</v>
      </c>
      <c r="D38" s="31" t="s">
        <v>119</v>
      </c>
      <c r="E38" s="208"/>
      <c r="F38" s="32">
        <v>349.8</v>
      </c>
      <c r="G38" s="26"/>
      <c r="H38" s="21"/>
    </row>
    <row r="39" spans="1:8" ht="22.5" thickBot="1" x14ac:dyDescent="0.65">
      <c r="A39" s="22"/>
      <c r="B39" s="33" t="s">
        <v>143</v>
      </c>
      <c r="C39" s="34" t="s">
        <v>154</v>
      </c>
      <c r="D39" s="34" t="s">
        <v>123</v>
      </c>
      <c r="E39" s="209"/>
      <c r="F39" s="35">
        <v>4</v>
      </c>
      <c r="G39" s="26"/>
      <c r="H39" s="21"/>
    </row>
    <row r="40" spans="1:8" ht="22.5" thickBot="1" x14ac:dyDescent="0.65">
      <c r="A40" s="36"/>
      <c r="B40" s="37"/>
      <c r="C40" s="37"/>
      <c r="D40" s="37"/>
      <c r="E40" s="37"/>
      <c r="F40" s="38"/>
      <c r="G40" s="39"/>
      <c r="H40" s="40"/>
    </row>
  </sheetData>
  <mergeCells count="9">
    <mergeCell ref="E14:F14"/>
    <mergeCell ref="E15:F15"/>
    <mergeCell ref="E16:F16"/>
    <mergeCell ref="E18:F18"/>
    <mergeCell ref="A5:H5"/>
    <mergeCell ref="E10:F10"/>
    <mergeCell ref="E11:F11"/>
    <mergeCell ref="E12:F12"/>
    <mergeCell ref="E13:F13"/>
  </mergeCells>
  <pageMargins left="0.51181102362204722" right="0.51181102362204722" top="0.78740157480314965" bottom="0.78740157480314965" header="0.31496062992125984" footer="0.31496062992125984"/>
  <pageSetup paperSize="9" scale="5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CA13-7FD1-4698-8E7F-C3F595F765B8}">
  <dimension ref="B2:J36"/>
  <sheetViews>
    <sheetView workbookViewId="0">
      <selection activeCell="E6" sqref="E6"/>
    </sheetView>
  </sheetViews>
  <sheetFormatPr defaultRowHeight="15" x14ac:dyDescent="0.25"/>
  <cols>
    <col min="2" max="2" width="58.42578125" customWidth="1"/>
    <col min="7" max="7" width="9.42578125" bestFit="1" customWidth="1"/>
  </cols>
  <sheetData>
    <row r="2" spans="2:10" ht="15.75" thickBot="1" x14ac:dyDescent="0.3"/>
    <row r="3" spans="2:10" ht="47.25" x14ac:dyDescent="0.25">
      <c r="B3" s="23" t="s">
        <v>376</v>
      </c>
      <c r="C3" s="24" t="s">
        <v>15</v>
      </c>
      <c r="D3" s="24" t="s">
        <v>127</v>
      </c>
      <c r="E3" s="206" t="s">
        <v>377</v>
      </c>
      <c r="F3" s="206" t="s">
        <v>378</v>
      </c>
      <c r="G3" s="206" t="s">
        <v>526</v>
      </c>
      <c r="H3" s="206" t="s">
        <v>527</v>
      </c>
      <c r="I3" s="25" t="s">
        <v>18</v>
      </c>
    </row>
    <row r="4" spans="2:10" ht="15.75" x14ac:dyDescent="0.25">
      <c r="B4" s="27" t="s">
        <v>128</v>
      </c>
      <c r="C4" s="28" t="s">
        <v>7</v>
      </c>
      <c r="D4" s="28" t="s">
        <v>120</v>
      </c>
      <c r="E4" s="207"/>
      <c r="F4" s="207"/>
      <c r="G4" s="207"/>
      <c r="H4" s="207"/>
      <c r="I4" s="29">
        <v>9830.25</v>
      </c>
    </row>
    <row r="5" spans="2:10" ht="15.75" x14ac:dyDescent="0.25">
      <c r="B5" s="30" t="s">
        <v>129</v>
      </c>
      <c r="C5" s="31" t="s">
        <v>8</v>
      </c>
      <c r="D5" s="31" t="s">
        <v>120</v>
      </c>
      <c r="E5" s="299">
        <f>E6</f>
        <v>4116.32</v>
      </c>
      <c r="F5" s="208">
        <f>SUM(F6:F18)</f>
        <v>3791.5499999999997</v>
      </c>
      <c r="G5" s="208">
        <f>SUM(G6:G18)</f>
        <v>38610.175000000003</v>
      </c>
      <c r="H5" s="208">
        <f>SUM(H6:H18)</f>
        <v>34203.985000000001</v>
      </c>
      <c r="I5" s="32">
        <f>G5+H5+F5+E5</f>
        <v>80722.03</v>
      </c>
    </row>
    <row r="6" spans="2:10" ht="15.75" x14ac:dyDescent="0.25">
      <c r="B6" s="213" t="s">
        <v>381</v>
      </c>
      <c r="C6" s="31"/>
      <c r="D6" s="31" t="s">
        <v>120</v>
      </c>
      <c r="E6" s="358">
        <f>7907.87-F7</f>
        <v>4116.32</v>
      </c>
      <c r="G6" s="208"/>
      <c r="H6" s="208"/>
      <c r="I6" s="32"/>
    </row>
    <row r="7" spans="2:10" ht="15.75" x14ac:dyDescent="0.25">
      <c r="B7" s="213" t="s">
        <v>382</v>
      </c>
      <c r="C7" s="31"/>
      <c r="D7" s="31" t="s">
        <v>120</v>
      </c>
      <c r="E7" s="208"/>
      <c r="F7" s="208">
        <f>3298.91+492.64</f>
        <v>3791.5499999999997</v>
      </c>
      <c r="G7" s="208"/>
      <c r="H7" s="208"/>
      <c r="I7" s="32"/>
    </row>
    <row r="8" spans="2:10" ht="15.75" x14ac:dyDescent="0.25">
      <c r="B8" s="213" t="s">
        <v>366</v>
      </c>
      <c r="C8" s="210"/>
      <c r="D8" s="31" t="s">
        <v>120</v>
      </c>
      <c r="E8" s="208"/>
      <c r="F8" s="208"/>
      <c r="G8" s="214">
        <v>6194.79</v>
      </c>
      <c r="H8" s="208"/>
      <c r="I8" s="32"/>
    </row>
    <row r="9" spans="2:10" ht="15.75" x14ac:dyDescent="0.25">
      <c r="B9" s="213" t="s">
        <v>367</v>
      </c>
      <c r="C9" s="210"/>
      <c r="D9" s="31" t="s">
        <v>120</v>
      </c>
      <c r="E9" s="208"/>
      <c r="F9" s="208"/>
      <c r="G9" s="214">
        <v>6239.85</v>
      </c>
      <c r="H9" s="208"/>
      <c r="I9" s="32"/>
    </row>
    <row r="10" spans="2:10" ht="15.75" x14ac:dyDescent="0.25">
      <c r="B10" s="213" t="s">
        <v>199</v>
      </c>
      <c r="C10" s="210"/>
      <c r="D10" s="31" t="s">
        <v>120</v>
      </c>
      <c r="E10" s="208"/>
      <c r="F10" s="208"/>
      <c r="G10" s="214">
        <f>3933.19+800.4</f>
        <v>4733.59</v>
      </c>
      <c r="H10" s="208"/>
      <c r="I10" s="32"/>
    </row>
    <row r="11" spans="2:10" ht="15.75" x14ac:dyDescent="0.25">
      <c r="B11" s="213" t="s">
        <v>368</v>
      </c>
      <c r="C11" s="210"/>
      <c r="D11" s="31" t="s">
        <v>120</v>
      </c>
      <c r="E11" s="208"/>
      <c r="F11" s="208"/>
      <c r="G11" s="214">
        <v>1651.8</v>
      </c>
      <c r="H11" s="208"/>
      <c r="I11" s="32"/>
    </row>
    <row r="12" spans="2:10" ht="15.75" x14ac:dyDescent="0.25">
      <c r="B12" s="213" t="s">
        <v>369</v>
      </c>
      <c r="C12" s="210"/>
      <c r="D12" s="31" t="s">
        <v>120</v>
      </c>
      <c r="E12" s="208"/>
      <c r="F12" s="208"/>
      <c r="G12" s="214">
        <f>3933.19/2</f>
        <v>1966.595</v>
      </c>
      <c r="H12" s="208">
        <f>G12</f>
        <v>1966.595</v>
      </c>
      <c r="I12" s="32"/>
    </row>
    <row r="13" spans="2:10" ht="15.75" x14ac:dyDescent="0.25">
      <c r="B13" s="213" t="s">
        <v>370</v>
      </c>
      <c r="C13" s="210"/>
      <c r="D13" s="31" t="s">
        <v>120</v>
      </c>
      <c r="E13" s="208"/>
      <c r="F13" s="208"/>
      <c r="G13" s="214">
        <f>4031.41/2</f>
        <v>2015.7049999999999</v>
      </c>
      <c r="H13" s="208">
        <f>G13</f>
        <v>2015.7049999999999</v>
      </c>
      <c r="I13" s="32"/>
    </row>
    <row r="14" spans="2:10" ht="15.75" x14ac:dyDescent="0.25">
      <c r="B14" s="213" t="s">
        <v>525</v>
      </c>
      <c r="C14" s="210"/>
      <c r="D14" s="31" t="s">
        <v>120</v>
      </c>
      <c r="E14" s="208"/>
      <c r="F14" s="208"/>
      <c r="G14" s="214">
        <f>1717.77/2</f>
        <v>858.88499999999999</v>
      </c>
      <c r="H14" s="208">
        <f>G14</f>
        <v>858.88499999999999</v>
      </c>
      <c r="I14" s="32"/>
    </row>
    <row r="15" spans="2:10" ht="15.75" x14ac:dyDescent="0.25">
      <c r="B15" s="213" t="s">
        <v>371</v>
      </c>
      <c r="C15" s="210"/>
      <c r="D15" s="31" t="s">
        <v>120</v>
      </c>
      <c r="E15" s="208"/>
      <c r="F15" s="208"/>
      <c r="G15" s="214">
        <v>14749.96</v>
      </c>
      <c r="H15" s="357">
        <f>(28360.59/(22+18))*22</f>
        <v>15598.324500000001</v>
      </c>
      <c r="I15" s="32"/>
      <c r="J15" s="176"/>
    </row>
    <row r="16" spans="2:10" ht="15.75" x14ac:dyDescent="0.25">
      <c r="B16" s="213" t="s">
        <v>528</v>
      </c>
      <c r="C16" s="210"/>
      <c r="D16" s="31" t="s">
        <v>120</v>
      </c>
      <c r="E16" s="208"/>
      <c r="F16" s="208"/>
      <c r="G16" s="214">
        <f>131.41+67.59</f>
        <v>199</v>
      </c>
      <c r="H16" s="208">
        <v>753.61</v>
      </c>
      <c r="I16" s="32"/>
    </row>
    <row r="17" spans="2:10" ht="15.75" x14ac:dyDescent="0.25">
      <c r="B17" s="213" t="s">
        <v>383</v>
      </c>
      <c r="C17" s="210"/>
      <c r="D17" s="31" t="s">
        <v>120</v>
      </c>
      <c r="E17" s="208"/>
      <c r="F17" s="208"/>
      <c r="G17" s="214"/>
      <c r="H17" s="357">
        <f>(28360.59/(22+18))*18</f>
        <v>12762.265500000001</v>
      </c>
      <c r="I17" s="32"/>
      <c r="J17" s="176"/>
    </row>
    <row r="18" spans="2:10" ht="15.75" x14ac:dyDescent="0.25">
      <c r="B18" s="213" t="s">
        <v>375</v>
      </c>
      <c r="C18" s="210"/>
      <c r="D18" s="31" t="s">
        <v>120</v>
      </c>
      <c r="E18" s="208"/>
      <c r="F18" s="208"/>
      <c r="G18" s="214"/>
      <c r="H18" s="208">
        <f>159+89.6</f>
        <v>248.6</v>
      </c>
      <c r="I18" s="32"/>
    </row>
    <row r="19" spans="2:10" ht="15.75" x14ac:dyDescent="0.25">
      <c r="B19" s="30" t="s">
        <v>287</v>
      </c>
      <c r="C19" s="31" t="s">
        <v>288</v>
      </c>
      <c r="D19" s="31" t="s">
        <v>123</v>
      </c>
      <c r="E19" s="208">
        <v>0</v>
      </c>
      <c r="F19" s="208">
        <v>0</v>
      </c>
      <c r="G19" s="214">
        <f>22*10</f>
        <v>220</v>
      </c>
      <c r="H19" s="208">
        <v>382</v>
      </c>
      <c r="I19" s="32"/>
    </row>
    <row r="20" spans="2:10" ht="15.75" x14ac:dyDescent="0.25">
      <c r="B20" s="30" t="s">
        <v>289</v>
      </c>
      <c r="C20" s="31" t="s">
        <v>293</v>
      </c>
      <c r="D20" s="31" t="s">
        <v>123</v>
      </c>
      <c r="E20" s="208"/>
      <c r="F20" s="208"/>
      <c r="G20" s="214"/>
      <c r="H20" s="208"/>
      <c r="I20" s="32"/>
    </row>
    <row r="21" spans="2:10" ht="15.75" x14ac:dyDescent="0.25">
      <c r="B21" s="30" t="s">
        <v>290</v>
      </c>
      <c r="C21" s="31" t="s">
        <v>294</v>
      </c>
      <c r="D21" s="31" t="s">
        <v>123</v>
      </c>
      <c r="E21" s="208"/>
      <c r="F21" s="208"/>
      <c r="G21" s="214"/>
      <c r="H21" s="208"/>
      <c r="I21" s="32"/>
    </row>
    <row r="22" spans="2:10" ht="15.75" x14ac:dyDescent="0.25">
      <c r="B22" s="30" t="s">
        <v>291</v>
      </c>
      <c r="C22" s="31" t="s">
        <v>292</v>
      </c>
      <c r="D22" s="31" t="s">
        <v>123</v>
      </c>
      <c r="E22" s="309">
        <v>15</v>
      </c>
      <c r="F22" s="310"/>
      <c r="G22" s="214"/>
      <c r="H22" s="208"/>
      <c r="I22" s="32"/>
    </row>
    <row r="23" spans="2:10" ht="15.75" x14ac:dyDescent="0.25">
      <c r="B23" s="30" t="s">
        <v>269</v>
      </c>
      <c r="C23" s="31" t="s">
        <v>311</v>
      </c>
      <c r="D23" s="31" t="s">
        <v>123</v>
      </c>
      <c r="E23" s="208"/>
      <c r="F23" s="208"/>
      <c r="G23" s="214"/>
      <c r="H23" s="214"/>
      <c r="I23" s="32"/>
    </row>
    <row r="24" spans="2:10" ht="15.75" x14ac:dyDescent="0.25">
      <c r="B24" s="30" t="s">
        <v>130</v>
      </c>
      <c r="C24" s="31" t="s">
        <v>9</v>
      </c>
      <c r="D24" s="31" t="s">
        <v>123</v>
      </c>
      <c r="E24" s="208">
        <v>3</v>
      </c>
      <c r="F24" s="208">
        <v>3</v>
      </c>
      <c r="G24" s="214">
        <v>29</v>
      </c>
      <c r="H24" s="214">
        <v>43</v>
      </c>
      <c r="I24" s="32"/>
    </row>
    <row r="25" spans="2:10" ht="15.75" x14ac:dyDescent="0.25">
      <c r="B25" s="30" t="s">
        <v>131</v>
      </c>
      <c r="C25" s="31" t="s">
        <v>10</v>
      </c>
      <c r="D25" s="31" t="s">
        <v>123</v>
      </c>
      <c r="E25" s="208"/>
      <c r="F25" s="208"/>
      <c r="G25" s="214">
        <v>22</v>
      </c>
      <c r="H25" s="214">
        <v>40</v>
      </c>
      <c r="I25" s="32"/>
    </row>
    <row r="26" spans="2:10" ht="15.75" x14ac:dyDescent="0.25">
      <c r="B26" s="30" t="s">
        <v>132</v>
      </c>
      <c r="C26" s="31" t="s">
        <v>40</v>
      </c>
      <c r="D26" s="31" t="s">
        <v>123</v>
      </c>
      <c r="E26" s="208"/>
      <c r="F26" s="208"/>
      <c r="G26" s="214">
        <v>4</v>
      </c>
      <c r="H26" s="214">
        <v>3</v>
      </c>
      <c r="I26" s="32"/>
    </row>
    <row r="27" spans="2:10" ht="15.75" x14ac:dyDescent="0.25">
      <c r="B27" s="30" t="s">
        <v>133</v>
      </c>
      <c r="C27" s="31" t="s">
        <v>41</v>
      </c>
      <c r="D27" s="31" t="s">
        <v>123</v>
      </c>
      <c r="E27" s="208"/>
      <c r="F27" s="208"/>
      <c r="G27" s="214"/>
      <c r="H27" s="214"/>
      <c r="I27" s="32"/>
    </row>
    <row r="28" spans="2:10" ht="15.75" x14ac:dyDescent="0.25">
      <c r="B28" s="30" t="s">
        <v>134</v>
      </c>
      <c r="C28" s="31" t="s">
        <v>11</v>
      </c>
      <c r="D28" s="31" t="s">
        <v>120</v>
      </c>
      <c r="E28" s="208"/>
      <c r="F28" s="208"/>
      <c r="G28" s="214">
        <v>683.1</v>
      </c>
      <c r="H28" s="214">
        <v>695.35</v>
      </c>
      <c r="I28" s="32"/>
    </row>
    <row r="29" spans="2:10" ht="15.75" x14ac:dyDescent="0.25">
      <c r="B29" s="30" t="s">
        <v>135</v>
      </c>
      <c r="C29" s="31" t="s">
        <v>12</v>
      </c>
      <c r="D29" s="31" t="s">
        <v>119</v>
      </c>
      <c r="E29" s="208"/>
      <c r="F29" s="208"/>
      <c r="G29" s="214">
        <v>112.63</v>
      </c>
      <c r="H29" s="214">
        <v>116.82</v>
      </c>
      <c r="I29" s="32"/>
    </row>
    <row r="30" spans="2:10" ht="15.75" x14ac:dyDescent="0.25">
      <c r="B30" s="30" t="s">
        <v>136</v>
      </c>
      <c r="C30" s="31" t="s">
        <v>36</v>
      </c>
      <c r="D30" s="31" t="s">
        <v>120</v>
      </c>
      <c r="E30" s="208"/>
      <c r="F30" s="208"/>
      <c r="G30" s="214">
        <f>G13+G16</f>
        <v>2214.7049999999999</v>
      </c>
      <c r="H30" s="214">
        <f>H13+H16</f>
        <v>2769.3150000000001</v>
      </c>
      <c r="I30" s="32"/>
    </row>
    <row r="31" spans="2:10" ht="15.75" x14ac:dyDescent="0.25">
      <c r="B31" s="30" t="s">
        <v>137</v>
      </c>
      <c r="C31" s="31" t="s">
        <v>35</v>
      </c>
      <c r="D31" s="31" t="s">
        <v>120</v>
      </c>
      <c r="E31" s="307">
        <f>E7</f>
        <v>0</v>
      </c>
      <c r="F31" s="308"/>
      <c r="G31" s="214">
        <f>G10+G11+G12+G13</f>
        <v>10367.69</v>
      </c>
      <c r="H31" s="214">
        <f>H12+H13</f>
        <v>3982.3</v>
      </c>
      <c r="I31" s="32"/>
    </row>
    <row r="32" spans="2:10" ht="15.75" x14ac:dyDescent="0.25">
      <c r="B32" s="30" t="s">
        <v>138</v>
      </c>
      <c r="C32" s="31" t="s">
        <v>139</v>
      </c>
      <c r="D32" s="31" t="s">
        <v>120</v>
      </c>
      <c r="E32" s="208"/>
      <c r="F32" s="208"/>
      <c r="G32" s="214">
        <f>G8+G9</f>
        <v>12434.64</v>
      </c>
      <c r="H32" s="214"/>
      <c r="I32" s="32"/>
    </row>
    <row r="33" spans="2:9" ht="15.75" x14ac:dyDescent="0.25">
      <c r="B33" s="30" t="s">
        <v>140</v>
      </c>
      <c r="C33" s="31" t="s">
        <v>13</v>
      </c>
      <c r="D33" s="31" t="s">
        <v>123</v>
      </c>
      <c r="E33" s="208"/>
      <c r="F33" s="208"/>
      <c r="G33" s="214">
        <v>2</v>
      </c>
      <c r="H33" s="214"/>
      <c r="I33" s="32"/>
    </row>
    <row r="34" spans="2:9" ht="15.75" x14ac:dyDescent="0.25">
      <c r="B34" s="30" t="s">
        <v>141</v>
      </c>
      <c r="C34" s="31" t="s">
        <v>39</v>
      </c>
      <c r="D34" s="31" t="s">
        <v>120</v>
      </c>
      <c r="E34" s="208"/>
      <c r="F34" s="208"/>
      <c r="G34" s="214">
        <f>G8</f>
        <v>6194.79</v>
      </c>
      <c r="H34" s="214"/>
      <c r="I34" s="32"/>
    </row>
    <row r="35" spans="2:9" ht="15.75" x14ac:dyDescent="0.25">
      <c r="B35" s="30" t="s">
        <v>142</v>
      </c>
      <c r="C35" s="31" t="s">
        <v>153</v>
      </c>
      <c r="D35" s="31" t="s">
        <v>119</v>
      </c>
      <c r="E35" s="208"/>
      <c r="F35" s="208"/>
      <c r="G35" s="214">
        <v>349.8</v>
      </c>
      <c r="H35" s="214"/>
      <c r="I35" s="32"/>
    </row>
    <row r="36" spans="2:9" ht="16.5" thickBot="1" x14ac:dyDescent="0.3">
      <c r="B36" s="33" t="s">
        <v>143</v>
      </c>
      <c r="C36" s="34" t="s">
        <v>154</v>
      </c>
      <c r="D36" s="34" t="s">
        <v>123</v>
      </c>
      <c r="E36" s="209"/>
      <c r="F36" s="209"/>
      <c r="G36" s="215">
        <v>4</v>
      </c>
      <c r="H36" s="215"/>
      <c r="I36" s="35"/>
    </row>
  </sheetData>
  <mergeCells count="2">
    <mergeCell ref="E31:F31"/>
    <mergeCell ref="E22:F2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4"/>
  <sheetViews>
    <sheetView showGridLines="0" topLeftCell="A23" zoomScale="85" zoomScaleNormal="85" zoomScaleSheetLayoutView="95" workbookViewId="0">
      <selection activeCell="E35" sqref="E35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31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315" t="s">
        <v>121</v>
      </c>
      <c r="B2" s="316"/>
      <c r="C2" s="316"/>
      <c r="D2" s="316"/>
      <c r="E2" s="316"/>
      <c r="F2" s="316"/>
      <c r="G2" s="317"/>
      <c r="I2" s="2"/>
    </row>
    <row r="3" spans="1:9" ht="28.5" customHeight="1" x14ac:dyDescent="0.25">
      <c r="A3" s="187" t="s">
        <v>184</v>
      </c>
      <c r="B3" s="193">
        <v>45643</v>
      </c>
      <c r="C3" s="191"/>
      <c r="D3" s="191"/>
      <c r="E3" s="191"/>
      <c r="F3" s="191"/>
      <c r="G3" s="192"/>
      <c r="I3" s="2"/>
    </row>
    <row r="4" spans="1:9" ht="28.5" customHeight="1" x14ac:dyDescent="0.25">
      <c r="A4" s="187" t="s">
        <v>295</v>
      </c>
      <c r="B4" s="194" t="s">
        <v>213</v>
      </c>
      <c r="C4" s="189"/>
      <c r="D4" s="189"/>
      <c r="E4" s="189"/>
      <c r="F4" s="189"/>
      <c r="G4" s="190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149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511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298</v>
      </c>
    </row>
    <row r="9" spans="1:9" s="55" customFormat="1" ht="21.75" x14ac:dyDescent="0.25">
      <c r="A9" s="66" t="s">
        <v>145</v>
      </c>
      <c r="B9" s="67">
        <f>AREAS!G8</f>
        <v>6194.79</v>
      </c>
      <c r="C9" s="67">
        <v>6.76</v>
      </c>
      <c r="D9" s="68">
        <f>C9*B9</f>
        <v>41876.780399999996</v>
      </c>
      <c r="E9" s="88">
        <v>2.66</v>
      </c>
      <c r="F9" s="89">
        <f>E9*D9*1.1</f>
        <v>122531.45945040001</v>
      </c>
      <c r="G9" s="67"/>
    </row>
    <row r="10" spans="1:9" s="55" customFormat="1" ht="21.75" x14ac:dyDescent="0.25">
      <c r="A10" s="70" t="s">
        <v>155</v>
      </c>
      <c r="B10" s="62">
        <v>1.3</v>
      </c>
      <c r="C10" s="62"/>
      <c r="D10" s="72">
        <f>B10*D9</f>
        <v>54439.81452</v>
      </c>
      <c r="E10" s="88">
        <v>20</v>
      </c>
      <c r="F10" s="106">
        <f>E10*D10*1.1</f>
        <v>1197675.9194400001</v>
      </c>
      <c r="G10" s="67"/>
    </row>
    <row r="11" spans="1:9" s="55" customFormat="1" ht="21.75" x14ac:dyDescent="0.25">
      <c r="A11" s="314" t="s">
        <v>17</v>
      </c>
      <c r="B11" s="314"/>
      <c r="C11" s="314"/>
      <c r="D11" s="314"/>
      <c r="E11" s="314"/>
      <c r="F11" s="90">
        <f>SUM(F9:F10)</f>
        <v>1320207.3788904001</v>
      </c>
      <c r="G11" s="90"/>
    </row>
    <row r="12" spans="1:9" s="55" customFormat="1" ht="21.75" x14ac:dyDescent="0.25">
      <c r="A12" s="318"/>
      <c r="B12" s="318"/>
      <c r="C12" s="318"/>
      <c r="D12" s="318"/>
      <c r="E12" s="318"/>
      <c r="F12" s="100"/>
      <c r="G12" s="100"/>
    </row>
    <row r="13" spans="1:9" s="55" customFormat="1" ht="21.75" x14ac:dyDescent="0.25">
      <c r="A13" s="52" t="s">
        <v>152</v>
      </c>
      <c r="B13" s="53"/>
      <c r="C13" s="53"/>
      <c r="D13" s="54"/>
      <c r="E13" s="98"/>
      <c r="F13" s="98"/>
      <c r="G13" s="98"/>
    </row>
    <row r="14" spans="1:9" s="55" customFormat="1" ht="21.75" x14ac:dyDescent="0.25">
      <c r="A14" s="56"/>
      <c r="B14" s="57"/>
      <c r="C14" s="57"/>
      <c r="D14" s="58"/>
      <c r="E14" s="99"/>
      <c r="F14" s="100"/>
      <c r="G14" s="100"/>
    </row>
    <row r="15" spans="1:9" s="55" customFormat="1" ht="42" customHeight="1" x14ac:dyDescent="0.25">
      <c r="A15" s="63" t="s">
        <v>14</v>
      </c>
      <c r="B15" s="64" t="s">
        <v>151</v>
      </c>
      <c r="C15" s="64"/>
      <c r="D15" s="65"/>
      <c r="E15" s="101" t="s">
        <v>150</v>
      </c>
      <c r="F15" s="90" t="s">
        <v>16</v>
      </c>
      <c r="G15" s="90" t="s">
        <v>298</v>
      </c>
    </row>
    <row r="16" spans="1:9" s="55" customFormat="1" ht="21.75" x14ac:dyDescent="0.25">
      <c r="A16" s="66" t="s">
        <v>124</v>
      </c>
      <c r="B16" s="67">
        <v>0</v>
      </c>
      <c r="C16" s="74"/>
      <c r="D16" s="75"/>
      <c r="E16" s="88">
        <v>200</v>
      </c>
      <c r="F16" s="89">
        <f>B16*E16*1.1</f>
        <v>0</v>
      </c>
      <c r="G16" s="67"/>
    </row>
    <row r="17" spans="1:11" s="55" customFormat="1" ht="21.75" x14ac:dyDescent="0.25">
      <c r="A17" s="314" t="s">
        <v>17</v>
      </c>
      <c r="B17" s="314"/>
      <c r="C17" s="314"/>
      <c r="D17" s="314"/>
      <c r="E17" s="314"/>
      <c r="F17" s="90">
        <f>SUM(F16:F16)</f>
        <v>0</v>
      </c>
      <c r="G17" s="90"/>
    </row>
    <row r="18" spans="1:11" s="55" customFormat="1" ht="21.75" x14ac:dyDescent="0.25">
      <c r="A18" s="318"/>
      <c r="B18" s="318"/>
      <c r="C18" s="318"/>
      <c r="D18" s="318"/>
      <c r="E18" s="318"/>
      <c r="F18" s="100"/>
      <c r="G18" s="100"/>
    </row>
    <row r="19" spans="1:11" s="55" customFormat="1" ht="21.75" x14ac:dyDescent="0.25">
      <c r="A19" s="52" t="s">
        <v>19</v>
      </c>
      <c r="B19" s="53"/>
      <c r="C19" s="53"/>
      <c r="D19" s="54"/>
      <c r="E19" s="98"/>
      <c r="F19" s="98"/>
      <c r="G19" s="98"/>
    </row>
    <row r="20" spans="1:11" s="55" customFormat="1" ht="21.75" x14ac:dyDescent="0.25">
      <c r="A20" s="56"/>
      <c r="B20" s="57"/>
      <c r="C20" s="57"/>
      <c r="D20" s="58"/>
      <c r="E20" s="99"/>
      <c r="F20" s="100"/>
      <c r="G20" s="100"/>
    </row>
    <row r="21" spans="1:11" s="55" customFormat="1" ht="42" customHeight="1" x14ac:dyDescent="0.25">
      <c r="A21" s="63" t="s">
        <v>14</v>
      </c>
      <c r="B21" s="319" t="s">
        <v>5</v>
      </c>
      <c r="C21" s="320"/>
      <c r="D21" s="65" t="s">
        <v>147</v>
      </c>
      <c r="E21" s="101" t="s">
        <v>159</v>
      </c>
      <c r="F21" s="90" t="s">
        <v>16</v>
      </c>
      <c r="G21" s="90" t="s">
        <v>298</v>
      </c>
    </row>
    <row r="22" spans="1:11" s="55" customFormat="1" ht="43.5" x14ac:dyDescent="0.25">
      <c r="A22" s="70" t="s">
        <v>20</v>
      </c>
      <c r="B22" s="62">
        <v>1.3</v>
      </c>
      <c r="C22" s="62" t="s">
        <v>314</v>
      </c>
      <c r="D22" s="72">
        <f>B22*INFRAESTRUTURA!D23</f>
        <v>2433.5740000000001</v>
      </c>
      <c r="E22" s="88">
        <v>60</v>
      </c>
      <c r="F22" s="106">
        <f>E22*D22*1.1</f>
        <v>160615.88400000002</v>
      </c>
      <c r="G22" s="67"/>
    </row>
    <row r="23" spans="1:11" s="55" customFormat="1" ht="26.25" customHeight="1" x14ac:dyDescent="0.25">
      <c r="A23" s="70" t="s">
        <v>21</v>
      </c>
      <c r="B23" s="62">
        <v>0.6</v>
      </c>
      <c r="C23" s="62" t="s">
        <v>156</v>
      </c>
      <c r="D23" s="72">
        <f>D22-INFRAESTRUTURA!D23</f>
        <v>561.59400000000005</v>
      </c>
      <c r="E23" s="88">
        <v>20</v>
      </c>
      <c r="F23" s="106">
        <f>E23*D23*1.1</f>
        <v>12355.068000000003</v>
      </c>
      <c r="G23" s="67"/>
    </row>
    <row r="24" spans="1:11" s="55" customFormat="1" ht="21.75" x14ac:dyDescent="0.25">
      <c r="A24" s="70" t="s">
        <v>155</v>
      </c>
      <c r="B24" s="62">
        <v>1.3</v>
      </c>
      <c r="C24" s="62"/>
      <c r="D24" s="72">
        <f>(D22-D23)*B24</f>
        <v>2433.5740000000001</v>
      </c>
      <c r="E24" s="88">
        <v>20</v>
      </c>
      <c r="F24" s="106">
        <f>E24*D24*1.1</f>
        <v>53538.628000000004</v>
      </c>
      <c r="G24" s="67"/>
    </row>
    <row r="25" spans="1:11" s="55" customFormat="1" ht="21.75" x14ac:dyDescent="0.25">
      <c r="A25" s="69" t="s">
        <v>144</v>
      </c>
      <c r="B25" s="61">
        <v>1.3</v>
      </c>
      <c r="C25" s="61" t="s">
        <v>22</v>
      </c>
      <c r="D25" s="73">
        <f>INFRAESTRUTURA!D13*B25</f>
        <v>6432.4109582251021</v>
      </c>
      <c r="E25" s="88">
        <v>20</v>
      </c>
      <c r="F25" s="106">
        <f>E25*D25*1.1</f>
        <v>141513.04108095227</v>
      </c>
      <c r="G25" s="67"/>
    </row>
    <row r="26" spans="1:11" s="55" customFormat="1" ht="21.75" x14ac:dyDescent="0.25">
      <c r="A26" s="314" t="s">
        <v>17</v>
      </c>
      <c r="B26" s="314"/>
      <c r="C26" s="314"/>
      <c r="D26" s="314"/>
      <c r="E26" s="314"/>
      <c r="F26" s="90">
        <f>SUM(F22:F25)</f>
        <v>368022.62108095229</v>
      </c>
      <c r="G26" s="90"/>
    </row>
    <row r="27" spans="1:11" x14ac:dyDescent="0.25">
      <c r="K27" s="47"/>
    </row>
    <row r="28" spans="1:11" ht="21.75" x14ac:dyDescent="0.25">
      <c r="A28" s="52" t="s">
        <v>100</v>
      </c>
      <c r="B28" s="53"/>
      <c r="C28" s="53"/>
      <c r="D28" s="54"/>
      <c r="E28" s="98"/>
      <c r="F28" s="98"/>
      <c r="G28" s="98"/>
    </row>
    <row r="29" spans="1:11" ht="21.75" x14ac:dyDescent="0.25">
      <c r="A29" s="56"/>
      <c r="B29" s="57"/>
      <c r="C29" s="57"/>
      <c r="D29" s="58"/>
      <c r="E29" s="99"/>
      <c r="F29" s="100"/>
      <c r="G29" s="100"/>
    </row>
    <row r="30" spans="1:11" ht="43.5" x14ac:dyDescent="0.25">
      <c r="A30" s="63" t="s">
        <v>14</v>
      </c>
      <c r="B30" s="319" t="s">
        <v>5</v>
      </c>
      <c r="C30" s="320"/>
      <c r="D30" s="65" t="s">
        <v>157</v>
      </c>
      <c r="E30" s="101" t="s">
        <v>158</v>
      </c>
      <c r="F30" s="90" t="s">
        <v>16</v>
      </c>
      <c r="G30" s="90" t="s">
        <v>298</v>
      </c>
    </row>
    <row r="31" spans="1:11" ht="21.75" x14ac:dyDescent="0.25">
      <c r="A31" s="70" t="s">
        <v>297</v>
      </c>
      <c r="B31" s="62">
        <v>0.8</v>
      </c>
      <c r="C31" s="62" t="s">
        <v>113</v>
      </c>
      <c r="D31" s="72">
        <f>B31*DADOS_INICIAIS!F37</f>
        <v>3743.96</v>
      </c>
      <c r="E31" s="88">
        <f>370*0.05</f>
        <v>18.5</v>
      </c>
      <c r="F31" s="106">
        <f>E31*D31*1.1</f>
        <v>76189.585999999996</v>
      </c>
      <c r="G31" s="67"/>
      <c r="H31" s="1">
        <f>F31/DADOS_INICIAIS!F37</f>
        <v>16.28</v>
      </c>
      <c r="I31" s="100"/>
    </row>
    <row r="32" spans="1:11" ht="21.75" x14ac:dyDescent="0.25">
      <c r="A32" s="314" t="s">
        <v>17</v>
      </c>
      <c r="B32" s="314"/>
      <c r="C32" s="314"/>
      <c r="D32" s="314"/>
      <c r="E32" s="314"/>
      <c r="F32" s="90">
        <f>SUM(F31:F31)</f>
        <v>76189.585999999996</v>
      </c>
      <c r="G32" s="90"/>
    </row>
    <row r="34" spans="1:7" ht="23.25" customHeight="1" x14ac:dyDescent="0.25">
      <c r="A34" s="311" t="s">
        <v>103</v>
      </c>
      <c r="B34" s="312"/>
      <c r="C34" s="312"/>
      <c r="D34" s="312"/>
      <c r="E34" s="313"/>
      <c r="F34" s="108">
        <f>F11+F17+F26+F32</f>
        <v>1764419.5859713522</v>
      </c>
      <c r="G34" s="108">
        <f>F34/(AREAS!H5+AREAS!G5)</f>
        <v>24.231819552286975</v>
      </c>
    </row>
  </sheetData>
  <mergeCells count="10">
    <mergeCell ref="A34:E34"/>
    <mergeCell ref="A26:E26"/>
    <mergeCell ref="A2:G2"/>
    <mergeCell ref="A11:E11"/>
    <mergeCell ref="A12:E12"/>
    <mergeCell ref="B21:C21"/>
    <mergeCell ref="B30:C30"/>
    <mergeCell ref="A32:E32"/>
    <mergeCell ref="A17:E17"/>
    <mergeCell ref="A18:E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315" t="s">
        <v>165</v>
      </c>
      <c r="B3" s="323"/>
      <c r="C3" s="323"/>
      <c r="D3" s="316"/>
      <c r="E3" s="316"/>
      <c r="F3" s="316"/>
      <c r="G3" s="316"/>
      <c r="H3" s="317"/>
      <c r="J3" s="79"/>
    </row>
    <row r="4" spans="1:10" ht="19.5" x14ac:dyDescent="0.25">
      <c r="A4" s="187" t="s">
        <v>184</v>
      </c>
      <c r="B4" s="193"/>
      <c r="C4" s="191"/>
      <c r="D4" s="191"/>
      <c r="E4" s="191"/>
      <c r="F4" s="191"/>
      <c r="G4" s="191"/>
      <c r="H4" s="192"/>
      <c r="J4" s="79"/>
    </row>
    <row r="5" spans="1:10" ht="19.5" x14ac:dyDescent="0.25">
      <c r="A5" s="187" t="s">
        <v>295</v>
      </c>
      <c r="B5" s="188"/>
      <c r="C5" s="189"/>
      <c r="D5" s="189"/>
      <c r="E5" s="189"/>
      <c r="F5" s="189"/>
      <c r="G5" s="189"/>
      <c r="H5" s="190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319" t="s">
        <v>5</v>
      </c>
      <c r="C9" s="320"/>
      <c r="D9" s="319" t="s">
        <v>18</v>
      </c>
      <c r="E9" s="320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B10*DADOS_INICIAIS!F37</f>
        <v>701.99249999999995</v>
      </c>
      <c r="E10" s="67" t="s">
        <v>3</v>
      </c>
      <c r="F10" s="92"/>
      <c r="G10" s="93"/>
      <c r="H10" s="102"/>
    </row>
    <row r="11" spans="1:10" ht="21.75" x14ac:dyDescent="0.25">
      <c r="A11" s="321" t="s">
        <v>161</v>
      </c>
      <c r="B11" s="76">
        <v>0.1</v>
      </c>
      <c r="C11" s="62"/>
      <c r="D11" s="67">
        <f>B11*$D$10</f>
        <v>70.199249999999992</v>
      </c>
      <c r="E11" s="67" t="s">
        <v>3</v>
      </c>
      <c r="F11" s="92"/>
      <c r="G11" s="93"/>
      <c r="H11" s="102"/>
    </row>
    <row r="12" spans="1:10" ht="21.75" x14ac:dyDescent="0.25">
      <c r="A12" s="322"/>
      <c r="B12" s="77">
        <v>20</v>
      </c>
      <c r="C12" s="62" t="s">
        <v>162</v>
      </c>
      <c r="D12" s="67">
        <f>B12*D11</f>
        <v>1403.9849999999999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321" t="s">
        <v>160</v>
      </c>
      <c r="B13" s="76">
        <v>0.5</v>
      </c>
      <c r="C13" s="62"/>
      <c r="D13" s="67">
        <f>B13*$D$10</f>
        <v>350.99624999999997</v>
      </c>
      <c r="E13" s="67" t="s">
        <v>3</v>
      </c>
      <c r="F13" s="92"/>
      <c r="G13" s="93"/>
      <c r="H13" s="102"/>
    </row>
    <row r="14" spans="1:10" ht="21.75" x14ac:dyDescent="0.25">
      <c r="A14" s="322"/>
      <c r="B14" s="77">
        <v>20</v>
      </c>
      <c r="C14" s="62" t="s">
        <v>162</v>
      </c>
      <c r="D14" s="67">
        <f>B14*D13</f>
        <v>7019.9249999999993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321" t="s">
        <v>114</v>
      </c>
      <c r="B15" s="76">
        <v>0.4</v>
      </c>
      <c r="C15" s="62" t="s">
        <v>108</v>
      </c>
      <c r="D15" s="67">
        <f>B15*$D$10</f>
        <v>280.79699999999997</v>
      </c>
      <c r="E15" s="67" t="s">
        <v>3</v>
      </c>
      <c r="F15" s="92"/>
      <c r="G15" s="93"/>
      <c r="H15" s="102"/>
    </row>
    <row r="16" spans="1:10" ht="21.75" x14ac:dyDescent="0.25">
      <c r="A16" s="322"/>
      <c r="B16" s="77">
        <v>20</v>
      </c>
      <c r="C16" s="62" t="s">
        <v>162</v>
      </c>
      <c r="D16" s="67">
        <f>B16*D15</f>
        <v>5615.94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2381.8044393451432</v>
      </c>
      <c r="C17" s="62" t="s">
        <v>108</v>
      </c>
      <c r="D17" s="67">
        <f>(PI()*0.4^2)/4*D14+(PI()*0.5^2)/4*D16+(PI()*0.6^2)/4*D12</f>
        <v>2381.8044393451432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3947.8721071428567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24242.809564285708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314" t="s">
        <v>17</v>
      </c>
      <c r="B21" s="314"/>
      <c r="C21" s="314"/>
      <c r="D21" s="314"/>
      <c r="E21" s="314"/>
      <c r="F21" s="314"/>
      <c r="G21" s="90">
        <f>SUM(G10:G20)</f>
        <v>0</v>
      </c>
      <c r="H21" s="103"/>
    </row>
    <row r="23" spans="1:8" ht="21.75" x14ac:dyDescent="0.25">
      <c r="A23" s="52" t="s">
        <v>296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319" t="s">
        <v>5</v>
      </c>
      <c r="C25" s="320"/>
      <c r="D25" s="319" t="s">
        <v>18</v>
      </c>
      <c r="E25" s="320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B26*DADOS_INICIAIS!F37</f>
        <v>9827.8950000000004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B27*DADOS_INICIAIS!F37</f>
        <v>3041.9675000000002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334616.42500000005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SUPRAESTRUTURA!B16*1.5</f>
        <v>315</v>
      </c>
      <c r="C29" s="62" t="s">
        <v>102</v>
      </c>
      <c r="D29" s="67">
        <f>DADOS_INICIAIS!F37</f>
        <v>4679.95</v>
      </c>
      <c r="E29" s="67" t="s">
        <v>2</v>
      </c>
      <c r="F29" s="88">
        <f>B29</f>
        <v>315</v>
      </c>
      <c r="G29" s="89">
        <f>F29*D29</f>
        <v>1474184.25</v>
      </c>
      <c r="H29" s="102"/>
    </row>
    <row r="30" spans="1:8" ht="21.75" x14ac:dyDescent="0.25">
      <c r="A30" s="314" t="s">
        <v>17</v>
      </c>
      <c r="B30" s="314"/>
      <c r="C30" s="314"/>
      <c r="D30" s="314"/>
      <c r="E30" s="314"/>
      <c r="F30" s="314"/>
      <c r="G30" s="90">
        <f>SUM(G26:G29)</f>
        <v>1474184.25</v>
      </c>
      <c r="H30" s="103"/>
    </row>
    <row r="33" spans="1:8" ht="21.75" x14ac:dyDescent="0.25">
      <c r="A33" s="52" t="s">
        <v>167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319" t="s">
        <v>5</v>
      </c>
      <c r="C35" s="320"/>
      <c r="D35" s="319" t="s">
        <v>18</v>
      </c>
      <c r="E35" s="320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B36*DADOS_INICIAIS!F47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B37*DADOS_INICIAIS!F47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SUPRAESTRUTURA!B87*1.5</f>
        <v>0</v>
      </c>
      <c r="C39" s="62" t="s">
        <v>102</v>
      </c>
      <c r="D39" s="67">
        <f>DADOS_INICIAIS!F47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314" t="s">
        <v>17</v>
      </c>
      <c r="B40" s="314"/>
      <c r="C40" s="314"/>
      <c r="D40" s="314"/>
      <c r="E40" s="314"/>
      <c r="F40" s="314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324" t="s">
        <v>104</v>
      </c>
      <c r="B46" s="325"/>
      <c r="C46" s="325"/>
      <c r="D46" s="325"/>
      <c r="E46" s="325"/>
      <c r="F46" s="326"/>
      <c r="G46" s="91">
        <f>G21+G30</f>
        <v>1474184.25</v>
      </c>
      <c r="H46" s="91">
        <f>G46/DADOS_INICIAIS!F9</f>
        <v>19.96694961833219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29"/>
  <sheetViews>
    <sheetView showGridLines="0" topLeftCell="A13" zoomScale="80" zoomScaleNormal="80" zoomScaleSheetLayoutView="95" workbookViewId="0">
      <selection activeCell="F21" sqref="F2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4.2851562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315" t="s">
        <v>122</v>
      </c>
      <c r="B3" s="323"/>
      <c r="C3" s="323"/>
      <c r="D3" s="316"/>
      <c r="E3" s="316"/>
      <c r="F3" s="316"/>
      <c r="G3" s="316"/>
      <c r="H3" s="317"/>
      <c r="J3" s="79"/>
    </row>
    <row r="4" spans="1:10" ht="19.5" x14ac:dyDescent="0.25">
      <c r="A4" s="187" t="s">
        <v>184</v>
      </c>
      <c r="B4" s="193">
        <v>45456</v>
      </c>
      <c r="C4" s="191"/>
      <c r="D4" s="191"/>
      <c r="E4" s="191"/>
      <c r="F4" s="191"/>
      <c r="G4" s="191"/>
      <c r="H4" s="192"/>
      <c r="J4" s="79"/>
    </row>
    <row r="5" spans="1:10" ht="19.5" x14ac:dyDescent="0.25">
      <c r="A5" s="187" t="s">
        <v>295</v>
      </c>
      <c r="B5" s="194" t="s">
        <v>213</v>
      </c>
      <c r="C5" s="189"/>
      <c r="D5" s="189"/>
      <c r="E5" s="189"/>
      <c r="F5" s="189"/>
      <c r="G5" s="189"/>
      <c r="H5" s="190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319" t="s">
        <v>5</v>
      </c>
      <c r="C9" s="320"/>
      <c r="D9" s="319" t="s">
        <v>18</v>
      </c>
      <c r="E9" s="320"/>
      <c r="F9" s="101" t="s">
        <v>118</v>
      </c>
      <c r="G9" s="90" t="s">
        <v>16</v>
      </c>
      <c r="H9" s="90" t="s">
        <v>298</v>
      </c>
    </row>
    <row r="10" spans="1:10" ht="21.75" x14ac:dyDescent="0.25">
      <c r="A10" s="66" t="s">
        <v>107</v>
      </c>
      <c r="B10" s="62">
        <v>5.0799999999999998E-2</v>
      </c>
      <c r="C10" s="62" t="s">
        <v>108</v>
      </c>
      <c r="D10" s="67">
        <f>ROUND(B10*AREAS!G34,0)</f>
        <v>315</v>
      </c>
      <c r="E10" s="67" t="s">
        <v>3</v>
      </c>
      <c r="F10" s="92"/>
      <c r="G10" s="93"/>
      <c r="H10" s="67" t="s">
        <v>344</v>
      </c>
    </row>
    <row r="11" spans="1:10" ht="21.75" x14ac:dyDescent="0.25">
      <c r="A11" s="321" t="s">
        <v>384</v>
      </c>
      <c r="B11" s="76">
        <v>0</v>
      </c>
      <c r="C11" s="62"/>
      <c r="D11" s="67">
        <f>D10</f>
        <v>315</v>
      </c>
      <c r="E11" s="67" t="s">
        <v>3</v>
      </c>
      <c r="F11" s="92"/>
      <c r="G11" s="93"/>
      <c r="H11" s="67"/>
    </row>
    <row r="12" spans="1:10" ht="21.75" x14ac:dyDescent="0.25">
      <c r="A12" s="322"/>
      <c r="B12" s="77">
        <v>20</v>
      </c>
      <c r="C12" s="62" t="s">
        <v>162</v>
      </c>
      <c r="D12" s="67">
        <f>B12*D11</f>
        <v>6300</v>
      </c>
      <c r="E12" s="67" t="s">
        <v>4</v>
      </c>
      <c r="F12" s="88">
        <v>500</v>
      </c>
      <c r="G12" s="89">
        <f>F12*D12*1.1</f>
        <v>3465000.0000000005</v>
      </c>
      <c r="H12" s="67"/>
    </row>
    <row r="13" spans="1:10" ht="21.75" x14ac:dyDescent="0.25">
      <c r="A13" s="66" t="s">
        <v>299</v>
      </c>
      <c r="B13" s="62">
        <v>1.2</v>
      </c>
      <c r="C13" s="62" t="s">
        <v>313</v>
      </c>
      <c r="D13" s="67">
        <f>PI()*((1^2)/4)*D12</f>
        <v>4948.0084294039243</v>
      </c>
      <c r="E13" s="67" t="s">
        <v>22</v>
      </c>
      <c r="F13" s="88">
        <v>520</v>
      </c>
      <c r="G13" s="89">
        <f>F13*D13*B13*1.1</f>
        <v>3396312.9859428541</v>
      </c>
      <c r="H13" s="67"/>
    </row>
    <row r="14" spans="1:10" ht="21.75" x14ac:dyDescent="0.25">
      <c r="A14" s="66" t="s">
        <v>343</v>
      </c>
      <c r="B14" s="62">
        <v>27.5</v>
      </c>
      <c r="C14" s="62" t="s">
        <v>34</v>
      </c>
      <c r="D14" s="67">
        <f>B14*D13</f>
        <v>136070.23180860793</v>
      </c>
      <c r="E14" s="67" t="s">
        <v>26</v>
      </c>
      <c r="F14" s="88">
        <v>7.62</v>
      </c>
      <c r="G14" s="89">
        <f>F14*D14*1.1</f>
        <v>1140540.6830197519</v>
      </c>
      <c r="H14" s="67"/>
    </row>
    <row r="15" spans="1:10" ht="21.75" x14ac:dyDescent="0.25">
      <c r="A15" s="66" t="s">
        <v>109</v>
      </c>
      <c r="B15" s="62">
        <v>1</v>
      </c>
      <c r="C15" s="62" t="s">
        <v>27</v>
      </c>
      <c r="D15" s="67">
        <v>1</v>
      </c>
      <c r="E15" s="67" t="s">
        <v>27</v>
      </c>
      <c r="F15" s="88">
        <v>14500</v>
      </c>
      <c r="G15" s="89">
        <f>F15*D15*1.1</f>
        <v>15950.000000000002</v>
      </c>
      <c r="H15" s="67"/>
    </row>
    <row r="16" spans="1:10" ht="21.75" x14ac:dyDescent="0.25">
      <c r="A16" s="66" t="s">
        <v>301</v>
      </c>
      <c r="B16" s="62"/>
      <c r="C16" s="62"/>
      <c r="D16" s="67">
        <f>D10</f>
        <v>315</v>
      </c>
      <c r="E16" s="67" t="s">
        <v>3</v>
      </c>
      <c r="F16" s="88">
        <v>300</v>
      </c>
      <c r="G16" s="89">
        <f>F16*D16*1</f>
        <v>94500</v>
      </c>
      <c r="H16" s="67"/>
    </row>
    <row r="17" spans="1:8" ht="21.75" x14ac:dyDescent="0.25">
      <c r="A17" s="314" t="s">
        <v>17</v>
      </c>
      <c r="B17" s="314"/>
      <c r="C17" s="314"/>
      <c r="D17" s="314"/>
      <c r="E17" s="314"/>
      <c r="F17" s="314"/>
      <c r="G17" s="90">
        <f>SUM(G12:G16)</f>
        <v>8112303.6689626062</v>
      </c>
      <c r="H17" s="90"/>
    </row>
    <row r="19" spans="1:8" ht="21.75" x14ac:dyDescent="0.25">
      <c r="A19" s="52" t="s">
        <v>110</v>
      </c>
      <c r="B19" s="52"/>
      <c r="C19" s="52"/>
      <c r="D19" s="53"/>
      <c r="E19" s="53"/>
      <c r="F19" s="98"/>
      <c r="G19" s="98"/>
      <c r="H19" s="98"/>
    </row>
    <row r="20" spans="1:8" ht="21.75" x14ac:dyDescent="0.25">
      <c r="A20" s="56"/>
      <c r="B20" s="56"/>
      <c r="C20" s="56"/>
      <c r="D20" s="57"/>
      <c r="E20" s="57"/>
      <c r="F20" s="99"/>
      <c r="G20" s="100"/>
      <c r="H20" s="100"/>
    </row>
    <row r="21" spans="1:8" ht="21.75" x14ac:dyDescent="0.25">
      <c r="A21" s="63" t="s">
        <v>14</v>
      </c>
      <c r="B21" s="319" t="s">
        <v>5</v>
      </c>
      <c r="C21" s="320"/>
      <c r="D21" s="319" t="s">
        <v>18</v>
      </c>
      <c r="E21" s="320"/>
      <c r="F21" s="101" t="s">
        <v>118</v>
      </c>
      <c r="G21" s="90" t="s">
        <v>16</v>
      </c>
      <c r="H21" s="90" t="s">
        <v>298</v>
      </c>
    </row>
    <row r="22" spans="1:8" ht="43.5" x14ac:dyDescent="0.25">
      <c r="A22" s="66" t="s">
        <v>111</v>
      </c>
      <c r="B22" s="62">
        <v>0.5</v>
      </c>
      <c r="C22" s="62" t="s">
        <v>113</v>
      </c>
      <c r="D22" s="67">
        <f>B22*DADOS_INICIAIS!F37</f>
        <v>2339.9749999999999</v>
      </c>
      <c r="E22" s="67" t="s">
        <v>2</v>
      </c>
      <c r="F22" s="88">
        <v>68</v>
      </c>
      <c r="G22" s="89">
        <f>F22*D22*1.1</f>
        <v>175030.13</v>
      </c>
      <c r="H22" s="67" t="s">
        <v>315</v>
      </c>
    </row>
    <row r="23" spans="1:8" ht="21.75" x14ac:dyDescent="0.25">
      <c r="A23" s="66" t="s">
        <v>299</v>
      </c>
      <c r="B23" s="62">
        <v>0.4</v>
      </c>
      <c r="C23" s="62" t="s">
        <v>112</v>
      </c>
      <c r="D23" s="67">
        <f>B23*DADOS_INICIAIS!F37</f>
        <v>1871.98</v>
      </c>
      <c r="E23" s="67" t="s">
        <v>22</v>
      </c>
      <c r="F23" s="88">
        <f>514+44</f>
        <v>558</v>
      </c>
      <c r="G23" s="89">
        <f>F23*D23*1.05*1.1</f>
        <v>1206472.3902</v>
      </c>
      <c r="H23" s="67" t="s">
        <v>300</v>
      </c>
    </row>
    <row r="24" spans="1:8" ht="21.75" x14ac:dyDescent="0.25">
      <c r="A24" s="66" t="s">
        <v>23</v>
      </c>
      <c r="B24" s="62">
        <v>90</v>
      </c>
      <c r="C24" s="62" t="s">
        <v>34</v>
      </c>
      <c r="D24" s="67">
        <f>B24*D23</f>
        <v>168478.2</v>
      </c>
      <c r="E24" s="67" t="s">
        <v>26</v>
      </c>
      <c r="F24" s="88">
        <v>7.62</v>
      </c>
      <c r="G24" s="89">
        <f>F24*D24*1.1</f>
        <v>1412184.2724000001</v>
      </c>
      <c r="H24" s="67"/>
    </row>
    <row r="25" spans="1:8" ht="21.75" x14ac:dyDescent="0.25">
      <c r="A25" s="66" t="s">
        <v>25</v>
      </c>
      <c r="B25" s="62">
        <f>SUPRAESTRUTURA!B16*1.5</f>
        <v>315</v>
      </c>
      <c r="C25" s="62" t="s">
        <v>102</v>
      </c>
      <c r="D25" s="67">
        <f>DADOS_INICIAIS!F37</f>
        <v>4679.95</v>
      </c>
      <c r="E25" s="67" t="s">
        <v>2</v>
      </c>
      <c r="F25" s="88">
        <f>B25</f>
        <v>315</v>
      </c>
      <c r="G25" s="89">
        <f>F25*D25*1.1</f>
        <v>1621602.675</v>
      </c>
      <c r="H25" s="67"/>
    </row>
    <row r="26" spans="1:8" ht="21.75" x14ac:dyDescent="0.25">
      <c r="A26" s="314" t="s">
        <v>17</v>
      </c>
      <c r="B26" s="314"/>
      <c r="C26" s="314"/>
      <c r="D26" s="314"/>
      <c r="E26" s="314"/>
      <c r="F26" s="314"/>
      <c r="G26" s="90">
        <f>SUM(G22:G25)</f>
        <v>4415289.4676000001</v>
      </c>
      <c r="H26" s="90"/>
    </row>
    <row r="28" spans="1:8" x14ac:dyDescent="0.25">
      <c r="D28" s="86"/>
      <c r="E28" s="87"/>
    </row>
    <row r="29" spans="1:8" ht="21.75" x14ac:dyDescent="0.25">
      <c r="A29" s="324" t="s">
        <v>104</v>
      </c>
      <c r="B29" s="325"/>
      <c r="C29" s="325"/>
      <c r="D29" s="325"/>
      <c r="E29" s="325"/>
      <c r="F29" s="326"/>
      <c r="G29" s="91">
        <f>G17+G26</f>
        <v>12527593.136562606</v>
      </c>
      <c r="H29" s="91">
        <f>G29/DADOS_INICIAIS!F9</f>
        <v>169.67880439416558</v>
      </c>
    </row>
  </sheetData>
  <mergeCells count="9">
    <mergeCell ref="A26:F26"/>
    <mergeCell ref="A29:F29"/>
    <mergeCell ref="A3:H3"/>
    <mergeCell ref="A17:F17"/>
    <mergeCell ref="D9:E9"/>
    <mergeCell ref="B9:C9"/>
    <mergeCell ref="A11:A12"/>
    <mergeCell ref="B21:C21"/>
    <mergeCell ref="D21:E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2D08-18B9-46F4-B10D-87ACE6B2212B}">
  <sheetPr>
    <tabColor rgb="FF0070C0"/>
  </sheetPr>
  <dimension ref="A1:J64"/>
  <sheetViews>
    <sheetView showGridLines="0" topLeftCell="A28" zoomScale="80" zoomScaleNormal="80" zoomScaleSheetLayoutView="95" workbookViewId="0">
      <selection activeCell="G41" sqref="G41"/>
    </sheetView>
  </sheetViews>
  <sheetFormatPr defaultColWidth="9.140625" defaultRowHeight="15" x14ac:dyDescent="0.25"/>
  <cols>
    <col min="1" max="1" width="43.425781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4.28515625" style="94" bestFit="1" customWidth="1"/>
    <col min="8" max="8" width="15.140625" style="94" customWidth="1"/>
    <col min="9" max="9" width="21.57031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315" t="s">
        <v>165</v>
      </c>
      <c r="B3" s="323"/>
      <c r="C3" s="323"/>
      <c r="D3" s="316"/>
      <c r="E3" s="316"/>
      <c r="F3" s="316"/>
      <c r="G3" s="316"/>
      <c r="H3" s="317"/>
      <c r="J3" s="79"/>
    </row>
    <row r="4" spans="1:10" ht="10.9" customHeight="1" x14ac:dyDescent="0.25">
      <c r="A4" s="83"/>
      <c r="B4" s="83"/>
      <c r="C4" s="83"/>
      <c r="D4" s="83"/>
      <c r="E4" s="83"/>
      <c r="F4" s="96"/>
      <c r="G4" s="97"/>
      <c r="H4" s="97"/>
      <c r="J4" s="79"/>
    </row>
    <row r="5" spans="1:10" ht="21.75" hidden="1" x14ac:dyDescent="0.25">
      <c r="A5" s="52" t="s">
        <v>166</v>
      </c>
      <c r="B5" s="52"/>
      <c r="C5" s="52"/>
      <c r="D5" s="53"/>
      <c r="E5" s="53"/>
      <c r="F5" s="98"/>
      <c r="G5" s="98"/>
      <c r="H5" s="98"/>
    </row>
    <row r="6" spans="1:10" ht="21.75" hidden="1" x14ac:dyDescent="0.25">
      <c r="A6" s="56"/>
      <c r="B6" s="56"/>
      <c r="C6" s="56"/>
      <c r="D6" s="57"/>
      <c r="E6" s="57"/>
      <c r="F6" s="99"/>
      <c r="G6" s="100"/>
      <c r="H6" s="100"/>
    </row>
    <row r="7" spans="1:10" ht="42" hidden="1" customHeight="1" x14ac:dyDescent="0.25">
      <c r="A7" s="63" t="s">
        <v>14</v>
      </c>
      <c r="B7" s="319" t="s">
        <v>5</v>
      </c>
      <c r="C7" s="320"/>
      <c r="D7" s="319" t="s">
        <v>18</v>
      </c>
      <c r="E7" s="320"/>
      <c r="F7" s="101" t="s">
        <v>118</v>
      </c>
      <c r="G7" s="90" t="s">
        <v>16</v>
      </c>
      <c r="H7" s="100"/>
    </row>
    <row r="8" spans="1:10" ht="21.75" hidden="1" x14ac:dyDescent="0.25">
      <c r="A8" s="66" t="s">
        <v>107</v>
      </c>
      <c r="B8" s="62">
        <v>0.15</v>
      </c>
      <c r="C8" s="62" t="s">
        <v>108</v>
      </c>
      <c r="D8" s="67">
        <f>B8*[4]DADOS_INICIAIS!F23</f>
        <v>303.6465</v>
      </c>
      <c r="E8" s="67" t="s">
        <v>3</v>
      </c>
      <c r="F8" s="92"/>
      <c r="G8" s="93"/>
      <c r="H8" s="102"/>
    </row>
    <row r="9" spans="1:10" ht="21.75" hidden="1" x14ac:dyDescent="0.25">
      <c r="A9" s="321" t="s">
        <v>161</v>
      </c>
      <c r="B9" s="76">
        <v>0.1</v>
      </c>
      <c r="C9" s="62"/>
      <c r="D9" s="67">
        <f>B9*$D$8</f>
        <v>30.364650000000001</v>
      </c>
      <c r="E9" s="67" t="s">
        <v>3</v>
      </c>
      <c r="F9" s="92"/>
      <c r="G9" s="93"/>
      <c r="H9" s="102"/>
    </row>
    <row r="10" spans="1:10" ht="21.75" hidden="1" x14ac:dyDescent="0.25">
      <c r="A10" s="322"/>
      <c r="B10" s="77">
        <v>20</v>
      </c>
      <c r="C10" s="62" t="s">
        <v>162</v>
      </c>
      <c r="D10" s="67">
        <f>B10*D9</f>
        <v>607.29300000000001</v>
      </c>
      <c r="E10" s="67" t="s">
        <v>4</v>
      </c>
      <c r="F10" s="88"/>
      <c r="G10" s="89">
        <f>F10*D10</f>
        <v>0</v>
      </c>
      <c r="H10" s="102"/>
    </row>
    <row r="11" spans="1:10" ht="21.75" hidden="1" x14ac:dyDescent="0.25">
      <c r="A11" s="321" t="s">
        <v>160</v>
      </c>
      <c r="B11" s="76">
        <v>0.5</v>
      </c>
      <c r="C11" s="62"/>
      <c r="D11" s="67">
        <f>B11*$D$8</f>
        <v>151.82325</v>
      </c>
      <c r="E11" s="67" t="s">
        <v>3</v>
      </c>
      <c r="F11" s="92"/>
      <c r="G11" s="93"/>
      <c r="H11" s="102"/>
    </row>
    <row r="12" spans="1:10" ht="21.75" hidden="1" x14ac:dyDescent="0.25">
      <c r="A12" s="322"/>
      <c r="B12" s="77">
        <v>20</v>
      </c>
      <c r="C12" s="62" t="s">
        <v>162</v>
      </c>
      <c r="D12" s="67">
        <f>B12*D11</f>
        <v>3036.4650000000001</v>
      </c>
      <c r="E12" s="67" t="s">
        <v>4</v>
      </c>
      <c r="F12" s="88"/>
      <c r="G12" s="89">
        <f>F12*D12</f>
        <v>0</v>
      </c>
      <c r="H12" s="102"/>
    </row>
    <row r="13" spans="1:10" ht="21.75" hidden="1" x14ac:dyDescent="0.25">
      <c r="A13" s="321" t="s">
        <v>114</v>
      </c>
      <c r="B13" s="76">
        <v>0.4</v>
      </c>
      <c r="C13" s="62" t="s">
        <v>108</v>
      </c>
      <c r="D13" s="67">
        <f>B13*$D$8</f>
        <v>121.4586</v>
      </c>
      <c r="E13" s="67" t="s">
        <v>3</v>
      </c>
      <c r="F13" s="92"/>
      <c r="G13" s="93"/>
      <c r="H13" s="102"/>
    </row>
    <row r="14" spans="1:10" ht="21.75" hidden="1" x14ac:dyDescent="0.25">
      <c r="A14" s="322"/>
      <c r="B14" s="77">
        <v>20</v>
      </c>
      <c r="C14" s="62" t="s">
        <v>162</v>
      </c>
      <c r="D14" s="67">
        <f>B14*D13</f>
        <v>2429.172</v>
      </c>
      <c r="E14" s="67" t="s">
        <v>4</v>
      </c>
      <c r="F14" s="88"/>
      <c r="G14" s="89">
        <f>F14*D14</f>
        <v>0</v>
      </c>
      <c r="H14" s="102"/>
    </row>
    <row r="15" spans="1:10" ht="21.75" hidden="1" x14ac:dyDescent="0.25">
      <c r="A15" s="66" t="s">
        <v>24</v>
      </c>
      <c r="B15" s="62">
        <f>(PI()*0.4^2)/4*D12+(PI()*0.5^2)/4*D14+(PI()*0.6^2)/4*D10</f>
        <v>1030.2483027833134</v>
      </c>
      <c r="C15" s="62" t="s">
        <v>108</v>
      </c>
      <c r="D15" s="67">
        <f>(PI()*0.4^2)/4*D12+(PI()*0.5^2)/4*D14+(PI()*0.6^2)/4*D10</f>
        <v>1030.2483027833134</v>
      </c>
      <c r="E15" s="67" t="s">
        <v>22</v>
      </c>
      <c r="F15" s="88"/>
      <c r="G15" s="89">
        <f>F15*D15</f>
        <v>0</v>
      </c>
      <c r="H15" s="102"/>
    </row>
    <row r="16" spans="1:10" ht="21.75" hidden="1" x14ac:dyDescent="0.25">
      <c r="A16" s="66" t="s">
        <v>115</v>
      </c>
      <c r="B16" s="62">
        <v>1.6575131198547477</v>
      </c>
      <c r="C16" s="62" t="s">
        <v>34</v>
      </c>
      <c r="D16" s="67">
        <f>B16*D15</f>
        <v>1707.6500785714286</v>
      </c>
      <c r="E16" s="67" t="s">
        <v>26</v>
      </c>
      <c r="F16" s="88"/>
      <c r="G16" s="89">
        <f>F16*D16</f>
        <v>0</v>
      </c>
      <c r="H16" s="102"/>
    </row>
    <row r="17" spans="1:9" ht="21.75" hidden="1" x14ac:dyDescent="0.25">
      <c r="A17" s="66" t="s">
        <v>125</v>
      </c>
      <c r="B17" s="62">
        <v>10.178337551067401</v>
      </c>
      <c r="C17" s="62" t="s">
        <v>34</v>
      </c>
      <c r="D17" s="67">
        <f>B17*D15</f>
        <v>10486.214987142856</v>
      </c>
      <c r="E17" s="67" t="s">
        <v>26</v>
      </c>
      <c r="F17" s="88"/>
      <c r="G17" s="89">
        <f>F17*D17</f>
        <v>0</v>
      </c>
      <c r="H17" s="102"/>
    </row>
    <row r="18" spans="1:9" ht="21.75" hidden="1" x14ac:dyDescent="0.25">
      <c r="A18" s="66" t="s">
        <v>109</v>
      </c>
      <c r="B18" s="62">
        <v>1</v>
      </c>
      <c r="C18" s="62" t="s">
        <v>27</v>
      </c>
      <c r="D18" s="67">
        <v>1</v>
      </c>
      <c r="E18" s="67" t="s">
        <v>27</v>
      </c>
      <c r="F18" s="88"/>
      <c r="G18" s="89">
        <f>F18*D18</f>
        <v>0</v>
      </c>
      <c r="H18" s="102"/>
    </row>
    <row r="19" spans="1:9" ht="21.75" hidden="1" x14ac:dyDescent="0.25">
      <c r="A19" s="314" t="s">
        <v>17</v>
      </c>
      <c r="B19" s="314"/>
      <c r="C19" s="314"/>
      <c r="D19" s="314"/>
      <c r="E19" s="314"/>
      <c r="F19" s="314"/>
      <c r="G19" s="90">
        <f>SUM(G8:G18)</f>
        <v>0</v>
      </c>
      <c r="H19" s="103"/>
    </row>
    <row r="20" spans="1:9" ht="6.6" customHeight="1" x14ac:dyDescent="0.25"/>
    <row r="21" spans="1:9" ht="21.75" x14ac:dyDescent="0.25">
      <c r="A21" s="52" t="s">
        <v>296</v>
      </c>
      <c r="B21" s="52"/>
      <c r="C21" s="52"/>
      <c r="D21" s="53"/>
      <c r="E21" s="53"/>
      <c r="F21" s="98"/>
      <c r="G21" s="98"/>
      <c r="H21" s="98"/>
    </row>
    <row r="22" spans="1:9" ht="12.6" customHeight="1" x14ac:dyDescent="0.25">
      <c r="A22" s="56"/>
      <c r="B22" s="56"/>
      <c r="C22" s="56"/>
      <c r="D22" s="57"/>
      <c r="E22" s="57"/>
      <c r="F22" s="99"/>
      <c r="G22" s="100"/>
      <c r="H22" s="100"/>
    </row>
    <row r="23" spans="1:9" ht="21.75" x14ac:dyDescent="0.25">
      <c r="A23" s="63" t="s">
        <v>14</v>
      </c>
      <c r="B23" s="319" t="s">
        <v>5</v>
      </c>
      <c r="C23" s="320"/>
      <c r="D23" s="319" t="s">
        <v>18</v>
      </c>
      <c r="E23" s="320"/>
      <c r="F23" s="101" t="s">
        <v>118</v>
      </c>
      <c r="G23" s="90" t="s">
        <v>16</v>
      </c>
      <c r="H23" s="100"/>
    </row>
    <row r="24" spans="1:9" ht="20.45" customHeight="1" x14ac:dyDescent="0.25">
      <c r="A24" s="66" t="s">
        <v>481</v>
      </c>
      <c r="B24" s="62"/>
      <c r="C24" s="62"/>
      <c r="D24" s="67">
        <f>354.45*MOVIMENTAÇÃO_DE_TERRA!C9</f>
        <v>2396.0819999999999</v>
      </c>
      <c r="E24" s="67" t="s">
        <v>476</v>
      </c>
      <c r="F24" s="88"/>
      <c r="G24" s="89"/>
      <c r="H24" s="102" t="s">
        <v>482</v>
      </c>
    </row>
    <row r="25" spans="1:9" ht="43.5" x14ac:dyDescent="0.25">
      <c r="A25" s="66" t="s">
        <v>483</v>
      </c>
      <c r="B25" s="62">
        <v>2</v>
      </c>
      <c r="C25" s="62" t="s">
        <v>204</v>
      </c>
      <c r="D25" s="67">
        <f>B25*D24</f>
        <v>4792.1639999999998</v>
      </c>
      <c r="E25" s="67" t="s">
        <v>2</v>
      </c>
      <c r="F25" s="88">
        <f>206.56+0.130939</f>
        <v>206.69093900000001</v>
      </c>
      <c r="G25" s="89">
        <f>F25*D25*1.1</f>
        <v>1089546.5647021958</v>
      </c>
      <c r="H25" s="102"/>
    </row>
    <row r="26" spans="1:9" ht="21.75" x14ac:dyDescent="0.25">
      <c r="A26" s="66" t="s">
        <v>24</v>
      </c>
      <c r="B26" s="62">
        <v>0.4</v>
      </c>
      <c r="C26" s="62" t="s">
        <v>4</v>
      </c>
      <c r="D26" s="67">
        <f>D24*B26</f>
        <v>958.43280000000004</v>
      </c>
      <c r="E26" s="67" t="s">
        <v>22</v>
      </c>
      <c r="F26" s="88">
        <f>(514+44)*1.05</f>
        <v>585.9</v>
      </c>
      <c r="G26" s="89">
        <f>F26*D26*1.1</f>
        <v>617700.35527200007</v>
      </c>
      <c r="H26" s="102" t="s">
        <v>484</v>
      </c>
    </row>
    <row r="27" spans="1:9" ht="21.75" x14ac:dyDescent="0.25">
      <c r="A27" s="66" t="s">
        <v>23</v>
      </c>
      <c r="B27" s="62">
        <v>110</v>
      </c>
      <c r="C27" s="62" t="s">
        <v>34</v>
      </c>
      <c r="D27" s="67">
        <f>B27*D26</f>
        <v>105427.60800000001</v>
      </c>
      <c r="E27" s="67" t="s">
        <v>26</v>
      </c>
      <c r="F27" s="88">
        <v>8</v>
      </c>
      <c r="G27" s="89">
        <f>F27*D27*1.1</f>
        <v>927762.95040000009</v>
      </c>
      <c r="H27" s="102" t="s">
        <v>484</v>
      </c>
    </row>
    <row r="28" spans="1:9" ht="21.75" x14ac:dyDescent="0.25">
      <c r="A28" s="66" t="s">
        <v>485</v>
      </c>
      <c r="B28" s="62"/>
      <c r="C28" s="62"/>
      <c r="D28" s="67">
        <v>354.45</v>
      </c>
      <c r="E28" s="67" t="s">
        <v>4</v>
      </c>
      <c r="F28" s="88">
        <v>260</v>
      </c>
      <c r="G28" s="89">
        <f>F28*D28</f>
        <v>92157</v>
      </c>
      <c r="H28" s="102"/>
      <c r="I28" s="94"/>
    </row>
    <row r="29" spans="1:9" ht="21.75" x14ac:dyDescent="0.25">
      <c r="A29" s="66" t="s">
        <v>25</v>
      </c>
      <c r="B29" s="281" t="s">
        <v>213</v>
      </c>
      <c r="C29" s="62"/>
      <c r="D29" s="67">
        <f>D24</f>
        <v>2396.0819999999999</v>
      </c>
      <c r="E29" s="67" t="s">
        <v>2</v>
      </c>
      <c r="F29" s="88">
        <v>190</v>
      </c>
      <c r="G29" s="89">
        <f>F29*D29*1.1</f>
        <v>500781.13799999998</v>
      </c>
      <c r="H29" s="102"/>
      <c r="I29" s="196"/>
    </row>
    <row r="30" spans="1:9" ht="21.75" x14ac:dyDescent="0.25">
      <c r="A30" s="314" t="s">
        <v>17</v>
      </c>
      <c r="B30" s="314"/>
      <c r="C30" s="314"/>
      <c r="D30" s="314"/>
      <c r="E30" s="314"/>
      <c r="F30" s="314"/>
      <c r="G30" s="90">
        <f>SUM(G25:G29)</f>
        <v>3227948.0083741955</v>
      </c>
      <c r="H30" s="103"/>
      <c r="I30" s="282"/>
    </row>
    <row r="32" spans="1:9" ht="21.75" x14ac:dyDescent="0.25">
      <c r="A32" s="52" t="s">
        <v>507</v>
      </c>
      <c r="B32" s="52"/>
      <c r="C32" s="52"/>
      <c r="D32" s="53"/>
      <c r="E32" s="53"/>
      <c r="F32" s="98"/>
      <c r="G32" s="98"/>
      <c r="H32" s="98"/>
    </row>
    <row r="33" spans="1:9" ht="21.75" x14ac:dyDescent="0.25">
      <c r="A33" s="56"/>
      <c r="B33" s="56"/>
      <c r="C33" s="56"/>
      <c r="D33" s="57"/>
      <c r="E33" s="57"/>
      <c r="F33" s="99"/>
      <c r="G33" s="100"/>
      <c r="H33" s="100"/>
    </row>
    <row r="34" spans="1:9" ht="21.75" x14ac:dyDescent="0.25">
      <c r="A34" s="63" t="s">
        <v>14</v>
      </c>
      <c r="B34" s="319" t="s">
        <v>5</v>
      </c>
      <c r="C34" s="320"/>
      <c r="D34" s="319" t="s">
        <v>18</v>
      </c>
      <c r="E34" s="320"/>
      <c r="F34" s="101" t="s">
        <v>118</v>
      </c>
      <c r="G34" s="90" t="s">
        <v>16</v>
      </c>
      <c r="H34" s="90" t="s">
        <v>298</v>
      </c>
    </row>
    <row r="35" spans="1:9" ht="21.75" x14ac:dyDescent="0.25">
      <c r="A35" s="66" t="s">
        <v>498</v>
      </c>
      <c r="B35" s="62"/>
      <c r="C35" s="62"/>
      <c r="D35" s="67">
        <v>354.45</v>
      </c>
      <c r="E35" s="67" t="s">
        <v>4</v>
      </c>
      <c r="F35" s="92"/>
      <c r="G35" s="93">
        <f>F35*D35*1.05</f>
        <v>0</v>
      </c>
      <c r="H35" s="67"/>
    </row>
    <row r="36" spans="1:9" ht="21.75" x14ac:dyDescent="0.25">
      <c r="A36" s="66" t="s">
        <v>499</v>
      </c>
      <c r="B36" s="62">
        <v>360</v>
      </c>
      <c r="C36" s="62" t="s">
        <v>502</v>
      </c>
      <c r="D36" s="67">
        <f>B36*D35</f>
        <v>127602</v>
      </c>
      <c r="E36" s="67" t="s">
        <v>26</v>
      </c>
      <c r="F36" s="88">
        <v>10.42</v>
      </c>
      <c r="G36" s="89">
        <f>F36*D36*1.1</f>
        <v>1462574.1240000003</v>
      </c>
      <c r="H36" s="67"/>
    </row>
    <row r="37" spans="1:9" ht="21.75" x14ac:dyDescent="0.25">
      <c r="A37" s="66" t="s">
        <v>500</v>
      </c>
      <c r="B37" s="281">
        <f>ROUND(D35/0.8,0)</f>
        <v>443</v>
      </c>
      <c r="C37" s="62" t="s">
        <v>3</v>
      </c>
      <c r="D37" s="198">
        <f>38.5*0.1*B37</f>
        <v>1705.55</v>
      </c>
      <c r="E37" s="198" t="s">
        <v>26</v>
      </c>
      <c r="F37" s="88">
        <v>12</v>
      </c>
      <c r="G37" s="89">
        <f>F37*D37*1.1</f>
        <v>22513.26</v>
      </c>
      <c r="H37" s="67"/>
    </row>
    <row r="38" spans="1:9" ht="21.75" x14ac:dyDescent="0.25">
      <c r="A38" s="66" t="s">
        <v>501</v>
      </c>
      <c r="B38" s="62">
        <v>1.5780000000000001</v>
      </c>
      <c r="C38" s="62" t="s">
        <v>502</v>
      </c>
      <c r="D38" s="67">
        <f>(3*0.05*2+3*0.1)*B37</f>
        <v>265.8</v>
      </c>
      <c r="E38" s="67" t="s">
        <v>4</v>
      </c>
      <c r="F38" s="88">
        <f>6.5+0.35+0.1</f>
        <v>6.9499999999999993</v>
      </c>
      <c r="G38" s="89">
        <f>F38*D38*B38*1.1</f>
        <v>3206.5606980000002</v>
      </c>
      <c r="H38" s="67"/>
    </row>
    <row r="39" spans="1:9" ht="43.5" x14ac:dyDescent="0.25">
      <c r="A39" s="66" t="s">
        <v>508</v>
      </c>
      <c r="B39" s="62">
        <f>MOVIMENTAÇÃO_DE_TERRA!C9</f>
        <v>6.76</v>
      </c>
      <c r="C39" s="62" t="s">
        <v>503</v>
      </c>
      <c r="D39" s="67">
        <f>D35*MOVIMENTAÇÃO_DE_TERRA!C9</f>
        <v>2396.0819999999999</v>
      </c>
      <c r="E39" s="67" t="s">
        <v>2</v>
      </c>
      <c r="F39" s="88">
        <v>200</v>
      </c>
      <c r="G39" s="89">
        <f>F39*D39*1.1</f>
        <v>527138.04</v>
      </c>
      <c r="H39" s="67"/>
    </row>
    <row r="40" spans="1:9" ht="21.75" x14ac:dyDescent="0.25">
      <c r="A40" s="66" t="s">
        <v>509</v>
      </c>
      <c r="B40" s="62"/>
      <c r="C40" s="62"/>
      <c r="D40" s="67">
        <f>D35*0.4*2</f>
        <v>283.56</v>
      </c>
      <c r="E40" s="67" t="s">
        <v>2</v>
      </c>
      <c r="F40" s="88">
        <v>68</v>
      </c>
      <c r="G40" s="89">
        <f>F40*D40*1.1</f>
        <v>21210.288000000004</v>
      </c>
      <c r="H40" s="67"/>
      <c r="I40" s="55" t="s">
        <v>510</v>
      </c>
    </row>
    <row r="41" spans="1:9" ht="21.75" x14ac:dyDescent="0.25">
      <c r="A41" s="66" t="s">
        <v>299</v>
      </c>
      <c r="B41" s="62">
        <v>0.4</v>
      </c>
      <c r="C41" s="62" t="s">
        <v>504</v>
      </c>
      <c r="D41" s="67">
        <f>D35*0.4*0.4</f>
        <v>56.712000000000003</v>
      </c>
      <c r="E41" s="67" t="s">
        <v>22</v>
      </c>
      <c r="F41" s="88">
        <f>(514+44)*1.05</f>
        <v>585.9</v>
      </c>
      <c r="G41" s="89">
        <f>F41*D41*1.05*1.1</f>
        <v>38377.832724000007</v>
      </c>
      <c r="H41" s="67"/>
    </row>
    <row r="42" spans="1:9" ht="21.75" x14ac:dyDescent="0.25">
      <c r="A42" s="66" t="s">
        <v>23</v>
      </c>
      <c r="B42" s="62">
        <v>40</v>
      </c>
      <c r="C42" s="62" t="s">
        <v>34</v>
      </c>
      <c r="D42" s="67">
        <f>B42*D41</f>
        <v>2268.48</v>
      </c>
      <c r="E42" s="67" t="s">
        <v>26</v>
      </c>
      <c r="F42" s="88">
        <v>7.62</v>
      </c>
      <c r="G42" s="89">
        <f>F42*D42*1.1</f>
        <v>19014.399360000003</v>
      </c>
      <c r="H42" s="67"/>
    </row>
    <row r="43" spans="1:9" ht="21.75" x14ac:dyDescent="0.25">
      <c r="A43" s="66" t="s">
        <v>505</v>
      </c>
      <c r="B43" s="62"/>
      <c r="C43" s="62"/>
      <c r="D43" s="67">
        <f>B37*12</f>
        <v>5316</v>
      </c>
      <c r="E43" s="67" t="s">
        <v>4</v>
      </c>
      <c r="F43" s="88">
        <v>60</v>
      </c>
      <c r="G43" s="89">
        <f>F43*D43*1.1</f>
        <v>350856</v>
      </c>
      <c r="H43" s="67"/>
    </row>
    <row r="44" spans="1:9" ht="21.75" x14ac:dyDescent="0.25">
      <c r="A44" s="66" t="s">
        <v>485</v>
      </c>
      <c r="B44" s="62"/>
      <c r="C44" s="62"/>
      <c r="D44" s="67">
        <f>D35</f>
        <v>354.45</v>
      </c>
      <c r="E44" s="67" t="s">
        <v>4</v>
      </c>
      <c r="F44" s="88">
        <v>260</v>
      </c>
      <c r="G44" s="89">
        <f>F44*D44</f>
        <v>92157</v>
      </c>
      <c r="H44" s="102"/>
      <c r="I44" s="94"/>
    </row>
    <row r="45" spans="1:9" ht="21.75" x14ac:dyDescent="0.25">
      <c r="A45" s="66" t="s">
        <v>506</v>
      </c>
      <c r="B45" s="62"/>
      <c r="C45" s="62"/>
      <c r="D45" s="67">
        <f>D39</f>
        <v>2396.0819999999999</v>
      </c>
      <c r="E45" s="67" t="s">
        <v>2</v>
      </c>
      <c r="F45" s="288">
        <v>790</v>
      </c>
      <c r="G45" s="89">
        <f t="shared" ref="G45" si="0">F45*D45*1.1</f>
        <v>2082195.2579999999</v>
      </c>
      <c r="H45" s="67"/>
    </row>
    <row r="46" spans="1:9" ht="21.75" x14ac:dyDescent="0.25">
      <c r="A46" s="314" t="s">
        <v>17</v>
      </c>
      <c r="B46" s="314"/>
      <c r="C46" s="314"/>
      <c r="D46" s="314"/>
      <c r="E46" s="314"/>
      <c r="F46" s="314"/>
      <c r="G46" s="90">
        <f>SUM(G36:G45)</f>
        <v>4619242.762782</v>
      </c>
      <c r="H46" s="90"/>
    </row>
    <row r="49" spans="1:8" x14ac:dyDescent="0.25">
      <c r="D49" s="86"/>
      <c r="E49" s="87"/>
    </row>
    <row r="50" spans="1:8" ht="21.75" x14ac:dyDescent="0.25">
      <c r="A50" s="324" t="s">
        <v>497</v>
      </c>
      <c r="B50" s="325"/>
      <c r="C50" s="325"/>
      <c r="D50" s="325"/>
      <c r="E50" s="325"/>
      <c r="F50" s="326"/>
      <c r="G50" s="91">
        <f>G46</f>
        <v>4619242.762782</v>
      </c>
      <c r="H50" s="91">
        <f>G50/AREAS!G5</f>
        <v>119.63796493494266</v>
      </c>
    </row>
    <row r="53" spans="1:8" x14ac:dyDescent="0.25">
      <c r="B53" s="283" t="s">
        <v>486</v>
      </c>
      <c r="C53" s="283" t="s">
        <v>487</v>
      </c>
      <c r="D53" s="55"/>
    </row>
    <row r="54" spans="1:8" x14ac:dyDescent="0.25">
      <c r="A54" s="284" t="s">
        <v>488</v>
      </c>
      <c r="B54" s="285">
        <v>659.3</v>
      </c>
      <c r="C54" s="285">
        <f>[4]DADOS_INICIAIS!E23+[4]DADOS_INICIAIS!F23</f>
        <v>3904.14</v>
      </c>
      <c r="D54" s="55"/>
    </row>
    <row r="55" spans="1:8" x14ac:dyDescent="0.25">
      <c r="A55" s="284" t="s">
        <v>489</v>
      </c>
      <c r="B55" s="285">
        <v>80</v>
      </c>
      <c r="C55" s="285">
        <v>343</v>
      </c>
      <c r="D55" s="55"/>
    </row>
    <row r="56" spans="1:8" x14ac:dyDescent="0.25">
      <c r="A56" s="284" t="s">
        <v>490</v>
      </c>
      <c r="B56" s="285">
        <v>610.01</v>
      </c>
      <c r="C56" s="285">
        <v>2326.96</v>
      </c>
      <c r="D56" s="55"/>
    </row>
    <row r="57" spans="1:8" x14ac:dyDescent="0.25">
      <c r="A57" s="284" t="s">
        <v>491</v>
      </c>
      <c r="B57" s="285">
        <f>(B56/2)/B55</f>
        <v>3.8125624999999999</v>
      </c>
      <c r="C57" s="285">
        <f>(C56/2)/C55</f>
        <v>3.3920699708454811</v>
      </c>
      <c r="D57" s="55"/>
    </row>
    <row r="58" spans="1:8" x14ac:dyDescent="0.25">
      <c r="A58" s="284" t="s">
        <v>8</v>
      </c>
      <c r="B58" s="285">
        <v>7374</v>
      </c>
      <c r="C58" s="285">
        <v>12469.72</v>
      </c>
      <c r="D58" s="55"/>
    </row>
    <row r="59" spans="1:8" x14ac:dyDescent="0.25">
      <c r="A59" s="284" t="s">
        <v>492</v>
      </c>
      <c r="B59" s="285">
        <f>B56/B58</f>
        <v>8.2724437211825333E-2</v>
      </c>
      <c r="C59" s="285">
        <f>C56/C58</f>
        <v>0.18660884125706112</v>
      </c>
      <c r="D59" s="286"/>
      <c r="E59" s="82">
        <f>B57*B55*2</f>
        <v>610.01</v>
      </c>
    </row>
    <row r="60" spans="1:8" x14ac:dyDescent="0.25">
      <c r="A60" s="284" t="s">
        <v>493</v>
      </c>
      <c r="B60" s="287">
        <v>386506.36</v>
      </c>
      <c r="C60" s="285">
        <f>G30</f>
        <v>3227948.0083741955</v>
      </c>
      <c r="D60" s="55"/>
    </row>
    <row r="61" spans="1:8" x14ac:dyDescent="0.25">
      <c r="A61" s="284" t="s">
        <v>494</v>
      </c>
      <c r="B61" s="285">
        <f>B60/B55</f>
        <v>4831.3294999999998</v>
      </c>
      <c r="C61" s="285">
        <f>C60/C55</f>
        <v>9410.9271381171875</v>
      </c>
      <c r="D61" s="55"/>
    </row>
    <row r="62" spans="1:8" x14ac:dyDescent="0.25">
      <c r="A62" s="284" t="s">
        <v>495</v>
      </c>
      <c r="B62" s="285">
        <f>B60/B56</f>
        <v>633.60659661317027</v>
      </c>
      <c r="C62" s="285">
        <f>C60/C56</f>
        <v>1387.1953142186353</v>
      </c>
      <c r="D62" s="55"/>
    </row>
    <row r="63" spans="1:8" x14ac:dyDescent="0.25">
      <c r="A63" s="284" t="s">
        <v>496</v>
      </c>
      <c r="B63" s="285">
        <f>B60/B58</f>
        <v>52.414749118524547</v>
      </c>
      <c r="C63" s="285">
        <f>C60/C58</f>
        <v>258.86291018356434</v>
      </c>
      <c r="D63" s="55"/>
    </row>
    <row r="64" spans="1:8" x14ac:dyDescent="0.25">
      <c r="B64" s="285"/>
      <c r="C64" s="285"/>
    </row>
  </sheetData>
  <mergeCells count="14">
    <mergeCell ref="A19:F19"/>
    <mergeCell ref="B23:C23"/>
    <mergeCell ref="D23:E23"/>
    <mergeCell ref="A30:F30"/>
    <mergeCell ref="A50:F50"/>
    <mergeCell ref="B34:C34"/>
    <mergeCell ref="D34:E34"/>
    <mergeCell ref="A46:F46"/>
    <mergeCell ref="A13:A14"/>
    <mergeCell ref="A3:H3"/>
    <mergeCell ref="B7:C7"/>
    <mergeCell ref="D7:E7"/>
    <mergeCell ref="A9:A10"/>
    <mergeCell ref="A11:A1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T82"/>
  <sheetViews>
    <sheetView showGridLines="0" topLeftCell="A6" zoomScale="80" zoomScaleNormal="80" zoomScaleSheetLayoutView="95" workbookViewId="0">
      <selection activeCell="A13" sqref="A13:G13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12.28515625" style="55" bestFit="1" customWidth="1"/>
    <col min="11" max="11" width="11" style="55" bestFit="1" customWidth="1"/>
    <col min="12" max="12" width="11" style="55" customWidth="1"/>
    <col min="13" max="13" width="11.28515625" style="55" bestFit="1" customWidth="1"/>
    <col min="14" max="14" width="9.140625" style="55"/>
    <col min="15" max="15" width="12" style="55" bestFit="1" customWidth="1"/>
    <col min="16" max="16" width="12.28515625" style="55" bestFit="1" customWidth="1"/>
    <col min="17" max="17" width="12.7109375" style="55" bestFit="1" customWidth="1"/>
    <col min="18" max="18" width="10.7109375" style="55" bestFit="1" customWidth="1"/>
    <col min="19" max="19" width="12" style="55" bestFit="1" customWidth="1"/>
    <col min="20" max="20" width="13.7109375" style="55" bestFit="1" customWidth="1"/>
    <col min="21" max="16384" width="9.140625" style="55"/>
  </cols>
  <sheetData>
    <row r="1" spans="1:20" x14ac:dyDescent="0.25">
      <c r="D1" s="79"/>
      <c r="E1" s="55"/>
      <c r="H1" s="80"/>
      <c r="I1" s="80"/>
      <c r="J1" s="79"/>
    </row>
    <row r="3" spans="1:20" ht="28.5" x14ac:dyDescent="0.25">
      <c r="A3" s="315" t="s">
        <v>28</v>
      </c>
      <c r="B3" s="323"/>
      <c r="C3" s="323"/>
      <c r="D3" s="316"/>
      <c r="E3" s="316"/>
      <c r="F3" s="316"/>
      <c r="G3" s="316"/>
      <c r="H3" s="317"/>
      <c r="J3" s="79"/>
    </row>
    <row r="4" spans="1:20" ht="19.5" x14ac:dyDescent="0.25">
      <c r="A4" s="187" t="s">
        <v>184</v>
      </c>
      <c r="B4" s="193">
        <v>45456</v>
      </c>
      <c r="C4" s="191"/>
      <c r="D4" s="191"/>
      <c r="E4" s="191"/>
      <c r="F4" s="191"/>
      <c r="G4" s="191"/>
      <c r="H4" s="192"/>
      <c r="J4" s="79"/>
    </row>
    <row r="5" spans="1:20" ht="19.5" x14ac:dyDescent="0.25">
      <c r="A5" s="187" t="s">
        <v>295</v>
      </c>
      <c r="B5" s="194" t="s">
        <v>213</v>
      </c>
      <c r="C5" s="189"/>
      <c r="D5" s="189"/>
      <c r="E5" s="189"/>
      <c r="F5" s="189"/>
      <c r="G5" s="189"/>
      <c r="H5" s="190"/>
      <c r="J5" s="79"/>
    </row>
    <row r="6" spans="1:20" s="295" customFormat="1" ht="45" x14ac:dyDescent="0.25">
      <c r="A6" s="292"/>
      <c r="B6" s="292"/>
      <c r="C6" s="292"/>
      <c r="D6" s="292"/>
      <c r="E6" s="292"/>
      <c r="F6" s="293"/>
      <c r="G6" s="294"/>
      <c r="H6" s="294"/>
      <c r="J6" s="296"/>
      <c r="K6" s="297" t="s">
        <v>512</v>
      </c>
      <c r="L6" s="297"/>
      <c r="M6" s="297" t="s">
        <v>513</v>
      </c>
      <c r="N6" s="297"/>
      <c r="O6" s="328" t="s">
        <v>524</v>
      </c>
      <c r="Q6" s="297" t="s">
        <v>520</v>
      </c>
      <c r="R6" s="297" t="s">
        <v>518</v>
      </c>
      <c r="S6" s="328" t="s">
        <v>524</v>
      </c>
      <c r="T6" s="297" t="s">
        <v>519</v>
      </c>
    </row>
    <row r="7" spans="1:20" ht="21.75" x14ac:dyDescent="0.25">
      <c r="A7" s="52" t="s">
        <v>522</v>
      </c>
      <c r="B7" s="52"/>
      <c r="C7" s="52"/>
      <c r="D7" s="53"/>
      <c r="E7" s="53"/>
      <c r="F7" s="54"/>
      <c r="G7" s="53"/>
      <c r="H7" s="53"/>
      <c r="J7" s="289" t="s">
        <v>517</v>
      </c>
      <c r="K7" s="327">
        <v>2384.4</v>
      </c>
      <c r="L7" s="327"/>
      <c r="M7" s="327">
        <v>2384.4</v>
      </c>
      <c r="N7" s="327"/>
      <c r="O7" s="329"/>
      <c r="P7" s="291" t="s">
        <v>517</v>
      </c>
      <c r="Q7" s="291">
        <v>1</v>
      </c>
      <c r="R7" s="291">
        <v>1</v>
      </c>
      <c r="S7" s="329"/>
      <c r="T7" s="291">
        <v>1</v>
      </c>
    </row>
    <row r="8" spans="1:20" ht="21.75" x14ac:dyDescent="0.25">
      <c r="A8" s="56"/>
      <c r="B8" s="56"/>
      <c r="C8" s="56"/>
      <c r="D8" s="57"/>
      <c r="E8" s="57"/>
      <c r="F8" s="58"/>
      <c r="G8" s="59"/>
      <c r="H8" s="59"/>
      <c r="J8" s="289" t="s">
        <v>514</v>
      </c>
      <c r="K8" s="291">
        <v>333.8</v>
      </c>
      <c r="L8" s="291">
        <f>K8/K7</f>
        <v>0.13999328971649053</v>
      </c>
      <c r="M8" s="291">
        <v>240.8</v>
      </c>
      <c r="N8" s="291">
        <f>M8/M7</f>
        <v>0.10098976681764804</v>
      </c>
      <c r="O8" s="290">
        <f>N8/L8</f>
        <v>0.72139005392450561</v>
      </c>
      <c r="P8" s="291" t="s">
        <v>514</v>
      </c>
      <c r="Q8" s="291">
        <v>0.22</v>
      </c>
      <c r="R8" s="291">
        <v>0.36</v>
      </c>
      <c r="S8" s="298">
        <v>0.72139005392450561</v>
      </c>
      <c r="T8" s="291">
        <f>R8*O8</f>
        <v>0.25970041941282201</v>
      </c>
    </row>
    <row r="9" spans="1:20" ht="42" customHeight="1" x14ac:dyDescent="0.25">
      <c r="A9" s="63" t="s">
        <v>14</v>
      </c>
      <c r="B9" s="319" t="s">
        <v>5</v>
      </c>
      <c r="C9" s="320"/>
      <c r="D9" s="319" t="s">
        <v>18</v>
      </c>
      <c r="E9" s="320"/>
      <c r="F9" s="65" t="s">
        <v>118</v>
      </c>
      <c r="G9" s="71" t="s">
        <v>16</v>
      </c>
      <c r="H9" s="90" t="s">
        <v>298</v>
      </c>
      <c r="J9" s="289" t="s">
        <v>515</v>
      </c>
      <c r="K9" s="291">
        <v>29254</v>
      </c>
      <c r="L9" s="291">
        <f>K9/K8</f>
        <v>87.639304973037738</v>
      </c>
      <c r="M9" s="291">
        <v>16595</v>
      </c>
      <c r="N9" s="291">
        <f>M9/M8</f>
        <v>68.916112956810622</v>
      </c>
      <c r="O9" s="290">
        <f>N9/L9</f>
        <v>0.7863607884386199</v>
      </c>
      <c r="P9" s="291" t="s">
        <v>515</v>
      </c>
      <c r="Q9" s="291">
        <v>120</v>
      </c>
      <c r="R9" s="291">
        <v>115</v>
      </c>
      <c r="S9" s="298">
        <v>0.7863607884386199</v>
      </c>
      <c r="T9" s="291">
        <f>R9*O9</f>
        <v>90.431490670441292</v>
      </c>
    </row>
    <row r="10" spans="1:20" ht="21.75" x14ac:dyDescent="0.25">
      <c r="A10" s="66" t="s">
        <v>29</v>
      </c>
      <c r="B10" s="62">
        <v>3</v>
      </c>
      <c r="C10" s="62" t="s">
        <v>305</v>
      </c>
      <c r="D10" s="67">
        <f>(D11/AREAS!G24)*B10</f>
        <v>8585.7909579013831</v>
      </c>
      <c r="E10" s="67" t="s">
        <v>2</v>
      </c>
      <c r="F10" s="88">
        <v>110</v>
      </c>
      <c r="G10" s="89">
        <f>F10*D10</f>
        <v>944437.00536915218</v>
      </c>
      <c r="H10" s="67"/>
      <c r="J10" s="289" t="s">
        <v>516</v>
      </c>
      <c r="K10" s="291">
        <v>2414.1999999999998</v>
      </c>
      <c r="L10" s="291">
        <f>K10/K7</f>
        <v>1.0124979030364032</v>
      </c>
      <c r="M10" s="291">
        <v>55.32</v>
      </c>
      <c r="N10" s="291">
        <f>M10/M7</f>
        <v>2.3200805234021137E-2</v>
      </c>
      <c r="O10" s="290">
        <f>N10/L10</f>
        <v>2.2914422997266176E-2</v>
      </c>
      <c r="P10" s="291" t="s">
        <v>516</v>
      </c>
      <c r="Q10" s="291">
        <v>2.5</v>
      </c>
      <c r="R10" s="291">
        <v>2.2000000000000002</v>
      </c>
      <c r="S10" s="298">
        <v>2.2914422997266176E-2</v>
      </c>
      <c r="T10" s="291">
        <f>R10-R10*O10</f>
        <v>2.1495882694060144</v>
      </c>
    </row>
    <row r="11" spans="1:20" ht="21.75" x14ac:dyDescent="0.25">
      <c r="A11" s="78" t="s">
        <v>30</v>
      </c>
      <c r="B11" s="62">
        <f>T10</f>
        <v>2.1495882694060144</v>
      </c>
      <c r="C11" s="62" t="s">
        <v>37</v>
      </c>
      <c r="D11" s="67">
        <f>B11*AREAS!G5</f>
        <v>82995.979259713364</v>
      </c>
      <c r="E11" s="67" t="s">
        <v>2</v>
      </c>
      <c r="F11" s="88">
        <v>2.5</v>
      </c>
      <c r="G11" s="89">
        <f>F11*D11</f>
        <v>207489.94814928342</v>
      </c>
      <c r="H11" s="67"/>
    </row>
    <row r="12" spans="1:20" ht="21.75" x14ac:dyDescent="0.25">
      <c r="A12" s="78" t="s">
        <v>316</v>
      </c>
      <c r="B12" s="62">
        <v>4</v>
      </c>
      <c r="C12" s="62" t="s">
        <v>164</v>
      </c>
      <c r="D12" s="67">
        <f>AREAS!G5-AREAS!G8</f>
        <v>32415.385000000002</v>
      </c>
      <c r="E12" s="67" t="s">
        <v>2</v>
      </c>
      <c r="F12" s="88">
        <v>25</v>
      </c>
      <c r="G12" s="89">
        <f>F12*D12*1.1</f>
        <v>891423.08750000002</v>
      </c>
      <c r="H12" s="67"/>
      <c r="I12" s="196"/>
    </row>
    <row r="13" spans="1:20" ht="21.75" x14ac:dyDescent="0.25">
      <c r="A13" s="66" t="s">
        <v>99</v>
      </c>
      <c r="B13" s="62">
        <f>T8</f>
        <v>0.25970041941282201</v>
      </c>
      <c r="C13" s="62" t="s">
        <v>38</v>
      </c>
      <c r="D13" s="67">
        <f>B13*AREAS!G5</f>
        <v>10027.078641102456</v>
      </c>
      <c r="E13" s="67" t="s">
        <v>22</v>
      </c>
      <c r="F13" s="88">
        <f>514+44</f>
        <v>558</v>
      </c>
      <c r="G13" s="89">
        <f>F13*D13*1.05</f>
        <v>5874865.3758219294</v>
      </c>
      <c r="H13" s="67"/>
    </row>
    <row r="14" spans="1:20" ht="21.75" x14ac:dyDescent="0.25">
      <c r="A14" s="66" t="s">
        <v>31</v>
      </c>
      <c r="B14" s="62">
        <f>T9</f>
        <v>90.431490670441292</v>
      </c>
      <c r="C14" s="62" t="s">
        <v>34</v>
      </c>
      <c r="D14" s="67">
        <f>D13*B14</f>
        <v>906763.66858463793</v>
      </c>
      <c r="E14" s="67" t="s">
        <v>26</v>
      </c>
      <c r="F14" s="88">
        <v>7.62</v>
      </c>
      <c r="G14" s="89">
        <f>F14*D14</f>
        <v>6909539.1546149412</v>
      </c>
      <c r="H14" s="67"/>
    </row>
    <row r="15" spans="1:20" ht="21.75" x14ac:dyDescent="0.25">
      <c r="A15" s="66" t="s">
        <v>521</v>
      </c>
      <c r="B15" s="62"/>
      <c r="C15" s="62"/>
      <c r="D15" s="67">
        <f>AREAS!G5-AREAS!G8</f>
        <v>32415.385000000002</v>
      </c>
      <c r="E15" s="67" t="s">
        <v>120</v>
      </c>
      <c r="F15" s="88">
        <f>71.8/2</f>
        <v>35.9</v>
      </c>
      <c r="G15" s="89">
        <f>F15*D15</f>
        <v>1163712.3215000001</v>
      </c>
      <c r="H15" s="67"/>
    </row>
    <row r="16" spans="1:20" ht="43.5" x14ac:dyDescent="0.25">
      <c r="A16" s="66" t="s">
        <v>101</v>
      </c>
      <c r="B16" s="62">
        <v>210</v>
      </c>
      <c r="C16" s="62" t="s">
        <v>6</v>
      </c>
      <c r="D16" s="67">
        <f>AREAS!G5</f>
        <v>38610.175000000003</v>
      </c>
      <c r="E16" s="67" t="s">
        <v>2</v>
      </c>
      <c r="F16" s="88">
        <v>210</v>
      </c>
      <c r="G16" s="89">
        <f>F16*D16*1.1</f>
        <v>8918950.4250000026</v>
      </c>
      <c r="H16" s="67"/>
    </row>
    <row r="17" spans="1:13" ht="43.5" x14ac:dyDescent="0.25">
      <c r="A17" s="66" t="s">
        <v>302</v>
      </c>
      <c r="B17" s="62">
        <v>1500</v>
      </c>
      <c r="C17" s="62" t="s">
        <v>303</v>
      </c>
      <c r="D17" s="67">
        <v>1</v>
      </c>
      <c r="E17" s="67" t="s">
        <v>27</v>
      </c>
      <c r="F17" s="88">
        <f>B17*AREAS!G28</f>
        <v>1024650</v>
      </c>
      <c r="G17" s="89">
        <f>F17*D17*1.1</f>
        <v>1127115</v>
      </c>
      <c r="H17" s="67" t="s">
        <v>304</v>
      </c>
      <c r="I17" s="55" t="s">
        <v>307</v>
      </c>
    </row>
    <row r="18" spans="1:13" ht="21.75" x14ac:dyDescent="0.25">
      <c r="A18" s="314" t="s">
        <v>17</v>
      </c>
      <c r="B18" s="314"/>
      <c r="C18" s="314"/>
      <c r="D18" s="314"/>
      <c r="E18" s="314"/>
      <c r="F18" s="314"/>
      <c r="G18" s="90">
        <f>SUM(G10:G17)</f>
        <v>26037532.317955308</v>
      </c>
      <c r="H18" s="90"/>
      <c r="K18" s="55">
        <f>4160+1440+1120+2880+4800+91680+4000</f>
        <v>110080</v>
      </c>
      <c r="M18" s="55">
        <f>K18/21</f>
        <v>5241.9047619047615</v>
      </c>
    </row>
    <row r="19" spans="1:13" ht="21.75" x14ac:dyDescent="0.25">
      <c r="A19" s="52" t="s">
        <v>523</v>
      </c>
      <c r="B19" s="52"/>
      <c r="C19" s="52"/>
      <c r="D19" s="53"/>
      <c r="E19" s="53"/>
      <c r="F19" s="54"/>
      <c r="G19" s="53"/>
      <c r="H19" s="53"/>
    </row>
    <row r="20" spans="1:13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3" ht="21.75" x14ac:dyDescent="0.25">
      <c r="A21" s="63" t="s">
        <v>14</v>
      </c>
      <c r="B21" s="319" t="s">
        <v>5</v>
      </c>
      <c r="C21" s="320"/>
      <c r="D21" s="319" t="s">
        <v>18</v>
      </c>
      <c r="E21" s="320"/>
      <c r="F21" s="65" t="s">
        <v>118</v>
      </c>
      <c r="G21" s="71" t="s">
        <v>16</v>
      </c>
      <c r="H21" s="90" t="s">
        <v>298</v>
      </c>
    </row>
    <row r="22" spans="1:13" ht="21.75" x14ac:dyDescent="0.25">
      <c r="A22" s="66" t="s">
        <v>29</v>
      </c>
      <c r="B22" s="62">
        <v>3</v>
      </c>
      <c r="C22" s="62" t="s">
        <v>305</v>
      </c>
      <c r="D22" s="67">
        <f>(D23/AREAS!H24)*B22</f>
        <v>5129.61522718181</v>
      </c>
      <c r="E22" s="67" t="s">
        <v>2</v>
      </c>
      <c r="F22" s="88">
        <v>110</v>
      </c>
      <c r="G22" s="89">
        <f>F22*D22</f>
        <v>564257.67498999916</v>
      </c>
      <c r="H22" s="67"/>
    </row>
    <row r="23" spans="1:13" ht="21.75" x14ac:dyDescent="0.25">
      <c r="A23" s="78" t="s">
        <v>30</v>
      </c>
      <c r="B23" s="62">
        <f>B11</f>
        <v>2.1495882694060144</v>
      </c>
      <c r="C23" s="62" t="s">
        <v>37</v>
      </c>
      <c r="D23" s="67">
        <f>B23*AREAS!H5</f>
        <v>73524.484922939271</v>
      </c>
      <c r="E23" s="67" t="s">
        <v>2</v>
      </c>
      <c r="F23" s="88">
        <v>2.5</v>
      </c>
      <c r="G23" s="89">
        <f>F23*D23</f>
        <v>183811.21230734818</v>
      </c>
      <c r="H23" s="67"/>
    </row>
    <row r="24" spans="1:13" ht="21.75" x14ac:dyDescent="0.25">
      <c r="A24" s="78" t="s">
        <v>316</v>
      </c>
      <c r="B24" s="62">
        <v>4</v>
      </c>
      <c r="C24" s="62" t="s">
        <v>164</v>
      </c>
      <c r="D24" s="67">
        <f>AREAS!H5</f>
        <v>34203.985000000001</v>
      </c>
      <c r="E24" s="67" t="s">
        <v>2</v>
      </c>
      <c r="F24" s="88">
        <v>25</v>
      </c>
      <c r="G24" s="89">
        <f>F24*D24*1.1</f>
        <v>940609.58750000002</v>
      </c>
      <c r="H24" s="67"/>
    </row>
    <row r="25" spans="1:13" ht="21.75" x14ac:dyDescent="0.25">
      <c r="A25" s="66" t="s">
        <v>99</v>
      </c>
      <c r="B25" s="62">
        <f>B13</f>
        <v>0.25970041941282201</v>
      </c>
      <c r="C25" s="62" t="s">
        <v>38</v>
      </c>
      <c r="D25" s="67">
        <f>B25*AREAS!H5</f>
        <v>8882.7892500898724</v>
      </c>
      <c r="E25" s="67" t="s">
        <v>22</v>
      </c>
      <c r="F25" s="88">
        <f>F13</f>
        <v>558</v>
      </c>
      <c r="G25" s="89">
        <f>F25*D25*1.05</f>
        <v>5204426.2216276564</v>
      </c>
      <c r="H25" s="67"/>
    </row>
    <row r="26" spans="1:13" ht="21.75" x14ac:dyDescent="0.25">
      <c r="A26" s="66" t="s">
        <v>31</v>
      </c>
      <c r="B26" s="62">
        <f>B14</f>
        <v>90.431490670441292</v>
      </c>
      <c r="C26" s="62" t="s">
        <v>34</v>
      </c>
      <c r="D26" s="67">
        <f>D25*B26</f>
        <v>803283.87319699849</v>
      </c>
      <c r="E26" s="67" t="s">
        <v>26</v>
      </c>
      <c r="F26" s="88">
        <v>7.62</v>
      </c>
      <c r="G26" s="89">
        <f>F26*D26</f>
        <v>6121023.1137611289</v>
      </c>
      <c r="H26" s="67"/>
    </row>
    <row r="27" spans="1:13" ht="21.75" x14ac:dyDescent="0.25">
      <c r="A27" s="66" t="s">
        <v>521</v>
      </c>
      <c r="B27" s="62"/>
      <c r="C27" s="62"/>
      <c r="D27" s="67">
        <f>AREAS!H5</f>
        <v>34203.985000000001</v>
      </c>
      <c r="E27" s="67" t="s">
        <v>2</v>
      </c>
      <c r="F27" s="88">
        <f>71.8/2</f>
        <v>35.9</v>
      </c>
      <c r="G27" s="89">
        <f>F27*D27*1.1</f>
        <v>1350715.3676500001</v>
      </c>
      <c r="H27" s="67"/>
    </row>
    <row r="28" spans="1:13" ht="43.5" x14ac:dyDescent="0.25">
      <c r="A28" s="66" t="s">
        <v>101</v>
      </c>
      <c r="B28" s="62">
        <v>210</v>
      </c>
      <c r="C28" s="62" t="s">
        <v>6</v>
      </c>
      <c r="D28" s="67">
        <f>AREAS!H5</f>
        <v>34203.985000000001</v>
      </c>
      <c r="E28" s="67" t="s">
        <v>2</v>
      </c>
      <c r="F28" s="88">
        <v>210</v>
      </c>
      <c r="G28" s="89">
        <f>F28*D28*1.1</f>
        <v>7901120.5350000011</v>
      </c>
      <c r="H28" s="67"/>
    </row>
    <row r="29" spans="1:13" ht="43.5" x14ac:dyDescent="0.25">
      <c r="A29" s="66" t="s">
        <v>302</v>
      </c>
      <c r="B29" s="62">
        <v>1500</v>
      </c>
      <c r="C29" s="62" t="s">
        <v>303</v>
      </c>
      <c r="D29" s="67">
        <v>1</v>
      </c>
      <c r="E29" s="67" t="s">
        <v>27</v>
      </c>
      <c r="F29" s="88">
        <f>B29*AREAS!H28</f>
        <v>1043025</v>
      </c>
      <c r="G29" s="89">
        <f>F29*D29*1.1</f>
        <v>1147327.5</v>
      </c>
      <c r="H29" s="67" t="s">
        <v>304</v>
      </c>
    </row>
    <row r="30" spans="1:13" ht="21.75" x14ac:dyDescent="0.25">
      <c r="A30" s="314" t="s">
        <v>17</v>
      </c>
      <c r="B30" s="314"/>
      <c r="C30" s="314"/>
      <c r="D30" s="314"/>
      <c r="E30" s="314"/>
      <c r="F30" s="314"/>
      <c r="G30" s="90">
        <f>SUM(G22:G29)</f>
        <v>23413291.212836135</v>
      </c>
      <c r="H30" s="90"/>
    </row>
    <row r="32" spans="1:13" ht="21.75" hidden="1" customHeight="1" x14ac:dyDescent="0.25">
      <c r="A32" s="52" t="s">
        <v>364</v>
      </c>
      <c r="B32" s="52"/>
      <c r="C32" s="52"/>
      <c r="D32" s="53"/>
      <c r="E32" s="53"/>
      <c r="F32" s="54"/>
      <c r="G32" s="53"/>
      <c r="H32" s="53"/>
    </row>
    <row r="33" spans="1:8" ht="21.75" hidden="1" customHeight="1" x14ac:dyDescent="0.25">
      <c r="A33" s="56"/>
      <c r="B33" s="56"/>
      <c r="C33" s="56"/>
      <c r="D33" s="57"/>
      <c r="E33" s="57"/>
      <c r="F33" s="58"/>
      <c r="G33" s="59"/>
      <c r="H33" s="59"/>
    </row>
    <row r="34" spans="1:8" ht="21.75" hidden="1" customHeight="1" x14ac:dyDescent="0.25">
      <c r="A34" s="63" t="s">
        <v>14</v>
      </c>
      <c r="B34" s="319" t="s">
        <v>5</v>
      </c>
      <c r="C34" s="320"/>
      <c r="D34" s="319" t="s">
        <v>18</v>
      </c>
      <c r="E34" s="320"/>
      <c r="F34" s="65" t="s">
        <v>118</v>
      </c>
      <c r="G34" s="71" t="s">
        <v>16</v>
      </c>
      <c r="H34" s="90" t="s">
        <v>298</v>
      </c>
    </row>
    <row r="35" spans="1:8" ht="21.75" hidden="1" customHeight="1" x14ac:dyDescent="0.25">
      <c r="A35" s="66" t="s">
        <v>29</v>
      </c>
      <c r="B35" s="62">
        <v>2</v>
      </c>
      <c r="C35" s="62" t="s">
        <v>305</v>
      </c>
      <c r="D35" s="67">
        <f>(D36/DADOS_INICIAIS!$F$27)*B35</f>
        <v>7383.1220000000003</v>
      </c>
      <c r="E35" s="67" t="s">
        <v>2</v>
      </c>
      <c r="F35" s="88">
        <v>110</v>
      </c>
      <c r="G35" s="89">
        <f>F35*D35*1.1</f>
        <v>893357.7620000001</v>
      </c>
      <c r="H35" s="67"/>
    </row>
    <row r="36" spans="1:8" ht="21.75" hidden="1" customHeight="1" x14ac:dyDescent="0.25">
      <c r="A36" s="78" t="s">
        <v>30</v>
      </c>
      <c r="B36" s="62">
        <v>2.1</v>
      </c>
      <c r="C36" s="62" t="s">
        <v>37</v>
      </c>
      <c r="D36" s="67">
        <f>B36*DADOS_INICIAIS!$F$9</f>
        <v>155045.56200000001</v>
      </c>
      <c r="E36" s="67" t="s">
        <v>2</v>
      </c>
      <c r="F36" s="88">
        <v>2.5</v>
      </c>
      <c r="G36" s="89">
        <f>F36*D36*1.1</f>
        <v>426375.29550000007</v>
      </c>
      <c r="H36" s="67"/>
    </row>
    <row r="37" spans="1:8" ht="21.75" hidden="1" customHeight="1" x14ac:dyDescent="0.25">
      <c r="A37" s="78" t="s">
        <v>316</v>
      </c>
      <c r="B37" s="62">
        <v>3</v>
      </c>
      <c r="C37" s="62" t="s">
        <v>163</v>
      </c>
      <c r="D37" s="67">
        <f>ROUNDUP(B37*DADOS_INICIAIS!$F$37*B35,0)</f>
        <v>28080</v>
      </c>
      <c r="E37" s="67" t="s">
        <v>3</v>
      </c>
      <c r="F37" s="88">
        <f>17</f>
        <v>17</v>
      </c>
      <c r="G37" s="89">
        <f>F37*D37*1.1</f>
        <v>525096</v>
      </c>
      <c r="H37" s="67"/>
    </row>
    <row r="38" spans="1:8" ht="21.75" hidden="1" customHeight="1" x14ac:dyDescent="0.25">
      <c r="A38" s="66" t="s">
        <v>116</v>
      </c>
      <c r="B38" s="62">
        <v>25</v>
      </c>
      <c r="C38" s="62" t="s">
        <v>6</v>
      </c>
      <c r="D38" s="67">
        <v>1</v>
      </c>
      <c r="E38" s="67" t="s">
        <v>27</v>
      </c>
      <c r="F38" s="88">
        <f>B38*DADOS_INICIAIS!$F$9</f>
        <v>1845780.5</v>
      </c>
      <c r="G38" s="89">
        <f>F38*D38*1.1</f>
        <v>2030358.5500000003</v>
      </c>
      <c r="H38" s="67"/>
    </row>
    <row r="39" spans="1:8" ht="43.5" hidden="1" customHeight="1" x14ac:dyDescent="0.25">
      <c r="A39" s="78" t="s">
        <v>348</v>
      </c>
      <c r="B39" s="201">
        <f>12.3*0.8</f>
        <v>9.8400000000000016</v>
      </c>
      <c r="C39" s="201" t="s">
        <v>346</v>
      </c>
      <c r="D39" s="67">
        <f>(DADOS_INICIAIS!$F$28+DADOS_INICIAIS!$F$29)*DADOS_INICIAIS!$F$31+DADOS_INICIAIS!$F$34</f>
        <v>45073.968000000001</v>
      </c>
      <c r="E39" s="67" t="s">
        <v>2</v>
      </c>
      <c r="F39" s="88">
        <f>B39</f>
        <v>9.8400000000000016</v>
      </c>
      <c r="G39" s="89">
        <f t="shared" ref="G39:G40" si="0">F39*D39*1.1</f>
        <v>487880.62963200011</v>
      </c>
      <c r="H39" s="67"/>
    </row>
    <row r="40" spans="1:8" ht="43.5" hidden="1" customHeight="1" x14ac:dyDescent="0.25">
      <c r="A40" s="78" t="s">
        <v>349</v>
      </c>
      <c r="B40" s="201">
        <f>2.83*0.8</f>
        <v>2.2640000000000002</v>
      </c>
      <c r="C40" s="201" t="s">
        <v>347</v>
      </c>
      <c r="D40" s="67">
        <f>B40*D39</f>
        <v>102047.46355200002</v>
      </c>
      <c r="E40" s="67" t="s">
        <v>26</v>
      </c>
      <c r="F40" s="88">
        <v>12.3</v>
      </c>
      <c r="G40" s="89">
        <f t="shared" si="0"/>
        <v>1380702.1818585605</v>
      </c>
      <c r="H40" s="67"/>
    </row>
    <row r="41" spans="1:8" ht="21.75" hidden="1" customHeight="1" x14ac:dyDescent="0.25">
      <c r="A41" s="66" t="s">
        <v>350</v>
      </c>
      <c r="B41" s="201">
        <v>9000</v>
      </c>
      <c r="C41" s="201" t="s">
        <v>351</v>
      </c>
      <c r="D41" s="67">
        <f>DADOS_INICIAIS!F27</f>
        <v>42</v>
      </c>
      <c r="E41" s="67" t="s">
        <v>352</v>
      </c>
      <c r="F41" s="88">
        <f>B41</f>
        <v>9000</v>
      </c>
      <c r="G41" s="89">
        <f>F41*D41*1.1</f>
        <v>415800.00000000006</v>
      </c>
      <c r="H41" s="67"/>
    </row>
    <row r="42" spans="1:8" ht="21.75" hidden="1" x14ac:dyDescent="0.25">
      <c r="A42" s="66" t="s">
        <v>99</v>
      </c>
      <c r="B42" s="62">
        <v>0.18</v>
      </c>
      <c r="C42" s="62" t="s">
        <v>38</v>
      </c>
      <c r="D42" s="67">
        <f>B42*DADOS_INICIAIS!$F$9</f>
        <v>13289.6196</v>
      </c>
      <c r="E42" s="67" t="s">
        <v>22</v>
      </c>
      <c r="F42" s="88">
        <f>535+45</f>
        <v>580</v>
      </c>
      <c r="G42" s="89">
        <f>F42*D42*1.05*1.1</f>
        <v>8902716.1700400002</v>
      </c>
      <c r="H42" s="67"/>
    </row>
    <row r="43" spans="1:8" ht="21.75" hidden="1" x14ac:dyDescent="0.25">
      <c r="A43" s="66" t="s">
        <v>355</v>
      </c>
      <c r="B43" s="76">
        <v>0.2</v>
      </c>
      <c r="C43" s="62"/>
      <c r="D43" s="67">
        <f>B43*D42</f>
        <v>2657.9239200000002</v>
      </c>
      <c r="E43" s="67" t="s">
        <v>22</v>
      </c>
      <c r="F43" s="88">
        <f>1.22*F42-F42</f>
        <v>127.60000000000002</v>
      </c>
      <c r="G43" s="89">
        <f>F43*D43*1.05*1.1</f>
        <v>391719.51148176019</v>
      </c>
      <c r="H43" s="67"/>
    </row>
    <row r="44" spans="1:8" ht="21.75" hidden="1" x14ac:dyDescent="0.25">
      <c r="A44" s="66" t="s">
        <v>31</v>
      </c>
      <c r="B44" s="62">
        <v>110</v>
      </c>
      <c r="C44" s="62" t="s">
        <v>34</v>
      </c>
      <c r="D44" s="67">
        <f>D42*B44-D40</f>
        <v>1359810.692448</v>
      </c>
      <c r="E44" s="67" t="s">
        <v>26</v>
      </c>
      <c r="F44" s="88">
        <v>7.62</v>
      </c>
      <c r="G44" s="89">
        <f>F44*D44*1.1</f>
        <v>11397933.224099137</v>
      </c>
      <c r="H44" s="67"/>
    </row>
    <row r="45" spans="1:8" ht="43.5" hidden="1" x14ac:dyDescent="0.25">
      <c r="A45" s="66" t="s">
        <v>101</v>
      </c>
      <c r="B45" s="62">
        <v>240</v>
      </c>
      <c r="C45" s="62" t="s">
        <v>6</v>
      </c>
      <c r="D45" s="67">
        <f>DADOS_INICIAIS!$F$9</f>
        <v>73831.22</v>
      </c>
      <c r="E45" s="67" t="s">
        <v>2</v>
      </c>
      <c r="F45" s="88">
        <f>B45</f>
        <v>240</v>
      </c>
      <c r="G45" s="89">
        <f>F45*D45*1.1</f>
        <v>19491442.080000002</v>
      </c>
      <c r="H45" s="67"/>
    </row>
    <row r="46" spans="1:8" ht="43.5" hidden="1" x14ac:dyDescent="0.25">
      <c r="A46" s="66" t="s">
        <v>302</v>
      </c>
      <c r="B46" s="62">
        <v>5300</v>
      </c>
      <c r="C46" s="62" t="s">
        <v>303</v>
      </c>
      <c r="D46" s="67">
        <v>1</v>
      </c>
      <c r="E46" s="67" t="s">
        <v>27</v>
      </c>
      <c r="F46" s="88">
        <f>B46*DADOS_INICIAIS!$F$27</f>
        <v>222600</v>
      </c>
      <c r="G46" s="89">
        <f>F46*D46*1.1</f>
        <v>244860.00000000003</v>
      </c>
      <c r="H46" s="67" t="s">
        <v>304</v>
      </c>
    </row>
    <row r="47" spans="1:8" ht="21.75" hidden="1" x14ac:dyDescent="0.25">
      <c r="A47" s="314" t="s">
        <v>17</v>
      </c>
      <c r="B47" s="314"/>
      <c r="C47" s="314"/>
      <c r="D47" s="314"/>
      <c r="E47" s="314"/>
      <c r="F47" s="314"/>
      <c r="G47" s="90">
        <f>SUM(G35:G46)</f>
        <v>46588241.404611461</v>
      </c>
      <c r="H47" s="90"/>
    </row>
    <row r="48" spans="1:8" hidden="1" x14ac:dyDescent="0.25"/>
    <row r="49" spans="1:8" ht="21.75" hidden="1" x14ac:dyDescent="0.25">
      <c r="A49" s="52" t="s">
        <v>306</v>
      </c>
      <c r="B49" s="52"/>
      <c r="C49" s="52"/>
      <c r="D49" s="53"/>
      <c r="E49" s="53"/>
      <c r="F49" s="54"/>
      <c r="G49" s="53"/>
      <c r="H49" s="53"/>
    </row>
    <row r="50" spans="1:8" ht="21.75" hidden="1" x14ac:dyDescent="0.25">
      <c r="A50" s="56"/>
      <c r="B50" s="56"/>
      <c r="C50" s="56"/>
      <c r="D50" s="57"/>
      <c r="E50" s="57"/>
      <c r="F50" s="58"/>
      <c r="G50" s="59"/>
      <c r="H50" s="59"/>
    </row>
    <row r="51" spans="1:8" ht="21.75" hidden="1" x14ac:dyDescent="0.25">
      <c r="A51" s="63" t="s">
        <v>14</v>
      </c>
      <c r="B51" s="319" t="s">
        <v>5</v>
      </c>
      <c r="C51" s="320"/>
      <c r="D51" s="319" t="s">
        <v>18</v>
      </c>
      <c r="E51" s="320"/>
      <c r="F51" s="65" t="s">
        <v>118</v>
      </c>
      <c r="G51" s="71" t="s">
        <v>16</v>
      </c>
      <c r="H51" s="90" t="s">
        <v>298</v>
      </c>
    </row>
    <row r="52" spans="1:8" ht="21.75" hidden="1" x14ac:dyDescent="0.25">
      <c r="A52" s="66" t="s">
        <v>29</v>
      </c>
      <c r="B52" s="195">
        <v>2</v>
      </c>
      <c r="C52" s="195" t="s">
        <v>305</v>
      </c>
      <c r="D52" s="67">
        <f>(D53/DADOS_INICIAIS!$F$27)*B52</f>
        <v>0</v>
      </c>
      <c r="E52" s="67" t="s">
        <v>2</v>
      </c>
      <c r="F52" s="88">
        <v>85</v>
      </c>
      <c r="G52" s="89">
        <f>F52*D52*1.1</f>
        <v>0</v>
      </c>
      <c r="H52" s="67"/>
    </row>
    <row r="53" spans="1:8" ht="21.75" hidden="1" x14ac:dyDescent="0.25">
      <c r="A53" s="78" t="s">
        <v>30</v>
      </c>
      <c r="B53" s="195">
        <v>2.1</v>
      </c>
      <c r="C53" s="195" t="s">
        <v>37</v>
      </c>
      <c r="D53" s="67">
        <f>B53*DADOS_INICIAIS!F50</f>
        <v>0</v>
      </c>
      <c r="E53" s="67" t="s">
        <v>2</v>
      </c>
      <c r="F53" s="88">
        <v>1.5</v>
      </c>
      <c r="G53" s="89">
        <f>F53*D53*1.1</f>
        <v>0</v>
      </c>
      <c r="H53" s="67"/>
    </row>
    <row r="54" spans="1:8" ht="21.75" hidden="1" x14ac:dyDescent="0.25">
      <c r="A54" s="78" t="s">
        <v>32</v>
      </c>
      <c r="B54" s="195">
        <v>2</v>
      </c>
      <c r="C54" s="195" t="s">
        <v>163</v>
      </c>
      <c r="D54" s="67">
        <f>B54*DADOS_INICIAIS!F59*DADOS_INICIAIS!F56</f>
        <v>0</v>
      </c>
      <c r="E54" s="67" t="s">
        <v>3</v>
      </c>
      <c r="F54" s="88">
        <v>17</v>
      </c>
      <c r="G54" s="89">
        <f>F54*D54*1.1</f>
        <v>0</v>
      </c>
      <c r="H54" s="67"/>
    </row>
    <row r="55" spans="1:8" ht="21.75" hidden="1" x14ac:dyDescent="0.25">
      <c r="A55" s="78" t="s">
        <v>33</v>
      </c>
      <c r="B55" s="195">
        <v>2</v>
      </c>
      <c r="C55" s="195" t="s">
        <v>164</v>
      </c>
      <c r="D55" s="67">
        <f>B55*DADOS_INICIAIS!F62</f>
        <v>0</v>
      </c>
      <c r="E55" s="67" t="s">
        <v>3</v>
      </c>
      <c r="F55" s="88">
        <v>17</v>
      </c>
      <c r="G55" s="89">
        <f>F55*D55*1.1</f>
        <v>0</v>
      </c>
      <c r="H55" s="67"/>
    </row>
    <row r="56" spans="1:8" ht="21.75" hidden="1" x14ac:dyDescent="0.25">
      <c r="A56" s="66" t="s">
        <v>116</v>
      </c>
      <c r="B56" s="195">
        <v>25</v>
      </c>
      <c r="C56" s="195" t="s">
        <v>6</v>
      </c>
      <c r="D56" s="67">
        <f>B56*DADOS_INICIAIS!F50</f>
        <v>0</v>
      </c>
      <c r="E56" s="67" t="s">
        <v>22</v>
      </c>
      <c r="F56" s="88">
        <f>B56</f>
        <v>25</v>
      </c>
      <c r="G56" s="89">
        <f>F56*D56*1.1</f>
        <v>0</v>
      </c>
      <c r="H56" s="67"/>
    </row>
    <row r="57" spans="1:8" ht="21.75" hidden="1" x14ac:dyDescent="0.25">
      <c r="A57" s="66" t="s">
        <v>99</v>
      </c>
      <c r="B57" s="195">
        <v>0.25</v>
      </c>
      <c r="C57" s="195" t="s">
        <v>38</v>
      </c>
      <c r="D57" s="67">
        <f>B57*DADOS_INICIAIS!F50</f>
        <v>0</v>
      </c>
      <c r="E57" s="67" t="s">
        <v>22</v>
      </c>
      <c r="F57" s="88">
        <f>575</f>
        <v>575</v>
      </c>
      <c r="G57" s="89">
        <f>F57*D57*1.05*1.1</f>
        <v>0</v>
      </c>
      <c r="H57" s="67"/>
    </row>
    <row r="58" spans="1:8" ht="21.75" hidden="1" x14ac:dyDescent="0.25">
      <c r="A58" s="66" t="s">
        <v>31</v>
      </c>
      <c r="B58" s="195">
        <v>110</v>
      </c>
      <c r="C58" s="195" t="s">
        <v>34</v>
      </c>
      <c r="D58" s="67">
        <f>D57*B58</f>
        <v>0</v>
      </c>
      <c r="E58" s="67" t="s">
        <v>26</v>
      </c>
      <c r="F58" s="88">
        <v>7.25</v>
      </c>
      <c r="G58" s="89">
        <f>F58*D58*1.1</f>
        <v>0</v>
      </c>
      <c r="H58" s="67"/>
    </row>
    <row r="59" spans="1:8" ht="43.5" hidden="1" x14ac:dyDescent="0.25">
      <c r="A59" s="66" t="s">
        <v>101</v>
      </c>
      <c r="B59" s="195">
        <v>240</v>
      </c>
      <c r="C59" s="195" t="s">
        <v>6</v>
      </c>
      <c r="D59" s="67">
        <f>DADOS_INICIAIS!F50</f>
        <v>0</v>
      </c>
      <c r="E59" s="67" t="s">
        <v>2</v>
      </c>
      <c r="F59" s="88">
        <f>B59</f>
        <v>240</v>
      </c>
      <c r="G59" s="89">
        <f>F59*D59*1.1</f>
        <v>0</v>
      </c>
      <c r="H59" s="67"/>
    </row>
    <row r="60" spans="1:8" ht="43.5" hidden="1" x14ac:dyDescent="0.25">
      <c r="A60" s="66" t="s">
        <v>302</v>
      </c>
      <c r="B60" s="195">
        <v>5300</v>
      </c>
      <c r="C60" s="195" t="s">
        <v>303</v>
      </c>
      <c r="D60" s="67">
        <v>1</v>
      </c>
      <c r="E60" s="67" t="s">
        <v>27</v>
      </c>
      <c r="F60" s="88">
        <f>B60*DADOS_INICIAIS!F55</f>
        <v>0</v>
      </c>
      <c r="G60" s="89">
        <f>F60*D60*1.1</f>
        <v>0</v>
      </c>
      <c r="H60" s="67" t="s">
        <v>304</v>
      </c>
    </row>
    <row r="61" spans="1:8" ht="21.75" hidden="1" x14ac:dyDescent="0.25">
      <c r="A61" s="314" t="s">
        <v>17</v>
      </c>
      <c r="B61" s="314"/>
      <c r="C61" s="314"/>
      <c r="D61" s="314"/>
      <c r="E61" s="314"/>
      <c r="F61" s="314"/>
      <c r="G61" s="90">
        <f>SUM(G52:G60)</f>
        <v>0</v>
      </c>
      <c r="H61" s="90"/>
    </row>
    <row r="62" spans="1:8" hidden="1" x14ac:dyDescent="0.25"/>
    <row r="63" spans="1:8" ht="21.75" hidden="1" x14ac:dyDescent="0.25">
      <c r="A63" s="52" t="s">
        <v>345</v>
      </c>
      <c r="B63" s="52"/>
      <c r="C63" s="52"/>
      <c r="D63" s="53"/>
      <c r="E63" s="53"/>
      <c r="F63" s="54"/>
      <c r="G63" s="53"/>
      <c r="H63" s="53"/>
    </row>
    <row r="64" spans="1:8" ht="21.75" hidden="1" x14ac:dyDescent="0.25">
      <c r="A64" s="56"/>
      <c r="B64" s="56"/>
      <c r="C64" s="56"/>
      <c r="D64" s="57"/>
      <c r="E64" s="57"/>
      <c r="F64" s="58"/>
      <c r="G64" s="59"/>
      <c r="H64" s="59"/>
    </row>
    <row r="65" spans="1:8" ht="21.75" hidden="1" x14ac:dyDescent="0.25">
      <c r="A65" s="63" t="s">
        <v>14</v>
      </c>
      <c r="B65" s="319" t="s">
        <v>5</v>
      </c>
      <c r="C65" s="320"/>
      <c r="D65" s="319" t="s">
        <v>18</v>
      </c>
      <c r="E65" s="320"/>
      <c r="F65" s="65" t="s">
        <v>118</v>
      </c>
      <c r="G65" s="71" t="s">
        <v>16</v>
      </c>
      <c r="H65" s="90" t="s">
        <v>298</v>
      </c>
    </row>
    <row r="66" spans="1:8" ht="21.75" hidden="1" x14ac:dyDescent="0.25">
      <c r="A66" s="66" t="s">
        <v>29</v>
      </c>
      <c r="B66" s="62">
        <v>3</v>
      </c>
      <c r="C66" s="62" t="s">
        <v>305</v>
      </c>
      <c r="D66" s="67">
        <f>(D67/DADOS_INICIAIS!$F$27)*B66</f>
        <v>13184.146428571428</v>
      </c>
      <c r="E66" s="67" t="s">
        <v>2</v>
      </c>
      <c r="F66" s="88">
        <v>85</v>
      </c>
      <c r="G66" s="89">
        <f t="shared" ref="G66:G71" si="1">F66*D66*1.1</f>
        <v>1232717.6910714286</v>
      </c>
      <c r="H66" s="67"/>
    </row>
    <row r="67" spans="1:8" ht="21.75" hidden="1" x14ac:dyDescent="0.25">
      <c r="A67" s="78" t="s">
        <v>30</v>
      </c>
      <c r="B67" s="62">
        <v>2.5</v>
      </c>
      <c r="C67" s="62" t="s">
        <v>37</v>
      </c>
      <c r="D67" s="67">
        <f>B67*DADOS_INICIAIS!$F$9</f>
        <v>184578.05</v>
      </c>
      <c r="E67" s="67" t="s">
        <v>2</v>
      </c>
      <c r="F67" s="88">
        <v>1.5</v>
      </c>
      <c r="G67" s="89">
        <f t="shared" si="1"/>
        <v>304553.78249999997</v>
      </c>
      <c r="H67" s="67"/>
    </row>
    <row r="68" spans="1:8" ht="21.75" hidden="1" x14ac:dyDescent="0.25">
      <c r="A68" s="78" t="s">
        <v>316</v>
      </c>
      <c r="B68" s="62">
        <v>4</v>
      </c>
      <c r="C68" s="62" t="s">
        <v>164</v>
      </c>
      <c r="D68" s="67">
        <f>ROUNDUP(B68*DADOS_INICIAIS!$F$37*B66,0)</f>
        <v>56160</v>
      </c>
      <c r="E68" s="67" t="s">
        <v>3</v>
      </c>
      <c r="F68" s="88">
        <v>17</v>
      </c>
      <c r="G68" s="89">
        <f t="shared" si="1"/>
        <v>1050192</v>
      </c>
      <c r="H68" s="67"/>
    </row>
    <row r="69" spans="1:8" ht="21.75" hidden="1" x14ac:dyDescent="0.25">
      <c r="A69" s="78" t="s">
        <v>348</v>
      </c>
      <c r="B69" s="201">
        <v>12.3</v>
      </c>
      <c r="C69" s="201" t="s">
        <v>346</v>
      </c>
      <c r="D69" s="67">
        <f>(DADOS_INICIAIS!$F$28+DADOS_INICIAIS!$F$29)*DADOS_INICIAIS!$F$31+DADOS_INICIAIS!$F$34</f>
        <v>45073.968000000001</v>
      </c>
      <c r="E69" s="67" t="s">
        <v>2</v>
      </c>
      <c r="F69" s="88">
        <f>B69</f>
        <v>12.3</v>
      </c>
      <c r="G69" s="89">
        <f t="shared" si="1"/>
        <v>609850.78704000008</v>
      </c>
      <c r="H69" s="67"/>
    </row>
    <row r="70" spans="1:8" ht="21.75" hidden="1" x14ac:dyDescent="0.25">
      <c r="A70" s="78" t="s">
        <v>349</v>
      </c>
      <c r="B70" s="201">
        <v>2.83</v>
      </c>
      <c r="C70" s="201" t="s">
        <v>347</v>
      </c>
      <c r="D70" s="67">
        <f>B70*D69</f>
        <v>127559.32944</v>
      </c>
      <c r="E70" s="67" t="s">
        <v>26</v>
      </c>
      <c r="F70" s="88">
        <v>12.3</v>
      </c>
      <c r="G70" s="89">
        <f t="shared" si="1"/>
        <v>1725877.7273232001</v>
      </c>
      <c r="H70" s="67"/>
    </row>
    <row r="71" spans="1:8" ht="21.75" hidden="1" x14ac:dyDescent="0.25">
      <c r="A71" s="66" t="s">
        <v>350</v>
      </c>
      <c r="B71" s="201">
        <v>9000</v>
      </c>
      <c r="C71" s="201" t="s">
        <v>351</v>
      </c>
      <c r="D71" s="67">
        <f>DADOS_INICIAIS!F27</f>
        <v>42</v>
      </c>
      <c r="E71" s="67" t="s">
        <v>352</v>
      </c>
      <c r="F71" s="88">
        <f>B71</f>
        <v>9000</v>
      </c>
      <c r="G71" s="89">
        <f t="shared" si="1"/>
        <v>415800.00000000006</v>
      </c>
      <c r="H71" s="67"/>
    </row>
    <row r="72" spans="1:8" ht="21.75" hidden="1" x14ac:dyDescent="0.25">
      <c r="A72" s="66" t="s">
        <v>99</v>
      </c>
      <c r="B72" s="201">
        <v>0.25</v>
      </c>
      <c r="C72" s="201" t="s">
        <v>38</v>
      </c>
      <c r="D72" s="67">
        <f>B72*DADOS_INICIAIS!$F$9</f>
        <v>18457.805</v>
      </c>
      <c r="E72" s="67" t="s">
        <v>22</v>
      </c>
      <c r="F72" s="88">
        <f>535+45</f>
        <v>580</v>
      </c>
      <c r="G72" s="89">
        <f>F72*D72*1.05*1.1</f>
        <v>12364883.569500003</v>
      </c>
      <c r="H72" s="67"/>
    </row>
    <row r="73" spans="1:8" ht="21.75" hidden="1" x14ac:dyDescent="0.25">
      <c r="A73" s="66" t="s">
        <v>355</v>
      </c>
      <c r="B73" s="76">
        <v>0.2</v>
      </c>
      <c r="C73" s="62"/>
      <c r="D73" s="67">
        <f>B73*D72</f>
        <v>3691.5610000000001</v>
      </c>
      <c r="E73" s="67" t="s">
        <v>22</v>
      </c>
      <c r="F73" s="88">
        <f>1.22*F72-F72</f>
        <v>127.60000000000002</v>
      </c>
      <c r="G73" s="89">
        <f>F73*D73*1.05*1.1</f>
        <v>544054.87705800019</v>
      </c>
      <c r="H73" s="67"/>
    </row>
    <row r="74" spans="1:8" ht="21.75" hidden="1" x14ac:dyDescent="0.25">
      <c r="A74" s="66" t="s">
        <v>31</v>
      </c>
      <c r="B74" s="201">
        <v>110</v>
      </c>
      <c r="C74" s="201" t="s">
        <v>34</v>
      </c>
      <c r="D74" s="67">
        <f>D72*B74-D70</f>
        <v>1902799.22056</v>
      </c>
      <c r="E74" s="67" t="s">
        <v>26</v>
      </c>
      <c r="F74" s="88">
        <v>7.62</v>
      </c>
      <c r="G74" s="89">
        <f>F74*D74*1.1</f>
        <v>15949263.066733921</v>
      </c>
      <c r="H74" s="67"/>
    </row>
    <row r="75" spans="1:8" ht="43.5" hidden="1" x14ac:dyDescent="0.25">
      <c r="A75" s="66" t="s">
        <v>101</v>
      </c>
      <c r="B75" s="62">
        <v>240</v>
      </c>
      <c r="C75" s="62" t="s">
        <v>6</v>
      </c>
      <c r="D75" s="67">
        <f>DADOS_INICIAIS!$F$9</f>
        <v>73831.22</v>
      </c>
      <c r="E75" s="67" t="s">
        <v>2</v>
      </c>
      <c r="F75" s="88">
        <f>B75</f>
        <v>240</v>
      </c>
      <c r="G75" s="89">
        <f>F75*D75*1.1</f>
        <v>19491442.080000002</v>
      </c>
      <c r="H75" s="67"/>
    </row>
    <row r="76" spans="1:8" ht="43.5" hidden="1" x14ac:dyDescent="0.25">
      <c r="A76" s="66" t="s">
        <v>302</v>
      </c>
      <c r="B76" s="62">
        <v>5300</v>
      </c>
      <c r="C76" s="62" t="s">
        <v>303</v>
      </c>
      <c r="D76" s="67">
        <v>1</v>
      </c>
      <c r="E76" s="67" t="s">
        <v>27</v>
      </c>
      <c r="F76" s="88">
        <f>B76*DADOS_INICIAIS!$F$27</f>
        <v>222600</v>
      </c>
      <c r="G76" s="89">
        <f>F76*D76*1.1</f>
        <v>244860.00000000003</v>
      </c>
      <c r="H76" s="67" t="s">
        <v>304</v>
      </c>
    </row>
    <row r="77" spans="1:8" ht="21.75" hidden="1" x14ac:dyDescent="0.25">
      <c r="A77" s="314" t="s">
        <v>17</v>
      </c>
      <c r="B77" s="314"/>
      <c r="C77" s="314"/>
      <c r="D77" s="314"/>
      <c r="E77" s="314"/>
      <c r="F77" s="314"/>
      <c r="G77" s="90">
        <f>SUM(G66:G76)</f>
        <v>53933495.581226557</v>
      </c>
      <c r="H77" s="90"/>
    </row>
    <row r="78" spans="1:8" hidden="1" x14ac:dyDescent="0.25"/>
    <row r="80" spans="1:8" ht="21.75" x14ac:dyDescent="0.25">
      <c r="A80" s="324" t="s">
        <v>105</v>
      </c>
      <c r="B80" s="325"/>
      <c r="C80" s="325"/>
      <c r="D80" s="325"/>
      <c r="E80" s="325"/>
      <c r="F80" s="326"/>
      <c r="G80" s="91">
        <f>G30+G18</f>
        <v>49450823.530791447</v>
      </c>
      <c r="H80" s="91">
        <f>G80/(AREAS!G5+AREAS!H5)</f>
        <v>679.13745802727715</v>
      </c>
    </row>
    <row r="82" spans="7:7" x14ac:dyDescent="0.25">
      <c r="G82" s="196"/>
    </row>
  </sheetData>
  <mergeCells count="21">
    <mergeCell ref="K7:L7"/>
    <mergeCell ref="M7:N7"/>
    <mergeCell ref="O6:O7"/>
    <mergeCell ref="S6:S7"/>
    <mergeCell ref="A80:F80"/>
    <mergeCell ref="A47:F47"/>
    <mergeCell ref="B51:C51"/>
    <mergeCell ref="D51:E51"/>
    <mergeCell ref="A61:F61"/>
    <mergeCell ref="B65:C65"/>
    <mergeCell ref="D65:E65"/>
    <mergeCell ref="A77:F77"/>
    <mergeCell ref="A3:H3"/>
    <mergeCell ref="B9:C9"/>
    <mergeCell ref="D9:E9"/>
    <mergeCell ref="B34:C34"/>
    <mergeCell ref="D34:E34"/>
    <mergeCell ref="B21:C21"/>
    <mergeCell ref="D21:E21"/>
    <mergeCell ref="A30:F30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53"/>
  <sheetViews>
    <sheetView showGridLines="0" topLeftCell="A22" zoomScale="80" zoomScaleNormal="80" zoomScaleSheetLayoutView="95" workbookViewId="0">
      <selection activeCell="G30" sqref="G30:G3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15" t="s">
        <v>308</v>
      </c>
      <c r="B3" s="323"/>
      <c r="C3" s="323"/>
      <c r="D3" s="316"/>
      <c r="E3" s="316"/>
      <c r="F3" s="316"/>
      <c r="G3" s="316"/>
      <c r="H3" s="317"/>
      <c r="J3" s="79"/>
    </row>
    <row r="4" spans="1:10" ht="19.5" x14ac:dyDescent="0.25">
      <c r="A4" s="187" t="s">
        <v>184</v>
      </c>
      <c r="B4" s="193">
        <v>45457</v>
      </c>
      <c r="C4" s="191"/>
      <c r="D4" s="191"/>
      <c r="E4" s="191"/>
      <c r="F4" s="191"/>
      <c r="G4" s="191"/>
      <c r="H4" s="192"/>
      <c r="J4" s="79"/>
    </row>
    <row r="5" spans="1:10" ht="19.5" x14ac:dyDescent="0.25">
      <c r="A5" s="187" t="s">
        <v>295</v>
      </c>
      <c r="B5" s="194" t="s">
        <v>213</v>
      </c>
      <c r="C5" s="189"/>
      <c r="D5" s="189"/>
      <c r="E5" s="189"/>
      <c r="F5" s="189"/>
      <c r="G5" s="189"/>
      <c r="H5" s="190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386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19" t="s">
        <v>5</v>
      </c>
      <c r="C9" s="320"/>
      <c r="D9" s="319" t="s">
        <v>18</v>
      </c>
      <c r="E9" s="320"/>
      <c r="F9" s="65" t="s">
        <v>118</v>
      </c>
      <c r="G9" s="71" t="s">
        <v>16</v>
      </c>
      <c r="H9" s="90" t="s">
        <v>298</v>
      </c>
    </row>
    <row r="10" spans="1:10" ht="21.75" x14ac:dyDescent="0.25">
      <c r="A10" s="66" t="s">
        <v>181</v>
      </c>
      <c r="B10" s="62">
        <v>1</v>
      </c>
      <c r="C10" s="62" t="s">
        <v>180</v>
      </c>
      <c r="D10" s="67">
        <f>B10*AREAS!G31</f>
        <v>10367.69</v>
      </c>
      <c r="E10" s="67" t="s">
        <v>2</v>
      </c>
      <c r="F10" s="88">
        <v>45</v>
      </c>
      <c r="G10" s="89">
        <f>F10*D10*1.1</f>
        <v>513200.65500000009</v>
      </c>
      <c r="H10" s="67"/>
    </row>
    <row r="11" spans="1:10" ht="21.75" x14ac:dyDescent="0.25">
      <c r="A11" s="78" t="s">
        <v>179</v>
      </c>
      <c r="B11" s="62">
        <v>0.4</v>
      </c>
      <c r="C11" s="62" t="s">
        <v>178</v>
      </c>
      <c r="D11" s="67">
        <f>B11*AREAS!G30</f>
        <v>885.88200000000006</v>
      </c>
      <c r="E11" s="67" t="s">
        <v>2</v>
      </c>
      <c r="F11" s="88">
        <v>45</v>
      </c>
      <c r="G11" s="89">
        <f>F11*D11*1.1</f>
        <v>43851.159000000007</v>
      </c>
      <c r="H11" s="67"/>
    </row>
    <row r="12" spans="1:10" ht="21.75" x14ac:dyDescent="0.25">
      <c r="A12" s="78" t="s">
        <v>177</v>
      </c>
      <c r="B12" s="62">
        <v>1.65</v>
      </c>
      <c r="C12" s="62" t="s">
        <v>176</v>
      </c>
      <c r="D12" s="67">
        <f>B12*(AREAS!G15)*0.3</f>
        <v>7301.2301999999991</v>
      </c>
      <c r="E12" s="67" t="s">
        <v>2</v>
      </c>
      <c r="F12" s="88">
        <v>45</v>
      </c>
      <c r="G12" s="89">
        <f>F12*D12*1.1</f>
        <v>361410.89489999996</v>
      </c>
      <c r="H12" s="67"/>
    </row>
    <row r="13" spans="1:10" ht="21.75" x14ac:dyDescent="0.25">
      <c r="A13" s="78" t="s">
        <v>310</v>
      </c>
      <c r="B13" s="62">
        <v>1.65</v>
      </c>
      <c r="C13" s="62" t="s">
        <v>176</v>
      </c>
      <c r="D13" s="67">
        <f>B13*(AREAS!G15)*0.7</f>
        <v>17036.203799999996</v>
      </c>
      <c r="E13" s="67" t="s">
        <v>2</v>
      </c>
      <c r="F13" s="88">
        <v>220</v>
      </c>
      <c r="G13" s="89">
        <f>F13*D13*1.1</f>
        <v>4122761.3195999996</v>
      </c>
      <c r="H13" s="67"/>
    </row>
    <row r="14" spans="1:10" ht="21.75" x14ac:dyDescent="0.25">
      <c r="A14" s="66" t="s">
        <v>175</v>
      </c>
      <c r="B14" s="62">
        <v>0.2</v>
      </c>
      <c r="C14" s="62" t="s">
        <v>37</v>
      </c>
      <c r="D14" s="67">
        <f>B14*AREAS!G5</f>
        <v>7722.0350000000008</v>
      </c>
      <c r="E14" s="67" t="s">
        <v>2</v>
      </c>
      <c r="F14" s="88">
        <v>70</v>
      </c>
      <c r="G14" s="89">
        <f>F14*D14*1.05*1.1</f>
        <v>624326.52975000022</v>
      </c>
      <c r="H14" s="67">
        <f>D14*2</f>
        <v>15444.070000000002</v>
      </c>
    </row>
    <row r="15" spans="1:10" ht="21.75" x14ac:dyDescent="0.25">
      <c r="A15" s="66" t="s">
        <v>174</v>
      </c>
      <c r="B15" s="62">
        <v>0.8</v>
      </c>
      <c r="C15" s="62" t="s">
        <v>173</v>
      </c>
      <c r="D15" s="67" t="e">
        <f>B15*AREAS!#REF!</f>
        <v>#REF!</v>
      </c>
      <c r="E15" s="67" t="s">
        <v>2</v>
      </c>
      <c r="F15" s="88">
        <v>45</v>
      </c>
      <c r="G15" s="89" t="e">
        <f>F15*D15*1.1</f>
        <v>#REF!</v>
      </c>
      <c r="H15" s="67"/>
    </row>
    <row r="16" spans="1:10" ht="21.75" x14ac:dyDescent="0.25">
      <c r="A16" s="66" t="s">
        <v>172</v>
      </c>
      <c r="B16" s="62">
        <v>1.75</v>
      </c>
      <c r="C16" s="62" t="s">
        <v>312</v>
      </c>
      <c r="D16" s="67">
        <f>B16*'SISTEMAS ESPECIAIS 3'!B11</f>
        <v>313.25</v>
      </c>
      <c r="E16" s="67" t="s">
        <v>2</v>
      </c>
      <c r="F16" s="88">
        <v>210</v>
      </c>
      <c r="G16" s="89">
        <f>F16*D16*1.1</f>
        <v>72360.75</v>
      </c>
      <c r="H16" s="67"/>
    </row>
    <row r="17" spans="1:12" ht="21.75" x14ac:dyDescent="0.25">
      <c r="A17" s="66" t="s">
        <v>171</v>
      </c>
      <c r="B17" s="62">
        <v>12.5</v>
      </c>
      <c r="C17" s="62" t="s">
        <v>170</v>
      </c>
      <c r="D17" s="67" t="e">
        <f>D10+D11+D12+D14+D15</f>
        <v>#REF!</v>
      </c>
      <c r="E17" s="67" t="s">
        <v>2</v>
      </c>
      <c r="F17" s="88">
        <f>B17</f>
        <v>12.5</v>
      </c>
      <c r="G17" s="89" t="e">
        <f>F17*D17*1.1</f>
        <v>#REF!</v>
      </c>
      <c r="H17" s="67"/>
    </row>
    <row r="18" spans="1:12" ht="21.75" x14ac:dyDescent="0.25">
      <c r="A18" s="66" t="s">
        <v>25</v>
      </c>
      <c r="B18" s="62">
        <v>35</v>
      </c>
      <c r="C18" s="62" t="s">
        <v>170</v>
      </c>
      <c r="D18" s="67" t="e">
        <f>D10+D11+D12+D14+D15</f>
        <v>#REF!</v>
      </c>
      <c r="E18" s="67" t="s">
        <v>2</v>
      </c>
      <c r="F18" s="88">
        <v>35</v>
      </c>
      <c r="G18" s="89" t="e">
        <f>F18*D18*1.1</f>
        <v>#REF!</v>
      </c>
      <c r="H18" s="67"/>
    </row>
    <row r="19" spans="1:12" ht="21.75" x14ac:dyDescent="0.25">
      <c r="A19" s="314" t="s">
        <v>17</v>
      </c>
      <c r="B19" s="314"/>
      <c r="C19" s="314"/>
      <c r="D19" s="314"/>
      <c r="E19" s="314"/>
      <c r="F19" s="314"/>
      <c r="G19" s="90" t="e">
        <f>SUM(G10:G18)</f>
        <v>#REF!</v>
      </c>
      <c r="H19" s="90"/>
      <c r="K19" s="55">
        <f>4160+1440+1120+2880+4800+91680+4000</f>
        <v>110080</v>
      </c>
      <c r="L19" s="55">
        <f>K19/21</f>
        <v>5241.9047619047615</v>
      </c>
    </row>
    <row r="20" spans="1:12" ht="21.75" x14ac:dyDescent="0.25">
      <c r="A20" s="52" t="s">
        <v>385</v>
      </c>
      <c r="B20" s="52"/>
      <c r="C20" s="52"/>
      <c r="D20" s="53"/>
      <c r="E20" s="53"/>
      <c r="F20" s="54"/>
      <c r="G20" s="53"/>
      <c r="H20" s="53"/>
    </row>
    <row r="21" spans="1:12" ht="21.75" x14ac:dyDescent="0.25">
      <c r="A21" s="56"/>
      <c r="B21" s="56"/>
      <c r="C21" s="56"/>
      <c r="D21" s="57"/>
      <c r="E21" s="57"/>
      <c r="F21" s="58"/>
      <c r="G21" s="59"/>
      <c r="H21" s="59"/>
    </row>
    <row r="22" spans="1:12" ht="42" customHeight="1" x14ac:dyDescent="0.25">
      <c r="A22" s="63" t="s">
        <v>14</v>
      </c>
      <c r="B22" s="319" t="s">
        <v>5</v>
      </c>
      <c r="C22" s="320"/>
      <c r="D22" s="319" t="s">
        <v>18</v>
      </c>
      <c r="E22" s="320"/>
      <c r="F22" s="65" t="s">
        <v>118</v>
      </c>
      <c r="G22" s="71" t="s">
        <v>16</v>
      </c>
      <c r="H22" s="90" t="s">
        <v>298</v>
      </c>
    </row>
    <row r="23" spans="1:12" ht="21.75" x14ac:dyDescent="0.25">
      <c r="A23" s="66" t="s">
        <v>181</v>
      </c>
      <c r="B23" s="62">
        <v>1</v>
      </c>
      <c r="C23" s="62" t="s">
        <v>180</v>
      </c>
      <c r="D23" s="67"/>
      <c r="E23" s="67" t="s">
        <v>2</v>
      </c>
      <c r="F23" s="88">
        <v>45</v>
      </c>
      <c r="G23" s="89">
        <f>F23*D23*1.1</f>
        <v>0</v>
      </c>
      <c r="H23" s="67"/>
    </row>
    <row r="24" spans="1:12" ht="21.75" x14ac:dyDescent="0.25">
      <c r="A24" s="78" t="s">
        <v>179</v>
      </c>
      <c r="B24" s="62">
        <v>0.4</v>
      </c>
      <c r="C24" s="62" t="s">
        <v>178</v>
      </c>
      <c r="D24" s="67">
        <f>B24*AREAS!H30</f>
        <v>1107.7260000000001</v>
      </c>
      <c r="E24" s="67" t="s">
        <v>2</v>
      </c>
      <c r="F24" s="88">
        <v>45</v>
      </c>
      <c r="G24" s="89">
        <f>F24*D24*1.1</f>
        <v>54832.437000000013</v>
      </c>
      <c r="H24" s="67"/>
    </row>
    <row r="25" spans="1:12" ht="21.75" x14ac:dyDescent="0.25">
      <c r="A25" s="78" t="s">
        <v>177</v>
      </c>
      <c r="B25" s="62">
        <v>1.65</v>
      </c>
      <c r="C25" s="62" t="s">
        <v>176</v>
      </c>
      <c r="D25" s="67">
        <f>B25*(AREAS!H15+AREAS!H17)*0.3</f>
        <v>14038.492050000003</v>
      </c>
      <c r="E25" s="67" t="s">
        <v>2</v>
      </c>
      <c r="F25" s="88">
        <v>45</v>
      </c>
      <c r="G25" s="89">
        <f>F25*D25*1.1</f>
        <v>694905.35647500027</v>
      </c>
      <c r="H25" s="67"/>
    </row>
    <row r="26" spans="1:12" ht="21.75" x14ac:dyDescent="0.25">
      <c r="A26" s="78" t="s">
        <v>310</v>
      </c>
      <c r="B26" s="62">
        <v>1.65</v>
      </c>
      <c r="C26" s="62" t="s">
        <v>176</v>
      </c>
      <c r="D26" s="67">
        <f>B26*(AREAS!H15+AREAS!H17)*0.7</f>
        <v>32756.481450000003</v>
      </c>
      <c r="E26" s="67" t="s">
        <v>2</v>
      </c>
      <c r="F26" s="88">
        <v>220</v>
      </c>
      <c r="G26" s="89">
        <f>F26*D26*1.1</f>
        <v>7927068.510900001</v>
      </c>
      <c r="H26" s="67"/>
    </row>
    <row r="27" spans="1:12" ht="21.75" x14ac:dyDescent="0.25">
      <c r="A27" s="66" t="s">
        <v>175</v>
      </c>
      <c r="B27" s="62">
        <v>0.2</v>
      </c>
      <c r="C27" s="62" t="s">
        <v>37</v>
      </c>
      <c r="D27" s="67">
        <f>B27*AREAS!H5</f>
        <v>6840.7970000000005</v>
      </c>
      <c r="E27" s="67" t="s">
        <v>2</v>
      </c>
      <c r="F27" s="88">
        <v>70</v>
      </c>
      <c r="G27" s="89">
        <f>F27*D27*1.05*1.1</f>
        <v>553078.43745000008</v>
      </c>
      <c r="H27" s="67"/>
    </row>
    <row r="28" spans="1:12" ht="21.75" x14ac:dyDescent="0.25">
      <c r="A28" s="66" t="s">
        <v>174</v>
      </c>
      <c r="B28" s="62">
        <v>0.8</v>
      </c>
      <c r="C28" s="62" t="s">
        <v>173</v>
      </c>
      <c r="D28" s="67">
        <f>B28*AREAS!H18</f>
        <v>198.88</v>
      </c>
      <c r="E28" s="67" t="s">
        <v>2</v>
      </c>
      <c r="F28" s="88">
        <v>45</v>
      </c>
      <c r="G28" s="89">
        <f>F28*D28*1.1</f>
        <v>9844.5600000000013</v>
      </c>
      <c r="H28" s="67"/>
    </row>
    <row r="29" spans="1:12" ht="21.75" x14ac:dyDescent="0.25">
      <c r="A29" s="66" t="s">
        <v>172</v>
      </c>
      <c r="B29" s="62">
        <v>1.75</v>
      </c>
      <c r="C29" s="62" t="s">
        <v>312</v>
      </c>
      <c r="D29" s="67">
        <f>B29*'SISTEMAS ESPECIAIS 4'!B10</f>
        <v>565.25</v>
      </c>
      <c r="E29" s="67" t="s">
        <v>2</v>
      </c>
      <c r="F29" s="88">
        <v>210</v>
      </c>
      <c r="G29" s="89">
        <f>F29*D29*1.1</f>
        <v>130572.75000000001</v>
      </c>
      <c r="H29" s="67"/>
    </row>
    <row r="30" spans="1:12" ht="21.75" x14ac:dyDescent="0.25">
      <c r="A30" s="66" t="s">
        <v>171</v>
      </c>
      <c r="B30" s="62">
        <v>12.5</v>
      </c>
      <c r="C30" s="62" t="s">
        <v>170</v>
      </c>
      <c r="D30" s="67">
        <f>D23+D24+D25+D27+D28</f>
        <v>22185.895050000003</v>
      </c>
      <c r="E30" s="67" t="s">
        <v>2</v>
      </c>
      <c r="F30" s="88">
        <f>B30</f>
        <v>12.5</v>
      </c>
      <c r="G30" s="89">
        <f>F30*D30*1.1</f>
        <v>305056.05693750008</v>
      </c>
      <c r="H30" s="67"/>
    </row>
    <row r="31" spans="1:12" ht="21.75" x14ac:dyDescent="0.25">
      <c r="A31" s="66" t="s">
        <v>25</v>
      </c>
      <c r="B31" s="62">
        <v>35</v>
      </c>
      <c r="C31" s="62" t="s">
        <v>170</v>
      </c>
      <c r="D31" s="67">
        <f>D23+D24+D25+D27+D28</f>
        <v>22185.895050000003</v>
      </c>
      <c r="E31" s="67" t="s">
        <v>2</v>
      </c>
      <c r="F31" s="88">
        <v>35</v>
      </c>
      <c r="G31" s="89">
        <f>F31*D31*1.1</f>
        <v>854156.95942500024</v>
      </c>
      <c r="H31" s="67"/>
    </row>
    <row r="32" spans="1:12" ht="21.75" x14ac:dyDescent="0.25">
      <c r="A32" s="314" t="s">
        <v>17</v>
      </c>
      <c r="B32" s="314"/>
      <c r="C32" s="314"/>
      <c r="D32" s="314"/>
      <c r="E32" s="314"/>
      <c r="F32" s="314"/>
      <c r="G32" s="90">
        <f>SUM(G23:G31)</f>
        <v>10529515.068187505</v>
      </c>
      <c r="H32" s="90"/>
      <c r="K32" s="55">
        <f>4160+1440+1120+2880+4800+91680+4000</f>
        <v>110080</v>
      </c>
      <c r="L32" s="55">
        <f>K32/21</f>
        <v>5241.9047619047615</v>
      </c>
    </row>
    <row r="34" spans="1:10" ht="21.75" hidden="1" x14ac:dyDescent="0.25">
      <c r="A34" s="52" t="s">
        <v>309</v>
      </c>
      <c r="B34" s="52"/>
      <c r="C34" s="52"/>
      <c r="D34" s="53"/>
      <c r="E34" s="53"/>
      <c r="F34" s="54"/>
      <c r="G34" s="53"/>
      <c r="H34" s="53"/>
    </row>
    <row r="35" spans="1:10" ht="21.75" hidden="1" x14ac:dyDescent="0.25">
      <c r="A35" s="56"/>
      <c r="B35" s="56"/>
      <c r="C35" s="56"/>
      <c r="D35" s="57"/>
      <c r="E35" s="57"/>
      <c r="F35" s="58"/>
      <c r="G35" s="59"/>
      <c r="H35" s="59"/>
    </row>
    <row r="36" spans="1:10" ht="21.75" hidden="1" x14ac:dyDescent="0.25">
      <c r="A36" s="63" t="s">
        <v>14</v>
      </c>
      <c r="B36" s="319" t="s">
        <v>5</v>
      </c>
      <c r="C36" s="320"/>
      <c r="D36" s="319" t="s">
        <v>18</v>
      </c>
      <c r="E36" s="320"/>
      <c r="F36" s="65" t="s">
        <v>118</v>
      </c>
      <c r="G36" s="71" t="s">
        <v>16</v>
      </c>
      <c r="H36" s="90" t="s">
        <v>298</v>
      </c>
    </row>
    <row r="37" spans="1:10" ht="21.75" hidden="1" x14ac:dyDescent="0.25">
      <c r="A37" s="66" t="s">
        <v>181</v>
      </c>
      <c r="B37" s="62">
        <v>1</v>
      </c>
      <c r="C37" s="62" t="s">
        <v>180</v>
      </c>
      <c r="D37" s="67">
        <f>B37*DADOS_INICIAIS!$F$34</f>
        <v>18140.100000000002</v>
      </c>
      <c r="E37" s="67" t="s">
        <v>2</v>
      </c>
      <c r="F37" s="88">
        <v>45</v>
      </c>
      <c r="G37" s="89">
        <f>F37*D37*1.1</f>
        <v>897934.95000000019</v>
      </c>
      <c r="H37" s="67"/>
    </row>
    <row r="38" spans="1:10" ht="21.75" hidden="1" x14ac:dyDescent="0.25">
      <c r="A38" s="78" t="s">
        <v>179</v>
      </c>
      <c r="B38" s="62">
        <v>0.4</v>
      </c>
      <c r="C38" s="62" t="s">
        <v>178</v>
      </c>
      <c r="D38" s="67">
        <f>B38*DADOS_INICIAIS!$F$33</f>
        <v>2244.8920000000003</v>
      </c>
      <c r="E38" s="67" t="s">
        <v>2</v>
      </c>
      <c r="F38" s="88">
        <v>45</v>
      </c>
      <c r="G38" s="89">
        <f>F38*D38*1.1</f>
        <v>111122.15400000002</v>
      </c>
      <c r="H38" s="67"/>
    </row>
    <row r="39" spans="1:10" ht="21.75" hidden="1" x14ac:dyDescent="0.25">
      <c r="A39" s="78" t="s">
        <v>177</v>
      </c>
      <c r="B39" s="62">
        <v>1.62</v>
      </c>
      <c r="C39" s="62" t="s">
        <v>176</v>
      </c>
      <c r="D39" s="67">
        <f>B39*(DADOS_INICIAIS!$F$31*(DADOS_INICIAIS!$F$28+DADOS_INICIAIS!$F$29))*0.3</f>
        <v>13089.859847999998</v>
      </c>
      <c r="E39" s="67" t="s">
        <v>3</v>
      </c>
      <c r="F39" s="88">
        <v>45</v>
      </c>
      <c r="G39" s="89">
        <f>F39*D39*1.1</f>
        <v>647948.06247599993</v>
      </c>
      <c r="H39" s="67"/>
    </row>
    <row r="40" spans="1:10" ht="21.75" hidden="1" x14ac:dyDescent="0.25">
      <c r="A40" s="78" t="s">
        <v>310</v>
      </c>
      <c r="B40" s="62">
        <v>1.65</v>
      </c>
      <c r="C40" s="62" t="s">
        <v>176</v>
      </c>
      <c r="D40" s="67">
        <f>B40*(DADOS_INICIAIS!$F$31*(DADOS_INICIAIS!$F$28+DADOS_INICIAIS!$F$29))*0.7</f>
        <v>31108.617539999992</v>
      </c>
      <c r="E40" s="67"/>
      <c r="F40" s="88">
        <v>220</v>
      </c>
      <c r="G40" s="89">
        <f t="shared" ref="G40:G45" si="0">F40*D40*1.1</f>
        <v>7528285.4446799988</v>
      </c>
      <c r="H40" s="67"/>
      <c r="J40" s="55">
        <f>D40/(D45+D40)</f>
        <v>0.38933366511398942</v>
      </c>
    </row>
    <row r="41" spans="1:10" ht="21.75" hidden="1" x14ac:dyDescent="0.25">
      <c r="A41" s="78" t="s">
        <v>175</v>
      </c>
      <c r="B41" s="62">
        <v>0.2</v>
      </c>
      <c r="C41" s="62" t="s">
        <v>37</v>
      </c>
      <c r="D41" s="67">
        <f>B41*DADOS_INICIAIS!$F$9</f>
        <v>14766.244000000001</v>
      </c>
      <c r="E41" s="67" t="s">
        <v>3</v>
      </c>
      <c r="F41" s="88">
        <v>70</v>
      </c>
      <c r="G41" s="89">
        <f t="shared" si="0"/>
        <v>1137000.7880000002</v>
      </c>
      <c r="H41" s="67"/>
      <c r="J41" s="55">
        <f>1-J40</f>
        <v>0.61066633488601063</v>
      </c>
    </row>
    <row r="42" spans="1:10" ht="21.75" hidden="1" x14ac:dyDescent="0.25">
      <c r="A42" s="66" t="s">
        <v>174</v>
      </c>
      <c r="B42" s="62">
        <v>0.8</v>
      </c>
      <c r="C42" s="62" t="s">
        <v>173</v>
      </c>
      <c r="D42" s="67">
        <f>B42*DADOS_INICIAIS!$F$31</f>
        <v>552.4896</v>
      </c>
      <c r="E42" s="67" t="s">
        <v>22</v>
      </c>
      <c r="F42" s="88">
        <v>45</v>
      </c>
      <c r="G42" s="89">
        <f t="shared" si="0"/>
        <v>27348.235200000003</v>
      </c>
      <c r="H42" s="67"/>
    </row>
    <row r="43" spans="1:10" ht="21.75" hidden="1" x14ac:dyDescent="0.25">
      <c r="A43" s="66" t="s">
        <v>172</v>
      </c>
      <c r="B43" s="62">
        <v>1.75</v>
      </c>
      <c r="C43" s="62" t="s">
        <v>312</v>
      </c>
      <c r="D43" s="67">
        <f>'SISTEMAS ESPECIAIS 4'!B10</f>
        <v>323</v>
      </c>
      <c r="E43" s="67" t="s">
        <v>340</v>
      </c>
      <c r="F43" s="88">
        <v>210</v>
      </c>
      <c r="G43" s="89"/>
      <c r="H43" s="67"/>
    </row>
    <row r="44" spans="1:10" ht="21.75" hidden="1" x14ac:dyDescent="0.25">
      <c r="A44" s="66" t="s">
        <v>356</v>
      </c>
      <c r="B44" s="62"/>
      <c r="C44" s="62"/>
      <c r="D44" s="67">
        <f>D43</f>
        <v>323</v>
      </c>
      <c r="E44" s="67" t="s">
        <v>3</v>
      </c>
      <c r="F44" s="88">
        <v>1800</v>
      </c>
      <c r="G44" s="89">
        <f t="shared" si="0"/>
        <v>639540</v>
      </c>
      <c r="H44" s="67"/>
    </row>
    <row r="45" spans="1:10" ht="21.75" hidden="1" x14ac:dyDescent="0.25">
      <c r="A45" s="66" t="s">
        <v>171</v>
      </c>
      <c r="B45" s="62">
        <v>12.5</v>
      </c>
      <c r="C45" s="62" t="s">
        <v>170</v>
      </c>
      <c r="D45" s="67">
        <f>D38+D39+D37+D41+D42</f>
        <v>48793.585447999998</v>
      </c>
      <c r="E45" s="67" t="s">
        <v>26</v>
      </c>
      <c r="F45" s="88">
        <f>B45</f>
        <v>12.5</v>
      </c>
      <c r="G45" s="89">
        <f t="shared" si="0"/>
        <v>670911.79991000006</v>
      </c>
      <c r="H45" s="67"/>
    </row>
    <row r="46" spans="1:10" ht="21.75" hidden="1" x14ac:dyDescent="0.25">
      <c r="A46" s="66" t="s">
        <v>25</v>
      </c>
      <c r="B46" s="62">
        <v>35</v>
      </c>
      <c r="C46" s="62" t="s">
        <v>170</v>
      </c>
      <c r="D46" s="67">
        <f>D38+D39+D37+D41+D42</f>
        <v>48793.585447999998</v>
      </c>
      <c r="E46" s="67" t="s">
        <v>2</v>
      </c>
      <c r="F46" s="88">
        <v>35</v>
      </c>
      <c r="G46" s="89">
        <f>F46*D46*1.1</f>
        <v>1878553.039748</v>
      </c>
      <c r="H46" s="67"/>
    </row>
    <row r="47" spans="1:10" ht="21.75" hidden="1" x14ac:dyDescent="0.25">
      <c r="A47" s="314" t="s">
        <v>17</v>
      </c>
      <c r="B47" s="314"/>
      <c r="C47" s="314"/>
      <c r="D47" s="314"/>
      <c r="E47" s="314"/>
      <c r="F47" s="314"/>
      <c r="G47" s="90">
        <f>SUM(G37:G46)</f>
        <v>13538644.474013999</v>
      </c>
      <c r="H47" s="90"/>
    </row>
    <row r="48" spans="1:10" hidden="1" x14ac:dyDescent="0.25"/>
    <row r="50" spans="1:8" ht="21.75" x14ac:dyDescent="0.25">
      <c r="A50" s="324" t="s">
        <v>168</v>
      </c>
      <c r="B50" s="325"/>
      <c r="C50" s="325"/>
      <c r="D50" s="325"/>
      <c r="E50" s="325"/>
      <c r="F50" s="326"/>
      <c r="G50" s="91" t="e">
        <f>G19+G32</f>
        <v>#REF!</v>
      </c>
      <c r="H50" s="91" t="e">
        <f>G50/(AREAS!G5+AREAS!H5)</f>
        <v>#REF!</v>
      </c>
    </row>
    <row r="53" spans="1:8" x14ac:dyDescent="0.25">
      <c r="G53" s="196" t="e">
        <f>G50/1.1</f>
        <v>#REF!</v>
      </c>
      <c r="H53" s="55" t="e">
        <f>G53/DADOS_INICIAIS!F9</f>
        <v>#REF!</v>
      </c>
    </row>
  </sheetData>
  <mergeCells count="11">
    <mergeCell ref="A47:F47"/>
    <mergeCell ref="A50:F50"/>
    <mergeCell ref="A3:H3"/>
    <mergeCell ref="B9:C9"/>
    <mergeCell ref="D9:E9"/>
    <mergeCell ref="A19:F19"/>
    <mergeCell ref="B36:C36"/>
    <mergeCell ref="D36:E36"/>
    <mergeCell ref="B22:C22"/>
    <mergeCell ref="D22:E22"/>
    <mergeCell ref="A32:F3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8"/>
  <sheetViews>
    <sheetView showGridLines="0" topLeftCell="A13" zoomScale="85" zoomScaleNormal="85" zoomScaleSheetLayoutView="95" workbookViewId="0">
      <selection activeCell="E23" sqref="E23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22.7109375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315" t="s">
        <v>255</v>
      </c>
      <c r="B2" s="316"/>
      <c r="C2" s="316"/>
      <c r="D2" s="316"/>
      <c r="E2" s="317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254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 t="s">
        <v>379</v>
      </c>
      <c r="E5" s="59" t="s">
        <v>380</v>
      </c>
    </row>
    <row r="6" spans="1:7" s="55" customFormat="1" ht="42" customHeight="1" x14ac:dyDescent="0.25">
      <c r="A6" s="63" t="s">
        <v>14</v>
      </c>
      <c r="B6" s="319" t="s">
        <v>5</v>
      </c>
      <c r="C6" s="320"/>
      <c r="D6" s="71" t="s">
        <v>16</v>
      </c>
      <c r="E6" s="71" t="s">
        <v>16</v>
      </c>
    </row>
    <row r="7" spans="1:7" s="55" customFormat="1" ht="21.75" x14ac:dyDescent="0.25">
      <c r="A7" s="66" t="s">
        <v>253</v>
      </c>
      <c r="B7" s="62">
        <v>30</v>
      </c>
      <c r="C7" s="62" t="s">
        <v>6</v>
      </c>
      <c r="D7" s="89">
        <f>B7*AREAS!$G$5*1.1</f>
        <v>1274135.7750000001</v>
      </c>
      <c r="E7" s="89">
        <f>B7*AREAS!$H$5*1.1</f>
        <v>1128731.5050000001</v>
      </c>
    </row>
    <row r="8" spans="1:7" s="55" customFormat="1" ht="21.75" x14ac:dyDescent="0.25">
      <c r="A8" s="66" t="s">
        <v>252</v>
      </c>
      <c r="B8" s="62">
        <v>15</v>
      </c>
      <c r="C8" s="62" t="s">
        <v>6</v>
      </c>
      <c r="D8" s="89">
        <f>B8*AREAS!$G$5*1.1</f>
        <v>637067.88750000007</v>
      </c>
      <c r="E8" s="89">
        <f>B8*AREAS!$H$5*1.1</f>
        <v>564365.75250000006</v>
      </c>
    </row>
    <row r="9" spans="1:7" s="55" customFormat="1" ht="21.75" x14ac:dyDescent="0.25">
      <c r="A9" s="66" t="s">
        <v>251</v>
      </c>
      <c r="B9" s="62">
        <v>35</v>
      </c>
      <c r="C9" s="62" t="s">
        <v>6</v>
      </c>
      <c r="D9" s="89">
        <f>B9*AREAS!$G$5*1.1</f>
        <v>1486491.7375</v>
      </c>
      <c r="E9" s="89">
        <f>B9*AREAS!$H$5*1.1</f>
        <v>1316853.4225000001</v>
      </c>
    </row>
    <row r="10" spans="1:7" s="55" customFormat="1" ht="21.75" x14ac:dyDescent="0.25">
      <c r="A10" s="66" t="s">
        <v>250</v>
      </c>
      <c r="B10" s="62">
        <v>15</v>
      </c>
      <c r="C10" s="62" t="s">
        <v>6</v>
      </c>
      <c r="D10" s="89">
        <f>B10*AREAS!$G$5*1.1</f>
        <v>637067.88750000007</v>
      </c>
      <c r="E10" s="89">
        <f>B10*AREAS!$H$5*1.1</f>
        <v>564365.75250000006</v>
      </c>
    </row>
    <row r="11" spans="1:7" s="55" customFormat="1" ht="21.75" x14ac:dyDescent="0.25">
      <c r="A11" s="66" t="s">
        <v>249</v>
      </c>
      <c r="B11" s="62">
        <v>15</v>
      </c>
      <c r="C11" s="62" t="s">
        <v>6</v>
      </c>
      <c r="D11" s="89">
        <f>B11*AREAS!$G$5*1.1</f>
        <v>637067.88750000007</v>
      </c>
      <c r="E11" s="89">
        <f>B11*AREAS!$H$5*1.1</f>
        <v>564365.75250000006</v>
      </c>
    </row>
    <row r="12" spans="1:7" s="55" customFormat="1" ht="21.75" x14ac:dyDescent="0.25">
      <c r="A12" s="66" t="s">
        <v>248</v>
      </c>
      <c r="B12" s="62">
        <v>5</v>
      </c>
      <c r="C12" s="62" t="s">
        <v>6</v>
      </c>
      <c r="D12" s="89">
        <f>B12*AREAS!$G$5*1.1</f>
        <v>212355.96250000002</v>
      </c>
      <c r="E12" s="89">
        <f>B12*AREAS!$H$5*1.1</f>
        <v>188121.91750000001</v>
      </c>
    </row>
    <row r="13" spans="1:7" s="55" customFormat="1" ht="21.75" x14ac:dyDescent="0.25">
      <c r="A13" s="66" t="s">
        <v>247</v>
      </c>
      <c r="B13" s="62">
        <v>60</v>
      </c>
      <c r="C13" s="62" t="s">
        <v>6</v>
      </c>
      <c r="D13" s="89">
        <f>B13*AREAS!$G$5*1.1</f>
        <v>2548271.5500000003</v>
      </c>
      <c r="E13" s="89">
        <f>B13*AREAS!$H$5*1.1</f>
        <v>2257463.0100000002</v>
      </c>
    </row>
    <row r="14" spans="1:7" s="55" customFormat="1" ht="21.75" x14ac:dyDescent="0.25">
      <c r="A14" s="314" t="s">
        <v>17</v>
      </c>
      <c r="B14" s="314"/>
      <c r="C14" s="314"/>
      <c r="D14" s="90">
        <f>SUM(D7:D13)</f>
        <v>7432458.6875000019</v>
      </c>
      <c r="E14" s="90">
        <f>SUM(E7:E13)</f>
        <v>6584267.1125000007</v>
      </c>
    </row>
    <row r="15" spans="1:7" s="55" customFormat="1" ht="21.75" x14ac:dyDescent="0.25">
      <c r="A15" s="318"/>
      <c r="B15" s="318"/>
      <c r="C15" s="318"/>
      <c r="D15" s="100"/>
      <c r="E15" s="59"/>
    </row>
    <row r="16" spans="1:7" s="55" customFormat="1" ht="21.75" x14ac:dyDescent="0.25">
      <c r="A16" s="52" t="s">
        <v>246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319" t="s">
        <v>5</v>
      </c>
      <c r="C18" s="320"/>
      <c r="D18" s="71" t="s">
        <v>16</v>
      </c>
      <c r="E18" s="71" t="s">
        <v>16</v>
      </c>
    </row>
    <row r="19" spans="1:5" s="55" customFormat="1" ht="21.75" x14ac:dyDescent="0.25">
      <c r="A19" s="66" t="s">
        <v>245</v>
      </c>
      <c r="B19" s="62">
        <v>20</v>
      </c>
      <c r="C19" s="62" t="s">
        <v>6</v>
      </c>
      <c r="D19" s="89">
        <f>B19*AREAS!$G$5*1.1</f>
        <v>849423.85000000009</v>
      </c>
      <c r="E19" s="89">
        <f>B19*AREAS!$H$5*1.1</f>
        <v>752487.67</v>
      </c>
    </row>
    <row r="20" spans="1:5" s="55" customFormat="1" ht="21.75" x14ac:dyDescent="0.25">
      <c r="A20" s="66" t="s">
        <v>244</v>
      </c>
      <c r="B20" s="62">
        <v>18</v>
      </c>
      <c r="C20" s="62" t="s">
        <v>6</v>
      </c>
      <c r="D20" s="89">
        <f>B20*AREAS!$G$5*1.1</f>
        <v>764481.46500000008</v>
      </c>
      <c r="E20" s="89">
        <f>B20*AREAS!$H$5*1.1</f>
        <v>677238.90300000005</v>
      </c>
    </row>
    <row r="21" spans="1:5" s="55" customFormat="1" ht="21.75" x14ac:dyDescent="0.25">
      <c r="A21" s="66" t="s">
        <v>243</v>
      </c>
      <c r="B21" s="62">
        <v>10</v>
      </c>
      <c r="C21" s="62" t="s">
        <v>6</v>
      </c>
      <c r="D21" s="89">
        <f>B21*AREAS!$G$5*1.1</f>
        <v>424711.92500000005</v>
      </c>
      <c r="E21" s="89">
        <f>B21*AREAS!$H$5*1.1</f>
        <v>376243.83500000002</v>
      </c>
    </row>
    <row r="22" spans="1:5" s="55" customFormat="1" ht="21.75" x14ac:dyDescent="0.25">
      <c r="A22" s="66" t="s">
        <v>242</v>
      </c>
      <c r="B22" s="62">
        <v>15</v>
      </c>
      <c r="C22" s="62" t="s">
        <v>6</v>
      </c>
      <c r="D22" s="89">
        <f>B22*AREAS!$G$5*1.1</f>
        <v>637067.88750000007</v>
      </c>
      <c r="E22" s="89">
        <f>B22*AREAS!$H$5*1.1</f>
        <v>564365.75250000006</v>
      </c>
    </row>
    <row r="23" spans="1:5" s="55" customFormat="1" ht="21.75" x14ac:dyDescent="0.25">
      <c r="A23" s="66" t="s">
        <v>357</v>
      </c>
      <c r="B23" s="62">
        <v>50</v>
      </c>
      <c r="C23" s="62" t="s">
        <v>6</v>
      </c>
      <c r="D23" s="89">
        <f>B23*AREAS!$G$5*1.1</f>
        <v>2123559.6250000005</v>
      </c>
      <c r="E23" s="89">
        <f>B23*AREAS!$H$5*1.1</f>
        <v>1881219.175</v>
      </c>
    </row>
    <row r="24" spans="1:5" s="55" customFormat="1" ht="21.75" x14ac:dyDescent="0.25">
      <c r="A24" s="66" t="s">
        <v>241</v>
      </c>
      <c r="B24" s="62">
        <v>55</v>
      </c>
      <c r="C24" s="62" t="s">
        <v>6</v>
      </c>
      <c r="D24" s="89">
        <f>B24*AREAS!$G$5*1.1</f>
        <v>2335915.5875000004</v>
      </c>
      <c r="E24" s="89">
        <f>B24*AREAS!$H$5*1.1</f>
        <v>2069341.0925000003</v>
      </c>
    </row>
    <row r="25" spans="1:5" s="55" customFormat="1" ht="21.75" x14ac:dyDescent="0.25">
      <c r="A25" s="314" t="s">
        <v>17</v>
      </c>
      <c r="B25" s="314"/>
      <c r="C25" s="314"/>
      <c r="D25" s="90">
        <f>SUM(D19:D24)</f>
        <v>7135160.3400000017</v>
      </c>
      <c r="E25" s="90">
        <f>SUM(E19:E24)</f>
        <v>6320896.4280000003</v>
      </c>
    </row>
    <row r="26" spans="1:5" s="55" customFormat="1" ht="21.75" x14ac:dyDescent="0.25">
      <c r="A26" s="318"/>
      <c r="B26" s="318"/>
      <c r="C26" s="318"/>
      <c r="D26" s="100"/>
      <c r="E26" s="59"/>
    </row>
    <row r="27" spans="1:5" s="55" customFormat="1" ht="21.75" x14ac:dyDescent="0.25">
      <c r="A27" s="52" t="s">
        <v>240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319" t="s">
        <v>5</v>
      </c>
      <c r="C29" s="320"/>
      <c r="D29" s="71" t="s">
        <v>16</v>
      </c>
      <c r="E29" s="71" t="s">
        <v>16</v>
      </c>
    </row>
    <row r="30" spans="1:5" s="55" customFormat="1" ht="26.25" customHeight="1" x14ac:dyDescent="0.25">
      <c r="A30" s="70" t="s">
        <v>239</v>
      </c>
      <c r="B30" s="62">
        <v>9.5</v>
      </c>
      <c r="C30" s="62" t="s">
        <v>6</v>
      </c>
      <c r="D30" s="89">
        <f>B30*AREAS!$G$5*1.1</f>
        <v>403476.32875000004</v>
      </c>
      <c r="E30" s="89">
        <f>B30*AREAS!$H$5*1.1</f>
        <v>357431.64325000002</v>
      </c>
    </row>
    <row r="31" spans="1:5" s="55" customFormat="1" ht="26.25" customHeight="1" x14ac:dyDescent="0.25">
      <c r="A31" s="70" t="s">
        <v>238</v>
      </c>
      <c r="B31" s="62">
        <v>5</v>
      </c>
      <c r="C31" s="62" t="s">
        <v>6</v>
      </c>
      <c r="D31" s="89">
        <f>B31*AREAS!$G$5*1.1</f>
        <v>212355.96250000002</v>
      </c>
      <c r="E31" s="89">
        <f>B31*AREAS!$H$5*1.1</f>
        <v>188121.91750000001</v>
      </c>
    </row>
    <row r="32" spans="1:5" s="55" customFormat="1" ht="21.75" x14ac:dyDescent="0.25">
      <c r="A32" s="70" t="s">
        <v>237</v>
      </c>
      <c r="B32" s="62">
        <v>3</v>
      </c>
      <c r="C32" s="62" t="s">
        <v>6</v>
      </c>
      <c r="D32" s="89">
        <f>B32*AREAS!$G$5*1.1</f>
        <v>127413.57750000001</v>
      </c>
      <c r="E32" s="89">
        <f>B32*AREAS!$H$5*1.1</f>
        <v>112873.15050000002</v>
      </c>
    </row>
    <row r="33" spans="1:9" s="55" customFormat="1" ht="21.75" x14ac:dyDescent="0.25">
      <c r="A33" s="70" t="s">
        <v>387</v>
      </c>
      <c r="B33" s="62">
        <v>12</v>
      </c>
      <c r="C33" s="62" t="s">
        <v>6</v>
      </c>
      <c r="D33" s="89">
        <f>B33*AREAS!$G$5*1.1</f>
        <v>509654.31000000006</v>
      </c>
      <c r="E33" s="89">
        <f>B33*AREAS!$H$5*1.1</f>
        <v>451492.60200000007</v>
      </c>
    </row>
    <row r="34" spans="1:9" s="55" customFormat="1" ht="21.75" x14ac:dyDescent="0.25">
      <c r="A34" s="314" t="s">
        <v>17</v>
      </c>
      <c r="B34" s="314"/>
      <c r="C34" s="314"/>
      <c r="D34" s="90">
        <f>SUM(D30:D33)</f>
        <v>1252900.17875</v>
      </c>
      <c r="E34" s="90">
        <f>SUM(E30:E33)</f>
        <v>1109919.3132500001</v>
      </c>
    </row>
    <row r="35" spans="1:9" x14ac:dyDescent="0.25">
      <c r="D35" s="107"/>
      <c r="I35" s="47"/>
    </row>
    <row r="36" spans="1:9" ht="23.25" customHeight="1" x14ac:dyDescent="0.25">
      <c r="A36" s="311" t="s">
        <v>236</v>
      </c>
      <c r="B36" s="312"/>
      <c r="C36" s="312"/>
      <c r="D36" s="108">
        <f>D14+D25+D34</f>
        <v>15820519.206250004</v>
      </c>
      <c r="E36" s="108">
        <f>D36/(AREAS!G5)</f>
        <v>409.75000000000006</v>
      </c>
      <c r="F36" s="1" t="s">
        <v>379</v>
      </c>
    </row>
    <row r="37" spans="1:9" x14ac:dyDescent="0.25">
      <c r="D37" s="108">
        <f>E14+E25+E34</f>
        <v>14015082.85375</v>
      </c>
      <c r="E37" s="108">
        <f>D37/AREAS!H5</f>
        <v>409.75</v>
      </c>
      <c r="F37" s="1" t="s">
        <v>380</v>
      </c>
    </row>
    <row r="38" spans="1:9" x14ac:dyDescent="0.25">
      <c r="E38" s="197">
        <f>E36/1.1</f>
        <v>372.5</v>
      </c>
    </row>
  </sheetData>
  <mergeCells count="10">
    <mergeCell ref="A36:C36"/>
    <mergeCell ref="A34:C34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06C7-0C50-45E4-B83D-8A68E0EA7DBA}">
  <sheetPr>
    <tabColor rgb="FF92D050"/>
  </sheetPr>
  <dimension ref="A1:K48"/>
  <sheetViews>
    <sheetView showGridLines="0" topLeftCell="A25" zoomScale="85" zoomScaleNormal="85" zoomScaleSheetLayoutView="95" workbookViewId="0">
      <selection activeCell="D41" sqref="D41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11" x14ac:dyDescent="0.25">
      <c r="A1" s="48"/>
      <c r="B1" s="48"/>
      <c r="C1" s="48"/>
      <c r="D1" s="48"/>
      <c r="E1" s="48"/>
      <c r="G1" s="2"/>
    </row>
    <row r="2" spans="1:11" ht="28.5" x14ac:dyDescent="0.25">
      <c r="A2" s="315" t="s">
        <v>274</v>
      </c>
      <c r="B2" s="316"/>
      <c r="C2" s="316"/>
      <c r="D2" s="316"/>
      <c r="E2" s="317"/>
      <c r="G2" s="2"/>
    </row>
    <row r="3" spans="1:11" x14ac:dyDescent="0.25">
      <c r="A3" s="50"/>
      <c r="B3" s="50"/>
      <c r="C3" s="50"/>
      <c r="D3" s="48"/>
      <c r="E3" s="48"/>
      <c r="G3" s="2"/>
    </row>
    <row r="4" spans="1:11" s="55" customFormat="1" ht="21.75" x14ac:dyDescent="0.25">
      <c r="A4" s="52" t="s">
        <v>273</v>
      </c>
      <c r="B4" s="53"/>
      <c r="C4" s="53"/>
      <c r="D4" s="53"/>
      <c r="E4" s="53"/>
    </row>
    <row r="5" spans="1:11" s="55" customFormat="1" ht="21.75" x14ac:dyDescent="0.25">
      <c r="A5" s="56"/>
      <c r="B5" s="57"/>
      <c r="C5" s="57"/>
      <c r="D5" s="59"/>
      <c r="E5" s="59"/>
    </row>
    <row r="6" spans="1:11" s="55" customFormat="1" ht="42" customHeight="1" x14ac:dyDescent="0.25">
      <c r="A6" s="63" t="s">
        <v>14</v>
      </c>
      <c r="B6" s="65" t="s">
        <v>18</v>
      </c>
      <c r="C6" s="71" t="s">
        <v>262</v>
      </c>
      <c r="D6" s="71" t="s">
        <v>16</v>
      </c>
      <c r="E6" s="59"/>
      <c r="G6" s="55" t="s">
        <v>199</v>
      </c>
      <c r="H6" s="55" t="s">
        <v>368</v>
      </c>
      <c r="I6" s="55" t="s">
        <v>394</v>
      </c>
      <c r="J6" s="55" t="s">
        <v>325</v>
      </c>
      <c r="K6" s="55" t="s">
        <v>396</v>
      </c>
    </row>
    <row r="7" spans="1:11" s="55" customFormat="1" ht="43.5" x14ac:dyDescent="0.25">
      <c r="A7" s="66" t="s">
        <v>272</v>
      </c>
      <c r="B7" s="67">
        <f>SUM(G7:K7)</f>
        <v>518</v>
      </c>
      <c r="C7" s="186">
        <v>1500</v>
      </c>
      <c r="D7" s="89">
        <f>B7*C7*1.1</f>
        <v>854700.00000000012</v>
      </c>
      <c r="E7" s="57">
        <v>2323200</v>
      </c>
      <c r="G7" s="55">
        <f>9+1+1+1+5+2</f>
        <v>19</v>
      </c>
      <c r="H7" s="55">
        <v>1</v>
      </c>
      <c r="I7" s="55">
        <v>5</v>
      </c>
      <c r="J7" s="55">
        <f>22*22</f>
        <v>484</v>
      </c>
      <c r="K7" s="55">
        <f>9</f>
        <v>9</v>
      </c>
    </row>
    <row r="8" spans="1:11" s="55" customFormat="1" ht="21.75" x14ac:dyDescent="0.25">
      <c r="A8" s="66" t="s">
        <v>271</v>
      </c>
      <c r="B8" s="67">
        <f>SUM(G8:M8)</f>
        <v>34</v>
      </c>
      <c r="C8" s="186">
        <v>5000</v>
      </c>
      <c r="D8" s="89">
        <f>B8*C8*1.1</f>
        <v>187000.00000000003</v>
      </c>
      <c r="E8" s="57"/>
      <c r="G8" s="55">
        <f>G7</f>
        <v>19</v>
      </c>
      <c r="H8" s="55">
        <f>H7</f>
        <v>1</v>
      </c>
      <c r="I8" s="55">
        <f>I7</f>
        <v>5</v>
      </c>
      <c r="K8" s="55">
        <f>K7</f>
        <v>9</v>
      </c>
    </row>
    <row r="9" spans="1:11" s="55" customFormat="1" ht="21.75" x14ac:dyDescent="0.25">
      <c r="A9" s="66" t="s">
        <v>401</v>
      </c>
      <c r="B9" s="67">
        <f>AREAS!G8+AREAS!G9</f>
        <v>12434.64</v>
      </c>
      <c r="C9" s="186">
        <v>78</v>
      </c>
      <c r="D9" s="89">
        <f>B9*C9*1.1</f>
        <v>1066892.112</v>
      </c>
      <c r="E9" s="57"/>
    </row>
    <row r="10" spans="1:11" s="55" customFormat="1" ht="21.75" x14ac:dyDescent="0.25">
      <c r="A10" s="66" t="s">
        <v>270</v>
      </c>
      <c r="B10" s="67">
        <f>SUM(G10:M10)</f>
        <v>67</v>
      </c>
      <c r="C10" s="186">
        <v>900</v>
      </c>
      <c r="D10" s="89">
        <f>B10*C10*1.1</f>
        <v>66330</v>
      </c>
      <c r="E10" s="57"/>
      <c r="G10" s="55">
        <f>3+2+1+4</f>
        <v>10</v>
      </c>
      <c r="H10" s="55">
        <v>1</v>
      </c>
      <c r="I10" s="55">
        <f>2+7</f>
        <v>9</v>
      </c>
      <c r="J10" s="55">
        <f>2*22</f>
        <v>44</v>
      </c>
      <c r="K10" s="55">
        <f>3</f>
        <v>3</v>
      </c>
    </row>
    <row r="11" spans="1:11" s="55" customFormat="1" ht="21.75" x14ac:dyDescent="0.25">
      <c r="A11" s="66" t="s">
        <v>269</v>
      </c>
      <c r="B11" s="67">
        <f>SUM(G11:M11)</f>
        <v>179</v>
      </c>
      <c r="C11" s="186">
        <v>2600</v>
      </c>
      <c r="D11" s="89">
        <f>B11*C11*1.1</f>
        <v>511940.00000000006</v>
      </c>
      <c r="E11" s="57"/>
      <c r="I11" s="55">
        <v>3</v>
      </c>
      <c r="J11" s="55">
        <f>8*22</f>
        <v>176</v>
      </c>
    </row>
    <row r="12" spans="1:11" s="55" customFormat="1" ht="21.75" x14ac:dyDescent="0.25">
      <c r="A12" s="314" t="s">
        <v>17</v>
      </c>
      <c r="B12" s="314"/>
      <c r="C12" s="314"/>
      <c r="D12" s="90">
        <f>SUM(D7:D11)</f>
        <v>2686862.1120000002</v>
      </c>
      <c r="E12" s="60"/>
    </row>
    <row r="13" spans="1:11" s="55" customFormat="1" ht="21.75" x14ac:dyDescent="0.25">
      <c r="A13" s="318"/>
      <c r="B13" s="318"/>
      <c r="C13" s="318"/>
      <c r="D13" s="59"/>
      <c r="E13" s="59"/>
    </row>
    <row r="14" spans="1:11" s="55" customFormat="1" ht="21.75" x14ac:dyDescent="0.25">
      <c r="A14" s="52" t="s">
        <v>268</v>
      </c>
      <c r="B14" s="53"/>
      <c r="C14" s="53"/>
      <c r="D14" s="53"/>
      <c r="E14" s="53"/>
    </row>
    <row r="15" spans="1:11" s="55" customFormat="1" ht="21.75" x14ac:dyDescent="0.25">
      <c r="A15" s="56"/>
      <c r="B15" s="57"/>
      <c r="C15" s="57"/>
      <c r="D15" s="59"/>
      <c r="E15" s="59"/>
    </row>
    <row r="16" spans="1:11" s="55" customFormat="1" ht="42" customHeight="1" x14ac:dyDescent="0.25">
      <c r="A16" s="63" t="s">
        <v>14</v>
      </c>
      <c r="B16" s="319" t="s">
        <v>5</v>
      </c>
      <c r="C16" s="320"/>
      <c r="D16" s="71" t="s">
        <v>16</v>
      </c>
      <c r="E16" s="59"/>
    </row>
    <row r="17" spans="1:5" s="55" customFormat="1" ht="21.75" x14ac:dyDescent="0.25">
      <c r="A17" s="66" t="s">
        <v>267</v>
      </c>
      <c r="B17" s="62">
        <v>2</v>
      </c>
      <c r="C17" s="62" t="s">
        <v>6</v>
      </c>
      <c r="D17" s="89">
        <f>B17*AREAS!$G$5*1.1</f>
        <v>84942.385000000009</v>
      </c>
      <c r="E17" s="57"/>
    </row>
    <row r="18" spans="1:5" s="55" customFormat="1" ht="21.75" x14ac:dyDescent="0.25">
      <c r="A18" s="66" t="s">
        <v>266</v>
      </c>
      <c r="B18" s="62">
        <v>5</v>
      </c>
      <c r="C18" s="62" t="s">
        <v>6</v>
      </c>
      <c r="D18" s="89">
        <f>B18*AREAS!$G$5*1.1</f>
        <v>212355.96250000002</v>
      </c>
      <c r="E18" s="57"/>
    </row>
    <row r="19" spans="1:5" s="55" customFormat="1" ht="21.75" x14ac:dyDescent="0.25">
      <c r="A19" s="66" t="s">
        <v>265</v>
      </c>
      <c r="B19" s="62">
        <v>3</v>
      </c>
      <c r="C19" s="62" t="s">
        <v>6</v>
      </c>
      <c r="D19" s="89">
        <f>B19*AREAS!$G$5*1.1</f>
        <v>127413.57750000001</v>
      </c>
      <c r="E19" s="57"/>
    </row>
    <row r="20" spans="1:5" s="55" customFormat="1" ht="43.5" x14ac:dyDescent="0.25">
      <c r="A20" s="66" t="s">
        <v>264</v>
      </c>
      <c r="B20" s="62">
        <v>5</v>
      </c>
      <c r="C20" s="62" t="s">
        <v>6</v>
      </c>
      <c r="D20" s="89">
        <f>B20*AREAS!$G$5*1.1</f>
        <v>212355.96250000002</v>
      </c>
      <c r="E20" s="57"/>
    </row>
    <row r="21" spans="1:5" s="55" customFormat="1" ht="21.75" x14ac:dyDescent="0.25">
      <c r="A21" s="314" t="s">
        <v>17</v>
      </c>
      <c r="B21" s="314"/>
      <c r="C21" s="314"/>
      <c r="D21" s="90">
        <f>SUM(D17:D20)</f>
        <v>637067.88750000007</v>
      </c>
      <c r="E21" s="60"/>
    </row>
    <row r="22" spans="1:5" s="55" customFormat="1" ht="21.75" x14ac:dyDescent="0.25">
      <c r="A22" s="318"/>
      <c r="B22" s="318"/>
      <c r="C22" s="318"/>
      <c r="D22" s="59"/>
      <c r="E22" s="59"/>
    </row>
    <row r="23" spans="1:5" s="55" customFormat="1" ht="21.75" x14ac:dyDescent="0.25">
      <c r="A23" s="52" t="s">
        <v>263</v>
      </c>
      <c r="B23" s="53"/>
      <c r="C23" s="53"/>
      <c r="D23" s="53"/>
      <c r="E23" s="53"/>
    </row>
    <row r="24" spans="1:5" s="55" customFormat="1" ht="21.75" x14ac:dyDescent="0.25">
      <c r="A24" s="56"/>
      <c r="B24" s="57"/>
      <c r="C24" s="57"/>
      <c r="D24" s="59"/>
      <c r="E24" s="59"/>
    </row>
    <row r="25" spans="1:5" s="55" customFormat="1" ht="42" customHeight="1" x14ac:dyDescent="0.25">
      <c r="A25" s="63" t="s">
        <v>14</v>
      </c>
      <c r="B25" s="65" t="s">
        <v>18</v>
      </c>
      <c r="C25" s="71" t="s">
        <v>262</v>
      </c>
      <c r="D25" s="71" t="s">
        <v>16</v>
      </c>
      <c r="E25" s="59"/>
    </row>
    <row r="26" spans="1:5" s="55" customFormat="1" ht="26.25" customHeight="1" x14ac:dyDescent="0.25">
      <c r="A26" s="70" t="s">
        <v>261</v>
      </c>
      <c r="B26" s="67">
        <v>5</v>
      </c>
      <c r="C26" s="186">
        <f>486310*1.5</f>
        <v>729465</v>
      </c>
      <c r="D26" s="89">
        <f t="shared" ref="D26:D39" si="0">B26*C26*1.1</f>
        <v>4012057.5000000005</v>
      </c>
      <c r="E26" s="57" t="s">
        <v>398</v>
      </c>
    </row>
    <row r="27" spans="1:5" s="55" customFormat="1" ht="26.25" customHeight="1" x14ac:dyDescent="0.25">
      <c r="A27" s="70" t="s">
        <v>260</v>
      </c>
      <c r="B27" s="67">
        <v>1</v>
      </c>
      <c r="C27" s="186">
        <v>300000</v>
      </c>
      <c r="D27" s="89">
        <f t="shared" si="0"/>
        <v>330000</v>
      </c>
      <c r="E27" s="57"/>
    </row>
    <row r="28" spans="1:5" s="55" customFormat="1" ht="26.25" customHeight="1" x14ac:dyDescent="0.25">
      <c r="A28" s="70" t="s">
        <v>342</v>
      </c>
      <c r="B28" s="67">
        <v>1</v>
      </c>
      <c r="C28" s="186">
        <v>245000</v>
      </c>
      <c r="D28" s="89">
        <f t="shared" si="0"/>
        <v>269500</v>
      </c>
      <c r="E28" s="57"/>
    </row>
    <row r="29" spans="1:5" s="55" customFormat="1" ht="26.25" customHeight="1" x14ac:dyDescent="0.25">
      <c r="A29" s="70" t="s">
        <v>317</v>
      </c>
      <c r="B29" s="67">
        <v>0</v>
      </c>
      <c r="C29" s="186">
        <f>50*DADOS_INICIAIS!F9</f>
        <v>3691561</v>
      </c>
      <c r="D29" s="89">
        <f t="shared" si="0"/>
        <v>0</v>
      </c>
      <c r="E29" s="57"/>
    </row>
    <row r="30" spans="1:5" s="55" customFormat="1" ht="26.25" customHeight="1" x14ac:dyDescent="0.25">
      <c r="A30" s="70" t="s">
        <v>318</v>
      </c>
      <c r="B30" s="67">
        <v>1</v>
      </c>
      <c r="C30" s="186">
        <f>(440422.6/42000)*AREAS!G5</f>
        <v>404876.03952273814</v>
      </c>
      <c r="D30" s="89">
        <f t="shared" si="0"/>
        <v>445363.64347501198</v>
      </c>
      <c r="E30" s="57" t="s">
        <v>400</v>
      </c>
    </row>
    <row r="31" spans="1:5" s="55" customFormat="1" ht="26.25" customHeight="1" x14ac:dyDescent="0.25">
      <c r="A31" s="70" t="s">
        <v>331</v>
      </c>
      <c r="B31" s="67">
        <v>0</v>
      </c>
      <c r="C31" s="186">
        <v>110000</v>
      </c>
      <c r="D31" s="89">
        <f t="shared" si="0"/>
        <v>0</v>
      </c>
      <c r="E31" s="57"/>
    </row>
    <row r="32" spans="1:5" s="55" customFormat="1" ht="26.25" customHeight="1" x14ac:dyDescent="0.25">
      <c r="A32" s="70" t="s">
        <v>259</v>
      </c>
      <c r="B32" s="67">
        <v>0</v>
      </c>
      <c r="C32" s="186">
        <v>547</v>
      </c>
      <c r="D32" s="89">
        <f t="shared" si="0"/>
        <v>0</v>
      </c>
      <c r="E32" s="57"/>
    </row>
    <row r="33" spans="1:9" s="55" customFormat="1" ht="26.25" customHeight="1" x14ac:dyDescent="0.25">
      <c r="A33" s="70" t="s">
        <v>329</v>
      </c>
      <c r="B33" s="67">
        <v>0</v>
      </c>
      <c r="C33" s="186">
        <v>10500</v>
      </c>
      <c r="D33" s="89">
        <f t="shared" si="0"/>
        <v>0</v>
      </c>
      <c r="E33" s="57"/>
    </row>
    <row r="34" spans="1:9" s="55" customFormat="1" ht="26.25" customHeight="1" x14ac:dyDescent="0.25">
      <c r="A34" s="70" t="s">
        <v>392</v>
      </c>
      <c r="B34" s="67">
        <v>1</v>
      </c>
      <c r="C34" s="186">
        <v>12630</v>
      </c>
      <c r="D34" s="89">
        <f t="shared" si="0"/>
        <v>13893.000000000002</v>
      </c>
      <c r="E34" s="57"/>
    </row>
    <row r="35" spans="1:9" s="55" customFormat="1" ht="26.25" customHeight="1" x14ac:dyDescent="0.25">
      <c r="A35" s="70" t="s">
        <v>388</v>
      </c>
      <c r="B35" s="67">
        <v>1</v>
      </c>
      <c r="C35" s="186">
        <v>4500</v>
      </c>
      <c r="D35" s="89">
        <f t="shared" si="0"/>
        <v>4950</v>
      </c>
      <c r="E35" s="57"/>
    </row>
    <row r="36" spans="1:9" s="55" customFormat="1" ht="26.25" customHeight="1" x14ac:dyDescent="0.25">
      <c r="A36" s="70" t="s">
        <v>389</v>
      </c>
      <c r="B36" s="67">
        <v>0</v>
      </c>
      <c r="C36" s="186">
        <v>5000</v>
      </c>
      <c r="D36" s="89">
        <f t="shared" si="0"/>
        <v>0</v>
      </c>
      <c r="E36" s="57"/>
    </row>
    <row r="37" spans="1:9" s="55" customFormat="1" ht="26.25" customHeight="1" x14ac:dyDescent="0.25">
      <c r="A37" s="70" t="s">
        <v>390</v>
      </c>
      <c r="B37" s="67">
        <v>1</v>
      </c>
      <c r="C37" s="186">
        <v>80000</v>
      </c>
      <c r="D37" s="89">
        <f t="shared" si="0"/>
        <v>88000</v>
      </c>
      <c r="E37" s="57"/>
    </row>
    <row r="38" spans="1:9" s="55" customFormat="1" ht="26.25" customHeight="1" x14ac:dyDescent="0.25">
      <c r="A38" s="70" t="s">
        <v>393</v>
      </c>
      <c r="B38" s="67">
        <v>1</v>
      </c>
      <c r="C38" s="186">
        <v>26000</v>
      </c>
      <c r="D38" s="89">
        <f t="shared" si="0"/>
        <v>28600.000000000004</v>
      </c>
      <c r="E38" s="57"/>
    </row>
    <row r="39" spans="1:9" s="55" customFormat="1" ht="26.25" customHeight="1" x14ac:dyDescent="0.25">
      <c r="A39" s="70" t="s">
        <v>391</v>
      </c>
      <c r="B39" s="67">
        <v>1</v>
      </c>
      <c r="C39" s="186">
        <f>250000/4</f>
        <v>62500</v>
      </c>
      <c r="D39" s="89">
        <f t="shared" si="0"/>
        <v>68750</v>
      </c>
      <c r="E39" s="57"/>
    </row>
    <row r="40" spans="1:9" s="55" customFormat="1" ht="21.75" x14ac:dyDescent="0.25">
      <c r="A40" s="314" t="s">
        <v>17</v>
      </c>
      <c r="B40" s="314"/>
      <c r="C40" s="314"/>
      <c r="D40" s="90">
        <f>SUM(D26:D39)</f>
        <v>5261114.1434750119</v>
      </c>
      <c r="E40" s="60"/>
    </row>
    <row r="41" spans="1:9" x14ac:dyDescent="0.25">
      <c r="I41" s="47"/>
    </row>
    <row r="42" spans="1:9" s="55" customFormat="1" ht="21.75" x14ac:dyDescent="0.25">
      <c r="A42" s="52" t="s">
        <v>258</v>
      </c>
      <c r="B42" s="53"/>
      <c r="C42" s="53"/>
      <c r="D42" s="53"/>
      <c r="E42" s="53"/>
    </row>
    <row r="43" spans="1:9" s="55" customFormat="1" ht="21.75" x14ac:dyDescent="0.25">
      <c r="A43" s="56"/>
      <c r="B43" s="57"/>
      <c r="C43" s="57"/>
      <c r="D43" s="59"/>
      <c r="E43" s="59"/>
    </row>
    <row r="44" spans="1:9" s="55" customFormat="1" ht="40.5" customHeight="1" x14ac:dyDescent="0.25">
      <c r="A44" s="63" t="s">
        <v>14</v>
      </c>
      <c r="B44" s="319" t="s">
        <v>5</v>
      </c>
      <c r="C44" s="320"/>
      <c r="D44" s="71" t="s">
        <v>16</v>
      </c>
      <c r="E44" s="59"/>
    </row>
    <row r="45" spans="1:9" s="55" customFormat="1" ht="26.25" customHeight="1" x14ac:dyDescent="0.25">
      <c r="A45" s="70" t="s">
        <v>257</v>
      </c>
      <c r="B45" s="62">
        <v>30</v>
      </c>
      <c r="C45" s="62" t="s">
        <v>6</v>
      </c>
      <c r="D45" s="89">
        <f>B45*AREAS!G5*1.1</f>
        <v>1274135.7750000001</v>
      </c>
      <c r="E45" s="102"/>
    </row>
    <row r="46" spans="1:9" s="55" customFormat="1" ht="21.75" x14ac:dyDescent="0.25">
      <c r="A46" s="314" t="s">
        <v>17</v>
      </c>
      <c r="B46" s="314"/>
      <c r="C46" s="314"/>
      <c r="D46" s="90">
        <f>SUM(D45:D45)</f>
        <v>1274135.7750000001</v>
      </c>
      <c r="E46" s="103"/>
    </row>
    <row r="47" spans="1:9" x14ac:dyDescent="0.25">
      <c r="D47" s="107"/>
      <c r="E47" s="107"/>
      <c r="I47" s="47"/>
    </row>
    <row r="48" spans="1:9" ht="23.25" customHeight="1" x14ac:dyDescent="0.25">
      <c r="A48" s="311" t="s">
        <v>256</v>
      </c>
      <c r="B48" s="312"/>
      <c r="C48" s="313"/>
      <c r="D48" s="108">
        <f>D12+D21+D40+D46</f>
        <v>9859179.9179750122</v>
      </c>
      <c r="E48" s="108">
        <f>D48/AREAS!G5</f>
        <v>255.35185784511495</v>
      </c>
    </row>
  </sheetData>
  <mergeCells count="10">
    <mergeCell ref="A40:C40"/>
    <mergeCell ref="B44:C44"/>
    <mergeCell ref="A46:C46"/>
    <mergeCell ref="A48:C48"/>
    <mergeCell ref="A2:E2"/>
    <mergeCell ref="A12:C12"/>
    <mergeCell ref="A13:C13"/>
    <mergeCell ref="B16:C16"/>
    <mergeCell ref="A21:C21"/>
    <mergeCell ref="A22:C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I47"/>
  <sheetViews>
    <sheetView showGridLines="0" topLeftCell="A22" zoomScale="85" zoomScaleNormal="85" zoomScaleSheetLayoutView="95" workbookViewId="0">
      <selection activeCell="D37" sqref="D37:D38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9" x14ac:dyDescent="0.25">
      <c r="A1" s="48"/>
      <c r="B1" s="48"/>
      <c r="C1" s="48"/>
      <c r="D1" s="48"/>
      <c r="E1" s="48"/>
    </row>
    <row r="2" spans="1:9" ht="28.5" x14ac:dyDescent="0.25">
      <c r="A2" s="315" t="s">
        <v>274</v>
      </c>
      <c r="B2" s="316"/>
      <c r="C2" s="316"/>
      <c r="D2" s="316"/>
      <c r="E2" s="317"/>
    </row>
    <row r="3" spans="1:9" x14ac:dyDescent="0.25">
      <c r="A3" s="50"/>
      <c r="B3" s="50"/>
      <c r="C3" s="50"/>
      <c r="D3" s="48"/>
      <c r="E3" s="48"/>
    </row>
    <row r="4" spans="1:9" s="55" customFormat="1" ht="21.75" x14ac:dyDescent="0.25">
      <c r="A4" s="52" t="s">
        <v>273</v>
      </c>
      <c r="B4" s="53"/>
      <c r="C4" s="53"/>
      <c r="D4" s="53"/>
      <c r="E4" s="53"/>
    </row>
    <row r="5" spans="1:9" s="55" customFormat="1" ht="21.75" x14ac:dyDescent="0.25">
      <c r="A5" s="56"/>
      <c r="B5" s="57"/>
      <c r="C5" s="57"/>
      <c r="D5" s="59"/>
      <c r="E5" s="59"/>
    </row>
    <row r="6" spans="1:9" s="55" customFormat="1" ht="42" customHeight="1" x14ac:dyDescent="0.25">
      <c r="A6" s="63" t="s">
        <v>14</v>
      </c>
      <c r="B6" s="65" t="s">
        <v>18</v>
      </c>
      <c r="C6" s="71" t="s">
        <v>262</v>
      </c>
      <c r="D6" s="71" t="s">
        <v>16</v>
      </c>
      <c r="E6" s="59"/>
      <c r="G6" s="55" t="s">
        <v>395</v>
      </c>
      <c r="H6" s="55" t="s">
        <v>326</v>
      </c>
      <c r="I6" s="55" t="s">
        <v>397</v>
      </c>
    </row>
    <row r="7" spans="1:9" s="55" customFormat="1" ht="43.5" x14ac:dyDescent="0.25">
      <c r="A7" s="66" t="s">
        <v>272</v>
      </c>
      <c r="B7" s="67">
        <f>SUM(G7:I7)</f>
        <v>890</v>
      </c>
      <c r="C7" s="186">
        <v>1500</v>
      </c>
      <c r="D7" s="89">
        <f>B7*C7*1.1</f>
        <v>1468500.0000000002</v>
      </c>
      <c r="E7" s="57">
        <v>2323200</v>
      </c>
      <c r="G7" s="55">
        <v>4</v>
      </c>
      <c r="H7" s="55">
        <f>22*22+22*18</f>
        <v>880</v>
      </c>
      <c r="I7" s="55">
        <f>6</f>
        <v>6</v>
      </c>
    </row>
    <row r="8" spans="1:9" s="55" customFormat="1" ht="21.75" x14ac:dyDescent="0.25">
      <c r="A8" s="66" t="s">
        <v>271</v>
      </c>
      <c r="B8" s="67">
        <f>SUM(G8:K8)</f>
        <v>10</v>
      </c>
      <c r="C8" s="186">
        <v>5000</v>
      </c>
      <c r="D8" s="89">
        <f>B8*C8*1.1</f>
        <v>55000.000000000007</v>
      </c>
      <c r="E8" s="57"/>
      <c r="G8" s="55">
        <f>G7</f>
        <v>4</v>
      </c>
      <c r="I8" s="55">
        <f>I7</f>
        <v>6</v>
      </c>
    </row>
    <row r="9" spans="1:9" s="55" customFormat="1" ht="21.75" x14ac:dyDescent="0.25">
      <c r="A9" s="66" t="s">
        <v>270</v>
      </c>
      <c r="B9" s="67">
        <f>SUM(G9:K9)</f>
        <v>65</v>
      </c>
      <c r="C9" s="186">
        <v>900</v>
      </c>
      <c r="D9" s="89">
        <f>B9*C9*1.1</f>
        <v>64350.000000000007</v>
      </c>
      <c r="E9" s="57"/>
      <c r="G9" s="55">
        <f>7+2+5</f>
        <v>14</v>
      </c>
      <c r="H9" s="55">
        <f>2*22+2*1</f>
        <v>46</v>
      </c>
      <c r="I9" s="55">
        <f>2+3</f>
        <v>5</v>
      </c>
    </row>
    <row r="10" spans="1:9" s="55" customFormat="1" ht="21.75" x14ac:dyDescent="0.25">
      <c r="A10" s="66" t="s">
        <v>269</v>
      </c>
      <c r="B10" s="67">
        <f>SUM(G10:K10)</f>
        <v>323</v>
      </c>
      <c r="C10" s="186">
        <v>2600</v>
      </c>
      <c r="D10" s="89">
        <f>B10*C10*1.1</f>
        <v>923780.00000000012</v>
      </c>
      <c r="E10" s="57"/>
      <c r="G10" s="55">
        <v>2</v>
      </c>
      <c r="H10" s="55">
        <f>8*22+8*18</f>
        <v>320</v>
      </c>
      <c r="I10" s="55">
        <f>1</f>
        <v>1</v>
      </c>
    </row>
    <row r="11" spans="1:9" s="55" customFormat="1" ht="21.75" x14ac:dyDescent="0.25">
      <c r="A11" s="314" t="s">
        <v>17</v>
      </c>
      <c r="B11" s="314"/>
      <c r="C11" s="314"/>
      <c r="D11" s="90">
        <f>SUM(D7:D10)</f>
        <v>2511630.0000000005</v>
      </c>
      <c r="E11" s="60"/>
    </row>
    <row r="12" spans="1:9" s="55" customFormat="1" ht="21.75" x14ac:dyDescent="0.25">
      <c r="A12" s="318"/>
      <c r="B12" s="318"/>
      <c r="C12" s="318"/>
      <c r="D12" s="59"/>
      <c r="E12" s="59"/>
    </row>
    <row r="13" spans="1:9" s="55" customFormat="1" ht="21.75" x14ac:dyDescent="0.25">
      <c r="A13" s="52" t="s">
        <v>268</v>
      </c>
      <c r="B13" s="53"/>
      <c r="C13" s="53"/>
      <c r="D13" s="53"/>
      <c r="E13" s="53"/>
    </row>
    <row r="14" spans="1:9" s="55" customFormat="1" ht="21.75" x14ac:dyDescent="0.25">
      <c r="A14" s="56"/>
      <c r="B14" s="57"/>
      <c r="C14" s="57"/>
      <c r="D14" s="59"/>
      <c r="E14" s="59"/>
    </row>
    <row r="15" spans="1:9" s="55" customFormat="1" ht="42" customHeight="1" x14ac:dyDescent="0.25">
      <c r="A15" s="63" t="s">
        <v>14</v>
      </c>
      <c r="B15" s="319" t="s">
        <v>5</v>
      </c>
      <c r="C15" s="320"/>
      <c r="D15" s="71" t="s">
        <v>16</v>
      </c>
      <c r="E15" s="59"/>
    </row>
    <row r="16" spans="1:9" s="55" customFormat="1" ht="21.75" x14ac:dyDescent="0.25">
      <c r="A16" s="66" t="s">
        <v>267</v>
      </c>
      <c r="B16" s="62">
        <v>2</v>
      </c>
      <c r="C16" s="62" t="s">
        <v>6</v>
      </c>
      <c r="D16" s="89">
        <f>B16*AREAS!$H$5*1.1</f>
        <v>75248.767000000007</v>
      </c>
      <c r="E16" s="57"/>
    </row>
    <row r="17" spans="1:5" s="55" customFormat="1" ht="21.75" x14ac:dyDescent="0.25">
      <c r="A17" s="66" t="s">
        <v>266</v>
      </c>
      <c r="B17" s="62">
        <v>5</v>
      </c>
      <c r="C17" s="62" t="s">
        <v>6</v>
      </c>
      <c r="D17" s="89">
        <f>B17*AREAS!$H$5*1.1</f>
        <v>188121.91750000001</v>
      </c>
      <c r="E17" s="57"/>
    </row>
    <row r="18" spans="1:5" s="55" customFormat="1" ht="21.75" x14ac:dyDescent="0.25">
      <c r="A18" s="66" t="s">
        <v>265</v>
      </c>
      <c r="B18" s="62">
        <v>3</v>
      </c>
      <c r="C18" s="62" t="s">
        <v>6</v>
      </c>
      <c r="D18" s="89">
        <f>B18*AREAS!$H$5*1.1</f>
        <v>112873.15050000002</v>
      </c>
      <c r="E18" s="57"/>
    </row>
    <row r="19" spans="1:5" s="55" customFormat="1" ht="43.5" x14ac:dyDescent="0.25">
      <c r="A19" s="66" t="s">
        <v>264</v>
      </c>
      <c r="B19" s="62">
        <v>5</v>
      </c>
      <c r="C19" s="62" t="s">
        <v>6</v>
      </c>
      <c r="D19" s="89">
        <f>B19*AREAS!$H$5*1.1</f>
        <v>188121.91750000001</v>
      </c>
      <c r="E19" s="57"/>
    </row>
    <row r="20" spans="1:5" s="55" customFormat="1" ht="21.75" x14ac:dyDescent="0.25">
      <c r="A20" s="314" t="s">
        <v>17</v>
      </c>
      <c r="B20" s="314"/>
      <c r="C20" s="314"/>
      <c r="D20" s="90">
        <f>SUM(D16:D19)</f>
        <v>564365.75250000006</v>
      </c>
      <c r="E20" s="60"/>
    </row>
    <row r="21" spans="1:5" s="55" customFormat="1" ht="21.75" x14ac:dyDescent="0.25">
      <c r="A21" s="318"/>
      <c r="B21" s="318"/>
      <c r="C21" s="318"/>
      <c r="D21" s="59"/>
      <c r="E21" s="59"/>
    </row>
    <row r="22" spans="1:5" s="55" customFormat="1" ht="21.75" x14ac:dyDescent="0.25">
      <c r="A22" s="52" t="s">
        <v>263</v>
      </c>
      <c r="B22" s="53"/>
      <c r="C22" s="53"/>
      <c r="D22" s="53"/>
      <c r="E22" s="53"/>
    </row>
    <row r="23" spans="1:5" s="55" customFormat="1" ht="21.75" x14ac:dyDescent="0.25">
      <c r="A23" s="56"/>
      <c r="B23" s="57"/>
      <c r="C23" s="57"/>
      <c r="D23" s="59"/>
      <c r="E23" s="59"/>
    </row>
    <row r="24" spans="1:5" s="55" customFormat="1" ht="42" customHeight="1" x14ac:dyDescent="0.25">
      <c r="A24" s="63" t="s">
        <v>14</v>
      </c>
      <c r="B24" s="65" t="s">
        <v>18</v>
      </c>
      <c r="C24" s="71" t="s">
        <v>262</v>
      </c>
      <c r="D24" s="71" t="s">
        <v>16</v>
      </c>
      <c r="E24" s="59"/>
    </row>
    <row r="25" spans="1:5" s="55" customFormat="1" ht="26.25" customHeight="1" x14ac:dyDescent="0.25">
      <c r="A25" s="70" t="s">
        <v>261</v>
      </c>
      <c r="B25" s="67">
        <v>6</v>
      </c>
      <c r="C25" s="186">
        <f>813912.09*1.5</f>
        <v>1220868.135</v>
      </c>
      <c r="D25" s="89">
        <f t="shared" ref="D25:D37" si="0">B25*C25*1.1</f>
        <v>8057729.6910000015</v>
      </c>
      <c r="E25" s="57" t="s">
        <v>399</v>
      </c>
    </row>
    <row r="26" spans="1:5" s="55" customFormat="1" ht="26.25" customHeight="1" x14ac:dyDescent="0.25">
      <c r="A26" s="70" t="s">
        <v>260</v>
      </c>
      <c r="B26" s="67">
        <v>0</v>
      </c>
      <c r="C26" s="186">
        <v>80000</v>
      </c>
      <c r="D26" s="89">
        <f t="shared" si="0"/>
        <v>0</v>
      </c>
      <c r="E26" s="57"/>
    </row>
    <row r="27" spans="1:5" s="55" customFormat="1" ht="26.25" customHeight="1" x14ac:dyDescent="0.25">
      <c r="A27" s="70" t="s">
        <v>342</v>
      </c>
      <c r="B27" s="67">
        <v>1</v>
      </c>
      <c r="C27" s="186">
        <v>245000</v>
      </c>
      <c r="D27" s="89">
        <f t="shared" si="0"/>
        <v>269500</v>
      </c>
      <c r="E27" s="57"/>
    </row>
    <row r="28" spans="1:5" s="55" customFormat="1" ht="26.25" customHeight="1" x14ac:dyDescent="0.25">
      <c r="A28" s="70" t="s">
        <v>317</v>
      </c>
      <c r="B28" s="67">
        <v>0</v>
      </c>
      <c r="C28" s="186">
        <f>50*DADOS_INICIAIS!F9</f>
        <v>3691561</v>
      </c>
      <c r="D28" s="89">
        <f t="shared" si="0"/>
        <v>0</v>
      </c>
      <c r="E28" s="57"/>
    </row>
    <row r="29" spans="1:5" s="55" customFormat="1" ht="26.25" customHeight="1" x14ac:dyDescent="0.25">
      <c r="A29" s="70" t="s">
        <v>318</v>
      </c>
      <c r="B29" s="67">
        <v>1</v>
      </c>
      <c r="C29" s="186">
        <f>(440422.6/42000)*AREAS!H5</f>
        <v>358671.61914430954</v>
      </c>
      <c r="D29" s="89">
        <f t="shared" si="0"/>
        <v>394538.78105874051</v>
      </c>
      <c r="E29" s="57"/>
    </row>
    <row r="30" spans="1:5" s="55" customFormat="1" ht="26.25" customHeight="1" x14ac:dyDescent="0.25">
      <c r="A30" s="70" t="s">
        <v>331</v>
      </c>
      <c r="B30" s="67">
        <v>0</v>
      </c>
      <c r="C30" s="186">
        <v>110000</v>
      </c>
      <c r="D30" s="89">
        <f t="shared" si="0"/>
        <v>0</v>
      </c>
      <c r="E30" s="57"/>
    </row>
    <row r="31" spans="1:5" s="55" customFormat="1" ht="26.25" customHeight="1" x14ac:dyDescent="0.25">
      <c r="A31" s="70" t="s">
        <v>259</v>
      </c>
      <c r="B31" s="67">
        <v>0</v>
      </c>
      <c r="C31" s="186">
        <v>547</v>
      </c>
      <c r="D31" s="89">
        <f t="shared" si="0"/>
        <v>0</v>
      </c>
      <c r="E31" s="57"/>
    </row>
    <row r="32" spans="1:5" s="55" customFormat="1" ht="26.25" customHeight="1" x14ac:dyDescent="0.25">
      <c r="A32" s="70" t="s">
        <v>329</v>
      </c>
      <c r="B32" s="67">
        <v>0</v>
      </c>
      <c r="C32" s="186">
        <v>10500</v>
      </c>
      <c r="D32" s="89">
        <f t="shared" si="0"/>
        <v>0</v>
      </c>
      <c r="E32" s="57"/>
    </row>
    <row r="33" spans="1:7" s="55" customFormat="1" ht="26.25" customHeight="1" x14ac:dyDescent="0.25">
      <c r="A33" s="70" t="s">
        <v>392</v>
      </c>
      <c r="B33" s="67">
        <v>1</v>
      </c>
      <c r="C33" s="186">
        <v>12630</v>
      </c>
      <c r="D33" s="89">
        <f t="shared" si="0"/>
        <v>13893.000000000002</v>
      </c>
      <c r="E33" s="57"/>
    </row>
    <row r="34" spans="1:7" s="55" customFormat="1" ht="26.25" customHeight="1" x14ac:dyDescent="0.25">
      <c r="A34" s="70" t="s">
        <v>388</v>
      </c>
      <c r="B34" s="67">
        <v>1</v>
      </c>
      <c r="C34" s="186">
        <v>4500</v>
      </c>
      <c r="D34" s="89">
        <f t="shared" ref="D34" si="1">B34*C34*1.1</f>
        <v>4950</v>
      </c>
      <c r="E34" s="57"/>
    </row>
    <row r="35" spans="1:7" s="55" customFormat="1" ht="26.25" customHeight="1" x14ac:dyDescent="0.25">
      <c r="A35" s="70" t="s">
        <v>389</v>
      </c>
      <c r="B35" s="67">
        <v>1</v>
      </c>
      <c r="C35" s="186">
        <v>5000</v>
      </c>
      <c r="D35" s="89">
        <f t="shared" si="0"/>
        <v>5500</v>
      </c>
      <c r="E35" s="57"/>
    </row>
    <row r="36" spans="1:7" s="55" customFormat="1" ht="26.25" customHeight="1" x14ac:dyDescent="0.25">
      <c r="A36" s="70" t="s">
        <v>390</v>
      </c>
      <c r="B36" s="67">
        <v>1</v>
      </c>
      <c r="C36" s="186">
        <v>80000</v>
      </c>
      <c r="D36" s="89">
        <f t="shared" si="0"/>
        <v>88000</v>
      </c>
      <c r="E36" s="57"/>
    </row>
    <row r="37" spans="1:7" s="55" customFormat="1" ht="26.25" customHeight="1" x14ac:dyDescent="0.25">
      <c r="A37" s="70" t="s">
        <v>393</v>
      </c>
      <c r="B37" s="67">
        <v>1</v>
      </c>
      <c r="C37" s="186">
        <v>26000</v>
      </c>
      <c r="D37" s="89">
        <f t="shared" si="0"/>
        <v>28600.000000000004</v>
      </c>
      <c r="E37" s="57"/>
    </row>
    <row r="38" spans="1:7" s="55" customFormat="1" ht="26.25" customHeight="1" x14ac:dyDescent="0.25">
      <c r="A38" s="70" t="s">
        <v>391</v>
      </c>
      <c r="B38" s="67">
        <v>1</v>
      </c>
      <c r="C38" s="186">
        <f>250000/4</f>
        <v>62500</v>
      </c>
      <c r="D38" s="89">
        <f t="shared" ref="D38" si="2">B38*C38*1.1</f>
        <v>68750</v>
      </c>
      <c r="E38" s="57"/>
    </row>
    <row r="39" spans="1:7" s="55" customFormat="1" ht="21.75" x14ac:dyDescent="0.25">
      <c r="A39" s="314" t="s">
        <v>17</v>
      </c>
      <c r="B39" s="314"/>
      <c r="C39" s="314"/>
      <c r="D39" s="90">
        <f>SUM(D25:D38)</f>
        <v>8931461.4720587414</v>
      </c>
      <c r="E39" s="60"/>
    </row>
    <row r="40" spans="1:7" x14ac:dyDescent="0.25">
      <c r="G40" s="47"/>
    </row>
    <row r="41" spans="1:7" s="55" customFormat="1" ht="21.75" x14ac:dyDescent="0.25">
      <c r="A41" s="52" t="s">
        <v>258</v>
      </c>
      <c r="B41" s="53"/>
      <c r="C41" s="53"/>
      <c r="D41" s="53"/>
      <c r="E41" s="53"/>
    </row>
    <row r="42" spans="1:7" s="55" customFormat="1" ht="21.75" x14ac:dyDescent="0.25">
      <c r="A42" s="56"/>
      <c r="B42" s="57"/>
      <c r="C42" s="57"/>
      <c r="D42" s="59"/>
      <c r="E42" s="59"/>
    </row>
    <row r="43" spans="1:7" s="55" customFormat="1" ht="40.5" customHeight="1" x14ac:dyDescent="0.25">
      <c r="A43" s="63" t="s">
        <v>14</v>
      </c>
      <c r="B43" s="319" t="s">
        <v>5</v>
      </c>
      <c r="C43" s="320"/>
      <c r="D43" s="71" t="s">
        <v>16</v>
      </c>
      <c r="E43" s="59"/>
    </row>
    <row r="44" spans="1:7" s="55" customFormat="1" ht="26.25" customHeight="1" x14ac:dyDescent="0.25">
      <c r="A44" s="70" t="s">
        <v>257</v>
      </c>
      <c r="B44" s="62">
        <v>30</v>
      </c>
      <c r="C44" s="62" t="s">
        <v>6</v>
      </c>
      <c r="D44" s="89">
        <f>B44*AREAS!H5*1.1</f>
        <v>1128731.5050000001</v>
      </c>
      <c r="E44" s="102"/>
    </row>
    <row r="45" spans="1:7" s="55" customFormat="1" ht="21.75" x14ac:dyDescent="0.25">
      <c r="A45" s="314" t="s">
        <v>17</v>
      </c>
      <c r="B45" s="314"/>
      <c r="C45" s="314"/>
      <c r="D45" s="90">
        <f>SUM(D44:D44)</f>
        <v>1128731.5050000001</v>
      </c>
      <c r="E45" s="103"/>
    </row>
    <row r="46" spans="1:7" x14ac:dyDescent="0.25">
      <c r="D46" s="107"/>
      <c r="E46" s="107"/>
      <c r="G46" s="47"/>
    </row>
    <row r="47" spans="1:7" ht="23.25" customHeight="1" x14ac:dyDescent="0.25">
      <c r="A47" s="311" t="s">
        <v>256</v>
      </c>
      <c r="B47" s="312"/>
      <c r="C47" s="313"/>
      <c r="D47" s="108">
        <f>D11+D20+D39+D45</f>
        <v>13136188.729558742</v>
      </c>
      <c r="E47" s="108">
        <f>D47/AREAS!H5</f>
        <v>384.05433546876895</v>
      </c>
    </row>
  </sheetData>
  <mergeCells count="10">
    <mergeCell ref="A39:C39"/>
    <mergeCell ref="A47:C47"/>
    <mergeCell ref="B43:C43"/>
    <mergeCell ref="A45:C45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FFFF00"/>
  </sheetPr>
  <dimension ref="A1:L41"/>
  <sheetViews>
    <sheetView showGridLines="0" topLeftCell="A8" zoomScale="80" zoomScaleNormal="80" zoomScaleSheetLayoutView="95" workbookViewId="0">
      <selection activeCell="D36" sqref="D36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15" t="s">
        <v>227</v>
      </c>
      <c r="B3" s="323"/>
      <c r="C3" s="323"/>
      <c r="D3" s="316"/>
      <c r="E3" s="316"/>
      <c r="F3" s="316"/>
      <c r="G3" s="316"/>
      <c r="H3" s="317"/>
      <c r="J3" s="79"/>
    </row>
    <row r="4" spans="1:10" ht="19.5" x14ac:dyDescent="0.25">
      <c r="A4" s="187" t="s">
        <v>184</v>
      </c>
      <c r="B4" s="193">
        <v>45457</v>
      </c>
      <c r="C4" s="191"/>
      <c r="D4" s="191"/>
      <c r="E4" s="191"/>
      <c r="F4" s="191"/>
      <c r="G4" s="191"/>
      <c r="H4" s="192"/>
      <c r="J4" s="79"/>
    </row>
    <row r="5" spans="1:10" ht="19.5" x14ac:dyDescent="0.25">
      <c r="A5" s="187" t="s">
        <v>295</v>
      </c>
      <c r="B5" s="194" t="s">
        <v>213</v>
      </c>
      <c r="C5" s="189"/>
      <c r="D5" s="189"/>
      <c r="E5" s="189"/>
      <c r="F5" s="189"/>
      <c r="G5" s="189"/>
      <c r="H5" s="190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402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19" t="s">
        <v>5</v>
      </c>
      <c r="C9" s="320"/>
      <c r="D9" s="319" t="s">
        <v>18</v>
      </c>
      <c r="E9" s="320"/>
      <c r="F9" s="65" t="s">
        <v>118</v>
      </c>
      <c r="G9" s="71" t="s">
        <v>16</v>
      </c>
      <c r="H9" s="90" t="s">
        <v>298</v>
      </c>
    </row>
    <row r="10" spans="1:10" ht="21.75" x14ac:dyDescent="0.25">
      <c r="A10" s="66" t="s">
        <v>226</v>
      </c>
      <c r="B10" s="62">
        <v>25</v>
      </c>
      <c r="C10" s="62" t="s">
        <v>170</v>
      </c>
      <c r="D10" s="67">
        <f>D15+D16</f>
        <v>21235.596250000002</v>
      </c>
      <c r="E10" s="67" t="s">
        <v>2</v>
      </c>
      <c r="F10" s="88">
        <v>22</v>
      </c>
      <c r="G10" s="89">
        <f t="shared" ref="G10:G19" si="0">F10*D10*1.1</f>
        <v>513901.4292500001</v>
      </c>
      <c r="H10" s="67"/>
    </row>
    <row r="11" spans="1:10" ht="21.75" x14ac:dyDescent="0.25">
      <c r="A11" s="78" t="s">
        <v>225</v>
      </c>
      <c r="B11" s="62">
        <v>45</v>
      </c>
      <c r="C11" s="62" t="s">
        <v>170</v>
      </c>
      <c r="D11" s="67">
        <f>((3.61)+(1.9+2.2)*2*1.8)*5</f>
        <v>91.850000000000009</v>
      </c>
      <c r="E11" s="67" t="s">
        <v>2</v>
      </c>
      <c r="F11" s="88">
        <v>41</v>
      </c>
      <c r="G11" s="89">
        <f t="shared" si="0"/>
        <v>4142.4350000000004</v>
      </c>
      <c r="H11" s="67"/>
    </row>
    <row r="12" spans="1:10" ht="21.75" x14ac:dyDescent="0.25">
      <c r="A12" s="78" t="s">
        <v>224</v>
      </c>
      <c r="B12" s="62">
        <v>30</v>
      </c>
      <c r="C12" s="62" t="s">
        <v>170</v>
      </c>
      <c r="D12" s="67">
        <f>INFRAESTRUTURA!D22</f>
        <v>2339.9749999999999</v>
      </c>
      <c r="E12" s="67" t="s">
        <v>2</v>
      </c>
      <c r="F12" s="88">
        <v>35</v>
      </c>
      <c r="G12" s="89">
        <f t="shared" si="0"/>
        <v>90089.037500000006</v>
      </c>
      <c r="H12" s="67"/>
    </row>
    <row r="13" spans="1:10" ht="21.75" x14ac:dyDescent="0.25">
      <c r="A13" s="66" t="s">
        <v>223</v>
      </c>
      <c r="B13" s="62">
        <v>1</v>
      </c>
      <c r="C13" s="62" t="s">
        <v>6</v>
      </c>
      <c r="D13" s="67">
        <v>1</v>
      </c>
      <c r="E13" s="67" t="s">
        <v>27</v>
      </c>
      <c r="F13" s="88">
        <f>B13*AREAS!G5</f>
        <v>38610.175000000003</v>
      </c>
      <c r="G13" s="89">
        <f t="shared" si="0"/>
        <v>42471.192500000005</v>
      </c>
      <c r="H13" s="67"/>
    </row>
    <row r="14" spans="1:10" ht="21.75" x14ac:dyDescent="0.25">
      <c r="A14" s="66" t="s">
        <v>359</v>
      </c>
      <c r="B14" s="62">
        <v>0.15</v>
      </c>
      <c r="C14" s="62" t="s">
        <v>360</v>
      </c>
      <c r="D14" s="67">
        <v>0</v>
      </c>
      <c r="E14" s="67" t="s">
        <v>4</v>
      </c>
      <c r="F14" s="88">
        <v>60</v>
      </c>
      <c r="G14" s="89">
        <f>D14*B14*F14*1.1</f>
        <v>0</v>
      </c>
      <c r="H14" s="67"/>
    </row>
    <row r="15" spans="1:10" ht="21.75" x14ac:dyDescent="0.25">
      <c r="A15" s="66" t="s">
        <v>222</v>
      </c>
      <c r="B15" s="62">
        <v>0.4</v>
      </c>
      <c r="C15" s="62" t="s">
        <v>37</v>
      </c>
      <c r="D15" s="67">
        <f>B15*AREAS!G5</f>
        <v>15444.070000000002</v>
      </c>
      <c r="E15" s="67" t="s">
        <v>2</v>
      </c>
      <c r="F15" s="88">
        <v>60</v>
      </c>
      <c r="G15" s="89">
        <f>F15*D15</f>
        <v>926644.20000000007</v>
      </c>
      <c r="H15" s="67"/>
    </row>
    <row r="16" spans="1:10" ht="21.75" x14ac:dyDescent="0.25">
      <c r="A16" s="66" t="s">
        <v>221</v>
      </c>
      <c r="B16" s="62">
        <v>0.15</v>
      </c>
      <c r="C16" s="62" t="s">
        <v>37</v>
      </c>
      <c r="D16" s="67">
        <f>B16*AREAS!G5</f>
        <v>5791.5262499999999</v>
      </c>
      <c r="E16" s="67" t="s">
        <v>2</v>
      </c>
      <c r="F16" s="88">
        <v>110</v>
      </c>
      <c r="G16" s="89">
        <f t="shared" si="0"/>
        <v>700774.67625000002</v>
      </c>
      <c r="H16" s="67"/>
    </row>
    <row r="17" spans="1:12" ht="21.75" x14ac:dyDescent="0.25">
      <c r="A17" s="66" t="s">
        <v>220</v>
      </c>
      <c r="B17" s="62">
        <v>0.6</v>
      </c>
      <c r="C17" s="62" t="s">
        <v>6</v>
      </c>
      <c r="D17" s="67">
        <v>1</v>
      </c>
      <c r="E17" s="67" t="s">
        <v>27</v>
      </c>
      <c r="F17" s="88">
        <f>B17*AREAS!G5</f>
        <v>23166.105</v>
      </c>
      <c r="G17" s="89">
        <f t="shared" si="0"/>
        <v>25482.715500000002</v>
      </c>
      <c r="H17" s="67"/>
    </row>
    <row r="18" spans="1:12" ht="21.75" x14ac:dyDescent="0.25">
      <c r="A18" s="280" t="s">
        <v>475</v>
      </c>
      <c r="B18" s="62"/>
      <c r="C18" s="62"/>
      <c r="D18" s="67">
        <f>SUPRAESTRUTURA!D13*0.1</f>
        <v>1002.7078641102457</v>
      </c>
      <c r="E18" s="67"/>
      <c r="F18" s="88">
        <v>60</v>
      </c>
      <c r="G18" s="89">
        <f t="shared" si="0"/>
        <v>66178.719031276225</v>
      </c>
      <c r="H18" s="67"/>
    </row>
    <row r="19" spans="1:12" ht="21.75" x14ac:dyDescent="0.25">
      <c r="A19" s="66" t="s">
        <v>219</v>
      </c>
      <c r="B19" s="62">
        <v>28</v>
      </c>
      <c r="C19" s="62" t="s">
        <v>170</v>
      </c>
      <c r="D19" s="67">
        <f>D16</f>
        <v>5791.5262499999999</v>
      </c>
      <c r="E19" s="67" t="s">
        <v>2</v>
      </c>
      <c r="F19" s="88">
        <v>28</v>
      </c>
      <c r="G19" s="89">
        <f t="shared" si="0"/>
        <v>178379.0085</v>
      </c>
      <c r="H19" s="67"/>
    </row>
    <row r="20" spans="1:12" ht="21.75" x14ac:dyDescent="0.25">
      <c r="A20" s="66" t="s">
        <v>450</v>
      </c>
      <c r="B20" s="62"/>
      <c r="C20" s="62"/>
      <c r="D20" s="67">
        <f>48.12*5</f>
        <v>240.6</v>
      </c>
      <c r="E20" s="67" t="s">
        <v>4</v>
      </c>
      <c r="F20" s="88">
        <f>225+45</f>
        <v>270</v>
      </c>
      <c r="G20" s="89">
        <f>F20*D20*1.1</f>
        <v>71458.200000000012</v>
      </c>
      <c r="H20" s="67"/>
    </row>
    <row r="21" spans="1:12" ht="21.75" x14ac:dyDescent="0.25">
      <c r="A21" s="314" t="s">
        <v>17</v>
      </c>
      <c r="B21" s="314"/>
      <c r="C21" s="314"/>
      <c r="D21" s="314"/>
      <c r="E21" s="314"/>
      <c r="F21" s="314"/>
      <c r="G21" s="90">
        <f>SUM(G10:G20)</f>
        <v>2619521.6135312766</v>
      </c>
      <c r="H21" s="90"/>
      <c r="K21" s="55">
        <f>4160+1440+1120+2880+4800+91680+4000</f>
        <v>110080</v>
      </c>
      <c r="L21" s="55">
        <f>K21/21</f>
        <v>5241.9047619047615</v>
      </c>
    </row>
    <row r="23" spans="1:12" ht="21.75" x14ac:dyDescent="0.25">
      <c r="A23" s="324" t="s">
        <v>218</v>
      </c>
      <c r="B23" s="325"/>
      <c r="C23" s="325"/>
      <c r="D23" s="325"/>
      <c r="E23" s="325"/>
      <c r="F23" s="326"/>
      <c r="G23" s="91">
        <f>G21</f>
        <v>2619521.6135312766</v>
      </c>
      <c r="H23" s="91">
        <f>G23/AREAS!G5</f>
        <v>67.845370126690085</v>
      </c>
    </row>
    <row r="26" spans="1:12" x14ac:dyDescent="0.25">
      <c r="H26" s="196">
        <f>H23/1.1</f>
        <v>61.67760920608189</v>
      </c>
    </row>
    <row r="27" spans="1:12" ht="21.75" x14ac:dyDescent="0.25">
      <c r="A27" s="52" t="s">
        <v>403</v>
      </c>
      <c r="B27" s="52"/>
      <c r="C27" s="52"/>
      <c r="D27" s="53"/>
      <c r="E27" s="53"/>
      <c r="F27" s="54"/>
      <c r="G27" s="53"/>
      <c r="H27" s="53"/>
    </row>
    <row r="28" spans="1:12" ht="21.75" x14ac:dyDescent="0.25">
      <c r="A28" s="56"/>
      <c r="B28" s="56"/>
      <c r="C28" s="56"/>
      <c r="D28" s="57"/>
      <c r="E28" s="57"/>
      <c r="F28" s="58"/>
      <c r="G28" s="59"/>
      <c r="H28" s="59"/>
    </row>
    <row r="29" spans="1:12" ht="42" customHeight="1" x14ac:dyDescent="0.25">
      <c r="A29" s="63" t="s">
        <v>14</v>
      </c>
      <c r="B29" s="319" t="s">
        <v>5</v>
      </c>
      <c r="C29" s="320"/>
      <c r="D29" s="319" t="s">
        <v>18</v>
      </c>
      <c r="E29" s="320"/>
      <c r="F29" s="65" t="s">
        <v>118</v>
      </c>
      <c r="G29" s="71" t="s">
        <v>16</v>
      </c>
      <c r="H29" s="90" t="s">
        <v>298</v>
      </c>
    </row>
    <row r="30" spans="1:12" ht="21.75" x14ac:dyDescent="0.25">
      <c r="A30" s="66" t="s">
        <v>226</v>
      </c>
      <c r="B30" s="62">
        <v>25</v>
      </c>
      <c r="C30" s="62" t="s">
        <v>170</v>
      </c>
      <c r="D30" s="67">
        <f>D34+D35</f>
        <v>18812.191750000002</v>
      </c>
      <c r="E30" s="67" t="s">
        <v>2</v>
      </c>
      <c r="F30" s="88">
        <v>22</v>
      </c>
      <c r="G30" s="89">
        <f t="shared" ref="G30:G33" si="1">F30*D30*1.1</f>
        <v>455255.04035000008</v>
      </c>
      <c r="H30" s="67"/>
    </row>
    <row r="31" spans="1:12" ht="21.75" x14ac:dyDescent="0.25">
      <c r="A31" s="78" t="s">
        <v>225</v>
      </c>
      <c r="B31" s="62">
        <v>45</v>
      </c>
      <c r="C31" s="62" t="s">
        <v>170</v>
      </c>
      <c r="D31" s="67">
        <f>((3.61)+(1.9+2.2)*2*1.8)*6</f>
        <v>110.22</v>
      </c>
      <c r="E31" s="67" t="s">
        <v>2</v>
      </c>
      <c r="F31" s="88">
        <v>41</v>
      </c>
      <c r="G31" s="89">
        <f t="shared" si="1"/>
        <v>4970.9219999999996</v>
      </c>
      <c r="H31" s="67"/>
    </row>
    <row r="32" spans="1:12" ht="21.75" x14ac:dyDescent="0.25">
      <c r="A32" s="78" t="s">
        <v>224</v>
      </c>
      <c r="B32" s="62">
        <v>30</v>
      </c>
      <c r="C32" s="62" t="s">
        <v>170</v>
      </c>
      <c r="D32" s="67">
        <v>0</v>
      </c>
      <c r="E32" s="67" t="s">
        <v>2</v>
      </c>
      <c r="F32" s="88">
        <v>35</v>
      </c>
      <c r="G32" s="89">
        <f t="shared" si="1"/>
        <v>0</v>
      </c>
      <c r="H32" s="67"/>
    </row>
    <row r="33" spans="1:12" ht="21.75" x14ac:dyDescent="0.25">
      <c r="A33" s="66" t="s">
        <v>223</v>
      </c>
      <c r="B33" s="62">
        <v>1</v>
      </c>
      <c r="C33" s="62" t="s">
        <v>6</v>
      </c>
      <c r="D33" s="67">
        <v>1</v>
      </c>
      <c r="E33" s="67" t="s">
        <v>27</v>
      </c>
      <c r="F33" s="88">
        <f>B33*AREAS!H5</f>
        <v>34203.985000000001</v>
      </c>
      <c r="G33" s="89">
        <f t="shared" si="1"/>
        <v>37624.383500000004</v>
      </c>
      <c r="H33" s="67"/>
    </row>
    <row r="34" spans="1:12" ht="21.75" x14ac:dyDescent="0.25">
      <c r="A34" s="66" t="s">
        <v>222</v>
      </c>
      <c r="B34" s="62">
        <v>0.4</v>
      </c>
      <c r="C34" s="62" t="s">
        <v>37</v>
      </c>
      <c r="D34" s="67">
        <f>B34*AREAS!H5</f>
        <v>13681.594000000001</v>
      </c>
      <c r="E34" s="67" t="s">
        <v>2</v>
      </c>
      <c r="F34" s="88">
        <v>60</v>
      </c>
      <c r="G34" s="89">
        <f>F34*D34</f>
        <v>820895.64</v>
      </c>
      <c r="H34" s="67"/>
    </row>
    <row r="35" spans="1:12" ht="21.75" x14ac:dyDescent="0.25">
      <c r="A35" s="66" t="s">
        <v>221</v>
      </c>
      <c r="B35" s="62">
        <v>0.15</v>
      </c>
      <c r="C35" s="62" t="s">
        <v>37</v>
      </c>
      <c r="D35" s="67">
        <f>B35*AREAS!H5</f>
        <v>5130.5977499999999</v>
      </c>
      <c r="E35" s="67" t="s">
        <v>2</v>
      </c>
      <c r="F35" s="88">
        <v>110</v>
      </c>
      <c r="G35" s="89">
        <f t="shared" ref="G35:G38" si="2">F35*D35*1.1</f>
        <v>620802.32774999994</v>
      </c>
      <c r="H35" s="67"/>
    </row>
    <row r="36" spans="1:12" ht="21.75" x14ac:dyDescent="0.25">
      <c r="A36" s="66" t="s">
        <v>220</v>
      </c>
      <c r="B36" s="62">
        <v>0.6</v>
      </c>
      <c r="C36" s="62" t="s">
        <v>6</v>
      </c>
      <c r="D36" s="67">
        <v>1</v>
      </c>
      <c r="E36" s="67" t="s">
        <v>27</v>
      </c>
      <c r="F36" s="88">
        <f>B36*AREAS!H5</f>
        <v>20522.391</v>
      </c>
      <c r="G36" s="89">
        <f t="shared" si="2"/>
        <v>22574.630100000002</v>
      </c>
      <c r="H36" s="67"/>
    </row>
    <row r="37" spans="1:12" ht="21.75" x14ac:dyDescent="0.25">
      <c r="A37" s="280" t="s">
        <v>475</v>
      </c>
      <c r="B37" s="62"/>
      <c r="C37" s="62"/>
      <c r="D37" s="67">
        <f>SUPRAESTRUTURA!D25*0.2</f>
        <v>1776.5578500179745</v>
      </c>
      <c r="E37" s="67"/>
      <c r="F37" s="88">
        <v>60</v>
      </c>
      <c r="G37" s="89">
        <f t="shared" si="2"/>
        <v>117252.81810118632</v>
      </c>
      <c r="H37" s="67"/>
    </row>
    <row r="38" spans="1:12" ht="21.75" x14ac:dyDescent="0.25">
      <c r="A38" s="66" t="s">
        <v>219</v>
      </c>
      <c r="B38" s="62">
        <v>28</v>
      </c>
      <c r="C38" s="62" t="s">
        <v>170</v>
      </c>
      <c r="D38" s="67">
        <f>D35</f>
        <v>5130.5977499999999</v>
      </c>
      <c r="E38" s="67" t="s">
        <v>2</v>
      </c>
      <c r="F38" s="88">
        <v>28</v>
      </c>
      <c r="G38" s="89">
        <f t="shared" si="2"/>
        <v>158022.41070000001</v>
      </c>
      <c r="H38" s="67"/>
    </row>
    <row r="39" spans="1:12" ht="21.75" x14ac:dyDescent="0.25">
      <c r="A39" s="314" t="s">
        <v>17</v>
      </c>
      <c r="B39" s="314"/>
      <c r="C39" s="314"/>
      <c r="D39" s="314"/>
      <c r="E39" s="314"/>
      <c r="F39" s="314"/>
      <c r="G39" s="90">
        <f>SUM(G30:G38)</f>
        <v>2237398.1725011864</v>
      </c>
      <c r="H39" s="90"/>
      <c r="K39" s="55">
        <f>4160+1440+1120+2880+4800+91680+4000</f>
        <v>110080</v>
      </c>
      <c r="L39" s="55">
        <f>K39/21</f>
        <v>5241.9047619047615</v>
      </c>
    </row>
    <row r="41" spans="1:12" ht="21.75" x14ac:dyDescent="0.25">
      <c r="A41" s="324" t="s">
        <v>218</v>
      </c>
      <c r="B41" s="325"/>
      <c r="C41" s="325"/>
      <c r="D41" s="325"/>
      <c r="E41" s="325"/>
      <c r="F41" s="326"/>
      <c r="G41" s="91">
        <f>G39</f>
        <v>2237398.1725011864</v>
      </c>
      <c r="H41" s="91">
        <f>G41/AREAS!H5</f>
        <v>65.413377198627188</v>
      </c>
    </row>
  </sheetData>
  <mergeCells count="9">
    <mergeCell ref="A39:F39"/>
    <mergeCell ref="A41:F41"/>
    <mergeCell ref="A23:F23"/>
    <mergeCell ref="A3:H3"/>
    <mergeCell ref="B9:C9"/>
    <mergeCell ref="D9:E9"/>
    <mergeCell ref="A21:F21"/>
    <mergeCell ref="B29:C29"/>
    <mergeCell ref="D29:E2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7F92-CEFE-4E5E-9997-1FD14F675993}">
  <sheetPr>
    <tabColor rgb="FF0070C0"/>
  </sheetPr>
  <dimension ref="A1:W583"/>
  <sheetViews>
    <sheetView showGridLines="0" topLeftCell="B5" zoomScale="85" zoomScaleNormal="85" workbookViewId="0">
      <selection activeCell="C24" sqref="C24"/>
    </sheetView>
  </sheetViews>
  <sheetFormatPr defaultColWidth="14.42578125" defaultRowHeight="15" customHeight="1" x14ac:dyDescent="0.25"/>
  <cols>
    <col min="1" max="1" width="12.28515625" customWidth="1"/>
    <col min="2" max="2" width="26.140625" customWidth="1"/>
    <col min="3" max="3" width="38.28515625" customWidth="1"/>
    <col min="4" max="4" width="24.42578125" customWidth="1"/>
    <col min="5" max="5" width="19.85546875" customWidth="1"/>
    <col min="6" max="6" width="19.7109375" customWidth="1"/>
    <col min="7" max="7" width="15.7109375" customWidth="1"/>
    <col min="8" max="8" width="17.28515625" customWidth="1"/>
    <col min="9" max="9" width="15.7109375" customWidth="1"/>
    <col min="10" max="10" width="8.85546875" customWidth="1"/>
    <col min="11" max="12" width="20.7109375" customWidth="1"/>
    <col min="13" max="13" width="22.5703125" customWidth="1"/>
    <col min="14" max="23" width="8.7109375" customWidth="1"/>
  </cols>
  <sheetData>
    <row r="1" spans="1:23" ht="15" customHeight="1" x14ac:dyDescent="0.25">
      <c r="A1" s="216" t="s">
        <v>0</v>
      </c>
      <c r="B1" s="217"/>
      <c r="C1" s="218"/>
      <c r="D1" s="219"/>
      <c r="E1" s="220"/>
      <c r="F1" s="221"/>
      <c r="G1" s="220"/>
      <c r="H1" s="221"/>
      <c r="I1" s="221"/>
      <c r="J1" s="220"/>
      <c r="K1" s="220"/>
      <c r="L1" s="221"/>
      <c r="M1" s="222"/>
    </row>
    <row r="2" spans="1:23" ht="15" customHeight="1" x14ac:dyDescent="0.25">
      <c r="A2" s="223" t="s">
        <v>117</v>
      </c>
      <c r="B2" s="224"/>
      <c r="C2" s="225"/>
      <c r="D2" s="226"/>
      <c r="E2" s="227"/>
      <c r="F2" s="228"/>
      <c r="G2" s="227"/>
      <c r="H2" s="228"/>
      <c r="I2" s="228"/>
      <c r="J2" s="227"/>
      <c r="K2" s="227"/>
      <c r="L2" s="228"/>
      <c r="M2" s="229"/>
    </row>
    <row r="3" spans="1:23" ht="15" customHeight="1" x14ac:dyDescent="0.25">
      <c r="A3" s="223" t="s">
        <v>1</v>
      </c>
      <c r="B3" s="224"/>
      <c r="C3" s="225"/>
      <c r="D3" s="226"/>
      <c r="E3" s="227"/>
      <c r="F3" s="228"/>
      <c r="G3" s="227"/>
      <c r="H3" s="228"/>
      <c r="I3" s="228"/>
      <c r="J3" s="227"/>
      <c r="K3" s="227"/>
      <c r="L3" s="228"/>
      <c r="M3" s="229"/>
    </row>
    <row r="4" spans="1:23" ht="15" customHeight="1" x14ac:dyDescent="0.25">
      <c r="A4" s="230" t="s">
        <v>184</v>
      </c>
      <c r="B4" s="231"/>
      <c r="C4" s="232"/>
      <c r="D4" s="226"/>
      <c r="E4" s="233"/>
      <c r="F4" s="234"/>
      <c r="G4" s="233"/>
      <c r="H4" s="234"/>
      <c r="I4" s="234"/>
      <c r="J4" s="233"/>
      <c r="K4" s="233"/>
      <c r="L4" s="234"/>
      <c r="M4" s="229"/>
    </row>
    <row r="5" spans="1:23" ht="26.25" customHeight="1" x14ac:dyDescent="0.25">
      <c r="A5" s="332" t="s">
        <v>404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4"/>
    </row>
    <row r="6" spans="1:23" ht="14.25" customHeight="1" x14ac:dyDescent="0.25">
      <c r="A6" s="235"/>
      <c r="B6" s="236"/>
      <c r="C6" s="236"/>
      <c r="D6" s="236"/>
      <c r="E6" s="236"/>
      <c r="F6" s="237"/>
      <c r="G6" s="236"/>
      <c r="H6" s="237"/>
      <c r="I6" s="237"/>
      <c r="J6" s="236"/>
      <c r="K6" s="236"/>
      <c r="L6" s="237"/>
      <c r="M6" s="238"/>
    </row>
    <row r="7" spans="1:23" ht="26.25" customHeight="1" x14ac:dyDescent="0.25">
      <c r="A7" s="335" t="s">
        <v>405</v>
      </c>
      <c r="B7" s="333"/>
      <c r="C7" s="333"/>
      <c r="D7" s="333"/>
      <c r="E7" s="333"/>
      <c r="F7" s="333"/>
      <c r="G7" s="333"/>
      <c r="H7" s="333"/>
      <c r="I7" s="333"/>
      <c r="J7" s="333"/>
      <c r="K7" s="333"/>
      <c r="L7" s="333"/>
      <c r="M7" s="334"/>
    </row>
    <row r="8" spans="1:23" ht="14.25" customHeight="1" thickBot="1" x14ac:dyDescent="0.3">
      <c r="A8" s="235"/>
      <c r="B8" s="236"/>
      <c r="C8" s="236"/>
      <c r="D8" s="236"/>
      <c r="E8" s="236"/>
      <c r="F8" s="237"/>
      <c r="G8" s="236"/>
      <c r="H8" s="237"/>
      <c r="I8" s="237"/>
      <c r="J8" s="236"/>
      <c r="K8" s="236"/>
      <c r="L8" s="237"/>
      <c r="M8" s="238"/>
      <c r="N8" s="236"/>
      <c r="O8" s="236"/>
      <c r="P8" s="236"/>
      <c r="Q8" s="236"/>
      <c r="R8" s="236"/>
      <c r="S8" s="236"/>
      <c r="T8" s="236"/>
      <c r="U8" s="236"/>
      <c r="V8" s="236"/>
      <c r="W8" s="236"/>
    </row>
    <row r="9" spans="1:23" ht="14.25" customHeight="1" thickBot="1" x14ac:dyDescent="0.3">
      <c r="A9" s="235"/>
      <c r="B9" s="336" t="s">
        <v>406</v>
      </c>
      <c r="C9" s="337"/>
      <c r="D9" s="338"/>
      <c r="E9" s="338"/>
      <c r="F9" s="338"/>
      <c r="G9" s="338"/>
      <c r="H9" s="338"/>
      <c r="I9" s="331"/>
      <c r="J9" s="236"/>
      <c r="K9" s="339" t="s">
        <v>407</v>
      </c>
      <c r="L9" s="340"/>
      <c r="M9" s="238"/>
    </row>
    <row r="10" spans="1:23" ht="14.25" customHeight="1" x14ac:dyDescent="0.45">
      <c r="A10" s="235"/>
      <c r="B10" s="239" t="s">
        <v>408</v>
      </c>
      <c r="C10" s="240" t="s">
        <v>409</v>
      </c>
      <c r="D10" s="241" t="s">
        <v>410</v>
      </c>
      <c r="E10" s="241" t="s">
        <v>411</v>
      </c>
      <c r="F10" s="242" t="s">
        <v>412</v>
      </c>
      <c r="G10" s="243" t="s">
        <v>413</v>
      </c>
      <c r="H10" s="244" t="s">
        <v>414</v>
      </c>
      <c r="I10" s="245" t="s">
        <v>415</v>
      </c>
      <c r="J10" s="236"/>
      <c r="K10" s="246" t="s">
        <v>416</v>
      </c>
      <c r="L10" s="247" t="s">
        <v>417</v>
      </c>
      <c r="M10" s="238"/>
    </row>
    <row r="11" spans="1:23" ht="14.25" customHeight="1" x14ac:dyDescent="0.25">
      <c r="A11" s="235"/>
      <c r="B11" s="248" t="s">
        <v>429</v>
      </c>
      <c r="C11" s="249" t="s">
        <v>431</v>
      </c>
      <c r="D11" s="250" t="s">
        <v>426</v>
      </c>
      <c r="E11" s="250" t="s">
        <v>196</v>
      </c>
      <c r="F11" s="251">
        <f>AREAS!G8*0.9</f>
        <v>5575.3109999999997</v>
      </c>
      <c r="G11" s="262" t="s">
        <v>424</v>
      </c>
      <c r="H11" s="252">
        <v>1</v>
      </c>
      <c r="I11" s="253">
        <f>F11*H11</f>
        <v>5575.3109999999997</v>
      </c>
      <c r="J11" s="236"/>
      <c r="K11" s="254" t="s">
        <v>194</v>
      </c>
      <c r="L11" s="255">
        <f>SUMIF(G:G,"Sim",I:I)</f>
        <v>1960.231</v>
      </c>
      <c r="M11" s="238">
        <f>L11/[5]AREAS!E6</f>
        <v>0.24788356409500914</v>
      </c>
    </row>
    <row r="12" spans="1:23" ht="14.25" customHeight="1" thickBot="1" x14ac:dyDescent="0.3">
      <c r="A12" s="235"/>
      <c r="B12" s="248" t="s">
        <v>430</v>
      </c>
      <c r="C12" s="249" t="s">
        <v>431</v>
      </c>
      <c r="D12" s="256" t="s">
        <v>426</v>
      </c>
      <c r="E12" s="256" t="s">
        <v>432</v>
      </c>
      <c r="F12" s="257">
        <f>AREAS!G9*0.9</f>
        <v>5615.8650000000007</v>
      </c>
      <c r="G12" s="262" t="s">
        <v>424</v>
      </c>
      <c r="H12" s="258">
        <v>1</v>
      </c>
      <c r="I12" s="259">
        <f t="shared" ref="I12:I38" si="0">F12*H12</f>
        <v>5615.8650000000007</v>
      </c>
      <c r="J12" s="236"/>
      <c r="K12" s="260" t="s">
        <v>193</v>
      </c>
      <c r="L12" s="261">
        <f>SUMIFS(I:I,G:G,"Sim",C:C,"*APT*")</f>
        <v>0</v>
      </c>
      <c r="M12" s="238"/>
    </row>
    <row r="13" spans="1:23" ht="14.25" customHeight="1" thickBot="1" x14ac:dyDescent="0.3">
      <c r="A13" s="235"/>
      <c r="B13" s="248" t="s">
        <v>418</v>
      </c>
      <c r="C13" s="249" t="s">
        <v>431</v>
      </c>
      <c r="D13" s="256" t="s">
        <v>426</v>
      </c>
      <c r="E13" s="256" t="s">
        <v>432</v>
      </c>
      <c r="F13" s="257">
        <f>1720.58+112.82+80.04+175.15+84.06</f>
        <v>2172.6499999999996</v>
      </c>
      <c r="G13" s="262" t="s">
        <v>424</v>
      </c>
      <c r="H13" s="258">
        <v>1</v>
      </c>
      <c r="I13" s="259">
        <f t="shared" si="0"/>
        <v>2172.6499999999996</v>
      </c>
      <c r="J13" s="236"/>
      <c r="K13" s="263"/>
      <c r="L13" s="264"/>
      <c r="M13" s="238"/>
    </row>
    <row r="14" spans="1:23" ht="14.25" customHeight="1" thickBot="1" x14ac:dyDescent="0.3">
      <c r="A14" s="235"/>
      <c r="B14" s="248" t="s">
        <v>418</v>
      </c>
      <c r="C14" s="249" t="s">
        <v>433</v>
      </c>
      <c r="D14" s="256" t="s">
        <v>434</v>
      </c>
      <c r="E14" s="256" t="s">
        <v>432</v>
      </c>
      <c r="F14" s="257">
        <f>(110.66+78+78)*1.2</f>
        <v>319.99199999999996</v>
      </c>
      <c r="G14" s="262" t="s">
        <v>424</v>
      </c>
      <c r="H14" s="258">
        <v>1</v>
      </c>
      <c r="I14" s="259">
        <f t="shared" si="0"/>
        <v>319.99199999999996</v>
      </c>
      <c r="J14" s="236"/>
      <c r="K14" s="330" t="s">
        <v>422</v>
      </c>
      <c r="L14" s="331"/>
      <c r="M14" s="238"/>
    </row>
    <row r="15" spans="1:23" ht="14.25" customHeight="1" x14ac:dyDescent="0.25">
      <c r="A15" s="235"/>
      <c r="B15" s="248" t="s">
        <v>418</v>
      </c>
      <c r="C15" s="249" t="s">
        <v>435</v>
      </c>
      <c r="D15" s="256" t="s">
        <v>438</v>
      </c>
      <c r="E15" s="256"/>
      <c r="F15" s="257">
        <v>43.88</v>
      </c>
      <c r="G15" s="262" t="s">
        <v>424</v>
      </c>
      <c r="H15" s="258">
        <v>1</v>
      </c>
      <c r="I15" s="259">
        <f t="shared" si="0"/>
        <v>43.88</v>
      </c>
      <c r="J15" s="236"/>
      <c r="K15" s="265" t="s">
        <v>425</v>
      </c>
      <c r="L15" s="245" t="s">
        <v>417</v>
      </c>
      <c r="M15" s="238"/>
    </row>
    <row r="16" spans="1:23" ht="14.25" customHeight="1" x14ac:dyDescent="0.25">
      <c r="A16" s="235"/>
      <c r="B16" s="248" t="s">
        <v>418</v>
      </c>
      <c r="C16" s="249" t="s">
        <v>437</v>
      </c>
      <c r="D16" s="256" t="s">
        <v>436</v>
      </c>
      <c r="E16" s="256" t="s">
        <v>432</v>
      </c>
      <c r="F16" s="257">
        <f>7.27+7.89+19.86+17.36+18.42+12.04+38.38</f>
        <v>121.22</v>
      </c>
      <c r="G16" s="262" t="s">
        <v>424</v>
      </c>
      <c r="H16" s="258">
        <v>1</v>
      </c>
      <c r="I16" s="259">
        <f t="shared" si="0"/>
        <v>121.22</v>
      </c>
      <c r="J16" s="236"/>
      <c r="K16" s="266" t="s">
        <v>419</v>
      </c>
      <c r="L16" s="267">
        <f t="shared" ref="L16:L21" si="1">SUMIF(D:D,K16,I:I)</f>
        <v>1228.6110000000001</v>
      </c>
      <c r="M16" s="238"/>
    </row>
    <row r="17" spans="1:13" ht="14.25" customHeight="1" x14ac:dyDescent="0.25">
      <c r="A17" s="235" t="str">
        <f>IF(C16="*&amp;APTO&amp;*","OK","")</f>
        <v/>
      </c>
      <c r="B17" s="248" t="s">
        <v>418</v>
      </c>
      <c r="C17" s="249" t="s">
        <v>439</v>
      </c>
      <c r="D17" s="256" t="s">
        <v>419</v>
      </c>
      <c r="E17" s="256" t="s">
        <v>432</v>
      </c>
      <c r="F17" s="257">
        <f>12.561+19.16+12.29+11.77+8.28+12.5+11.18+15.64</f>
        <v>103.38099999999999</v>
      </c>
      <c r="G17" s="262" t="s">
        <v>421</v>
      </c>
      <c r="H17" s="258">
        <v>1</v>
      </c>
      <c r="I17" s="259">
        <f t="shared" si="0"/>
        <v>103.38099999999999</v>
      </c>
      <c r="J17" s="236"/>
      <c r="K17" s="256" t="s">
        <v>423</v>
      </c>
      <c r="L17" s="267">
        <f t="shared" si="1"/>
        <v>0</v>
      </c>
      <c r="M17" s="238"/>
    </row>
    <row r="18" spans="1:13" ht="14.25" customHeight="1" x14ac:dyDescent="0.25">
      <c r="A18" s="235"/>
      <c r="B18" s="248" t="s">
        <v>418</v>
      </c>
      <c r="C18" s="249" t="s">
        <v>440</v>
      </c>
      <c r="D18" s="256" t="s">
        <v>419</v>
      </c>
      <c r="E18" s="256" t="s">
        <v>420</v>
      </c>
      <c r="F18" s="257">
        <f>20.68+10.41+18.45+40.19+4.53+3.55+11.88+3.76+2.9+7.47+2.88+2.88</f>
        <v>129.57999999999998</v>
      </c>
      <c r="G18" s="262" t="s">
        <v>421</v>
      </c>
      <c r="H18" s="258">
        <v>1</v>
      </c>
      <c r="I18" s="259">
        <f t="shared" si="0"/>
        <v>129.57999999999998</v>
      </c>
      <c r="J18" s="236"/>
      <c r="K18" s="268" t="s">
        <v>426</v>
      </c>
      <c r="L18" s="267">
        <f t="shared" si="1"/>
        <v>18715.146000000001</v>
      </c>
      <c r="M18" s="238"/>
    </row>
    <row r="19" spans="1:13" ht="14.25" customHeight="1" x14ac:dyDescent="0.25">
      <c r="A19" s="235"/>
      <c r="B19" s="248" t="s">
        <v>418</v>
      </c>
      <c r="C19" s="249" t="s">
        <v>441</v>
      </c>
      <c r="D19" s="256" t="s">
        <v>442</v>
      </c>
      <c r="E19" s="256" t="s">
        <v>420</v>
      </c>
      <c r="F19" s="257">
        <f>47.53+661.48+22.61</f>
        <v>731.62</v>
      </c>
      <c r="G19" s="262" t="s">
        <v>421</v>
      </c>
      <c r="H19" s="258">
        <v>1</v>
      </c>
      <c r="I19" s="259">
        <f t="shared" si="0"/>
        <v>731.62</v>
      </c>
      <c r="J19" s="236"/>
      <c r="K19" s="268" t="s">
        <v>436</v>
      </c>
      <c r="L19" s="267">
        <f t="shared" si="1"/>
        <v>195.95499999999998</v>
      </c>
      <c r="M19" s="238"/>
    </row>
    <row r="20" spans="1:13" ht="14.25" customHeight="1" x14ac:dyDescent="0.25">
      <c r="A20" s="235"/>
      <c r="B20" s="248" t="s">
        <v>418</v>
      </c>
      <c r="C20" s="249" t="s">
        <v>443</v>
      </c>
      <c r="D20" s="256" t="s">
        <v>419</v>
      </c>
      <c r="E20" s="256" t="s">
        <v>420</v>
      </c>
      <c r="F20" s="257">
        <f>9.92+7.04+4.09+4+16.82+17.8+18.16+6.75+3.15+12.51+3.15+12.66+116.63+37.54+21.45+3.68+3.68+41.16+7.36</f>
        <v>347.55000000000007</v>
      </c>
      <c r="G20" s="262" t="s">
        <v>421</v>
      </c>
      <c r="H20" s="258">
        <v>1</v>
      </c>
      <c r="I20" s="259">
        <f t="shared" si="0"/>
        <v>347.55000000000007</v>
      </c>
      <c r="J20" s="236"/>
      <c r="K20" s="268" t="s">
        <v>434</v>
      </c>
      <c r="L20" s="267">
        <f t="shared" si="1"/>
        <v>319.99199999999996</v>
      </c>
      <c r="M20" s="238"/>
    </row>
    <row r="21" spans="1:13" ht="14.25" customHeight="1" x14ac:dyDescent="0.25">
      <c r="A21" s="235"/>
      <c r="B21" s="248" t="s">
        <v>418</v>
      </c>
      <c r="C21" s="249" t="s">
        <v>444</v>
      </c>
      <c r="D21" s="256" t="s">
        <v>419</v>
      </c>
      <c r="E21" s="256"/>
      <c r="F21" s="257">
        <f>20.33+202.91</f>
        <v>223.24</v>
      </c>
      <c r="G21" s="262" t="s">
        <v>421</v>
      </c>
      <c r="H21" s="258">
        <v>1</v>
      </c>
      <c r="I21" s="259">
        <f t="shared" si="0"/>
        <v>223.24</v>
      </c>
      <c r="J21" s="236"/>
      <c r="K21" s="268" t="s">
        <v>442</v>
      </c>
      <c r="L21" s="267">
        <f t="shared" si="1"/>
        <v>731.62</v>
      </c>
      <c r="M21" s="238"/>
    </row>
    <row r="22" spans="1:13" ht="14.25" customHeight="1" x14ac:dyDescent="0.25">
      <c r="A22" s="235"/>
      <c r="B22" s="248" t="s">
        <v>418</v>
      </c>
      <c r="C22" s="249" t="s">
        <v>444</v>
      </c>
      <c r="D22" s="256" t="s">
        <v>436</v>
      </c>
      <c r="E22" s="256"/>
      <c r="F22" s="257">
        <f>63.43+11.305</f>
        <v>74.734999999999999</v>
      </c>
      <c r="G22" s="262" t="s">
        <v>424</v>
      </c>
      <c r="H22" s="258">
        <v>1</v>
      </c>
      <c r="I22" s="259">
        <f t="shared" ref="I22" si="2">F22*H22</f>
        <v>74.734999999999999</v>
      </c>
      <c r="J22" s="236"/>
      <c r="K22" s="268"/>
      <c r="L22" s="267"/>
      <c r="M22" s="238"/>
    </row>
    <row r="23" spans="1:13" ht="14.25" customHeight="1" x14ac:dyDescent="0.25">
      <c r="A23" s="235"/>
      <c r="B23" s="248" t="s">
        <v>427</v>
      </c>
      <c r="C23" s="249" t="s">
        <v>431</v>
      </c>
      <c r="D23" s="256" t="s">
        <v>426</v>
      </c>
      <c r="E23" s="256" t="s">
        <v>432</v>
      </c>
      <c r="F23" s="257">
        <f>1669.82+114.1</f>
        <v>1783.9199999999998</v>
      </c>
      <c r="G23" s="262" t="s">
        <v>424</v>
      </c>
      <c r="H23" s="258">
        <v>1</v>
      </c>
      <c r="I23" s="259">
        <f t="shared" si="0"/>
        <v>1783.9199999999998</v>
      </c>
      <c r="J23" s="236"/>
      <c r="K23" s="268"/>
      <c r="L23" s="267">
        <f>SUMIF(D:D,K23,I:I)</f>
        <v>0</v>
      </c>
      <c r="M23" s="238"/>
    </row>
    <row r="24" spans="1:13" ht="14.25" customHeight="1" x14ac:dyDescent="0.25">
      <c r="A24" s="235"/>
      <c r="B24" s="248" t="s">
        <v>427</v>
      </c>
      <c r="C24" s="249" t="s">
        <v>445</v>
      </c>
      <c r="D24" s="256" t="s">
        <v>419</v>
      </c>
      <c r="E24" s="256" t="s">
        <v>432</v>
      </c>
      <c r="F24" s="257">
        <f>13.08+13.08+12.6+12.04+14.17+21+1+6.52</f>
        <v>93.49</v>
      </c>
      <c r="G24" s="262" t="s">
        <v>421</v>
      </c>
      <c r="H24" s="258">
        <v>1</v>
      </c>
      <c r="I24" s="259">
        <f t="shared" ref="I24" si="3">F24*H24</f>
        <v>93.49</v>
      </c>
      <c r="J24" s="236"/>
      <c r="K24" s="268"/>
      <c r="L24" s="267">
        <f>SUMIF(D:D,K24,I:I)</f>
        <v>0</v>
      </c>
      <c r="M24" s="238"/>
    </row>
    <row r="25" spans="1:13" ht="14.25" customHeight="1" thickBot="1" x14ac:dyDescent="0.3">
      <c r="A25" s="235"/>
      <c r="B25" s="248" t="s">
        <v>427</v>
      </c>
      <c r="C25" s="249" t="s">
        <v>441</v>
      </c>
      <c r="D25" s="256" t="s">
        <v>419</v>
      </c>
      <c r="E25" s="256" t="s">
        <v>420</v>
      </c>
      <c r="F25" s="257">
        <v>21.94</v>
      </c>
      <c r="G25" s="262" t="s">
        <v>421</v>
      </c>
      <c r="H25" s="258">
        <v>1</v>
      </c>
      <c r="I25" s="259">
        <f t="shared" si="0"/>
        <v>21.94</v>
      </c>
      <c r="J25" s="236"/>
      <c r="K25" s="268"/>
      <c r="L25" s="267">
        <f>SUMIF(D:D,K25,I:I)</f>
        <v>0</v>
      </c>
      <c r="M25" s="238"/>
    </row>
    <row r="26" spans="1:13" ht="14.25" customHeight="1" thickBot="1" x14ac:dyDescent="0.3">
      <c r="A26" s="235"/>
      <c r="B26" s="248" t="s">
        <v>427</v>
      </c>
      <c r="C26" s="249" t="s">
        <v>443</v>
      </c>
      <c r="D26" s="256" t="s">
        <v>419</v>
      </c>
      <c r="E26" s="256" t="s">
        <v>420</v>
      </c>
      <c r="F26" s="257">
        <f>34.79+20.66</f>
        <v>55.45</v>
      </c>
      <c r="G26" s="262" t="s">
        <v>421</v>
      </c>
      <c r="H26" s="258">
        <v>1</v>
      </c>
      <c r="I26" s="259">
        <f t="shared" si="0"/>
        <v>55.45</v>
      </c>
      <c r="J26" s="236"/>
      <c r="K26" s="330" t="s">
        <v>428</v>
      </c>
      <c r="L26" s="331"/>
      <c r="M26" s="238"/>
    </row>
    <row r="27" spans="1:13" ht="14.25" customHeight="1" x14ac:dyDescent="0.25">
      <c r="A27" s="235"/>
      <c r="B27" s="248" t="s">
        <v>427</v>
      </c>
      <c r="C27" s="249" t="s">
        <v>446</v>
      </c>
      <c r="D27" s="256" t="s">
        <v>419</v>
      </c>
      <c r="E27" s="256" t="s">
        <v>432</v>
      </c>
      <c r="F27" s="257">
        <f>9.53+70.95</f>
        <v>80.48</v>
      </c>
      <c r="G27" s="262" t="s">
        <v>421</v>
      </c>
      <c r="H27" s="258">
        <v>1</v>
      </c>
      <c r="I27" s="259">
        <f t="shared" si="0"/>
        <v>80.48</v>
      </c>
      <c r="J27" s="236"/>
      <c r="K27" s="265" t="s">
        <v>425</v>
      </c>
      <c r="L27" s="245" t="s">
        <v>417</v>
      </c>
      <c r="M27" s="238"/>
    </row>
    <row r="28" spans="1:13" ht="14.25" customHeight="1" x14ac:dyDescent="0.25">
      <c r="A28" s="235"/>
      <c r="B28" s="248" t="s">
        <v>369</v>
      </c>
      <c r="C28" s="249" t="s">
        <v>431</v>
      </c>
      <c r="D28" s="256" t="s">
        <v>426</v>
      </c>
      <c r="E28" s="256" t="s">
        <v>432</v>
      </c>
      <c r="F28" s="257">
        <f>3567.4</f>
        <v>3567.4</v>
      </c>
      <c r="G28" s="262" t="s">
        <v>424</v>
      </c>
      <c r="H28" s="258">
        <v>1</v>
      </c>
      <c r="I28" s="259">
        <f t="shared" si="0"/>
        <v>3567.4</v>
      </c>
      <c r="J28" s="236"/>
      <c r="K28" s="266" t="s">
        <v>420</v>
      </c>
      <c r="L28" s="267">
        <f t="shared" ref="L28:L37" si="4">SUMIF(E:E,K28,I:I)</f>
        <v>1366</v>
      </c>
      <c r="M28" s="238"/>
    </row>
    <row r="29" spans="1:13" ht="14.25" customHeight="1" x14ac:dyDescent="0.25">
      <c r="A29" s="235"/>
      <c r="B29" s="248" t="s">
        <v>369</v>
      </c>
      <c r="C29" s="249" t="s">
        <v>445</v>
      </c>
      <c r="D29" s="256" t="s">
        <v>419</v>
      </c>
      <c r="E29" s="256" t="s">
        <v>432</v>
      </c>
      <c r="F29" s="257">
        <f>13.08+13.08+12.6+12.04+6.52+14.17+22.15</f>
        <v>93.639999999999986</v>
      </c>
      <c r="G29" s="262" t="s">
        <v>421</v>
      </c>
      <c r="H29" s="258">
        <v>1</v>
      </c>
      <c r="I29" s="259">
        <f t="shared" si="0"/>
        <v>93.639999999999986</v>
      </c>
      <c r="J29" s="236"/>
      <c r="K29" s="268" t="s">
        <v>196</v>
      </c>
      <c r="L29" s="267">
        <f t="shared" si="4"/>
        <v>5575.3109999999997</v>
      </c>
      <c r="M29" s="238"/>
    </row>
    <row r="30" spans="1:13" ht="14.25" customHeight="1" x14ac:dyDescent="0.25">
      <c r="A30" s="235"/>
      <c r="B30" s="248" t="s">
        <v>369</v>
      </c>
      <c r="C30" s="249" t="s">
        <v>443</v>
      </c>
      <c r="D30" s="256" t="s">
        <v>419</v>
      </c>
      <c r="E30" s="256" t="s">
        <v>420</v>
      </c>
      <c r="F30" s="257">
        <f>79.86</f>
        <v>79.86</v>
      </c>
      <c r="G30" s="262" t="s">
        <v>421</v>
      </c>
      <c r="H30" s="258">
        <v>1</v>
      </c>
      <c r="I30" s="259">
        <f t="shared" si="0"/>
        <v>79.86</v>
      </c>
      <c r="J30" s="236"/>
      <c r="K30" s="268"/>
      <c r="L30" s="267">
        <f t="shared" si="4"/>
        <v>0</v>
      </c>
      <c r="M30" s="238"/>
    </row>
    <row r="31" spans="1:13" ht="14.25" customHeight="1" x14ac:dyDescent="0.25">
      <c r="A31" s="235"/>
      <c r="B31" s="248" t="s">
        <v>447</v>
      </c>
      <c r="C31" s="249"/>
      <c r="D31" s="256"/>
      <c r="E31" s="256"/>
      <c r="F31" s="257"/>
      <c r="G31" s="262" t="s">
        <v>421</v>
      </c>
      <c r="H31" s="258">
        <v>1</v>
      </c>
      <c r="I31" s="259">
        <f t="shared" si="0"/>
        <v>0</v>
      </c>
      <c r="J31" s="236"/>
      <c r="K31" s="268"/>
      <c r="L31" s="267">
        <f t="shared" si="4"/>
        <v>0</v>
      </c>
      <c r="M31" s="238"/>
    </row>
    <row r="32" spans="1:13" ht="14.25" customHeight="1" x14ac:dyDescent="0.25">
      <c r="A32" s="235"/>
      <c r="B32" s="248" t="s">
        <v>447</v>
      </c>
      <c r="C32" s="249"/>
      <c r="D32" s="256"/>
      <c r="E32" s="256"/>
      <c r="F32" s="257"/>
      <c r="G32" s="262" t="s">
        <v>421</v>
      </c>
      <c r="H32" s="258">
        <v>1</v>
      </c>
      <c r="I32" s="259">
        <f t="shared" si="0"/>
        <v>0</v>
      </c>
      <c r="J32" s="236"/>
      <c r="K32" s="268"/>
      <c r="L32" s="267">
        <f t="shared" si="4"/>
        <v>0</v>
      </c>
      <c r="M32" s="238"/>
    </row>
    <row r="33" spans="1:13" ht="14.25" customHeight="1" x14ac:dyDescent="0.25">
      <c r="A33" s="235"/>
      <c r="B33" s="248" t="s">
        <v>447</v>
      </c>
      <c r="C33" s="249"/>
      <c r="D33" s="256"/>
      <c r="E33" s="256"/>
      <c r="F33" s="257"/>
      <c r="G33" s="262" t="s">
        <v>421</v>
      </c>
      <c r="H33" s="258">
        <v>1</v>
      </c>
      <c r="I33" s="259">
        <f t="shared" si="0"/>
        <v>0</v>
      </c>
      <c r="J33" s="236"/>
      <c r="K33" s="268"/>
      <c r="L33" s="267">
        <f t="shared" si="4"/>
        <v>0</v>
      </c>
      <c r="M33" s="238"/>
    </row>
    <row r="34" spans="1:13" ht="14.25" customHeight="1" x14ac:dyDescent="0.25">
      <c r="A34" s="235"/>
      <c r="B34" s="248" t="s">
        <v>447</v>
      </c>
      <c r="C34" s="249"/>
      <c r="D34" s="256"/>
      <c r="E34" s="256"/>
      <c r="F34" s="257"/>
      <c r="G34" s="262" t="s">
        <v>424</v>
      </c>
      <c r="H34" s="258">
        <v>1</v>
      </c>
      <c r="I34" s="259">
        <f t="shared" si="0"/>
        <v>0</v>
      </c>
      <c r="J34" s="236"/>
      <c r="K34" s="268"/>
      <c r="L34" s="259">
        <f t="shared" si="4"/>
        <v>0</v>
      </c>
      <c r="M34" s="238"/>
    </row>
    <row r="35" spans="1:13" ht="14.25" customHeight="1" x14ac:dyDescent="0.25">
      <c r="A35" s="235"/>
      <c r="B35" s="248" t="s">
        <v>447</v>
      </c>
      <c r="C35" s="249"/>
      <c r="D35" s="256"/>
      <c r="E35" s="256"/>
      <c r="F35" s="257"/>
      <c r="G35" s="262" t="s">
        <v>424</v>
      </c>
      <c r="H35" s="258">
        <v>1</v>
      </c>
      <c r="I35" s="259">
        <f t="shared" si="0"/>
        <v>0</v>
      </c>
      <c r="J35" s="236"/>
      <c r="K35" s="268"/>
      <c r="L35" s="259">
        <f t="shared" si="4"/>
        <v>0</v>
      </c>
      <c r="M35" s="238"/>
    </row>
    <row r="36" spans="1:13" ht="14.25" customHeight="1" x14ac:dyDescent="0.25">
      <c r="A36" s="235"/>
      <c r="B36" s="248" t="s">
        <v>447</v>
      </c>
      <c r="C36" s="249"/>
      <c r="D36" s="256"/>
      <c r="E36" s="256"/>
      <c r="F36" s="257"/>
      <c r="G36" s="262" t="s">
        <v>421</v>
      </c>
      <c r="H36" s="258">
        <v>1</v>
      </c>
      <c r="I36" s="259">
        <f t="shared" si="0"/>
        <v>0</v>
      </c>
      <c r="J36" s="236"/>
      <c r="K36" s="268"/>
      <c r="L36" s="259">
        <f t="shared" si="4"/>
        <v>0</v>
      </c>
      <c r="M36" s="238"/>
    </row>
    <row r="37" spans="1:13" ht="14.25" customHeight="1" x14ac:dyDescent="0.25">
      <c r="A37" s="235"/>
      <c r="B37" s="248" t="s">
        <v>447</v>
      </c>
      <c r="C37" s="249"/>
      <c r="D37" s="256"/>
      <c r="E37" s="256"/>
      <c r="F37" s="257"/>
      <c r="G37" s="262" t="s">
        <v>424</v>
      </c>
      <c r="H37" s="258">
        <v>1</v>
      </c>
      <c r="I37" s="259">
        <f t="shared" si="0"/>
        <v>0</v>
      </c>
      <c r="J37" s="236"/>
      <c r="K37" s="268"/>
      <c r="L37" s="259">
        <f t="shared" si="4"/>
        <v>0</v>
      </c>
      <c r="M37" s="238"/>
    </row>
    <row r="38" spans="1:13" ht="14.25" customHeight="1" x14ac:dyDescent="0.25">
      <c r="A38" s="235"/>
      <c r="B38" s="248" t="s">
        <v>447</v>
      </c>
      <c r="C38" s="249"/>
      <c r="D38" s="256"/>
      <c r="E38" s="256"/>
      <c r="F38" s="257"/>
      <c r="G38" s="262" t="s">
        <v>424</v>
      </c>
      <c r="H38" s="258">
        <v>1</v>
      </c>
      <c r="I38" s="259">
        <f t="shared" si="0"/>
        <v>0</v>
      </c>
      <c r="J38" s="236"/>
      <c r="K38" s="254"/>
      <c r="L38" s="259"/>
      <c r="M38" s="238"/>
    </row>
    <row r="39" spans="1:13" ht="14.25" customHeight="1" x14ac:dyDescent="0.25">
      <c r="A39" s="235"/>
      <c r="B39" s="248"/>
      <c r="C39" s="249"/>
      <c r="D39" s="256"/>
      <c r="E39" s="256"/>
      <c r="F39" s="257"/>
      <c r="G39" s="262"/>
      <c r="H39" s="269"/>
      <c r="I39" s="270"/>
      <c r="J39" s="236"/>
      <c r="K39" s="271"/>
      <c r="L39" s="270"/>
      <c r="M39" s="238"/>
    </row>
    <row r="40" spans="1:13" ht="14.25" customHeight="1" x14ac:dyDescent="0.25">
      <c r="A40" s="235"/>
      <c r="B40" s="248"/>
      <c r="C40" s="249"/>
      <c r="D40" s="256"/>
      <c r="E40" s="256"/>
      <c r="F40" s="257"/>
      <c r="G40" s="262"/>
      <c r="H40" s="269"/>
      <c r="I40" s="270"/>
      <c r="J40" s="236"/>
      <c r="K40" s="271"/>
      <c r="L40" s="270"/>
      <c r="M40" s="238"/>
    </row>
    <row r="41" spans="1:13" ht="14.25" customHeight="1" x14ac:dyDescent="0.25">
      <c r="A41" s="235"/>
      <c r="B41" s="248"/>
      <c r="C41" s="249"/>
      <c r="D41" s="256"/>
      <c r="E41" s="256"/>
      <c r="F41" s="257"/>
      <c r="G41" s="262"/>
      <c r="H41" s="269"/>
      <c r="I41" s="270"/>
      <c r="J41" s="236"/>
      <c r="K41" s="271"/>
      <c r="L41" s="270"/>
      <c r="M41" s="238"/>
    </row>
    <row r="42" spans="1:13" ht="14.25" customHeight="1" x14ac:dyDescent="0.25">
      <c r="A42" s="235"/>
      <c r="B42" s="248"/>
      <c r="C42" s="249"/>
      <c r="D42" s="256"/>
      <c r="E42" s="256"/>
      <c r="F42" s="257"/>
      <c r="G42" s="262"/>
      <c r="H42" s="269"/>
      <c r="I42" s="270"/>
      <c r="J42" s="236"/>
      <c r="K42" s="271"/>
      <c r="L42" s="270"/>
      <c r="M42" s="238"/>
    </row>
    <row r="43" spans="1:13" ht="14.25" customHeight="1" x14ac:dyDescent="0.25">
      <c r="A43" s="235"/>
      <c r="B43" s="248"/>
      <c r="C43" s="249"/>
      <c r="D43" s="256"/>
      <c r="E43" s="256"/>
      <c r="F43" s="257"/>
      <c r="G43" s="262"/>
      <c r="H43" s="269"/>
      <c r="I43" s="270"/>
      <c r="J43" s="236"/>
      <c r="K43" s="271"/>
      <c r="L43" s="270"/>
      <c r="M43" s="238"/>
    </row>
    <row r="44" spans="1:13" ht="14.25" customHeight="1" x14ac:dyDescent="0.25">
      <c r="A44" s="235"/>
      <c r="B44" s="248"/>
      <c r="C44" s="249"/>
      <c r="D44" s="256"/>
      <c r="E44" s="256"/>
      <c r="F44" s="257"/>
      <c r="G44" s="262"/>
      <c r="H44" s="269"/>
      <c r="I44" s="270"/>
      <c r="J44" s="236"/>
      <c r="K44" s="271"/>
      <c r="L44" s="270"/>
      <c r="M44" s="238"/>
    </row>
    <row r="45" spans="1:13" ht="14.25" customHeight="1" x14ac:dyDescent="0.25">
      <c r="A45" s="235"/>
      <c r="B45" s="248"/>
      <c r="C45" s="249"/>
      <c r="D45" s="256"/>
      <c r="E45" s="256"/>
      <c r="F45" s="257"/>
      <c r="G45" s="262"/>
      <c r="H45" s="269"/>
      <c r="I45" s="270"/>
      <c r="J45" s="236"/>
      <c r="K45" s="271"/>
      <c r="L45" s="270"/>
      <c r="M45" s="238"/>
    </row>
    <row r="46" spans="1:13" ht="14.25" customHeight="1" x14ac:dyDescent="0.25">
      <c r="A46" s="235"/>
      <c r="B46" s="248"/>
      <c r="C46" s="249"/>
      <c r="D46" s="256"/>
      <c r="E46" s="256"/>
      <c r="F46" s="257"/>
      <c r="G46" s="262"/>
      <c r="H46" s="269"/>
      <c r="I46" s="270"/>
      <c r="J46" s="236"/>
      <c r="K46" s="271"/>
      <c r="L46" s="270"/>
      <c r="M46" s="238"/>
    </row>
    <row r="47" spans="1:13" ht="14.25" customHeight="1" x14ac:dyDescent="0.25">
      <c r="A47" s="235"/>
      <c r="B47" s="248"/>
      <c r="C47" s="249"/>
      <c r="D47" s="256"/>
      <c r="E47" s="256"/>
      <c r="F47" s="257"/>
      <c r="G47" s="262"/>
      <c r="H47" s="269"/>
      <c r="I47" s="270"/>
      <c r="J47" s="236"/>
      <c r="K47" s="271"/>
      <c r="L47" s="270"/>
      <c r="M47" s="238"/>
    </row>
    <row r="48" spans="1:13" ht="14.25" customHeight="1" x14ac:dyDescent="0.25">
      <c r="A48" s="235"/>
      <c r="B48" s="248"/>
      <c r="C48" s="249"/>
      <c r="D48" s="256"/>
      <c r="E48" s="256"/>
      <c r="F48" s="257"/>
      <c r="G48" s="262"/>
      <c r="H48" s="269"/>
      <c r="I48" s="270"/>
      <c r="J48" s="236"/>
      <c r="K48" s="271"/>
      <c r="L48" s="270"/>
      <c r="M48" s="238"/>
    </row>
    <row r="49" spans="1:13" ht="14.25" customHeight="1" x14ac:dyDescent="0.25">
      <c r="A49" s="235"/>
      <c r="B49" s="248"/>
      <c r="C49" s="249"/>
      <c r="D49" s="256"/>
      <c r="E49" s="256"/>
      <c r="F49" s="257"/>
      <c r="G49" s="262"/>
      <c r="H49" s="269"/>
      <c r="I49" s="270"/>
      <c r="J49" s="236"/>
      <c r="K49" s="271"/>
      <c r="L49" s="270"/>
      <c r="M49" s="238"/>
    </row>
    <row r="50" spans="1:13" ht="14.25" customHeight="1" thickBot="1" x14ac:dyDescent="0.3">
      <c r="A50" s="235"/>
      <c r="B50" s="248"/>
      <c r="C50" s="249"/>
      <c r="D50" s="256"/>
      <c r="E50" s="256"/>
      <c r="F50" s="257"/>
      <c r="G50" s="262"/>
      <c r="H50" s="269"/>
      <c r="I50" s="270"/>
      <c r="J50" s="236"/>
      <c r="K50" s="260"/>
      <c r="L50" s="272"/>
      <c r="M50" s="238"/>
    </row>
    <row r="51" spans="1:13" ht="14.25" customHeight="1" x14ac:dyDescent="0.25">
      <c r="A51" s="235"/>
      <c r="B51" s="248"/>
      <c r="C51" s="249"/>
      <c r="D51" s="256"/>
      <c r="E51" s="256"/>
      <c r="F51" s="257"/>
      <c r="G51" s="262"/>
      <c r="H51" s="269"/>
      <c r="I51" s="270"/>
      <c r="J51" s="236"/>
      <c r="L51" s="273"/>
      <c r="M51" s="238"/>
    </row>
    <row r="52" spans="1:13" ht="14.25" customHeight="1" thickBot="1" x14ac:dyDescent="0.3">
      <c r="A52" s="236"/>
      <c r="B52" s="274"/>
      <c r="C52" s="275"/>
      <c r="D52" s="276"/>
      <c r="E52" s="276"/>
      <c r="F52" s="277"/>
      <c r="G52" s="278"/>
      <c r="H52" s="279"/>
      <c r="I52" s="272"/>
      <c r="J52" s="236"/>
      <c r="L52" s="273"/>
      <c r="M52" s="236"/>
    </row>
    <row r="53" spans="1:13" ht="14.25" customHeight="1" x14ac:dyDescent="0.25">
      <c r="A53" s="236"/>
      <c r="F53" s="273"/>
      <c r="H53" s="273"/>
      <c r="I53" s="273"/>
      <c r="J53" s="236"/>
      <c r="L53" s="273"/>
      <c r="M53" s="236"/>
    </row>
    <row r="54" spans="1:13" ht="14.25" customHeight="1" x14ac:dyDescent="0.25">
      <c r="A54" s="236"/>
      <c r="F54" s="273"/>
      <c r="H54" s="273"/>
      <c r="I54" s="273"/>
      <c r="J54" s="236"/>
      <c r="L54" s="273"/>
      <c r="M54" s="236"/>
    </row>
    <row r="55" spans="1:13" ht="14.25" customHeight="1" x14ac:dyDescent="0.25">
      <c r="A55" s="236"/>
      <c r="F55" s="273"/>
      <c r="H55" s="273"/>
      <c r="I55" s="273"/>
      <c r="J55" s="236"/>
      <c r="L55" s="273"/>
      <c r="M55" s="236"/>
    </row>
    <row r="56" spans="1:13" ht="14.25" customHeight="1" x14ac:dyDescent="0.25">
      <c r="A56" s="236"/>
      <c r="F56" s="273"/>
      <c r="H56" s="273"/>
      <c r="I56" s="273"/>
      <c r="J56" s="236"/>
      <c r="L56" s="273"/>
      <c r="M56" s="236"/>
    </row>
    <row r="57" spans="1:13" ht="14.25" customHeight="1" x14ac:dyDescent="0.25">
      <c r="A57" s="236"/>
      <c r="F57" s="273"/>
      <c r="H57" s="273"/>
      <c r="I57" s="273"/>
      <c r="J57" s="236"/>
      <c r="L57" s="273"/>
      <c r="M57" s="236"/>
    </row>
    <row r="58" spans="1:13" ht="14.25" customHeight="1" x14ac:dyDescent="0.25">
      <c r="A58" s="236"/>
      <c r="F58" s="273"/>
      <c r="H58" s="273"/>
      <c r="I58" s="273"/>
      <c r="J58" s="236"/>
      <c r="L58" s="273"/>
      <c r="M58" s="236"/>
    </row>
    <row r="59" spans="1:13" ht="14.25" customHeight="1" x14ac:dyDescent="0.25">
      <c r="A59" s="236"/>
      <c r="F59" s="273"/>
      <c r="H59" s="273"/>
      <c r="I59" s="273"/>
      <c r="J59" s="236"/>
      <c r="L59" s="273"/>
      <c r="M59" s="236"/>
    </row>
    <row r="60" spans="1:13" ht="14.25" customHeight="1" x14ac:dyDescent="0.25">
      <c r="A60" s="236"/>
      <c r="F60" s="273"/>
      <c r="H60" s="273"/>
      <c r="I60" s="273"/>
      <c r="J60" s="236"/>
      <c r="L60" s="273"/>
      <c r="M60" s="236"/>
    </row>
    <row r="61" spans="1:13" ht="14.25" customHeight="1" x14ac:dyDescent="0.25">
      <c r="A61" s="236"/>
      <c r="F61" s="273"/>
      <c r="H61" s="273"/>
      <c r="I61" s="273"/>
      <c r="J61" s="236"/>
      <c r="L61" s="273"/>
      <c r="M61" s="236"/>
    </row>
    <row r="62" spans="1:13" ht="14.25" customHeight="1" x14ac:dyDescent="0.25">
      <c r="A62" s="236"/>
      <c r="F62" s="273"/>
      <c r="H62" s="273"/>
      <c r="I62" s="273"/>
      <c r="J62" s="236"/>
      <c r="L62" s="273"/>
      <c r="M62" s="236"/>
    </row>
    <row r="63" spans="1:13" ht="14.25" customHeight="1" x14ac:dyDescent="0.25">
      <c r="A63" s="236"/>
      <c r="F63" s="273"/>
      <c r="H63" s="273"/>
      <c r="I63" s="273"/>
      <c r="J63" s="236"/>
      <c r="L63" s="273"/>
      <c r="M63" s="236"/>
    </row>
    <row r="64" spans="1:13" ht="14.25" customHeight="1" x14ac:dyDescent="0.25">
      <c r="A64" s="236"/>
      <c r="F64" s="273"/>
      <c r="H64" s="273"/>
      <c r="I64" s="273"/>
      <c r="J64" s="236"/>
      <c r="L64" s="273"/>
      <c r="M64" s="236"/>
    </row>
    <row r="65" spans="1:13" ht="14.25" customHeight="1" x14ac:dyDescent="0.25">
      <c r="A65" s="236"/>
      <c r="F65" s="273"/>
      <c r="H65" s="273"/>
      <c r="I65" s="273"/>
      <c r="J65" s="236"/>
      <c r="L65" s="273"/>
      <c r="M65" s="236"/>
    </row>
    <row r="66" spans="1:13" ht="14.25" customHeight="1" x14ac:dyDescent="0.25">
      <c r="A66" s="236"/>
      <c r="F66" s="273"/>
      <c r="H66" s="273"/>
      <c r="I66" s="273"/>
      <c r="J66" s="236"/>
      <c r="L66" s="273"/>
      <c r="M66" s="236"/>
    </row>
    <row r="67" spans="1:13" ht="14.25" customHeight="1" x14ac:dyDescent="0.25">
      <c r="A67" s="236"/>
      <c r="F67" s="273"/>
      <c r="H67" s="273"/>
      <c r="I67" s="273"/>
      <c r="J67" s="236"/>
      <c r="L67" s="273"/>
      <c r="M67" s="236"/>
    </row>
    <row r="68" spans="1:13" ht="14.25" customHeight="1" x14ac:dyDescent="0.25">
      <c r="A68" s="236"/>
      <c r="F68" s="273"/>
      <c r="H68" s="273"/>
      <c r="I68" s="273"/>
      <c r="J68" s="236"/>
      <c r="L68" s="273"/>
      <c r="M68" s="236"/>
    </row>
    <row r="69" spans="1:13" ht="14.25" customHeight="1" x14ac:dyDescent="0.25">
      <c r="A69" s="236"/>
      <c r="F69" s="273"/>
      <c r="H69" s="273"/>
      <c r="I69" s="273"/>
      <c r="J69" s="236"/>
      <c r="L69" s="273"/>
      <c r="M69" s="236"/>
    </row>
    <row r="70" spans="1:13" ht="14.25" customHeight="1" x14ac:dyDescent="0.25">
      <c r="A70" s="236"/>
      <c r="F70" s="273"/>
      <c r="H70" s="273"/>
      <c r="I70" s="273"/>
      <c r="J70" s="236"/>
      <c r="L70" s="273"/>
      <c r="M70" s="236"/>
    </row>
    <row r="71" spans="1:13" ht="14.25" customHeight="1" x14ac:dyDescent="0.25">
      <c r="A71" s="236"/>
      <c r="F71" s="273"/>
      <c r="H71" s="273"/>
      <c r="I71" s="273"/>
      <c r="J71" s="236"/>
      <c r="L71" s="273"/>
      <c r="M71" s="236"/>
    </row>
    <row r="72" spans="1:13" ht="14.25" customHeight="1" x14ac:dyDescent="0.25">
      <c r="A72" s="236"/>
      <c r="F72" s="273"/>
      <c r="H72" s="273"/>
      <c r="I72" s="273"/>
      <c r="J72" s="236"/>
      <c r="L72" s="273"/>
      <c r="M72" s="236"/>
    </row>
    <row r="73" spans="1:13" ht="14.25" customHeight="1" x14ac:dyDescent="0.25">
      <c r="A73" s="236"/>
      <c r="F73" s="273"/>
      <c r="H73" s="273"/>
      <c r="I73" s="273"/>
      <c r="J73" s="236"/>
      <c r="L73" s="273"/>
      <c r="M73" s="236"/>
    </row>
    <row r="74" spans="1:13" ht="14.25" customHeight="1" x14ac:dyDescent="0.25">
      <c r="A74" s="236"/>
      <c r="F74" s="273"/>
      <c r="H74" s="273"/>
      <c r="I74" s="273"/>
      <c r="J74" s="236"/>
      <c r="L74" s="273"/>
      <c r="M74" s="236"/>
    </row>
    <row r="75" spans="1:13" ht="14.25" customHeight="1" x14ac:dyDescent="0.25">
      <c r="A75" s="236"/>
      <c r="F75" s="273"/>
      <c r="H75" s="273"/>
      <c r="I75" s="273"/>
      <c r="J75" s="236"/>
      <c r="L75" s="273"/>
      <c r="M75" s="236"/>
    </row>
    <row r="76" spans="1:13" ht="14.25" customHeight="1" x14ac:dyDescent="0.25">
      <c r="A76" s="236"/>
      <c r="F76" s="273"/>
      <c r="H76" s="273"/>
      <c r="I76" s="273"/>
      <c r="J76" s="236"/>
      <c r="L76" s="273"/>
      <c r="M76" s="236"/>
    </row>
    <row r="77" spans="1:13" ht="14.25" customHeight="1" x14ac:dyDescent="0.25">
      <c r="A77" s="236"/>
      <c r="F77" s="273"/>
      <c r="H77" s="273"/>
      <c r="I77" s="273"/>
      <c r="J77" s="236"/>
      <c r="L77" s="273"/>
      <c r="M77" s="236"/>
    </row>
    <row r="78" spans="1:13" ht="14.25" customHeight="1" x14ac:dyDescent="0.25">
      <c r="A78" s="236"/>
      <c r="F78" s="273"/>
      <c r="H78" s="273"/>
      <c r="I78" s="273"/>
      <c r="J78" s="236"/>
      <c r="L78" s="273"/>
      <c r="M78" s="236"/>
    </row>
    <row r="79" spans="1:13" ht="14.25" customHeight="1" x14ac:dyDescent="0.25">
      <c r="A79" s="236"/>
      <c r="F79" s="273"/>
      <c r="H79" s="273"/>
      <c r="I79" s="273"/>
      <c r="J79" s="236"/>
      <c r="L79" s="273"/>
      <c r="M79" s="236"/>
    </row>
    <row r="80" spans="1:13" ht="14.25" customHeight="1" x14ac:dyDescent="0.25">
      <c r="A80" s="236"/>
      <c r="F80" s="273"/>
      <c r="H80" s="273"/>
      <c r="I80" s="273"/>
      <c r="J80" s="236"/>
      <c r="L80" s="273"/>
      <c r="M80" s="236"/>
    </row>
    <row r="81" spans="1:13" ht="14.25" customHeight="1" x14ac:dyDescent="0.25">
      <c r="A81" s="236"/>
      <c r="F81" s="273"/>
      <c r="H81" s="273"/>
      <c r="I81" s="273"/>
      <c r="J81" s="236"/>
      <c r="L81" s="273"/>
      <c r="M81" s="236"/>
    </row>
    <row r="82" spans="1:13" ht="14.25" customHeight="1" x14ac:dyDescent="0.25">
      <c r="A82" s="236"/>
      <c r="F82" s="273"/>
      <c r="H82" s="273"/>
      <c r="I82" s="273"/>
      <c r="J82" s="236"/>
      <c r="L82" s="273"/>
      <c r="M82" s="236"/>
    </row>
    <row r="83" spans="1:13" ht="14.25" customHeight="1" x14ac:dyDescent="0.25">
      <c r="A83" s="236"/>
      <c r="F83" s="273"/>
      <c r="H83" s="273"/>
      <c r="I83" s="273"/>
      <c r="J83" s="236"/>
      <c r="L83" s="273"/>
      <c r="M83" s="236"/>
    </row>
    <row r="84" spans="1:13" ht="14.25" customHeight="1" x14ac:dyDescent="0.25">
      <c r="A84" s="236"/>
      <c r="F84" s="273"/>
      <c r="H84" s="273"/>
      <c r="I84" s="273"/>
      <c r="J84" s="236"/>
      <c r="L84" s="273"/>
      <c r="M84" s="236"/>
    </row>
    <row r="85" spans="1:13" ht="14.25" customHeight="1" x14ac:dyDescent="0.25">
      <c r="A85" s="236"/>
      <c r="F85" s="273"/>
      <c r="H85" s="273"/>
      <c r="I85" s="273"/>
      <c r="J85" s="236"/>
      <c r="L85" s="273"/>
      <c r="M85" s="236"/>
    </row>
    <row r="86" spans="1:13" ht="14.25" customHeight="1" x14ac:dyDescent="0.25">
      <c r="A86" s="236"/>
      <c r="F86" s="273"/>
      <c r="H86" s="273"/>
      <c r="I86" s="273"/>
      <c r="J86" s="236"/>
      <c r="L86" s="273"/>
      <c r="M86" s="236"/>
    </row>
    <row r="87" spans="1:13" ht="14.25" customHeight="1" x14ac:dyDescent="0.25">
      <c r="A87" s="236"/>
      <c r="F87" s="273"/>
      <c r="H87" s="273"/>
      <c r="I87" s="273"/>
      <c r="J87" s="236"/>
      <c r="L87" s="273"/>
      <c r="M87" s="236"/>
    </row>
    <row r="88" spans="1:13" ht="14.25" customHeight="1" x14ac:dyDescent="0.25">
      <c r="A88" s="236"/>
      <c r="F88" s="273"/>
      <c r="H88" s="273"/>
      <c r="I88" s="273"/>
      <c r="J88" s="236"/>
      <c r="L88" s="273"/>
      <c r="M88" s="236"/>
    </row>
    <row r="89" spans="1:13" ht="14.25" customHeight="1" x14ac:dyDescent="0.25">
      <c r="A89" s="236"/>
      <c r="F89" s="273"/>
      <c r="H89" s="273"/>
      <c r="I89" s="273"/>
      <c r="J89" s="236"/>
      <c r="L89" s="273"/>
      <c r="M89" s="236"/>
    </row>
    <row r="90" spans="1:13" ht="14.25" customHeight="1" x14ac:dyDescent="0.25">
      <c r="A90" s="236"/>
      <c r="F90" s="273"/>
      <c r="H90" s="273"/>
      <c r="I90" s="273"/>
      <c r="J90" s="236"/>
      <c r="L90" s="273"/>
      <c r="M90" s="236"/>
    </row>
    <row r="91" spans="1:13" ht="14.25" customHeight="1" x14ac:dyDescent="0.25">
      <c r="A91" s="236"/>
      <c r="F91" s="273"/>
      <c r="H91" s="273"/>
      <c r="I91" s="273"/>
      <c r="J91" s="236"/>
      <c r="L91" s="273"/>
      <c r="M91" s="236"/>
    </row>
    <row r="92" spans="1:13" ht="14.25" customHeight="1" x14ac:dyDescent="0.25">
      <c r="A92" s="236"/>
      <c r="F92" s="273"/>
      <c r="H92" s="273"/>
      <c r="I92" s="273"/>
      <c r="J92" s="236"/>
      <c r="L92" s="273"/>
      <c r="M92" s="236"/>
    </row>
    <row r="93" spans="1:13" ht="14.25" customHeight="1" x14ac:dyDescent="0.25">
      <c r="A93" s="236"/>
      <c r="F93" s="273"/>
      <c r="H93" s="273"/>
      <c r="I93" s="273"/>
      <c r="J93" s="236"/>
      <c r="L93" s="273"/>
      <c r="M93" s="236"/>
    </row>
    <row r="94" spans="1:13" ht="14.25" customHeight="1" x14ac:dyDescent="0.25">
      <c r="A94" s="236"/>
      <c r="F94" s="273"/>
      <c r="H94" s="273"/>
      <c r="I94" s="273"/>
      <c r="J94" s="236"/>
      <c r="L94" s="273"/>
      <c r="M94" s="236"/>
    </row>
    <row r="95" spans="1:13" ht="14.25" customHeight="1" x14ac:dyDescent="0.25">
      <c r="A95" s="236"/>
      <c r="F95" s="273"/>
      <c r="H95" s="273"/>
      <c r="I95" s="273"/>
      <c r="J95" s="236"/>
      <c r="L95" s="273"/>
      <c r="M95" s="236"/>
    </row>
    <row r="96" spans="1:13" ht="14.25" customHeight="1" x14ac:dyDescent="0.25">
      <c r="A96" s="236"/>
      <c r="F96" s="273"/>
      <c r="H96" s="273"/>
      <c r="I96" s="273"/>
      <c r="J96" s="236"/>
      <c r="L96" s="273"/>
      <c r="M96" s="236"/>
    </row>
    <row r="97" spans="1:13" ht="14.25" customHeight="1" x14ac:dyDescent="0.25">
      <c r="A97" s="236"/>
      <c r="F97" s="273"/>
      <c r="H97" s="273"/>
      <c r="I97" s="273"/>
      <c r="J97" s="236"/>
      <c r="L97" s="273"/>
      <c r="M97" s="236"/>
    </row>
    <row r="98" spans="1:13" ht="14.25" customHeight="1" x14ac:dyDescent="0.25">
      <c r="A98" s="236"/>
      <c r="F98" s="273"/>
      <c r="H98" s="273"/>
      <c r="I98" s="273"/>
      <c r="J98" s="236"/>
      <c r="L98" s="273"/>
      <c r="M98" s="236"/>
    </row>
    <row r="99" spans="1:13" ht="14.25" customHeight="1" x14ac:dyDescent="0.25">
      <c r="A99" s="236"/>
      <c r="F99" s="273"/>
      <c r="H99" s="273"/>
      <c r="I99" s="273"/>
      <c r="J99" s="236"/>
      <c r="L99" s="273"/>
      <c r="M99" s="236"/>
    </row>
    <row r="100" spans="1:13" ht="14.25" customHeight="1" x14ac:dyDescent="0.25">
      <c r="A100" s="236"/>
      <c r="F100" s="273"/>
      <c r="H100" s="273"/>
      <c r="I100" s="273"/>
      <c r="J100" s="236"/>
      <c r="L100" s="273"/>
      <c r="M100" s="236"/>
    </row>
    <row r="101" spans="1:13" ht="14.25" customHeight="1" x14ac:dyDescent="0.25">
      <c r="A101" s="236"/>
      <c r="F101" s="273"/>
      <c r="H101" s="273"/>
      <c r="I101" s="273"/>
      <c r="J101" s="236"/>
      <c r="L101" s="273"/>
      <c r="M101" s="236"/>
    </row>
    <row r="102" spans="1:13" ht="14.25" customHeight="1" x14ac:dyDescent="0.25">
      <c r="A102" s="236"/>
      <c r="F102" s="273"/>
      <c r="H102" s="273"/>
      <c r="I102" s="273"/>
      <c r="J102" s="236"/>
      <c r="L102" s="273"/>
      <c r="M102" s="236"/>
    </row>
    <row r="103" spans="1:13" ht="14.25" customHeight="1" x14ac:dyDescent="0.25">
      <c r="A103" s="236"/>
      <c r="F103" s="273"/>
      <c r="H103" s="273"/>
      <c r="I103" s="273"/>
      <c r="J103" s="236"/>
      <c r="L103" s="273"/>
      <c r="M103" s="236"/>
    </row>
    <row r="104" spans="1:13" ht="14.25" customHeight="1" x14ac:dyDescent="0.25">
      <c r="A104" s="236"/>
      <c r="F104" s="273"/>
      <c r="H104" s="273"/>
      <c r="I104" s="273"/>
      <c r="J104" s="236"/>
      <c r="L104" s="273"/>
      <c r="M104" s="236"/>
    </row>
    <row r="105" spans="1:13" ht="14.25" customHeight="1" x14ac:dyDescent="0.25">
      <c r="A105" s="236"/>
      <c r="F105" s="273"/>
      <c r="H105" s="273"/>
      <c r="I105" s="273"/>
      <c r="J105" s="236"/>
      <c r="L105" s="273"/>
      <c r="M105" s="236"/>
    </row>
    <row r="106" spans="1:13" ht="14.25" customHeight="1" x14ac:dyDescent="0.25">
      <c r="A106" s="236"/>
      <c r="F106" s="273"/>
      <c r="H106" s="273"/>
      <c r="I106" s="273"/>
      <c r="J106" s="236"/>
      <c r="L106" s="273"/>
      <c r="M106" s="236"/>
    </row>
    <row r="107" spans="1:13" ht="14.25" customHeight="1" x14ac:dyDescent="0.25">
      <c r="A107" s="236"/>
      <c r="F107" s="273"/>
      <c r="H107" s="273"/>
      <c r="I107" s="273"/>
      <c r="J107" s="236"/>
      <c r="L107" s="273"/>
      <c r="M107" s="236"/>
    </row>
    <row r="108" spans="1:13" ht="14.25" customHeight="1" x14ac:dyDescent="0.25">
      <c r="A108" s="236"/>
      <c r="F108" s="273"/>
      <c r="H108" s="273"/>
      <c r="I108" s="273"/>
      <c r="J108" s="236"/>
      <c r="L108" s="273"/>
      <c r="M108" s="236"/>
    </row>
    <row r="109" spans="1:13" ht="14.25" customHeight="1" x14ac:dyDescent="0.25">
      <c r="A109" s="236"/>
      <c r="F109" s="273"/>
      <c r="H109" s="273"/>
      <c r="I109" s="273"/>
      <c r="J109" s="236"/>
      <c r="L109" s="273"/>
      <c r="M109" s="236"/>
    </row>
    <row r="110" spans="1:13" ht="14.25" customHeight="1" x14ac:dyDescent="0.25">
      <c r="A110" s="236"/>
      <c r="F110" s="273"/>
      <c r="H110" s="273"/>
      <c r="I110" s="273"/>
      <c r="J110" s="236"/>
      <c r="L110" s="273"/>
      <c r="M110" s="236"/>
    </row>
    <row r="111" spans="1:13" ht="14.25" customHeight="1" x14ac:dyDescent="0.25">
      <c r="A111" s="236"/>
      <c r="F111" s="273"/>
      <c r="H111" s="273"/>
      <c r="I111" s="273"/>
      <c r="J111" s="236"/>
      <c r="L111" s="273"/>
      <c r="M111" s="236"/>
    </row>
    <row r="112" spans="1:13" ht="14.25" customHeight="1" x14ac:dyDescent="0.25">
      <c r="A112" s="236"/>
      <c r="F112" s="273"/>
      <c r="H112" s="273"/>
      <c r="I112" s="273"/>
      <c r="J112" s="236"/>
      <c r="L112" s="273"/>
      <c r="M112" s="236"/>
    </row>
    <row r="113" spans="1:13" ht="14.25" customHeight="1" x14ac:dyDescent="0.25">
      <c r="A113" s="236"/>
      <c r="F113" s="273"/>
      <c r="H113" s="273"/>
      <c r="I113" s="273"/>
      <c r="J113" s="236"/>
      <c r="L113" s="273"/>
      <c r="M113" s="236"/>
    </row>
    <row r="114" spans="1:13" ht="14.25" customHeight="1" x14ac:dyDescent="0.25">
      <c r="A114" s="236"/>
      <c r="F114" s="273"/>
      <c r="H114" s="273"/>
      <c r="I114" s="273"/>
      <c r="J114" s="236"/>
      <c r="L114" s="273"/>
      <c r="M114" s="236"/>
    </row>
    <row r="115" spans="1:13" ht="14.25" customHeight="1" x14ac:dyDescent="0.25">
      <c r="A115" s="236"/>
      <c r="F115" s="273"/>
      <c r="H115" s="273"/>
      <c r="I115" s="273"/>
      <c r="J115" s="236"/>
      <c r="L115" s="273"/>
      <c r="M115" s="236"/>
    </row>
    <row r="116" spans="1:13" ht="14.25" customHeight="1" x14ac:dyDescent="0.25">
      <c r="A116" s="236"/>
      <c r="F116" s="273"/>
      <c r="H116" s="273"/>
      <c r="I116" s="273"/>
      <c r="J116" s="236"/>
      <c r="L116" s="273"/>
      <c r="M116" s="236"/>
    </row>
    <row r="117" spans="1:13" ht="14.25" customHeight="1" x14ac:dyDescent="0.25">
      <c r="A117" s="236"/>
      <c r="F117" s="273"/>
      <c r="H117" s="273"/>
      <c r="I117" s="273"/>
      <c r="J117" s="236"/>
      <c r="L117" s="273"/>
      <c r="M117" s="236"/>
    </row>
    <row r="118" spans="1:13" ht="14.25" customHeight="1" x14ac:dyDescent="0.25">
      <c r="A118" s="236"/>
      <c r="F118" s="273"/>
      <c r="H118" s="273"/>
      <c r="I118" s="273"/>
      <c r="J118" s="236"/>
      <c r="L118" s="273"/>
      <c r="M118" s="236"/>
    </row>
    <row r="119" spans="1:13" ht="14.25" customHeight="1" x14ac:dyDescent="0.25">
      <c r="A119" s="236"/>
      <c r="F119" s="273"/>
      <c r="H119" s="273"/>
      <c r="I119" s="273"/>
      <c r="J119" s="236"/>
      <c r="L119" s="273"/>
      <c r="M119" s="236"/>
    </row>
    <row r="120" spans="1:13" ht="14.25" customHeight="1" x14ac:dyDescent="0.25">
      <c r="A120" s="236"/>
      <c r="F120" s="273"/>
      <c r="H120" s="273"/>
      <c r="I120" s="273"/>
      <c r="J120" s="236"/>
      <c r="L120" s="273"/>
      <c r="M120" s="236"/>
    </row>
    <row r="121" spans="1:13" ht="14.25" customHeight="1" x14ac:dyDescent="0.25">
      <c r="A121" s="236"/>
      <c r="F121" s="273"/>
      <c r="H121" s="273"/>
      <c r="I121" s="273"/>
      <c r="J121" s="236"/>
      <c r="L121" s="273"/>
      <c r="M121" s="236"/>
    </row>
    <row r="122" spans="1:13" ht="14.25" customHeight="1" x14ac:dyDescent="0.25">
      <c r="A122" s="236"/>
      <c r="F122" s="273"/>
      <c r="H122" s="273"/>
      <c r="I122" s="273"/>
      <c r="J122" s="236"/>
      <c r="L122" s="273"/>
      <c r="M122" s="236"/>
    </row>
    <row r="123" spans="1:13" ht="14.25" customHeight="1" x14ac:dyDescent="0.25">
      <c r="A123" s="236"/>
      <c r="F123" s="273"/>
      <c r="H123" s="273"/>
      <c r="I123" s="273"/>
      <c r="J123" s="236"/>
      <c r="L123" s="273"/>
      <c r="M123" s="236"/>
    </row>
    <row r="124" spans="1:13" ht="14.25" customHeight="1" x14ac:dyDescent="0.25">
      <c r="A124" s="236"/>
      <c r="F124" s="273"/>
      <c r="H124" s="273"/>
      <c r="I124" s="273"/>
      <c r="J124" s="236"/>
      <c r="L124" s="273"/>
      <c r="M124" s="236"/>
    </row>
    <row r="125" spans="1:13" ht="14.25" customHeight="1" x14ac:dyDescent="0.25">
      <c r="A125" s="236"/>
      <c r="F125" s="273"/>
      <c r="H125" s="273"/>
      <c r="I125" s="273"/>
      <c r="J125" s="236"/>
      <c r="L125" s="273"/>
      <c r="M125" s="236"/>
    </row>
    <row r="126" spans="1:13" ht="14.25" customHeight="1" x14ac:dyDescent="0.25">
      <c r="A126" s="236"/>
      <c r="F126" s="273"/>
      <c r="H126" s="273"/>
      <c r="I126" s="273"/>
      <c r="J126" s="236"/>
      <c r="L126" s="273"/>
      <c r="M126" s="236"/>
    </row>
    <row r="127" spans="1:13" ht="14.25" customHeight="1" x14ac:dyDescent="0.25">
      <c r="A127" s="236"/>
      <c r="F127" s="273"/>
      <c r="H127" s="273"/>
      <c r="I127" s="273"/>
      <c r="J127" s="236"/>
      <c r="L127" s="273"/>
      <c r="M127" s="236"/>
    </row>
    <row r="128" spans="1:13" ht="14.25" customHeight="1" x14ac:dyDescent="0.25">
      <c r="A128" s="236"/>
      <c r="F128" s="273"/>
      <c r="H128" s="273"/>
      <c r="I128" s="273"/>
      <c r="J128" s="236"/>
      <c r="L128" s="273"/>
      <c r="M128" s="236"/>
    </row>
    <row r="129" spans="1:13" ht="14.25" customHeight="1" x14ac:dyDescent="0.25">
      <c r="A129" s="236"/>
      <c r="F129" s="273"/>
      <c r="H129" s="273"/>
      <c r="I129" s="273"/>
      <c r="J129" s="236"/>
      <c r="L129" s="273"/>
      <c r="M129" s="236"/>
    </row>
    <row r="130" spans="1:13" ht="14.25" customHeight="1" x14ac:dyDescent="0.25">
      <c r="A130" s="236"/>
      <c r="F130" s="273"/>
      <c r="H130" s="273"/>
      <c r="I130" s="273"/>
      <c r="J130" s="236"/>
      <c r="L130" s="273"/>
      <c r="M130" s="236"/>
    </row>
    <row r="131" spans="1:13" ht="14.25" customHeight="1" x14ac:dyDescent="0.25">
      <c r="A131" s="236"/>
      <c r="F131" s="273"/>
      <c r="H131" s="273"/>
      <c r="I131" s="273"/>
      <c r="J131" s="236"/>
      <c r="L131" s="273"/>
      <c r="M131" s="236"/>
    </row>
    <row r="132" spans="1:13" ht="14.25" customHeight="1" x14ac:dyDescent="0.25">
      <c r="A132" s="236"/>
      <c r="F132" s="273"/>
      <c r="H132" s="273"/>
      <c r="I132" s="273"/>
      <c r="J132" s="236"/>
      <c r="L132" s="273"/>
      <c r="M132" s="236"/>
    </row>
    <row r="133" spans="1:13" ht="14.25" customHeight="1" x14ac:dyDescent="0.25">
      <c r="A133" s="236"/>
      <c r="F133" s="273"/>
      <c r="H133" s="273"/>
      <c r="I133" s="273"/>
      <c r="J133" s="236"/>
      <c r="L133" s="273"/>
      <c r="M133" s="236"/>
    </row>
    <row r="134" spans="1:13" ht="14.25" customHeight="1" x14ac:dyDescent="0.25">
      <c r="A134" s="236"/>
      <c r="F134" s="273"/>
      <c r="H134" s="273"/>
      <c r="I134" s="273"/>
      <c r="J134" s="236"/>
      <c r="L134" s="273"/>
      <c r="M134" s="236"/>
    </row>
    <row r="135" spans="1:13" ht="14.25" customHeight="1" x14ac:dyDescent="0.25">
      <c r="A135" s="236"/>
      <c r="F135" s="273"/>
      <c r="H135" s="273"/>
      <c r="I135" s="273"/>
      <c r="J135" s="236"/>
      <c r="L135" s="273"/>
      <c r="M135" s="236"/>
    </row>
    <row r="136" spans="1:13" ht="14.25" customHeight="1" x14ac:dyDescent="0.25">
      <c r="A136" s="236"/>
      <c r="F136" s="273"/>
      <c r="H136" s="273"/>
      <c r="I136" s="273"/>
      <c r="J136" s="236"/>
      <c r="L136" s="273"/>
      <c r="M136" s="236"/>
    </row>
    <row r="137" spans="1:13" ht="14.25" customHeight="1" x14ac:dyDescent="0.25">
      <c r="A137" s="236"/>
      <c r="F137" s="273"/>
      <c r="H137" s="273"/>
      <c r="I137" s="273"/>
      <c r="J137" s="236"/>
      <c r="L137" s="273"/>
      <c r="M137" s="236"/>
    </row>
    <row r="138" spans="1:13" ht="14.25" customHeight="1" x14ac:dyDescent="0.25">
      <c r="A138" s="236"/>
      <c r="F138" s="273"/>
      <c r="H138" s="273"/>
      <c r="I138" s="273"/>
      <c r="J138" s="236"/>
      <c r="L138" s="273"/>
      <c r="M138" s="236"/>
    </row>
    <row r="139" spans="1:13" ht="14.25" customHeight="1" x14ac:dyDescent="0.25">
      <c r="A139" s="236"/>
      <c r="F139" s="273"/>
      <c r="H139" s="273"/>
      <c r="I139" s="273"/>
      <c r="J139" s="236"/>
      <c r="L139" s="273"/>
      <c r="M139" s="236"/>
    </row>
    <row r="140" spans="1:13" ht="14.25" customHeight="1" x14ac:dyDescent="0.25">
      <c r="A140" s="236"/>
      <c r="F140" s="273"/>
      <c r="H140" s="273"/>
      <c r="I140" s="273"/>
      <c r="J140" s="236"/>
      <c r="L140" s="273"/>
      <c r="M140" s="236"/>
    </row>
    <row r="141" spans="1:13" ht="14.25" customHeight="1" x14ac:dyDescent="0.25">
      <c r="A141" s="236"/>
      <c r="F141" s="273"/>
      <c r="H141" s="273"/>
      <c r="I141" s="273"/>
      <c r="J141" s="236"/>
      <c r="L141" s="273"/>
      <c r="M141" s="236"/>
    </row>
    <row r="142" spans="1:13" ht="14.25" customHeight="1" x14ac:dyDescent="0.25">
      <c r="A142" s="236"/>
      <c r="F142" s="273"/>
      <c r="H142" s="273"/>
      <c r="I142" s="273"/>
      <c r="J142" s="236"/>
      <c r="L142" s="273"/>
      <c r="M142" s="236"/>
    </row>
    <row r="143" spans="1:13" ht="14.25" customHeight="1" x14ac:dyDescent="0.25">
      <c r="A143" s="236"/>
      <c r="F143" s="273"/>
      <c r="H143" s="273"/>
      <c r="I143" s="273"/>
      <c r="J143" s="236"/>
      <c r="L143" s="273"/>
      <c r="M143" s="236"/>
    </row>
    <row r="144" spans="1:13" ht="14.25" customHeight="1" x14ac:dyDescent="0.25">
      <c r="A144" s="236"/>
      <c r="F144" s="273"/>
      <c r="H144" s="273"/>
      <c r="I144" s="273"/>
      <c r="J144" s="236"/>
      <c r="L144" s="273"/>
      <c r="M144" s="236"/>
    </row>
    <row r="145" spans="1:13" ht="14.25" customHeight="1" x14ac:dyDescent="0.25">
      <c r="A145" s="236"/>
      <c r="F145" s="273"/>
      <c r="H145" s="273"/>
      <c r="I145" s="273"/>
      <c r="J145" s="236"/>
      <c r="L145" s="273"/>
      <c r="M145" s="236"/>
    </row>
    <row r="146" spans="1:13" ht="14.25" customHeight="1" x14ac:dyDescent="0.25">
      <c r="A146" s="236"/>
      <c r="F146" s="273"/>
      <c r="H146" s="273"/>
      <c r="I146" s="273"/>
      <c r="J146" s="236"/>
      <c r="L146" s="273"/>
      <c r="M146" s="236"/>
    </row>
    <row r="147" spans="1:13" ht="14.25" customHeight="1" x14ac:dyDescent="0.25">
      <c r="A147" s="236"/>
      <c r="F147" s="273"/>
      <c r="H147" s="273"/>
      <c r="I147" s="273"/>
      <c r="J147" s="236"/>
      <c r="L147" s="273"/>
      <c r="M147" s="236"/>
    </row>
    <row r="148" spans="1:13" ht="14.25" customHeight="1" x14ac:dyDescent="0.25">
      <c r="A148" s="236"/>
      <c r="F148" s="273"/>
      <c r="H148" s="273"/>
      <c r="I148" s="273"/>
      <c r="J148" s="236"/>
      <c r="L148" s="273"/>
      <c r="M148" s="236"/>
    </row>
    <row r="149" spans="1:13" ht="14.25" customHeight="1" x14ac:dyDescent="0.25">
      <c r="A149" s="236"/>
      <c r="F149" s="273"/>
      <c r="H149" s="273"/>
      <c r="I149" s="273"/>
      <c r="J149" s="236"/>
      <c r="L149" s="273"/>
      <c r="M149" s="236"/>
    </row>
    <row r="150" spans="1:13" ht="14.25" customHeight="1" x14ac:dyDescent="0.25">
      <c r="A150" s="236"/>
      <c r="F150" s="273"/>
      <c r="H150" s="273"/>
      <c r="I150" s="273"/>
      <c r="J150" s="236"/>
      <c r="L150" s="273"/>
      <c r="M150" s="236"/>
    </row>
    <row r="151" spans="1:13" ht="14.25" customHeight="1" x14ac:dyDescent="0.25">
      <c r="A151" s="236"/>
      <c r="F151" s="273"/>
      <c r="H151" s="273"/>
      <c r="I151" s="273"/>
      <c r="J151" s="236"/>
      <c r="L151" s="273"/>
      <c r="M151" s="236"/>
    </row>
    <row r="152" spans="1:13" ht="14.25" customHeight="1" x14ac:dyDescent="0.25">
      <c r="A152" s="236"/>
      <c r="F152" s="273"/>
      <c r="H152" s="273"/>
      <c r="I152" s="273"/>
      <c r="J152" s="236"/>
      <c r="L152" s="273"/>
      <c r="M152" s="236"/>
    </row>
    <row r="153" spans="1:13" ht="14.25" customHeight="1" x14ac:dyDescent="0.25">
      <c r="A153" s="236"/>
      <c r="F153" s="273"/>
      <c r="H153" s="273"/>
      <c r="I153" s="273"/>
      <c r="J153" s="236"/>
      <c r="L153" s="273"/>
      <c r="M153" s="236"/>
    </row>
    <row r="154" spans="1:13" ht="14.25" customHeight="1" x14ac:dyDescent="0.25">
      <c r="A154" s="236"/>
      <c r="F154" s="273"/>
      <c r="H154" s="273"/>
      <c r="I154" s="273"/>
      <c r="J154" s="236"/>
      <c r="L154" s="273"/>
      <c r="M154" s="236"/>
    </row>
    <row r="155" spans="1:13" ht="14.25" customHeight="1" x14ac:dyDescent="0.25">
      <c r="A155" s="236"/>
      <c r="F155" s="273"/>
      <c r="H155" s="273"/>
      <c r="I155" s="273"/>
      <c r="J155" s="236"/>
      <c r="L155" s="273"/>
      <c r="M155" s="236"/>
    </row>
    <row r="156" spans="1:13" ht="14.25" customHeight="1" x14ac:dyDescent="0.25">
      <c r="A156" s="236"/>
      <c r="F156" s="273"/>
      <c r="H156" s="273"/>
      <c r="I156" s="273"/>
      <c r="J156" s="236"/>
      <c r="L156" s="273"/>
      <c r="M156" s="236"/>
    </row>
    <row r="157" spans="1:13" ht="14.25" customHeight="1" x14ac:dyDescent="0.25">
      <c r="A157" s="236"/>
      <c r="F157" s="273"/>
      <c r="H157" s="273"/>
      <c r="I157" s="273"/>
      <c r="J157" s="236"/>
      <c r="L157" s="273"/>
      <c r="M157" s="236"/>
    </row>
    <row r="158" spans="1:13" ht="14.25" customHeight="1" x14ac:dyDescent="0.25">
      <c r="A158" s="236"/>
      <c r="F158" s="273"/>
      <c r="H158" s="273"/>
      <c r="I158" s="273"/>
      <c r="J158" s="236"/>
      <c r="L158" s="273"/>
      <c r="M158" s="236"/>
    </row>
    <row r="159" spans="1:13" ht="14.25" customHeight="1" x14ac:dyDescent="0.25">
      <c r="A159" s="236"/>
      <c r="F159" s="273"/>
      <c r="H159" s="273"/>
      <c r="I159" s="273"/>
      <c r="J159" s="236"/>
      <c r="L159" s="273"/>
      <c r="M159" s="236"/>
    </row>
    <row r="160" spans="1:13" ht="14.25" customHeight="1" x14ac:dyDescent="0.25">
      <c r="A160" s="236"/>
      <c r="F160" s="273"/>
      <c r="H160" s="273"/>
      <c r="I160" s="273"/>
      <c r="J160" s="236"/>
      <c r="L160" s="273"/>
      <c r="M160" s="236"/>
    </row>
    <row r="161" spans="1:13" ht="14.25" customHeight="1" x14ac:dyDescent="0.25">
      <c r="A161" s="236"/>
      <c r="F161" s="273"/>
      <c r="H161" s="273"/>
      <c r="I161" s="273"/>
      <c r="J161" s="236"/>
      <c r="L161" s="273"/>
      <c r="M161" s="236"/>
    </row>
    <row r="162" spans="1:13" ht="14.25" customHeight="1" x14ac:dyDescent="0.25">
      <c r="A162" s="236"/>
      <c r="F162" s="273"/>
      <c r="H162" s="273"/>
      <c r="I162" s="273"/>
      <c r="J162" s="236"/>
      <c r="L162" s="273"/>
      <c r="M162" s="236"/>
    </row>
    <row r="163" spans="1:13" ht="14.25" customHeight="1" x14ac:dyDescent="0.25">
      <c r="A163" s="236"/>
      <c r="F163" s="273"/>
      <c r="H163" s="273"/>
      <c r="I163" s="273"/>
      <c r="J163" s="236"/>
      <c r="L163" s="273"/>
      <c r="M163" s="236"/>
    </row>
    <row r="164" spans="1:13" ht="14.25" customHeight="1" x14ac:dyDescent="0.25">
      <c r="A164" s="236"/>
      <c r="F164" s="273"/>
      <c r="H164" s="273"/>
      <c r="I164" s="273"/>
      <c r="J164" s="236"/>
      <c r="L164" s="273"/>
      <c r="M164" s="236"/>
    </row>
    <row r="165" spans="1:13" ht="14.25" customHeight="1" x14ac:dyDescent="0.25">
      <c r="A165" s="236"/>
      <c r="F165" s="273"/>
      <c r="H165" s="273"/>
      <c r="I165" s="273"/>
      <c r="J165" s="236"/>
      <c r="L165" s="273"/>
      <c r="M165" s="236"/>
    </row>
    <row r="166" spans="1:13" ht="14.25" customHeight="1" x14ac:dyDescent="0.25">
      <c r="A166" s="236"/>
      <c r="F166" s="273"/>
      <c r="H166" s="273"/>
      <c r="I166" s="273"/>
      <c r="J166" s="236"/>
      <c r="L166" s="273"/>
      <c r="M166" s="236"/>
    </row>
    <row r="167" spans="1:13" ht="14.25" customHeight="1" x14ac:dyDescent="0.25">
      <c r="A167" s="236"/>
      <c r="F167" s="273"/>
      <c r="H167" s="273"/>
      <c r="I167" s="273"/>
      <c r="J167" s="236"/>
      <c r="L167" s="273"/>
      <c r="M167" s="236"/>
    </row>
    <row r="168" spans="1:13" ht="14.25" customHeight="1" x14ac:dyDescent="0.25">
      <c r="A168" s="236"/>
      <c r="F168" s="273"/>
      <c r="H168" s="273"/>
      <c r="I168" s="273"/>
      <c r="J168" s="236"/>
      <c r="L168" s="273"/>
      <c r="M168" s="236"/>
    </row>
    <row r="169" spans="1:13" ht="14.25" customHeight="1" x14ac:dyDescent="0.25">
      <c r="A169" s="236"/>
      <c r="F169" s="273"/>
      <c r="H169" s="273"/>
      <c r="I169" s="273"/>
      <c r="J169" s="236"/>
      <c r="L169" s="273"/>
      <c r="M169" s="236"/>
    </row>
    <row r="170" spans="1:13" ht="14.25" customHeight="1" x14ac:dyDescent="0.25">
      <c r="A170" s="236"/>
      <c r="F170" s="273"/>
      <c r="H170" s="273"/>
      <c r="I170" s="273"/>
      <c r="J170" s="236"/>
      <c r="L170" s="273"/>
      <c r="M170" s="236"/>
    </row>
    <row r="171" spans="1:13" ht="14.25" customHeight="1" x14ac:dyDescent="0.25">
      <c r="A171" s="236"/>
      <c r="F171" s="273"/>
      <c r="H171" s="273"/>
      <c r="I171" s="273"/>
      <c r="J171" s="236"/>
      <c r="L171" s="273"/>
      <c r="M171" s="236"/>
    </row>
    <row r="172" spans="1:13" ht="14.25" customHeight="1" x14ac:dyDescent="0.25">
      <c r="A172" s="236"/>
      <c r="F172" s="273"/>
      <c r="H172" s="273"/>
      <c r="I172" s="273"/>
      <c r="J172" s="236"/>
      <c r="L172" s="273"/>
      <c r="M172" s="236"/>
    </row>
    <row r="173" spans="1:13" ht="14.25" customHeight="1" x14ac:dyDescent="0.25">
      <c r="A173" s="236"/>
      <c r="F173" s="273"/>
      <c r="H173" s="273"/>
      <c r="I173" s="273"/>
      <c r="J173" s="236"/>
      <c r="L173" s="273"/>
      <c r="M173" s="236"/>
    </row>
    <row r="174" spans="1:13" ht="14.25" customHeight="1" x14ac:dyDescent="0.25">
      <c r="A174" s="236"/>
      <c r="F174" s="273"/>
      <c r="H174" s="273"/>
      <c r="I174" s="273"/>
      <c r="J174" s="236"/>
      <c r="L174" s="273"/>
      <c r="M174" s="236"/>
    </row>
    <row r="175" spans="1:13" ht="14.25" customHeight="1" x14ac:dyDescent="0.25">
      <c r="A175" s="236"/>
      <c r="F175" s="273"/>
      <c r="H175" s="273"/>
      <c r="I175" s="273"/>
      <c r="J175" s="236"/>
      <c r="L175" s="273"/>
      <c r="M175" s="236"/>
    </row>
    <row r="176" spans="1:13" ht="14.25" customHeight="1" x14ac:dyDescent="0.25">
      <c r="A176" s="236"/>
      <c r="F176" s="273"/>
      <c r="H176" s="273"/>
      <c r="I176" s="273"/>
      <c r="J176" s="236"/>
      <c r="L176" s="273"/>
      <c r="M176" s="236"/>
    </row>
    <row r="177" spans="1:13" ht="14.25" customHeight="1" x14ac:dyDescent="0.25">
      <c r="A177" s="236"/>
      <c r="F177" s="273"/>
      <c r="H177" s="273"/>
      <c r="I177" s="273"/>
      <c r="J177" s="236"/>
      <c r="L177" s="273"/>
      <c r="M177" s="236"/>
    </row>
    <row r="178" spans="1:13" ht="14.25" customHeight="1" x14ac:dyDescent="0.25">
      <c r="A178" s="236"/>
      <c r="F178" s="273"/>
      <c r="H178" s="273"/>
      <c r="I178" s="273"/>
      <c r="J178" s="236"/>
      <c r="L178" s="273"/>
      <c r="M178" s="236"/>
    </row>
    <row r="179" spans="1:13" ht="14.25" customHeight="1" x14ac:dyDescent="0.25">
      <c r="A179" s="236"/>
      <c r="F179" s="273"/>
      <c r="H179" s="273"/>
      <c r="I179" s="273"/>
      <c r="J179" s="236"/>
      <c r="L179" s="273"/>
      <c r="M179" s="236"/>
    </row>
    <row r="180" spans="1:13" ht="14.25" customHeight="1" x14ac:dyDescent="0.25">
      <c r="A180" s="236"/>
      <c r="F180" s="273"/>
      <c r="H180" s="273"/>
      <c r="I180" s="273"/>
      <c r="J180" s="236"/>
      <c r="L180" s="273"/>
      <c r="M180" s="236"/>
    </row>
    <row r="181" spans="1:13" ht="14.25" customHeight="1" x14ac:dyDescent="0.25">
      <c r="A181" s="236"/>
      <c r="F181" s="273"/>
      <c r="H181" s="273"/>
      <c r="I181" s="273"/>
      <c r="J181" s="236"/>
      <c r="L181" s="273"/>
      <c r="M181" s="236"/>
    </row>
    <row r="182" spans="1:13" ht="14.25" customHeight="1" x14ac:dyDescent="0.25">
      <c r="A182" s="236"/>
      <c r="F182" s="273"/>
      <c r="H182" s="273"/>
      <c r="I182" s="273"/>
      <c r="J182" s="236"/>
      <c r="L182" s="273"/>
      <c r="M182" s="236"/>
    </row>
    <row r="183" spans="1:13" ht="14.25" customHeight="1" x14ac:dyDescent="0.25">
      <c r="A183" s="236"/>
      <c r="F183" s="273"/>
      <c r="H183" s="273"/>
      <c r="I183" s="273"/>
      <c r="J183" s="236"/>
      <c r="L183" s="273"/>
      <c r="M183" s="236"/>
    </row>
    <row r="184" spans="1:13" ht="14.25" customHeight="1" x14ac:dyDescent="0.25">
      <c r="A184" s="236"/>
      <c r="F184" s="273"/>
      <c r="H184" s="273"/>
      <c r="I184" s="273"/>
      <c r="J184" s="236"/>
      <c r="L184" s="273"/>
      <c r="M184" s="236"/>
    </row>
    <row r="185" spans="1:13" ht="14.25" customHeight="1" x14ac:dyDescent="0.25">
      <c r="A185" s="236"/>
      <c r="F185" s="273"/>
      <c r="H185" s="273"/>
      <c r="I185" s="273"/>
      <c r="J185" s="236"/>
      <c r="L185" s="273"/>
      <c r="M185" s="236"/>
    </row>
    <row r="186" spans="1:13" ht="14.25" customHeight="1" x14ac:dyDescent="0.25">
      <c r="A186" s="236"/>
      <c r="F186" s="273"/>
      <c r="H186" s="273"/>
      <c r="I186" s="273"/>
      <c r="J186" s="236"/>
      <c r="L186" s="273"/>
      <c r="M186" s="236"/>
    </row>
    <row r="187" spans="1:13" ht="14.25" customHeight="1" x14ac:dyDescent="0.25">
      <c r="A187" s="236"/>
      <c r="F187" s="273"/>
      <c r="H187" s="273"/>
      <c r="I187" s="273"/>
      <c r="J187" s="236"/>
      <c r="L187" s="273"/>
      <c r="M187" s="236"/>
    </row>
    <row r="188" spans="1:13" ht="14.25" customHeight="1" x14ac:dyDescent="0.25">
      <c r="A188" s="236"/>
      <c r="F188" s="273"/>
      <c r="H188" s="273"/>
      <c r="I188" s="273"/>
      <c r="J188" s="236"/>
      <c r="L188" s="273"/>
      <c r="M188" s="236"/>
    </row>
    <row r="189" spans="1:13" ht="14.25" customHeight="1" x14ac:dyDescent="0.25">
      <c r="A189" s="236"/>
      <c r="F189" s="273"/>
      <c r="H189" s="273"/>
      <c r="I189" s="273"/>
      <c r="J189" s="236"/>
      <c r="L189" s="273"/>
      <c r="M189" s="236"/>
    </row>
    <row r="190" spans="1:13" ht="14.25" customHeight="1" x14ac:dyDescent="0.25">
      <c r="A190" s="236"/>
      <c r="F190" s="273"/>
      <c r="H190" s="273"/>
      <c r="I190" s="273"/>
      <c r="J190" s="236"/>
      <c r="L190" s="273"/>
      <c r="M190" s="236"/>
    </row>
    <row r="191" spans="1:13" ht="14.25" customHeight="1" x14ac:dyDescent="0.25">
      <c r="A191" s="236"/>
      <c r="F191" s="273"/>
      <c r="H191" s="273"/>
      <c r="I191" s="273"/>
      <c r="J191" s="236"/>
      <c r="L191" s="273"/>
      <c r="M191" s="236"/>
    </row>
    <row r="192" spans="1:13" ht="14.25" customHeight="1" x14ac:dyDescent="0.25">
      <c r="A192" s="236"/>
      <c r="F192" s="273"/>
      <c r="H192" s="273"/>
      <c r="I192" s="273"/>
      <c r="J192" s="236"/>
      <c r="L192" s="273"/>
      <c r="M192" s="236"/>
    </row>
    <row r="193" spans="1:13" ht="14.25" customHeight="1" x14ac:dyDescent="0.25">
      <c r="A193" s="236"/>
      <c r="F193" s="273"/>
      <c r="H193" s="273"/>
      <c r="I193" s="273"/>
      <c r="J193" s="236"/>
      <c r="L193" s="273"/>
      <c r="M193" s="236"/>
    </row>
    <row r="194" spans="1:13" ht="14.25" customHeight="1" x14ac:dyDescent="0.25">
      <c r="A194" s="236"/>
      <c r="F194" s="273"/>
      <c r="H194" s="273"/>
      <c r="I194" s="273"/>
      <c r="J194" s="236"/>
      <c r="L194" s="273"/>
      <c r="M194" s="236"/>
    </row>
    <row r="195" spans="1:13" ht="14.25" customHeight="1" x14ac:dyDescent="0.25">
      <c r="A195" s="236"/>
      <c r="F195" s="273"/>
      <c r="H195" s="273"/>
      <c r="I195" s="273"/>
      <c r="J195" s="236"/>
      <c r="L195" s="273"/>
      <c r="M195" s="236"/>
    </row>
    <row r="196" spans="1:13" ht="14.25" customHeight="1" x14ac:dyDescent="0.25">
      <c r="A196" s="236"/>
      <c r="F196" s="273"/>
      <c r="H196" s="273"/>
      <c r="I196" s="273"/>
      <c r="J196" s="236"/>
      <c r="L196" s="273"/>
      <c r="M196" s="236"/>
    </row>
    <row r="197" spans="1:13" ht="14.25" customHeight="1" x14ac:dyDescent="0.25">
      <c r="A197" s="236"/>
      <c r="F197" s="273"/>
      <c r="H197" s="273"/>
      <c r="I197" s="273"/>
      <c r="J197" s="236"/>
      <c r="L197" s="273"/>
      <c r="M197" s="236"/>
    </row>
    <row r="198" spans="1:13" ht="14.25" customHeight="1" x14ac:dyDescent="0.25">
      <c r="A198" s="236"/>
      <c r="F198" s="273"/>
      <c r="H198" s="273"/>
      <c r="I198" s="273"/>
      <c r="J198" s="236"/>
      <c r="L198" s="273"/>
      <c r="M198" s="236"/>
    </row>
    <row r="199" spans="1:13" ht="14.25" customHeight="1" x14ac:dyDescent="0.25">
      <c r="A199" s="236"/>
      <c r="F199" s="273"/>
      <c r="H199" s="273"/>
      <c r="I199" s="273"/>
      <c r="J199" s="236"/>
      <c r="L199" s="273"/>
      <c r="M199" s="236"/>
    </row>
    <row r="200" spans="1:13" ht="14.25" customHeight="1" x14ac:dyDescent="0.25">
      <c r="A200" s="236"/>
      <c r="F200" s="273"/>
      <c r="H200" s="273"/>
      <c r="I200" s="273"/>
      <c r="J200" s="236"/>
      <c r="L200" s="273"/>
      <c r="M200" s="236"/>
    </row>
    <row r="201" spans="1:13" ht="14.25" customHeight="1" x14ac:dyDescent="0.25">
      <c r="A201" s="236"/>
      <c r="F201" s="273"/>
      <c r="H201" s="273"/>
      <c r="I201" s="273"/>
      <c r="J201" s="236"/>
      <c r="L201" s="273"/>
      <c r="M201" s="236"/>
    </row>
    <row r="202" spans="1:13" ht="14.25" customHeight="1" x14ac:dyDescent="0.25">
      <c r="A202" s="236"/>
      <c r="F202" s="273"/>
      <c r="H202" s="273"/>
      <c r="I202" s="273"/>
      <c r="J202" s="236"/>
      <c r="L202" s="273"/>
      <c r="M202" s="236"/>
    </row>
    <row r="203" spans="1:13" ht="14.25" customHeight="1" x14ac:dyDescent="0.25">
      <c r="A203" s="236"/>
      <c r="F203" s="273"/>
      <c r="H203" s="273"/>
      <c r="I203" s="273"/>
      <c r="J203" s="236"/>
      <c r="L203" s="273"/>
      <c r="M203" s="236"/>
    </row>
    <row r="204" spans="1:13" ht="14.25" customHeight="1" x14ac:dyDescent="0.25">
      <c r="A204" s="236"/>
      <c r="F204" s="273"/>
      <c r="H204" s="273"/>
      <c r="I204" s="273"/>
      <c r="J204" s="236"/>
      <c r="L204" s="273"/>
      <c r="M204" s="236"/>
    </row>
    <row r="205" spans="1:13" ht="14.25" customHeight="1" x14ac:dyDescent="0.25">
      <c r="A205" s="236"/>
      <c r="F205" s="273"/>
      <c r="H205" s="273"/>
      <c r="I205" s="273"/>
      <c r="J205" s="236"/>
      <c r="L205" s="273"/>
      <c r="M205" s="236"/>
    </row>
    <row r="206" spans="1:13" ht="14.25" customHeight="1" x14ac:dyDescent="0.25">
      <c r="A206" s="236"/>
      <c r="F206" s="273"/>
      <c r="H206" s="273"/>
      <c r="I206" s="273"/>
      <c r="J206" s="236"/>
      <c r="L206" s="273"/>
      <c r="M206" s="236"/>
    </row>
    <row r="207" spans="1:13" ht="14.25" customHeight="1" x14ac:dyDescent="0.25">
      <c r="A207" s="236"/>
      <c r="F207" s="273"/>
      <c r="H207" s="273"/>
      <c r="I207" s="273"/>
      <c r="J207" s="236"/>
      <c r="L207" s="273"/>
      <c r="M207" s="236"/>
    </row>
    <row r="208" spans="1:13" ht="14.25" customHeight="1" x14ac:dyDescent="0.25">
      <c r="A208" s="236"/>
      <c r="F208" s="273"/>
      <c r="H208" s="273"/>
      <c r="I208" s="273"/>
      <c r="J208" s="236"/>
      <c r="L208" s="273"/>
      <c r="M208" s="236"/>
    </row>
    <row r="209" spans="1:13" ht="14.25" customHeight="1" x14ac:dyDescent="0.25">
      <c r="A209" s="236"/>
      <c r="F209" s="273"/>
      <c r="H209" s="273"/>
      <c r="I209" s="273"/>
      <c r="J209" s="236"/>
      <c r="L209" s="273"/>
      <c r="M209" s="236"/>
    </row>
    <row r="210" spans="1:13" ht="14.25" customHeight="1" x14ac:dyDescent="0.25">
      <c r="A210" s="236"/>
      <c r="F210" s="273"/>
      <c r="H210" s="273"/>
      <c r="I210" s="273"/>
      <c r="J210" s="236"/>
      <c r="L210" s="273"/>
      <c r="M210" s="236"/>
    </row>
    <row r="211" spans="1:13" ht="14.25" customHeight="1" x14ac:dyDescent="0.25">
      <c r="A211" s="236"/>
      <c r="F211" s="273"/>
      <c r="H211" s="273"/>
      <c r="I211" s="273"/>
      <c r="J211" s="236"/>
      <c r="L211" s="273"/>
      <c r="M211" s="236"/>
    </row>
    <row r="212" spans="1:13" ht="14.25" customHeight="1" x14ac:dyDescent="0.25">
      <c r="A212" s="236"/>
      <c r="F212" s="273"/>
      <c r="H212" s="273"/>
      <c r="I212" s="273"/>
      <c r="J212" s="236"/>
      <c r="L212" s="273"/>
      <c r="M212" s="236"/>
    </row>
    <row r="213" spans="1:13" ht="14.25" customHeight="1" x14ac:dyDescent="0.25">
      <c r="A213" s="236"/>
      <c r="F213" s="273"/>
      <c r="H213" s="273"/>
      <c r="I213" s="273"/>
      <c r="J213" s="236"/>
      <c r="L213" s="273"/>
      <c r="M213" s="236"/>
    </row>
    <row r="214" spans="1:13" ht="14.25" customHeight="1" x14ac:dyDescent="0.25">
      <c r="A214" s="236"/>
      <c r="F214" s="273"/>
      <c r="H214" s="273"/>
      <c r="I214" s="273"/>
      <c r="J214" s="236"/>
      <c r="L214" s="273"/>
      <c r="M214" s="236"/>
    </row>
    <row r="215" spans="1:13" ht="14.25" customHeight="1" x14ac:dyDescent="0.25">
      <c r="A215" s="236"/>
      <c r="F215" s="273"/>
      <c r="H215" s="273"/>
      <c r="I215" s="273"/>
      <c r="J215" s="236"/>
      <c r="L215" s="273"/>
      <c r="M215" s="236"/>
    </row>
    <row r="216" spans="1:13" ht="14.25" customHeight="1" x14ac:dyDescent="0.25">
      <c r="A216" s="236"/>
      <c r="F216" s="273"/>
      <c r="H216" s="273"/>
      <c r="I216" s="273"/>
      <c r="J216" s="236"/>
      <c r="L216" s="273"/>
      <c r="M216" s="236"/>
    </row>
    <row r="217" spans="1:13" ht="14.25" customHeight="1" x14ac:dyDescent="0.25">
      <c r="A217" s="236"/>
      <c r="F217" s="273"/>
      <c r="H217" s="273"/>
      <c r="I217" s="273"/>
      <c r="J217" s="236"/>
      <c r="L217" s="273"/>
      <c r="M217" s="236"/>
    </row>
    <row r="218" spans="1:13" ht="14.25" customHeight="1" x14ac:dyDescent="0.25">
      <c r="A218" s="236"/>
      <c r="F218" s="273"/>
      <c r="H218" s="273"/>
      <c r="I218" s="273"/>
      <c r="J218" s="236"/>
      <c r="L218" s="273"/>
      <c r="M218" s="236"/>
    </row>
    <row r="219" spans="1:13" ht="14.25" customHeight="1" x14ac:dyDescent="0.25">
      <c r="A219" s="236"/>
      <c r="F219" s="273"/>
      <c r="H219" s="273"/>
      <c r="I219" s="273"/>
      <c r="J219" s="236"/>
      <c r="L219" s="273"/>
      <c r="M219" s="236"/>
    </row>
    <row r="220" spans="1:13" ht="14.25" customHeight="1" x14ac:dyDescent="0.25">
      <c r="A220" s="236"/>
      <c r="F220" s="273"/>
      <c r="H220" s="273"/>
      <c r="I220" s="273"/>
      <c r="J220" s="236"/>
      <c r="L220" s="273"/>
      <c r="M220" s="236"/>
    </row>
    <row r="221" spans="1:13" ht="14.25" customHeight="1" x14ac:dyDescent="0.25">
      <c r="A221" s="236"/>
      <c r="F221" s="273"/>
      <c r="H221" s="273"/>
      <c r="I221" s="273"/>
      <c r="J221" s="236"/>
      <c r="L221" s="273"/>
      <c r="M221" s="236"/>
    </row>
    <row r="222" spans="1:13" ht="14.25" customHeight="1" x14ac:dyDescent="0.25">
      <c r="A222" s="236"/>
      <c r="F222" s="273"/>
      <c r="H222" s="273"/>
      <c r="I222" s="273"/>
      <c r="J222" s="236"/>
      <c r="L222" s="273"/>
      <c r="M222" s="236"/>
    </row>
    <row r="223" spans="1:13" ht="14.25" customHeight="1" x14ac:dyDescent="0.25">
      <c r="A223" s="236"/>
      <c r="F223" s="273"/>
      <c r="H223" s="273"/>
      <c r="I223" s="273"/>
      <c r="J223" s="236"/>
      <c r="L223" s="273"/>
      <c r="M223" s="236"/>
    </row>
    <row r="224" spans="1:13" ht="14.25" customHeight="1" x14ac:dyDescent="0.25">
      <c r="A224" s="236"/>
      <c r="F224" s="273"/>
      <c r="H224" s="273"/>
      <c r="I224" s="273"/>
      <c r="J224" s="236"/>
      <c r="L224" s="273"/>
      <c r="M224" s="236"/>
    </row>
    <row r="225" spans="1:13" ht="14.25" customHeight="1" x14ac:dyDescent="0.25">
      <c r="A225" s="236"/>
      <c r="F225" s="273"/>
      <c r="H225" s="273"/>
      <c r="I225" s="273"/>
      <c r="J225" s="236"/>
      <c r="L225" s="273"/>
      <c r="M225" s="236"/>
    </row>
    <row r="226" spans="1:13" ht="14.25" customHeight="1" x14ac:dyDescent="0.25">
      <c r="A226" s="236"/>
      <c r="F226" s="273"/>
      <c r="H226" s="273"/>
      <c r="I226" s="273"/>
      <c r="J226" s="236"/>
      <c r="L226" s="273"/>
      <c r="M226" s="236"/>
    </row>
    <row r="227" spans="1:13" ht="14.25" customHeight="1" x14ac:dyDescent="0.25">
      <c r="A227" s="236"/>
      <c r="F227" s="273"/>
      <c r="H227" s="273"/>
      <c r="I227" s="273"/>
      <c r="J227" s="236"/>
      <c r="L227" s="273"/>
      <c r="M227" s="236"/>
    </row>
    <row r="228" spans="1:13" ht="14.25" customHeight="1" x14ac:dyDescent="0.25">
      <c r="A228" s="236"/>
      <c r="F228" s="273"/>
      <c r="H228" s="273"/>
      <c r="I228" s="273"/>
      <c r="J228" s="236"/>
      <c r="L228" s="273"/>
      <c r="M228" s="236"/>
    </row>
    <row r="229" spans="1:13" ht="14.25" customHeight="1" x14ac:dyDescent="0.25">
      <c r="A229" s="236"/>
      <c r="F229" s="273"/>
      <c r="H229" s="273"/>
      <c r="I229" s="273"/>
      <c r="J229" s="236"/>
      <c r="L229" s="273"/>
      <c r="M229" s="236"/>
    </row>
    <row r="230" spans="1:13" ht="14.25" customHeight="1" x14ac:dyDescent="0.25">
      <c r="A230" s="236"/>
      <c r="F230" s="273"/>
      <c r="H230" s="273"/>
      <c r="I230" s="273"/>
      <c r="J230" s="236"/>
      <c r="L230" s="273"/>
      <c r="M230" s="236"/>
    </row>
    <row r="231" spans="1:13" ht="14.25" customHeight="1" x14ac:dyDescent="0.25">
      <c r="A231" s="236"/>
      <c r="F231" s="273"/>
      <c r="H231" s="273"/>
      <c r="I231" s="273"/>
      <c r="J231" s="236"/>
      <c r="L231" s="273"/>
      <c r="M231" s="236"/>
    </row>
    <row r="232" spans="1:13" ht="14.25" customHeight="1" x14ac:dyDescent="0.25">
      <c r="A232" s="236"/>
      <c r="F232" s="273"/>
      <c r="H232" s="273"/>
      <c r="I232" s="273"/>
      <c r="J232" s="236"/>
      <c r="L232" s="273"/>
      <c r="M232" s="236"/>
    </row>
    <row r="233" spans="1:13" ht="14.25" customHeight="1" x14ac:dyDescent="0.25">
      <c r="A233" s="236"/>
      <c r="F233" s="273"/>
      <c r="H233" s="273"/>
      <c r="I233" s="273"/>
      <c r="J233" s="236"/>
      <c r="L233" s="273"/>
      <c r="M233" s="236"/>
    </row>
    <row r="234" spans="1:13" ht="14.25" customHeight="1" x14ac:dyDescent="0.25">
      <c r="A234" s="236"/>
      <c r="F234" s="273"/>
      <c r="H234" s="273"/>
      <c r="I234" s="273"/>
      <c r="J234" s="236"/>
      <c r="L234" s="273"/>
      <c r="M234" s="236"/>
    </row>
    <row r="235" spans="1:13" ht="14.25" customHeight="1" x14ac:dyDescent="0.25">
      <c r="A235" s="236"/>
      <c r="F235" s="273"/>
      <c r="H235" s="273"/>
      <c r="I235" s="273"/>
      <c r="J235" s="236"/>
      <c r="L235" s="273"/>
      <c r="M235" s="236"/>
    </row>
    <row r="236" spans="1:13" ht="14.25" customHeight="1" x14ac:dyDescent="0.25">
      <c r="A236" s="236"/>
      <c r="F236" s="273"/>
      <c r="H236" s="273"/>
      <c r="I236" s="273"/>
      <c r="J236" s="236"/>
      <c r="L236" s="273"/>
      <c r="M236" s="236"/>
    </row>
    <row r="237" spans="1:13" ht="14.25" customHeight="1" x14ac:dyDescent="0.25">
      <c r="A237" s="236"/>
      <c r="F237" s="273"/>
      <c r="H237" s="273"/>
      <c r="I237" s="273"/>
      <c r="J237" s="236"/>
      <c r="L237" s="273"/>
      <c r="M237" s="236"/>
    </row>
    <row r="238" spans="1:13" ht="14.25" customHeight="1" x14ac:dyDescent="0.25">
      <c r="A238" s="236"/>
      <c r="F238" s="273"/>
      <c r="H238" s="273"/>
      <c r="I238" s="273"/>
      <c r="J238" s="236"/>
      <c r="L238" s="273"/>
      <c r="M238" s="236"/>
    </row>
    <row r="239" spans="1:13" ht="14.25" customHeight="1" x14ac:dyDescent="0.25">
      <c r="A239" s="236"/>
      <c r="F239" s="273"/>
      <c r="H239" s="273"/>
      <c r="I239" s="273"/>
      <c r="J239" s="236"/>
      <c r="L239" s="273"/>
      <c r="M239" s="236"/>
    </row>
    <row r="240" spans="1:13" ht="14.25" customHeight="1" x14ac:dyDescent="0.25">
      <c r="A240" s="236"/>
      <c r="F240" s="273"/>
      <c r="H240" s="273"/>
      <c r="I240" s="273"/>
      <c r="J240" s="236"/>
      <c r="L240" s="273"/>
      <c r="M240" s="236"/>
    </row>
    <row r="241" spans="1:13" ht="14.25" customHeight="1" x14ac:dyDescent="0.25">
      <c r="A241" s="236"/>
      <c r="F241" s="273"/>
      <c r="H241" s="273"/>
      <c r="I241" s="273"/>
      <c r="J241" s="236"/>
      <c r="L241" s="273"/>
      <c r="M241" s="236"/>
    </row>
    <row r="242" spans="1:13" ht="14.25" customHeight="1" x14ac:dyDescent="0.25">
      <c r="A242" s="236"/>
      <c r="F242" s="273"/>
      <c r="H242" s="273"/>
      <c r="I242" s="273"/>
      <c r="J242" s="236"/>
      <c r="L242" s="273"/>
      <c r="M242" s="236"/>
    </row>
    <row r="243" spans="1:13" ht="14.25" customHeight="1" x14ac:dyDescent="0.25">
      <c r="A243" s="236"/>
      <c r="F243" s="273"/>
      <c r="H243" s="273"/>
      <c r="I243" s="273"/>
      <c r="J243" s="236"/>
      <c r="L243" s="273"/>
      <c r="M243" s="236"/>
    </row>
    <row r="244" spans="1:13" ht="14.25" customHeight="1" x14ac:dyDescent="0.25">
      <c r="A244" s="236"/>
      <c r="F244" s="273"/>
      <c r="H244" s="273"/>
      <c r="I244" s="273"/>
      <c r="J244" s="236"/>
      <c r="L244" s="273"/>
      <c r="M244" s="236"/>
    </row>
    <row r="245" spans="1:13" ht="14.25" customHeight="1" x14ac:dyDescent="0.25">
      <c r="A245" s="236"/>
      <c r="F245" s="273"/>
      <c r="H245" s="273"/>
      <c r="I245" s="273"/>
      <c r="J245" s="236"/>
      <c r="L245" s="273"/>
      <c r="M245" s="236"/>
    </row>
    <row r="246" spans="1:13" ht="14.25" customHeight="1" x14ac:dyDescent="0.25">
      <c r="A246" s="236"/>
      <c r="F246" s="273"/>
      <c r="H246" s="273"/>
      <c r="I246" s="273"/>
      <c r="J246" s="236"/>
      <c r="L246" s="273"/>
      <c r="M246" s="236"/>
    </row>
    <row r="247" spans="1:13" ht="14.25" customHeight="1" x14ac:dyDescent="0.25">
      <c r="A247" s="236"/>
      <c r="F247" s="273"/>
      <c r="H247" s="273"/>
      <c r="I247" s="273"/>
      <c r="J247" s="236"/>
      <c r="L247" s="273"/>
      <c r="M247" s="236"/>
    </row>
    <row r="248" spans="1:13" ht="14.25" customHeight="1" x14ac:dyDescent="0.25">
      <c r="A248" s="236"/>
      <c r="F248" s="273"/>
      <c r="H248" s="273"/>
      <c r="I248" s="273"/>
      <c r="J248" s="236"/>
      <c r="L248" s="273"/>
      <c r="M248" s="236"/>
    </row>
    <row r="249" spans="1:13" ht="14.25" customHeight="1" x14ac:dyDescent="0.25">
      <c r="A249" s="236"/>
      <c r="F249" s="273"/>
      <c r="H249" s="273"/>
      <c r="I249" s="273"/>
      <c r="J249" s="236"/>
      <c r="L249" s="273"/>
      <c r="M249" s="236"/>
    </row>
    <row r="250" spans="1:13" ht="14.25" customHeight="1" x14ac:dyDescent="0.25">
      <c r="A250" s="236"/>
      <c r="F250" s="273"/>
      <c r="H250" s="273"/>
      <c r="I250" s="273"/>
      <c r="J250" s="236"/>
      <c r="L250" s="273"/>
      <c r="M250" s="236"/>
    </row>
    <row r="251" spans="1:13" ht="14.25" customHeight="1" x14ac:dyDescent="0.25">
      <c r="A251" s="236"/>
      <c r="F251" s="273"/>
      <c r="H251" s="273"/>
      <c r="I251" s="273"/>
      <c r="J251" s="236"/>
      <c r="L251" s="273"/>
      <c r="M251" s="236"/>
    </row>
    <row r="252" spans="1:13" ht="14.25" customHeight="1" x14ac:dyDescent="0.25">
      <c r="A252" s="236"/>
      <c r="F252" s="273"/>
      <c r="H252" s="273"/>
      <c r="I252" s="273"/>
      <c r="J252" s="236"/>
      <c r="L252" s="273"/>
      <c r="M252" s="236"/>
    </row>
    <row r="253" spans="1:13" ht="14.25" customHeight="1" x14ac:dyDescent="0.25">
      <c r="A253" s="236"/>
      <c r="F253" s="273"/>
      <c r="H253" s="273"/>
      <c r="I253" s="273"/>
      <c r="J253" s="236"/>
      <c r="L253" s="273"/>
      <c r="M253" s="236"/>
    </row>
    <row r="254" spans="1:13" ht="14.25" customHeight="1" x14ac:dyDescent="0.25">
      <c r="A254" s="236"/>
      <c r="F254" s="273"/>
      <c r="H254" s="273"/>
      <c r="I254" s="273"/>
      <c r="J254" s="236"/>
      <c r="L254" s="273"/>
      <c r="M254" s="236"/>
    </row>
    <row r="255" spans="1:13" ht="14.25" customHeight="1" x14ac:dyDescent="0.25">
      <c r="A255" s="236"/>
      <c r="F255" s="273"/>
      <c r="H255" s="273"/>
      <c r="I255" s="273"/>
      <c r="J255" s="236"/>
      <c r="L255" s="273"/>
      <c r="M255" s="236"/>
    </row>
    <row r="256" spans="1:13" ht="14.25" customHeight="1" x14ac:dyDescent="0.25">
      <c r="A256" s="236"/>
      <c r="F256" s="273"/>
      <c r="H256" s="273"/>
      <c r="I256" s="273"/>
      <c r="J256" s="236"/>
      <c r="L256" s="273"/>
      <c r="M256" s="236"/>
    </row>
    <row r="257" spans="1:13" ht="14.25" customHeight="1" x14ac:dyDescent="0.25">
      <c r="A257" s="236"/>
      <c r="F257" s="273"/>
      <c r="H257" s="273"/>
      <c r="I257" s="273"/>
      <c r="J257" s="236"/>
      <c r="L257" s="273"/>
      <c r="M257" s="236"/>
    </row>
    <row r="258" spans="1:13" ht="14.25" customHeight="1" x14ac:dyDescent="0.25">
      <c r="A258" s="236"/>
      <c r="F258" s="273"/>
      <c r="H258" s="273"/>
      <c r="I258" s="273"/>
      <c r="J258" s="236"/>
      <c r="L258" s="273"/>
      <c r="M258" s="236"/>
    </row>
    <row r="259" spans="1:13" ht="14.25" customHeight="1" x14ac:dyDescent="0.25">
      <c r="A259" s="236"/>
      <c r="F259" s="273"/>
      <c r="H259" s="273"/>
      <c r="I259" s="273"/>
      <c r="J259" s="236"/>
      <c r="L259" s="273"/>
      <c r="M259" s="236"/>
    </row>
    <row r="260" spans="1:13" ht="14.25" customHeight="1" x14ac:dyDescent="0.25">
      <c r="A260" s="236"/>
      <c r="F260" s="273"/>
      <c r="H260" s="273"/>
      <c r="I260" s="273"/>
      <c r="J260" s="236"/>
      <c r="L260" s="273"/>
      <c r="M260" s="236"/>
    </row>
    <row r="261" spans="1:13" ht="14.25" customHeight="1" x14ac:dyDescent="0.25">
      <c r="A261" s="236"/>
      <c r="F261" s="273"/>
      <c r="H261" s="273"/>
      <c r="I261" s="273"/>
      <c r="J261" s="236"/>
      <c r="L261" s="273"/>
      <c r="M261" s="236"/>
    </row>
    <row r="262" spans="1:13" ht="14.25" customHeight="1" x14ac:dyDescent="0.25">
      <c r="A262" s="236"/>
      <c r="F262" s="273"/>
      <c r="H262" s="273"/>
      <c r="I262" s="273"/>
      <c r="J262" s="236"/>
      <c r="L262" s="273"/>
      <c r="M262" s="236"/>
    </row>
    <row r="263" spans="1:13" ht="14.25" customHeight="1" x14ac:dyDescent="0.25">
      <c r="A263" s="236"/>
      <c r="F263" s="273"/>
      <c r="H263" s="273"/>
      <c r="I263" s="273"/>
      <c r="J263" s="236"/>
      <c r="L263" s="273"/>
      <c r="M263" s="236"/>
    </row>
    <row r="264" spans="1:13" ht="14.25" customHeight="1" x14ac:dyDescent="0.25">
      <c r="A264" s="236"/>
      <c r="F264" s="273"/>
      <c r="H264" s="273"/>
      <c r="I264" s="273"/>
      <c r="J264" s="236"/>
      <c r="L264" s="273"/>
      <c r="M264" s="236"/>
    </row>
    <row r="265" spans="1:13" ht="14.25" customHeight="1" x14ac:dyDescent="0.25">
      <c r="A265" s="236"/>
      <c r="F265" s="273"/>
      <c r="H265" s="273"/>
      <c r="I265" s="273"/>
      <c r="J265" s="236"/>
      <c r="L265" s="273"/>
      <c r="M265" s="236"/>
    </row>
    <row r="266" spans="1:13" ht="14.25" customHeight="1" x14ac:dyDescent="0.25">
      <c r="A266" s="236"/>
      <c r="F266" s="273"/>
      <c r="H266" s="273"/>
      <c r="I266" s="273"/>
      <c r="J266" s="236"/>
      <c r="L266" s="273"/>
      <c r="M266" s="236"/>
    </row>
    <row r="267" spans="1:13" ht="14.25" customHeight="1" x14ac:dyDescent="0.25">
      <c r="A267" s="236"/>
      <c r="F267" s="273"/>
      <c r="H267" s="273"/>
      <c r="I267" s="273"/>
      <c r="J267" s="236"/>
      <c r="L267" s="273"/>
      <c r="M267" s="236"/>
    </row>
    <row r="268" spans="1:13" ht="14.25" customHeight="1" x14ac:dyDescent="0.25">
      <c r="A268" s="236"/>
      <c r="F268" s="273"/>
      <c r="H268" s="273"/>
      <c r="I268" s="273"/>
      <c r="J268" s="236"/>
      <c r="L268" s="273"/>
      <c r="M268" s="236"/>
    </row>
    <row r="269" spans="1:13" ht="14.25" customHeight="1" x14ac:dyDescent="0.25">
      <c r="A269" s="236"/>
      <c r="F269" s="273"/>
      <c r="H269" s="273"/>
      <c r="I269" s="273"/>
      <c r="J269" s="236"/>
      <c r="L269" s="273"/>
      <c r="M269" s="236"/>
    </row>
    <row r="270" spans="1:13" ht="14.25" customHeight="1" x14ac:dyDescent="0.25">
      <c r="A270" s="236"/>
      <c r="F270" s="273"/>
      <c r="H270" s="273"/>
      <c r="I270" s="273"/>
      <c r="J270" s="236"/>
      <c r="L270" s="273"/>
      <c r="M270" s="236"/>
    </row>
    <row r="271" spans="1:13" ht="14.25" customHeight="1" x14ac:dyDescent="0.25">
      <c r="A271" s="236"/>
      <c r="F271" s="273"/>
      <c r="H271" s="273"/>
      <c r="I271" s="273"/>
      <c r="J271" s="236"/>
      <c r="L271" s="273"/>
      <c r="M271" s="236"/>
    </row>
    <row r="272" spans="1:13" ht="14.25" customHeight="1" x14ac:dyDescent="0.25">
      <c r="A272" s="236"/>
      <c r="F272" s="273"/>
      <c r="H272" s="273"/>
      <c r="I272" s="273"/>
      <c r="J272" s="236"/>
      <c r="L272" s="273"/>
      <c r="M272" s="236"/>
    </row>
    <row r="273" spans="1:13" ht="14.25" customHeight="1" x14ac:dyDescent="0.25">
      <c r="A273" s="236"/>
      <c r="F273" s="273"/>
      <c r="H273" s="273"/>
      <c r="I273" s="273"/>
      <c r="J273" s="236"/>
      <c r="L273" s="273"/>
      <c r="M273" s="236"/>
    </row>
    <row r="274" spans="1:13" ht="14.25" customHeight="1" x14ac:dyDescent="0.25">
      <c r="A274" s="236"/>
      <c r="F274" s="273"/>
      <c r="H274" s="273"/>
      <c r="I274" s="273"/>
      <c r="J274" s="236"/>
      <c r="L274" s="273"/>
      <c r="M274" s="236"/>
    </row>
    <row r="275" spans="1:13" ht="14.25" customHeight="1" x14ac:dyDescent="0.25">
      <c r="A275" s="236"/>
      <c r="F275" s="273"/>
      <c r="H275" s="273"/>
      <c r="I275" s="273"/>
      <c r="J275" s="236"/>
      <c r="L275" s="273"/>
      <c r="M275" s="236"/>
    </row>
    <row r="276" spans="1:13" ht="14.25" customHeight="1" x14ac:dyDescent="0.25">
      <c r="A276" s="236"/>
      <c r="F276" s="273"/>
      <c r="H276" s="273"/>
      <c r="I276" s="273"/>
      <c r="J276" s="236"/>
      <c r="L276" s="273"/>
      <c r="M276" s="236"/>
    </row>
    <row r="277" spans="1:13" ht="14.25" customHeight="1" x14ac:dyDescent="0.25">
      <c r="A277" s="236"/>
      <c r="F277" s="273"/>
      <c r="H277" s="273"/>
      <c r="I277" s="273"/>
      <c r="J277" s="236"/>
      <c r="L277" s="273"/>
      <c r="M277" s="236"/>
    </row>
    <row r="278" spans="1:13" ht="14.25" customHeight="1" x14ac:dyDescent="0.25">
      <c r="A278" s="236"/>
      <c r="F278" s="273"/>
      <c r="H278" s="273"/>
      <c r="I278" s="273"/>
      <c r="J278" s="236"/>
      <c r="L278" s="273"/>
      <c r="M278" s="236"/>
    </row>
    <row r="279" spans="1:13" ht="14.25" customHeight="1" x14ac:dyDescent="0.25">
      <c r="A279" s="236"/>
      <c r="F279" s="273"/>
      <c r="H279" s="273"/>
      <c r="I279" s="273"/>
      <c r="J279" s="236"/>
      <c r="L279" s="273"/>
      <c r="M279" s="236"/>
    </row>
    <row r="280" spans="1:13" ht="14.25" customHeight="1" x14ac:dyDescent="0.25">
      <c r="A280" s="236"/>
      <c r="F280" s="273"/>
      <c r="H280" s="273"/>
      <c r="I280" s="273"/>
      <c r="J280" s="236"/>
      <c r="L280" s="273"/>
      <c r="M280" s="236"/>
    </row>
    <row r="281" spans="1:13" ht="14.25" customHeight="1" x14ac:dyDescent="0.25">
      <c r="A281" s="236"/>
      <c r="F281" s="273"/>
      <c r="H281" s="273"/>
      <c r="I281" s="273"/>
      <c r="J281" s="236"/>
      <c r="L281" s="273"/>
      <c r="M281" s="236"/>
    </row>
    <row r="282" spans="1:13" ht="14.25" customHeight="1" x14ac:dyDescent="0.25">
      <c r="A282" s="236"/>
      <c r="F282" s="273"/>
      <c r="H282" s="273"/>
      <c r="I282" s="273"/>
      <c r="J282" s="236"/>
      <c r="L282" s="273"/>
      <c r="M282" s="236"/>
    </row>
    <row r="283" spans="1:13" ht="14.25" customHeight="1" x14ac:dyDescent="0.25">
      <c r="A283" s="236"/>
      <c r="F283" s="273"/>
      <c r="H283" s="273"/>
      <c r="I283" s="273"/>
      <c r="J283" s="236"/>
      <c r="L283" s="273"/>
      <c r="M283" s="236"/>
    </row>
    <row r="284" spans="1:13" ht="14.25" customHeight="1" x14ac:dyDescent="0.25">
      <c r="A284" s="236"/>
      <c r="F284" s="273"/>
      <c r="H284" s="273"/>
      <c r="I284" s="273"/>
      <c r="J284" s="236"/>
      <c r="L284" s="273"/>
      <c r="M284" s="236"/>
    </row>
    <row r="285" spans="1:13" ht="14.25" customHeight="1" x14ac:dyDescent="0.25">
      <c r="A285" s="236"/>
      <c r="F285" s="273"/>
      <c r="H285" s="273"/>
      <c r="I285" s="273"/>
      <c r="J285" s="236"/>
      <c r="L285" s="273"/>
      <c r="M285" s="236"/>
    </row>
    <row r="286" spans="1:13" ht="14.25" customHeight="1" x14ac:dyDescent="0.25">
      <c r="A286" s="236"/>
      <c r="F286" s="273"/>
      <c r="H286" s="273"/>
      <c r="I286" s="273"/>
      <c r="J286" s="236"/>
      <c r="L286" s="273"/>
      <c r="M286" s="236"/>
    </row>
    <row r="287" spans="1:13" ht="14.25" customHeight="1" x14ac:dyDescent="0.25">
      <c r="A287" s="236"/>
      <c r="F287" s="273"/>
      <c r="H287" s="273"/>
      <c r="I287" s="273"/>
      <c r="J287" s="236"/>
      <c r="L287" s="273"/>
      <c r="M287" s="236"/>
    </row>
    <row r="288" spans="1:13" ht="14.25" customHeight="1" x14ac:dyDescent="0.25">
      <c r="A288" s="236"/>
      <c r="F288" s="273"/>
      <c r="H288" s="273"/>
      <c r="I288" s="273"/>
      <c r="J288" s="236"/>
      <c r="L288" s="273"/>
      <c r="M288" s="236"/>
    </row>
    <row r="289" spans="1:13" ht="14.25" customHeight="1" x14ac:dyDescent="0.25">
      <c r="A289" s="236"/>
      <c r="F289" s="273"/>
      <c r="H289" s="273"/>
      <c r="I289" s="273"/>
      <c r="J289" s="236"/>
      <c r="L289" s="273"/>
      <c r="M289" s="236"/>
    </row>
    <row r="290" spans="1:13" ht="14.25" customHeight="1" x14ac:dyDescent="0.25">
      <c r="A290" s="236"/>
      <c r="F290" s="273"/>
      <c r="H290" s="273"/>
      <c r="I290" s="273"/>
      <c r="J290" s="236"/>
      <c r="L290" s="273"/>
      <c r="M290" s="236"/>
    </row>
    <row r="291" spans="1:13" ht="14.25" customHeight="1" x14ac:dyDescent="0.25">
      <c r="A291" s="236"/>
      <c r="F291" s="273"/>
      <c r="H291" s="273"/>
      <c r="I291" s="273"/>
      <c r="J291" s="236"/>
      <c r="L291" s="273"/>
      <c r="M291" s="236"/>
    </row>
    <row r="292" spans="1:13" ht="14.25" customHeight="1" x14ac:dyDescent="0.25">
      <c r="A292" s="236"/>
      <c r="F292" s="273"/>
      <c r="H292" s="273"/>
      <c r="I292" s="273"/>
      <c r="J292" s="236"/>
      <c r="L292" s="273"/>
      <c r="M292" s="236"/>
    </row>
    <row r="293" spans="1:13" ht="14.25" customHeight="1" x14ac:dyDescent="0.25">
      <c r="A293" s="236"/>
      <c r="F293" s="273"/>
      <c r="H293" s="273"/>
      <c r="I293" s="273"/>
      <c r="J293" s="236"/>
      <c r="L293" s="273"/>
      <c r="M293" s="236"/>
    </row>
    <row r="294" spans="1:13" ht="14.25" customHeight="1" x14ac:dyDescent="0.25">
      <c r="A294" s="236"/>
      <c r="F294" s="273"/>
      <c r="H294" s="273"/>
      <c r="I294" s="273"/>
      <c r="J294" s="236"/>
      <c r="L294" s="273"/>
      <c r="M294" s="236"/>
    </row>
    <row r="295" spans="1:13" ht="14.25" customHeight="1" x14ac:dyDescent="0.25">
      <c r="A295" s="236"/>
      <c r="F295" s="273"/>
      <c r="H295" s="273"/>
      <c r="I295" s="273"/>
      <c r="J295" s="236"/>
      <c r="L295" s="273"/>
      <c r="M295" s="236"/>
    </row>
    <row r="296" spans="1:13" ht="14.25" customHeight="1" x14ac:dyDescent="0.25">
      <c r="A296" s="236"/>
      <c r="F296" s="273"/>
      <c r="H296" s="273"/>
      <c r="I296" s="273"/>
      <c r="J296" s="236"/>
      <c r="L296" s="273"/>
      <c r="M296" s="236"/>
    </row>
    <row r="297" spans="1:13" ht="14.25" customHeight="1" x14ac:dyDescent="0.25">
      <c r="A297" s="236"/>
      <c r="F297" s="273"/>
      <c r="H297" s="273"/>
      <c r="I297" s="273"/>
      <c r="J297" s="236"/>
      <c r="L297" s="273"/>
      <c r="M297" s="236"/>
    </row>
    <row r="298" spans="1:13" ht="14.25" customHeight="1" x14ac:dyDescent="0.25">
      <c r="A298" s="236"/>
      <c r="F298" s="273"/>
      <c r="H298" s="273"/>
      <c r="I298" s="273"/>
      <c r="J298" s="236"/>
      <c r="L298" s="273"/>
      <c r="M298" s="236"/>
    </row>
    <row r="299" spans="1:13" ht="14.25" customHeight="1" x14ac:dyDescent="0.25">
      <c r="A299" s="236"/>
      <c r="F299" s="273"/>
      <c r="H299" s="273"/>
      <c r="I299" s="273"/>
      <c r="J299" s="236"/>
      <c r="L299" s="273"/>
      <c r="M299" s="236"/>
    </row>
    <row r="300" spans="1:13" ht="14.25" customHeight="1" x14ac:dyDescent="0.25">
      <c r="A300" s="236"/>
      <c r="F300" s="273"/>
      <c r="H300" s="273"/>
      <c r="I300" s="273"/>
      <c r="J300" s="236"/>
      <c r="L300" s="273"/>
      <c r="M300" s="236"/>
    </row>
    <row r="301" spans="1:13" ht="14.25" customHeight="1" x14ac:dyDescent="0.25">
      <c r="A301" s="236"/>
      <c r="F301" s="273"/>
      <c r="H301" s="273"/>
      <c r="I301" s="273"/>
      <c r="J301" s="236"/>
      <c r="L301" s="273"/>
      <c r="M301" s="236"/>
    </row>
    <row r="302" spans="1:13" ht="14.25" customHeight="1" x14ac:dyDescent="0.25">
      <c r="A302" s="236"/>
      <c r="F302" s="273"/>
      <c r="H302" s="273"/>
      <c r="I302" s="273"/>
      <c r="J302" s="236"/>
      <c r="L302" s="273"/>
      <c r="M302" s="236"/>
    </row>
    <row r="303" spans="1:13" ht="14.25" customHeight="1" x14ac:dyDescent="0.25">
      <c r="A303" s="236"/>
      <c r="F303" s="273"/>
      <c r="H303" s="273"/>
      <c r="I303" s="273"/>
      <c r="J303" s="236"/>
      <c r="L303" s="273"/>
      <c r="M303" s="236"/>
    </row>
    <row r="304" spans="1:13" ht="14.25" customHeight="1" x14ac:dyDescent="0.25">
      <c r="A304" s="236"/>
      <c r="F304" s="273"/>
      <c r="H304" s="273"/>
      <c r="I304" s="273"/>
      <c r="J304" s="236"/>
      <c r="L304" s="273"/>
      <c r="M304" s="236"/>
    </row>
    <row r="305" spans="1:13" ht="14.25" customHeight="1" x14ac:dyDescent="0.25">
      <c r="A305" s="236"/>
      <c r="F305" s="273"/>
      <c r="H305" s="273"/>
      <c r="I305" s="273"/>
      <c r="J305" s="236"/>
      <c r="L305" s="273"/>
      <c r="M305" s="236"/>
    </row>
    <row r="306" spans="1:13" ht="14.25" customHeight="1" x14ac:dyDescent="0.25">
      <c r="A306" s="236"/>
      <c r="F306" s="273"/>
      <c r="H306" s="273"/>
      <c r="I306" s="273"/>
      <c r="J306" s="236"/>
      <c r="L306" s="273"/>
      <c r="M306" s="236"/>
    </row>
    <row r="307" spans="1:13" ht="14.25" customHeight="1" x14ac:dyDescent="0.25">
      <c r="A307" s="236"/>
      <c r="F307" s="273"/>
      <c r="H307" s="273"/>
      <c r="I307" s="273"/>
      <c r="J307" s="236"/>
      <c r="L307" s="273"/>
      <c r="M307" s="236"/>
    </row>
    <row r="308" spans="1:13" ht="14.25" customHeight="1" x14ac:dyDescent="0.25">
      <c r="A308" s="236"/>
      <c r="F308" s="273"/>
      <c r="H308" s="273"/>
      <c r="I308" s="273"/>
      <c r="J308" s="236"/>
      <c r="L308" s="273"/>
      <c r="M308" s="236"/>
    </row>
    <row r="309" spans="1:13" ht="14.25" customHeight="1" x14ac:dyDescent="0.25">
      <c r="A309" s="236"/>
      <c r="F309" s="273"/>
      <c r="H309" s="273"/>
      <c r="I309" s="273"/>
      <c r="J309" s="236"/>
      <c r="L309" s="273"/>
      <c r="M309" s="236"/>
    </row>
    <row r="310" spans="1:13" ht="14.25" customHeight="1" x14ac:dyDescent="0.25">
      <c r="A310" s="236"/>
      <c r="F310" s="273"/>
      <c r="H310" s="273"/>
      <c r="I310" s="273"/>
      <c r="J310" s="236"/>
      <c r="L310" s="273"/>
      <c r="M310" s="236"/>
    </row>
    <row r="311" spans="1:13" ht="14.25" customHeight="1" x14ac:dyDescent="0.25">
      <c r="A311" s="236"/>
      <c r="F311" s="273"/>
      <c r="H311" s="273"/>
      <c r="I311" s="273"/>
      <c r="J311" s="236"/>
      <c r="L311" s="273"/>
      <c r="M311" s="236"/>
    </row>
    <row r="312" spans="1:13" ht="14.25" customHeight="1" x14ac:dyDescent="0.25">
      <c r="A312" s="236"/>
      <c r="F312" s="273"/>
      <c r="H312" s="273"/>
      <c r="I312" s="273"/>
      <c r="J312" s="236"/>
      <c r="L312" s="273"/>
      <c r="M312" s="236"/>
    </row>
    <row r="313" spans="1:13" ht="14.25" customHeight="1" x14ac:dyDescent="0.25">
      <c r="A313" s="236"/>
      <c r="F313" s="273"/>
      <c r="H313" s="273"/>
      <c r="I313" s="273"/>
      <c r="J313" s="236"/>
      <c r="L313" s="273"/>
      <c r="M313" s="236"/>
    </row>
    <row r="314" spans="1:13" ht="14.25" customHeight="1" x14ac:dyDescent="0.25">
      <c r="A314" s="236"/>
      <c r="F314" s="273"/>
      <c r="H314" s="273"/>
      <c r="I314" s="273"/>
      <c r="J314" s="236"/>
      <c r="L314" s="273"/>
      <c r="M314" s="236"/>
    </row>
    <row r="315" spans="1:13" ht="14.25" customHeight="1" x14ac:dyDescent="0.25">
      <c r="A315" s="236"/>
      <c r="F315" s="273"/>
      <c r="H315" s="273"/>
      <c r="I315" s="273"/>
      <c r="J315" s="236"/>
      <c r="L315" s="273"/>
      <c r="M315" s="236"/>
    </row>
    <row r="316" spans="1:13" ht="14.25" customHeight="1" x14ac:dyDescent="0.25">
      <c r="A316" s="236"/>
      <c r="F316" s="273"/>
      <c r="H316" s="273"/>
      <c r="I316" s="273"/>
      <c r="J316" s="236"/>
      <c r="L316" s="273"/>
      <c r="M316" s="236"/>
    </row>
    <row r="317" spans="1:13" ht="14.25" customHeight="1" x14ac:dyDescent="0.25">
      <c r="A317" s="236"/>
      <c r="F317" s="273"/>
      <c r="H317" s="273"/>
      <c r="I317" s="273"/>
      <c r="J317" s="236"/>
      <c r="L317" s="273"/>
      <c r="M317" s="236"/>
    </row>
    <row r="318" spans="1:13" ht="14.25" customHeight="1" x14ac:dyDescent="0.25">
      <c r="A318" s="236"/>
      <c r="F318" s="273"/>
      <c r="H318" s="273"/>
      <c r="I318" s="273"/>
      <c r="J318" s="236"/>
      <c r="L318" s="273"/>
      <c r="M318" s="236"/>
    </row>
    <row r="319" spans="1:13" ht="14.25" customHeight="1" x14ac:dyDescent="0.25">
      <c r="A319" s="236"/>
      <c r="F319" s="273"/>
      <c r="H319" s="273"/>
      <c r="I319" s="273"/>
      <c r="J319" s="236"/>
      <c r="L319" s="273"/>
      <c r="M319" s="236"/>
    </row>
    <row r="320" spans="1:13" ht="14.25" customHeight="1" x14ac:dyDescent="0.25">
      <c r="A320" s="236"/>
      <c r="F320" s="273"/>
      <c r="H320" s="273"/>
      <c r="I320" s="273"/>
      <c r="J320" s="236"/>
      <c r="L320" s="273"/>
      <c r="M320" s="236"/>
    </row>
    <row r="321" spans="1:13" ht="14.25" customHeight="1" x14ac:dyDescent="0.25">
      <c r="A321" s="236"/>
      <c r="F321" s="273"/>
      <c r="H321" s="273"/>
      <c r="I321" s="273"/>
      <c r="J321" s="236"/>
      <c r="L321" s="273"/>
      <c r="M321" s="236"/>
    </row>
    <row r="322" spans="1:13" ht="14.25" customHeight="1" x14ac:dyDescent="0.25">
      <c r="A322" s="236"/>
      <c r="F322" s="273"/>
      <c r="H322" s="273"/>
      <c r="I322" s="273"/>
      <c r="J322" s="236"/>
      <c r="L322" s="273"/>
      <c r="M322" s="236"/>
    </row>
    <row r="323" spans="1:13" ht="14.25" customHeight="1" x14ac:dyDescent="0.25">
      <c r="A323" s="236"/>
      <c r="F323" s="273"/>
      <c r="H323" s="273"/>
      <c r="I323" s="273"/>
      <c r="J323" s="236"/>
      <c r="L323" s="273"/>
      <c r="M323" s="236"/>
    </row>
    <row r="324" spans="1:13" ht="14.25" customHeight="1" x14ac:dyDescent="0.25">
      <c r="A324" s="236"/>
      <c r="F324" s="273"/>
      <c r="H324" s="273"/>
      <c r="I324" s="273"/>
      <c r="J324" s="236"/>
      <c r="L324" s="273"/>
      <c r="M324" s="236"/>
    </row>
    <row r="325" spans="1:13" ht="14.25" customHeight="1" x14ac:dyDescent="0.25">
      <c r="A325" s="236"/>
      <c r="F325" s="273"/>
      <c r="H325" s="273"/>
      <c r="I325" s="273"/>
      <c r="J325" s="236"/>
      <c r="L325" s="273"/>
      <c r="M325" s="236"/>
    </row>
    <row r="326" spans="1:13" ht="14.25" customHeight="1" x14ac:dyDescent="0.25">
      <c r="A326" s="236"/>
      <c r="F326" s="273"/>
      <c r="H326" s="273"/>
      <c r="I326" s="273"/>
      <c r="J326" s="236"/>
      <c r="L326" s="273"/>
      <c r="M326" s="236"/>
    </row>
    <row r="327" spans="1:13" ht="14.25" customHeight="1" x14ac:dyDescent="0.25">
      <c r="A327" s="236"/>
      <c r="F327" s="273"/>
      <c r="H327" s="273"/>
      <c r="I327" s="273"/>
      <c r="J327" s="236"/>
      <c r="L327" s="273"/>
      <c r="M327" s="236"/>
    </row>
    <row r="328" spans="1:13" ht="14.25" customHeight="1" x14ac:dyDescent="0.25">
      <c r="A328" s="236"/>
      <c r="F328" s="273"/>
      <c r="H328" s="273"/>
      <c r="I328" s="273"/>
      <c r="J328" s="236"/>
      <c r="L328" s="273"/>
      <c r="M328" s="236"/>
    </row>
    <row r="329" spans="1:13" ht="14.25" customHeight="1" x14ac:dyDescent="0.25">
      <c r="A329" s="236"/>
      <c r="F329" s="273"/>
      <c r="H329" s="273"/>
      <c r="I329" s="273"/>
      <c r="J329" s="236"/>
      <c r="L329" s="273"/>
      <c r="M329" s="236"/>
    </row>
    <row r="330" spans="1:13" ht="14.25" customHeight="1" x14ac:dyDescent="0.25">
      <c r="A330" s="236"/>
      <c r="F330" s="273"/>
      <c r="H330" s="273"/>
      <c r="I330" s="273"/>
      <c r="J330" s="236"/>
      <c r="L330" s="273"/>
      <c r="M330" s="236"/>
    </row>
    <row r="331" spans="1:13" ht="14.25" customHeight="1" x14ac:dyDescent="0.25">
      <c r="A331" s="236"/>
      <c r="F331" s="273"/>
      <c r="H331" s="273"/>
      <c r="I331" s="273"/>
      <c r="J331" s="236"/>
      <c r="L331" s="273"/>
      <c r="M331" s="236"/>
    </row>
    <row r="332" spans="1:13" ht="14.25" customHeight="1" x14ac:dyDescent="0.25">
      <c r="A332" s="236"/>
      <c r="F332" s="273"/>
      <c r="H332" s="273"/>
      <c r="I332" s="273"/>
      <c r="J332" s="236"/>
      <c r="L332" s="273"/>
      <c r="M332" s="236"/>
    </row>
    <row r="333" spans="1:13" ht="14.25" customHeight="1" x14ac:dyDescent="0.25">
      <c r="A333" s="236"/>
      <c r="F333" s="273"/>
      <c r="H333" s="273"/>
      <c r="I333" s="273"/>
      <c r="J333" s="236"/>
      <c r="L333" s="273"/>
      <c r="M333" s="236"/>
    </row>
    <row r="334" spans="1:13" ht="14.25" customHeight="1" x14ac:dyDescent="0.25">
      <c r="A334" s="236"/>
      <c r="F334" s="273"/>
      <c r="H334" s="273"/>
      <c r="I334" s="273"/>
      <c r="J334" s="236"/>
      <c r="L334" s="273"/>
      <c r="M334" s="236"/>
    </row>
    <row r="335" spans="1:13" ht="14.25" customHeight="1" x14ac:dyDescent="0.25">
      <c r="A335" s="236"/>
      <c r="F335" s="273"/>
      <c r="H335" s="273"/>
      <c r="I335" s="273"/>
      <c r="J335" s="236"/>
      <c r="L335" s="273"/>
      <c r="M335" s="236"/>
    </row>
    <row r="336" spans="1:13" ht="14.25" customHeight="1" x14ac:dyDescent="0.25">
      <c r="A336" s="236"/>
      <c r="F336" s="273"/>
      <c r="H336" s="273"/>
      <c r="I336" s="273"/>
      <c r="J336" s="236"/>
      <c r="L336" s="273"/>
      <c r="M336" s="236"/>
    </row>
    <row r="337" spans="1:13" ht="14.25" customHeight="1" x14ac:dyDescent="0.25">
      <c r="A337" s="236"/>
      <c r="F337" s="273"/>
      <c r="H337" s="273"/>
      <c r="I337" s="273"/>
      <c r="J337" s="236"/>
      <c r="L337" s="273"/>
      <c r="M337" s="236"/>
    </row>
    <row r="338" spans="1:13" ht="14.25" customHeight="1" x14ac:dyDescent="0.25">
      <c r="A338" s="236"/>
      <c r="F338" s="273"/>
      <c r="H338" s="273"/>
      <c r="I338" s="273"/>
      <c r="J338" s="236"/>
      <c r="L338" s="273"/>
      <c r="M338" s="236"/>
    </row>
    <row r="339" spans="1:13" ht="14.25" customHeight="1" x14ac:dyDescent="0.25">
      <c r="A339" s="236"/>
      <c r="F339" s="273"/>
      <c r="H339" s="273"/>
      <c r="I339" s="273"/>
      <c r="J339" s="236"/>
      <c r="L339" s="273"/>
      <c r="M339" s="236"/>
    </row>
    <row r="340" spans="1:13" ht="14.25" customHeight="1" x14ac:dyDescent="0.25">
      <c r="A340" s="236"/>
      <c r="F340" s="273"/>
      <c r="H340" s="273"/>
      <c r="I340" s="273"/>
      <c r="J340" s="236"/>
      <c r="L340" s="273"/>
      <c r="M340" s="236"/>
    </row>
    <row r="341" spans="1:13" ht="14.25" customHeight="1" x14ac:dyDescent="0.25">
      <c r="A341" s="236"/>
      <c r="F341" s="273"/>
      <c r="H341" s="273"/>
      <c r="I341" s="273"/>
      <c r="J341" s="236"/>
      <c r="L341" s="273"/>
      <c r="M341" s="236"/>
    </row>
    <row r="342" spans="1:13" ht="14.25" customHeight="1" x14ac:dyDescent="0.25">
      <c r="A342" s="236"/>
      <c r="F342" s="273"/>
      <c r="H342" s="273"/>
      <c r="I342" s="273"/>
      <c r="J342" s="236"/>
      <c r="L342" s="273"/>
      <c r="M342" s="236"/>
    </row>
    <row r="343" spans="1:13" ht="14.25" customHeight="1" x14ac:dyDescent="0.25">
      <c r="A343" s="236"/>
      <c r="F343" s="273"/>
      <c r="H343" s="273"/>
      <c r="I343" s="273"/>
      <c r="J343" s="236"/>
      <c r="L343" s="273"/>
      <c r="M343" s="236"/>
    </row>
    <row r="344" spans="1:13" ht="14.25" customHeight="1" x14ac:dyDescent="0.25">
      <c r="A344" s="236"/>
      <c r="F344" s="273"/>
      <c r="H344" s="273"/>
      <c r="I344" s="273"/>
      <c r="J344" s="236"/>
      <c r="L344" s="273"/>
      <c r="M344" s="236"/>
    </row>
    <row r="345" spans="1:13" ht="14.25" customHeight="1" x14ac:dyDescent="0.25">
      <c r="A345" s="236"/>
      <c r="F345" s="273"/>
      <c r="H345" s="273"/>
      <c r="I345" s="273"/>
      <c r="J345" s="236"/>
      <c r="L345" s="273"/>
      <c r="M345" s="236"/>
    </row>
    <row r="346" spans="1:13" ht="14.25" customHeight="1" x14ac:dyDescent="0.25">
      <c r="A346" s="236"/>
      <c r="F346" s="273"/>
      <c r="H346" s="273"/>
      <c r="I346" s="273"/>
      <c r="J346" s="236"/>
      <c r="L346" s="273"/>
      <c r="M346" s="236"/>
    </row>
    <row r="347" spans="1:13" ht="14.25" customHeight="1" x14ac:dyDescent="0.25">
      <c r="A347" s="236"/>
      <c r="F347" s="273"/>
      <c r="H347" s="273"/>
      <c r="I347" s="273"/>
      <c r="J347" s="236"/>
      <c r="L347" s="273"/>
      <c r="M347" s="236"/>
    </row>
    <row r="348" spans="1:13" ht="14.25" customHeight="1" x14ac:dyDescent="0.25">
      <c r="A348" s="236"/>
      <c r="F348" s="273"/>
      <c r="H348" s="273"/>
      <c r="I348" s="273"/>
      <c r="J348" s="236"/>
      <c r="L348" s="273"/>
      <c r="M348" s="236"/>
    </row>
    <row r="349" spans="1:13" ht="14.25" customHeight="1" x14ac:dyDescent="0.25">
      <c r="A349" s="236"/>
      <c r="F349" s="273"/>
      <c r="H349" s="273"/>
      <c r="I349" s="273"/>
      <c r="J349" s="236"/>
      <c r="L349" s="273"/>
      <c r="M349" s="236"/>
    </row>
    <row r="350" spans="1:13" ht="14.25" customHeight="1" x14ac:dyDescent="0.25">
      <c r="A350" s="236"/>
      <c r="F350" s="273"/>
      <c r="H350" s="273"/>
      <c r="I350" s="273"/>
      <c r="J350" s="236"/>
      <c r="L350" s="273"/>
      <c r="M350" s="236"/>
    </row>
    <row r="351" spans="1:13" ht="14.25" customHeight="1" x14ac:dyDescent="0.25">
      <c r="A351" s="236"/>
      <c r="F351" s="273"/>
      <c r="H351" s="273"/>
      <c r="I351" s="273"/>
      <c r="J351" s="236"/>
      <c r="L351" s="273"/>
      <c r="M351" s="236"/>
    </row>
    <row r="352" spans="1:13" ht="14.25" customHeight="1" x14ac:dyDescent="0.25">
      <c r="A352" s="236"/>
      <c r="F352" s="273"/>
      <c r="H352" s="273"/>
      <c r="I352" s="273"/>
      <c r="J352" s="236"/>
      <c r="L352" s="273"/>
      <c r="M352" s="236"/>
    </row>
    <row r="353" spans="1:13" ht="14.25" customHeight="1" x14ac:dyDescent="0.25">
      <c r="A353" s="236"/>
      <c r="F353" s="273"/>
      <c r="H353" s="273"/>
      <c r="I353" s="273"/>
      <c r="J353" s="236"/>
      <c r="L353" s="273"/>
      <c r="M353" s="236"/>
    </row>
    <row r="354" spans="1:13" ht="14.25" customHeight="1" x14ac:dyDescent="0.25">
      <c r="A354" s="236"/>
      <c r="F354" s="273"/>
      <c r="H354" s="273"/>
      <c r="I354" s="273"/>
      <c r="J354" s="236"/>
      <c r="L354" s="273"/>
      <c r="M354" s="236"/>
    </row>
    <row r="355" spans="1:13" ht="14.25" customHeight="1" x14ac:dyDescent="0.25">
      <c r="A355" s="236"/>
      <c r="F355" s="273"/>
      <c r="H355" s="273"/>
      <c r="I355" s="273"/>
      <c r="J355" s="236"/>
      <c r="L355" s="273"/>
      <c r="M355" s="236"/>
    </row>
    <row r="356" spans="1:13" ht="14.25" customHeight="1" x14ac:dyDescent="0.25">
      <c r="A356" s="236"/>
      <c r="F356" s="273"/>
      <c r="H356" s="273"/>
      <c r="I356" s="273"/>
      <c r="J356" s="236"/>
      <c r="L356" s="273"/>
      <c r="M356" s="236"/>
    </row>
    <row r="357" spans="1:13" ht="14.25" customHeight="1" x14ac:dyDescent="0.25">
      <c r="A357" s="236"/>
      <c r="F357" s="273"/>
      <c r="H357" s="273"/>
      <c r="I357" s="273"/>
      <c r="J357" s="236"/>
      <c r="L357" s="273"/>
      <c r="M357" s="236"/>
    </row>
    <row r="358" spans="1:13" ht="14.25" customHeight="1" x14ac:dyDescent="0.25">
      <c r="A358" s="236"/>
      <c r="F358" s="273"/>
      <c r="H358" s="273"/>
      <c r="I358" s="273"/>
      <c r="J358" s="236"/>
      <c r="L358" s="273"/>
      <c r="M358" s="236"/>
    </row>
    <row r="359" spans="1:13" ht="14.25" customHeight="1" x14ac:dyDescent="0.25">
      <c r="A359" s="236"/>
      <c r="F359" s="273"/>
      <c r="H359" s="273"/>
      <c r="I359" s="273"/>
      <c r="J359" s="236"/>
      <c r="L359" s="273"/>
      <c r="M359" s="236"/>
    </row>
    <row r="360" spans="1:13" ht="14.25" customHeight="1" x14ac:dyDescent="0.25">
      <c r="A360" s="236"/>
      <c r="F360" s="273"/>
      <c r="H360" s="273"/>
      <c r="I360" s="273"/>
      <c r="J360" s="236"/>
      <c r="L360" s="273"/>
      <c r="M360" s="236"/>
    </row>
    <row r="361" spans="1:13" ht="14.25" customHeight="1" x14ac:dyDescent="0.25">
      <c r="A361" s="236"/>
      <c r="F361" s="273"/>
      <c r="H361" s="273"/>
      <c r="I361" s="273"/>
      <c r="J361" s="236"/>
      <c r="L361" s="273"/>
      <c r="M361" s="236"/>
    </row>
    <row r="362" spans="1:13" ht="14.25" customHeight="1" x14ac:dyDescent="0.25">
      <c r="A362" s="236"/>
      <c r="F362" s="273"/>
      <c r="H362" s="273"/>
      <c r="I362" s="273"/>
      <c r="J362" s="236"/>
      <c r="L362" s="273"/>
      <c r="M362" s="236"/>
    </row>
    <row r="363" spans="1:13" ht="14.25" customHeight="1" x14ac:dyDescent="0.25">
      <c r="A363" s="236"/>
      <c r="F363" s="273"/>
      <c r="H363" s="273"/>
      <c r="I363" s="273"/>
      <c r="J363" s="236"/>
      <c r="L363" s="273"/>
      <c r="M363" s="236"/>
    </row>
    <row r="364" spans="1:13" ht="14.25" customHeight="1" x14ac:dyDescent="0.25">
      <c r="A364" s="236"/>
      <c r="F364" s="273"/>
      <c r="H364" s="273"/>
      <c r="I364" s="273"/>
      <c r="J364" s="236"/>
      <c r="L364" s="273"/>
      <c r="M364" s="236"/>
    </row>
    <row r="365" spans="1:13" ht="14.25" customHeight="1" x14ac:dyDescent="0.25">
      <c r="A365" s="236"/>
      <c r="F365" s="273"/>
      <c r="H365" s="273"/>
      <c r="I365" s="273"/>
      <c r="J365" s="236"/>
      <c r="L365" s="273"/>
      <c r="M365" s="236"/>
    </row>
    <row r="366" spans="1:13" ht="14.25" customHeight="1" x14ac:dyDescent="0.25">
      <c r="A366" s="236"/>
      <c r="F366" s="273"/>
      <c r="H366" s="273"/>
      <c r="I366" s="273"/>
      <c r="J366" s="236"/>
      <c r="L366" s="273"/>
      <c r="M366" s="236"/>
    </row>
    <row r="367" spans="1:13" ht="14.25" customHeight="1" x14ac:dyDescent="0.25">
      <c r="A367" s="236"/>
      <c r="F367" s="273"/>
      <c r="H367" s="273"/>
      <c r="I367" s="273"/>
      <c r="J367" s="236"/>
      <c r="L367" s="273"/>
      <c r="M367" s="236"/>
    </row>
    <row r="368" spans="1:13" ht="14.25" customHeight="1" x14ac:dyDescent="0.25">
      <c r="A368" s="236"/>
      <c r="F368" s="273"/>
      <c r="H368" s="273"/>
      <c r="I368" s="273"/>
      <c r="J368" s="236"/>
      <c r="L368" s="273"/>
      <c r="M368" s="236"/>
    </row>
    <row r="369" spans="1:13" ht="14.25" customHeight="1" x14ac:dyDescent="0.25">
      <c r="A369" s="236"/>
      <c r="F369" s="273"/>
      <c r="H369" s="273"/>
      <c r="I369" s="273"/>
      <c r="J369" s="236"/>
      <c r="L369" s="273"/>
      <c r="M369" s="236"/>
    </row>
    <row r="370" spans="1:13" ht="14.25" customHeight="1" x14ac:dyDescent="0.25">
      <c r="A370" s="236"/>
      <c r="F370" s="273"/>
      <c r="H370" s="273"/>
      <c r="I370" s="273"/>
      <c r="J370" s="236"/>
      <c r="L370" s="273"/>
      <c r="M370" s="236"/>
    </row>
    <row r="371" spans="1:13" ht="14.25" customHeight="1" x14ac:dyDescent="0.25">
      <c r="A371" s="236"/>
      <c r="F371" s="273"/>
      <c r="H371" s="273"/>
      <c r="I371" s="273"/>
      <c r="J371" s="236"/>
      <c r="L371" s="273"/>
      <c r="M371" s="236"/>
    </row>
    <row r="372" spans="1:13" ht="14.25" customHeight="1" x14ac:dyDescent="0.25">
      <c r="A372" s="236"/>
      <c r="F372" s="273"/>
      <c r="H372" s="273"/>
      <c r="I372" s="273"/>
      <c r="J372" s="236"/>
      <c r="L372" s="273"/>
      <c r="M372" s="236"/>
    </row>
    <row r="373" spans="1:13" ht="14.25" customHeight="1" x14ac:dyDescent="0.25">
      <c r="A373" s="236"/>
      <c r="F373" s="273"/>
      <c r="H373" s="273"/>
      <c r="I373" s="273"/>
      <c r="J373" s="236"/>
      <c r="L373" s="273"/>
      <c r="M373" s="236"/>
    </row>
    <row r="374" spans="1:13" ht="14.25" customHeight="1" x14ac:dyDescent="0.25">
      <c r="A374" s="236"/>
      <c r="F374" s="273"/>
      <c r="H374" s="273"/>
      <c r="I374" s="273"/>
      <c r="J374" s="236"/>
      <c r="L374" s="273"/>
      <c r="M374" s="236"/>
    </row>
    <row r="375" spans="1:13" ht="14.25" customHeight="1" x14ac:dyDescent="0.25">
      <c r="A375" s="236"/>
      <c r="F375" s="273"/>
      <c r="H375" s="273"/>
      <c r="I375" s="273"/>
      <c r="J375" s="236"/>
      <c r="L375" s="273"/>
      <c r="M375" s="236"/>
    </row>
    <row r="376" spans="1:13" ht="14.25" customHeight="1" x14ac:dyDescent="0.25">
      <c r="A376" s="236"/>
      <c r="F376" s="273"/>
      <c r="H376" s="273"/>
      <c r="I376" s="273"/>
      <c r="J376" s="236"/>
      <c r="L376" s="273"/>
      <c r="M376" s="236"/>
    </row>
    <row r="377" spans="1:13" ht="14.25" customHeight="1" x14ac:dyDescent="0.25">
      <c r="A377" s="236"/>
      <c r="F377" s="273"/>
      <c r="H377" s="273"/>
      <c r="I377" s="273"/>
      <c r="J377" s="236"/>
      <c r="L377" s="273"/>
      <c r="M377" s="236"/>
    </row>
    <row r="378" spans="1:13" ht="14.25" customHeight="1" x14ac:dyDescent="0.25">
      <c r="A378" s="236"/>
      <c r="F378" s="273"/>
      <c r="H378" s="273"/>
      <c r="I378" s="273"/>
      <c r="J378" s="236"/>
      <c r="L378" s="273"/>
      <c r="M378" s="236"/>
    </row>
    <row r="379" spans="1:13" ht="14.25" customHeight="1" x14ac:dyDescent="0.25">
      <c r="A379" s="236"/>
      <c r="F379" s="273"/>
      <c r="H379" s="273"/>
      <c r="I379" s="273"/>
      <c r="J379" s="236"/>
      <c r="L379" s="273"/>
      <c r="M379" s="236"/>
    </row>
    <row r="380" spans="1:13" ht="14.25" customHeight="1" x14ac:dyDescent="0.25">
      <c r="A380" s="236"/>
      <c r="F380" s="273"/>
      <c r="H380" s="273"/>
      <c r="I380" s="273"/>
      <c r="J380" s="236"/>
      <c r="L380" s="273"/>
      <c r="M380" s="236"/>
    </row>
    <row r="381" spans="1:13" ht="14.25" customHeight="1" x14ac:dyDescent="0.25">
      <c r="A381" s="236"/>
      <c r="F381" s="273"/>
      <c r="H381" s="273"/>
      <c r="I381" s="273"/>
      <c r="J381" s="236"/>
      <c r="L381" s="273"/>
      <c r="M381" s="236"/>
    </row>
    <row r="382" spans="1:13" ht="14.25" customHeight="1" x14ac:dyDescent="0.25">
      <c r="A382" s="236"/>
      <c r="F382" s="273"/>
      <c r="H382" s="273"/>
      <c r="I382" s="273"/>
      <c r="J382" s="236"/>
      <c r="L382" s="273"/>
      <c r="M382" s="236"/>
    </row>
    <row r="383" spans="1:13" ht="14.25" customHeight="1" x14ac:dyDescent="0.25">
      <c r="A383" s="236"/>
      <c r="F383" s="273"/>
      <c r="H383" s="273"/>
      <c r="I383" s="273"/>
      <c r="J383" s="236"/>
      <c r="L383" s="273"/>
      <c r="M383" s="236"/>
    </row>
    <row r="384" spans="1:13" ht="14.25" customHeight="1" x14ac:dyDescent="0.25">
      <c r="A384" s="236"/>
      <c r="F384" s="273"/>
      <c r="H384" s="273"/>
      <c r="I384" s="273"/>
      <c r="J384" s="236"/>
      <c r="L384" s="273"/>
      <c r="M384" s="236"/>
    </row>
    <row r="385" spans="1:13" ht="14.25" customHeight="1" x14ac:dyDescent="0.25">
      <c r="A385" s="236"/>
      <c r="F385" s="273"/>
      <c r="H385" s="273"/>
      <c r="I385" s="273"/>
      <c r="J385" s="236"/>
      <c r="L385" s="273"/>
      <c r="M385" s="236"/>
    </row>
    <row r="386" spans="1:13" ht="14.25" customHeight="1" x14ac:dyDescent="0.25">
      <c r="A386" s="236"/>
      <c r="F386" s="273"/>
      <c r="H386" s="273"/>
      <c r="I386" s="273"/>
      <c r="J386" s="236"/>
      <c r="L386" s="273"/>
      <c r="M386" s="236"/>
    </row>
    <row r="387" spans="1:13" ht="14.25" customHeight="1" x14ac:dyDescent="0.25">
      <c r="A387" s="236"/>
      <c r="F387" s="273"/>
      <c r="H387" s="273"/>
      <c r="I387" s="273"/>
      <c r="J387" s="236"/>
      <c r="L387" s="273"/>
      <c r="M387" s="236"/>
    </row>
    <row r="388" spans="1:13" ht="14.25" customHeight="1" x14ac:dyDescent="0.25">
      <c r="A388" s="236"/>
      <c r="F388" s="273"/>
      <c r="H388" s="273"/>
      <c r="I388" s="273"/>
      <c r="J388" s="236"/>
      <c r="L388" s="273"/>
      <c r="M388" s="236"/>
    </row>
    <row r="389" spans="1:13" ht="14.25" customHeight="1" x14ac:dyDescent="0.25">
      <c r="A389" s="236"/>
      <c r="F389" s="273"/>
      <c r="H389" s="273"/>
      <c r="I389" s="273"/>
      <c r="J389" s="236"/>
      <c r="L389" s="273"/>
      <c r="M389" s="236"/>
    </row>
    <row r="390" spans="1:13" ht="14.25" customHeight="1" x14ac:dyDescent="0.25">
      <c r="A390" s="236"/>
      <c r="F390" s="273"/>
      <c r="H390" s="273"/>
      <c r="I390" s="273"/>
      <c r="J390" s="236"/>
      <c r="L390" s="273"/>
      <c r="M390" s="236"/>
    </row>
    <row r="391" spans="1:13" ht="14.25" customHeight="1" x14ac:dyDescent="0.25">
      <c r="A391" s="236"/>
      <c r="F391" s="273"/>
      <c r="H391" s="273"/>
      <c r="I391" s="273"/>
      <c r="J391" s="236"/>
      <c r="L391" s="273"/>
      <c r="M391" s="236"/>
    </row>
    <row r="392" spans="1:13" ht="14.25" customHeight="1" x14ac:dyDescent="0.25">
      <c r="A392" s="236"/>
      <c r="F392" s="273"/>
      <c r="H392" s="273"/>
      <c r="I392" s="273"/>
      <c r="J392" s="236"/>
      <c r="L392" s="273"/>
      <c r="M392" s="236"/>
    </row>
    <row r="393" spans="1:13" ht="14.25" customHeight="1" x14ac:dyDescent="0.25">
      <c r="A393" s="236"/>
      <c r="F393" s="273"/>
      <c r="H393" s="273"/>
      <c r="I393" s="273"/>
      <c r="J393" s="236"/>
      <c r="L393" s="273"/>
      <c r="M393" s="236"/>
    </row>
    <row r="394" spans="1:13" ht="14.25" customHeight="1" x14ac:dyDescent="0.25">
      <c r="A394" s="236"/>
      <c r="F394" s="273"/>
      <c r="H394" s="273"/>
      <c r="I394" s="273"/>
      <c r="J394" s="236"/>
      <c r="L394" s="273"/>
      <c r="M394" s="236"/>
    </row>
    <row r="395" spans="1:13" ht="14.25" customHeight="1" x14ac:dyDescent="0.25">
      <c r="A395" s="236"/>
      <c r="F395" s="273"/>
      <c r="H395" s="273"/>
      <c r="I395" s="273"/>
      <c r="J395" s="236"/>
      <c r="L395" s="273"/>
      <c r="M395" s="236"/>
    </row>
    <row r="396" spans="1:13" ht="14.25" customHeight="1" x14ac:dyDescent="0.25">
      <c r="A396" s="236"/>
      <c r="F396" s="273"/>
      <c r="H396" s="273"/>
      <c r="I396" s="273"/>
      <c r="J396" s="236"/>
      <c r="L396" s="273"/>
      <c r="M396" s="236"/>
    </row>
    <row r="397" spans="1:13" ht="14.25" customHeight="1" x14ac:dyDescent="0.25">
      <c r="A397" s="236"/>
      <c r="F397" s="273"/>
      <c r="H397" s="273"/>
      <c r="I397" s="273"/>
      <c r="J397" s="236"/>
      <c r="L397" s="273"/>
      <c r="M397" s="236"/>
    </row>
    <row r="398" spans="1:13" ht="14.25" customHeight="1" x14ac:dyDescent="0.25">
      <c r="A398" s="236"/>
      <c r="F398" s="273"/>
      <c r="H398" s="273"/>
      <c r="I398" s="273"/>
      <c r="J398" s="236"/>
      <c r="L398" s="273"/>
      <c r="M398" s="236"/>
    </row>
    <row r="399" spans="1:13" ht="14.25" customHeight="1" x14ac:dyDescent="0.25">
      <c r="A399" s="236"/>
      <c r="F399" s="273"/>
      <c r="H399" s="273"/>
      <c r="I399" s="273"/>
      <c r="J399" s="236"/>
      <c r="L399" s="273"/>
      <c r="M399" s="236"/>
    </row>
    <row r="400" spans="1:13" ht="14.25" customHeight="1" x14ac:dyDescent="0.25">
      <c r="A400" s="236"/>
      <c r="F400" s="273"/>
      <c r="H400" s="273"/>
      <c r="I400" s="273"/>
      <c r="J400" s="236"/>
      <c r="L400" s="273"/>
      <c r="M400" s="236"/>
    </row>
    <row r="401" spans="1:13" ht="14.25" customHeight="1" x14ac:dyDescent="0.25">
      <c r="A401" s="236"/>
      <c r="F401" s="273"/>
      <c r="H401" s="273"/>
      <c r="I401" s="273"/>
      <c r="J401" s="236"/>
      <c r="L401" s="273"/>
      <c r="M401" s="236"/>
    </row>
    <row r="402" spans="1:13" ht="14.25" customHeight="1" x14ac:dyDescent="0.25">
      <c r="A402" s="236"/>
      <c r="F402" s="273"/>
      <c r="H402" s="273"/>
      <c r="I402" s="273"/>
      <c r="J402" s="236"/>
      <c r="L402" s="273"/>
      <c r="M402" s="236"/>
    </row>
    <row r="403" spans="1:13" ht="14.25" customHeight="1" x14ac:dyDescent="0.25">
      <c r="A403" s="236"/>
      <c r="F403" s="273"/>
      <c r="H403" s="273"/>
      <c r="I403" s="273"/>
      <c r="J403" s="236"/>
      <c r="L403" s="273"/>
      <c r="M403" s="236"/>
    </row>
    <row r="404" spans="1:13" ht="14.25" customHeight="1" x14ac:dyDescent="0.25">
      <c r="A404" s="236"/>
      <c r="F404" s="273"/>
      <c r="H404" s="273"/>
      <c r="I404" s="273"/>
      <c r="J404" s="236"/>
      <c r="L404" s="273"/>
      <c r="M404" s="236"/>
    </row>
    <row r="405" spans="1:13" ht="14.25" customHeight="1" x14ac:dyDescent="0.25">
      <c r="A405" s="236"/>
      <c r="F405" s="273"/>
      <c r="H405" s="273"/>
      <c r="I405" s="273"/>
      <c r="J405" s="236"/>
      <c r="L405" s="273"/>
      <c r="M405" s="236"/>
    </row>
    <row r="406" spans="1:13" ht="14.25" customHeight="1" x14ac:dyDescent="0.25">
      <c r="A406" s="236"/>
      <c r="F406" s="273"/>
      <c r="H406" s="273"/>
      <c r="I406" s="273"/>
      <c r="J406" s="236"/>
      <c r="L406" s="273"/>
      <c r="M406" s="236"/>
    </row>
    <row r="407" spans="1:13" ht="14.25" customHeight="1" x14ac:dyDescent="0.25">
      <c r="A407" s="236"/>
      <c r="F407" s="273"/>
      <c r="H407" s="273"/>
      <c r="I407" s="273"/>
      <c r="J407" s="236"/>
      <c r="L407" s="273"/>
      <c r="M407" s="236"/>
    </row>
    <row r="408" spans="1:13" ht="14.25" customHeight="1" x14ac:dyDescent="0.25">
      <c r="A408" s="236"/>
      <c r="F408" s="273"/>
      <c r="H408" s="273"/>
      <c r="I408" s="273"/>
      <c r="J408" s="236"/>
      <c r="L408" s="273"/>
      <c r="M408" s="236"/>
    </row>
    <row r="409" spans="1:13" ht="14.25" customHeight="1" x14ac:dyDescent="0.25">
      <c r="A409" s="236"/>
      <c r="F409" s="273"/>
      <c r="H409" s="273"/>
      <c r="I409" s="273"/>
      <c r="J409" s="236"/>
      <c r="L409" s="273"/>
      <c r="M409" s="236"/>
    </row>
    <row r="410" spans="1:13" ht="14.25" customHeight="1" x14ac:dyDescent="0.25">
      <c r="A410" s="236"/>
      <c r="F410" s="273"/>
      <c r="H410" s="273"/>
      <c r="I410" s="273"/>
      <c r="J410" s="236"/>
      <c r="L410" s="273"/>
      <c r="M410" s="236"/>
    </row>
    <row r="411" spans="1:13" ht="14.25" customHeight="1" x14ac:dyDescent="0.25">
      <c r="A411" s="236"/>
      <c r="F411" s="273"/>
      <c r="H411" s="273"/>
      <c r="I411" s="273"/>
      <c r="J411" s="236"/>
      <c r="L411" s="273"/>
      <c r="M411" s="236"/>
    </row>
    <row r="412" spans="1:13" ht="14.25" customHeight="1" x14ac:dyDescent="0.25">
      <c r="A412" s="236"/>
      <c r="F412" s="273"/>
      <c r="H412" s="273"/>
      <c r="I412" s="273"/>
      <c r="J412" s="236"/>
      <c r="L412" s="273"/>
      <c r="M412" s="236"/>
    </row>
    <row r="413" spans="1:13" ht="14.25" customHeight="1" x14ac:dyDescent="0.25">
      <c r="A413" s="236"/>
      <c r="F413" s="273"/>
      <c r="H413" s="273"/>
      <c r="I413" s="273"/>
      <c r="J413" s="236"/>
      <c r="L413" s="273"/>
      <c r="M413" s="236"/>
    </row>
    <row r="414" spans="1:13" ht="14.25" customHeight="1" x14ac:dyDescent="0.25">
      <c r="A414" s="236"/>
      <c r="F414" s="273"/>
      <c r="H414" s="273"/>
      <c r="I414" s="273"/>
      <c r="J414" s="236"/>
      <c r="L414" s="273"/>
      <c r="M414" s="236"/>
    </row>
    <row r="415" spans="1:13" ht="14.25" customHeight="1" x14ac:dyDescent="0.25">
      <c r="A415" s="236"/>
      <c r="F415" s="273"/>
      <c r="H415" s="273"/>
      <c r="I415" s="273"/>
      <c r="J415" s="236"/>
      <c r="L415" s="273"/>
      <c r="M415" s="236"/>
    </row>
    <row r="416" spans="1:13" ht="14.25" customHeight="1" x14ac:dyDescent="0.25">
      <c r="A416" s="236"/>
      <c r="F416" s="273"/>
      <c r="H416" s="273"/>
      <c r="I416" s="273"/>
      <c r="J416" s="236"/>
      <c r="L416" s="273"/>
      <c r="M416" s="236"/>
    </row>
    <row r="417" spans="1:13" ht="14.25" customHeight="1" x14ac:dyDescent="0.25">
      <c r="A417" s="236"/>
      <c r="F417" s="273"/>
      <c r="H417" s="273"/>
      <c r="I417" s="273"/>
      <c r="J417" s="236"/>
      <c r="L417" s="273"/>
      <c r="M417" s="236"/>
    </row>
    <row r="418" spans="1:13" ht="14.25" customHeight="1" x14ac:dyDescent="0.25">
      <c r="A418" s="236"/>
      <c r="F418" s="273"/>
      <c r="H418" s="273"/>
      <c r="I418" s="273"/>
      <c r="J418" s="236"/>
      <c r="L418" s="273"/>
      <c r="M418" s="236"/>
    </row>
    <row r="419" spans="1:13" ht="14.25" customHeight="1" x14ac:dyDescent="0.25">
      <c r="A419" s="236"/>
      <c r="F419" s="273"/>
      <c r="H419" s="273"/>
      <c r="I419" s="273"/>
      <c r="J419" s="236"/>
      <c r="L419" s="273"/>
      <c r="M419" s="236"/>
    </row>
    <row r="420" spans="1:13" ht="14.25" customHeight="1" x14ac:dyDescent="0.25">
      <c r="A420" s="236"/>
      <c r="F420" s="273"/>
      <c r="H420" s="273"/>
      <c r="I420" s="273"/>
      <c r="J420" s="236"/>
      <c r="L420" s="273"/>
      <c r="M420" s="236"/>
    </row>
    <row r="421" spans="1:13" ht="14.25" customHeight="1" x14ac:dyDescent="0.25">
      <c r="A421" s="236"/>
      <c r="F421" s="273"/>
      <c r="H421" s="273"/>
      <c r="I421" s="273"/>
      <c r="J421" s="236"/>
      <c r="L421" s="273"/>
      <c r="M421" s="236"/>
    </row>
    <row r="422" spans="1:13" ht="14.25" customHeight="1" x14ac:dyDescent="0.25">
      <c r="A422" s="236"/>
      <c r="F422" s="273"/>
      <c r="H422" s="273"/>
      <c r="I422" s="273"/>
      <c r="J422" s="236"/>
      <c r="L422" s="273"/>
      <c r="M422" s="236"/>
    </row>
    <row r="423" spans="1:13" ht="14.25" customHeight="1" x14ac:dyDescent="0.25">
      <c r="A423" s="236"/>
      <c r="F423" s="273"/>
      <c r="H423" s="273"/>
      <c r="I423" s="273"/>
      <c r="J423" s="236"/>
      <c r="L423" s="273"/>
      <c r="M423" s="236"/>
    </row>
    <row r="424" spans="1:13" ht="14.25" customHeight="1" x14ac:dyDescent="0.25">
      <c r="A424" s="236"/>
      <c r="F424" s="273"/>
      <c r="H424" s="273"/>
      <c r="I424" s="273"/>
      <c r="J424" s="236"/>
      <c r="L424" s="273"/>
      <c r="M424" s="236"/>
    </row>
    <row r="425" spans="1:13" ht="14.25" customHeight="1" x14ac:dyDescent="0.25">
      <c r="A425" s="236"/>
      <c r="F425" s="273"/>
      <c r="H425" s="273"/>
      <c r="I425" s="273"/>
      <c r="J425" s="236"/>
      <c r="L425" s="273"/>
      <c r="M425" s="236"/>
    </row>
    <row r="426" spans="1:13" ht="14.25" customHeight="1" x14ac:dyDescent="0.25">
      <c r="A426" s="236"/>
      <c r="F426" s="273"/>
      <c r="H426" s="273"/>
      <c r="I426" s="273"/>
      <c r="J426" s="236"/>
      <c r="L426" s="273"/>
      <c r="M426" s="236"/>
    </row>
    <row r="427" spans="1:13" ht="14.25" customHeight="1" x14ac:dyDescent="0.25">
      <c r="A427" s="236"/>
      <c r="F427" s="273"/>
      <c r="H427" s="273"/>
      <c r="I427" s="273"/>
      <c r="J427" s="236"/>
      <c r="L427" s="273"/>
      <c r="M427" s="236"/>
    </row>
    <row r="428" spans="1:13" ht="14.25" customHeight="1" x14ac:dyDescent="0.25">
      <c r="A428" s="236"/>
      <c r="F428" s="273"/>
      <c r="H428" s="273"/>
      <c r="I428" s="273"/>
      <c r="J428" s="236"/>
      <c r="L428" s="273"/>
      <c r="M428" s="236"/>
    </row>
    <row r="429" spans="1:13" ht="14.25" customHeight="1" x14ac:dyDescent="0.25">
      <c r="A429" s="236"/>
      <c r="F429" s="273"/>
      <c r="H429" s="273"/>
      <c r="I429" s="273"/>
      <c r="J429" s="236"/>
      <c r="L429" s="273"/>
      <c r="M429" s="236"/>
    </row>
    <row r="430" spans="1:13" ht="14.25" customHeight="1" x14ac:dyDescent="0.25">
      <c r="A430" s="236"/>
      <c r="F430" s="273"/>
      <c r="H430" s="273"/>
      <c r="I430" s="273"/>
      <c r="J430" s="236"/>
      <c r="L430" s="273"/>
      <c r="M430" s="236"/>
    </row>
    <row r="431" spans="1:13" ht="14.25" customHeight="1" x14ac:dyDescent="0.25">
      <c r="A431" s="236"/>
      <c r="F431" s="273"/>
      <c r="H431" s="273"/>
      <c r="I431" s="273"/>
      <c r="J431" s="236"/>
      <c r="L431" s="273"/>
      <c r="M431" s="236"/>
    </row>
    <row r="432" spans="1:13" ht="14.25" customHeight="1" x14ac:dyDescent="0.25">
      <c r="A432" s="236"/>
      <c r="F432" s="273"/>
      <c r="H432" s="273"/>
      <c r="I432" s="273"/>
      <c r="J432" s="236"/>
      <c r="L432" s="273"/>
      <c r="M432" s="236"/>
    </row>
    <row r="433" spans="1:13" ht="14.25" customHeight="1" x14ac:dyDescent="0.25">
      <c r="A433" s="236"/>
      <c r="F433" s="273"/>
      <c r="H433" s="273"/>
      <c r="I433" s="273"/>
      <c r="J433" s="236"/>
      <c r="L433" s="273"/>
      <c r="M433" s="236"/>
    </row>
    <row r="434" spans="1:13" ht="14.25" customHeight="1" x14ac:dyDescent="0.25">
      <c r="A434" s="236"/>
      <c r="F434" s="273"/>
      <c r="H434" s="273"/>
      <c r="I434" s="273"/>
      <c r="J434" s="236"/>
      <c r="L434" s="273"/>
      <c r="M434" s="236"/>
    </row>
    <row r="435" spans="1:13" ht="14.25" customHeight="1" x14ac:dyDescent="0.25">
      <c r="A435" s="236"/>
      <c r="F435" s="273"/>
      <c r="H435" s="273"/>
      <c r="I435" s="273"/>
      <c r="J435" s="236"/>
      <c r="L435" s="273"/>
      <c r="M435" s="236"/>
    </row>
    <row r="436" spans="1:13" ht="14.25" customHeight="1" x14ac:dyDescent="0.25">
      <c r="A436" s="236"/>
      <c r="F436" s="273"/>
      <c r="H436" s="273"/>
      <c r="I436" s="273"/>
      <c r="J436" s="236"/>
      <c r="L436" s="273"/>
      <c r="M436" s="236"/>
    </row>
    <row r="437" spans="1:13" ht="14.25" customHeight="1" x14ac:dyDescent="0.25">
      <c r="A437" s="236"/>
      <c r="F437" s="273"/>
      <c r="H437" s="273"/>
      <c r="I437" s="273"/>
      <c r="J437" s="236"/>
      <c r="L437" s="273"/>
      <c r="M437" s="236"/>
    </row>
    <row r="438" spans="1:13" ht="14.25" customHeight="1" x14ac:dyDescent="0.25">
      <c r="A438" s="236"/>
      <c r="F438" s="273"/>
      <c r="H438" s="273"/>
      <c r="I438" s="273"/>
      <c r="J438" s="236"/>
      <c r="L438" s="273"/>
      <c r="M438" s="236"/>
    </row>
    <row r="439" spans="1:13" ht="14.25" customHeight="1" x14ac:dyDescent="0.25">
      <c r="A439" s="236"/>
      <c r="F439" s="273"/>
      <c r="H439" s="273"/>
      <c r="I439" s="273"/>
      <c r="J439" s="236"/>
      <c r="L439" s="273"/>
      <c r="M439" s="236"/>
    </row>
    <row r="440" spans="1:13" ht="14.25" customHeight="1" x14ac:dyDescent="0.25">
      <c r="A440" s="236"/>
      <c r="F440" s="273"/>
      <c r="H440" s="273"/>
      <c r="I440" s="273"/>
      <c r="J440" s="236"/>
      <c r="L440" s="273"/>
      <c r="M440" s="236"/>
    </row>
    <row r="441" spans="1:13" ht="14.25" customHeight="1" x14ac:dyDescent="0.25">
      <c r="A441" s="236"/>
      <c r="F441" s="273"/>
      <c r="H441" s="273"/>
      <c r="I441" s="273"/>
      <c r="J441" s="236"/>
      <c r="L441" s="273"/>
      <c r="M441" s="236"/>
    </row>
    <row r="442" spans="1:13" ht="14.25" customHeight="1" x14ac:dyDescent="0.25">
      <c r="A442" s="236"/>
      <c r="F442" s="273"/>
      <c r="H442" s="273"/>
      <c r="I442" s="273"/>
      <c r="J442" s="236"/>
      <c r="L442" s="273"/>
      <c r="M442" s="236"/>
    </row>
    <row r="443" spans="1:13" ht="14.25" customHeight="1" x14ac:dyDescent="0.25">
      <c r="A443" s="236"/>
      <c r="F443" s="273"/>
      <c r="H443" s="273"/>
      <c r="I443" s="273"/>
      <c r="J443" s="236"/>
      <c r="L443" s="273"/>
      <c r="M443" s="236"/>
    </row>
    <row r="444" spans="1:13" ht="14.25" customHeight="1" x14ac:dyDescent="0.25">
      <c r="A444" s="236"/>
      <c r="F444" s="273"/>
      <c r="H444" s="273"/>
      <c r="I444" s="273"/>
      <c r="J444" s="236"/>
      <c r="L444" s="273"/>
      <c r="M444" s="236"/>
    </row>
    <row r="445" spans="1:13" ht="14.25" customHeight="1" x14ac:dyDescent="0.25">
      <c r="A445" s="236"/>
      <c r="F445" s="273"/>
      <c r="H445" s="273"/>
      <c r="I445" s="273"/>
      <c r="J445" s="236"/>
      <c r="L445" s="273"/>
      <c r="M445" s="236"/>
    </row>
    <row r="446" spans="1:13" ht="14.25" customHeight="1" x14ac:dyDescent="0.25">
      <c r="A446" s="236"/>
      <c r="F446" s="273"/>
      <c r="H446" s="273"/>
      <c r="I446" s="273"/>
      <c r="J446" s="236"/>
      <c r="L446" s="273"/>
      <c r="M446" s="236"/>
    </row>
    <row r="447" spans="1:13" ht="14.25" customHeight="1" x14ac:dyDescent="0.25">
      <c r="A447" s="236"/>
      <c r="F447" s="273"/>
      <c r="H447" s="273"/>
      <c r="I447" s="273"/>
      <c r="J447" s="236"/>
      <c r="L447" s="273"/>
      <c r="M447" s="236"/>
    </row>
    <row r="448" spans="1:13" ht="14.25" customHeight="1" x14ac:dyDescent="0.25">
      <c r="A448" s="236"/>
      <c r="F448" s="273"/>
      <c r="H448" s="273"/>
      <c r="I448" s="273"/>
      <c r="J448" s="236"/>
      <c r="L448" s="273"/>
      <c r="M448" s="236"/>
    </row>
    <row r="449" spans="1:13" ht="14.25" customHeight="1" x14ac:dyDescent="0.25">
      <c r="A449" s="236"/>
      <c r="F449" s="273"/>
      <c r="H449" s="273"/>
      <c r="I449" s="273"/>
      <c r="J449" s="236"/>
      <c r="L449" s="273"/>
      <c r="M449" s="236"/>
    </row>
    <row r="450" spans="1:13" ht="14.25" customHeight="1" x14ac:dyDescent="0.25">
      <c r="A450" s="236"/>
      <c r="F450" s="273"/>
      <c r="H450" s="273"/>
      <c r="I450" s="273"/>
      <c r="J450" s="236"/>
      <c r="L450" s="273"/>
      <c r="M450" s="236"/>
    </row>
    <row r="451" spans="1:13" ht="14.25" customHeight="1" x14ac:dyDescent="0.25">
      <c r="A451" s="236"/>
      <c r="F451" s="273"/>
      <c r="H451" s="273"/>
      <c r="I451" s="273"/>
      <c r="J451" s="236"/>
      <c r="L451" s="273"/>
      <c r="M451" s="236"/>
    </row>
    <row r="452" spans="1:13" ht="14.25" customHeight="1" x14ac:dyDescent="0.25">
      <c r="A452" s="236"/>
      <c r="F452" s="273"/>
      <c r="H452" s="273"/>
      <c r="I452" s="273"/>
      <c r="J452" s="236"/>
      <c r="L452" s="273"/>
      <c r="M452" s="236"/>
    </row>
    <row r="453" spans="1:13" ht="14.25" customHeight="1" x14ac:dyDescent="0.25">
      <c r="A453" s="236"/>
      <c r="F453" s="273"/>
      <c r="H453" s="273"/>
      <c r="I453" s="273"/>
      <c r="J453" s="236"/>
      <c r="L453" s="273"/>
      <c r="M453" s="236"/>
    </row>
    <row r="454" spans="1:13" ht="14.25" customHeight="1" x14ac:dyDescent="0.25">
      <c r="A454" s="236"/>
      <c r="F454" s="273"/>
      <c r="H454" s="273"/>
      <c r="I454" s="273"/>
      <c r="J454" s="236"/>
      <c r="L454" s="273"/>
      <c r="M454" s="236"/>
    </row>
    <row r="455" spans="1:13" ht="14.25" customHeight="1" x14ac:dyDescent="0.25">
      <c r="A455" s="236"/>
      <c r="F455" s="273"/>
      <c r="H455" s="273"/>
      <c r="I455" s="273"/>
      <c r="J455" s="236"/>
      <c r="L455" s="273"/>
      <c r="M455" s="236"/>
    </row>
    <row r="456" spans="1:13" ht="14.25" customHeight="1" x14ac:dyDescent="0.25">
      <c r="A456" s="236"/>
      <c r="F456" s="273"/>
      <c r="H456" s="273"/>
      <c r="I456" s="273"/>
      <c r="J456" s="236"/>
      <c r="L456" s="273"/>
      <c r="M456" s="236"/>
    </row>
    <row r="457" spans="1:13" ht="14.25" customHeight="1" x14ac:dyDescent="0.25">
      <c r="A457" s="236"/>
      <c r="F457" s="273"/>
      <c r="H457" s="273"/>
      <c r="I457" s="273"/>
      <c r="J457" s="236"/>
      <c r="L457" s="273"/>
      <c r="M457" s="236"/>
    </row>
    <row r="458" spans="1:13" ht="14.25" customHeight="1" x14ac:dyDescent="0.25">
      <c r="A458" s="236"/>
      <c r="F458" s="273"/>
      <c r="H458" s="273"/>
      <c r="I458" s="273"/>
      <c r="J458" s="236"/>
      <c r="L458" s="273"/>
      <c r="M458" s="236"/>
    </row>
    <row r="459" spans="1:13" ht="14.25" customHeight="1" x14ac:dyDescent="0.25">
      <c r="A459" s="236"/>
      <c r="F459" s="273"/>
      <c r="H459" s="273"/>
      <c r="I459" s="273"/>
      <c r="J459" s="236"/>
      <c r="L459" s="273"/>
      <c r="M459" s="236"/>
    </row>
    <row r="460" spans="1:13" ht="14.25" customHeight="1" x14ac:dyDescent="0.25">
      <c r="A460" s="236"/>
      <c r="F460" s="273"/>
      <c r="H460" s="273"/>
      <c r="I460" s="273"/>
      <c r="J460" s="236"/>
      <c r="L460" s="273"/>
      <c r="M460" s="236"/>
    </row>
    <row r="461" spans="1:13" ht="14.25" customHeight="1" x14ac:dyDescent="0.25">
      <c r="A461" s="236"/>
      <c r="F461" s="273"/>
      <c r="H461" s="273"/>
      <c r="I461" s="273"/>
      <c r="J461" s="236"/>
      <c r="L461" s="273"/>
      <c r="M461" s="236"/>
    </row>
    <row r="462" spans="1:13" ht="14.25" customHeight="1" x14ac:dyDescent="0.25">
      <c r="A462" s="236"/>
      <c r="F462" s="273"/>
      <c r="H462" s="273"/>
      <c r="I462" s="273"/>
      <c r="J462" s="236"/>
      <c r="L462" s="273"/>
      <c r="M462" s="236"/>
    </row>
    <row r="463" spans="1:13" ht="14.25" customHeight="1" x14ac:dyDescent="0.25">
      <c r="A463" s="236"/>
      <c r="F463" s="273"/>
      <c r="H463" s="273"/>
      <c r="I463" s="273"/>
      <c r="J463" s="236"/>
      <c r="L463" s="273"/>
      <c r="M463" s="236"/>
    </row>
    <row r="464" spans="1:13" ht="14.25" customHeight="1" x14ac:dyDescent="0.25">
      <c r="A464" s="236"/>
      <c r="F464" s="273"/>
      <c r="H464" s="273"/>
      <c r="I464" s="273"/>
      <c r="J464" s="236"/>
      <c r="L464" s="273"/>
      <c r="M464" s="236"/>
    </row>
    <row r="465" spans="1:13" ht="14.25" customHeight="1" x14ac:dyDescent="0.25">
      <c r="A465" s="236"/>
      <c r="F465" s="273"/>
      <c r="H465" s="273"/>
      <c r="I465" s="273"/>
      <c r="J465" s="236"/>
      <c r="L465" s="273"/>
      <c r="M465" s="236"/>
    </row>
    <row r="466" spans="1:13" ht="14.25" customHeight="1" x14ac:dyDescent="0.25">
      <c r="A466" s="236"/>
      <c r="F466" s="273"/>
      <c r="H466" s="273"/>
      <c r="I466" s="273"/>
      <c r="J466" s="236"/>
      <c r="L466" s="273"/>
      <c r="M466" s="236"/>
    </row>
    <row r="467" spans="1:13" ht="14.25" customHeight="1" x14ac:dyDescent="0.25">
      <c r="A467" s="236"/>
      <c r="F467" s="273"/>
      <c r="H467" s="273"/>
      <c r="I467" s="273"/>
      <c r="J467" s="236"/>
      <c r="L467" s="273"/>
      <c r="M467" s="236"/>
    </row>
    <row r="468" spans="1:13" ht="14.25" customHeight="1" x14ac:dyDescent="0.25">
      <c r="A468" s="236"/>
      <c r="F468" s="273"/>
      <c r="H468" s="273"/>
      <c r="I468" s="273"/>
      <c r="J468" s="236"/>
      <c r="L468" s="273"/>
      <c r="M468" s="236"/>
    </row>
    <row r="469" spans="1:13" ht="14.25" customHeight="1" x14ac:dyDescent="0.25">
      <c r="A469" s="236"/>
      <c r="F469" s="273"/>
      <c r="H469" s="273"/>
      <c r="I469" s="273"/>
      <c r="J469" s="236"/>
      <c r="L469" s="273"/>
      <c r="M469" s="236"/>
    </row>
    <row r="470" spans="1:13" ht="14.25" customHeight="1" x14ac:dyDescent="0.25">
      <c r="A470" s="236"/>
      <c r="F470" s="273"/>
      <c r="H470" s="273"/>
      <c r="I470" s="273"/>
      <c r="J470" s="236"/>
      <c r="L470" s="273"/>
      <c r="M470" s="236"/>
    </row>
    <row r="471" spans="1:13" ht="14.25" customHeight="1" x14ac:dyDescent="0.25">
      <c r="A471" s="236"/>
      <c r="F471" s="273"/>
      <c r="H471" s="273"/>
      <c r="I471" s="273"/>
      <c r="J471" s="236"/>
      <c r="L471" s="273"/>
      <c r="M471" s="236"/>
    </row>
    <row r="472" spans="1:13" ht="14.25" customHeight="1" x14ac:dyDescent="0.25">
      <c r="A472" s="236"/>
      <c r="F472" s="273"/>
      <c r="H472" s="273"/>
      <c r="I472" s="273"/>
      <c r="J472" s="236"/>
      <c r="L472" s="273"/>
      <c r="M472" s="236"/>
    </row>
    <row r="473" spans="1:13" ht="14.25" customHeight="1" x14ac:dyDescent="0.25">
      <c r="A473" s="236"/>
      <c r="F473" s="273"/>
      <c r="H473" s="273"/>
      <c r="I473" s="273"/>
      <c r="J473" s="236"/>
      <c r="L473" s="273"/>
      <c r="M473" s="236"/>
    </row>
    <row r="474" spans="1:13" ht="14.25" customHeight="1" x14ac:dyDescent="0.25">
      <c r="A474" s="236"/>
      <c r="F474" s="273"/>
      <c r="H474" s="273"/>
      <c r="I474" s="273"/>
      <c r="J474" s="236"/>
      <c r="L474" s="273"/>
      <c r="M474" s="236"/>
    </row>
    <row r="475" spans="1:13" ht="14.25" customHeight="1" x14ac:dyDescent="0.25">
      <c r="A475" s="236"/>
      <c r="F475" s="273"/>
      <c r="H475" s="273"/>
      <c r="I475" s="273"/>
      <c r="J475" s="236"/>
      <c r="L475" s="273"/>
      <c r="M475" s="236"/>
    </row>
    <row r="476" spans="1:13" ht="14.25" customHeight="1" x14ac:dyDescent="0.25">
      <c r="A476" s="236"/>
      <c r="F476" s="273"/>
      <c r="H476" s="273"/>
      <c r="I476" s="273"/>
      <c r="J476" s="236"/>
      <c r="L476" s="273"/>
      <c r="M476" s="236"/>
    </row>
    <row r="477" spans="1:13" ht="14.25" customHeight="1" x14ac:dyDescent="0.25">
      <c r="A477" s="236"/>
      <c r="F477" s="273"/>
      <c r="H477" s="273"/>
      <c r="I477" s="273"/>
      <c r="J477" s="236"/>
      <c r="L477" s="273"/>
      <c r="M477" s="236"/>
    </row>
    <row r="478" spans="1:13" ht="14.25" customHeight="1" x14ac:dyDescent="0.25">
      <c r="A478" s="236"/>
      <c r="F478" s="273"/>
      <c r="H478" s="273"/>
      <c r="I478" s="273"/>
      <c r="J478" s="236"/>
      <c r="L478" s="273"/>
      <c r="M478" s="236"/>
    </row>
    <row r="479" spans="1:13" ht="14.25" customHeight="1" x14ac:dyDescent="0.25">
      <c r="A479" s="236"/>
      <c r="F479" s="273"/>
      <c r="H479" s="273"/>
      <c r="I479" s="273"/>
      <c r="J479" s="236"/>
      <c r="L479" s="273"/>
      <c r="M479" s="236"/>
    </row>
    <row r="480" spans="1:13" ht="14.25" customHeight="1" x14ac:dyDescent="0.25">
      <c r="A480" s="236"/>
      <c r="F480" s="273"/>
      <c r="H480" s="273"/>
      <c r="I480" s="273"/>
      <c r="J480" s="236"/>
      <c r="L480" s="273"/>
      <c r="M480" s="236"/>
    </row>
    <row r="481" spans="1:13" ht="14.25" customHeight="1" x14ac:dyDescent="0.25">
      <c r="A481" s="236"/>
      <c r="F481" s="273"/>
      <c r="H481" s="273"/>
      <c r="I481" s="273"/>
      <c r="J481" s="236"/>
      <c r="L481" s="273"/>
      <c r="M481" s="236"/>
    </row>
    <row r="482" spans="1:13" ht="14.25" customHeight="1" x14ac:dyDescent="0.25">
      <c r="A482" s="236"/>
      <c r="F482" s="273"/>
      <c r="H482" s="273"/>
      <c r="I482" s="273"/>
      <c r="J482" s="236"/>
      <c r="L482" s="273"/>
      <c r="M482" s="236"/>
    </row>
    <row r="483" spans="1:13" ht="14.25" customHeight="1" x14ac:dyDescent="0.25">
      <c r="A483" s="236"/>
      <c r="F483" s="273"/>
      <c r="H483" s="273"/>
      <c r="I483" s="273"/>
      <c r="J483" s="236"/>
      <c r="L483" s="273"/>
      <c r="M483" s="236"/>
    </row>
    <row r="484" spans="1:13" ht="14.25" customHeight="1" x14ac:dyDescent="0.25">
      <c r="A484" s="236"/>
      <c r="F484" s="273"/>
      <c r="H484" s="273"/>
      <c r="I484" s="273"/>
      <c r="J484" s="236"/>
      <c r="L484" s="273"/>
      <c r="M484" s="236"/>
    </row>
    <row r="485" spans="1:13" ht="14.25" customHeight="1" x14ac:dyDescent="0.25">
      <c r="A485" s="236"/>
      <c r="F485" s="273"/>
      <c r="H485" s="273"/>
      <c r="I485" s="273"/>
      <c r="J485" s="236"/>
      <c r="L485" s="273"/>
      <c r="M485" s="236"/>
    </row>
    <row r="486" spans="1:13" ht="14.25" customHeight="1" x14ac:dyDescent="0.25">
      <c r="A486" s="236"/>
      <c r="F486" s="273"/>
      <c r="H486" s="273"/>
      <c r="I486" s="273"/>
      <c r="J486" s="236"/>
      <c r="L486" s="273"/>
      <c r="M486" s="236"/>
    </row>
    <row r="487" spans="1:13" ht="14.25" customHeight="1" x14ac:dyDescent="0.25">
      <c r="A487" s="236"/>
      <c r="F487" s="273"/>
      <c r="H487" s="273"/>
      <c r="I487" s="273"/>
      <c r="J487" s="236"/>
      <c r="L487" s="273"/>
      <c r="M487" s="236"/>
    </row>
    <row r="488" spans="1:13" ht="14.25" customHeight="1" x14ac:dyDescent="0.25">
      <c r="A488" s="236"/>
      <c r="F488" s="273"/>
      <c r="H488" s="273"/>
      <c r="I488" s="273"/>
      <c r="J488" s="236"/>
      <c r="L488" s="273"/>
      <c r="M488" s="236"/>
    </row>
    <row r="489" spans="1:13" ht="14.25" customHeight="1" x14ac:dyDescent="0.25">
      <c r="A489" s="236"/>
      <c r="F489" s="273"/>
      <c r="H489" s="273"/>
      <c r="I489" s="273"/>
      <c r="J489" s="236"/>
      <c r="L489" s="273"/>
      <c r="M489" s="236"/>
    </row>
    <row r="490" spans="1:13" ht="14.25" customHeight="1" x14ac:dyDescent="0.25">
      <c r="A490" s="236"/>
      <c r="F490" s="273"/>
      <c r="H490" s="273"/>
      <c r="I490" s="273"/>
      <c r="J490" s="236"/>
      <c r="L490" s="273"/>
      <c r="M490" s="236"/>
    </row>
    <row r="491" spans="1:13" ht="14.25" customHeight="1" x14ac:dyDescent="0.25">
      <c r="A491" s="236"/>
      <c r="F491" s="273"/>
      <c r="H491" s="273"/>
      <c r="I491" s="273"/>
      <c r="J491" s="236"/>
      <c r="L491" s="273"/>
      <c r="M491" s="236"/>
    </row>
    <row r="492" spans="1:13" ht="14.25" customHeight="1" x14ac:dyDescent="0.25">
      <c r="A492" s="236"/>
      <c r="F492" s="273"/>
      <c r="H492" s="273"/>
      <c r="I492" s="273"/>
      <c r="J492" s="236"/>
      <c r="L492" s="273"/>
      <c r="M492" s="236"/>
    </row>
    <row r="493" spans="1:13" ht="14.25" customHeight="1" x14ac:dyDescent="0.25">
      <c r="A493" s="236"/>
      <c r="F493" s="273"/>
      <c r="H493" s="273"/>
      <c r="I493" s="273"/>
      <c r="J493" s="236"/>
      <c r="L493" s="273"/>
      <c r="M493" s="236"/>
    </row>
    <row r="494" spans="1:13" ht="14.25" customHeight="1" x14ac:dyDescent="0.25">
      <c r="A494" s="236"/>
      <c r="F494" s="273"/>
      <c r="H494" s="273"/>
      <c r="I494" s="273"/>
      <c r="J494" s="236"/>
      <c r="L494" s="273"/>
      <c r="M494" s="236"/>
    </row>
    <row r="495" spans="1:13" ht="14.25" customHeight="1" x14ac:dyDescent="0.25">
      <c r="A495" s="236"/>
      <c r="F495" s="273"/>
      <c r="H495" s="273"/>
      <c r="I495" s="273"/>
      <c r="J495" s="236"/>
      <c r="L495" s="273"/>
      <c r="M495" s="236"/>
    </row>
    <row r="496" spans="1:13" ht="14.25" customHeight="1" x14ac:dyDescent="0.25">
      <c r="A496" s="236"/>
      <c r="F496" s="273"/>
      <c r="H496" s="273"/>
      <c r="I496" s="273"/>
      <c r="J496" s="236"/>
      <c r="L496" s="273"/>
      <c r="M496" s="236"/>
    </row>
    <row r="497" spans="1:13" ht="14.25" customHeight="1" x14ac:dyDescent="0.25">
      <c r="A497" s="236"/>
      <c r="F497" s="273"/>
      <c r="H497" s="273"/>
      <c r="I497" s="273"/>
      <c r="J497" s="236"/>
      <c r="L497" s="273"/>
      <c r="M497" s="236"/>
    </row>
    <row r="498" spans="1:13" ht="14.25" customHeight="1" x14ac:dyDescent="0.25">
      <c r="A498" s="236"/>
      <c r="F498" s="273"/>
      <c r="H498" s="273"/>
      <c r="I498" s="273"/>
      <c r="J498" s="236"/>
      <c r="L498" s="273"/>
      <c r="M498" s="236"/>
    </row>
    <row r="499" spans="1:13" ht="14.25" customHeight="1" x14ac:dyDescent="0.25">
      <c r="A499" s="236"/>
      <c r="F499" s="273"/>
      <c r="H499" s="273"/>
      <c r="I499" s="273"/>
      <c r="J499" s="236"/>
      <c r="L499" s="273"/>
      <c r="M499" s="236"/>
    </row>
    <row r="500" spans="1:13" ht="14.25" customHeight="1" x14ac:dyDescent="0.25">
      <c r="A500" s="236"/>
      <c r="F500" s="273"/>
      <c r="H500" s="273"/>
      <c r="I500" s="273"/>
      <c r="J500" s="236"/>
      <c r="L500" s="273"/>
      <c r="M500" s="236"/>
    </row>
    <row r="501" spans="1:13" ht="14.25" customHeight="1" x14ac:dyDescent="0.25">
      <c r="A501" s="236"/>
      <c r="F501" s="273"/>
      <c r="H501" s="273"/>
      <c r="I501" s="273"/>
      <c r="J501" s="236"/>
      <c r="L501" s="273"/>
      <c r="M501" s="236"/>
    </row>
    <row r="502" spans="1:13" ht="14.25" customHeight="1" x14ac:dyDescent="0.25">
      <c r="A502" s="236"/>
      <c r="F502" s="273"/>
      <c r="H502" s="273"/>
      <c r="I502" s="273"/>
      <c r="J502" s="236"/>
      <c r="L502" s="273"/>
      <c r="M502" s="236"/>
    </row>
    <row r="503" spans="1:13" ht="14.25" customHeight="1" x14ac:dyDescent="0.25">
      <c r="A503" s="236"/>
      <c r="F503" s="273"/>
      <c r="H503" s="273"/>
      <c r="I503" s="273"/>
      <c r="J503" s="236"/>
      <c r="L503" s="273"/>
      <c r="M503" s="236"/>
    </row>
    <row r="504" spans="1:13" ht="14.25" customHeight="1" x14ac:dyDescent="0.25">
      <c r="A504" s="236"/>
      <c r="F504" s="273"/>
      <c r="H504" s="273"/>
      <c r="I504" s="273"/>
      <c r="J504" s="236"/>
      <c r="L504" s="273"/>
      <c r="M504" s="236"/>
    </row>
    <row r="505" spans="1:13" ht="14.25" customHeight="1" x14ac:dyDescent="0.25">
      <c r="A505" s="236"/>
      <c r="F505" s="273"/>
      <c r="H505" s="273"/>
      <c r="I505" s="273"/>
      <c r="J505" s="236"/>
      <c r="L505" s="273"/>
      <c r="M505" s="236"/>
    </row>
    <row r="506" spans="1:13" ht="14.25" customHeight="1" x14ac:dyDescent="0.25">
      <c r="A506" s="236"/>
      <c r="F506" s="273"/>
      <c r="H506" s="273"/>
      <c r="I506" s="273"/>
      <c r="J506" s="236"/>
      <c r="L506" s="273"/>
      <c r="M506" s="236"/>
    </row>
    <row r="507" spans="1:13" ht="14.25" customHeight="1" x14ac:dyDescent="0.25">
      <c r="A507" s="236"/>
      <c r="F507" s="273"/>
      <c r="H507" s="273"/>
      <c r="I507" s="273"/>
      <c r="J507" s="236"/>
      <c r="L507" s="273"/>
      <c r="M507" s="236"/>
    </row>
    <row r="508" spans="1:13" ht="14.25" customHeight="1" x14ac:dyDescent="0.25">
      <c r="A508" s="236"/>
      <c r="F508" s="273"/>
      <c r="H508" s="273"/>
      <c r="I508" s="273"/>
      <c r="J508" s="236"/>
      <c r="L508" s="273"/>
      <c r="M508" s="236"/>
    </row>
    <row r="509" spans="1:13" ht="14.25" customHeight="1" x14ac:dyDescent="0.25">
      <c r="A509" s="236"/>
      <c r="F509" s="273"/>
      <c r="H509" s="273"/>
      <c r="I509" s="273"/>
      <c r="J509" s="236"/>
      <c r="L509" s="273"/>
      <c r="M509" s="236"/>
    </row>
    <row r="510" spans="1:13" ht="14.25" customHeight="1" x14ac:dyDescent="0.25">
      <c r="A510" s="236"/>
      <c r="F510" s="273"/>
      <c r="H510" s="273"/>
      <c r="I510" s="273"/>
      <c r="J510" s="236"/>
      <c r="L510" s="273"/>
      <c r="M510" s="236"/>
    </row>
    <row r="511" spans="1:13" ht="14.25" customHeight="1" x14ac:dyDescent="0.25">
      <c r="A511" s="236"/>
      <c r="F511" s="273"/>
      <c r="H511" s="273"/>
      <c r="I511" s="273"/>
      <c r="J511" s="236"/>
      <c r="L511" s="273"/>
      <c r="M511" s="236"/>
    </row>
    <row r="512" spans="1:13" ht="14.25" customHeight="1" x14ac:dyDescent="0.25">
      <c r="A512" s="236"/>
      <c r="F512" s="273"/>
      <c r="H512" s="273"/>
      <c r="I512" s="273"/>
      <c r="J512" s="236"/>
      <c r="L512" s="273"/>
      <c r="M512" s="236"/>
    </row>
    <row r="513" spans="1:13" ht="14.25" customHeight="1" x14ac:dyDescent="0.25">
      <c r="A513" s="236"/>
      <c r="F513" s="273"/>
      <c r="H513" s="273"/>
      <c r="I513" s="273"/>
      <c r="J513" s="236"/>
      <c r="L513" s="273"/>
      <c r="M513" s="236"/>
    </row>
    <row r="514" spans="1:13" ht="14.25" customHeight="1" x14ac:dyDescent="0.25">
      <c r="A514" s="236"/>
      <c r="F514" s="273"/>
      <c r="H514" s="273"/>
      <c r="I514" s="273"/>
      <c r="J514" s="236"/>
      <c r="L514" s="273"/>
      <c r="M514" s="236"/>
    </row>
    <row r="515" spans="1:13" ht="14.25" customHeight="1" x14ac:dyDescent="0.25">
      <c r="A515" s="236"/>
      <c r="F515" s="273"/>
      <c r="H515" s="273"/>
      <c r="I515" s="273"/>
      <c r="J515" s="236"/>
      <c r="L515" s="273"/>
      <c r="M515" s="236"/>
    </row>
    <row r="516" spans="1:13" ht="14.25" customHeight="1" x14ac:dyDescent="0.25">
      <c r="A516" s="236"/>
      <c r="F516" s="273"/>
      <c r="H516" s="273"/>
      <c r="I516" s="273"/>
      <c r="J516" s="236"/>
      <c r="L516" s="273"/>
      <c r="M516" s="236"/>
    </row>
    <row r="517" spans="1:13" ht="14.25" customHeight="1" x14ac:dyDescent="0.25">
      <c r="A517" s="236"/>
      <c r="F517" s="273"/>
      <c r="H517" s="273"/>
      <c r="I517" s="273"/>
      <c r="J517" s="236"/>
      <c r="L517" s="273"/>
      <c r="M517" s="236"/>
    </row>
    <row r="518" spans="1:13" ht="14.25" customHeight="1" x14ac:dyDescent="0.25">
      <c r="A518" s="236"/>
      <c r="F518" s="273"/>
      <c r="H518" s="273"/>
      <c r="I518" s="273"/>
      <c r="J518" s="236"/>
      <c r="L518" s="273"/>
      <c r="M518" s="236"/>
    </row>
    <row r="519" spans="1:13" ht="14.25" customHeight="1" x14ac:dyDescent="0.25">
      <c r="A519" s="236"/>
      <c r="F519" s="273"/>
      <c r="H519" s="273"/>
      <c r="I519" s="273"/>
      <c r="J519" s="236"/>
      <c r="L519" s="273"/>
      <c r="M519" s="236"/>
    </row>
    <row r="520" spans="1:13" ht="14.25" customHeight="1" x14ac:dyDescent="0.25">
      <c r="A520" s="236"/>
      <c r="F520" s="273"/>
      <c r="H520" s="273"/>
      <c r="I520" s="273"/>
      <c r="J520" s="236"/>
      <c r="L520" s="273"/>
      <c r="M520" s="236"/>
    </row>
    <row r="521" spans="1:13" ht="14.25" customHeight="1" x14ac:dyDescent="0.25">
      <c r="A521" s="236"/>
      <c r="F521" s="273"/>
      <c r="H521" s="273"/>
      <c r="I521" s="273"/>
      <c r="J521" s="236"/>
      <c r="L521" s="273"/>
      <c r="M521" s="236"/>
    </row>
    <row r="522" spans="1:13" ht="14.25" customHeight="1" x14ac:dyDescent="0.25">
      <c r="A522" s="236"/>
      <c r="F522" s="273"/>
      <c r="H522" s="273"/>
      <c r="I522" s="273"/>
      <c r="J522" s="236"/>
      <c r="L522" s="273"/>
      <c r="M522" s="236"/>
    </row>
    <row r="523" spans="1:13" ht="14.25" customHeight="1" x14ac:dyDescent="0.25">
      <c r="A523" s="236"/>
      <c r="F523" s="273"/>
      <c r="H523" s="273"/>
      <c r="I523" s="273"/>
      <c r="J523" s="236"/>
      <c r="L523" s="273"/>
      <c r="M523" s="236"/>
    </row>
    <row r="524" spans="1:13" ht="14.25" customHeight="1" x14ac:dyDescent="0.25">
      <c r="A524" s="236"/>
      <c r="F524" s="273"/>
      <c r="H524" s="273"/>
      <c r="I524" s="273"/>
      <c r="J524" s="236"/>
      <c r="L524" s="273"/>
      <c r="M524" s="236"/>
    </row>
    <row r="525" spans="1:13" ht="14.25" customHeight="1" x14ac:dyDescent="0.25">
      <c r="A525" s="236"/>
      <c r="F525" s="273"/>
      <c r="H525" s="273"/>
      <c r="I525" s="273"/>
      <c r="J525" s="236"/>
      <c r="L525" s="273"/>
      <c r="M525" s="236"/>
    </row>
    <row r="526" spans="1:13" ht="14.25" customHeight="1" x14ac:dyDescent="0.25">
      <c r="A526" s="236"/>
      <c r="F526" s="273"/>
      <c r="H526" s="273"/>
      <c r="I526" s="273"/>
      <c r="J526" s="236"/>
      <c r="L526" s="273"/>
      <c r="M526" s="236"/>
    </row>
    <row r="527" spans="1:13" ht="14.25" customHeight="1" x14ac:dyDescent="0.25">
      <c r="A527" s="236"/>
      <c r="F527" s="273"/>
      <c r="H527" s="273"/>
      <c r="I527" s="273"/>
      <c r="J527" s="236"/>
      <c r="L527" s="273"/>
      <c r="M527" s="236"/>
    </row>
    <row r="528" spans="1:13" ht="14.25" customHeight="1" x14ac:dyDescent="0.25">
      <c r="A528" s="236"/>
      <c r="F528" s="273"/>
      <c r="H528" s="273"/>
      <c r="I528" s="273"/>
      <c r="J528" s="236"/>
      <c r="L528" s="273"/>
      <c r="M528" s="236"/>
    </row>
    <row r="529" spans="1:13" ht="14.25" customHeight="1" x14ac:dyDescent="0.25">
      <c r="A529" s="236"/>
      <c r="F529" s="273"/>
      <c r="H529" s="273"/>
      <c r="I529" s="273"/>
      <c r="J529" s="236"/>
      <c r="L529" s="273"/>
      <c r="M529" s="236"/>
    </row>
    <row r="530" spans="1:13" ht="14.25" customHeight="1" x14ac:dyDescent="0.25">
      <c r="A530" s="236"/>
      <c r="F530" s="273"/>
      <c r="H530" s="273"/>
      <c r="I530" s="273"/>
      <c r="J530" s="236"/>
      <c r="L530" s="273"/>
      <c r="M530" s="236"/>
    </row>
    <row r="531" spans="1:13" ht="14.25" customHeight="1" x14ac:dyDescent="0.25">
      <c r="A531" s="236"/>
      <c r="F531" s="273"/>
      <c r="H531" s="273"/>
      <c r="I531" s="273"/>
      <c r="J531" s="236"/>
      <c r="L531" s="273"/>
      <c r="M531" s="236"/>
    </row>
    <row r="532" spans="1:13" ht="14.25" customHeight="1" x14ac:dyDescent="0.25">
      <c r="A532" s="236"/>
      <c r="F532" s="273"/>
      <c r="H532" s="273"/>
      <c r="I532" s="273"/>
      <c r="J532" s="236"/>
      <c r="L532" s="273"/>
      <c r="M532" s="236"/>
    </row>
    <row r="533" spans="1:13" ht="14.25" customHeight="1" x14ac:dyDescent="0.25">
      <c r="A533" s="236"/>
      <c r="F533" s="273"/>
      <c r="H533" s="273"/>
      <c r="I533" s="273"/>
      <c r="J533" s="236"/>
      <c r="L533" s="273"/>
      <c r="M533" s="236"/>
    </row>
    <row r="534" spans="1:13" ht="14.25" customHeight="1" x14ac:dyDescent="0.25">
      <c r="A534" s="236"/>
      <c r="F534" s="273"/>
      <c r="H534" s="273"/>
      <c r="I534" s="273"/>
      <c r="J534" s="236"/>
      <c r="L534" s="273"/>
      <c r="M534" s="236"/>
    </row>
    <row r="535" spans="1:13" ht="14.25" customHeight="1" x14ac:dyDescent="0.25">
      <c r="A535" s="236"/>
      <c r="F535" s="273"/>
      <c r="H535" s="273"/>
      <c r="I535" s="273"/>
      <c r="J535" s="236"/>
      <c r="L535" s="273"/>
      <c r="M535" s="236"/>
    </row>
    <row r="536" spans="1:13" ht="14.25" customHeight="1" x14ac:dyDescent="0.25">
      <c r="A536" s="236"/>
      <c r="F536" s="273"/>
      <c r="H536" s="273"/>
      <c r="I536" s="273"/>
      <c r="J536" s="236"/>
      <c r="L536" s="273"/>
      <c r="M536" s="236"/>
    </row>
    <row r="537" spans="1:13" ht="14.25" customHeight="1" x14ac:dyDescent="0.25">
      <c r="A537" s="236"/>
      <c r="F537" s="273"/>
      <c r="H537" s="273"/>
      <c r="I537" s="273"/>
      <c r="J537" s="236"/>
      <c r="L537" s="273"/>
      <c r="M537" s="236"/>
    </row>
    <row r="538" spans="1:13" ht="14.25" customHeight="1" x14ac:dyDescent="0.25">
      <c r="A538" s="236"/>
      <c r="F538" s="273"/>
      <c r="H538" s="273"/>
      <c r="I538" s="273"/>
      <c r="J538" s="236"/>
      <c r="L538" s="273"/>
      <c r="M538" s="236"/>
    </row>
    <row r="539" spans="1:13" ht="14.25" customHeight="1" x14ac:dyDescent="0.25">
      <c r="A539" s="236"/>
      <c r="F539" s="273"/>
      <c r="H539" s="273"/>
      <c r="I539" s="273"/>
      <c r="J539" s="236"/>
      <c r="L539" s="273"/>
      <c r="M539" s="236"/>
    </row>
    <row r="540" spans="1:13" ht="14.25" customHeight="1" x14ac:dyDescent="0.25">
      <c r="A540" s="236"/>
      <c r="F540" s="273"/>
      <c r="H540" s="273"/>
      <c r="I540" s="273"/>
      <c r="J540" s="236"/>
      <c r="L540" s="273"/>
      <c r="M540" s="236"/>
    </row>
    <row r="541" spans="1:13" ht="14.25" customHeight="1" x14ac:dyDescent="0.25">
      <c r="A541" s="236"/>
      <c r="F541" s="273"/>
      <c r="H541" s="273"/>
      <c r="I541" s="273"/>
      <c r="J541" s="236"/>
      <c r="L541" s="273"/>
      <c r="M541" s="236"/>
    </row>
    <row r="542" spans="1:13" ht="14.25" customHeight="1" x14ac:dyDescent="0.25">
      <c r="A542" s="236"/>
      <c r="F542" s="273"/>
      <c r="H542" s="273"/>
      <c r="I542" s="273"/>
      <c r="J542" s="236"/>
      <c r="L542" s="273"/>
      <c r="M542" s="236"/>
    </row>
    <row r="543" spans="1:13" ht="14.25" customHeight="1" x14ac:dyDescent="0.25">
      <c r="A543" s="236"/>
      <c r="F543" s="273"/>
      <c r="H543" s="273"/>
      <c r="I543" s="273"/>
      <c r="J543" s="236"/>
      <c r="L543" s="273"/>
      <c r="M543" s="236"/>
    </row>
    <row r="544" spans="1:13" ht="14.25" customHeight="1" x14ac:dyDescent="0.25">
      <c r="A544" s="236"/>
      <c r="F544" s="273"/>
      <c r="H544" s="273"/>
      <c r="I544" s="273"/>
      <c r="J544" s="236"/>
      <c r="L544" s="273"/>
      <c r="M544" s="236"/>
    </row>
    <row r="545" spans="1:13" ht="14.25" customHeight="1" x14ac:dyDescent="0.25">
      <c r="A545" s="236"/>
      <c r="F545" s="273"/>
      <c r="H545" s="273"/>
      <c r="I545" s="273"/>
      <c r="J545" s="236"/>
      <c r="L545" s="273"/>
      <c r="M545" s="236"/>
    </row>
    <row r="546" spans="1:13" ht="14.25" customHeight="1" x14ac:dyDescent="0.25">
      <c r="A546" s="236"/>
      <c r="F546" s="273"/>
      <c r="H546" s="273"/>
      <c r="I546" s="273"/>
      <c r="J546" s="236"/>
      <c r="L546" s="273"/>
      <c r="M546" s="236"/>
    </row>
    <row r="547" spans="1:13" ht="14.25" customHeight="1" x14ac:dyDescent="0.25">
      <c r="A547" s="236"/>
      <c r="F547" s="273"/>
      <c r="H547" s="273"/>
      <c r="I547" s="273"/>
      <c r="J547" s="236"/>
      <c r="L547" s="273"/>
      <c r="M547" s="236"/>
    </row>
    <row r="548" spans="1:13" ht="14.25" customHeight="1" x14ac:dyDescent="0.25">
      <c r="A548" s="236"/>
      <c r="F548" s="273"/>
      <c r="H548" s="273"/>
      <c r="I548" s="273"/>
      <c r="J548" s="236"/>
      <c r="L548" s="273"/>
      <c r="M548" s="236"/>
    </row>
    <row r="549" spans="1:13" ht="14.25" customHeight="1" x14ac:dyDescent="0.25">
      <c r="A549" s="236"/>
      <c r="F549" s="273"/>
      <c r="H549" s="273"/>
      <c r="I549" s="273"/>
      <c r="J549" s="236"/>
      <c r="L549" s="273"/>
      <c r="M549" s="236"/>
    </row>
    <row r="550" spans="1:13" ht="14.25" customHeight="1" x14ac:dyDescent="0.25">
      <c r="A550" s="236"/>
      <c r="F550" s="273"/>
      <c r="H550" s="273"/>
      <c r="I550" s="273"/>
      <c r="J550" s="236"/>
      <c r="L550" s="273"/>
      <c r="M550" s="236"/>
    </row>
    <row r="551" spans="1:13" ht="14.25" customHeight="1" x14ac:dyDescent="0.25">
      <c r="A551" s="236"/>
      <c r="F551" s="273"/>
      <c r="H551" s="273"/>
      <c r="I551" s="273"/>
      <c r="J551" s="236"/>
      <c r="L551" s="273"/>
      <c r="M551" s="236"/>
    </row>
    <row r="552" spans="1:13" ht="14.25" customHeight="1" x14ac:dyDescent="0.25">
      <c r="A552" s="236"/>
      <c r="F552" s="273"/>
      <c r="H552" s="273"/>
      <c r="I552" s="273"/>
      <c r="J552" s="236"/>
      <c r="L552" s="273"/>
      <c r="M552" s="236"/>
    </row>
    <row r="553" spans="1:13" ht="14.25" customHeight="1" x14ac:dyDescent="0.25">
      <c r="A553" s="236"/>
      <c r="F553" s="273"/>
      <c r="H553" s="273"/>
      <c r="I553" s="273"/>
      <c r="J553" s="236"/>
      <c r="L553" s="273"/>
      <c r="M553" s="236"/>
    </row>
    <row r="554" spans="1:13" ht="14.25" customHeight="1" x14ac:dyDescent="0.25">
      <c r="A554" s="236"/>
      <c r="F554" s="273"/>
      <c r="H554" s="273"/>
      <c r="I554" s="273"/>
      <c r="J554" s="236"/>
      <c r="L554" s="273"/>
      <c r="M554" s="236"/>
    </row>
    <row r="555" spans="1:13" ht="14.25" customHeight="1" x14ac:dyDescent="0.25">
      <c r="A555" s="236"/>
      <c r="F555" s="273"/>
      <c r="H555" s="273"/>
      <c r="I555" s="273"/>
      <c r="J555" s="236"/>
      <c r="L555" s="273"/>
      <c r="M555" s="236"/>
    </row>
    <row r="556" spans="1:13" ht="14.25" customHeight="1" x14ac:dyDescent="0.25">
      <c r="A556" s="236"/>
      <c r="F556" s="273"/>
      <c r="H556" s="273"/>
      <c r="I556" s="273"/>
      <c r="J556" s="236"/>
      <c r="L556" s="273"/>
      <c r="M556" s="236"/>
    </row>
    <row r="557" spans="1:13" ht="14.25" customHeight="1" x14ac:dyDescent="0.25">
      <c r="A557" s="236"/>
      <c r="F557" s="273"/>
      <c r="H557" s="273"/>
      <c r="I557" s="273"/>
      <c r="J557" s="236"/>
      <c r="L557" s="273"/>
      <c r="M557" s="236"/>
    </row>
    <row r="558" spans="1:13" ht="14.25" customHeight="1" x14ac:dyDescent="0.25">
      <c r="A558" s="236"/>
      <c r="F558" s="273"/>
      <c r="H558" s="273"/>
      <c r="I558" s="273"/>
      <c r="J558" s="236"/>
      <c r="L558" s="273"/>
      <c r="M558" s="236"/>
    </row>
    <row r="559" spans="1:13" ht="14.25" customHeight="1" x14ac:dyDescent="0.25">
      <c r="A559" s="236"/>
      <c r="F559" s="273"/>
      <c r="H559" s="273"/>
      <c r="I559" s="273"/>
      <c r="J559" s="236"/>
      <c r="L559" s="273"/>
      <c r="M559" s="236"/>
    </row>
    <row r="560" spans="1:13" ht="14.25" customHeight="1" x14ac:dyDescent="0.25">
      <c r="A560" s="236"/>
      <c r="F560" s="273"/>
      <c r="H560" s="273"/>
      <c r="I560" s="273"/>
      <c r="J560" s="236"/>
      <c r="L560" s="273"/>
      <c r="M560" s="236"/>
    </row>
    <row r="561" spans="1:13" ht="14.25" customHeight="1" x14ac:dyDescent="0.25">
      <c r="A561" s="236"/>
      <c r="F561" s="273"/>
      <c r="H561" s="273"/>
      <c r="I561" s="273"/>
      <c r="J561" s="236"/>
      <c r="L561" s="273"/>
      <c r="M561" s="236"/>
    </row>
    <row r="562" spans="1:13" ht="14.25" customHeight="1" x14ac:dyDescent="0.25">
      <c r="A562" s="236"/>
      <c r="F562" s="273"/>
      <c r="H562" s="273"/>
      <c r="I562" s="273"/>
      <c r="J562" s="236"/>
      <c r="L562" s="273"/>
      <c r="M562" s="236"/>
    </row>
    <row r="563" spans="1:13" ht="14.25" customHeight="1" x14ac:dyDescent="0.25">
      <c r="A563" s="236"/>
      <c r="F563" s="273"/>
      <c r="H563" s="273"/>
      <c r="I563" s="273"/>
      <c r="J563" s="236"/>
      <c r="L563" s="273"/>
      <c r="M563" s="236"/>
    </row>
    <row r="564" spans="1:13" ht="14.25" customHeight="1" x14ac:dyDescent="0.25">
      <c r="A564" s="236"/>
      <c r="F564" s="273"/>
      <c r="H564" s="273"/>
      <c r="I564" s="273"/>
      <c r="J564" s="236"/>
      <c r="L564" s="273"/>
      <c r="M564" s="236"/>
    </row>
    <row r="565" spans="1:13" ht="14.25" customHeight="1" x14ac:dyDescent="0.25">
      <c r="A565" s="236"/>
      <c r="F565" s="273"/>
      <c r="H565" s="273"/>
      <c r="I565" s="273"/>
      <c r="J565" s="236"/>
      <c r="L565" s="273"/>
      <c r="M565" s="236"/>
    </row>
    <row r="566" spans="1:13" ht="14.25" customHeight="1" x14ac:dyDescent="0.25">
      <c r="A566" s="236"/>
      <c r="F566" s="273"/>
      <c r="H566" s="273"/>
      <c r="I566" s="273"/>
      <c r="J566" s="236"/>
      <c r="L566" s="273"/>
      <c r="M566" s="236"/>
    </row>
    <row r="567" spans="1:13" ht="14.25" customHeight="1" x14ac:dyDescent="0.25">
      <c r="A567" s="236"/>
      <c r="F567" s="273"/>
      <c r="H567" s="273"/>
      <c r="I567" s="273"/>
      <c r="J567" s="236"/>
      <c r="L567" s="273"/>
      <c r="M567" s="236"/>
    </row>
    <row r="568" spans="1:13" ht="14.25" customHeight="1" x14ac:dyDescent="0.25">
      <c r="A568" s="236"/>
      <c r="F568" s="273"/>
      <c r="H568" s="273"/>
      <c r="I568" s="273"/>
      <c r="J568" s="236"/>
      <c r="L568" s="273"/>
      <c r="M568" s="236"/>
    </row>
    <row r="569" spans="1:13" ht="14.25" customHeight="1" x14ac:dyDescent="0.25">
      <c r="A569" s="236"/>
      <c r="F569" s="273"/>
      <c r="H569" s="273"/>
      <c r="I569" s="273"/>
      <c r="J569" s="236"/>
      <c r="L569" s="273"/>
      <c r="M569" s="236"/>
    </row>
    <row r="570" spans="1:13" ht="14.25" customHeight="1" x14ac:dyDescent="0.25">
      <c r="A570" s="236"/>
      <c r="F570" s="273"/>
      <c r="H570" s="273"/>
      <c r="I570" s="273"/>
      <c r="J570" s="236"/>
      <c r="L570" s="273"/>
      <c r="M570" s="236"/>
    </row>
    <row r="571" spans="1:13" ht="14.25" customHeight="1" x14ac:dyDescent="0.25">
      <c r="A571" s="236"/>
      <c r="F571" s="273"/>
      <c r="H571" s="273"/>
      <c r="I571" s="273"/>
      <c r="J571" s="236"/>
      <c r="L571" s="273"/>
      <c r="M571" s="236"/>
    </row>
    <row r="572" spans="1:13" ht="14.25" customHeight="1" x14ac:dyDescent="0.25">
      <c r="A572" s="236"/>
      <c r="F572" s="273"/>
      <c r="H572" s="273"/>
      <c r="I572" s="273"/>
      <c r="J572" s="236"/>
      <c r="L572" s="273"/>
      <c r="M572" s="236"/>
    </row>
    <row r="573" spans="1:13" ht="14.25" customHeight="1" x14ac:dyDescent="0.25">
      <c r="A573" s="236"/>
      <c r="F573" s="273"/>
      <c r="H573" s="273"/>
      <c r="I573" s="273"/>
      <c r="J573" s="236"/>
      <c r="L573" s="273"/>
      <c r="M573" s="236"/>
    </row>
    <row r="574" spans="1:13" ht="14.25" customHeight="1" x14ac:dyDescent="0.25">
      <c r="A574" s="236"/>
      <c r="F574" s="273"/>
      <c r="H574" s="273"/>
      <c r="I574" s="273"/>
      <c r="J574" s="236"/>
      <c r="L574" s="273"/>
      <c r="M574" s="236"/>
    </row>
    <row r="575" spans="1:13" ht="14.25" customHeight="1" x14ac:dyDescent="0.25">
      <c r="A575" s="236"/>
      <c r="F575" s="273"/>
      <c r="H575" s="273"/>
      <c r="I575" s="273"/>
      <c r="J575" s="236"/>
      <c r="L575" s="273"/>
      <c r="M575" s="236"/>
    </row>
    <row r="576" spans="1:13" ht="14.25" customHeight="1" x14ac:dyDescent="0.25">
      <c r="A576" s="236"/>
      <c r="F576" s="273"/>
      <c r="H576" s="273"/>
      <c r="I576" s="273"/>
      <c r="J576" s="236"/>
      <c r="L576" s="273"/>
      <c r="M576" s="236"/>
    </row>
    <row r="577" spans="1:13" ht="14.25" customHeight="1" x14ac:dyDescent="0.25">
      <c r="A577" s="236"/>
      <c r="F577" s="273"/>
      <c r="H577" s="273"/>
      <c r="I577" s="273"/>
      <c r="J577" s="236"/>
      <c r="L577" s="273"/>
      <c r="M577" s="236"/>
    </row>
    <row r="578" spans="1:13" ht="14.25" customHeight="1" x14ac:dyDescent="0.25">
      <c r="A578" s="236"/>
      <c r="F578" s="273"/>
      <c r="H578" s="273"/>
      <c r="I578" s="273"/>
      <c r="J578" s="236"/>
      <c r="L578" s="273"/>
      <c r="M578" s="236"/>
    </row>
    <row r="579" spans="1:13" ht="14.25" customHeight="1" x14ac:dyDescent="0.25">
      <c r="A579" s="236"/>
      <c r="F579" s="273"/>
      <c r="H579" s="273"/>
      <c r="I579" s="273"/>
      <c r="J579" s="236"/>
      <c r="L579" s="273"/>
      <c r="M579" s="236"/>
    </row>
    <row r="580" spans="1:13" ht="14.25" customHeight="1" x14ac:dyDescent="0.25">
      <c r="A580" s="236"/>
      <c r="F580" s="273"/>
      <c r="H580" s="273"/>
      <c r="I580" s="273"/>
      <c r="J580" s="236"/>
      <c r="L580" s="273"/>
      <c r="M580" s="236"/>
    </row>
    <row r="581" spans="1:13" ht="14.25" customHeight="1" x14ac:dyDescent="0.25">
      <c r="A581" s="236"/>
      <c r="F581" s="273"/>
      <c r="H581" s="273"/>
      <c r="I581" s="273"/>
      <c r="J581" s="236"/>
      <c r="L581" s="273"/>
      <c r="M581" s="236"/>
    </row>
    <row r="582" spans="1:13" ht="14.25" customHeight="1" x14ac:dyDescent="0.25">
      <c r="A582" s="236"/>
      <c r="F582" s="273"/>
      <c r="H582" s="273"/>
      <c r="I582" s="273"/>
      <c r="J582" s="236"/>
      <c r="M582" s="236"/>
    </row>
    <row r="583" spans="1:13" ht="15" customHeight="1" x14ac:dyDescent="0.25">
      <c r="F583" s="273"/>
      <c r="H583" s="273"/>
      <c r="I583" s="273"/>
    </row>
  </sheetData>
  <autoFilter ref="A10:W582" xr:uid="{1E78B0CF-4527-4C3B-87EB-C6D71FD221F1}"/>
  <mergeCells count="6">
    <mergeCell ref="K26:L26"/>
    <mergeCell ref="A5:M5"/>
    <mergeCell ref="A7:M7"/>
    <mergeCell ref="B9:I9"/>
    <mergeCell ref="K9:L9"/>
    <mergeCell ref="K14:L14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J45"/>
  <sheetViews>
    <sheetView showGridLines="0" topLeftCell="A26" zoomScale="87" zoomScaleNormal="87" zoomScaleSheetLayoutView="95" workbookViewId="0">
      <selection activeCell="G39" sqref="G39:G41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2.85546875" style="1" bestFit="1" customWidth="1"/>
    <col min="11" max="16384" width="9.140625" style="1"/>
  </cols>
  <sheetData>
    <row r="1" spans="1:10" x14ac:dyDescent="0.25">
      <c r="B1" s="2"/>
      <c r="C1" s="1"/>
      <c r="D1" s="1"/>
      <c r="G1" s="161"/>
      <c r="H1" s="161"/>
      <c r="I1" s="2"/>
    </row>
    <row r="2" spans="1:10" ht="12.75" customHeight="1" x14ac:dyDescent="0.25">
      <c r="A2" s="341" t="s">
        <v>188</v>
      </c>
      <c r="B2" s="2"/>
      <c r="C2" s="1"/>
      <c r="D2" s="1"/>
      <c r="G2" s="166"/>
      <c r="H2" s="166"/>
      <c r="I2" s="2"/>
    </row>
    <row r="3" spans="1:10" ht="12.75" customHeight="1" x14ac:dyDescent="0.25">
      <c r="A3" s="342"/>
      <c r="B3" s="2"/>
      <c r="C3" s="1"/>
      <c r="D3" s="1"/>
      <c r="G3" s="166"/>
      <c r="H3" s="166"/>
      <c r="I3" s="2"/>
    </row>
    <row r="4" spans="1:10" ht="12.75" customHeight="1" x14ac:dyDescent="0.25">
      <c r="A4" s="342"/>
      <c r="B4" s="2"/>
      <c r="C4" s="1"/>
      <c r="D4" s="1"/>
      <c r="G4" s="166"/>
      <c r="H4" s="166"/>
      <c r="I4" s="2"/>
    </row>
    <row r="5" spans="1:10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25">
      <c r="A6" s="162"/>
      <c r="B6" s="2"/>
      <c r="C6" s="1"/>
      <c r="D6" s="1"/>
      <c r="G6" s="161"/>
      <c r="H6" s="161"/>
      <c r="I6" s="2"/>
    </row>
    <row r="7" spans="1:10" x14ac:dyDescent="0.25">
      <c r="A7" s="160" t="s">
        <v>187</v>
      </c>
      <c r="B7" s="159" t="s">
        <v>186</v>
      </c>
      <c r="C7" s="158"/>
      <c r="D7" s="158"/>
      <c r="E7" s="158"/>
      <c r="F7" s="158"/>
      <c r="G7" s="158"/>
      <c r="H7" s="157"/>
      <c r="I7" s="2"/>
    </row>
    <row r="8" spans="1:10" x14ac:dyDescent="0.25">
      <c r="A8" s="156" t="s">
        <v>0</v>
      </c>
      <c r="B8" s="155" t="s">
        <v>185</v>
      </c>
      <c r="C8" s="154"/>
      <c r="D8" s="154"/>
      <c r="E8" s="154"/>
      <c r="F8" s="154"/>
      <c r="G8" s="154"/>
      <c r="H8" s="153"/>
      <c r="I8" s="2"/>
    </row>
    <row r="9" spans="1:10" ht="15" customHeight="1" x14ac:dyDescent="0.25">
      <c r="A9" s="152" t="s">
        <v>184</v>
      </c>
      <c r="B9" s="151">
        <v>45397</v>
      </c>
      <c r="C9" s="150"/>
      <c r="D9" s="150"/>
      <c r="E9" s="150"/>
      <c r="F9" s="150"/>
      <c r="G9" s="150"/>
      <c r="H9" s="149"/>
    </row>
    <row r="10" spans="1:10" x14ac:dyDescent="0.25">
      <c r="A10" s="148" t="s">
        <v>1</v>
      </c>
      <c r="B10" s="147" t="s">
        <v>183</v>
      </c>
      <c r="C10" s="146"/>
      <c r="D10" s="146"/>
      <c r="E10" s="146"/>
      <c r="F10" s="146"/>
      <c r="G10" s="146"/>
      <c r="H10" s="145"/>
    </row>
    <row r="12" spans="1:10" x14ac:dyDescent="0.25">
      <c r="A12" s="144" t="s">
        <v>449</v>
      </c>
      <c r="B12" s="143"/>
      <c r="C12" s="142"/>
      <c r="D12" s="141"/>
      <c r="E12" s="140"/>
      <c r="F12" s="140"/>
      <c r="G12" s="140"/>
      <c r="H12" s="139"/>
    </row>
    <row r="13" spans="1:10" ht="15.95" customHeight="1" x14ac:dyDescent="0.25">
      <c r="A13" s="138"/>
      <c r="B13" s="137"/>
      <c r="C13" s="136"/>
      <c r="D13" s="135"/>
      <c r="E13" s="135"/>
      <c r="F13" s="135"/>
      <c r="H13" s="131"/>
      <c r="J13" s="115">
        <f>SUM(G15:G18)</f>
        <v>2019626.2366500003</v>
      </c>
    </row>
    <row r="14" spans="1:10" ht="15.95" customHeight="1" x14ac:dyDescent="0.25">
      <c r="A14" s="134" t="s">
        <v>14</v>
      </c>
      <c r="B14" s="348" t="s">
        <v>18</v>
      </c>
      <c r="C14" s="349"/>
      <c r="D14" s="350" t="s">
        <v>5</v>
      </c>
      <c r="E14" s="351"/>
      <c r="F14" s="133" t="s">
        <v>182</v>
      </c>
      <c r="G14" s="132" t="s">
        <v>16</v>
      </c>
      <c r="H14" s="131"/>
      <c r="J14" s="115">
        <f>G20+G21</f>
        <v>2896535.3285000008</v>
      </c>
    </row>
    <row r="15" spans="1:10" ht="15.95" customHeight="1" x14ac:dyDescent="0.25">
      <c r="A15" s="174" t="s">
        <v>335</v>
      </c>
      <c r="B15" s="124">
        <f>AMBIENTES!L18-AMBIENTES!F28/2</f>
        <v>16931.446</v>
      </c>
      <c r="C15" s="129" t="s">
        <v>2</v>
      </c>
      <c r="D15" s="128">
        <v>16.5</v>
      </c>
      <c r="E15" s="130" t="s">
        <v>170</v>
      </c>
      <c r="F15" s="126" t="s">
        <v>169</v>
      </c>
      <c r="G15" s="125">
        <f>D15*B15*1.1</f>
        <v>307305.74490000005</v>
      </c>
      <c r="H15" s="131"/>
    </row>
    <row r="16" spans="1:10" ht="15.95" customHeight="1" x14ac:dyDescent="0.25">
      <c r="A16" s="174" t="s">
        <v>337</v>
      </c>
      <c r="B16" s="124">
        <f>AMBIENTES!L19+AMBIENTES!L20</f>
        <v>515.94699999999989</v>
      </c>
      <c r="C16" s="129" t="s">
        <v>2</v>
      </c>
      <c r="D16" s="128">
        <v>25</v>
      </c>
      <c r="E16" s="130" t="s">
        <v>170</v>
      </c>
      <c r="F16" s="126" t="s">
        <v>169</v>
      </c>
      <c r="G16" s="125">
        <f>D16*B16*1.1</f>
        <v>14188.542499999998</v>
      </c>
      <c r="H16" s="131"/>
    </row>
    <row r="17" spans="1:8" ht="15.95" customHeight="1" x14ac:dyDescent="0.25">
      <c r="A17" s="172" t="s">
        <v>194</v>
      </c>
      <c r="B17" s="124">
        <f>AREAS!G5*0.9-'Rev. Internos Piso e Parede'!B15-'Rev. Internos Piso e Parede'!B16</f>
        <v>17301.764500000001</v>
      </c>
      <c r="C17" s="129" t="s">
        <v>2</v>
      </c>
      <c r="D17" s="128">
        <f>B17/AREAS!G5</f>
        <v>0.44811411758687963</v>
      </c>
      <c r="E17" s="130" t="s">
        <v>190</v>
      </c>
      <c r="F17" s="126" t="s">
        <v>169</v>
      </c>
      <c r="G17" s="125">
        <f>+B17*65*1.1</f>
        <v>1237076.1617500002</v>
      </c>
      <c r="H17" s="131"/>
    </row>
    <row r="18" spans="1:8" ht="15.95" customHeight="1" x14ac:dyDescent="0.25">
      <c r="A18" s="172" t="s">
        <v>193</v>
      </c>
      <c r="B18" s="124">
        <f>AREAS!G13+AREAS!G15</f>
        <v>16765.665000000001</v>
      </c>
      <c r="C18" s="129" t="s">
        <v>2</v>
      </c>
      <c r="D18" s="128">
        <f>B18/AREAS!G5</f>
        <v>0.43422918958538775</v>
      </c>
      <c r="E18" s="130" t="s">
        <v>190</v>
      </c>
      <c r="F18" s="126" t="s">
        <v>169</v>
      </c>
      <c r="G18" s="125">
        <f>+B18*25*1.1</f>
        <v>461055.78750000003</v>
      </c>
      <c r="H18" s="131"/>
    </row>
    <row r="19" spans="1:8" ht="15.95" customHeight="1" x14ac:dyDescent="0.25">
      <c r="A19" s="172" t="s">
        <v>451</v>
      </c>
      <c r="B19" s="124">
        <f>AREAS!G16</f>
        <v>199</v>
      </c>
      <c r="C19" s="129" t="s">
        <v>2</v>
      </c>
      <c r="D19" s="128">
        <f>B19/AREAS!G5</f>
        <v>5.1540817932060655E-3</v>
      </c>
      <c r="E19" s="130" t="s">
        <v>190</v>
      </c>
      <c r="F19" s="126" t="s">
        <v>169</v>
      </c>
      <c r="G19" s="125">
        <f>+B19*50*1.1</f>
        <v>10945</v>
      </c>
      <c r="H19" s="131"/>
    </row>
    <row r="20" spans="1:8" ht="27" customHeight="1" x14ac:dyDescent="0.25">
      <c r="A20" s="173" t="s">
        <v>192</v>
      </c>
      <c r="B20" s="171">
        <f>AREAS!G5*'Rev. Internos Piso e Parede'!D20*0.62</f>
        <v>47876.617000000006</v>
      </c>
      <c r="C20" s="170" t="s">
        <v>2</v>
      </c>
      <c r="D20" s="169">
        <v>2</v>
      </c>
      <c r="E20" s="127" t="s">
        <v>190</v>
      </c>
      <c r="F20" s="168" t="s">
        <v>169</v>
      </c>
      <c r="G20" s="125">
        <f>+B20*5*1.1</f>
        <v>263321.39350000006</v>
      </c>
      <c r="H20" s="123"/>
    </row>
    <row r="21" spans="1:8" ht="27" customHeight="1" x14ac:dyDescent="0.25">
      <c r="A21" s="172" t="s">
        <v>191</v>
      </c>
      <c r="B21" s="171">
        <f>B20</f>
        <v>47876.617000000006</v>
      </c>
      <c r="C21" s="170" t="s">
        <v>2</v>
      </c>
      <c r="D21" s="169">
        <v>2</v>
      </c>
      <c r="E21" s="127" t="s">
        <v>190</v>
      </c>
      <c r="F21" s="168" t="s">
        <v>169</v>
      </c>
      <c r="G21" s="125">
        <f>50*B21*1.1</f>
        <v>2633213.9350000005</v>
      </c>
      <c r="H21" s="123"/>
    </row>
    <row r="22" spans="1:8" ht="27" customHeight="1" x14ac:dyDescent="0.25">
      <c r="A22" s="172" t="s">
        <v>196</v>
      </c>
      <c r="B22" s="171">
        <v>1</v>
      </c>
      <c r="C22" s="170" t="s">
        <v>27</v>
      </c>
      <c r="D22" s="169">
        <v>1</v>
      </c>
      <c r="E22" s="127" t="s">
        <v>6</v>
      </c>
      <c r="F22" s="168" t="s">
        <v>169</v>
      </c>
      <c r="G22" s="125">
        <f>D22*AREAS!G5*1.1</f>
        <v>42471.192500000005</v>
      </c>
      <c r="H22" s="123"/>
    </row>
    <row r="23" spans="1:8" ht="15.95" customHeight="1" x14ac:dyDescent="0.25">
      <c r="A23" s="346" t="s">
        <v>17</v>
      </c>
      <c r="B23" s="347"/>
      <c r="C23" s="347"/>
      <c r="D23" s="347"/>
      <c r="E23" s="347"/>
      <c r="F23" s="347"/>
      <c r="G23" s="122">
        <f>SUM(G15:G22)</f>
        <v>4969577.757650001</v>
      </c>
      <c r="H23" s="121"/>
    </row>
    <row r="24" spans="1:8" ht="15.95" customHeight="1" x14ac:dyDescent="0.25">
      <c r="A24" s="344"/>
      <c r="B24" s="345"/>
      <c r="C24" s="345"/>
      <c r="D24" s="345"/>
      <c r="E24" s="345"/>
      <c r="F24" s="345"/>
      <c r="G24" s="167"/>
      <c r="H24" s="118"/>
    </row>
    <row r="26" spans="1:8" x14ac:dyDescent="0.25">
      <c r="A26" s="343" t="s">
        <v>189</v>
      </c>
      <c r="B26" s="343"/>
      <c r="C26" s="343"/>
      <c r="D26" s="343"/>
      <c r="E26" s="343"/>
      <c r="F26" s="343"/>
      <c r="G26" s="117">
        <f>G23</f>
        <v>4969577.757650001</v>
      </c>
      <c r="H26" s="116">
        <f>G26/AREAS!G5</f>
        <v>128.71160924937533</v>
      </c>
    </row>
    <row r="28" spans="1:8" x14ac:dyDescent="0.25">
      <c r="H28" s="115">
        <f>H26/1.1</f>
        <v>117.01055386306847</v>
      </c>
    </row>
    <row r="30" spans="1:8" x14ac:dyDescent="0.25">
      <c r="B30" s="114" t="e">
        <f>ALVENARIA!D18*2-'Rev. Fachada'!B15</f>
        <v>#REF!</v>
      </c>
    </row>
    <row r="31" spans="1:8" x14ac:dyDescent="0.25">
      <c r="A31" s="144" t="s">
        <v>448</v>
      </c>
      <c r="B31" s="143"/>
      <c r="C31" s="142"/>
      <c r="D31" s="141"/>
      <c r="E31" s="140"/>
      <c r="F31" s="140"/>
      <c r="G31" s="140"/>
      <c r="H31" s="139"/>
    </row>
    <row r="32" spans="1:8" x14ac:dyDescent="0.25">
      <c r="A32" s="138"/>
      <c r="B32" s="137"/>
      <c r="C32" s="136"/>
      <c r="D32" s="135"/>
      <c r="E32" s="135"/>
      <c r="F32" s="135"/>
      <c r="H32" s="131"/>
    </row>
    <row r="33" spans="1:8" x14ac:dyDescent="0.25">
      <c r="A33" s="134" t="s">
        <v>14</v>
      </c>
      <c r="B33" s="348" t="s">
        <v>18</v>
      </c>
      <c r="C33" s="349"/>
      <c r="D33" s="350" t="s">
        <v>5</v>
      </c>
      <c r="E33" s="351"/>
      <c r="F33" s="133" t="s">
        <v>182</v>
      </c>
      <c r="G33" s="132" t="s">
        <v>16</v>
      </c>
      <c r="H33" s="131"/>
    </row>
    <row r="34" spans="1:8" x14ac:dyDescent="0.25">
      <c r="A34" s="174" t="s">
        <v>335</v>
      </c>
      <c r="B34" s="124">
        <f>AMBIENTES!F28/2</f>
        <v>1783.7</v>
      </c>
      <c r="C34" s="129" t="s">
        <v>2</v>
      </c>
      <c r="D34" s="128">
        <v>16.5</v>
      </c>
      <c r="E34" s="130" t="s">
        <v>170</v>
      </c>
      <c r="F34" s="126" t="s">
        <v>169</v>
      </c>
      <c r="G34" s="125">
        <f>D34*B34*1.1</f>
        <v>32374.155000000002</v>
      </c>
      <c r="H34" s="131"/>
    </row>
    <row r="35" spans="1:8" x14ac:dyDescent="0.25">
      <c r="A35" s="174" t="s">
        <v>337</v>
      </c>
      <c r="B35" s="124">
        <v>0</v>
      </c>
      <c r="C35" s="129" t="s">
        <v>2</v>
      </c>
      <c r="D35" s="128">
        <v>25</v>
      </c>
      <c r="E35" s="130" t="s">
        <v>170</v>
      </c>
      <c r="F35" s="126" t="s">
        <v>169</v>
      </c>
      <c r="G35" s="125">
        <f>D35*B35*1.1</f>
        <v>0</v>
      </c>
      <c r="H35" s="131"/>
    </row>
    <row r="36" spans="1:8" x14ac:dyDescent="0.25">
      <c r="A36" s="172" t="s">
        <v>194</v>
      </c>
      <c r="B36" s="124">
        <f>AREAS!H5*0.9-'Rev. Internos Piso e Parede'!B34-'Rev. Internos Piso e Parede'!B35</f>
        <v>28999.886500000001</v>
      </c>
      <c r="C36" s="129" t="s">
        <v>2</v>
      </c>
      <c r="D36" s="128">
        <f>B36/AREAS!H5</f>
        <v>0.84785110565333255</v>
      </c>
      <c r="E36" s="130" t="s">
        <v>190</v>
      </c>
      <c r="F36" s="126" t="s">
        <v>169</v>
      </c>
      <c r="G36" s="125">
        <f>+B36*65*1.1</f>
        <v>2073491.8847500002</v>
      </c>
      <c r="H36" s="131"/>
    </row>
    <row r="37" spans="1:8" x14ac:dyDescent="0.25">
      <c r="A37" s="172" t="s">
        <v>193</v>
      </c>
      <c r="B37" s="124">
        <f>AREAS!H13+AREAS!H15+AREAS!H17</f>
        <v>30376.295000000002</v>
      </c>
      <c r="C37" s="129" t="s">
        <v>2</v>
      </c>
      <c r="D37" s="128">
        <f>B37/AREAS!H5</f>
        <v>0.88809227930605161</v>
      </c>
      <c r="E37" s="130" t="s">
        <v>190</v>
      </c>
      <c r="F37" s="126" t="s">
        <v>169</v>
      </c>
      <c r="G37" s="125">
        <f>+B37*25*1.1</f>
        <v>835348.11250000005</v>
      </c>
      <c r="H37" s="131"/>
    </row>
    <row r="38" spans="1:8" x14ac:dyDescent="0.25">
      <c r="A38" s="172" t="s">
        <v>451</v>
      </c>
      <c r="B38" s="124">
        <f>AREAS!H16</f>
        <v>753.61</v>
      </c>
      <c r="C38" s="129" t="s">
        <v>2</v>
      </c>
      <c r="D38" s="128" t="e">
        <f>B38/AREAS!H6</f>
        <v>#DIV/0!</v>
      </c>
      <c r="E38" s="130" t="s">
        <v>190</v>
      </c>
      <c r="F38" s="126" t="s">
        <v>169</v>
      </c>
      <c r="G38" s="125">
        <f>+B38*50*1.1</f>
        <v>41448.550000000003</v>
      </c>
      <c r="H38" s="131"/>
    </row>
    <row r="39" spans="1:8" x14ac:dyDescent="0.25">
      <c r="A39" s="173" t="s">
        <v>192</v>
      </c>
      <c r="B39" s="171">
        <f>AREAS!H5*'Rev. Internos Piso e Parede'!D39*0.62</f>
        <v>42412.941400000003</v>
      </c>
      <c r="C39" s="170" t="s">
        <v>2</v>
      </c>
      <c r="D39" s="169">
        <v>2</v>
      </c>
      <c r="E39" s="127" t="s">
        <v>190</v>
      </c>
      <c r="F39" s="168" t="s">
        <v>169</v>
      </c>
      <c r="G39" s="125">
        <f>+B39*5*1.1</f>
        <v>233271.17770000006</v>
      </c>
      <c r="H39" s="123"/>
    </row>
    <row r="40" spans="1:8" x14ac:dyDescent="0.25">
      <c r="A40" s="172" t="s">
        <v>191</v>
      </c>
      <c r="B40" s="171">
        <f>B39</f>
        <v>42412.941400000003</v>
      </c>
      <c r="C40" s="170" t="s">
        <v>2</v>
      </c>
      <c r="D40" s="169">
        <v>2</v>
      </c>
      <c r="E40" s="127" t="s">
        <v>190</v>
      </c>
      <c r="F40" s="168" t="s">
        <v>169</v>
      </c>
      <c r="G40" s="125">
        <f>50*B40*1.1</f>
        <v>2332711.7770000007</v>
      </c>
      <c r="H40" s="123"/>
    </row>
    <row r="41" spans="1:8" ht="27" customHeight="1" x14ac:dyDescent="0.25">
      <c r="A41" s="172" t="s">
        <v>196</v>
      </c>
      <c r="B41" s="171">
        <v>1</v>
      </c>
      <c r="C41" s="170" t="s">
        <v>27</v>
      </c>
      <c r="D41" s="169">
        <v>1</v>
      </c>
      <c r="E41" s="127" t="s">
        <v>190</v>
      </c>
      <c r="F41" s="168" t="s">
        <v>169</v>
      </c>
      <c r="G41" s="125">
        <f>D41*AREAS!H5*1.1</f>
        <v>37624.383500000004</v>
      </c>
      <c r="H41" s="123"/>
    </row>
    <row r="42" spans="1:8" x14ac:dyDescent="0.25">
      <c r="A42" s="346" t="s">
        <v>17</v>
      </c>
      <c r="B42" s="347"/>
      <c r="C42" s="347"/>
      <c r="D42" s="347"/>
      <c r="E42" s="347"/>
      <c r="F42" s="347"/>
      <c r="G42" s="122">
        <f>SUM(G34:G41)</f>
        <v>5586270.0404500011</v>
      </c>
      <c r="H42" s="121"/>
    </row>
    <row r="43" spans="1:8" x14ac:dyDescent="0.25">
      <c r="A43" s="344"/>
      <c r="B43" s="345"/>
      <c r="C43" s="345"/>
      <c r="D43" s="345"/>
      <c r="E43" s="345"/>
      <c r="F43" s="345"/>
      <c r="G43" s="167"/>
      <c r="H43" s="118"/>
    </row>
    <row r="45" spans="1:8" x14ac:dyDescent="0.25">
      <c r="A45" s="343" t="s">
        <v>189</v>
      </c>
      <c r="B45" s="343"/>
      <c r="C45" s="343"/>
      <c r="D45" s="343"/>
      <c r="E45" s="343"/>
      <c r="F45" s="343"/>
      <c r="G45" s="117">
        <f>G42</f>
        <v>5586270.0404500011</v>
      </c>
      <c r="H45" s="116">
        <f>G45/AREAS!H5</f>
        <v>163.32219887390318</v>
      </c>
    </row>
  </sheetData>
  <mergeCells count="11">
    <mergeCell ref="B33:C33"/>
    <mergeCell ref="D33:E33"/>
    <mergeCell ref="A42:F42"/>
    <mergeCell ref="A43:F43"/>
    <mergeCell ref="A45:F45"/>
    <mergeCell ref="A2:A4"/>
    <mergeCell ref="A26:F26"/>
    <mergeCell ref="A24:F24"/>
    <mergeCell ref="A23:F23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26"/>
  <sheetViews>
    <sheetView showGridLines="0" topLeftCell="A4" zoomScale="80" zoomScaleNormal="80" zoomScaleSheetLayoutView="95" workbookViewId="0">
      <selection activeCell="G29" sqref="G29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15" t="s">
        <v>321</v>
      </c>
      <c r="B3" s="323"/>
      <c r="C3" s="323"/>
      <c r="D3" s="316"/>
      <c r="E3" s="316"/>
      <c r="F3" s="316"/>
      <c r="G3" s="316"/>
      <c r="H3" s="317"/>
      <c r="J3" s="79"/>
    </row>
    <row r="4" spans="1:12" ht="19.5" x14ac:dyDescent="0.25">
      <c r="A4" s="187" t="s">
        <v>184</v>
      </c>
      <c r="B4" s="193">
        <v>45457</v>
      </c>
      <c r="C4" s="191"/>
      <c r="D4" s="191"/>
      <c r="E4" s="191"/>
      <c r="F4" s="191"/>
      <c r="G4" s="191"/>
      <c r="H4" s="192"/>
      <c r="J4" s="79"/>
    </row>
    <row r="5" spans="1:12" ht="19.5" x14ac:dyDescent="0.25">
      <c r="A5" s="187" t="s">
        <v>295</v>
      </c>
      <c r="B5" s="194" t="s">
        <v>213</v>
      </c>
      <c r="C5" s="189"/>
      <c r="D5" s="189"/>
      <c r="E5" s="189"/>
      <c r="F5" s="189"/>
      <c r="G5" s="189"/>
      <c r="H5" s="190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453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19" t="s">
        <v>5</v>
      </c>
      <c r="C9" s="320"/>
      <c r="D9" s="319" t="s">
        <v>18</v>
      </c>
      <c r="E9" s="320"/>
      <c r="F9" s="65" t="s">
        <v>118</v>
      </c>
      <c r="G9" s="71" t="s">
        <v>16</v>
      </c>
      <c r="H9" s="90" t="s">
        <v>298</v>
      </c>
    </row>
    <row r="10" spans="1:12" ht="21.75" x14ac:dyDescent="0.25">
      <c r="A10" s="66" t="s">
        <v>452</v>
      </c>
      <c r="B10" s="62">
        <v>0.55000000000000004</v>
      </c>
      <c r="C10" s="62" t="s">
        <v>37</v>
      </c>
      <c r="D10" s="67">
        <f>AREAS!G5*TETO!B10-'Rev. Internos Piso e Parede'!B15-'Rev. Internos Piso e Parede'!B16</f>
        <v>3788.2032500000023</v>
      </c>
      <c r="E10" s="67" t="s">
        <v>2</v>
      </c>
      <c r="F10" s="88">
        <v>120</v>
      </c>
      <c r="G10" s="89">
        <f>F10*D10*1.1</f>
        <v>500042.82900000032</v>
      </c>
      <c r="H10" s="67"/>
    </row>
    <row r="11" spans="1:12" ht="21.75" x14ac:dyDescent="0.25">
      <c r="A11" s="78" t="s">
        <v>197</v>
      </c>
      <c r="B11" s="62">
        <v>1.2</v>
      </c>
      <c r="C11" s="62" t="s">
        <v>319</v>
      </c>
      <c r="D11" s="67">
        <f>D10*B11</f>
        <v>4545.8439000000026</v>
      </c>
      <c r="E11" s="67" t="s">
        <v>2</v>
      </c>
      <c r="F11" s="88">
        <v>22</v>
      </c>
      <c r="G11" s="89">
        <f>F11*D11*1.1</f>
        <v>110009.42238000008</v>
      </c>
      <c r="H11" s="67"/>
    </row>
    <row r="12" spans="1:12" ht="21.75" x14ac:dyDescent="0.25">
      <c r="A12" s="78" t="s">
        <v>196</v>
      </c>
      <c r="B12" s="62">
        <v>0.35</v>
      </c>
      <c r="C12" s="62" t="s">
        <v>37</v>
      </c>
      <c r="D12" s="67">
        <f>B12*AREAS!G5</f>
        <v>13513.561250000001</v>
      </c>
      <c r="E12" s="67" t="s">
        <v>2</v>
      </c>
      <c r="F12" s="88">
        <v>24</v>
      </c>
      <c r="G12" s="89">
        <f>F12*D12*1.1</f>
        <v>356758.01700000005</v>
      </c>
      <c r="H12" s="67"/>
    </row>
    <row r="13" spans="1:12" ht="21.75" x14ac:dyDescent="0.25">
      <c r="A13" s="314" t="s">
        <v>17</v>
      </c>
      <c r="B13" s="314"/>
      <c r="C13" s="314"/>
      <c r="D13" s="314"/>
      <c r="E13" s="314"/>
      <c r="F13" s="314"/>
      <c r="G13" s="90">
        <f>SUM(G10:G12)</f>
        <v>966810.26838000049</v>
      </c>
      <c r="H13" s="90"/>
      <c r="K13" s="55">
        <f>4160+1440+1120+2880+4800+91680+4000</f>
        <v>110080</v>
      </c>
      <c r="L13" s="55">
        <f>K13/21</f>
        <v>5241.9047619047615</v>
      </c>
    </row>
    <row r="15" spans="1:12" ht="21.75" x14ac:dyDescent="0.25">
      <c r="A15" s="324" t="s">
        <v>218</v>
      </c>
      <c r="B15" s="325"/>
      <c r="C15" s="325"/>
      <c r="D15" s="325"/>
      <c r="E15" s="325"/>
      <c r="F15" s="326"/>
      <c r="G15" s="91">
        <f>G13</f>
        <v>966810.26838000049</v>
      </c>
      <c r="H15" s="91">
        <f>G15/AREAS!G5</f>
        <v>25.040297496191105</v>
      </c>
    </row>
    <row r="18" spans="1:12" ht="21.75" x14ac:dyDescent="0.25">
      <c r="A18" s="52" t="s">
        <v>454</v>
      </c>
      <c r="B18" s="52"/>
      <c r="C18" s="52"/>
      <c r="D18" s="53"/>
      <c r="E18" s="53"/>
      <c r="F18" s="54"/>
      <c r="G18" s="53"/>
      <c r="H18" s="53"/>
    </row>
    <row r="19" spans="1:12" ht="21.75" x14ac:dyDescent="0.25">
      <c r="A19" s="56"/>
      <c r="B19" s="56"/>
      <c r="C19" s="56"/>
      <c r="D19" s="57"/>
      <c r="E19" s="57"/>
      <c r="F19" s="58"/>
      <c r="G19" s="59"/>
      <c r="H19" s="59"/>
    </row>
    <row r="20" spans="1:12" ht="42" customHeight="1" x14ac:dyDescent="0.25">
      <c r="A20" s="63" t="s">
        <v>14</v>
      </c>
      <c r="B20" s="319" t="s">
        <v>5</v>
      </c>
      <c r="C20" s="320"/>
      <c r="D20" s="319" t="s">
        <v>18</v>
      </c>
      <c r="E20" s="320"/>
      <c r="F20" s="65" t="s">
        <v>118</v>
      </c>
      <c r="G20" s="71" t="s">
        <v>16</v>
      </c>
      <c r="H20" s="90" t="s">
        <v>298</v>
      </c>
    </row>
    <row r="21" spans="1:12" ht="21.75" x14ac:dyDescent="0.25">
      <c r="A21" s="66" t="s">
        <v>452</v>
      </c>
      <c r="B21" s="62">
        <v>0.8</v>
      </c>
      <c r="C21" s="62" t="s">
        <v>37</v>
      </c>
      <c r="D21" s="67">
        <f>AREAS!H5*TETO!B21-'Rev. Internos Piso e Parede'!B34</f>
        <v>25579.488000000001</v>
      </c>
      <c r="E21" s="67" t="s">
        <v>2</v>
      </c>
      <c r="F21" s="88">
        <v>120</v>
      </c>
      <c r="G21" s="89">
        <f>F21*D21*1.1</f>
        <v>3376492.4160000002</v>
      </c>
      <c r="H21" s="67"/>
    </row>
    <row r="22" spans="1:12" ht="21.75" x14ac:dyDescent="0.25">
      <c r="A22" s="78" t="s">
        <v>197</v>
      </c>
      <c r="B22" s="62">
        <v>1.2</v>
      </c>
      <c r="C22" s="62" t="s">
        <v>319</v>
      </c>
      <c r="D22" s="67">
        <f>D21*B22</f>
        <v>30695.385600000001</v>
      </c>
      <c r="E22" s="67" t="s">
        <v>2</v>
      </c>
      <c r="F22" s="88">
        <v>22</v>
      </c>
      <c r="G22" s="89">
        <f>F22*D22*1.1</f>
        <v>742828.33152000012</v>
      </c>
      <c r="H22" s="67"/>
    </row>
    <row r="23" spans="1:12" ht="21.75" x14ac:dyDescent="0.25">
      <c r="A23" s="78" t="s">
        <v>196</v>
      </c>
      <c r="B23" s="62">
        <v>0.1</v>
      </c>
      <c r="C23" s="62" t="s">
        <v>37</v>
      </c>
      <c r="D23" s="67">
        <f>B23*AREAS!H5</f>
        <v>3420.3985000000002</v>
      </c>
      <c r="E23" s="67" t="s">
        <v>2</v>
      </c>
      <c r="F23" s="88">
        <v>24</v>
      </c>
      <c r="G23" s="89">
        <f>F23*D23*1.1</f>
        <v>90298.520400000023</v>
      </c>
      <c r="H23" s="67"/>
    </row>
    <row r="24" spans="1:12" ht="21.75" x14ac:dyDescent="0.25">
      <c r="A24" s="314" t="s">
        <v>17</v>
      </c>
      <c r="B24" s="314"/>
      <c r="C24" s="314"/>
      <c r="D24" s="314"/>
      <c r="E24" s="314"/>
      <c r="F24" s="314"/>
      <c r="G24" s="90">
        <f>SUM(G21:G23)</f>
        <v>4209619.2679200005</v>
      </c>
      <c r="H24" s="90"/>
      <c r="K24" s="55">
        <f>4160+1440+1120+2880+4800+91680+4000</f>
        <v>110080</v>
      </c>
      <c r="L24" s="55">
        <f>K24/21</f>
        <v>5241.9047619047615</v>
      </c>
    </row>
    <row r="26" spans="1:12" ht="21.75" x14ac:dyDescent="0.25">
      <c r="A26" s="324" t="s">
        <v>218</v>
      </c>
      <c r="B26" s="325"/>
      <c r="C26" s="325"/>
      <c r="D26" s="325"/>
      <c r="E26" s="325"/>
      <c r="F26" s="326"/>
      <c r="G26" s="91">
        <f>G24</f>
        <v>4209619.2679200005</v>
      </c>
      <c r="H26" s="91">
        <f>G26/AREAS!H5</f>
        <v>123.07394205441268</v>
      </c>
    </row>
  </sheetData>
  <mergeCells count="9">
    <mergeCell ref="B20:C20"/>
    <mergeCell ref="D20:E20"/>
    <mergeCell ref="A24:F24"/>
    <mergeCell ref="A26:F26"/>
    <mergeCell ref="A3:H3"/>
    <mergeCell ref="B9:C9"/>
    <mergeCell ref="D9:E9"/>
    <mergeCell ref="A13:F13"/>
    <mergeCell ref="A15:F1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K87"/>
  <sheetViews>
    <sheetView showGridLines="0" topLeftCell="A16" zoomScaleNormal="100" zoomScaleSheetLayoutView="95" workbookViewId="0">
      <selection activeCell="G49" sqref="G49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1"/>
      <c r="H1" s="161"/>
      <c r="I1" s="2"/>
    </row>
    <row r="2" spans="1:11" ht="12.75" customHeight="1" x14ac:dyDescent="0.25">
      <c r="A2" s="341" t="s">
        <v>188</v>
      </c>
      <c r="B2" s="2"/>
      <c r="C2" s="1"/>
      <c r="D2" s="1"/>
      <c r="G2" s="166"/>
      <c r="H2" s="166"/>
      <c r="I2" s="2"/>
    </row>
    <row r="3" spans="1:11" ht="12.75" customHeight="1" x14ac:dyDescent="0.25">
      <c r="A3" s="342"/>
      <c r="B3" s="2"/>
      <c r="C3" s="1"/>
      <c r="D3" s="1"/>
      <c r="G3" s="166"/>
      <c r="H3" s="166"/>
      <c r="I3" s="2"/>
    </row>
    <row r="4" spans="1:11" ht="12.75" customHeight="1" x14ac:dyDescent="0.25">
      <c r="A4" s="342"/>
      <c r="B4" s="2"/>
      <c r="C4" s="1"/>
      <c r="D4" s="1"/>
      <c r="G4" s="166"/>
      <c r="H4" s="166"/>
      <c r="I4" s="2"/>
    </row>
    <row r="5" spans="1:11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25">
      <c r="A6" s="162"/>
      <c r="B6" s="2"/>
      <c r="C6" s="1"/>
      <c r="D6" s="1"/>
      <c r="G6" s="161"/>
      <c r="H6" s="161"/>
      <c r="I6" s="2"/>
    </row>
    <row r="7" spans="1:11" x14ac:dyDescent="0.25">
      <c r="A7" s="160" t="s">
        <v>187</v>
      </c>
      <c r="B7" s="159" t="s">
        <v>186</v>
      </c>
      <c r="C7" s="158"/>
      <c r="D7" s="158"/>
      <c r="E7" s="158"/>
      <c r="F7" s="158"/>
      <c r="G7" s="158"/>
      <c r="H7" s="157"/>
      <c r="I7" s="2"/>
    </row>
    <row r="8" spans="1:11" x14ac:dyDescent="0.25">
      <c r="A8" s="156" t="s">
        <v>0</v>
      </c>
      <c r="B8" s="155" t="s">
        <v>185</v>
      </c>
      <c r="C8" s="154"/>
      <c r="D8" s="154"/>
      <c r="E8" s="154"/>
      <c r="F8" s="154"/>
      <c r="G8" s="154"/>
      <c r="H8" s="153"/>
      <c r="I8" s="2"/>
    </row>
    <row r="9" spans="1:11" ht="15" customHeight="1" x14ac:dyDescent="0.25">
      <c r="A9" s="152" t="s">
        <v>184</v>
      </c>
      <c r="B9" s="151">
        <v>45397</v>
      </c>
      <c r="C9" s="150"/>
      <c r="D9" s="150"/>
      <c r="E9" s="150"/>
      <c r="F9" s="150"/>
      <c r="G9" s="150"/>
      <c r="H9" s="149"/>
    </row>
    <row r="10" spans="1:11" x14ac:dyDescent="0.25">
      <c r="A10" s="148" t="s">
        <v>1</v>
      </c>
      <c r="B10" s="147" t="s">
        <v>183</v>
      </c>
      <c r="C10" s="146"/>
      <c r="D10" s="146"/>
      <c r="E10" s="146"/>
      <c r="F10" s="146"/>
      <c r="G10" s="146"/>
      <c r="H10" s="145"/>
    </row>
    <row r="12" spans="1:11" x14ac:dyDescent="0.25">
      <c r="A12" s="144" t="s">
        <v>455</v>
      </c>
      <c r="B12" s="143"/>
      <c r="C12" s="142"/>
      <c r="D12" s="141"/>
      <c r="E12" s="140"/>
      <c r="F12" s="140"/>
      <c r="G12" s="140"/>
      <c r="H12" s="139"/>
    </row>
    <row r="13" spans="1:11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1" ht="15.95" customHeight="1" x14ac:dyDescent="0.25">
      <c r="A14" s="134" t="s">
        <v>14</v>
      </c>
      <c r="B14" s="348" t="s">
        <v>18</v>
      </c>
      <c r="C14" s="349"/>
      <c r="D14" s="350" t="s">
        <v>5</v>
      </c>
      <c r="E14" s="351"/>
      <c r="F14" s="133" t="s">
        <v>182</v>
      </c>
      <c r="G14" s="132" t="s">
        <v>16</v>
      </c>
      <c r="H14" s="131"/>
      <c r="I14" s="2"/>
    </row>
    <row r="15" spans="1:11" ht="15.95" customHeight="1" x14ac:dyDescent="0.25">
      <c r="A15" s="172" t="s">
        <v>208</v>
      </c>
      <c r="B15" s="180">
        <f>'Rev. Internos Piso e Parede'!B17-B21-B16</f>
        <v>16550.774500000003</v>
      </c>
      <c r="C15" s="170" t="s">
        <v>204</v>
      </c>
      <c r="D15" s="178">
        <v>125</v>
      </c>
      <c r="E15" s="127" t="s">
        <v>170</v>
      </c>
      <c r="F15" s="168" t="s">
        <v>169</v>
      </c>
      <c r="G15" s="125">
        <f>+D15*B15*1.1</f>
        <v>2275731.4937500008</v>
      </c>
      <c r="H15" s="131"/>
      <c r="K15" s="115"/>
    </row>
    <row r="16" spans="1:11" ht="15.95" customHeight="1" x14ac:dyDescent="0.25">
      <c r="A16" s="172" t="s">
        <v>442</v>
      </c>
      <c r="B16" s="180">
        <f>AMBIENTES!L21</f>
        <v>731.62</v>
      </c>
      <c r="C16" s="170" t="s">
        <v>204</v>
      </c>
      <c r="D16" s="178">
        <v>228</v>
      </c>
      <c r="E16" s="127" t="s">
        <v>170</v>
      </c>
      <c r="F16" s="168" t="s">
        <v>169</v>
      </c>
      <c r="G16" s="125">
        <f t="shared" ref="G16:G24" si="0">+D16*B16*1.1</f>
        <v>183490.29600000003</v>
      </c>
      <c r="H16" s="131"/>
      <c r="K16" s="115"/>
    </row>
    <row r="17" spans="1:11" ht="15.95" customHeight="1" x14ac:dyDescent="0.25">
      <c r="A17" s="172" t="s">
        <v>207</v>
      </c>
      <c r="B17" s="180"/>
      <c r="C17" s="170" t="s">
        <v>204</v>
      </c>
      <c r="D17" s="178">
        <v>150</v>
      </c>
      <c r="E17" s="127" t="s">
        <v>170</v>
      </c>
      <c r="F17" s="168" t="s">
        <v>169</v>
      </c>
      <c r="G17" s="125">
        <f t="shared" si="0"/>
        <v>0</v>
      </c>
      <c r="H17" s="131"/>
      <c r="K17" s="115"/>
    </row>
    <row r="18" spans="1:11" ht="15.95" customHeight="1" x14ac:dyDescent="0.25">
      <c r="A18" s="172" t="s">
        <v>341</v>
      </c>
      <c r="B18" s="180"/>
      <c r="C18" s="170" t="s">
        <v>204</v>
      </c>
      <c r="D18" s="178">
        <v>350</v>
      </c>
      <c r="E18" s="127" t="s">
        <v>170</v>
      </c>
      <c r="F18" s="168" t="s">
        <v>169</v>
      </c>
      <c r="G18" s="125">
        <f t="shared" ref="G18" si="1">+D18*B18*1.1</f>
        <v>0</v>
      </c>
      <c r="H18" s="131"/>
      <c r="K18" s="115"/>
    </row>
    <row r="19" spans="1:11" ht="15.95" customHeight="1" x14ac:dyDescent="0.25">
      <c r="A19" s="172" t="s">
        <v>333</v>
      </c>
      <c r="B19" s="180">
        <v>0</v>
      </c>
      <c r="C19" s="170" t="s">
        <v>204</v>
      </c>
      <c r="D19" s="178">
        <v>350</v>
      </c>
      <c r="E19" s="127" t="s">
        <v>170</v>
      </c>
      <c r="F19" s="168" t="s">
        <v>169</v>
      </c>
      <c r="G19" s="125">
        <f t="shared" si="0"/>
        <v>0</v>
      </c>
      <c r="H19" s="131"/>
      <c r="K19" s="115"/>
    </row>
    <row r="20" spans="1:11" ht="15.95" customHeight="1" x14ac:dyDescent="0.25">
      <c r="A20" s="182" t="s">
        <v>206</v>
      </c>
      <c r="B20" s="180"/>
      <c r="C20" s="170" t="s">
        <v>204</v>
      </c>
      <c r="D20" s="178">
        <v>300</v>
      </c>
      <c r="E20" s="127" t="s">
        <v>170</v>
      </c>
      <c r="F20" s="168" t="s">
        <v>169</v>
      </c>
      <c r="G20" s="125">
        <f t="shared" si="0"/>
        <v>0</v>
      </c>
      <c r="H20" s="131"/>
    </row>
    <row r="21" spans="1:11" ht="15.95" customHeight="1" x14ac:dyDescent="0.25">
      <c r="A21" s="182" t="s">
        <v>334</v>
      </c>
      <c r="B21" s="180">
        <f>19.37</f>
        <v>19.37</v>
      </c>
      <c r="C21" s="170" t="s">
        <v>204</v>
      </c>
      <c r="D21" s="178">
        <v>450</v>
      </c>
      <c r="E21" s="127" t="s">
        <v>170</v>
      </c>
      <c r="F21" s="168" t="s">
        <v>169</v>
      </c>
      <c r="G21" s="125">
        <f t="shared" si="0"/>
        <v>9588.1500000000015</v>
      </c>
      <c r="H21" s="131"/>
    </row>
    <row r="22" spans="1:11" ht="15.95" customHeight="1" x14ac:dyDescent="0.25">
      <c r="A22" s="182" t="s">
        <v>457</v>
      </c>
      <c r="B22" s="180">
        <f>195.3</f>
        <v>195.3</v>
      </c>
      <c r="C22" s="170" t="s">
        <v>204</v>
      </c>
      <c r="D22" s="178">
        <v>25</v>
      </c>
      <c r="E22" s="127" t="s">
        <v>170</v>
      </c>
      <c r="F22" s="168" t="s">
        <v>169</v>
      </c>
      <c r="G22" s="125">
        <f t="shared" ref="G22" si="2">+D22*B22*1.1</f>
        <v>5370.75</v>
      </c>
      <c r="H22" s="131"/>
    </row>
    <row r="23" spans="1:11" ht="15.95" customHeight="1" x14ac:dyDescent="0.25">
      <c r="A23" s="172" t="s">
        <v>205</v>
      </c>
      <c r="B23" s="180"/>
      <c r="C23" s="170" t="s">
        <v>204</v>
      </c>
      <c r="D23" s="178">
        <v>60</v>
      </c>
      <c r="E23" s="127" t="s">
        <v>170</v>
      </c>
      <c r="F23" s="168" t="s">
        <v>169</v>
      </c>
      <c r="G23" s="125">
        <f t="shared" si="0"/>
        <v>0</v>
      </c>
      <c r="H23" s="131"/>
    </row>
    <row r="24" spans="1:11" ht="15.95" customHeight="1" x14ac:dyDescent="0.25">
      <c r="A24" s="172" t="s">
        <v>336</v>
      </c>
      <c r="B24" s="180"/>
      <c r="C24" s="170" t="s">
        <v>204</v>
      </c>
      <c r="D24" s="178">
        <v>180</v>
      </c>
      <c r="E24" s="127" t="s">
        <v>170</v>
      </c>
      <c r="F24" s="168" t="s">
        <v>169</v>
      </c>
      <c r="G24" s="125">
        <f t="shared" si="0"/>
        <v>0</v>
      </c>
      <c r="H24" s="131"/>
    </row>
    <row r="25" spans="1:11" ht="15.95" customHeight="1" x14ac:dyDescent="0.25">
      <c r="A25" s="182" t="s">
        <v>203</v>
      </c>
      <c r="B25" s="180">
        <v>1</v>
      </c>
      <c r="C25" s="170" t="s">
        <v>27</v>
      </c>
      <c r="D25" s="178">
        <v>30</v>
      </c>
      <c r="E25" s="127" t="s">
        <v>6</v>
      </c>
      <c r="F25" s="168" t="s">
        <v>169</v>
      </c>
      <c r="G25" s="125">
        <f>D25*AREAS!$G$5*1.1</f>
        <v>1274135.7750000001</v>
      </c>
      <c r="H25" s="131"/>
    </row>
    <row r="26" spans="1:11" ht="15.95" customHeight="1" x14ac:dyDescent="0.25">
      <c r="A26" s="181" t="s">
        <v>202</v>
      </c>
      <c r="B26" s="180">
        <v>1</v>
      </c>
      <c r="C26" s="170" t="s">
        <v>27</v>
      </c>
      <c r="D26" s="178">
        <v>20</v>
      </c>
      <c r="E26" s="127" t="s">
        <v>6</v>
      </c>
      <c r="F26" s="168" t="s">
        <v>169</v>
      </c>
      <c r="G26" s="125">
        <f>D26*AREAS!$G$5*1.1</f>
        <v>849423.85000000009</v>
      </c>
      <c r="H26" s="131"/>
    </row>
    <row r="27" spans="1:11" ht="15.95" customHeight="1" x14ac:dyDescent="0.25">
      <c r="A27" s="179" t="s">
        <v>201</v>
      </c>
      <c r="B27" s="171">
        <v>1</v>
      </c>
      <c r="C27" s="170" t="s">
        <v>27</v>
      </c>
      <c r="D27" s="178">
        <v>35</v>
      </c>
      <c r="E27" s="127" t="s">
        <v>6</v>
      </c>
      <c r="F27" s="168" t="s">
        <v>169</v>
      </c>
      <c r="G27" s="125">
        <f>D27*AREAS!$G$5*1.1</f>
        <v>1486491.7375</v>
      </c>
      <c r="H27" s="123"/>
    </row>
    <row r="28" spans="1:11" ht="15.95" customHeight="1" x14ac:dyDescent="0.25">
      <c r="A28" s="354">
        <f>20*40</f>
        <v>800</v>
      </c>
      <c r="B28" s="343"/>
      <c r="C28" s="343"/>
      <c r="D28" s="343"/>
      <c r="E28" s="343"/>
      <c r="F28" s="343"/>
      <c r="G28" s="177">
        <f>SUM(G15:G27)</f>
        <v>6084232.0522500006</v>
      </c>
      <c r="H28" s="121"/>
    </row>
    <row r="29" spans="1:11" ht="15.95" customHeight="1" x14ac:dyDescent="0.25">
      <c r="A29" s="352"/>
      <c r="B29" s="353"/>
      <c r="C29" s="353"/>
      <c r="D29" s="353"/>
      <c r="E29" s="353"/>
      <c r="F29" s="353"/>
      <c r="G29" s="167"/>
      <c r="H29" s="118"/>
    </row>
    <row r="30" spans="1:11" ht="15.95" customHeight="1" x14ac:dyDescent="0.25">
      <c r="A30" s="120"/>
      <c r="B30" s="119"/>
      <c r="C30" s="119"/>
      <c r="D30" s="119"/>
      <c r="E30" s="119"/>
      <c r="F30" s="119"/>
      <c r="G30" s="167"/>
      <c r="H30" s="118"/>
    </row>
    <row r="31" spans="1:11" x14ac:dyDescent="0.25">
      <c r="A31" s="343" t="s">
        <v>200</v>
      </c>
      <c r="B31" s="343"/>
      <c r="C31" s="343"/>
      <c r="D31" s="343"/>
      <c r="E31" s="343"/>
      <c r="F31" s="343"/>
      <c r="G31" s="117">
        <f>G28</f>
        <v>6084232.0522500006</v>
      </c>
      <c r="H31" s="116">
        <f>G31/AREAS!$G$5</f>
        <v>157.58105349820352</v>
      </c>
    </row>
    <row r="33" spans="1:11" ht="15" x14ac:dyDescent="0.25">
      <c r="B33"/>
      <c r="C33"/>
      <c r="D33"/>
      <c r="E33"/>
      <c r="F33"/>
      <c r="G33"/>
      <c r="H33" s="176">
        <f>H31/1.1</f>
        <v>143.255503180185</v>
      </c>
    </row>
    <row r="34" spans="1:11" x14ac:dyDescent="0.25">
      <c r="A34" s="144" t="s">
        <v>456</v>
      </c>
      <c r="B34" s="143"/>
      <c r="C34" s="142"/>
      <c r="D34" s="141"/>
      <c r="E34" s="140"/>
      <c r="F34" s="140"/>
      <c r="G34" s="140"/>
      <c r="H34" s="139"/>
    </row>
    <row r="35" spans="1:11" x14ac:dyDescent="0.25">
      <c r="A35" s="138"/>
      <c r="B35" s="137"/>
      <c r="C35" s="136"/>
      <c r="D35" s="135"/>
      <c r="E35" s="135"/>
      <c r="F35" s="135"/>
      <c r="H35" s="131"/>
    </row>
    <row r="36" spans="1:11" x14ac:dyDescent="0.25">
      <c r="A36" s="134" t="s">
        <v>14</v>
      </c>
      <c r="B36" s="348" t="s">
        <v>18</v>
      </c>
      <c r="C36" s="349"/>
      <c r="D36" s="350" t="s">
        <v>5</v>
      </c>
      <c r="E36" s="351"/>
      <c r="F36" s="133" t="s">
        <v>182</v>
      </c>
      <c r="G36" s="132" t="s">
        <v>16</v>
      </c>
      <c r="H36" s="131"/>
      <c r="K36" s="115"/>
    </row>
    <row r="37" spans="1:11" x14ac:dyDescent="0.25">
      <c r="A37" s="172" t="s">
        <v>208</v>
      </c>
      <c r="B37" s="180">
        <f>'Rev. Internos Piso e Parede'!B36-'Acabamentos de Piso e Parede'!B43</f>
        <v>28940.6165</v>
      </c>
      <c r="C37" s="170" t="s">
        <v>204</v>
      </c>
      <c r="D37" s="178">
        <v>125</v>
      </c>
      <c r="E37" s="127" t="s">
        <v>170</v>
      </c>
      <c r="F37" s="168" t="s">
        <v>169</v>
      </c>
      <c r="G37" s="125">
        <f>+D37*B37*1.1</f>
        <v>3979334.7687500003</v>
      </c>
      <c r="H37" s="131"/>
    </row>
    <row r="38" spans="1:11" x14ac:dyDescent="0.25">
      <c r="A38" s="172" t="s">
        <v>332</v>
      </c>
      <c r="B38" s="180"/>
      <c r="C38" s="170" t="s">
        <v>204</v>
      </c>
      <c r="D38" s="178">
        <v>98</v>
      </c>
      <c r="E38" s="127" t="s">
        <v>170</v>
      </c>
      <c r="F38" s="168" t="s">
        <v>169</v>
      </c>
      <c r="G38" s="125">
        <f t="shared" ref="G38:G46" si="3">+D38*B38*1.1</f>
        <v>0</v>
      </c>
      <c r="H38" s="131"/>
    </row>
    <row r="39" spans="1:11" x14ac:dyDescent="0.25">
      <c r="A39" s="172" t="s">
        <v>207</v>
      </c>
      <c r="B39" s="180"/>
      <c r="C39" s="170" t="s">
        <v>204</v>
      </c>
      <c r="D39" s="178">
        <v>150</v>
      </c>
      <c r="E39" s="127" t="s">
        <v>170</v>
      </c>
      <c r="F39" s="168" t="s">
        <v>169</v>
      </c>
      <c r="G39" s="125">
        <f t="shared" si="3"/>
        <v>0</v>
      </c>
      <c r="H39" s="131"/>
    </row>
    <row r="40" spans="1:11" x14ac:dyDescent="0.25">
      <c r="A40" s="172" t="s">
        <v>341</v>
      </c>
      <c r="B40" s="180"/>
      <c r="C40" s="170" t="s">
        <v>204</v>
      </c>
      <c r="D40" s="178">
        <v>350</v>
      </c>
      <c r="E40" s="127" t="s">
        <v>170</v>
      </c>
      <c r="F40" s="168" t="s">
        <v>169</v>
      </c>
      <c r="G40" s="125">
        <f t="shared" si="3"/>
        <v>0</v>
      </c>
      <c r="H40" s="131"/>
    </row>
    <row r="41" spans="1:11" x14ac:dyDescent="0.25">
      <c r="A41" s="172" t="s">
        <v>333</v>
      </c>
      <c r="B41" s="180">
        <v>0</v>
      </c>
      <c r="C41" s="170" t="s">
        <v>204</v>
      </c>
      <c r="D41" s="178">
        <v>350</v>
      </c>
      <c r="E41" s="127" t="s">
        <v>170</v>
      </c>
      <c r="F41" s="168" t="s">
        <v>169</v>
      </c>
      <c r="G41" s="125">
        <f t="shared" si="3"/>
        <v>0</v>
      </c>
      <c r="H41" s="131"/>
    </row>
    <row r="42" spans="1:11" x14ac:dyDescent="0.25">
      <c r="A42" s="182" t="s">
        <v>206</v>
      </c>
      <c r="B42" s="180"/>
      <c r="C42" s="170" t="s">
        <v>204</v>
      </c>
      <c r="D42" s="178">
        <v>300</v>
      </c>
      <c r="E42" s="127" t="s">
        <v>170</v>
      </c>
      <c r="F42" s="168" t="s">
        <v>169</v>
      </c>
      <c r="G42" s="125">
        <f t="shared" si="3"/>
        <v>0</v>
      </c>
      <c r="H42" s="131"/>
    </row>
    <row r="43" spans="1:11" x14ac:dyDescent="0.25">
      <c r="A43" s="182" t="s">
        <v>334</v>
      </c>
      <c r="B43" s="180">
        <f>59.27</f>
        <v>59.27</v>
      </c>
      <c r="C43" s="170" t="s">
        <v>204</v>
      </c>
      <c r="D43" s="178">
        <v>450</v>
      </c>
      <c r="E43" s="127" t="s">
        <v>170</v>
      </c>
      <c r="F43" s="168" t="s">
        <v>169</v>
      </c>
      <c r="G43" s="125">
        <f t="shared" si="3"/>
        <v>29338.65</v>
      </c>
      <c r="H43" s="131"/>
    </row>
    <row r="44" spans="1:11" ht="15.95" customHeight="1" x14ac:dyDescent="0.25">
      <c r="A44" s="182" t="s">
        <v>457</v>
      </c>
      <c r="B44" s="180">
        <f>110.67</f>
        <v>110.67</v>
      </c>
      <c r="C44" s="170" t="s">
        <v>204</v>
      </c>
      <c r="D44" s="178">
        <v>25</v>
      </c>
      <c r="E44" s="127" t="s">
        <v>170</v>
      </c>
      <c r="F44" s="168" t="s">
        <v>169</v>
      </c>
      <c r="G44" s="125">
        <f t="shared" si="3"/>
        <v>3043.4250000000002</v>
      </c>
      <c r="H44" s="131"/>
    </row>
    <row r="45" spans="1:11" x14ac:dyDescent="0.25">
      <c r="A45" s="172" t="s">
        <v>205</v>
      </c>
      <c r="B45" s="180"/>
      <c r="C45" s="170" t="s">
        <v>204</v>
      </c>
      <c r="D45" s="178">
        <v>60</v>
      </c>
      <c r="E45" s="127" t="s">
        <v>170</v>
      </c>
      <c r="F45" s="168" t="s">
        <v>169</v>
      </c>
      <c r="G45" s="125">
        <f t="shared" si="3"/>
        <v>0</v>
      </c>
      <c r="H45" s="131"/>
    </row>
    <row r="46" spans="1:11" x14ac:dyDescent="0.25">
      <c r="A46" s="172" t="s">
        <v>336</v>
      </c>
      <c r="B46" s="180"/>
      <c r="C46" s="170" t="s">
        <v>204</v>
      </c>
      <c r="D46" s="178">
        <v>180</v>
      </c>
      <c r="E46" s="127" t="s">
        <v>170</v>
      </c>
      <c r="F46" s="168" t="s">
        <v>169</v>
      </c>
      <c r="G46" s="125">
        <f t="shared" si="3"/>
        <v>0</v>
      </c>
      <c r="H46" s="131"/>
    </row>
    <row r="47" spans="1:11" x14ac:dyDescent="0.25">
      <c r="A47" s="182" t="s">
        <v>203</v>
      </c>
      <c r="B47" s="180">
        <v>1</v>
      </c>
      <c r="C47" s="170" t="s">
        <v>27</v>
      </c>
      <c r="D47" s="178">
        <v>30</v>
      </c>
      <c r="E47" s="127" t="s">
        <v>6</v>
      </c>
      <c r="F47" s="168" t="s">
        <v>169</v>
      </c>
      <c r="G47" s="125">
        <f>D47*AREAS!$H$5*1.1</f>
        <v>1128731.5050000001</v>
      </c>
      <c r="H47" s="131"/>
    </row>
    <row r="48" spans="1:11" x14ac:dyDescent="0.25">
      <c r="A48" s="181" t="s">
        <v>202</v>
      </c>
      <c r="B48" s="180">
        <v>1</v>
      </c>
      <c r="C48" s="170" t="s">
        <v>27</v>
      </c>
      <c r="D48" s="178">
        <v>20</v>
      </c>
      <c r="E48" s="127" t="s">
        <v>6</v>
      </c>
      <c r="F48" s="168" t="s">
        <v>169</v>
      </c>
      <c r="G48" s="125">
        <f>D48*AREAS!$H$5*1.1</f>
        <v>752487.67</v>
      </c>
      <c r="H48" s="131"/>
    </row>
    <row r="49" spans="1:8" x14ac:dyDescent="0.25">
      <c r="A49" s="179" t="s">
        <v>201</v>
      </c>
      <c r="B49" s="171">
        <v>1</v>
      </c>
      <c r="C49" s="170" t="s">
        <v>27</v>
      </c>
      <c r="D49" s="178">
        <v>65</v>
      </c>
      <c r="E49" s="127" t="s">
        <v>6</v>
      </c>
      <c r="F49" s="168" t="s">
        <v>169</v>
      </c>
      <c r="G49" s="125">
        <f>D49*AREAS!$H$5*1.1</f>
        <v>2445584.9275000002</v>
      </c>
      <c r="H49" s="123"/>
    </row>
    <row r="50" spans="1:8" x14ac:dyDescent="0.25">
      <c r="A50" s="354">
        <f>20*40</f>
        <v>800</v>
      </c>
      <c r="B50" s="343"/>
      <c r="C50" s="343"/>
      <c r="D50" s="343"/>
      <c r="E50" s="343"/>
      <c r="F50" s="343"/>
      <c r="G50" s="177">
        <f>SUM(G37:G49)</f>
        <v>8338520.94625</v>
      </c>
      <c r="H50" s="121"/>
    </row>
    <row r="51" spans="1:8" x14ac:dyDescent="0.25">
      <c r="A51" s="352"/>
      <c r="B51" s="353"/>
      <c r="C51" s="353"/>
      <c r="D51" s="353"/>
      <c r="E51" s="353"/>
      <c r="F51" s="353"/>
      <c r="G51" s="167"/>
      <c r="H51" s="118"/>
    </row>
    <row r="52" spans="1:8" x14ac:dyDescent="0.25">
      <c r="A52" s="120"/>
      <c r="B52" s="119"/>
      <c r="C52" s="119"/>
      <c r="D52" s="119"/>
      <c r="E52" s="119"/>
      <c r="F52" s="119"/>
      <c r="G52" s="167"/>
      <c r="H52" s="118"/>
    </row>
    <row r="53" spans="1:8" x14ac:dyDescent="0.25">
      <c r="A53" s="343" t="s">
        <v>200</v>
      </c>
      <c r="B53" s="343"/>
      <c r="C53" s="343"/>
      <c r="D53" s="343"/>
      <c r="E53" s="343"/>
      <c r="F53" s="343"/>
      <c r="G53" s="117">
        <f>G50</f>
        <v>8338520.94625</v>
      </c>
      <c r="H53" s="116">
        <f>G53/AREAS!$H$5</f>
        <v>243.78799564582897</v>
      </c>
    </row>
    <row r="55" spans="1:8" ht="15" x14ac:dyDescent="0.25">
      <c r="B55"/>
      <c r="C55"/>
      <c r="D55"/>
      <c r="E55"/>
      <c r="F55"/>
      <c r="G55"/>
      <c r="H55" s="176">
        <f>H53/1.1</f>
        <v>221.62545058711723</v>
      </c>
    </row>
    <row r="56" spans="1:8" ht="15" x14ac:dyDescent="0.25">
      <c r="C56"/>
      <c r="D56"/>
      <c r="E56"/>
      <c r="F56"/>
      <c r="G56"/>
      <c r="H56"/>
    </row>
    <row r="57" spans="1:8" ht="15" x14ac:dyDescent="0.25">
      <c r="C57"/>
      <c r="D57"/>
      <c r="E57"/>
      <c r="F57"/>
      <c r="G57"/>
      <c r="H57"/>
    </row>
    <row r="58" spans="1:8" ht="15" x14ac:dyDescent="0.25">
      <c r="C58"/>
      <c r="D58"/>
      <c r="E58"/>
      <c r="F58"/>
      <c r="G58"/>
      <c r="H58"/>
    </row>
    <row r="59" spans="1:8" ht="15" x14ac:dyDescent="0.25">
      <c r="B59"/>
      <c r="C59"/>
      <c r="D59"/>
      <c r="E59"/>
      <c r="F59"/>
      <c r="G59"/>
      <c r="H59"/>
    </row>
    <row r="60" spans="1:8" ht="15" x14ac:dyDescent="0.25">
      <c r="C60"/>
      <c r="D60"/>
      <c r="E60"/>
      <c r="F60"/>
      <c r="G60"/>
      <c r="H60"/>
    </row>
    <row r="61" spans="1:8" ht="15" x14ac:dyDescent="0.25">
      <c r="C61"/>
      <c r="D61"/>
      <c r="E61"/>
      <c r="F61"/>
      <c r="G61"/>
      <c r="H61"/>
    </row>
    <row r="62" spans="1:8" ht="15" x14ac:dyDescent="0.25">
      <c r="C62"/>
      <c r="D62"/>
      <c r="E62"/>
      <c r="F62"/>
      <c r="G62"/>
      <c r="H62"/>
    </row>
    <row r="63" spans="1:8" ht="15" x14ac:dyDescent="0.25">
      <c r="C63"/>
      <c r="D63"/>
      <c r="E63"/>
      <c r="F63"/>
      <c r="G63"/>
      <c r="H63"/>
    </row>
    <row r="64" spans="1:8" ht="15" x14ac:dyDescent="0.25">
      <c r="C64"/>
      <c r="D64"/>
      <c r="E64"/>
      <c r="F64"/>
      <c r="G64"/>
      <c r="H64"/>
    </row>
    <row r="65" spans="2:8" ht="15" x14ac:dyDescent="0.25">
      <c r="B65"/>
      <c r="C65"/>
      <c r="D65"/>
      <c r="E65"/>
      <c r="F65"/>
      <c r="G65"/>
      <c r="H65"/>
    </row>
    <row r="66" spans="2:8" ht="15" x14ac:dyDescent="0.25"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B70"/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B72"/>
      <c r="C72"/>
      <c r="D72"/>
      <c r="E72"/>
      <c r="F72"/>
      <c r="G72"/>
      <c r="H72"/>
    </row>
    <row r="73" spans="2:8" ht="15" x14ac:dyDescent="0.25"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C76"/>
      <c r="D76"/>
      <c r="E76"/>
      <c r="F76"/>
      <c r="G76"/>
      <c r="H76"/>
    </row>
    <row r="77" spans="2:8" ht="15" x14ac:dyDescent="0.25">
      <c r="B77"/>
      <c r="C77"/>
      <c r="D77"/>
      <c r="E77"/>
      <c r="F77"/>
      <c r="G77"/>
      <c r="H77"/>
    </row>
    <row r="78" spans="2:8" ht="15" x14ac:dyDescent="0.25"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C80"/>
      <c r="D80"/>
      <c r="E80"/>
      <c r="F80"/>
      <c r="G80"/>
      <c r="H80"/>
    </row>
    <row r="81" spans="2:8" ht="15" x14ac:dyDescent="0.25">
      <c r="C81"/>
      <c r="D81"/>
      <c r="E81"/>
      <c r="F81"/>
      <c r="G81"/>
      <c r="H81"/>
    </row>
    <row r="82" spans="2:8" ht="15" x14ac:dyDescent="0.25">
      <c r="B82"/>
      <c r="C82"/>
      <c r="D82"/>
      <c r="E82"/>
      <c r="F82"/>
      <c r="G82"/>
      <c r="H82"/>
    </row>
    <row r="83" spans="2:8" ht="15" x14ac:dyDescent="0.25">
      <c r="C83"/>
      <c r="D83"/>
      <c r="E83"/>
      <c r="F83"/>
      <c r="G83"/>
      <c r="H83"/>
    </row>
    <row r="84" spans="2:8" ht="15" x14ac:dyDescent="0.25">
      <c r="C84"/>
      <c r="D84"/>
      <c r="E84"/>
      <c r="F84"/>
      <c r="G84"/>
      <c r="H84"/>
    </row>
    <row r="85" spans="2:8" ht="15" x14ac:dyDescent="0.25">
      <c r="C85"/>
      <c r="D85"/>
      <c r="E85"/>
      <c r="F85"/>
      <c r="G85"/>
      <c r="H85"/>
    </row>
    <row r="86" spans="2:8" ht="15" x14ac:dyDescent="0.25">
      <c r="C86"/>
      <c r="D86"/>
      <c r="E86"/>
      <c r="F86"/>
      <c r="G86"/>
      <c r="H86"/>
    </row>
    <row r="87" spans="2:8" ht="15" x14ac:dyDescent="0.25">
      <c r="C87"/>
      <c r="D87"/>
      <c r="E87"/>
      <c r="F87"/>
      <c r="G87"/>
      <c r="H87"/>
    </row>
  </sheetData>
  <mergeCells count="11">
    <mergeCell ref="B36:C36"/>
    <mergeCell ref="D36:E36"/>
    <mergeCell ref="A50:F50"/>
    <mergeCell ref="A51:F51"/>
    <mergeCell ref="A53:F53"/>
    <mergeCell ref="A31:F31"/>
    <mergeCell ref="A29:F29"/>
    <mergeCell ref="A28:F28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27"/>
  <sheetViews>
    <sheetView showGridLines="0" topLeftCell="A8" zoomScale="80" zoomScaleNormal="80" zoomScaleSheetLayoutView="95" workbookViewId="0">
      <selection activeCell="G10" sqref="G10:G12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15" t="s">
        <v>320</v>
      </c>
      <c r="B3" s="323"/>
      <c r="C3" s="323"/>
      <c r="D3" s="316"/>
      <c r="E3" s="316"/>
      <c r="F3" s="316"/>
      <c r="G3" s="316"/>
      <c r="H3" s="317"/>
      <c r="J3" s="79"/>
    </row>
    <row r="4" spans="1:12" ht="19.5" x14ac:dyDescent="0.25">
      <c r="A4" s="187" t="s">
        <v>184</v>
      </c>
      <c r="B4" s="193">
        <v>45457</v>
      </c>
      <c r="C4" s="191"/>
      <c r="D4" s="191"/>
      <c r="E4" s="191"/>
      <c r="F4" s="191"/>
      <c r="G4" s="191"/>
      <c r="H4" s="192"/>
      <c r="J4" s="79"/>
    </row>
    <row r="5" spans="1:12" ht="19.5" x14ac:dyDescent="0.25">
      <c r="A5" s="187" t="s">
        <v>295</v>
      </c>
      <c r="B5" s="194" t="s">
        <v>213</v>
      </c>
      <c r="C5" s="189"/>
      <c r="D5" s="189"/>
      <c r="E5" s="189"/>
      <c r="F5" s="189"/>
      <c r="G5" s="189"/>
      <c r="H5" s="190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458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19" t="s">
        <v>5</v>
      </c>
      <c r="C9" s="320"/>
      <c r="D9" s="319" t="s">
        <v>18</v>
      </c>
      <c r="E9" s="320"/>
      <c r="F9" s="65" t="s">
        <v>118</v>
      </c>
      <c r="G9" s="71" t="s">
        <v>16</v>
      </c>
      <c r="H9" s="90" t="s">
        <v>298</v>
      </c>
    </row>
    <row r="10" spans="1:12" ht="21.75" x14ac:dyDescent="0.25">
      <c r="A10" s="66" t="s">
        <v>211</v>
      </c>
      <c r="B10" s="62">
        <v>25</v>
      </c>
      <c r="C10" s="62" t="s">
        <v>170</v>
      </c>
      <c r="D10" s="67">
        <f>'Rev. Internos Piso e Parede'!B15+'Rev. Internos Piso e Parede'!B16</f>
        <v>17447.393</v>
      </c>
      <c r="E10" s="67" t="s">
        <v>2</v>
      </c>
      <c r="F10" s="88">
        <v>110</v>
      </c>
      <c r="G10" s="89">
        <f>F10*D10*1.1</f>
        <v>2111134.5530000003</v>
      </c>
      <c r="H10" s="67"/>
    </row>
    <row r="11" spans="1:12" ht="21.75" x14ac:dyDescent="0.25">
      <c r="A11" s="78" t="s">
        <v>210</v>
      </c>
      <c r="B11" s="62">
        <v>20</v>
      </c>
      <c r="C11" s="62" t="s">
        <v>6</v>
      </c>
      <c r="D11" s="67">
        <v>1</v>
      </c>
      <c r="E11" s="67" t="s">
        <v>27</v>
      </c>
      <c r="F11" s="88">
        <f>B11*AREAS!$G$5</f>
        <v>772203.5</v>
      </c>
      <c r="G11" s="89">
        <f>F11*D11*1.1</f>
        <v>849423.85000000009</v>
      </c>
      <c r="H11" s="67">
        <f>ALVENARIA!H14*28</f>
        <v>432433.96</v>
      </c>
    </row>
    <row r="12" spans="1:12" ht="21.75" x14ac:dyDescent="0.25">
      <c r="A12" s="66" t="s">
        <v>209</v>
      </c>
      <c r="B12" s="62">
        <v>50</v>
      </c>
      <c r="C12" s="62" t="s">
        <v>6</v>
      </c>
      <c r="D12" s="67">
        <v>1</v>
      </c>
      <c r="E12" s="67" t="s">
        <v>27</v>
      </c>
      <c r="F12" s="88">
        <f>B12*AREAS!$G$5</f>
        <v>1930508.7500000002</v>
      </c>
      <c r="G12" s="89">
        <f>F12*D12*1.05*1.1</f>
        <v>2229737.6062500007</v>
      </c>
      <c r="H12" s="67">
        <f>'Rev. Internos Piso e Parede'!B20*43</f>
        <v>2058694.5310000002</v>
      </c>
    </row>
    <row r="13" spans="1:12" ht="21.75" x14ac:dyDescent="0.25">
      <c r="A13" s="314" t="s">
        <v>17</v>
      </c>
      <c r="B13" s="314"/>
      <c r="C13" s="314"/>
      <c r="D13" s="314"/>
      <c r="E13" s="314"/>
      <c r="F13" s="314"/>
      <c r="G13" s="90">
        <f>SUM(G10:G12)</f>
        <v>5190296.0092500011</v>
      </c>
      <c r="H13" s="90"/>
      <c r="K13" s="55">
        <f>4160+1440+1120+2880+4800+91680+4000</f>
        <v>110080</v>
      </c>
      <c r="L13" s="55">
        <f>K13/21</f>
        <v>5241.9047619047615</v>
      </c>
    </row>
    <row r="15" spans="1:12" ht="21.75" x14ac:dyDescent="0.25">
      <c r="A15" s="324" t="s">
        <v>218</v>
      </c>
      <c r="B15" s="325"/>
      <c r="C15" s="325"/>
      <c r="D15" s="325"/>
      <c r="E15" s="325"/>
      <c r="F15" s="326"/>
      <c r="G15" s="91">
        <f>G13</f>
        <v>5190296.0092500011</v>
      </c>
      <c r="H15" s="91">
        <f>G15/AREAS!$G$5</f>
        <v>134.42819177198757</v>
      </c>
    </row>
    <row r="17" spans="1:8" x14ac:dyDescent="0.25">
      <c r="H17" s="196">
        <f>H15/1.1</f>
        <v>122.20744706544323</v>
      </c>
    </row>
    <row r="19" spans="1:8" ht="21.75" x14ac:dyDescent="0.25">
      <c r="A19" s="52" t="s">
        <v>459</v>
      </c>
      <c r="B19" s="52"/>
      <c r="C19" s="52"/>
      <c r="D19" s="53"/>
      <c r="E19" s="53"/>
      <c r="F19" s="54"/>
      <c r="G19" s="53"/>
      <c r="H19" s="53"/>
    </row>
    <row r="20" spans="1:8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8" ht="21.75" x14ac:dyDescent="0.25">
      <c r="A21" s="63" t="s">
        <v>14</v>
      </c>
      <c r="B21" s="319" t="s">
        <v>5</v>
      </c>
      <c r="C21" s="320"/>
      <c r="D21" s="319" t="s">
        <v>18</v>
      </c>
      <c r="E21" s="320"/>
      <c r="F21" s="65" t="s">
        <v>118</v>
      </c>
      <c r="G21" s="71" t="s">
        <v>16</v>
      </c>
      <c r="H21" s="90" t="s">
        <v>298</v>
      </c>
    </row>
    <row r="22" spans="1:8" ht="21.75" x14ac:dyDescent="0.25">
      <c r="A22" s="66" t="s">
        <v>211</v>
      </c>
      <c r="B22" s="62">
        <v>25</v>
      </c>
      <c r="C22" s="62" t="s">
        <v>170</v>
      </c>
      <c r="D22" s="67">
        <f>'Rev. Internos Piso e Parede'!B34</f>
        <v>1783.7</v>
      </c>
      <c r="E22" s="67" t="s">
        <v>2</v>
      </c>
      <c r="F22" s="88">
        <v>110</v>
      </c>
      <c r="G22" s="89">
        <f>F22*D22*1.1</f>
        <v>215827.7</v>
      </c>
      <c r="H22" s="67"/>
    </row>
    <row r="23" spans="1:8" ht="21.75" x14ac:dyDescent="0.25">
      <c r="A23" s="78" t="s">
        <v>210</v>
      </c>
      <c r="B23" s="62">
        <v>20</v>
      </c>
      <c r="C23" s="62" t="s">
        <v>6</v>
      </c>
      <c r="D23" s="67">
        <v>1</v>
      </c>
      <c r="E23" s="67" t="s">
        <v>27</v>
      </c>
      <c r="F23" s="88">
        <f>B23*AREAS!$H$5</f>
        <v>684079.7</v>
      </c>
      <c r="G23" s="89">
        <f>F23*D23*1.1</f>
        <v>752487.67</v>
      </c>
      <c r="H23" s="67"/>
    </row>
    <row r="24" spans="1:8" ht="21.75" x14ac:dyDescent="0.25">
      <c r="A24" s="66" t="s">
        <v>209</v>
      </c>
      <c r="B24" s="62">
        <v>70</v>
      </c>
      <c r="C24" s="62" t="s">
        <v>6</v>
      </c>
      <c r="D24" s="67">
        <v>1</v>
      </c>
      <c r="E24" s="67" t="s">
        <v>27</v>
      </c>
      <c r="F24" s="88">
        <f>B24*AREAS!$H$5</f>
        <v>2394278.9500000002</v>
      </c>
      <c r="G24" s="89">
        <f>F24*D24*1.05*1.1</f>
        <v>2765392.1872500009</v>
      </c>
      <c r="H24" s="67">
        <f>'Rev. Internos Piso e Parede'!B40*43</f>
        <v>1823756.4802000001</v>
      </c>
    </row>
    <row r="25" spans="1:8" ht="21.75" x14ac:dyDescent="0.25">
      <c r="A25" s="314" t="s">
        <v>17</v>
      </c>
      <c r="B25" s="314"/>
      <c r="C25" s="314"/>
      <c r="D25" s="314"/>
      <c r="E25" s="314"/>
      <c r="F25" s="314"/>
      <c r="G25" s="90">
        <f>SUM(G22:G24)</f>
        <v>3733707.557250001</v>
      </c>
      <c r="H25" s="90"/>
    </row>
    <row r="27" spans="1:8" ht="21.75" x14ac:dyDescent="0.25">
      <c r="A27" s="324" t="s">
        <v>218</v>
      </c>
      <c r="B27" s="325"/>
      <c r="C27" s="325"/>
      <c r="D27" s="325"/>
      <c r="E27" s="325"/>
      <c r="F27" s="326"/>
      <c r="G27" s="91">
        <f>G25</f>
        <v>3733707.557250001</v>
      </c>
      <c r="H27" s="91">
        <f>G27/AREAS!$H$5</f>
        <v>109.1600162159468</v>
      </c>
    </row>
  </sheetData>
  <mergeCells count="9">
    <mergeCell ref="B21:C21"/>
    <mergeCell ref="D21:E21"/>
    <mergeCell ref="A25:F25"/>
    <mergeCell ref="A27:F27"/>
    <mergeCell ref="A3:H3"/>
    <mergeCell ref="B9:C9"/>
    <mergeCell ref="D9:E9"/>
    <mergeCell ref="A13:F13"/>
    <mergeCell ref="A15:F1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FFC000"/>
  </sheetPr>
  <dimension ref="A1:L41"/>
  <sheetViews>
    <sheetView showGridLines="0" tabSelected="1" topLeftCell="A7" zoomScale="70" zoomScaleNormal="70" zoomScaleSheetLayoutView="95" workbookViewId="0">
      <selection activeCell="G13" sqref="G1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15" t="s">
        <v>235</v>
      </c>
      <c r="B3" s="323"/>
      <c r="C3" s="323"/>
      <c r="D3" s="316"/>
      <c r="E3" s="316"/>
      <c r="F3" s="316"/>
      <c r="G3" s="316"/>
      <c r="H3" s="317"/>
      <c r="J3" s="79"/>
    </row>
    <row r="4" spans="1:10" ht="19.5" x14ac:dyDescent="0.25">
      <c r="A4" s="187" t="s">
        <v>184</v>
      </c>
      <c r="B4" s="193">
        <v>45460</v>
      </c>
      <c r="C4" s="191"/>
      <c r="D4" s="191"/>
      <c r="E4" s="191"/>
      <c r="F4" s="191"/>
      <c r="G4" s="191"/>
      <c r="H4" s="192"/>
      <c r="J4" s="79"/>
    </row>
    <row r="5" spans="1:10" ht="19.5" x14ac:dyDescent="0.25">
      <c r="A5" s="187" t="s">
        <v>295</v>
      </c>
      <c r="B5" s="194" t="s">
        <v>213</v>
      </c>
      <c r="C5" s="189"/>
      <c r="D5" s="189"/>
      <c r="E5" s="189"/>
      <c r="F5" s="189"/>
      <c r="G5" s="189"/>
      <c r="H5" s="190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460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19" t="s">
        <v>5</v>
      </c>
      <c r="C9" s="320"/>
      <c r="D9" s="319" t="s">
        <v>18</v>
      </c>
      <c r="E9" s="320"/>
      <c r="F9" s="65" t="s">
        <v>118</v>
      </c>
      <c r="G9" s="71" t="s">
        <v>16</v>
      </c>
      <c r="H9" s="90" t="s">
        <v>298</v>
      </c>
    </row>
    <row r="10" spans="1:10" ht="21.75" x14ac:dyDescent="0.25">
      <c r="A10" s="66" t="s">
        <v>234</v>
      </c>
      <c r="B10" s="62">
        <v>0.12</v>
      </c>
      <c r="C10" s="62" t="s">
        <v>322</v>
      </c>
      <c r="D10" s="198">
        <f>B10*AREAS!G5</f>
        <v>4633.2210000000005</v>
      </c>
      <c r="E10" s="67" t="s">
        <v>2</v>
      </c>
      <c r="F10" s="88">
        <v>1100</v>
      </c>
      <c r="G10" s="89">
        <f>F10*D10*1.1</f>
        <v>5606197.4100000011</v>
      </c>
      <c r="H10" s="67">
        <f>G10/DADOS_INICIAIS!F9</f>
        <v>75.932612382674989</v>
      </c>
    </row>
    <row r="11" spans="1:10" ht="21.75" x14ac:dyDescent="0.25">
      <c r="A11" s="199" t="s">
        <v>462</v>
      </c>
      <c r="B11" s="62"/>
      <c r="C11" s="62"/>
      <c r="D11" s="198">
        <f>98.3+204.7*2</f>
        <v>507.7</v>
      </c>
      <c r="E11" s="67" t="s">
        <v>2</v>
      </c>
      <c r="F11" s="88">
        <v>1000</v>
      </c>
      <c r="G11" s="89">
        <f>F11*D11*1.1</f>
        <v>558470</v>
      </c>
      <c r="H11" s="67"/>
    </row>
    <row r="12" spans="1:10" ht="21.75" x14ac:dyDescent="0.25">
      <c r="A12" s="78" t="s">
        <v>229</v>
      </c>
      <c r="B12" s="62"/>
      <c r="C12" s="62"/>
      <c r="D12" s="67">
        <v>2</v>
      </c>
      <c r="E12" s="67" t="s">
        <v>3</v>
      </c>
      <c r="F12" s="88">
        <v>18000</v>
      </c>
      <c r="G12" s="89">
        <f>F12*D12*1.1</f>
        <v>39600</v>
      </c>
      <c r="H12" s="67"/>
    </row>
    <row r="13" spans="1:10" ht="21.75" x14ac:dyDescent="0.25">
      <c r="A13" s="78" t="s">
        <v>231</v>
      </c>
      <c r="B13" s="62"/>
      <c r="C13" s="62"/>
      <c r="D13" s="67">
        <f>88.98*3+66.65*20+20.25*2</f>
        <v>1640.44</v>
      </c>
      <c r="E13" s="67" t="s">
        <v>4</v>
      </c>
      <c r="F13" s="88">
        <f>950*1.1</f>
        <v>1045</v>
      </c>
      <c r="G13" s="89">
        <f t="shared" ref="G13" si="0">F13*D13*1.1</f>
        <v>1885685.7800000003</v>
      </c>
      <c r="H13" s="67"/>
    </row>
    <row r="14" spans="1:10" ht="21.75" x14ac:dyDescent="0.25">
      <c r="A14" s="78" t="s">
        <v>230</v>
      </c>
      <c r="B14" s="62"/>
      <c r="C14" s="62"/>
      <c r="D14" s="67"/>
      <c r="E14" s="67" t="s">
        <v>4</v>
      </c>
      <c r="F14" s="88">
        <f>680*1.1</f>
        <v>748.00000000000011</v>
      </c>
      <c r="G14" s="89">
        <f t="shared" ref="G14:G20" si="1">F14*D14*1.1</f>
        <v>0</v>
      </c>
      <c r="H14" s="67"/>
    </row>
    <row r="15" spans="1:10" ht="21.75" x14ac:dyDescent="0.25">
      <c r="A15" s="78" t="s">
        <v>330</v>
      </c>
      <c r="B15" s="62"/>
      <c r="C15" s="62"/>
      <c r="D15" s="67"/>
      <c r="E15" s="67" t="s">
        <v>4</v>
      </c>
      <c r="F15" s="88">
        <v>150</v>
      </c>
      <c r="G15" s="89">
        <f t="shared" si="1"/>
        <v>0</v>
      </c>
      <c r="H15" s="67"/>
    </row>
    <row r="16" spans="1:10" ht="21.75" x14ac:dyDescent="0.25">
      <c r="A16" s="78" t="s">
        <v>232</v>
      </c>
      <c r="B16" s="62">
        <v>10</v>
      </c>
      <c r="C16" s="62" t="s">
        <v>6</v>
      </c>
      <c r="D16" s="67">
        <v>1</v>
      </c>
      <c r="E16" s="67" t="s">
        <v>27</v>
      </c>
      <c r="F16" s="88">
        <f>B16*AREAS!G5</f>
        <v>386101.75</v>
      </c>
      <c r="G16" s="89">
        <f t="shared" si="1"/>
        <v>424711.92500000005</v>
      </c>
      <c r="H16" s="67"/>
    </row>
    <row r="17" spans="1:12" ht="28.5" customHeight="1" x14ac:dyDescent="0.25">
      <c r="A17" s="78" t="s">
        <v>233</v>
      </c>
      <c r="B17" s="62"/>
      <c r="C17" s="62"/>
      <c r="D17" s="67">
        <f>1*2+2+7+2+2*22+1</f>
        <v>58</v>
      </c>
      <c r="E17" s="67" t="s">
        <v>3</v>
      </c>
      <c r="F17" s="88">
        <v>1750</v>
      </c>
      <c r="G17" s="89">
        <f t="shared" si="1"/>
        <v>111650.00000000001</v>
      </c>
      <c r="H17" s="67"/>
    </row>
    <row r="18" spans="1:12" ht="21.75" x14ac:dyDescent="0.25">
      <c r="A18" s="78" t="s">
        <v>361</v>
      </c>
      <c r="B18" s="62"/>
      <c r="C18" s="62"/>
      <c r="D18" s="67">
        <f>((3.68*2+2.43*2+2.65+0.15)*(22+6+2))*1.2</f>
        <v>540.72</v>
      </c>
      <c r="E18" s="67" t="s">
        <v>4</v>
      </c>
      <c r="F18" s="88">
        <v>120</v>
      </c>
      <c r="G18" s="89">
        <f t="shared" si="1"/>
        <v>71375.040000000008</v>
      </c>
      <c r="H18" s="67"/>
    </row>
    <row r="19" spans="1:12" ht="21.75" x14ac:dyDescent="0.25">
      <c r="A19" s="78" t="s">
        <v>362</v>
      </c>
      <c r="B19" s="62"/>
      <c r="C19" s="62"/>
      <c r="D19" s="67">
        <f>AREAS!G19</f>
        <v>220</v>
      </c>
      <c r="E19" s="67" t="s">
        <v>3</v>
      </c>
      <c r="F19" s="88">
        <v>1400</v>
      </c>
      <c r="G19" s="89">
        <f t="shared" si="1"/>
        <v>338800</v>
      </c>
      <c r="H19" s="67"/>
    </row>
    <row r="20" spans="1:12" ht="21.75" x14ac:dyDescent="0.25">
      <c r="A20" s="66" t="s">
        <v>228</v>
      </c>
      <c r="B20" s="62"/>
      <c r="C20" s="62"/>
      <c r="D20" s="67">
        <f>43*22+3+13+6</f>
        <v>968</v>
      </c>
      <c r="E20" s="67" t="s">
        <v>3</v>
      </c>
      <c r="F20" s="88">
        <v>1200</v>
      </c>
      <c r="G20" s="89">
        <f t="shared" si="1"/>
        <v>1277760</v>
      </c>
      <c r="H20" s="67"/>
    </row>
    <row r="21" spans="1:12" ht="21.75" x14ac:dyDescent="0.25">
      <c r="A21" s="314" t="s">
        <v>17</v>
      </c>
      <c r="B21" s="314"/>
      <c r="C21" s="314"/>
      <c r="D21" s="314"/>
      <c r="E21" s="314"/>
      <c r="F21" s="314"/>
      <c r="G21" s="90">
        <f>SUM(G10:G20)</f>
        <v>10314250.155000001</v>
      </c>
      <c r="H21" s="90"/>
      <c r="K21" s="55">
        <f>4160+1440+1120+2880+4800+91680+4000</f>
        <v>110080</v>
      </c>
      <c r="L21" s="55">
        <f>K21/21</f>
        <v>5241.9047619047615</v>
      </c>
    </row>
    <row r="23" spans="1:12" ht="21.75" x14ac:dyDescent="0.25">
      <c r="A23" s="324" t="s">
        <v>338</v>
      </c>
      <c r="B23" s="325"/>
      <c r="C23" s="325"/>
      <c r="D23" s="325"/>
      <c r="E23" s="325"/>
      <c r="F23" s="326"/>
      <c r="G23" s="91">
        <f>G21</f>
        <v>10314250.155000001</v>
      </c>
      <c r="H23" s="91">
        <f>G23/AREAS!G5</f>
        <v>267.13813534903687</v>
      </c>
    </row>
    <row r="25" spans="1:12" ht="21.75" x14ac:dyDescent="0.25">
      <c r="A25" s="52" t="s">
        <v>461</v>
      </c>
      <c r="B25" s="52"/>
      <c r="C25" s="52"/>
      <c r="D25" s="53"/>
      <c r="E25" s="53"/>
      <c r="F25" s="54"/>
      <c r="G25" s="53"/>
      <c r="H25" s="53"/>
    </row>
    <row r="26" spans="1:12" ht="21.75" x14ac:dyDescent="0.25">
      <c r="A26" s="56"/>
      <c r="B26" s="56"/>
      <c r="C26" s="56"/>
      <c r="D26" s="57"/>
      <c r="E26" s="57"/>
      <c r="F26" s="58"/>
      <c r="G26" s="59"/>
      <c r="H26" s="59"/>
    </row>
    <row r="27" spans="1:12" ht="21.75" x14ac:dyDescent="0.25">
      <c r="A27" s="63" t="s">
        <v>14</v>
      </c>
      <c r="B27" s="319" t="s">
        <v>5</v>
      </c>
      <c r="C27" s="320"/>
      <c r="D27" s="319" t="s">
        <v>18</v>
      </c>
      <c r="E27" s="320"/>
      <c r="F27" s="65" t="s">
        <v>118</v>
      </c>
      <c r="G27" s="71" t="s">
        <v>16</v>
      </c>
      <c r="H27" s="90" t="s">
        <v>298</v>
      </c>
    </row>
    <row r="28" spans="1:12" ht="21.75" x14ac:dyDescent="0.25">
      <c r="A28" s="66" t="s">
        <v>234</v>
      </c>
      <c r="B28" s="62">
        <v>0.25</v>
      </c>
      <c r="C28" s="62" t="s">
        <v>322</v>
      </c>
      <c r="D28" s="198">
        <f>B28*AREAS!H5</f>
        <v>8550.9962500000001</v>
      </c>
      <c r="E28" s="67" t="s">
        <v>2</v>
      </c>
      <c r="F28" s="88">
        <v>1100</v>
      </c>
      <c r="G28" s="89">
        <f>F28*D28*1.1</f>
        <v>10346705.4625</v>
      </c>
      <c r="H28" s="67">
        <f>G28/DADOS_INICIAIS!F27</f>
        <v>246350.13005952383</v>
      </c>
    </row>
    <row r="29" spans="1:12" ht="21.75" x14ac:dyDescent="0.25">
      <c r="A29" s="199" t="s">
        <v>462</v>
      </c>
      <c r="B29" s="62"/>
      <c r="C29" s="62"/>
      <c r="D29" s="198">
        <f>98.3+147.3*2</f>
        <v>392.90000000000003</v>
      </c>
      <c r="E29" s="67" t="s">
        <v>2</v>
      </c>
      <c r="F29" s="88">
        <v>1000</v>
      </c>
      <c r="G29" s="89">
        <f>F29*D29*1.1</f>
        <v>432190.00000000012</v>
      </c>
      <c r="H29" s="67"/>
    </row>
    <row r="30" spans="1:12" ht="21.75" x14ac:dyDescent="0.25">
      <c r="A30" s="78" t="s">
        <v>229</v>
      </c>
      <c r="B30" s="62"/>
      <c r="C30" s="62"/>
      <c r="D30" s="67"/>
      <c r="E30" s="67" t="s">
        <v>3</v>
      </c>
      <c r="F30" s="88">
        <v>18000</v>
      </c>
      <c r="G30" s="89">
        <f>F30*D30*1.1</f>
        <v>0</v>
      </c>
      <c r="H30" s="67"/>
    </row>
    <row r="31" spans="1:12" ht="21.75" x14ac:dyDescent="0.25">
      <c r="A31" s="78" t="s">
        <v>231</v>
      </c>
      <c r="B31" s="62"/>
      <c r="C31" s="62"/>
      <c r="D31" s="67">
        <f>74.08*(20+18)</f>
        <v>2815.04</v>
      </c>
      <c r="E31" s="67" t="s">
        <v>4</v>
      </c>
      <c r="F31" s="88">
        <f>950*1.1</f>
        <v>1045</v>
      </c>
      <c r="G31" s="89">
        <f t="shared" ref="G31:G38" si="2">F31*D31*1.1</f>
        <v>3235888.48</v>
      </c>
      <c r="H31" s="67"/>
    </row>
    <row r="32" spans="1:12" ht="21.75" x14ac:dyDescent="0.25">
      <c r="A32" s="78" t="s">
        <v>230</v>
      </c>
      <c r="B32" s="62"/>
      <c r="C32" s="62"/>
      <c r="D32" s="67"/>
      <c r="E32" s="67" t="s">
        <v>4</v>
      </c>
      <c r="F32" s="88">
        <f>680*1.1</f>
        <v>748.00000000000011</v>
      </c>
      <c r="G32" s="89">
        <f t="shared" si="2"/>
        <v>0</v>
      </c>
      <c r="H32" s="67"/>
    </row>
    <row r="33" spans="1:8" ht="21.75" x14ac:dyDescent="0.25">
      <c r="A33" s="78" t="s">
        <v>330</v>
      </c>
      <c r="B33" s="62"/>
      <c r="C33" s="62"/>
      <c r="D33" s="67"/>
      <c r="E33" s="67" t="s">
        <v>4</v>
      </c>
      <c r="F33" s="88">
        <v>150</v>
      </c>
      <c r="G33" s="89">
        <f t="shared" si="2"/>
        <v>0</v>
      </c>
      <c r="H33" s="67"/>
    </row>
    <row r="34" spans="1:8" ht="21.75" x14ac:dyDescent="0.25">
      <c r="A34" s="78" t="s">
        <v>232</v>
      </c>
      <c r="B34" s="62">
        <v>10</v>
      </c>
      <c r="C34" s="62" t="s">
        <v>6</v>
      </c>
      <c r="D34" s="67">
        <v>1</v>
      </c>
      <c r="E34" s="67" t="s">
        <v>27</v>
      </c>
      <c r="F34" s="88">
        <f>B34*AREAS!H5</f>
        <v>342039.85</v>
      </c>
      <c r="G34" s="89">
        <f t="shared" si="2"/>
        <v>376243.83500000002</v>
      </c>
      <c r="H34" s="67"/>
    </row>
    <row r="35" spans="1:8" ht="21.75" x14ac:dyDescent="0.25">
      <c r="A35" s="78" t="s">
        <v>233</v>
      </c>
      <c r="B35" s="62"/>
      <c r="C35" s="62"/>
      <c r="D35" s="67">
        <f>2*2+4*2+4+4+4*22+4+4*18+2</f>
        <v>186</v>
      </c>
      <c r="E35" s="67" t="s">
        <v>3</v>
      </c>
      <c r="F35" s="88">
        <v>1750</v>
      </c>
      <c r="G35" s="89">
        <f t="shared" si="2"/>
        <v>358050</v>
      </c>
      <c r="H35" s="67"/>
    </row>
    <row r="36" spans="1:8" ht="21.75" x14ac:dyDescent="0.25">
      <c r="A36" s="78" t="s">
        <v>361</v>
      </c>
      <c r="B36" s="62"/>
      <c r="C36" s="62"/>
      <c r="D36" s="67">
        <f>((4.43+3.04*2+2.26+1.76*2+0.68*2)*(22+6+1+8+1))*1.2</f>
        <v>804.83999999999992</v>
      </c>
      <c r="E36" s="67" t="s">
        <v>4</v>
      </c>
      <c r="F36" s="88">
        <v>120</v>
      </c>
      <c r="G36" s="89">
        <f t="shared" si="2"/>
        <v>106238.87999999999</v>
      </c>
      <c r="H36" s="67"/>
    </row>
    <row r="37" spans="1:8" ht="21.75" x14ac:dyDescent="0.25">
      <c r="A37" s="78" t="s">
        <v>362</v>
      </c>
      <c r="B37" s="62"/>
      <c r="C37" s="62"/>
      <c r="D37" s="67">
        <f>AREAS!H19</f>
        <v>382</v>
      </c>
      <c r="E37" s="67" t="s">
        <v>3</v>
      </c>
      <c r="F37" s="88">
        <v>1400</v>
      </c>
      <c r="G37" s="89">
        <f t="shared" si="2"/>
        <v>588280</v>
      </c>
      <c r="H37" s="67"/>
    </row>
    <row r="38" spans="1:8" ht="21.75" x14ac:dyDescent="0.25">
      <c r="A38" s="66" t="s">
        <v>228</v>
      </c>
      <c r="B38" s="62"/>
      <c r="C38" s="62"/>
      <c r="D38" s="67">
        <f>43*22+43*18+5+12+31</f>
        <v>1768</v>
      </c>
      <c r="E38" s="67" t="s">
        <v>3</v>
      </c>
      <c r="F38" s="88">
        <v>1200</v>
      </c>
      <c r="G38" s="89">
        <f t="shared" si="2"/>
        <v>2333760</v>
      </c>
      <c r="H38" s="67"/>
    </row>
    <row r="39" spans="1:8" ht="21.75" x14ac:dyDescent="0.25">
      <c r="A39" s="314" t="s">
        <v>17</v>
      </c>
      <c r="B39" s="314"/>
      <c r="C39" s="314"/>
      <c r="D39" s="314"/>
      <c r="E39" s="314"/>
      <c r="F39" s="314"/>
      <c r="G39" s="90">
        <f>SUM(G28:G38)</f>
        <v>17777356.657500003</v>
      </c>
      <c r="H39" s="90"/>
    </row>
    <row r="41" spans="1:8" ht="21.75" x14ac:dyDescent="0.25">
      <c r="A41" s="324" t="s">
        <v>338</v>
      </c>
      <c r="B41" s="325"/>
      <c r="C41" s="325"/>
      <c r="D41" s="325"/>
      <c r="E41" s="325"/>
      <c r="F41" s="326"/>
      <c r="G41" s="91">
        <f>G39</f>
        <v>17777356.657500003</v>
      </c>
      <c r="H41" s="91">
        <f>G41/AREAS!H5</f>
        <v>519.74518926668929</v>
      </c>
    </row>
  </sheetData>
  <mergeCells count="9">
    <mergeCell ref="B27:C27"/>
    <mergeCell ref="D27:E27"/>
    <mergeCell ref="A39:F39"/>
    <mergeCell ref="A41:F41"/>
    <mergeCell ref="A3:H3"/>
    <mergeCell ref="B9:C9"/>
    <mergeCell ref="D9:E9"/>
    <mergeCell ref="A21:F21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dimension ref="A1:J17"/>
  <sheetViews>
    <sheetView showGridLines="0" zoomScale="85" zoomScaleNormal="85" zoomScaleSheetLayoutView="95" workbookViewId="0">
      <selection activeCell="G13" sqref="G13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315" t="s">
        <v>198</v>
      </c>
      <c r="B2" s="316"/>
      <c r="C2" s="316"/>
      <c r="D2" s="316"/>
      <c r="E2" s="316"/>
      <c r="F2" s="316"/>
      <c r="G2" s="316"/>
      <c r="H2" s="317"/>
      <c r="J2" s="2"/>
    </row>
    <row r="3" spans="1:10" s="55" customFormat="1" x14ac:dyDescent="0.25">
      <c r="A3" s="187" t="s">
        <v>184</v>
      </c>
      <c r="B3" s="193">
        <v>45460</v>
      </c>
      <c r="C3" s="191"/>
      <c r="D3" s="191"/>
      <c r="E3" s="191"/>
      <c r="F3" s="191"/>
      <c r="G3" s="191"/>
      <c r="H3" s="192"/>
      <c r="J3" s="79"/>
    </row>
    <row r="4" spans="1:10" s="55" customFormat="1" x14ac:dyDescent="0.25">
      <c r="A4" s="187" t="s">
        <v>295</v>
      </c>
      <c r="B4" s="194" t="s">
        <v>213</v>
      </c>
      <c r="C4" s="189"/>
      <c r="D4" s="189"/>
      <c r="E4" s="189"/>
      <c r="F4" s="189"/>
      <c r="G4" s="189"/>
      <c r="H4" s="190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324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319" t="s">
        <v>5</v>
      </c>
      <c r="C8" s="320"/>
      <c r="D8" s="319" t="s">
        <v>18</v>
      </c>
      <c r="E8" s="320"/>
      <c r="F8" s="65" t="s">
        <v>118</v>
      </c>
      <c r="G8" s="71" t="s">
        <v>16</v>
      </c>
      <c r="H8" s="90" t="s">
        <v>298</v>
      </c>
    </row>
    <row r="9" spans="1:10" s="55" customFormat="1" ht="21.75" x14ac:dyDescent="0.25">
      <c r="A9" s="66" t="s">
        <v>323</v>
      </c>
      <c r="B9" s="62"/>
      <c r="C9" s="62"/>
      <c r="D9" s="67"/>
      <c r="E9" s="67" t="s">
        <v>2</v>
      </c>
      <c r="F9" s="88">
        <v>500</v>
      </c>
      <c r="G9" s="89">
        <f>F9*D9*1.1</f>
        <v>0</v>
      </c>
      <c r="H9" s="67"/>
    </row>
    <row r="10" spans="1:10" s="55" customFormat="1" ht="21.75" x14ac:dyDescent="0.25">
      <c r="A10" s="66" t="s">
        <v>171</v>
      </c>
      <c r="B10" s="62"/>
      <c r="C10" s="62"/>
      <c r="D10" s="67"/>
      <c r="E10" s="67" t="s">
        <v>2</v>
      </c>
      <c r="F10" s="186">
        <v>45</v>
      </c>
      <c r="G10" s="89">
        <f>F10*D10*1.1</f>
        <v>0</v>
      </c>
      <c r="H10" s="67"/>
    </row>
    <row r="11" spans="1:10" s="55" customFormat="1" ht="21.75" x14ac:dyDescent="0.25">
      <c r="A11" s="66" t="s">
        <v>478</v>
      </c>
      <c r="B11" s="62"/>
      <c r="C11" s="62"/>
      <c r="D11" s="67">
        <f>17.64+18.25+19</f>
        <v>54.89</v>
      </c>
      <c r="E11" s="67" t="s">
        <v>2</v>
      </c>
      <c r="F11" s="67">
        <v>350</v>
      </c>
      <c r="G11" s="89">
        <f t="shared" ref="G11:G13" si="0">F11*D11*1.1</f>
        <v>21132.65</v>
      </c>
      <c r="H11" s="67"/>
    </row>
    <row r="12" spans="1:10" s="55" customFormat="1" ht="21.75" x14ac:dyDescent="0.25">
      <c r="A12" s="66" t="s">
        <v>477</v>
      </c>
      <c r="B12" s="62"/>
      <c r="C12" s="62"/>
      <c r="D12" s="67">
        <f>19+6.5*3+7.08*3</f>
        <v>59.74</v>
      </c>
      <c r="E12" s="67" t="s">
        <v>2</v>
      </c>
      <c r="F12" s="67">
        <v>290</v>
      </c>
      <c r="G12" s="89">
        <f t="shared" si="0"/>
        <v>19057.060000000005</v>
      </c>
      <c r="H12" s="67"/>
    </row>
    <row r="13" spans="1:10" s="55" customFormat="1" ht="21.75" x14ac:dyDescent="0.25">
      <c r="A13" s="66" t="s">
        <v>479</v>
      </c>
      <c r="B13" s="62"/>
      <c r="C13" s="62"/>
      <c r="D13" s="67">
        <v>130.47</v>
      </c>
      <c r="E13" s="67" t="s">
        <v>2</v>
      </c>
      <c r="F13" s="67">
        <v>3800</v>
      </c>
      <c r="G13" s="89">
        <f t="shared" si="0"/>
        <v>545364.60000000009</v>
      </c>
      <c r="H13" s="67"/>
    </row>
    <row r="14" spans="1:10" s="55" customFormat="1" ht="21.75" x14ac:dyDescent="0.25">
      <c r="A14" s="66" t="s">
        <v>480</v>
      </c>
      <c r="B14" s="62"/>
      <c r="C14" s="62"/>
      <c r="D14" s="67">
        <f>'Rev. Fachada'!B29+'Rev. Fachada'!B54</f>
        <v>247.56</v>
      </c>
      <c r="E14" s="67" t="s">
        <v>2</v>
      </c>
      <c r="F14" s="67">
        <v>52.5</v>
      </c>
      <c r="G14" s="89">
        <f>F14*D14*1.1</f>
        <v>14296.59</v>
      </c>
      <c r="H14" s="67"/>
    </row>
    <row r="15" spans="1:10" s="55" customFormat="1" ht="21.75" x14ac:dyDescent="0.25">
      <c r="A15" s="314" t="s">
        <v>17</v>
      </c>
      <c r="B15" s="314"/>
      <c r="C15" s="314"/>
      <c r="D15" s="110"/>
      <c r="E15" s="110"/>
      <c r="F15" s="110"/>
      <c r="G15" s="90">
        <f>SUM(G9:G14)</f>
        <v>599850.9</v>
      </c>
      <c r="H15" s="90"/>
    </row>
    <row r="16" spans="1:10" s="55" customFormat="1" ht="21.75" x14ac:dyDescent="0.25">
      <c r="A16" s="318"/>
      <c r="B16" s="318"/>
      <c r="C16" s="318"/>
      <c r="D16" s="111"/>
      <c r="E16" s="111"/>
      <c r="F16" s="111"/>
      <c r="G16" s="59"/>
      <c r="H16" s="59"/>
    </row>
    <row r="17" spans="1:8" ht="23.25" customHeight="1" x14ac:dyDescent="0.25">
      <c r="A17" s="311" t="s">
        <v>275</v>
      </c>
      <c r="B17" s="312"/>
      <c r="C17" s="313"/>
      <c r="D17" s="109"/>
      <c r="E17" s="109"/>
      <c r="F17" s="109"/>
      <c r="G17" s="108">
        <f>G15</f>
        <v>599850.9</v>
      </c>
      <c r="H17" s="108">
        <f>G17/DADOS_INICIAIS!$F$9</f>
        <v>8.1246239734356287</v>
      </c>
    </row>
  </sheetData>
  <mergeCells count="6">
    <mergeCell ref="A17:C17"/>
    <mergeCell ref="A2:H2"/>
    <mergeCell ref="B8:C8"/>
    <mergeCell ref="D8:E8"/>
    <mergeCell ref="A15:C15"/>
    <mergeCell ref="A16:C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FFC000"/>
  </sheetPr>
  <dimension ref="A1:L59"/>
  <sheetViews>
    <sheetView showGridLines="0" topLeftCell="B11" zoomScale="130" zoomScaleNormal="130" zoomScaleSheetLayoutView="95" workbookViewId="0">
      <selection activeCell="F72" sqref="F72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0" width="9.140625" style="1"/>
    <col min="11" max="11" width="10.140625" style="1" bestFit="1" customWidth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341" t="s">
        <v>188</v>
      </c>
      <c r="B2" s="2"/>
      <c r="C2" s="1"/>
      <c r="D2" s="1"/>
      <c r="G2" s="166"/>
      <c r="H2" s="166"/>
      <c r="I2" s="2"/>
    </row>
    <row r="3" spans="1:12" ht="12.75" customHeight="1" x14ac:dyDescent="0.25">
      <c r="A3" s="342"/>
      <c r="B3" s="2"/>
      <c r="C3" s="1"/>
      <c r="D3" s="1"/>
      <c r="G3" s="166"/>
      <c r="H3" s="166"/>
      <c r="I3" s="2"/>
    </row>
    <row r="4" spans="1:12" ht="12.75" customHeight="1" x14ac:dyDescent="0.25">
      <c r="A4" s="342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187</v>
      </c>
      <c r="B7" s="159" t="s">
        <v>285</v>
      </c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 t="s">
        <v>284</v>
      </c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184</v>
      </c>
      <c r="B9" s="151">
        <v>45460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183</v>
      </c>
      <c r="C10" s="146"/>
      <c r="D10" s="146"/>
      <c r="E10" s="146"/>
      <c r="F10" s="146"/>
      <c r="G10" s="146"/>
      <c r="H10" s="145"/>
    </row>
    <row r="11" spans="1:12" x14ac:dyDescent="0.25">
      <c r="A11" s="1" t="s">
        <v>467</v>
      </c>
    </row>
    <row r="12" spans="1:12" ht="15.75" customHeight="1" x14ac:dyDescent="0.25">
      <c r="A12" s="144" t="s">
        <v>217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2" ht="15.75" customHeight="1" x14ac:dyDescent="0.25">
      <c r="A14" s="134" t="s">
        <v>14</v>
      </c>
      <c r="B14" s="348" t="s">
        <v>18</v>
      </c>
      <c r="C14" s="349"/>
      <c r="D14" s="350" t="s">
        <v>5</v>
      </c>
      <c r="E14" s="351"/>
      <c r="F14" s="133" t="s">
        <v>182</v>
      </c>
      <c r="G14" s="132" t="s">
        <v>16</v>
      </c>
      <c r="H14" s="131"/>
      <c r="L14" s="115"/>
    </row>
    <row r="15" spans="1:12" x14ac:dyDescent="0.25">
      <c r="A15" s="172" t="s">
        <v>195</v>
      </c>
      <c r="B15" s="175">
        <f>K24-ESQUADRIAS!D11</f>
        <v>12239.994499999999</v>
      </c>
      <c r="C15" s="129" t="s">
        <v>2</v>
      </c>
      <c r="D15" s="124">
        <f>25+70</f>
        <v>95</v>
      </c>
      <c r="E15" s="130" t="s">
        <v>170</v>
      </c>
      <c r="F15" s="126" t="s">
        <v>213</v>
      </c>
      <c r="G15" s="125">
        <f>B15*D15*1.1</f>
        <v>1279079.4252499999</v>
      </c>
      <c r="H15" s="131"/>
      <c r="K15" s="185"/>
      <c r="L15" s="115"/>
    </row>
    <row r="16" spans="1:12" x14ac:dyDescent="0.25">
      <c r="A16" s="172" t="s">
        <v>353</v>
      </c>
      <c r="B16" s="175">
        <f>AREAS!G29*(0.8*2+0.7)*23</f>
        <v>5958.1269999999995</v>
      </c>
      <c r="C16" s="129" t="s">
        <v>2</v>
      </c>
      <c r="D16" s="124">
        <f>25+70</f>
        <v>95</v>
      </c>
      <c r="E16" s="130" t="s">
        <v>170</v>
      </c>
      <c r="F16" s="202"/>
      <c r="G16" s="125">
        <f>B16*D16*1.1</f>
        <v>622624.27150000003</v>
      </c>
      <c r="H16" s="131"/>
      <c r="K16" s="184"/>
      <c r="L16" s="115"/>
    </row>
    <row r="17" spans="1:12" x14ac:dyDescent="0.25">
      <c r="A17" s="346" t="s">
        <v>17</v>
      </c>
      <c r="B17" s="347"/>
      <c r="C17" s="347"/>
      <c r="D17" s="347"/>
      <c r="E17" s="347"/>
      <c r="F17" s="347"/>
      <c r="G17" s="122">
        <f>SUM(G15:G16)</f>
        <v>1901703.6967499999</v>
      </c>
      <c r="H17" s="121"/>
      <c r="K17" s="184"/>
    </row>
    <row r="18" spans="1:12" ht="15.75" customHeight="1" x14ac:dyDescent="0.25">
      <c r="A18" s="344"/>
      <c r="B18" s="345"/>
      <c r="C18" s="345"/>
      <c r="D18" s="345"/>
      <c r="E18" s="345"/>
      <c r="F18" s="345"/>
      <c r="G18" s="167"/>
      <c r="H18" s="118"/>
      <c r="K18" s="1" t="s">
        <v>379</v>
      </c>
    </row>
    <row r="19" spans="1:12" ht="15.75" customHeight="1" x14ac:dyDescent="0.25">
      <c r="A19" s="144" t="s">
        <v>216</v>
      </c>
      <c r="B19" s="143"/>
      <c r="C19" s="142"/>
      <c r="D19" s="141"/>
      <c r="E19" s="140"/>
      <c r="F19" s="140"/>
      <c r="G19" s="140"/>
      <c r="H19" s="139"/>
      <c r="J19" s="1" t="s">
        <v>215</v>
      </c>
      <c r="K19" s="115">
        <f>AREAS!G35</f>
        <v>349.8</v>
      </c>
      <c r="L19" s="1">
        <v>11.56</v>
      </c>
    </row>
    <row r="20" spans="1:12" ht="15.75" customHeight="1" x14ac:dyDescent="0.25">
      <c r="A20" s="138"/>
      <c r="B20" s="183"/>
      <c r="C20" s="136"/>
      <c r="D20" s="135"/>
      <c r="E20" s="135"/>
      <c r="F20" s="135"/>
      <c r="H20" s="131"/>
      <c r="J20" s="1" t="s">
        <v>325</v>
      </c>
      <c r="K20" s="115">
        <f>AREAS!G29</f>
        <v>112.63</v>
      </c>
      <c r="L20" s="1">
        <v>74.52</v>
      </c>
    </row>
    <row r="21" spans="1:12" ht="15.75" customHeight="1" x14ac:dyDescent="0.25">
      <c r="A21" s="134" t="s">
        <v>14</v>
      </c>
      <c r="B21" s="348" t="s">
        <v>18</v>
      </c>
      <c r="C21" s="349"/>
      <c r="D21" s="350" t="s">
        <v>5</v>
      </c>
      <c r="E21" s="351"/>
      <c r="F21" s="133" t="s">
        <v>182</v>
      </c>
      <c r="G21" s="132" t="s">
        <v>16</v>
      </c>
      <c r="H21" s="131"/>
      <c r="J21" s="1" t="s">
        <v>326</v>
      </c>
      <c r="K21" s="115">
        <f>AREAS!H29</f>
        <v>116.82</v>
      </c>
      <c r="L21" s="1">
        <v>130.69999999999999</v>
      </c>
    </row>
    <row r="22" spans="1:12" ht="15.75" customHeight="1" x14ac:dyDescent="0.25">
      <c r="A22" s="172" t="s">
        <v>328</v>
      </c>
      <c r="B22" s="175">
        <f>B15</f>
        <v>12239.994499999999</v>
      </c>
      <c r="C22" s="129" t="s">
        <v>2</v>
      </c>
      <c r="D22" s="124">
        <f>70+15</f>
        <v>85</v>
      </c>
      <c r="E22" s="130" t="s">
        <v>170</v>
      </c>
      <c r="F22" s="126" t="s">
        <v>213</v>
      </c>
      <c r="G22" s="125">
        <f>B22*D22*1.1</f>
        <v>1144439.48575</v>
      </c>
      <c r="H22" s="131"/>
      <c r="J22" s="1" t="s">
        <v>463</v>
      </c>
      <c r="K22" s="1">
        <f>36.61</f>
        <v>36.61</v>
      </c>
      <c r="L22" s="1">
        <v>8.49</v>
      </c>
    </row>
    <row r="23" spans="1:12" ht="15.75" customHeight="1" x14ac:dyDescent="0.25">
      <c r="A23" s="172" t="s">
        <v>354</v>
      </c>
      <c r="B23" s="175">
        <f>B16</f>
        <v>5958.1269999999995</v>
      </c>
      <c r="C23" s="129" t="s">
        <v>2</v>
      </c>
      <c r="D23" s="124">
        <f>70+15</f>
        <v>85</v>
      </c>
      <c r="E23" s="130" t="s">
        <v>170</v>
      </c>
      <c r="F23" s="202"/>
      <c r="G23" s="125">
        <f>B23*D23*1.1</f>
        <v>557084.87450000003</v>
      </c>
      <c r="H23" s="131"/>
      <c r="J23" s="1" t="s">
        <v>375</v>
      </c>
      <c r="K23" s="1">
        <v>44.7</v>
      </c>
      <c r="L23" s="1">
        <v>7.4</v>
      </c>
    </row>
    <row r="24" spans="1:12" x14ac:dyDescent="0.25">
      <c r="A24" s="346" t="s">
        <v>17</v>
      </c>
      <c r="B24" s="347"/>
      <c r="C24" s="347"/>
      <c r="D24" s="347"/>
      <c r="E24" s="347"/>
      <c r="F24" s="347"/>
      <c r="G24" s="122">
        <f>SUM(G22:G23)</f>
        <v>1701524.3602499999</v>
      </c>
      <c r="H24" s="121"/>
      <c r="K24" s="115">
        <f>K19*L19+K20*L20+K22*L22</f>
        <v>12747.6945</v>
      </c>
      <c r="L24" s="1" t="s">
        <v>464</v>
      </c>
    </row>
    <row r="25" spans="1:12" x14ac:dyDescent="0.25">
      <c r="A25" s="355"/>
      <c r="B25" s="356"/>
      <c r="C25" s="356"/>
      <c r="D25" s="356"/>
      <c r="E25" s="356"/>
      <c r="F25" s="356"/>
      <c r="G25" s="167"/>
      <c r="H25" s="118"/>
      <c r="K25" s="115">
        <f>K21*L21+K23*L23</f>
        <v>15599.153999999999</v>
      </c>
      <c r="L25" s="1" t="s">
        <v>465</v>
      </c>
    </row>
    <row r="26" spans="1:12" ht="15.75" customHeight="1" x14ac:dyDescent="0.25">
      <c r="A26" s="144" t="s">
        <v>214</v>
      </c>
      <c r="B26" s="143"/>
      <c r="C26" s="142"/>
      <c r="D26" s="141"/>
      <c r="E26" s="140"/>
      <c r="F26" s="140"/>
      <c r="G26" s="140"/>
      <c r="H26" s="139"/>
    </row>
    <row r="27" spans="1:12" ht="15.75" customHeight="1" x14ac:dyDescent="0.25">
      <c r="A27" s="138"/>
      <c r="B27" s="137"/>
      <c r="C27" s="136"/>
      <c r="D27" s="135"/>
      <c r="E27" s="135"/>
      <c r="F27" s="135"/>
      <c r="H27" s="131"/>
    </row>
    <row r="28" spans="1:12" ht="15.75" customHeight="1" x14ac:dyDescent="0.25">
      <c r="A28" s="134" t="s">
        <v>14</v>
      </c>
      <c r="B28" s="348" t="s">
        <v>18</v>
      </c>
      <c r="C28" s="349"/>
      <c r="D28" s="350" t="s">
        <v>5</v>
      </c>
      <c r="E28" s="351"/>
      <c r="F28" s="133" t="s">
        <v>182</v>
      </c>
      <c r="G28" s="132" t="s">
        <v>16</v>
      </c>
      <c r="H28" s="131"/>
    </row>
    <row r="29" spans="1:12" ht="15.75" customHeight="1" x14ac:dyDescent="0.25">
      <c r="A29" s="172" t="s">
        <v>327</v>
      </c>
      <c r="B29" s="175">
        <f>41.69*3+40.83*2</f>
        <v>206.73</v>
      </c>
      <c r="C29" s="129" t="s">
        <v>119</v>
      </c>
      <c r="D29" s="124">
        <v>150</v>
      </c>
      <c r="E29" s="130" t="s">
        <v>170</v>
      </c>
      <c r="F29" s="126" t="s">
        <v>213</v>
      </c>
      <c r="G29" s="125">
        <f>B29*D29*1.1</f>
        <v>34110.450000000004</v>
      </c>
      <c r="H29" s="131">
        <f>B29*52.5*1.1</f>
        <v>11938.657499999999</v>
      </c>
    </row>
    <row r="30" spans="1:12" ht="15.75" customHeight="1" x14ac:dyDescent="0.25">
      <c r="A30" s="203"/>
      <c r="B30" s="175"/>
      <c r="C30" s="204" t="s">
        <v>119</v>
      </c>
      <c r="D30" s="205">
        <v>120</v>
      </c>
      <c r="E30" s="130" t="s">
        <v>363</v>
      </c>
      <c r="F30" s="202"/>
      <c r="G30" s="125">
        <f>B30*D30*1.1</f>
        <v>0</v>
      </c>
      <c r="H30" s="131"/>
    </row>
    <row r="31" spans="1:12" ht="15.75" customHeight="1" x14ac:dyDescent="0.25">
      <c r="A31" s="346"/>
      <c r="B31" s="347"/>
      <c r="C31" s="347"/>
      <c r="D31" s="347"/>
      <c r="E31" s="347"/>
      <c r="F31" s="347"/>
      <c r="G31" s="122">
        <f>SUM(G29:G30)</f>
        <v>34110.450000000004</v>
      </c>
      <c r="H31" s="121"/>
    </row>
    <row r="32" spans="1:12" x14ac:dyDescent="0.25">
      <c r="A32" s="344"/>
      <c r="B32" s="345"/>
      <c r="C32" s="345"/>
      <c r="D32" s="345"/>
      <c r="E32" s="345"/>
      <c r="F32" s="345"/>
      <c r="G32" s="167"/>
      <c r="H32" s="118"/>
      <c r="J32" s="1">
        <f>25.78*2</f>
        <v>51.56</v>
      </c>
    </row>
    <row r="33" spans="1:8" ht="15.75" customHeight="1" x14ac:dyDescent="0.25">
      <c r="G33" s="115"/>
    </row>
    <row r="34" spans="1:8" ht="15.75" customHeight="1" x14ac:dyDescent="0.25">
      <c r="A34" s="343" t="s">
        <v>212</v>
      </c>
      <c r="B34" s="343"/>
      <c r="C34" s="343"/>
      <c r="D34" s="343"/>
      <c r="E34" s="343"/>
      <c r="F34" s="343"/>
      <c r="G34" s="117">
        <f>G24+G17+G31</f>
        <v>3637338.5070000002</v>
      </c>
      <c r="H34" s="116">
        <f>G34/AREAS!G5</f>
        <v>94.20673454601021</v>
      </c>
    </row>
    <row r="35" spans="1:8" ht="15.75" customHeight="1" x14ac:dyDescent="0.25">
      <c r="H35" s="115">
        <f>H34/1.1</f>
        <v>85.64248595091837</v>
      </c>
    </row>
    <row r="36" spans="1:8" ht="15.75" customHeight="1" x14ac:dyDescent="0.25">
      <c r="A36" s="1" t="s">
        <v>466</v>
      </c>
      <c r="H36" s="115"/>
    </row>
    <row r="37" spans="1:8" ht="15.75" customHeight="1" x14ac:dyDescent="0.25">
      <c r="A37" s="144" t="s">
        <v>217</v>
      </c>
      <c r="B37" s="143"/>
      <c r="C37" s="142"/>
      <c r="D37" s="141"/>
      <c r="E37" s="140"/>
      <c r="F37" s="140"/>
      <c r="G37" s="140"/>
      <c r="H37" s="139"/>
    </row>
    <row r="38" spans="1:8" ht="15.75" customHeight="1" x14ac:dyDescent="0.25">
      <c r="A38" s="138"/>
      <c r="B38" s="137"/>
      <c r="C38" s="136"/>
      <c r="D38" s="135"/>
      <c r="E38" s="135"/>
      <c r="F38" s="135"/>
      <c r="H38" s="131"/>
    </row>
    <row r="39" spans="1:8" ht="15.75" customHeight="1" x14ac:dyDescent="0.25">
      <c r="A39" s="134" t="s">
        <v>14</v>
      </c>
      <c r="B39" s="348" t="s">
        <v>18</v>
      </c>
      <c r="C39" s="349"/>
      <c r="D39" s="350" t="s">
        <v>5</v>
      </c>
      <c r="E39" s="351"/>
      <c r="F39" s="133" t="s">
        <v>182</v>
      </c>
      <c r="G39" s="132" t="s">
        <v>16</v>
      </c>
      <c r="H39" s="131"/>
    </row>
    <row r="40" spans="1:8" ht="15.75" customHeight="1" x14ac:dyDescent="0.25">
      <c r="A40" s="172" t="s">
        <v>195</v>
      </c>
      <c r="B40" s="175">
        <f>K25-ESQUADRIAS!D29</f>
        <v>15206.253999999999</v>
      </c>
      <c r="C40" s="129" t="s">
        <v>2</v>
      </c>
      <c r="D40" s="124">
        <f>25+70</f>
        <v>95</v>
      </c>
      <c r="E40" s="130" t="s">
        <v>170</v>
      </c>
      <c r="F40" s="126" t="s">
        <v>213</v>
      </c>
      <c r="G40" s="125">
        <f>B40*D40*1.1</f>
        <v>1589053.5430000001</v>
      </c>
      <c r="H40" s="131"/>
    </row>
    <row r="41" spans="1:8" ht="15.75" customHeight="1" x14ac:dyDescent="0.25">
      <c r="A41" s="172" t="s">
        <v>353</v>
      </c>
      <c r="B41" s="175">
        <f>AREAS!H29*(0.8*2+0.7)*(22+1+18)</f>
        <v>11016.125999999998</v>
      </c>
      <c r="C41" s="129" t="s">
        <v>2</v>
      </c>
      <c r="D41" s="124">
        <f>25+70</f>
        <v>95</v>
      </c>
      <c r="E41" s="130" t="s">
        <v>170</v>
      </c>
      <c r="F41" s="202"/>
      <c r="G41" s="125">
        <f>B41*D41*1.1</f>
        <v>1151185.1669999999</v>
      </c>
      <c r="H41" s="131"/>
    </row>
    <row r="42" spans="1:8" ht="15.75" customHeight="1" x14ac:dyDescent="0.25">
      <c r="A42" s="346" t="s">
        <v>17</v>
      </c>
      <c r="B42" s="347"/>
      <c r="C42" s="347"/>
      <c r="D42" s="347"/>
      <c r="E42" s="347"/>
      <c r="F42" s="347"/>
      <c r="G42" s="122">
        <f>SUM(G40:G41)</f>
        <v>2740238.71</v>
      </c>
      <c r="H42" s="121"/>
    </row>
    <row r="43" spans="1:8" ht="15.75" customHeight="1" x14ac:dyDescent="0.25">
      <c r="A43" s="344"/>
      <c r="B43" s="345"/>
      <c r="C43" s="345"/>
      <c r="D43" s="345"/>
      <c r="E43" s="345"/>
      <c r="F43" s="345"/>
      <c r="G43" s="167"/>
      <c r="H43" s="118"/>
    </row>
    <row r="44" spans="1:8" x14ac:dyDescent="0.25">
      <c r="A44" s="144" t="s">
        <v>216</v>
      </c>
      <c r="B44" s="143"/>
      <c r="C44" s="142"/>
      <c r="D44" s="141"/>
      <c r="E44" s="140"/>
      <c r="F44" s="140"/>
      <c r="G44" s="140"/>
      <c r="H44" s="139"/>
    </row>
    <row r="45" spans="1:8" x14ac:dyDescent="0.25">
      <c r="A45" s="138"/>
      <c r="B45" s="183"/>
      <c r="C45" s="136"/>
      <c r="D45" s="135"/>
      <c r="E45" s="135"/>
      <c r="F45" s="135"/>
      <c r="H45" s="131"/>
    </row>
    <row r="46" spans="1:8" x14ac:dyDescent="0.25">
      <c r="A46" s="134" t="s">
        <v>14</v>
      </c>
      <c r="B46" s="348" t="s">
        <v>18</v>
      </c>
      <c r="C46" s="349"/>
      <c r="D46" s="350" t="s">
        <v>5</v>
      </c>
      <c r="E46" s="351"/>
      <c r="F46" s="133" t="s">
        <v>182</v>
      </c>
      <c r="G46" s="132" t="s">
        <v>16</v>
      </c>
      <c r="H46" s="131"/>
    </row>
    <row r="47" spans="1:8" x14ac:dyDescent="0.25">
      <c r="A47" s="172" t="s">
        <v>328</v>
      </c>
      <c r="B47" s="175">
        <f>B40</f>
        <v>15206.253999999999</v>
      </c>
      <c r="C47" s="129" t="s">
        <v>2</v>
      </c>
      <c r="D47" s="124">
        <f>70+15</f>
        <v>85</v>
      </c>
      <c r="E47" s="130" t="s">
        <v>170</v>
      </c>
      <c r="F47" s="126" t="s">
        <v>213</v>
      </c>
      <c r="G47" s="125">
        <f>B47*D47*1.1</f>
        <v>1421784.7489999998</v>
      </c>
      <c r="H47" s="131"/>
    </row>
    <row r="48" spans="1:8" x14ac:dyDescent="0.25">
      <c r="A48" s="172" t="s">
        <v>354</v>
      </c>
      <c r="B48" s="175">
        <f>B41</f>
        <v>11016.125999999998</v>
      </c>
      <c r="C48" s="129" t="s">
        <v>2</v>
      </c>
      <c r="D48" s="124">
        <f>70+15</f>
        <v>85</v>
      </c>
      <c r="E48" s="130" t="s">
        <v>170</v>
      </c>
      <c r="F48" s="202"/>
      <c r="G48" s="125">
        <f>B48*D48*1.1</f>
        <v>1030007.781</v>
      </c>
      <c r="H48" s="131"/>
    </row>
    <row r="49" spans="1:8" x14ac:dyDescent="0.25">
      <c r="A49" s="346" t="s">
        <v>17</v>
      </c>
      <c r="B49" s="347"/>
      <c r="C49" s="347"/>
      <c r="D49" s="347"/>
      <c r="E49" s="347"/>
      <c r="F49" s="347"/>
      <c r="G49" s="122">
        <f>SUM(G47:G48)</f>
        <v>2451792.5299999998</v>
      </c>
      <c r="H49" s="121"/>
    </row>
    <row r="50" spans="1:8" x14ac:dyDescent="0.25">
      <c r="A50" s="355"/>
      <c r="B50" s="356"/>
      <c r="C50" s="356"/>
      <c r="D50" s="356"/>
      <c r="E50" s="356"/>
      <c r="F50" s="356"/>
      <c r="G50" s="167"/>
      <c r="H50" s="118"/>
    </row>
    <row r="51" spans="1:8" x14ac:dyDescent="0.25">
      <c r="A51" s="144" t="s">
        <v>214</v>
      </c>
      <c r="B51" s="143"/>
      <c r="C51" s="142"/>
      <c r="D51" s="141"/>
      <c r="E51" s="140"/>
      <c r="F51" s="140"/>
      <c r="G51" s="140"/>
      <c r="H51" s="139"/>
    </row>
    <row r="52" spans="1:8" x14ac:dyDescent="0.25">
      <c r="A52" s="138"/>
      <c r="B52" s="137"/>
      <c r="C52" s="136"/>
      <c r="D52" s="135"/>
      <c r="E52" s="135"/>
      <c r="F52" s="135"/>
      <c r="H52" s="131"/>
    </row>
    <row r="53" spans="1:8" x14ac:dyDescent="0.25">
      <c r="A53" s="134" t="s">
        <v>14</v>
      </c>
      <c r="B53" s="348" t="s">
        <v>18</v>
      </c>
      <c r="C53" s="349"/>
      <c r="D53" s="350" t="s">
        <v>5</v>
      </c>
      <c r="E53" s="351"/>
      <c r="F53" s="133" t="s">
        <v>182</v>
      </c>
      <c r="G53" s="132" t="s">
        <v>16</v>
      </c>
      <c r="H53" s="131"/>
    </row>
    <row r="54" spans="1:8" x14ac:dyDescent="0.25">
      <c r="A54" s="172" t="s">
        <v>327</v>
      </c>
      <c r="B54" s="175">
        <f>40.83</f>
        <v>40.83</v>
      </c>
      <c r="C54" s="129" t="s">
        <v>119</v>
      </c>
      <c r="D54" s="124">
        <v>150</v>
      </c>
      <c r="E54" s="130" t="s">
        <v>170</v>
      </c>
      <c r="F54" s="126" t="s">
        <v>213</v>
      </c>
      <c r="G54" s="125">
        <f>B54*D54*1.1</f>
        <v>6736.9500000000007</v>
      </c>
      <c r="H54" s="131"/>
    </row>
    <row r="55" spans="1:8" x14ac:dyDescent="0.25">
      <c r="A55" s="172" t="s">
        <v>468</v>
      </c>
      <c r="B55" s="175"/>
      <c r="C55" s="129" t="s">
        <v>120</v>
      </c>
      <c r="D55" s="205">
        <v>650</v>
      </c>
      <c r="E55" s="130" t="s">
        <v>363</v>
      </c>
      <c r="F55" s="202"/>
      <c r="G55" s="125">
        <f>B55*D55*1.1</f>
        <v>0</v>
      </c>
      <c r="H55" s="131"/>
    </row>
    <row r="56" spans="1:8" x14ac:dyDescent="0.25">
      <c r="A56" s="346"/>
      <c r="B56" s="347"/>
      <c r="C56" s="347"/>
      <c r="D56" s="347"/>
      <c r="E56" s="347"/>
      <c r="F56" s="347"/>
      <c r="G56" s="122">
        <f>SUM(G54:G55)</f>
        <v>6736.9500000000007</v>
      </c>
      <c r="H56" s="121"/>
    </row>
    <row r="57" spans="1:8" x14ac:dyDescent="0.25">
      <c r="A57" s="344"/>
      <c r="B57" s="345"/>
      <c r="C57" s="345"/>
      <c r="D57" s="345"/>
      <c r="E57" s="345"/>
      <c r="F57" s="345"/>
      <c r="G57" s="167"/>
      <c r="H57" s="118"/>
    </row>
    <row r="58" spans="1:8" x14ac:dyDescent="0.25">
      <c r="G58" s="115"/>
    </row>
    <row r="59" spans="1:8" x14ac:dyDescent="0.25">
      <c r="A59" s="343" t="s">
        <v>212</v>
      </c>
      <c r="B59" s="343"/>
      <c r="C59" s="343"/>
      <c r="D59" s="343"/>
      <c r="E59" s="343"/>
      <c r="F59" s="343"/>
      <c r="G59" s="117">
        <f>G49+G42+G56</f>
        <v>5198768.1900000004</v>
      </c>
      <c r="H59" s="116">
        <f>G59/AREAS!H5</f>
        <v>151.99305548754043</v>
      </c>
    </row>
  </sheetData>
  <mergeCells count="27">
    <mergeCell ref="A57:F57"/>
    <mergeCell ref="A59:F59"/>
    <mergeCell ref="A49:F49"/>
    <mergeCell ref="A50:F50"/>
    <mergeCell ref="B53:C53"/>
    <mergeCell ref="D53:E53"/>
    <mergeCell ref="A56:F56"/>
    <mergeCell ref="B39:C39"/>
    <mergeCell ref="D39:E39"/>
    <mergeCell ref="A42:F42"/>
    <mergeCell ref="A43:F43"/>
    <mergeCell ref="B46:C46"/>
    <mergeCell ref="D46:E46"/>
    <mergeCell ref="B21:C21"/>
    <mergeCell ref="D21:E21"/>
    <mergeCell ref="A34:F34"/>
    <mergeCell ref="A24:F24"/>
    <mergeCell ref="A25:F25"/>
    <mergeCell ref="A32:F32"/>
    <mergeCell ref="B28:C28"/>
    <mergeCell ref="D28:E28"/>
    <mergeCell ref="A31:F31"/>
    <mergeCell ref="B14:C14"/>
    <mergeCell ref="D14:E14"/>
    <mergeCell ref="A2:A4"/>
    <mergeCell ref="A17:F17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dimension ref="A1:J35"/>
  <sheetViews>
    <sheetView showGridLines="0" topLeftCell="A7" zoomScale="85" zoomScaleNormal="85" zoomScaleSheetLayoutView="95" workbookViewId="0">
      <selection activeCell="C42" sqref="C42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315" t="s">
        <v>283</v>
      </c>
      <c r="B2" s="316"/>
      <c r="C2" s="316"/>
      <c r="D2" s="316"/>
      <c r="E2" s="316"/>
      <c r="F2" s="316"/>
      <c r="G2" s="317"/>
      <c r="I2" s="2"/>
    </row>
    <row r="3" spans="1:10" s="55" customFormat="1" x14ac:dyDescent="0.25">
      <c r="A3" s="187" t="s">
        <v>184</v>
      </c>
      <c r="B3" s="193">
        <v>45460</v>
      </c>
      <c r="C3" s="191"/>
      <c r="D3" s="191"/>
      <c r="E3" s="191"/>
      <c r="F3" s="191"/>
      <c r="G3" s="191"/>
      <c r="H3" s="192"/>
      <c r="J3" s="79"/>
    </row>
    <row r="4" spans="1:10" s="55" customFormat="1" x14ac:dyDescent="0.25">
      <c r="A4" s="187" t="s">
        <v>295</v>
      </c>
      <c r="B4" s="194" t="s">
        <v>213</v>
      </c>
      <c r="C4" s="189"/>
      <c r="D4" s="189"/>
      <c r="E4" s="189"/>
      <c r="F4" s="189"/>
      <c r="G4" s="189"/>
      <c r="H4" s="190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472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319" t="s">
        <v>5</v>
      </c>
      <c r="C8" s="320"/>
      <c r="D8" s="319" t="s">
        <v>18</v>
      </c>
      <c r="E8" s="320"/>
      <c r="F8" s="71" t="s">
        <v>16</v>
      </c>
      <c r="G8" s="59"/>
    </row>
    <row r="9" spans="1:10" s="55" customFormat="1" ht="21.75" x14ac:dyDescent="0.25">
      <c r="A9" s="66" t="s">
        <v>282</v>
      </c>
      <c r="B9" s="62">
        <v>1750</v>
      </c>
      <c r="C9" s="62" t="s">
        <v>281</v>
      </c>
      <c r="D9" s="67">
        <f>AREAS!G30</f>
        <v>2214.7049999999999</v>
      </c>
      <c r="E9" s="67" t="s">
        <v>2</v>
      </c>
      <c r="F9" s="89">
        <f>D9*B9*1.1</f>
        <v>4263307.125</v>
      </c>
      <c r="G9" s="57"/>
    </row>
    <row r="10" spans="1:10" s="55" customFormat="1" ht="21.75" x14ac:dyDescent="0.25">
      <c r="A10" s="66" t="s">
        <v>280</v>
      </c>
      <c r="B10" s="62">
        <v>20</v>
      </c>
      <c r="C10" s="62" t="s">
        <v>6</v>
      </c>
      <c r="D10" s="67">
        <f>B10*AREAS!$G$5</f>
        <v>772203.5</v>
      </c>
      <c r="E10" s="67" t="s">
        <v>358</v>
      </c>
      <c r="F10" s="89">
        <f>D10*1.1</f>
        <v>849423.85000000009</v>
      </c>
      <c r="G10" s="57"/>
    </row>
    <row r="11" spans="1:10" s="55" customFormat="1" ht="21.75" x14ac:dyDescent="0.25">
      <c r="A11" s="66" t="s">
        <v>279</v>
      </c>
      <c r="B11" s="62">
        <v>24</v>
      </c>
      <c r="C11" s="62" t="s">
        <v>6</v>
      </c>
      <c r="D11" s="67">
        <f>B11*AREAS!$G$5</f>
        <v>926644.20000000007</v>
      </c>
      <c r="E11" s="67" t="s">
        <v>358</v>
      </c>
      <c r="F11" s="89">
        <f t="shared" ref="F11:F16" si="0">D11*1.1</f>
        <v>1019308.6200000001</v>
      </c>
      <c r="G11" s="57"/>
    </row>
    <row r="12" spans="1:10" s="55" customFormat="1" ht="21.75" x14ac:dyDescent="0.25">
      <c r="A12" s="280" t="s">
        <v>474</v>
      </c>
      <c r="B12" s="62">
        <v>20</v>
      </c>
      <c r="C12" s="62" t="s">
        <v>6</v>
      </c>
      <c r="D12" s="67">
        <f>B12*AREAS!$G$5</f>
        <v>772203.5</v>
      </c>
      <c r="E12" s="67" t="s">
        <v>358</v>
      </c>
      <c r="F12" s="89">
        <f t="shared" ref="F12" si="1">D12*1.1</f>
        <v>849423.85000000009</v>
      </c>
      <c r="G12" s="57"/>
    </row>
    <row r="13" spans="1:10" s="55" customFormat="1" ht="21.75" x14ac:dyDescent="0.25">
      <c r="A13" s="66" t="s">
        <v>469</v>
      </c>
      <c r="B13" s="62">
        <v>550</v>
      </c>
      <c r="C13" s="62" t="s">
        <v>170</v>
      </c>
      <c r="D13" s="67">
        <v>195.3</v>
      </c>
      <c r="E13" s="67" t="s">
        <v>358</v>
      </c>
      <c r="F13" s="89">
        <f>D13*B13*1.1</f>
        <v>118156.50000000001</v>
      </c>
      <c r="G13" s="57"/>
    </row>
    <row r="14" spans="1:10" s="55" customFormat="1" ht="21.75" x14ac:dyDescent="0.25">
      <c r="A14" s="66" t="s">
        <v>278</v>
      </c>
      <c r="B14" s="62">
        <v>15</v>
      </c>
      <c r="C14" s="62" t="s">
        <v>6</v>
      </c>
      <c r="D14" s="67">
        <f>B14*AREAS!$G$5</f>
        <v>579152.625</v>
      </c>
      <c r="E14" s="67" t="s">
        <v>358</v>
      </c>
      <c r="F14" s="89">
        <f t="shared" si="0"/>
        <v>637067.88750000007</v>
      </c>
      <c r="G14" s="57"/>
    </row>
    <row r="15" spans="1:10" s="55" customFormat="1" ht="21.75" x14ac:dyDescent="0.25">
      <c r="A15" s="66" t="s">
        <v>277</v>
      </c>
      <c r="B15" s="62">
        <v>5</v>
      </c>
      <c r="C15" s="62" t="s">
        <v>6</v>
      </c>
      <c r="D15" s="67">
        <f>B15*AREAS!$G$5</f>
        <v>193050.875</v>
      </c>
      <c r="E15" s="67" t="s">
        <v>358</v>
      </c>
      <c r="F15" s="89">
        <f t="shared" si="0"/>
        <v>212355.96250000002</v>
      </c>
      <c r="G15" s="57"/>
    </row>
    <row r="16" spans="1:10" s="55" customFormat="1" ht="21.75" x14ac:dyDescent="0.25">
      <c r="A16" s="66" t="s">
        <v>276</v>
      </c>
      <c r="B16" s="62">
        <v>15</v>
      </c>
      <c r="C16" s="62" t="s">
        <v>6</v>
      </c>
      <c r="D16" s="67">
        <f>B16*AREAS!$G$5</f>
        <v>579152.625</v>
      </c>
      <c r="E16" s="67" t="s">
        <v>358</v>
      </c>
      <c r="F16" s="89">
        <f t="shared" si="0"/>
        <v>637067.88750000007</v>
      </c>
      <c r="G16" s="57"/>
    </row>
    <row r="17" spans="1:7" s="55" customFormat="1" ht="21.75" x14ac:dyDescent="0.25">
      <c r="A17" s="314" t="s">
        <v>17</v>
      </c>
      <c r="B17" s="314"/>
      <c r="C17" s="314"/>
      <c r="D17" s="110"/>
      <c r="E17" s="110"/>
      <c r="F17" s="90">
        <f>SUM(F9:F16)</f>
        <v>8586111.682500001</v>
      </c>
      <c r="G17" s="60"/>
    </row>
    <row r="18" spans="1:7" s="55" customFormat="1" ht="21.75" x14ac:dyDescent="0.25">
      <c r="A18" s="318"/>
      <c r="B18" s="318"/>
      <c r="C18" s="318"/>
      <c r="D18" s="111"/>
      <c r="E18" s="111"/>
      <c r="F18" s="59"/>
      <c r="G18" s="59"/>
    </row>
    <row r="19" spans="1:7" ht="23.25" customHeight="1" x14ac:dyDescent="0.25">
      <c r="A19" s="311" t="s">
        <v>275</v>
      </c>
      <c r="B19" s="312"/>
      <c r="C19" s="313"/>
      <c r="D19" s="109"/>
      <c r="E19" s="109"/>
      <c r="F19" s="108">
        <f>F17</f>
        <v>8586111.682500001</v>
      </c>
      <c r="G19" s="108">
        <f>F19/AREAS!G5</f>
        <v>222.37950702114145</v>
      </c>
    </row>
    <row r="21" spans="1:7" s="55" customFormat="1" ht="21.75" x14ac:dyDescent="0.25">
      <c r="A21" s="52" t="s">
        <v>471</v>
      </c>
      <c r="B21" s="53"/>
      <c r="C21" s="53"/>
      <c r="D21" s="53"/>
      <c r="E21" s="53"/>
      <c r="F21" s="53"/>
      <c r="G21" s="53"/>
    </row>
    <row r="22" spans="1:7" s="55" customFormat="1" ht="21.75" x14ac:dyDescent="0.25">
      <c r="A22" s="56"/>
      <c r="B22" s="57"/>
      <c r="C22" s="57"/>
      <c r="D22" s="57"/>
      <c r="E22" s="57"/>
      <c r="F22" s="59"/>
      <c r="G22" s="59"/>
    </row>
    <row r="23" spans="1:7" s="55" customFormat="1" ht="42" customHeight="1" x14ac:dyDescent="0.25">
      <c r="A23" s="63" t="s">
        <v>14</v>
      </c>
      <c r="B23" s="319" t="s">
        <v>5</v>
      </c>
      <c r="C23" s="320"/>
      <c r="D23" s="319" t="s">
        <v>18</v>
      </c>
      <c r="E23" s="320"/>
      <c r="F23" s="71" t="s">
        <v>16</v>
      </c>
      <c r="G23" s="59"/>
    </row>
    <row r="24" spans="1:7" s="55" customFormat="1" ht="21.75" x14ac:dyDescent="0.25">
      <c r="A24" s="66" t="s">
        <v>282</v>
      </c>
      <c r="B24" s="62">
        <v>1750</v>
      </c>
      <c r="C24" s="62" t="s">
        <v>281</v>
      </c>
      <c r="D24" s="67">
        <f>AREAS!H30</f>
        <v>2769.3150000000001</v>
      </c>
      <c r="E24" s="67" t="s">
        <v>2</v>
      </c>
      <c r="F24" s="89">
        <f>D24*B24*1.1</f>
        <v>5330931.375</v>
      </c>
      <c r="G24" s="57"/>
    </row>
    <row r="25" spans="1:7" s="55" customFormat="1" ht="21.75" x14ac:dyDescent="0.25">
      <c r="A25" s="66" t="s">
        <v>280</v>
      </c>
      <c r="B25" s="62">
        <v>10</v>
      </c>
      <c r="C25" s="62" t="s">
        <v>6</v>
      </c>
      <c r="D25" s="67">
        <f>B25*AREAS!$H$5</f>
        <v>342039.85</v>
      </c>
      <c r="E25" s="67" t="s">
        <v>358</v>
      </c>
      <c r="F25" s="89">
        <f>D25*1.1</f>
        <v>376243.83500000002</v>
      </c>
      <c r="G25" s="57"/>
    </row>
    <row r="26" spans="1:7" s="55" customFormat="1" ht="21.75" x14ac:dyDescent="0.25">
      <c r="A26" s="66" t="s">
        <v>279</v>
      </c>
      <c r="B26" s="62">
        <v>24</v>
      </c>
      <c r="C26" s="62" t="s">
        <v>6</v>
      </c>
      <c r="D26" s="67">
        <f>B26*AREAS!$H$5</f>
        <v>820895.64</v>
      </c>
      <c r="E26" s="67" t="s">
        <v>358</v>
      </c>
      <c r="F26" s="89">
        <f t="shared" ref="F26:F27" si="2">D26*1.1</f>
        <v>902985.20400000014</v>
      </c>
      <c r="G26" s="57"/>
    </row>
    <row r="27" spans="1:7" s="55" customFormat="1" ht="21.75" x14ac:dyDescent="0.25">
      <c r="A27" s="280" t="s">
        <v>474</v>
      </c>
      <c r="B27" s="62">
        <v>20</v>
      </c>
      <c r="C27" s="62" t="s">
        <v>6</v>
      </c>
      <c r="D27" s="67">
        <f>B27*AREAS!$H$5</f>
        <v>684079.7</v>
      </c>
      <c r="E27" s="67" t="s">
        <v>358</v>
      </c>
      <c r="F27" s="89">
        <f t="shared" si="2"/>
        <v>752487.67</v>
      </c>
      <c r="G27" s="57"/>
    </row>
    <row r="28" spans="1:7" s="55" customFormat="1" ht="21.75" x14ac:dyDescent="0.25">
      <c r="A28" s="66" t="s">
        <v>470</v>
      </c>
      <c r="B28" s="62">
        <v>550</v>
      </c>
      <c r="C28" s="62" t="s">
        <v>170</v>
      </c>
      <c r="D28" s="67">
        <v>110.67</v>
      </c>
      <c r="E28" s="67" t="s">
        <v>358</v>
      </c>
      <c r="F28" s="89">
        <f>D28*B28*1.1</f>
        <v>66955.350000000006</v>
      </c>
      <c r="G28" s="57"/>
    </row>
    <row r="29" spans="1:7" s="55" customFormat="1" ht="21.75" x14ac:dyDescent="0.25">
      <c r="A29" s="66" t="s">
        <v>473</v>
      </c>
      <c r="B29" s="62">
        <f>172734.56/111.47</f>
        <v>1549.6058132232888</v>
      </c>
      <c r="C29" s="62" t="s">
        <v>170</v>
      </c>
      <c r="D29" s="67">
        <f>76.81</f>
        <v>76.81</v>
      </c>
      <c r="E29" s="67" t="s">
        <v>358</v>
      </c>
      <c r="F29" s="89">
        <f>D29*B29*1.1</f>
        <v>130927.7447650489</v>
      </c>
      <c r="G29" s="57"/>
    </row>
    <row r="30" spans="1:7" s="55" customFormat="1" ht="21.75" x14ac:dyDescent="0.25">
      <c r="A30" s="66" t="s">
        <v>278</v>
      </c>
      <c r="B30" s="62">
        <v>15</v>
      </c>
      <c r="C30" s="62" t="s">
        <v>6</v>
      </c>
      <c r="D30" s="67">
        <f>B30*AREAS!$H$5</f>
        <v>513059.77500000002</v>
      </c>
      <c r="E30" s="67" t="s">
        <v>358</v>
      </c>
      <c r="F30" s="89">
        <f t="shared" ref="F30:F32" si="3">D30*1.1</f>
        <v>564365.75250000006</v>
      </c>
      <c r="G30" s="57"/>
    </row>
    <row r="31" spans="1:7" s="55" customFormat="1" ht="21.75" x14ac:dyDescent="0.25">
      <c r="A31" s="66" t="s">
        <v>277</v>
      </c>
      <c r="B31" s="62">
        <v>5</v>
      </c>
      <c r="C31" s="62" t="s">
        <v>6</v>
      </c>
      <c r="D31" s="67">
        <f>B31*AREAS!$H$5</f>
        <v>171019.92499999999</v>
      </c>
      <c r="E31" s="67" t="s">
        <v>358</v>
      </c>
      <c r="F31" s="89">
        <f t="shared" si="3"/>
        <v>188121.91750000001</v>
      </c>
      <c r="G31" s="57"/>
    </row>
    <row r="32" spans="1:7" s="55" customFormat="1" ht="21.75" x14ac:dyDescent="0.25">
      <c r="A32" s="66" t="s">
        <v>276</v>
      </c>
      <c r="B32" s="62">
        <v>15</v>
      </c>
      <c r="C32" s="62" t="s">
        <v>6</v>
      </c>
      <c r="D32" s="67">
        <f>B32*AREAS!$H$5</f>
        <v>513059.77500000002</v>
      </c>
      <c r="E32" s="67" t="s">
        <v>358</v>
      </c>
      <c r="F32" s="89">
        <f t="shared" si="3"/>
        <v>564365.75250000006</v>
      </c>
      <c r="G32" s="57"/>
    </row>
    <row r="33" spans="1:7" s="55" customFormat="1" ht="21.75" x14ac:dyDescent="0.25">
      <c r="A33" s="314" t="s">
        <v>17</v>
      </c>
      <c r="B33" s="314"/>
      <c r="C33" s="314"/>
      <c r="D33" s="110"/>
      <c r="E33" s="110"/>
      <c r="F33" s="90">
        <f>SUM(F24:F32)</f>
        <v>8877384.6012650486</v>
      </c>
      <c r="G33" s="60"/>
    </row>
    <row r="34" spans="1:7" s="55" customFormat="1" ht="21.75" x14ac:dyDescent="0.25">
      <c r="A34" s="318"/>
      <c r="B34" s="318"/>
      <c r="C34" s="318"/>
      <c r="D34" s="111"/>
      <c r="E34" s="111"/>
      <c r="F34" s="59"/>
      <c r="G34" s="59"/>
    </row>
    <row r="35" spans="1:7" ht="23.25" customHeight="1" x14ac:dyDescent="0.25">
      <c r="A35" s="311" t="s">
        <v>275</v>
      </c>
      <c r="B35" s="312"/>
      <c r="C35" s="313"/>
      <c r="D35" s="109"/>
      <c r="E35" s="109"/>
      <c r="F35" s="108">
        <f>F33</f>
        <v>8877384.6012650486</v>
      </c>
      <c r="G35" s="108">
        <f>F35/AREAS!H5</f>
        <v>259.54240715709142</v>
      </c>
    </row>
  </sheetData>
  <mergeCells count="11">
    <mergeCell ref="B23:C23"/>
    <mergeCell ref="D23:E23"/>
    <mergeCell ref="A33:C33"/>
    <mergeCell ref="A34:C34"/>
    <mergeCell ref="A35:C35"/>
    <mergeCell ref="A19:C19"/>
    <mergeCell ref="B8:C8"/>
    <mergeCell ref="D8:E8"/>
    <mergeCell ref="A2:G2"/>
    <mergeCell ref="A17:C17"/>
    <mergeCell ref="A18:C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32</vt:i4>
      </vt:variant>
    </vt:vector>
  </HeadingPairs>
  <TitlesOfParts>
    <vt:vector size="54" baseType="lpstr">
      <vt:lpstr>DADOS_INICIAIS</vt:lpstr>
      <vt:lpstr>AREAS</vt:lpstr>
      <vt:lpstr>MOVIMENTAÇÃO_DE_TERRA</vt:lpstr>
      <vt:lpstr>CONTENÇÕES</vt:lpstr>
      <vt:lpstr>INFRAESTRUTURA</vt:lpstr>
      <vt:lpstr>CONTENÇÕES (2)</vt:lpstr>
      <vt:lpstr>SUPRAESTRUTURA</vt:lpstr>
      <vt:lpstr>ALVENARIA</vt:lpstr>
      <vt:lpstr>INSTALAÇÕES</vt:lpstr>
      <vt:lpstr>SISTEMAS ESPECIAIS 3</vt:lpstr>
      <vt:lpstr>SISTEMAS ESPECIAIS 4</vt:lpstr>
      <vt:lpstr>IMPERMEABILIZAÇÃO</vt:lpstr>
      <vt:lpstr>AMBIENTES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'CONTENÇÕES (2)'!Area_de_impressao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 3'!Area_de_impressao</vt:lpstr>
      <vt:lpstr>'SISTEMAS ESPECIAIS 4'!Area_de_impressao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'CONTENÇÕES (2)'!Titulos_de_impressao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2025-04-16T10:35:22Z</dcterms:modified>
</cp:coreProperties>
</file>