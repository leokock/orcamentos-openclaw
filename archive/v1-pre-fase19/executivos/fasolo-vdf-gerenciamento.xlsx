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3yKNr2hhRA0GbQIO8vllgyIAn1o3hAKc\Fasolo - 09.2021\01. Integração\"/>
    </mc:Choice>
  </mc:AlternateContent>
  <xr:revisionPtr revIDLastSave="0" documentId="8_{A949C906-2F69-43DC-A1EA-A06E447A556A}" xr6:coauthVersionLast="45" xr6:coauthVersionMax="45" xr10:uidLastSave="{00000000-0000-0000-0000-000000000000}"/>
  <bookViews>
    <workbookView xWindow="28680" yWindow="2310" windowWidth="20640" windowHeight="11160" tabRatio="831" firstSheet="11" activeTab="17" xr2:uid="{00000000-000D-0000-FFFF-FFFF00000000}"/>
  </bookViews>
  <sheets>
    <sheet name="Dados Gerais" sheetId="14" r:id="rId1"/>
    <sheet name="Resumo" sheetId="35" r:id="rId2"/>
    <sheet name="Movimentação de Terra" sheetId="13" r:id="rId3"/>
    <sheet name="Infraestrutura" sheetId="21" r:id="rId4"/>
    <sheet name="Supraestrutura" sheetId="22" r:id="rId5"/>
    <sheet name="Marina" sheetId="36" r:id="rId6"/>
    <sheet name="Alvenaria" sheetId="23" r:id="rId7"/>
    <sheet name="Instalações" sheetId="24" r:id="rId8"/>
    <sheet name="Impermeabilização" sheetId="25" r:id="rId9"/>
    <sheet name="Rev. Internos Piso e Parede" sheetId="26" r:id="rId10"/>
    <sheet name="Acabamentos de Teto" sheetId="27" r:id="rId11"/>
    <sheet name="Acabamentos de Piso e Parede" sheetId="28" r:id="rId12"/>
    <sheet name="Pintura Interna" sheetId="29" r:id="rId13"/>
    <sheet name="Esquadrias" sheetId="30" r:id="rId14"/>
    <sheet name="Rev. Fachada" sheetId="31" r:id="rId15"/>
    <sheet name="Cobertura" sheetId="33" r:id="rId16"/>
    <sheet name="Equipamentos" sheetId="32" r:id="rId17"/>
    <sheet name="Complementares" sheetId="34" r:id="rId18"/>
  </sheets>
  <definedNames>
    <definedName name="_xlnm.Print_Area" localSheetId="11">'Acabamentos de Piso e Parede'!$A$1:$K$20</definedName>
    <definedName name="_xlnm.Print_Area" localSheetId="10">'Acabamentos de Teto'!$A$1:$K$20</definedName>
    <definedName name="_xlnm.Print_Area" localSheetId="6">Alvenaria!$A$1:$K$24</definedName>
    <definedName name="_xlnm.Print_Area" localSheetId="15">Cobertura!$A$1:$K$17</definedName>
    <definedName name="_xlnm.Print_Area" localSheetId="17">Complementares!$A$1:$K$21</definedName>
    <definedName name="_xlnm.Print_Area" localSheetId="16">Equipamentos!$A$1:$K$22</definedName>
    <definedName name="_xlnm.Print_Area" localSheetId="13">Esquadrias!$A$1:$K$24</definedName>
    <definedName name="_xlnm.Print_Area" localSheetId="8">Impermeabilização!$A$1:$K$24</definedName>
    <definedName name="_xlnm.Print_Area" localSheetId="3">Infraestrutura!$A$1:$K$38</definedName>
    <definedName name="_xlnm.Print_Area" localSheetId="7">Instalações!$A$1:$K$25</definedName>
    <definedName name="_xlnm.Print_Area" localSheetId="5">Marina!$A$1:$K$25</definedName>
    <definedName name="_xlnm.Print_Area" localSheetId="2">'Movimentação de Terra'!$A$1:$K$40</definedName>
    <definedName name="_xlnm.Print_Area" localSheetId="12">'Pintura Interna'!$A$1:$K$17</definedName>
    <definedName name="_xlnm.Print_Area" localSheetId="1">Resumo!$A$1:$I$43</definedName>
    <definedName name="_xlnm.Print_Area" localSheetId="14">'Rev. Fachada'!$A$1:$K$26</definedName>
    <definedName name="_xlnm.Print_Area" localSheetId="9">'Rev. Internos Piso e Parede'!$A$1:$K$20</definedName>
    <definedName name="_xlnm.Print_Area" localSheetId="4">Supraestrutura!$A$1:$K$26</definedName>
    <definedName name="_xlnm.Print_Titles" localSheetId="11">'Acabamentos de Piso e Parede'!$7:$11</definedName>
    <definedName name="_xlnm.Print_Titles" localSheetId="10">'Acabamentos de Teto'!$7:$11</definedName>
    <definedName name="_xlnm.Print_Titles" localSheetId="6">Alvenaria!$7:$11</definedName>
    <definedName name="_xlnm.Print_Titles" localSheetId="15">Cobertura!$7:$11</definedName>
    <definedName name="_xlnm.Print_Titles" localSheetId="17">Complementares!$7:$11</definedName>
    <definedName name="_xlnm.Print_Titles" localSheetId="0">'Dados Gerais'!$7:$11</definedName>
    <definedName name="_xlnm.Print_Titles" localSheetId="16">Equipamentos!$7:$11</definedName>
    <definedName name="_xlnm.Print_Titles" localSheetId="13">Esquadrias!$7:$11</definedName>
    <definedName name="_xlnm.Print_Titles" localSheetId="8">Impermeabilização!$7:$11</definedName>
    <definedName name="_xlnm.Print_Titles" localSheetId="3">Infraestrutura!$7:$11</definedName>
    <definedName name="_xlnm.Print_Titles" localSheetId="7">Instalações!$7:$11</definedName>
    <definedName name="_xlnm.Print_Titles" localSheetId="5">Marina!$7:$11</definedName>
    <definedName name="_xlnm.Print_Titles" localSheetId="2">'Movimentação de Terra'!$7:$11</definedName>
    <definedName name="_xlnm.Print_Titles" localSheetId="12">'Pintura Interna'!$7:$11</definedName>
    <definedName name="_xlnm.Print_Titles" localSheetId="1">Resumo!$7:$11</definedName>
    <definedName name="_xlnm.Print_Titles" localSheetId="14">'Rev. Fachada'!$7:$11</definedName>
    <definedName name="_xlnm.Print_Titles" localSheetId="9">'Rev. Internos Piso e Parede'!$7:$11</definedName>
    <definedName name="_xlnm.Print_Titles" localSheetId="4">Supraestrutura!$7:$11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3" i="34" l="1"/>
  <c r="I21" i="32"/>
  <c r="J24" i="32"/>
  <c r="I32" i="31"/>
  <c r="D24" i="31"/>
  <c r="I18" i="31"/>
  <c r="J19" i="29"/>
  <c r="J22" i="28"/>
  <c r="J24" i="27"/>
  <c r="K22" i="26"/>
  <c r="M45" i="24"/>
  <c r="J26" i="23"/>
  <c r="I33" i="21"/>
  <c r="I34" i="21"/>
  <c r="I17" i="31"/>
  <c r="I16" i="31"/>
  <c r="I15" i="31"/>
  <c r="D17" i="31"/>
  <c r="D16" i="31"/>
  <c r="D15" i="31"/>
  <c r="I43" i="21"/>
  <c r="I44" i="21"/>
  <c r="F20" i="32"/>
  <c r="I20" i="32" s="1"/>
  <c r="F18" i="32"/>
  <c r="F17" i="32"/>
  <c r="I33" i="24"/>
  <c r="D15" i="33"/>
  <c r="I15" i="33" s="1"/>
  <c r="I15" i="28"/>
  <c r="I17" i="27"/>
  <c r="I16" i="27"/>
  <c r="I15" i="27"/>
  <c r="I53" i="24"/>
  <c r="K27" i="36"/>
  <c r="I22" i="36"/>
  <c r="I23" i="36" s="1"/>
  <c r="D22" i="36"/>
  <c r="D21" i="36" s="1"/>
  <c r="I21" i="36" s="1"/>
  <c r="I21" i="30"/>
  <c r="I20" i="30"/>
  <c r="I19" i="30"/>
  <c r="I18" i="30"/>
  <c r="I18" i="32" l="1"/>
  <c r="I19" i="32" l="1"/>
  <c r="I24" i="31"/>
  <c r="I25" i="31" s="1"/>
  <c r="I15" i="26"/>
  <c r="D17" i="25"/>
  <c r="D32" i="21"/>
  <c r="I16" i="28" l="1"/>
  <c r="I51" i="24" l="1"/>
  <c r="I45" i="24"/>
  <c r="I44" i="24"/>
  <c r="I43" i="24"/>
  <c r="I20" i="24" l="1"/>
  <c r="D34" i="21" l="1"/>
  <c r="D29" i="13"/>
  <c r="I32" i="21"/>
  <c r="I30" i="13"/>
  <c r="I29" i="13"/>
  <c r="D30" i="13"/>
  <c r="M29" i="13"/>
  <c r="F16" i="36" l="1"/>
  <c r="D16" i="36" s="1"/>
  <c r="F19" i="36"/>
  <c r="D15" i="36"/>
  <c r="I15" i="36" s="1"/>
  <c r="D17" i="36" l="1"/>
  <c r="D19" i="36" s="1"/>
  <c r="D17" i="23"/>
  <c r="D21" i="23" s="1"/>
  <c r="D16" i="23"/>
  <c r="D23" i="22"/>
  <c r="D20" i="36" l="1"/>
  <c r="D18" i="36"/>
  <c r="I18" i="36" s="1"/>
  <c r="D21" i="22"/>
  <c r="I21" i="22" s="1"/>
  <c r="N37" i="21"/>
  <c r="D33" i="21" s="1"/>
  <c r="I20" i="36" l="1"/>
  <c r="I23" i="22"/>
  <c r="D20" i="22"/>
  <c r="I20" i="22" s="1"/>
  <c r="I45" i="21"/>
  <c r="D42" i="21"/>
  <c r="I42" i="21" s="1"/>
  <c r="I46" i="21" l="1"/>
  <c r="D15" i="21"/>
  <c r="D27" i="35" l="1"/>
  <c r="D22" i="22"/>
  <c r="I22" i="22" s="1"/>
  <c r="E27" i="14"/>
  <c r="E24" i="14"/>
  <c r="I15" i="30"/>
  <c r="I16" i="32" l="1"/>
  <c r="I52" i="24" l="1"/>
  <c r="D31" i="31"/>
  <c r="I31" i="31" s="1"/>
  <c r="L17" i="31" l="1"/>
  <c r="I17" i="34"/>
  <c r="I15" i="34" l="1"/>
  <c r="I16" i="34"/>
  <c r="I15" i="32" l="1"/>
  <c r="I18" i="27" l="1"/>
  <c r="D19" i="23"/>
  <c r="I19" i="23" s="1"/>
  <c r="D18" i="23"/>
  <c r="I18" i="23" s="1"/>
  <c r="I17" i="30" l="1"/>
  <c r="D15" i="27" l="1"/>
  <c r="I15" i="24" l="1"/>
  <c r="D17" i="22" l="1"/>
  <c r="I22" i="13"/>
  <c r="D16" i="22" l="1"/>
  <c r="I16" i="22" s="1"/>
  <c r="D15" i="22" l="1"/>
  <c r="I15" i="22" s="1"/>
  <c r="I17" i="23"/>
  <c r="I30" i="31"/>
  <c r="A100" i="35"/>
  <c r="A102" i="35"/>
  <c r="A101" i="35"/>
  <c r="D101" i="35" l="1"/>
  <c r="D102" i="35"/>
  <c r="D16" i="26" l="1"/>
  <c r="I16" i="26" s="1"/>
  <c r="D17" i="26"/>
  <c r="I17" i="26" s="1"/>
  <c r="D15" i="26"/>
  <c r="D20" i="25"/>
  <c r="D19" i="25"/>
  <c r="D20" i="23"/>
  <c r="I20" i="23" s="1"/>
  <c r="I20" i="25" l="1"/>
  <c r="D22" i="25"/>
  <c r="I19" i="25"/>
  <c r="D15" i="25"/>
  <c r="D18" i="22"/>
  <c r="D19" i="22" l="1"/>
  <c r="I19" i="22" s="1"/>
  <c r="I38" i="13" l="1"/>
  <c r="D22" i="21" l="1"/>
  <c r="D20" i="21"/>
  <c r="D16" i="21"/>
  <c r="D17" i="21" s="1"/>
  <c r="I17" i="21" s="1"/>
  <c r="D18" i="21"/>
  <c r="D23" i="21" l="1"/>
  <c r="I23" i="21" s="1"/>
  <c r="D19" i="21"/>
  <c r="I19" i="21" s="1"/>
  <c r="D21" i="21"/>
  <c r="I21" i="21" s="1"/>
  <c r="D25" i="21" l="1"/>
  <c r="D24" i="21" l="1"/>
  <c r="I24" i="21" s="1"/>
  <c r="I26" i="21" s="1"/>
  <c r="D31" i="13"/>
  <c r="I31" i="13" s="1"/>
  <c r="I32" i="13" s="1"/>
  <c r="I42" i="13" s="1"/>
  <c r="I25" i="21"/>
  <c r="D100" i="35"/>
  <c r="I34" i="31"/>
  <c r="D16" i="27"/>
  <c r="I16" i="23" l="1"/>
  <c r="D15" i="23"/>
  <c r="I15" i="23" l="1"/>
  <c r="A123" i="35"/>
  <c r="A109" i="35"/>
  <c r="A116" i="35"/>
  <c r="A93" i="35"/>
  <c r="A79" i="35"/>
  <c r="A86" i="35"/>
  <c r="A72" i="35"/>
  <c r="A65" i="35"/>
  <c r="A58" i="35"/>
  <c r="A51" i="35"/>
  <c r="A50" i="35"/>
  <c r="A49" i="35"/>
  <c r="A48" i="35"/>
  <c r="A41" i="35"/>
  <c r="A34" i="35"/>
  <c r="A26" i="35"/>
  <c r="A25" i="35"/>
  <c r="A17" i="35"/>
  <c r="A16" i="35"/>
  <c r="A15" i="35"/>
  <c r="I18" i="34" l="1"/>
  <c r="I19" i="34"/>
  <c r="I17" i="32"/>
  <c r="D116" i="35" l="1"/>
  <c r="D117" i="35" s="1"/>
  <c r="I20" i="34"/>
  <c r="D123" i="35" s="1"/>
  <c r="D124" i="35" s="1"/>
  <c r="I16" i="33"/>
  <c r="D103" i="35"/>
  <c r="I17" i="28"/>
  <c r="I16" i="30"/>
  <c r="D109" i="35" l="1"/>
  <c r="D110" i="35" s="1"/>
  <c r="J19" i="33"/>
  <c r="I22" i="30"/>
  <c r="I23" i="30" s="1"/>
  <c r="K26" i="30" s="1"/>
  <c r="I15" i="29"/>
  <c r="I16" i="29" s="1"/>
  <c r="D86" i="35" s="1"/>
  <c r="D87" i="35" s="1"/>
  <c r="D93" i="35" l="1"/>
  <c r="D94" i="35" s="1"/>
  <c r="I18" i="28"/>
  <c r="I19" i="28" s="1"/>
  <c r="I18" i="26"/>
  <c r="D79" i="35" l="1"/>
  <c r="D80" i="35" s="1"/>
  <c r="F17" i="27"/>
  <c r="D17" i="27" s="1"/>
  <c r="I19" i="27" s="1"/>
  <c r="I22" i="25"/>
  <c r="I15" i="25"/>
  <c r="I16" i="25"/>
  <c r="I17" i="25"/>
  <c r="I21" i="25"/>
  <c r="I18" i="25"/>
  <c r="I42" i="24"/>
  <c r="I41" i="24"/>
  <c r="I23" i="25" l="1"/>
  <c r="D58" i="35" s="1"/>
  <c r="D59" i="35" s="1"/>
  <c r="I19" i="26"/>
  <c r="I54" i="24"/>
  <c r="D51" i="35" s="1"/>
  <c r="D72" i="35"/>
  <c r="D73" i="35" s="1"/>
  <c r="D50" i="35"/>
  <c r="D65" i="35" l="1"/>
  <c r="D66" i="35" s="1"/>
  <c r="I34" i="24"/>
  <c r="I35" i="24"/>
  <c r="I32" i="24"/>
  <c r="I31" i="24"/>
  <c r="I30" i="24"/>
  <c r="I29" i="24"/>
  <c r="I28" i="24"/>
  <c r="D49" i="35" l="1"/>
  <c r="I16" i="24" l="1"/>
  <c r="I17" i="24"/>
  <c r="I18" i="24"/>
  <c r="I19" i="24"/>
  <c r="I21" i="24"/>
  <c r="I22" i="24"/>
  <c r="I23" i="24" l="1"/>
  <c r="I21" i="23"/>
  <c r="I22" i="23" s="1"/>
  <c r="D48" i="35"/>
  <c r="D52" i="35" l="1"/>
  <c r="D41" i="35"/>
  <c r="I17" i="22"/>
  <c r="D35" i="21"/>
  <c r="I35" i="21" s="1"/>
  <c r="I23" i="13"/>
  <c r="D15" i="35" s="1"/>
  <c r="D15" i="13"/>
  <c r="I15" i="13" s="1"/>
  <c r="D42" i="35" l="1"/>
  <c r="I16" i="13"/>
  <c r="I36" i="21"/>
  <c r="I49" i="21" s="1"/>
  <c r="D25" i="35"/>
  <c r="D26" i="35" l="1"/>
  <c r="D28" i="35" s="1"/>
  <c r="I39" i="13"/>
  <c r="D17" i="35" s="1"/>
  <c r="D16" i="35" l="1"/>
  <c r="D18" i="35" s="1"/>
  <c r="I18" i="22"/>
  <c r="I24" i="22" s="1"/>
  <c r="K28" i="22" s="1"/>
  <c r="D34" i="35" l="1"/>
  <c r="D35" i="35" l="1"/>
</calcChain>
</file>

<file path=xl/sharedStrings.xml><?xml version="1.0" encoding="utf-8"?>
<sst xmlns="http://schemas.openxmlformats.org/spreadsheetml/2006/main" count="1021" uniqueCount="253">
  <si>
    <t>Documento</t>
  </si>
  <si>
    <t>Cliente</t>
  </si>
  <si>
    <t>Obra</t>
  </si>
  <si>
    <t>Data</t>
  </si>
  <si>
    <t>Revisão</t>
  </si>
  <si>
    <t>R00</t>
  </si>
  <si>
    <t>Status</t>
  </si>
  <si>
    <t>Responsável</t>
  </si>
  <si>
    <t>Kelen</t>
  </si>
  <si>
    <t>01</t>
  </si>
  <si>
    <t>UC</t>
  </si>
  <si>
    <t>Em andamento</t>
  </si>
  <si>
    <t>N° total de pavimentos</t>
  </si>
  <si>
    <t>Área do terreno</t>
  </si>
  <si>
    <t>N° de pavimentos tipo</t>
  </si>
  <si>
    <t>Área de projeção da torre</t>
  </si>
  <si>
    <t>Perímetro de projeção da torre</t>
  </si>
  <si>
    <t>Área total construída</t>
  </si>
  <si>
    <t>m²</t>
  </si>
  <si>
    <t>un</t>
  </si>
  <si>
    <t>m</t>
  </si>
  <si>
    <t>Área de subsolos</t>
  </si>
  <si>
    <t>N° de subsolos</t>
  </si>
  <si>
    <t>Locação da obra</t>
  </si>
  <si>
    <t>Parâmetro</t>
  </si>
  <si>
    <t>R$ / AC</t>
  </si>
  <si>
    <t>AT</t>
  </si>
  <si>
    <t>AC</t>
  </si>
  <si>
    <t>NP</t>
  </si>
  <si>
    <t>NPT</t>
  </si>
  <si>
    <t>APT</t>
  </si>
  <si>
    <t>PPT</t>
  </si>
  <si>
    <t>LC</t>
  </si>
  <si>
    <t>AS</t>
  </si>
  <si>
    <t>NS</t>
  </si>
  <si>
    <t>Descrição</t>
  </si>
  <si>
    <t>Identificador</t>
  </si>
  <si>
    <t>Informação</t>
  </si>
  <si>
    <t>R$ / AT</t>
  </si>
  <si>
    <t>Valor total</t>
  </si>
  <si>
    <t>Referência</t>
  </si>
  <si>
    <t>Resp.</t>
  </si>
  <si>
    <t>-</t>
  </si>
  <si>
    <t>TOTAL</t>
  </si>
  <si>
    <t>Concluído</t>
  </si>
  <si>
    <t>EQUIPAMENTOS</t>
  </si>
  <si>
    <r>
      <t xml:space="preserve">ORÇAMENTO PARAMÉTRICO
</t>
    </r>
    <r>
      <rPr>
        <b/>
        <sz val="11"/>
        <color rgb="FF003C66"/>
        <rFont val="Roboto"/>
      </rPr>
      <t>GERENCIAMENTO EXECUTIVO</t>
    </r>
  </si>
  <si>
    <r>
      <t xml:space="preserve">ORÇAMENTO PARAMÉTRICO 
</t>
    </r>
    <r>
      <rPr>
        <b/>
        <sz val="11"/>
        <color rgb="FF003C66"/>
        <rFont val="Roboto"/>
      </rPr>
      <t>GERENCIAMENTO EXECUTIVO</t>
    </r>
  </si>
  <si>
    <r>
      <t xml:space="preserve">ORÇAMENTO PARAMÉTRICO
</t>
    </r>
    <r>
      <rPr>
        <b/>
        <sz val="11"/>
        <color rgb="FF003C66"/>
        <rFont val="Roboto"/>
      </rPr>
      <t>MOVIMENTAÇÃO DE TERRA</t>
    </r>
  </si>
  <si>
    <t>02</t>
  </si>
  <si>
    <t>Escavação</t>
  </si>
  <si>
    <t>R$ / m³</t>
  </si>
  <si>
    <t>Quantidade</t>
  </si>
  <si>
    <t>Pedro Chaves</t>
  </si>
  <si>
    <t>ESCAVAÇÃO E REATERRO DE VALAS</t>
  </si>
  <si>
    <t>Movimentação de terra das estacas</t>
  </si>
  <si>
    <t>REBAIXAMENTO DE LENÇOL</t>
  </si>
  <si>
    <t>Rebaixamento de Lençol</t>
  </si>
  <si>
    <t>Escavação mecanizada para blocos e baldrames</t>
  </si>
  <si>
    <t>Reaterro para blocos e baldrames</t>
  </si>
  <si>
    <t>m³ / AT</t>
  </si>
  <si>
    <t>m³</t>
  </si>
  <si>
    <t xml:space="preserve">Lastro de concreto magro e= 10cm - Blocos </t>
  </si>
  <si>
    <t>Armação</t>
  </si>
  <si>
    <t>Concreto</t>
  </si>
  <si>
    <t>Mão de obra</t>
  </si>
  <si>
    <t>ESCAVAÇÃO</t>
  </si>
  <si>
    <t>kg</t>
  </si>
  <si>
    <t>vb</t>
  </si>
  <si>
    <t>R$ / m²</t>
  </si>
  <si>
    <t>Estaca Hélice Continua Diâmetro 40</t>
  </si>
  <si>
    <t>Estaca Hélice Continua Diâmetro 60</t>
  </si>
  <si>
    <t>FUNDAÇÃO PROFUNDA</t>
  </si>
  <si>
    <t>FUNDAÇÃO RASA</t>
  </si>
  <si>
    <t>Fabricação, montagem e desmontagem de forma para blocos e baldrames</t>
  </si>
  <si>
    <r>
      <t xml:space="preserve">ORÇAMENTO PARAMÉTRICO
</t>
    </r>
    <r>
      <rPr>
        <b/>
        <sz val="11"/>
        <color rgb="FF003C66"/>
        <rFont val="Roboto"/>
      </rPr>
      <t>INFRAESTRUTURA</t>
    </r>
  </si>
  <si>
    <r>
      <t xml:space="preserve">ORÇAMENTO PARAMÉTRICO
</t>
    </r>
    <r>
      <rPr>
        <b/>
        <sz val="11"/>
        <color rgb="FF003C66"/>
        <rFont val="Roboto"/>
      </rPr>
      <t>SUPRAESTRUTURA</t>
    </r>
  </si>
  <si>
    <t>SUPRAESTRUTURA</t>
  </si>
  <si>
    <t>Fabricação forma</t>
  </si>
  <si>
    <t>Montagem de forma</t>
  </si>
  <si>
    <t>Armadura Convencional para Estrutura</t>
  </si>
  <si>
    <t>Escoramento - Torre</t>
  </si>
  <si>
    <t>Escoramento - Embasamento</t>
  </si>
  <si>
    <r>
      <t xml:space="preserve">ORÇAMENTO PARAMÉTRICO
</t>
    </r>
    <r>
      <rPr>
        <b/>
        <sz val="11"/>
        <color rgb="FF003C66"/>
        <rFont val="Roboto"/>
      </rPr>
      <t>ALVENARIA</t>
    </r>
  </si>
  <si>
    <t>ALVENARIA</t>
  </si>
  <si>
    <t>m² / APT</t>
  </si>
  <si>
    <t>Alvenaria embasamento</t>
  </si>
  <si>
    <t>Alvenaria cobertura / reservatório</t>
  </si>
  <si>
    <r>
      <t xml:space="preserve">ORÇAMENTO PARAMÉTRICO
</t>
    </r>
    <r>
      <rPr>
        <b/>
        <sz val="11"/>
        <color rgb="FF003C66"/>
        <rFont val="Roboto"/>
      </rPr>
      <t>INSTALAÇÕES</t>
    </r>
  </si>
  <si>
    <t>INSTALAÇÕES ELÉTRICAS</t>
  </si>
  <si>
    <t>Entrada de Energia</t>
  </si>
  <si>
    <t>Eletrodutos e Eletrocalhas</t>
  </si>
  <si>
    <t>Instalações Embutidas e Aparentes</t>
  </si>
  <si>
    <t>Cabos e Fiações</t>
  </si>
  <si>
    <t>Quadros e Disjuntores</t>
  </si>
  <si>
    <t>Equipamentos e Iluminação</t>
  </si>
  <si>
    <t>Mão de Obra para Instalações Elétricas</t>
  </si>
  <si>
    <t>INSTALAÇÕES HIDRÁULICAS</t>
  </si>
  <si>
    <t>Instalações de Água Fria</t>
  </si>
  <si>
    <t>Instalações de Água Quente</t>
  </si>
  <si>
    <t>Instalações de Águas Pluviais</t>
  </si>
  <si>
    <t>Instalações Sanitárias</t>
  </si>
  <si>
    <t>Suportes</t>
  </si>
  <si>
    <t>Louças e Metais</t>
  </si>
  <si>
    <t>Mão de Obra para Instalações Hidráulicas</t>
  </si>
  <si>
    <t>INSTALAÇÕES PREVENTIVAS E GLP</t>
  </si>
  <si>
    <t>Instalações Preventivas</t>
  </si>
  <si>
    <t>Instalações de GLP</t>
  </si>
  <si>
    <t>CLIMATIZAÇÃO, EXAUSTÃO MECÂNICA E PRESSURIZAÇÃO</t>
  </si>
  <si>
    <t>Infraestrutura para Instalação de Ar Condicionado*</t>
  </si>
  <si>
    <t>Churrasqueiras</t>
  </si>
  <si>
    <t>IMPERMEABILIZAÇÃO</t>
  </si>
  <si>
    <t>Poço do elevador</t>
  </si>
  <si>
    <t>Baldrames</t>
  </si>
  <si>
    <t>Ralos</t>
  </si>
  <si>
    <t>Impermeabilizações cimenticias</t>
  </si>
  <si>
    <t>Impermeabilização de peitoril</t>
  </si>
  <si>
    <t>Regularização de Superfície</t>
  </si>
  <si>
    <r>
      <t xml:space="preserve">ORÇAMENTO PARAMÉTRICO
</t>
    </r>
    <r>
      <rPr>
        <b/>
        <sz val="11"/>
        <color rgb="FF003C66"/>
        <rFont val="Roboto"/>
      </rPr>
      <t>IMPERMEABILIZAÇÃO</t>
    </r>
  </si>
  <si>
    <t>R$ / NP</t>
  </si>
  <si>
    <t>Impermeabilizações com manta asfaltica</t>
  </si>
  <si>
    <t>Proteção Mecânica</t>
  </si>
  <si>
    <r>
      <t>m</t>
    </r>
    <r>
      <rPr>
        <b/>
        <sz val="10"/>
        <color theme="1"/>
        <rFont val="Roboto"/>
      </rPr>
      <t>²</t>
    </r>
    <r>
      <rPr>
        <sz val="10"/>
        <color theme="1"/>
        <rFont val="Roboto"/>
      </rPr>
      <t xml:space="preserve"> / AC</t>
    </r>
  </si>
  <si>
    <t>Chapisco</t>
  </si>
  <si>
    <t>Reboco</t>
  </si>
  <si>
    <t>Contrapiso</t>
  </si>
  <si>
    <t>Forro de Gesso</t>
  </si>
  <si>
    <t>Negativo</t>
  </si>
  <si>
    <t>Cortineiro</t>
  </si>
  <si>
    <t>kg / m³</t>
  </si>
  <si>
    <t>%</t>
  </si>
  <si>
    <r>
      <t xml:space="preserve">ORÇAMENTO PARAMÉTRICO
</t>
    </r>
    <r>
      <rPr>
        <b/>
        <sz val="11"/>
        <color rgb="FF003C66"/>
        <rFont val="Roboto"/>
      </rPr>
      <t>REVESTIMENTOS E ACABAMENTOS INTERNOS EM TETO</t>
    </r>
  </si>
  <si>
    <r>
      <t xml:space="preserve">ORÇAMENTO PARAMÉTRICO
</t>
    </r>
    <r>
      <rPr>
        <b/>
        <sz val="11"/>
        <color rgb="FF003C66"/>
        <rFont val="Roboto"/>
      </rPr>
      <t>REVESTIMENTOS INTERNOS EM PISO E PAREDE</t>
    </r>
  </si>
  <si>
    <r>
      <t xml:space="preserve">ORÇAMENTO PARAMÉTRICO
</t>
    </r>
    <r>
      <rPr>
        <b/>
        <sz val="11"/>
        <color rgb="FF003C66"/>
        <rFont val="Roboto"/>
      </rPr>
      <t>ACABAMENTOS EM PISO E PAREDE</t>
    </r>
  </si>
  <si>
    <t>ACABAMENTOS DE TETO</t>
  </si>
  <si>
    <t>Estucamento</t>
  </si>
  <si>
    <t>ACABAMENTOS EM PISO E PAREDE</t>
  </si>
  <si>
    <t>Revestimentos de Piso</t>
  </si>
  <si>
    <t>Revestimentos de Parede</t>
  </si>
  <si>
    <r>
      <t xml:space="preserve">ORÇAMENTO PARAMÉTRICO
</t>
    </r>
    <r>
      <rPr>
        <b/>
        <sz val="11"/>
        <color rgb="FF003C66"/>
        <rFont val="Roboto"/>
      </rPr>
      <t>PINTURA INTERNA</t>
    </r>
  </si>
  <si>
    <t>PINTURA INTERNA</t>
  </si>
  <si>
    <t>Pintura Interna</t>
  </si>
  <si>
    <r>
      <t xml:space="preserve">ORÇAMENTO PARAMÉTRICO
</t>
    </r>
    <r>
      <rPr>
        <b/>
        <sz val="11"/>
        <color rgb="FF003C66"/>
        <rFont val="Roboto"/>
      </rPr>
      <t>ESQUADRIAS</t>
    </r>
  </si>
  <si>
    <t>ESQUADRIAS</t>
  </si>
  <si>
    <t>Esquadrias Metálicas</t>
  </si>
  <si>
    <t>Esquadrias de Alumínio</t>
  </si>
  <si>
    <t>Esquadrias de Madeira</t>
  </si>
  <si>
    <t>Rodapés</t>
  </si>
  <si>
    <r>
      <t xml:space="preserve">ORÇAMENTO PARAMÉTRICO
</t>
    </r>
    <r>
      <rPr>
        <b/>
        <sz val="11"/>
        <color rgb="FF003C66"/>
        <rFont val="Roboto"/>
      </rPr>
      <t>REVESTIMENTOS E ACABAMENTOS DE FACHADA</t>
    </r>
  </si>
  <si>
    <t>REVESTIMENTOS ARGAMASSADOS</t>
  </si>
  <si>
    <t>PINTURA</t>
  </si>
  <si>
    <t>REVESTIMENTOS ESPECIAIS</t>
  </si>
  <si>
    <r>
      <t xml:space="preserve">ORÇAMENTO PARAMÉTRICO
</t>
    </r>
    <r>
      <rPr>
        <b/>
        <sz val="11"/>
        <color rgb="FF003C66"/>
        <rFont val="Roboto"/>
      </rPr>
      <t>EQUIPAMENTOS</t>
    </r>
  </si>
  <si>
    <t>Elevadores</t>
  </si>
  <si>
    <t>Equipamentos para Piscina</t>
  </si>
  <si>
    <r>
      <t xml:space="preserve">ORÇAMENTO PARAMÉTRICO
</t>
    </r>
    <r>
      <rPr>
        <b/>
        <sz val="11"/>
        <color rgb="FF003C66"/>
        <rFont val="Roboto"/>
      </rPr>
      <t>COBERTURA</t>
    </r>
  </si>
  <si>
    <t>R$</t>
  </si>
  <si>
    <t>SERVIÇOS COMPLEMENTARES</t>
  </si>
  <si>
    <t>Móveis e decoração</t>
  </si>
  <si>
    <t>Equipamentos de lazer</t>
  </si>
  <si>
    <t>Comunicação visual</t>
  </si>
  <si>
    <t>Paisagismo</t>
  </si>
  <si>
    <t>Limpeza</t>
  </si>
  <si>
    <t>MOVIMENTAÇÃO DE TERRA</t>
  </si>
  <si>
    <t>INFRAESTRUTURA</t>
  </si>
  <si>
    <t>INSTALAÇÕES</t>
  </si>
  <si>
    <t>REVESTIMENTOS INTERNOS EM PISO E PAREDE</t>
  </si>
  <si>
    <t>REVESTIMENTOS E ACABAMENTOS INTERNOS EM TETO</t>
  </si>
  <si>
    <t>REVESTIMENTOS DE FACHADA</t>
  </si>
  <si>
    <t>COBERTURA</t>
  </si>
  <si>
    <t>Alvenaria lazer</t>
  </si>
  <si>
    <t>Área do embasamento</t>
  </si>
  <si>
    <t>AE</t>
  </si>
  <si>
    <t>Área Lazer</t>
  </si>
  <si>
    <t>AL</t>
  </si>
  <si>
    <t>m² / AE</t>
  </si>
  <si>
    <t>m² / AL</t>
  </si>
  <si>
    <t>PASS-E</t>
  </si>
  <si>
    <t>m² / AT</t>
  </si>
  <si>
    <t>Número de Estacas</t>
  </si>
  <si>
    <t>Média</t>
  </si>
  <si>
    <t>m / un</t>
  </si>
  <si>
    <t>m³ / m³</t>
  </si>
  <si>
    <t>m² / AC</t>
  </si>
  <si>
    <t>m³ / AC</t>
  </si>
  <si>
    <t>m² / APT*NPT</t>
  </si>
  <si>
    <r>
      <t>m</t>
    </r>
    <r>
      <rPr>
        <sz val="10"/>
        <color theme="1"/>
        <rFont val="Roboto"/>
      </rPr>
      <t xml:space="preserve"> / AC</t>
    </r>
  </si>
  <si>
    <t>Cobertura</t>
  </si>
  <si>
    <t>Textura / Pintura</t>
  </si>
  <si>
    <t>PPE</t>
  </si>
  <si>
    <t>Perímetro de projeção embasamento</t>
  </si>
  <si>
    <t>Área de projeção do embasamento</t>
  </si>
  <si>
    <t>N° de pavimentos de embasamento</t>
  </si>
  <si>
    <t>NPE</t>
  </si>
  <si>
    <t>APE</t>
  </si>
  <si>
    <t>Detalhes</t>
  </si>
  <si>
    <t>REGULARIZAÇÃO E APILOAmENTO DE FUNDO DE VALAS</t>
  </si>
  <si>
    <t>Alvenaria tipo</t>
  </si>
  <si>
    <t>MTH_INC-RES Orçamento Paramétrico</t>
  </si>
  <si>
    <t>Reserva</t>
  </si>
  <si>
    <t>Testada do terreno</t>
  </si>
  <si>
    <t>TT</t>
  </si>
  <si>
    <t>N° de pavimentos duplex</t>
  </si>
  <si>
    <t>NPD</t>
  </si>
  <si>
    <t>un / m²</t>
  </si>
  <si>
    <t>m131</t>
  </si>
  <si>
    <t>Alvenaria tipo diferenciado</t>
  </si>
  <si>
    <t>m132</t>
  </si>
  <si>
    <t>m² / APT*NPD</t>
  </si>
  <si>
    <t>N° de pavimentos tipo diferenciado</t>
  </si>
  <si>
    <t>ND</t>
  </si>
  <si>
    <t>m² / APT*ND</t>
  </si>
  <si>
    <t>R$ / AL</t>
  </si>
  <si>
    <t>Pressurização da escada</t>
  </si>
  <si>
    <t>Gerador</t>
  </si>
  <si>
    <t>Protensão - Material e mão de obra</t>
  </si>
  <si>
    <t xml:space="preserve">Concreto - embasamento </t>
  </si>
  <si>
    <t xml:space="preserve">Concreto - torre </t>
  </si>
  <si>
    <t>Estaca Hélice Continua Diâmetro 80</t>
  </si>
  <si>
    <t>Estaca Hélice Continua Diâmetro 70</t>
  </si>
  <si>
    <t>Mão de obra - estrutura em concreto armado</t>
  </si>
  <si>
    <t>Aço blocos e baldrames</t>
  </si>
  <si>
    <t xml:space="preserve">CONTENÇÃO - PAREDE DIAFRAGMA </t>
  </si>
  <si>
    <t>CONTENÇÃO</t>
  </si>
  <si>
    <t>MARINA</t>
  </si>
  <si>
    <t>Estrutura metálica de sustentação</t>
  </si>
  <si>
    <t>Área de Marina Cond.</t>
  </si>
  <si>
    <t>AMC</t>
  </si>
  <si>
    <t>kg/m²</t>
  </si>
  <si>
    <t>un / AMC</t>
  </si>
  <si>
    <t>Locação Fundação</t>
  </si>
  <si>
    <t>Forma blocos</t>
  </si>
  <si>
    <t>Acabamentos Elétricos</t>
  </si>
  <si>
    <t>Instalações de Proteção e Aterramento - SPDA</t>
  </si>
  <si>
    <t>Mão de Obra</t>
  </si>
  <si>
    <t>Serralherias</t>
  </si>
  <si>
    <t xml:space="preserve">m² </t>
  </si>
  <si>
    <t>Brise da Fachada Móvel</t>
  </si>
  <si>
    <t>Brise Fixo</t>
  </si>
  <si>
    <t>Pele de Vidro</t>
  </si>
  <si>
    <t>Guarda Corpo</t>
  </si>
  <si>
    <t>Revestimentos de Piso - vinílico</t>
  </si>
  <si>
    <t xml:space="preserve">Pastilhas </t>
  </si>
  <si>
    <t>Equipamentos para Sauna</t>
  </si>
  <si>
    <t xml:space="preserve">m³ </t>
  </si>
  <si>
    <t>Alvenaria duplex</t>
  </si>
  <si>
    <t>Equipamentos Marina</t>
  </si>
  <si>
    <t>Equipamentos e Sistemas especiais</t>
  </si>
  <si>
    <t>kg/m³</t>
  </si>
  <si>
    <t>Mureta Guia</t>
  </si>
  <si>
    <t>Chapisco em Estrutura</t>
  </si>
  <si>
    <t>Chapisco em Alvenaria</t>
  </si>
  <si>
    <t>R$ /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</si>
</sst>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D_M_-;\-* #,##0.00\ _D_M_-;_-* &quot;-&quot;??\ _D_M_-;_-@_-"/>
    <numFmt numFmtId="165" formatCode="_-* #,##0.0000_-;\-* #,##0.0000_-;_-* &quot;-&quot;??_-;_-@_-"/>
    <numFmt numFmtId="166" formatCode="_-* #,##0.0000_-;\-* #,##0.0000_-;_-* &quot;-&quot;????_-;_-@_-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oboto"/>
    </font>
    <font>
      <b/>
      <sz val="14"/>
      <color rgb="FF293549"/>
      <name val="Roboto"/>
    </font>
    <font>
      <sz val="10"/>
      <color rgb="FF000000"/>
      <name val="Roboto"/>
    </font>
    <font>
      <b/>
      <sz val="10"/>
      <name val="Roboto"/>
    </font>
    <font>
      <sz val="10"/>
      <color theme="1"/>
      <name val="Roboto"/>
    </font>
    <font>
      <sz val="10"/>
      <color rgb="FFFF0000"/>
      <name val="Roboto"/>
    </font>
    <font>
      <b/>
      <sz val="10"/>
      <color theme="1"/>
      <name val="Roboto"/>
    </font>
    <font>
      <b/>
      <u/>
      <sz val="10"/>
      <color theme="1"/>
      <name val="Roboto"/>
    </font>
    <font>
      <b/>
      <sz val="11"/>
      <color rgb="FF003C66"/>
      <name val="Roboto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ECEC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44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medium">
        <color rgb="FFCECEC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283">
    <xf numFmtId="0" fontId="0" fillId="0" borderId="0" xfId="0"/>
    <xf numFmtId="0" fontId="3" fillId="0" borderId="0" xfId="0" applyFont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2" borderId="10" xfId="0" applyFont="1" applyFill="1" applyBorder="1" applyAlignment="1">
      <alignment horizontal="left" vertical="center"/>
    </xf>
    <xf numFmtId="0" fontId="9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14" xfId="0" applyFont="1" applyBorder="1" applyAlignment="1">
      <alignment horizontal="center" vertical="center"/>
    </xf>
    <xf numFmtId="0" fontId="7" fillId="4" borderId="17" xfId="0" applyFont="1" applyFill="1" applyBorder="1" applyAlignment="1">
      <alignment horizontal="left" vertical="center"/>
    </xf>
    <xf numFmtId="0" fontId="7" fillId="0" borderId="21" xfId="0" applyFont="1" applyBorder="1" applyAlignment="1">
      <alignment horizontal="center" vertical="center"/>
    </xf>
    <xf numFmtId="0" fontId="7" fillId="4" borderId="19" xfId="0" applyFont="1" applyFill="1" applyBorder="1" applyAlignment="1">
      <alignment horizontal="left" vertical="center"/>
    </xf>
    <xf numFmtId="0" fontId="9" fillId="5" borderId="10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9" fillId="5" borderId="35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7" fillId="0" borderId="28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43" fontId="7" fillId="0" borderId="5" xfId="1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43" fontId="7" fillId="0" borderId="7" xfId="1" applyFont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43" fontId="7" fillId="0" borderId="0" xfId="1" applyFont="1" applyBorder="1" applyAlignment="1">
      <alignment horizontal="center" vertical="center"/>
    </xf>
    <xf numFmtId="43" fontId="7" fillId="0" borderId="2" xfId="1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/>
    </xf>
    <xf numFmtId="43" fontId="7" fillId="0" borderId="7" xfId="1" applyFont="1" applyBorder="1" applyAlignment="1">
      <alignment vertical="center"/>
    </xf>
    <xf numFmtId="43" fontId="9" fillId="0" borderId="7" xfId="1" applyFont="1" applyBorder="1" applyAlignment="1">
      <alignment vertical="center"/>
    </xf>
    <xf numFmtId="49" fontId="3" fillId="3" borderId="11" xfId="0" applyNumberFormat="1" applyFont="1" applyFill="1" applyBorder="1" applyAlignment="1">
      <alignment vertical="center"/>
    </xf>
    <xf numFmtId="165" fontId="7" fillId="0" borderId="23" xfId="1" applyNumberFormat="1" applyFont="1" applyBorder="1" applyAlignment="1">
      <alignment horizontal="center" vertical="center"/>
    </xf>
    <xf numFmtId="165" fontId="7" fillId="0" borderId="26" xfId="1" applyNumberFormat="1" applyFont="1" applyBorder="1" applyAlignment="1">
      <alignment horizontal="center" vertical="center"/>
    </xf>
    <xf numFmtId="165" fontId="7" fillId="0" borderId="29" xfId="1" applyNumberFormat="1" applyFont="1" applyBorder="1" applyAlignment="1">
      <alignment horizontal="center" vertical="center"/>
    </xf>
    <xf numFmtId="165" fontId="7" fillId="0" borderId="38" xfId="1" applyNumberFormat="1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9" fillId="5" borderId="35" xfId="0" applyFont="1" applyFill="1" applyBorder="1" applyAlignment="1">
      <alignment horizontal="center" vertical="center"/>
    </xf>
    <xf numFmtId="0" fontId="9" fillId="5" borderId="35" xfId="0" applyFont="1" applyFill="1" applyBorder="1" applyAlignment="1">
      <alignment horizontal="center" vertical="center"/>
    </xf>
    <xf numFmtId="43" fontId="7" fillId="0" borderId="23" xfId="1" applyFont="1" applyBorder="1" applyAlignment="1">
      <alignment horizontal="left" vertical="center" wrapText="1"/>
    </xf>
    <xf numFmtId="43" fontId="7" fillId="0" borderId="23" xfId="1" applyFont="1" applyBorder="1" applyAlignment="1">
      <alignment horizontal="center" vertical="center" wrapText="1"/>
    </xf>
    <xf numFmtId="165" fontId="7" fillId="0" borderId="29" xfId="1" applyNumberFormat="1" applyFont="1" applyBorder="1" applyAlignment="1">
      <alignment horizontal="center" vertical="center"/>
    </xf>
    <xf numFmtId="43" fontId="3" fillId="0" borderId="0" xfId="1" applyFont="1" applyAlignment="1">
      <alignment vertical="center"/>
    </xf>
    <xf numFmtId="43" fontId="3" fillId="2" borderId="9" xfId="1" applyFont="1" applyFill="1" applyBorder="1" applyAlignment="1">
      <alignment vertical="center"/>
    </xf>
    <xf numFmtId="43" fontId="3" fillId="2" borderId="0" xfId="1" applyFont="1" applyFill="1" applyBorder="1" applyAlignment="1">
      <alignment vertical="center"/>
    </xf>
    <xf numFmtId="43" fontId="7" fillId="0" borderId="2" xfId="1" applyFont="1" applyBorder="1" applyAlignment="1">
      <alignment vertical="center"/>
    </xf>
    <xf numFmtId="43" fontId="9" fillId="0" borderId="0" xfId="1" applyFont="1" applyBorder="1" applyAlignment="1">
      <alignment vertical="center"/>
    </xf>
    <xf numFmtId="43" fontId="7" fillId="0" borderId="0" xfId="1" applyFont="1" applyBorder="1" applyAlignment="1">
      <alignment vertical="center"/>
    </xf>
    <xf numFmtId="43" fontId="7" fillId="0" borderId="26" xfId="1" applyFont="1" applyBorder="1" applyAlignment="1">
      <alignment horizontal="center" vertical="center" wrapText="1"/>
    </xf>
    <xf numFmtId="43" fontId="7" fillId="0" borderId="0" xfId="1" applyFont="1" applyAlignment="1">
      <alignment vertical="center"/>
    </xf>
    <xf numFmtId="43" fontId="7" fillId="0" borderId="42" xfId="1" applyFont="1" applyBorder="1" applyAlignment="1">
      <alignment horizontal="center" vertical="center" wrapText="1"/>
    </xf>
    <xf numFmtId="43" fontId="3" fillId="0" borderId="0" xfId="1" applyFont="1" applyAlignment="1">
      <alignment horizontal="center" vertical="center"/>
    </xf>
    <xf numFmtId="43" fontId="3" fillId="2" borderId="9" xfId="1" applyFont="1" applyFill="1" applyBorder="1" applyAlignment="1">
      <alignment horizontal="center" vertical="center"/>
    </xf>
    <xf numFmtId="43" fontId="3" fillId="2" borderId="0" xfId="1" applyFont="1" applyFill="1" applyBorder="1" applyAlignment="1">
      <alignment horizontal="center" vertical="center"/>
    </xf>
    <xf numFmtId="43" fontId="9" fillId="0" borderId="0" xfId="1" applyFont="1" applyBorder="1" applyAlignment="1">
      <alignment horizontal="center" vertical="center"/>
    </xf>
    <xf numFmtId="43" fontId="7" fillId="0" borderId="0" xfId="1" applyFont="1" applyAlignment="1">
      <alignment horizontal="center" vertical="center"/>
    </xf>
    <xf numFmtId="43" fontId="7" fillId="0" borderId="29" xfId="1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/>
    </xf>
    <xf numFmtId="43" fontId="7" fillId="0" borderId="31" xfId="1" applyFont="1" applyBorder="1" applyAlignment="1">
      <alignment horizontal="center" vertical="center" wrapText="1"/>
    </xf>
    <xf numFmtId="43" fontId="7" fillId="0" borderId="32" xfId="1" applyFont="1" applyBorder="1" applyAlignment="1">
      <alignment horizontal="center" vertical="center" wrapText="1"/>
    </xf>
    <xf numFmtId="43" fontId="7" fillId="0" borderId="33" xfId="1" applyFont="1" applyBorder="1" applyAlignment="1">
      <alignment horizontal="center" vertical="center" wrapText="1"/>
    </xf>
    <xf numFmtId="43" fontId="7" fillId="0" borderId="37" xfId="1" applyFont="1" applyBorder="1" applyAlignment="1">
      <alignment horizontal="center" vertical="center" wrapText="1"/>
    </xf>
    <xf numFmtId="43" fontId="7" fillId="0" borderId="38" xfId="1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43" fontId="7" fillId="0" borderId="37" xfId="1" applyNumberFormat="1" applyFont="1" applyBorder="1" applyAlignment="1">
      <alignment horizontal="center" vertical="center" wrapText="1"/>
    </xf>
    <xf numFmtId="43" fontId="7" fillId="0" borderId="33" xfId="1" quotePrefix="1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9" fillId="5" borderId="35" xfId="0" applyFont="1" applyFill="1" applyBorder="1" applyAlignment="1">
      <alignment horizontal="center" vertical="center"/>
    </xf>
    <xf numFmtId="43" fontId="7" fillId="0" borderId="31" xfId="1" applyFont="1" applyBorder="1" applyAlignment="1">
      <alignment horizontal="center" vertical="center"/>
    </xf>
    <xf numFmtId="43" fontId="7" fillId="0" borderId="0" xfId="0" applyNumberFormat="1" applyFont="1" applyAlignment="1">
      <alignment vertical="center"/>
    </xf>
    <xf numFmtId="4" fontId="7" fillId="0" borderId="0" xfId="0" applyNumberFormat="1" applyFont="1" applyAlignment="1">
      <alignment vertical="center"/>
    </xf>
    <xf numFmtId="0" fontId="7" fillId="0" borderId="33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43" fontId="7" fillId="0" borderId="7" xfId="0" applyNumberFormat="1" applyFont="1" applyBorder="1" applyAlignment="1">
      <alignment vertical="center"/>
    </xf>
    <xf numFmtId="43" fontId="7" fillId="0" borderId="31" xfId="1" applyNumberFormat="1" applyFont="1" applyBorder="1" applyAlignment="1">
      <alignment horizontal="center" vertical="center" wrapText="1"/>
    </xf>
    <xf numFmtId="165" fontId="7" fillId="0" borderId="31" xfId="1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 wrapText="1"/>
    </xf>
    <xf numFmtId="43" fontId="7" fillId="0" borderId="32" xfId="1" applyNumberFormat="1" applyFont="1" applyBorder="1" applyAlignment="1">
      <alignment horizontal="center" vertical="center" wrapText="1"/>
    </xf>
    <xf numFmtId="165" fontId="7" fillId="0" borderId="32" xfId="1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43" fontId="7" fillId="0" borderId="32" xfId="1" applyNumberFormat="1" applyFont="1" applyBorder="1" applyAlignment="1">
      <alignment horizontal="center" vertical="center"/>
    </xf>
    <xf numFmtId="43" fontId="7" fillId="0" borderId="33" xfId="1" applyNumberFormat="1" applyFont="1" applyBorder="1" applyAlignment="1">
      <alignment horizontal="center" vertical="center" wrapText="1"/>
    </xf>
    <xf numFmtId="165" fontId="7" fillId="0" borderId="33" xfId="1" applyNumberFormat="1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43" fontId="7" fillId="0" borderId="43" xfId="1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43" fontId="7" fillId="0" borderId="23" xfId="1" applyNumberFormat="1" applyFont="1" applyBorder="1" applyAlignment="1">
      <alignment horizontal="center" vertical="center" wrapText="1"/>
    </xf>
    <xf numFmtId="43" fontId="7" fillId="0" borderId="26" xfId="1" applyNumberFormat="1" applyFont="1" applyBorder="1" applyAlignment="1">
      <alignment horizontal="center" vertical="center" wrapText="1"/>
    </xf>
    <xf numFmtId="43" fontId="7" fillId="0" borderId="38" xfId="1" applyFont="1" applyBorder="1" applyAlignment="1">
      <alignment horizontal="left" vertical="center" wrapText="1"/>
    </xf>
    <xf numFmtId="43" fontId="7" fillId="0" borderId="26" xfId="1" applyFont="1" applyFill="1" applyBorder="1" applyAlignment="1">
      <alignment horizontal="center" vertical="center" wrapText="1"/>
    </xf>
    <xf numFmtId="0" fontId="9" fillId="5" borderId="35" xfId="0" applyFont="1" applyFill="1" applyBorder="1" applyAlignment="1">
      <alignment horizontal="center" vertical="center"/>
    </xf>
    <xf numFmtId="43" fontId="7" fillId="0" borderId="0" xfId="0" applyNumberFormat="1" applyFont="1" applyBorder="1" applyAlignment="1">
      <alignment vertical="center"/>
    </xf>
    <xf numFmtId="0" fontId="7" fillId="0" borderId="28" xfId="0" applyFont="1" applyBorder="1" applyAlignment="1">
      <alignment horizontal="center" vertical="center" wrapText="1"/>
    </xf>
    <xf numFmtId="166" fontId="7" fillId="0" borderId="0" xfId="0" applyNumberFormat="1" applyFont="1" applyAlignment="1">
      <alignment vertical="center"/>
    </xf>
    <xf numFmtId="166" fontId="7" fillId="0" borderId="0" xfId="0" applyNumberFormat="1" applyFont="1" applyAlignment="1">
      <alignment horizontal="center" vertical="center"/>
    </xf>
    <xf numFmtId="43" fontId="7" fillId="0" borderId="31" xfId="1" applyFont="1" applyBorder="1" applyAlignment="1">
      <alignment horizontal="center" vertical="center"/>
    </xf>
    <xf numFmtId="43" fontId="7" fillId="0" borderId="32" xfId="1" applyFont="1" applyBorder="1" applyAlignment="1">
      <alignment horizontal="center" vertical="center"/>
    </xf>
    <xf numFmtId="43" fontId="7" fillId="0" borderId="29" xfId="1" applyNumberFormat="1" applyFont="1" applyBorder="1" applyAlignment="1">
      <alignment horizontal="center" vertical="center"/>
    </xf>
    <xf numFmtId="43" fontId="7" fillId="0" borderId="38" xfId="1" applyFont="1" applyFill="1" applyBorder="1" applyAlignment="1">
      <alignment horizontal="left" vertical="center" wrapText="1"/>
    </xf>
    <xf numFmtId="43" fontId="7" fillId="0" borderId="26" xfId="1" applyFont="1" applyFill="1" applyBorder="1" applyAlignment="1">
      <alignment horizontal="left" vertical="center" wrapText="1"/>
    </xf>
    <xf numFmtId="0" fontId="9" fillId="5" borderId="35" xfId="0" applyFont="1" applyFill="1" applyBorder="1" applyAlignment="1">
      <alignment horizontal="center" vertical="center"/>
    </xf>
    <xf numFmtId="43" fontId="7" fillId="0" borderId="29" xfId="1" applyFont="1" applyFill="1" applyBorder="1" applyAlignment="1">
      <alignment horizontal="center" vertical="center" wrapText="1"/>
    </xf>
    <xf numFmtId="43" fontId="7" fillId="0" borderId="32" xfId="1" applyFont="1" applyFill="1" applyBorder="1" applyAlignment="1">
      <alignment horizontal="center" vertical="center" wrapText="1"/>
    </xf>
    <xf numFmtId="165" fontId="7" fillId="0" borderId="26" xfId="1" applyNumberFormat="1" applyFont="1" applyFill="1" applyBorder="1" applyAlignment="1">
      <alignment horizontal="center" vertical="center"/>
    </xf>
    <xf numFmtId="0" fontId="7" fillId="0" borderId="28" xfId="0" applyFont="1" applyFill="1" applyBorder="1" applyAlignment="1">
      <alignment horizontal="center" vertical="center"/>
    </xf>
    <xf numFmtId="0" fontId="7" fillId="0" borderId="27" xfId="0" applyFont="1" applyFill="1" applyBorder="1" applyAlignment="1">
      <alignment horizontal="center" vertical="center"/>
    </xf>
    <xf numFmtId="43" fontId="7" fillId="0" borderId="32" xfId="1" quotePrefix="1" applyFont="1" applyFill="1" applyBorder="1" applyAlignment="1">
      <alignment horizontal="center" vertical="center" wrapText="1"/>
    </xf>
    <xf numFmtId="0" fontId="9" fillId="5" borderId="35" xfId="0" applyFont="1" applyFill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7" fillId="0" borderId="27" xfId="0" applyFont="1" applyBorder="1" applyAlignment="1">
      <alignment horizontal="left" vertical="center"/>
    </xf>
    <xf numFmtId="0" fontId="7" fillId="0" borderId="28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7" fillId="0" borderId="39" xfId="0" quotePrefix="1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43" fontId="7" fillId="4" borderId="18" xfId="1" applyFont="1" applyFill="1" applyBorder="1" applyAlignment="1">
      <alignment horizontal="center" vertical="center"/>
    </xf>
    <xf numFmtId="43" fontId="7" fillId="4" borderId="20" xfId="1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43" fontId="7" fillId="4" borderId="15" xfId="1" applyFont="1" applyFill="1" applyBorder="1" applyAlignment="1">
      <alignment horizontal="center" vertical="center"/>
    </xf>
    <xf numFmtId="43" fontId="7" fillId="4" borderId="16" xfId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6" fillId="3" borderId="10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/>
    </xf>
    <xf numFmtId="0" fontId="3" fillId="3" borderId="13" xfId="0" applyFont="1" applyFill="1" applyBorder="1" applyAlignment="1">
      <alignment horizontal="left" vertical="center"/>
    </xf>
    <xf numFmtId="14" fontId="3" fillId="3" borderId="11" xfId="0" applyNumberFormat="1" applyFont="1" applyFill="1" applyBorder="1" applyAlignment="1">
      <alignment horizontal="left" vertical="center"/>
    </xf>
    <xf numFmtId="14" fontId="3" fillId="3" borderId="12" xfId="0" applyNumberFormat="1" applyFont="1" applyFill="1" applyBorder="1" applyAlignment="1">
      <alignment horizontal="left" vertical="center"/>
    </xf>
    <xf numFmtId="14" fontId="3" fillId="3" borderId="13" xfId="0" applyNumberFormat="1" applyFont="1" applyFill="1" applyBorder="1" applyAlignment="1">
      <alignment horizontal="left" vertical="center"/>
    </xf>
    <xf numFmtId="0" fontId="3" fillId="3" borderId="11" xfId="0" applyFont="1" applyFill="1" applyBorder="1" applyAlignment="1">
      <alignment vertical="center"/>
    </xf>
    <xf numFmtId="0" fontId="3" fillId="3" borderId="13" xfId="0" applyFont="1" applyFill="1" applyBorder="1" applyAlignment="1">
      <alignment vertical="center"/>
    </xf>
    <xf numFmtId="0" fontId="9" fillId="5" borderId="34" xfId="0" applyFont="1" applyFill="1" applyBorder="1" applyAlignment="1">
      <alignment horizontal="left" vertical="center"/>
    </xf>
    <xf numFmtId="0" fontId="9" fillId="5" borderId="35" xfId="0" applyFont="1" applyFill="1" applyBorder="1" applyAlignment="1">
      <alignment horizontal="left" vertical="center"/>
    </xf>
    <xf numFmtId="0" fontId="9" fillId="5" borderId="34" xfId="0" applyFont="1" applyFill="1" applyBorder="1" applyAlignment="1">
      <alignment horizontal="center" vertical="center"/>
    </xf>
    <xf numFmtId="0" fontId="9" fillId="5" borderId="35" xfId="0" applyFont="1" applyFill="1" applyBorder="1" applyAlignment="1">
      <alignment horizontal="center" vertical="center"/>
    </xf>
    <xf numFmtId="0" fontId="9" fillId="5" borderId="36" xfId="0" applyFont="1" applyFill="1" applyBorder="1" applyAlignment="1">
      <alignment horizontal="center" vertical="center"/>
    </xf>
    <xf numFmtId="43" fontId="7" fillId="0" borderId="22" xfId="0" applyNumberFormat="1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43" fontId="7" fillId="0" borderId="26" xfId="1" applyFont="1" applyBorder="1" applyAlignment="1">
      <alignment horizontal="center" vertical="center"/>
    </xf>
    <xf numFmtId="43" fontId="7" fillId="0" borderId="27" xfId="1" applyFont="1" applyBorder="1" applyAlignment="1">
      <alignment horizontal="center" vertical="center"/>
    </xf>
    <xf numFmtId="43" fontId="7" fillId="0" borderId="28" xfId="1" applyFont="1" applyBorder="1" applyAlignment="1">
      <alignment horizontal="center" vertical="center"/>
    </xf>
    <xf numFmtId="0" fontId="9" fillId="6" borderId="34" xfId="0" applyFont="1" applyFill="1" applyBorder="1" applyAlignment="1">
      <alignment horizontal="center" vertical="center" wrapText="1"/>
    </xf>
    <xf numFmtId="0" fontId="9" fillId="6" borderId="35" xfId="0" applyFont="1" applyFill="1" applyBorder="1" applyAlignment="1">
      <alignment horizontal="center" vertical="center" wrapText="1"/>
    </xf>
    <xf numFmtId="0" fontId="9" fillId="6" borderId="36" xfId="0" applyFont="1" applyFill="1" applyBorder="1" applyAlignment="1">
      <alignment horizontal="center" vertical="center" wrapText="1"/>
    </xf>
    <xf numFmtId="43" fontId="9" fillId="6" borderId="34" xfId="1" applyFont="1" applyFill="1" applyBorder="1" applyAlignment="1">
      <alignment horizontal="center" vertical="center"/>
    </xf>
    <xf numFmtId="43" fontId="9" fillId="6" borderId="35" xfId="1" applyFont="1" applyFill="1" applyBorder="1" applyAlignment="1">
      <alignment horizontal="center" vertical="center"/>
    </xf>
    <xf numFmtId="43" fontId="9" fillId="6" borderId="36" xfId="1" applyFont="1" applyFill="1" applyBorder="1" applyAlignment="1">
      <alignment horizontal="center" vertical="center"/>
    </xf>
    <xf numFmtId="0" fontId="7" fillId="0" borderId="32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43" fontId="7" fillId="0" borderId="29" xfId="1" applyFont="1" applyBorder="1" applyAlignment="1">
      <alignment horizontal="center" vertical="center"/>
    </xf>
    <xf numFmtId="43" fontId="7" fillId="0" borderId="41" xfId="1" applyFont="1" applyBorder="1" applyAlignment="1">
      <alignment horizontal="center" vertical="center"/>
    </xf>
    <xf numFmtId="43" fontId="7" fillId="0" borderId="30" xfId="1" applyFont="1" applyBorder="1" applyAlignment="1">
      <alignment horizontal="center" vertical="center"/>
    </xf>
    <xf numFmtId="0" fontId="9" fillId="5" borderId="36" xfId="0" applyFont="1" applyFill="1" applyBorder="1" applyAlignment="1">
      <alignment horizontal="left" vertical="center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43" fontId="7" fillId="0" borderId="23" xfId="1" applyFont="1" applyBorder="1" applyAlignment="1">
      <alignment horizontal="center" vertical="center"/>
    </xf>
    <xf numFmtId="43" fontId="7" fillId="0" borderId="24" xfId="1" applyFont="1" applyBorder="1" applyAlignment="1">
      <alignment horizontal="center" vertical="center"/>
    </xf>
    <xf numFmtId="43" fontId="7" fillId="0" borderId="25" xfId="1" applyFont="1" applyBorder="1" applyAlignment="1">
      <alignment horizontal="center" vertical="center"/>
    </xf>
    <xf numFmtId="43" fontId="7" fillId="0" borderId="32" xfId="1" applyFont="1" applyBorder="1" applyAlignment="1">
      <alignment horizontal="left" vertical="center" wrapText="1"/>
    </xf>
    <xf numFmtId="43" fontId="7" fillId="0" borderId="31" xfId="0" applyNumberFormat="1" applyFont="1" applyBorder="1" applyAlignment="1">
      <alignment horizontal="left" vertical="center" wrapText="1"/>
    </xf>
    <xf numFmtId="43" fontId="9" fillId="5" borderId="34" xfId="1" applyFont="1" applyFill="1" applyBorder="1" applyAlignment="1">
      <alignment horizontal="center" vertical="center"/>
    </xf>
    <xf numFmtId="43" fontId="9" fillId="5" borderId="36" xfId="1" applyFont="1" applyFill="1" applyBorder="1" applyAlignment="1">
      <alignment horizontal="center" vertical="center"/>
    </xf>
    <xf numFmtId="0" fontId="9" fillId="6" borderId="22" xfId="0" applyFont="1" applyFill="1" applyBorder="1" applyAlignment="1">
      <alignment horizontal="center" vertical="center" wrapText="1"/>
    </xf>
    <xf numFmtId="43" fontId="9" fillId="6" borderId="22" xfId="1" applyFont="1" applyFill="1" applyBorder="1" applyAlignment="1">
      <alignment horizontal="center" vertical="center"/>
    </xf>
    <xf numFmtId="43" fontId="7" fillId="0" borderId="26" xfId="1" applyNumberFormat="1" applyFont="1" applyBorder="1" applyAlignment="1">
      <alignment horizontal="center" vertical="center"/>
    </xf>
    <xf numFmtId="43" fontId="7" fillId="0" borderId="36" xfId="1" applyFont="1" applyBorder="1" applyAlignment="1">
      <alignment horizontal="center" vertical="center"/>
    </xf>
    <xf numFmtId="43" fontId="7" fillId="0" borderId="31" xfId="1" applyFont="1" applyBorder="1" applyAlignment="1">
      <alignment horizontal="center" vertical="center"/>
    </xf>
    <xf numFmtId="43" fontId="7" fillId="0" borderId="28" xfId="1" applyNumberFormat="1" applyFont="1" applyBorder="1" applyAlignment="1">
      <alignment horizontal="center" vertical="center"/>
    </xf>
    <xf numFmtId="43" fontId="7" fillId="0" borderId="29" xfId="1" applyNumberFormat="1" applyFont="1" applyBorder="1" applyAlignment="1">
      <alignment horizontal="center" vertical="center"/>
    </xf>
    <xf numFmtId="43" fontId="7" fillId="0" borderId="30" xfId="1" applyNumberFormat="1" applyFont="1" applyBorder="1" applyAlignment="1">
      <alignment horizontal="center" vertical="center"/>
    </xf>
    <xf numFmtId="43" fontId="7" fillId="0" borderId="23" xfId="1" applyNumberFormat="1" applyFont="1" applyBorder="1" applyAlignment="1">
      <alignment horizontal="center" vertical="center"/>
    </xf>
    <xf numFmtId="43" fontId="7" fillId="0" borderId="38" xfId="1" applyFont="1" applyBorder="1" applyAlignment="1">
      <alignment horizontal="center" vertical="center"/>
    </xf>
    <xf numFmtId="43" fontId="7" fillId="0" borderId="39" xfId="1" applyFont="1" applyBorder="1" applyAlignment="1">
      <alignment horizontal="center" vertical="center"/>
    </xf>
    <xf numFmtId="0" fontId="7" fillId="0" borderId="37" xfId="0" applyFont="1" applyBorder="1" applyAlignment="1">
      <alignment horizontal="left" vertical="center" wrapText="1"/>
    </xf>
    <xf numFmtId="43" fontId="7" fillId="0" borderId="34" xfId="0" applyNumberFormat="1" applyFont="1" applyBorder="1" applyAlignment="1">
      <alignment horizontal="center" vertical="center"/>
    </xf>
    <xf numFmtId="0" fontId="7" fillId="0" borderId="32" xfId="0" applyFont="1" applyFill="1" applyBorder="1" applyAlignment="1">
      <alignment horizontal="left" vertical="center" wrapText="1"/>
    </xf>
    <xf numFmtId="43" fontId="7" fillId="0" borderId="26" xfId="1" applyNumberFormat="1" applyFont="1" applyFill="1" applyBorder="1" applyAlignment="1">
      <alignment horizontal="center" vertical="center"/>
    </xf>
    <xf numFmtId="43" fontId="7" fillId="0" borderId="28" xfId="1" applyNumberFormat="1" applyFont="1" applyFill="1" applyBorder="1" applyAlignment="1">
      <alignment horizontal="center" vertical="center"/>
    </xf>
    <xf numFmtId="0" fontId="7" fillId="0" borderId="33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43" fontId="7" fillId="0" borderId="25" xfId="1" applyNumberFormat="1" applyFont="1" applyBorder="1" applyAlignment="1">
      <alignment horizontal="center" vertical="center"/>
    </xf>
    <xf numFmtId="0" fontId="7" fillId="0" borderId="32" xfId="0" applyFont="1" applyBorder="1" applyAlignment="1">
      <alignment vertical="center" wrapText="1"/>
    </xf>
    <xf numFmtId="0" fontId="7" fillId="0" borderId="38" xfId="0" applyFont="1" applyBorder="1" applyAlignment="1">
      <alignment vertical="center" wrapText="1"/>
    </xf>
    <xf numFmtId="0" fontId="7" fillId="0" borderId="40" xfId="0" applyFont="1" applyBorder="1" applyAlignment="1">
      <alignment vertical="center" wrapText="1"/>
    </xf>
    <xf numFmtId="0" fontId="7" fillId="0" borderId="39" xfId="0" applyFont="1" applyBorder="1" applyAlignment="1">
      <alignment vertical="center" wrapText="1"/>
    </xf>
    <xf numFmtId="43" fontId="7" fillId="0" borderId="38" xfId="1" applyNumberFormat="1" applyFont="1" applyBorder="1" applyAlignment="1">
      <alignment horizontal="center" vertical="center"/>
    </xf>
    <xf numFmtId="43" fontId="7" fillId="0" borderId="39" xfId="1" applyNumberFormat="1" applyFont="1" applyBorder="1" applyAlignment="1">
      <alignment horizontal="center" vertical="center"/>
    </xf>
    <xf numFmtId="0" fontId="7" fillId="0" borderId="38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9" xfId="0" applyFont="1" applyBorder="1" applyAlignment="1">
      <alignment horizontal="left" vertical="center" wrapText="1"/>
    </xf>
    <xf numFmtId="43" fontId="7" fillId="0" borderId="31" xfId="1" applyNumberFormat="1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 wrapText="1"/>
    </xf>
    <xf numFmtId="0" fontId="7" fillId="0" borderId="26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165" fontId="7" fillId="0" borderId="23" xfId="1" applyNumberFormat="1" applyFont="1" applyBorder="1" applyAlignment="1">
      <alignment horizontal="center" vertical="center"/>
    </xf>
    <xf numFmtId="165" fontId="7" fillId="0" borderId="25" xfId="1" applyNumberFormat="1" applyFont="1" applyBorder="1" applyAlignment="1">
      <alignment horizontal="center" vertical="center"/>
    </xf>
    <xf numFmtId="165" fontId="7" fillId="0" borderId="26" xfId="1" applyNumberFormat="1" applyFont="1" applyBorder="1" applyAlignment="1">
      <alignment horizontal="center" vertical="center"/>
    </xf>
    <xf numFmtId="165" fontId="7" fillId="0" borderId="28" xfId="1" applyNumberFormat="1" applyFont="1" applyBorder="1" applyAlignment="1">
      <alignment horizontal="center" vertical="center"/>
    </xf>
    <xf numFmtId="43" fontId="7" fillId="0" borderId="32" xfId="1" applyNumberFormat="1" applyFont="1" applyBorder="1" applyAlignment="1">
      <alignment horizontal="center" vertical="center"/>
    </xf>
    <xf numFmtId="43" fontId="7" fillId="0" borderId="32" xfId="1" applyFont="1" applyBorder="1" applyAlignment="1">
      <alignment horizontal="center" vertical="center"/>
    </xf>
    <xf numFmtId="43" fontId="7" fillId="0" borderId="32" xfId="1" applyFont="1" applyFill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7" fillId="0" borderId="27" xfId="0" applyFont="1" applyBorder="1" applyAlignment="1">
      <alignment horizontal="left" vertical="center"/>
    </xf>
    <xf numFmtId="0" fontId="7" fillId="0" borderId="28" xfId="0" applyFont="1" applyBorder="1" applyAlignment="1">
      <alignment horizontal="left" vertical="center"/>
    </xf>
    <xf numFmtId="0" fontId="7" fillId="0" borderId="29" xfId="0" applyFont="1" applyBorder="1" applyAlignment="1">
      <alignment horizontal="left" vertical="center"/>
    </xf>
    <xf numFmtId="0" fontId="7" fillId="0" borderId="41" xfId="0" applyFont="1" applyBorder="1" applyAlignment="1">
      <alignment horizontal="left" vertical="center"/>
    </xf>
    <xf numFmtId="0" fontId="7" fillId="0" borderId="30" xfId="0" applyFont="1" applyBorder="1" applyAlignment="1">
      <alignment horizontal="left" vertical="center"/>
    </xf>
    <xf numFmtId="43" fontId="7" fillId="0" borderId="32" xfId="1" applyNumberFormat="1" applyFont="1" applyFill="1" applyBorder="1" applyAlignment="1">
      <alignment horizontal="center" vertical="center"/>
    </xf>
    <xf numFmtId="43" fontId="7" fillId="0" borderId="32" xfId="1" applyFont="1" applyFill="1" applyBorder="1" applyAlignment="1">
      <alignment horizontal="center" vertical="center"/>
    </xf>
    <xf numFmtId="43" fontId="7" fillId="0" borderId="29" xfId="1" applyNumberFormat="1" applyFont="1" applyFill="1" applyBorder="1" applyAlignment="1">
      <alignment horizontal="center" vertical="center"/>
    </xf>
    <xf numFmtId="43" fontId="7" fillId="0" borderId="30" xfId="1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0" fontId="7" fillId="0" borderId="2" xfId="0" applyFont="1" applyFill="1" applyBorder="1" applyAlignment="1">
      <alignment vertical="center"/>
    </xf>
    <xf numFmtId="43" fontId="7" fillId="0" borderId="2" xfId="1" applyFont="1" applyFill="1" applyBorder="1" applyAlignment="1">
      <alignment vertical="center"/>
    </xf>
    <xf numFmtId="43" fontId="7" fillId="0" borderId="2" xfId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43" fontId="9" fillId="0" borderId="0" xfId="1" applyFont="1" applyFill="1" applyBorder="1" applyAlignment="1">
      <alignment vertical="center"/>
    </xf>
    <xf numFmtId="43" fontId="9" fillId="0" borderId="0" xfId="1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7" fillId="0" borderId="0" xfId="0" applyFont="1" applyFill="1" applyBorder="1" applyAlignment="1">
      <alignment vertical="center"/>
    </xf>
    <xf numFmtId="0" fontId="7" fillId="0" borderId="31" xfId="0" applyFont="1" applyFill="1" applyBorder="1" applyAlignment="1">
      <alignment horizontal="left" vertical="center" wrapText="1"/>
    </xf>
    <xf numFmtId="43" fontId="7" fillId="0" borderId="31" xfId="1" applyFont="1" applyFill="1" applyBorder="1" applyAlignment="1">
      <alignment horizontal="center" vertical="center" wrapText="1"/>
    </xf>
    <xf numFmtId="43" fontId="7" fillId="0" borderId="23" xfId="1" applyNumberFormat="1" applyFont="1" applyFill="1" applyBorder="1" applyAlignment="1">
      <alignment horizontal="center" vertical="center"/>
    </xf>
    <xf numFmtId="43" fontId="7" fillId="0" borderId="33" xfId="1" applyFont="1" applyFill="1" applyBorder="1" applyAlignment="1">
      <alignment horizontal="center" vertical="center" wrapText="1"/>
    </xf>
    <xf numFmtId="43" fontId="7" fillId="0" borderId="43" xfId="1" applyFont="1" applyFill="1" applyBorder="1" applyAlignment="1">
      <alignment horizontal="center" vertical="center" wrapText="1"/>
    </xf>
    <xf numFmtId="43" fontId="7" fillId="0" borderId="26" xfId="1" applyNumberFormat="1" applyFont="1" applyFill="1" applyBorder="1" applyAlignment="1">
      <alignment horizontal="right" vertical="center"/>
    </xf>
    <xf numFmtId="43" fontId="7" fillId="0" borderId="28" xfId="1" applyNumberFormat="1" applyFont="1" applyFill="1" applyBorder="1" applyAlignment="1">
      <alignment horizontal="right" vertical="center"/>
    </xf>
    <xf numFmtId="0" fontId="7" fillId="0" borderId="23" xfId="0" applyFont="1" applyFill="1" applyBorder="1" applyAlignment="1">
      <alignment horizontal="left" vertical="center" wrapText="1"/>
    </xf>
    <xf numFmtId="0" fontId="7" fillId="0" borderId="24" xfId="0" applyFont="1" applyFill="1" applyBorder="1" applyAlignment="1">
      <alignment horizontal="left" vertical="center" wrapText="1"/>
    </xf>
    <xf numFmtId="0" fontId="7" fillId="0" borderId="25" xfId="0" applyFont="1" applyFill="1" applyBorder="1" applyAlignment="1">
      <alignment horizontal="left" vertical="center" wrapText="1"/>
    </xf>
    <xf numFmtId="43" fontId="7" fillId="0" borderId="31" xfId="1" applyNumberFormat="1" applyFont="1" applyFill="1" applyBorder="1" applyAlignment="1">
      <alignment horizontal="center" vertical="center" wrapText="1"/>
    </xf>
    <xf numFmtId="165" fontId="7" fillId="0" borderId="31" xfId="1" applyNumberFormat="1" applyFont="1" applyFill="1" applyBorder="1" applyAlignment="1">
      <alignment horizontal="center" vertical="center"/>
    </xf>
    <xf numFmtId="0" fontId="7" fillId="0" borderId="31" xfId="0" applyFont="1" applyFill="1" applyBorder="1" applyAlignment="1">
      <alignment horizontal="center" vertical="center" wrapText="1"/>
    </xf>
    <xf numFmtId="43" fontId="7" fillId="0" borderId="25" xfId="1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2" xr:uid="{00000000-0005-0000-0000-000001000000}"/>
    <cellStyle name="Vírgula" xfId="1" builtinId="3"/>
    <cellStyle name="Vírgula 2" xfId="3" xr:uid="{00000000-0005-0000-0000-000003000000}"/>
  </cellStyles>
  <dxfs count="0"/>
  <tableStyles count="0" defaultTableStyle="TableStyleMedium2" defaultPivotStyle="PivotStyleLight16"/>
  <colors>
    <mruColors>
      <color rgb="FF003C66"/>
      <color rgb="FF0016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161925</xdr:colOff>
      <xdr:row>0</xdr:row>
      <xdr:rowOff>28575</xdr:rowOff>
    </xdr:from>
    <xdr:to>
      <xdr:col>11</xdr:col>
      <xdr:colOff>0</xdr:colOff>
      <xdr:row>4</xdr:row>
      <xdr:rowOff>95943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3200" y="285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561975</xdr:colOff>
      <xdr:row>0</xdr:row>
      <xdr:rowOff>66675</xdr:rowOff>
    </xdr:from>
    <xdr:to>
      <xdr:col>8</xdr:col>
      <xdr:colOff>381000</xdr:colOff>
      <xdr:row>4</xdr:row>
      <xdr:rowOff>134043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0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254661</xdr:colOff>
      <xdr:row>4</xdr:row>
      <xdr:rowOff>134043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131445</xdr:colOff>
      <xdr:row>4</xdr:row>
      <xdr:rowOff>134043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281940</xdr:colOff>
      <xdr:row>4</xdr:row>
      <xdr:rowOff>130233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281940</xdr:colOff>
      <xdr:row>4</xdr:row>
      <xdr:rowOff>130233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8137163D-784C-4A74-8EBE-E1678A1F7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0890" y="64770"/>
          <a:ext cx="975360" cy="7550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7620</xdr:colOff>
      <xdr:row>4</xdr:row>
      <xdr:rowOff>130233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398145</xdr:colOff>
      <xdr:row>4</xdr:row>
      <xdr:rowOff>130233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398145</xdr:colOff>
      <xdr:row>4</xdr:row>
      <xdr:rowOff>130233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401955</xdr:colOff>
      <xdr:row>4</xdr:row>
      <xdr:rowOff>134043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7620</xdr:colOff>
      <xdr:row>4</xdr:row>
      <xdr:rowOff>130233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11430</xdr:colOff>
      <xdr:row>4</xdr:row>
      <xdr:rowOff>134043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11430</xdr:colOff>
      <xdr:row>4</xdr:row>
      <xdr:rowOff>134043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135255</xdr:colOff>
      <xdr:row>4</xdr:row>
      <xdr:rowOff>134043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135255</xdr:colOff>
      <xdr:row>4</xdr:row>
      <xdr:rowOff>130233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4700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590550</xdr:colOff>
      <xdr:row>0</xdr:row>
      <xdr:rowOff>66675</xdr:rowOff>
    </xdr:from>
    <xdr:to>
      <xdr:col>10</xdr:col>
      <xdr:colOff>135255</xdr:colOff>
      <xdr:row>4</xdr:row>
      <xdr:rowOff>130233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4700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125730</xdr:colOff>
      <xdr:row>4</xdr:row>
      <xdr:rowOff>130233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4700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9525</xdr:colOff>
      <xdr:row>4</xdr:row>
      <xdr:rowOff>134043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4700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590550</xdr:colOff>
      <xdr:row>0</xdr:row>
      <xdr:rowOff>66675</xdr:rowOff>
    </xdr:from>
    <xdr:to>
      <xdr:col>10</xdr:col>
      <xdr:colOff>11430</xdr:colOff>
      <xdr:row>4</xdr:row>
      <xdr:rowOff>134043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4700" y="66675"/>
          <a:ext cx="923925" cy="705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M30"/>
  <sheetViews>
    <sheetView showGridLines="0" zoomScaleNormal="100" zoomScaleSheetLayoutView="95" workbookViewId="0">
      <selection activeCell="E28" sqref="E28:G28"/>
    </sheetView>
  </sheetViews>
  <sheetFormatPr defaultColWidth="9.109375" defaultRowHeight="13.2"/>
  <cols>
    <col min="1" max="1" width="17.44140625" style="12" customWidth="1"/>
    <col min="2" max="2" width="9.88671875" style="12" customWidth="1"/>
    <col min="3" max="3" width="14" style="12" customWidth="1"/>
    <col min="4" max="4" width="12.6640625" style="12" customWidth="1"/>
    <col min="5" max="5" width="8.33203125" style="12" customWidth="1"/>
    <col min="6" max="6" width="9.33203125" style="12" customWidth="1"/>
    <col min="7" max="7" width="7.33203125" style="12" bestFit="1" customWidth="1"/>
    <col min="8" max="8" width="13.5546875" style="12" customWidth="1"/>
    <col min="9" max="9" width="12" style="12" customWidth="1"/>
    <col min="10" max="10" width="7.33203125" style="12" bestFit="1" customWidth="1"/>
    <col min="11" max="11" width="9" style="12" bestFit="1" customWidth="1"/>
    <col min="12" max="16384" width="9.109375" style="12"/>
  </cols>
  <sheetData>
    <row r="1" spans="1: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M1" s="13"/>
    </row>
    <row r="2" spans="1:13">
      <c r="A2" s="151" t="s">
        <v>46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M2" s="13"/>
    </row>
    <row r="3" spans="1:13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  <c r="M3" s="13"/>
    </row>
    <row r="4" spans="1:13">
      <c r="A4" s="152"/>
      <c r="B4" s="152"/>
      <c r="C4" s="152"/>
      <c r="D4" s="152"/>
      <c r="E4" s="152"/>
      <c r="F4" s="152"/>
      <c r="G4" s="152"/>
      <c r="H4" s="152"/>
      <c r="I4" s="152"/>
      <c r="J4" s="152"/>
      <c r="K4" s="152"/>
      <c r="M4" s="13"/>
    </row>
    <row r="5" spans="1:13" ht="13.8" thickBot="1">
      <c r="A5" s="2"/>
      <c r="B5" s="2"/>
      <c r="C5" s="2"/>
      <c r="D5" s="3"/>
      <c r="E5" s="3"/>
      <c r="F5" s="3"/>
      <c r="G5" s="3"/>
      <c r="H5" s="3"/>
      <c r="I5" s="3"/>
      <c r="J5" s="3"/>
      <c r="K5" s="3"/>
      <c r="M5" s="13"/>
    </row>
    <row r="6" spans="1:13">
      <c r="A6" s="4"/>
      <c r="B6" s="4"/>
      <c r="C6" s="4"/>
      <c r="D6" s="5"/>
      <c r="E6" s="5"/>
      <c r="F6" s="5"/>
      <c r="G6" s="5"/>
      <c r="H6" s="5"/>
      <c r="I6" s="5"/>
      <c r="J6" s="5"/>
      <c r="K6" s="5"/>
      <c r="M6" s="13"/>
    </row>
    <row r="7" spans="1:13">
      <c r="A7" s="6" t="s">
        <v>0</v>
      </c>
      <c r="B7" s="153"/>
      <c r="C7" s="153"/>
      <c r="D7" s="153"/>
      <c r="E7" s="153"/>
      <c r="F7" s="153"/>
      <c r="G7" s="153"/>
      <c r="H7" s="153"/>
      <c r="I7" s="153"/>
      <c r="J7" s="153"/>
      <c r="K7" s="153"/>
      <c r="M7" s="13"/>
    </row>
    <row r="8" spans="1:13">
      <c r="A8" s="6" t="s">
        <v>1</v>
      </c>
      <c r="B8" s="154"/>
      <c r="C8" s="154"/>
      <c r="D8" s="154"/>
      <c r="E8" s="154"/>
      <c r="F8" s="154"/>
      <c r="G8" s="154"/>
      <c r="H8" s="154"/>
      <c r="I8" s="154"/>
      <c r="J8" s="154"/>
      <c r="K8" s="154"/>
      <c r="M8" s="13"/>
    </row>
    <row r="9" spans="1:13" ht="15" customHeight="1">
      <c r="A9" s="6" t="s">
        <v>2</v>
      </c>
      <c r="B9" s="155"/>
      <c r="C9" s="156"/>
      <c r="D9" s="156"/>
      <c r="E9" s="156"/>
      <c r="F9" s="156"/>
      <c r="G9" s="156"/>
      <c r="H9" s="156"/>
      <c r="I9" s="156"/>
      <c r="J9" s="156"/>
      <c r="K9" s="157"/>
      <c r="M9" s="13"/>
    </row>
    <row r="10" spans="1:13">
      <c r="A10" s="8" t="s">
        <v>3</v>
      </c>
      <c r="B10" s="158">
        <v>44294</v>
      </c>
      <c r="C10" s="159"/>
      <c r="D10" s="160"/>
      <c r="E10" s="10" t="s">
        <v>4</v>
      </c>
      <c r="F10" s="9" t="s">
        <v>5</v>
      </c>
      <c r="G10" s="7" t="s">
        <v>6</v>
      </c>
      <c r="H10" s="9" t="s">
        <v>11</v>
      </c>
      <c r="I10" s="7" t="s">
        <v>7</v>
      </c>
      <c r="J10" s="161" t="s">
        <v>8</v>
      </c>
      <c r="K10" s="162"/>
      <c r="M10" s="13"/>
    </row>
    <row r="12" spans="1:13" ht="17.100000000000001" customHeight="1">
      <c r="A12" s="143" t="s">
        <v>35</v>
      </c>
      <c r="B12" s="144"/>
      <c r="C12" s="145"/>
      <c r="D12" s="18" t="s">
        <v>36</v>
      </c>
      <c r="E12" s="143" t="s">
        <v>37</v>
      </c>
      <c r="F12" s="144"/>
      <c r="G12" s="144"/>
      <c r="H12" s="145"/>
    </row>
    <row r="13" spans="1:13" ht="17.100000000000001" customHeight="1">
      <c r="A13" s="146" t="s">
        <v>13</v>
      </c>
      <c r="B13" s="147"/>
      <c r="C13" s="148"/>
      <c r="D13" s="14" t="s">
        <v>26</v>
      </c>
      <c r="E13" s="149">
        <v>891</v>
      </c>
      <c r="F13" s="150"/>
      <c r="G13" s="150"/>
      <c r="H13" s="15" t="s">
        <v>18</v>
      </c>
    </row>
    <row r="14" spans="1:13" ht="17.100000000000001" customHeight="1">
      <c r="A14" s="138" t="s">
        <v>200</v>
      </c>
      <c r="B14" s="139"/>
      <c r="C14" s="140"/>
      <c r="D14" s="16" t="s">
        <v>201</v>
      </c>
      <c r="E14" s="141">
        <v>33</v>
      </c>
      <c r="F14" s="142"/>
      <c r="G14" s="142"/>
      <c r="H14" s="17" t="s">
        <v>20</v>
      </c>
    </row>
    <row r="15" spans="1:13" ht="17.100000000000001" customHeight="1">
      <c r="A15" s="138" t="s">
        <v>17</v>
      </c>
      <c r="B15" s="139"/>
      <c r="C15" s="140"/>
      <c r="D15" s="16" t="s">
        <v>27</v>
      </c>
      <c r="E15" s="141">
        <v>20550.400000000001</v>
      </c>
      <c r="F15" s="142"/>
      <c r="G15" s="142"/>
      <c r="H15" s="17" t="s">
        <v>18</v>
      </c>
    </row>
    <row r="16" spans="1:13" ht="17.100000000000001" customHeight="1">
      <c r="A16" s="138" t="s">
        <v>12</v>
      </c>
      <c r="B16" s="139"/>
      <c r="C16" s="140"/>
      <c r="D16" s="16" t="s">
        <v>28</v>
      </c>
      <c r="E16" s="141">
        <v>27</v>
      </c>
      <c r="F16" s="142"/>
      <c r="G16" s="142"/>
      <c r="H16" s="17" t="s">
        <v>19</v>
      </c>
    </row>
    <row r="17" spans="1:9" ht="17.100000000000001" customHeight="1">
      <c r="A17" s="138" t="s">
        <v>14</v>
      </c>
      <c r="B17" s="139"/>
      <c r="C17" s="140"/>
      <c r="D17" s="16" t="s">
        <v>29</v>
      </c>
      <c r="E17" s="141">
        <v>17</v>
      </c>
      <c r="F17" s="142"/>
      <c r="G17" s="142"/>
      <c r="H17" s="17" t="s">
        <v>19</v>
      </c>
    </row>
    <row r="18" spans="1:9" ht="17.100000000000001" customHeight="1">
      <c r="A18" s="138" t="s">
        <v>209</v>
      </c>
      <c r="B18" s="139"/>
      <c r="C18" s="140"/>
      <c r="D18" s="16" t="s">
        <v>203</v>
      </c>
      <c r="E18" s="141">
        <v>2</v>
      </c>
      <c r="F18" s="142"/>
      <c r="G18" s="142"/>
      <c r="H18" s="17" t="s">
        <v>19</v>
      </c>
    </row>
    <row r="19" spans="1:9" ht="17.100000000000001" customHeight="1">
      <c r="A19" s="138" t="s">
        <v>202</v>
      </c>
      <c r="B19" s="139"/>
      <c r="C19" s="140"/>
      <c r="D19" s="16" t="s">
        <v>210</v>
      </c>
      <c r="E19" s="141">
        <v>2</v>
      </c>
      <c r="F19" s="142"/>
      <c r="G19" s="142"/>
      <c r="H19" s="17" t="s">
        <v>19</v>
      </c>
    </row>
    <row r="20" spans="1:9" ht="17.100000000000001" customHeight="1">
      <c r="A20" s="138" t="s">
        <v>15</v>
      </c>
      <c r="B20" s="139"/>
      <c r="C20" s="140"/>
      <c r="D20" s="16" t="s">
        <v>30</v>
      </c>
      <c r="E20" s="141">
        <v>587.80999999999995</v>
      </c>
      <c r="F20" s="142"/>
      <c r="G20" s="142"/>
      <c r="H20" s="17" t="s">
        <v>18</v>
      </c>
      <c r="I20" s="91"/>
    </row>
    <row r="21" spans="1:9" ht="17.100000000000001" customHeight="1">
      <c r="A21" s="138" t="s">
        <v>16</v>
      </c>
      <c r="B21" s="139"/>
      <c r="C21" s="140"/>
      <c r="D21" s="16" t="s">
        <v>31</v>
      </c>
      <c r="E21" s="141">
        <v>125.39</v>
      </c>
      <c r="F21" s="142"/>
      <c r="G21" s="142"/>
      <c r="H21" s="17" t="s">
        <v>20</v>
      </c>
    </row>
    <row r="22" spans="1:9" ht="17.100000000000001" customHeight="1">
      <c r="A22" s="138" t="s">
        <v>173</v>
      </c>
      <c r="B22" s="139"/>
      <c r="C22" s="140"/>
      <c r="D22" s="16" t="s">
        <v>174</v>
      </c>
      <c r="E22" s="141">
        <v>785</v>
      </c>
      <c r="F22" s="142"/>
      <c r="G22" s="142"/>
      <c r="H22" s="17" t="s">
        <v>18</v>
      </c>
    </row>
    <row r="23" spans="1:9" ht="17.100000000000001" customHeight="1">
      <c r="A23" s="138" t="s">
        <v>23</v>
      </c>
      <c r="B23" s="139"/>
      <c r="C23" s="140"/>
      <c r="D23" s="16" t="s">
        <v>32</v>
      </c>
      <c r="E23" s="141">
        <v>163.31</v>
      </c>
      <c r="F23" s="142"/>
      <c r="G23" s="142"/>
      <c r="H23" s="17" t="s">
        <v>20</v>
      </c>
    </row>
    <row r="24" spans="1:9" ht="17.100000000000001" customHeight="1">
      <c r="A24" s="138" t="s">
        <v>171</v>
      </c>
      <c r="B24" s="139"/>
      <c r="C24" s="140"/>
      <c r="D24" s="16" t="s">
        <v>172</v>
      </c>
      <c r="E24" s="141">
        <f>1253.2+1372.06*4+1231.69</f>
        <v>7973.1299999999992</v>
      </c>
      <c r="F24" s="142"/>
      <c r="G24" s="142"/>
      <c r="H24" s="17" t="s">
        <v>18</v>
      </c>
    </row>
    <row r="25" spans="1:9" ht="17.100000000000001" customHeight="1">
      <c r="A25" s="138" t="s">
        <v>21</v>
      </c>
      <c r="B25" s="139"/>
      <c r="C25" s="140"/>
      <c r="D25" s="16" t="s">
        <v>33</v>
      </c>
      <c r="E25" s="141">
        <v>0</v>
      </c>
      <c r="F25" s="142"/>
      <c r="G25" s="142"/>
      <c r="H25" s="17" t="s">
        <v>18</v>
      </c>
    </row>
    <row r="26" spans="1:9" ht="17.100000000000001" customHeight="1">
      <c r="A26" s="138" t="s">
        <v>22</v>
      </c>
      <c r="B26" s="139"/>
      <c r="C26" s="140"/>
      <c r="D26" s="16" t="s">
        <v>34</v>
      </c>
      <c r="E26" s="141">
        <v>0</v>
      </c>
      <c r="F26" s="142"/>
      <c r="G26" s="142"/>
      <c r="H26" s="17" t="s">
        <v>19</v>
      </c>
    </row>
    <row r="27" spans="1:9" ht="17.100000000000001" customHeight="1">
      <c r="A27" s="138" t="s">
        <v>191</v>
      </c>
      <c r="B27" s="139"/>
      <c r="C27" s="140"/>
      <c r="D27" s="16" t="s">
        <v>194</v>
      </c>
      <c r="E27" s="141">
        <f>783.72+E20</f>
        <v>1371.53</v>
      </c>
      <c r="F27" s="142"/>
      <c r="G27" s="142"/>
      <c r="H27" s="17" t="s">
        <v>18</v>
      </c>
    </row>
    <row r="28" spans="1:9" ht="17.100000000000001" customHeight="1">
      <c r="A28" s="138" t="s">
        <v>190</v>
      </c>
      <c r="B28" s="139"/>
      <c r="C28" s="140"/>
      <c r="D28" s="16" t="s">
        <v>189</v>
      </c>
      <c r="E28" s="141">
        <v>155.31</v>
      </c>
      <c r="F28" s="142"/>
      <c r="G28" s="142"/>
      <c r="H28" s="17" t="s">
        <v>20</v>
      </c>
    </row>
    <row r="29" spans="1:9" ht="17.100000000000001" customHeight="1">
      <c r="A29" s="138" t="s">
        <v>192</v>
      </c>
      <c r="B29" s="139"/>
      <c r="C29" s="140"/>
      <c r="D29" s="16" t="s">
        <v>193</v>
      </c>
      <c r="E29" s="141">
        <v>6</v>
      </c>
      <c r="F29" s="142"/>
      <c r="G29" s="142"/>
      <c r="H29" s="17" t="s">
        <v>19</v>
      </c>
    </row>
    <row r="30" spans="1:9" ht="17.100000000000001" customHeight="1">
      <c r="A30" s="138" t="s">
        <v>226</v>
      </c>
      <c r="B30" s="139"/>
      <c r="C30" s="140"/>
      <c r="D30" s="16" t="s">
        <v>227</v>
      </c>
      <c r="E30" s="141">
        <v>411.79</v>
      </c>
      <c r="F30" s="142"/>
      <c r="G30" s="142"/>
      <c r="H30" s="17" t="s">
        <v>18</v>
      </c>
    </row>
  </sheetData>
  <mergeCells count="44">
    <mergeCell ref="A19:C19"/>
    <mergeCell ref="E19:G19"/>
    <mergeCell ref="A18:C18"/>
    <mergeCell ref="E18:G18"/>
    <mergeCell ref="A25:C25"/>
    <mergeCell ref="E25:G25"/>
    <mergeCell ref="A24:C24"/>
    <mergeCell ref="A22:C22"/>
    <mergeCell ref="E22:G22"/>
    <mergeCell ref="E24:G24"/>
    <mergeCell ref="A20:C20"/>
    <mergeCell ref="A21:C21"/>
    <mergeCell ref="A23:C23"/>
    <mergeCell ref="E23:G23"/>
    <mergeCell ref="E21:G21"/>
    <mergeCell ref="E20:G20"/>
    <mergeCell ref="A2:K4"/>
    <mergeCell ref="B7:K7"/>
    <mergeCell ref="B8:K8"/>
    <mergeCell ref="B9:K9"/>
    <mergeCell ref="B10:D10"/>
    <mergeCell ref="J10:K10"/>
    <mergeCell ref="E12:H12"/>
    <mergeCell ref="A14:C14"/>
    <mergeCell ref="A13:C13"/>
    <mergeCell ref="A12:C12"/>
    <mergeCell ref="E13:G13"/>
    <mergeCell ref="E14:G14"/>
    <mergeCell ref="A30:C30"/>
    <mergeCell ref="E30:G30"/>
    <mergeCell ref="A15:C15"/>
    <mergeCell ref="E17:G17"/>
    <mergeCell ref="E16:G16"/>
    <mergeCell ref="E15:G15"/>
    <mergeCell ref="A16:C16"/>
    <mergeCell ref="A17:C17"/>
    <mergeCell ref="E26:G26"/>
    <mergeCell ref="A26:C26"/>
    <mergeCell ref="A27:C27"/>
    <mergeCell ref="A29:C29"/>
    <mergeCell ref="E29:G29"/>
    <mergeCell ref="E27:G27"/>
    <mergeCell ref="A28:C28"/>
    <mergeCell ref="E28:G28"/>
  </mergeCells>
  <dataValidations disablePrompts="1" count="1">
    <dataValidation type="list" allowBlank="1" showInputMessage="1" showErrorMessage="1" sqref="J10" xr:uid="{00000000-0002-0000-0000-000000000000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1642"/>
  </sheetPr>
  <dimension ref="A1:K295"/>
  <sheetViews>
    <sheetView showGridLines="0" zoomScaleNormal="100" zoomScaleSheetLayoutView="95" workbookViewId="0">
      <selection activeCell="D18" sqref="D18:H18"/>
    </sheetView>
  </sheetViews>
  <sheetFormatPr defaultColWidth="9.109375" defaultRowHeight="13.2"/>
  <cols>
    <col min="1" max="1" width="17.44140625" style="12" customWidth="1"/>
    <col min="2" max="2" width="9.88671875" style="12" customWidth="1"/>
    <col min="3" max="3" width="8.88671875" style="12" customWidth="1"/>
    <col min="4" max="4" width="10.6640625" style="19" customWidth="1"/>
    <col min="5" max="5" width="13.33203125" style="12" customWidth="1"/>
    <col min="6" max="6" width="12.88671875" style="12" customWidth="1"/>
    <col min="7" max="7" width="9.33203125" style="12" customWidth="1"/>
    <col min="8" max="8" width="7.33203125" style="12" bestFit="1" customWidth="1"/>
    <col min="9" max="9" width="6.44140625" style="12" customWidth="1"/>
    <col min="10" max="16384" width="9.109375" style="12"/>
  </cols>
  <sheetData>
    <row r="1" spans="1:11">
      <c r="A1" s="1"/>
      <c r="B1" s="1"/>
      <c r="C1" s="1"/>
      <c r="D1" s="20"/>
      <c r="E1" s="1"/>
      <c r="F1" s="1"/>
      <c r="G1" s="1"/>
      <c r="H1" s="1"/>
      <c r="I1" s="1"/>
      <c r="K1" s="13"/>
    </row>
    <row r="2" spans="1:11">
      <c r="A2" s="151" t="s">
        <v>47</v>
      </c>
      <c r="B2" s="151"/>
      <c r="C2" s="151"/>
      <c r="D2" s="151"/>
      <c r="E2" s="151"/>
      <c r="F2" s="151"/>
      <c r="G2" s="151"/>
      <c r="H2" s="151"/>
      <c r="I2" s="151"/>
      <c r="K2" s="13"/>
    </row>
    <row r="3" spans="1:11">
      <c r="A3" s="151"/>
      <c r="B3" s="151"/>
      <c r="C3" s="151"/>
      <c r="D3" s="151"/>
      <c r="E3" s="151"/>
      <c r="F3" s="151"/>
      <c r="G3" s="151"/>
      <c r="H3" s="151"/>
      <c r="I3" s="151"/>
      <c r="K3" s="13"/>
    </row>
    <row r="4" spans="1:11">
      <c r="A4" s="151"/>
      <c r="B4" s="151"/>
      <c r="C4" s="151"/>
      <c r="D4" s="151"/>
      <c r="E4" s="151"/>
      <c r="F4" s="151"/>
      <c r="G4" s="151"/>
      <c r="H4" s="151"/>
      <c r="I4" s="151"/>
      <c r="K4" s="13"/>
    </row>
    <row r="5" spans="1:11" ht="13.8" thickBot="1">
      <c r="A5" s="2"/>
      <c r="B5" s="2"/>
      <c r="C5" s="2"/>
      <c r="D5" s="21"/>
      <c r="E5" s="3"/>
      <c r="F5" s="3"/>
      <c r="G5" s="3"/>
      <c r="H5" s="3"/>
      <c r="I5" s="3"/>
      <c r="K5" s="13"/>
    </row>
    <row r="6" spans="1:11">
      <c r="A6" s="4"/>
      <c r="B6" s="4"/>
      <c r="C6" s="4"/>
      <c r="D6" s="22"/>
      <c r="E6" s="5"/>
      <c r="F6" s="5"/>
      <c r="G6" s="5"/>
      <c r="H6" s="5"/>
      <c r="I6" s="5"/>
      <c r="K6" s="13"/>
    </row>
    <row r="7" spans="1:11">
      <c r="A7" s="6" t="s">
        <v>0</v>
      </c>
      <c r="B7" s="153" t="s">
        <v>198</v>
      </c>
      <c r="C7" s="153"/>
      <c r="D7" s="153"/>
      <c r="E7" s="153"/>
      <c r="F7" s="153"/>
      <c r="G7" s="153"/>
      <c r="H7" s="153"/>
      <c r="I7" s="153"/>
      <c r="K7" s="13"/>
    </row>
    <row r="8" spans="1:11">
      <c r="A8" s="6" t="s">
        <v>1</v>
      </c>
      <c r="B8" s="154" t="s">
        <v>177</v>
      </c>
      <c r="C8" s="154"/>
      <c r="D8" s="154"/>
      <c r="E8" s="154"/>
      <c r="F8" s="154"/>
      <c r="G8" s="154"/>
      <c r="H8" s="154"/>
      <c r="I8" s="154"/>
      <c r="K8" s="13"/>
    </row>
    <row r="9" spans="1:11" ht="15" customHeight="1">
      <c r="A9" s="6" t="s">
        <v>2</v>
      </c>
      <c r="B9" s="155" t="s">
        <v>199</v>
      </c>
      <c r="C9" s="156"/>
      <c r="D9" s="157"/>
      <c r="E9" s="10" t="s">
        <v>10</v>
      </c>
      <c r="F9" s="51" t="s">
        <v>9</v>
      </c>
      <c r="G9" s="7" t="s">
        <v>6</v>
      </c>
      <c r="H9" s="154" t="s">
        <v>44</v>
      </c>
      <c r="I9" s="154"/>
    </row>
    <row r="10" spans="1:11">
      <c r="A10" s="8" t="s">
        <v>3</v>
      </c>
      <c r="B10" s="158">
        <v>44294</v>
      </c>
      <c r="C10" s="159"/>
      <c r="D10" s="160"/>
      <c r="E10" s="10" t="s">
        <v>4</v>
      </c>
      <c r="F10" s="9" t="s">
        <v>5</v>
      </c>
      <c r="G10" s="7" t="s">
        <v>41</v>
      </c>
      <c r="H10" s="161" t="s">
        <v>8</v>
      </c>
      <c r="I10" s="162"/>
    </row>
    <row r="12" spans="1:11" ht="14.1" customHeight="1">
      <c r="A12" s="23" t="s">
        <v>163</v>
      </c>
      <c r="B12" s="24"/>
      <c r="C12" s="24"/>
      <c r="D12" s="25"/>
      <c r="E12" s="24"/>
      <c r="F12" s="24"/>
      <c r="G12" s="24"/>
      <c r="H12" s="24"/>
      <c r="I12" s="26"/>
    </row>
    <row r="13" spans="1:11" ht="14.1" customHeight="1">
      <c r="A13" s="27"/>
      <c r="B13" s="28"/>
      <c r="C13" s="28"/>
      <c r="D13" s="29"/>
      <c r="E13" s="28"/>
      <c r="F13" s="28"/>
      <c r="G13" s="30"/>
      <c r="H13" s="30"/>
      <c r="I13" s="31"/>
    </row>
    <row r="14" spans="1:11" ht="15.9" customHeight="1">
      <c r="A14" s="163" t="s">
        <v>35</v>
      </c>
      <c r="B14" s="164"/>
      <c r="C14" s="189"/>
      <c r="D14" s="165" t="s">
        <v>39</v>
      </c>
      <c r="E14" s="166"/>
      <c r="F14" s="166"/>
      <c r="G14" s="166"/>
      <c r="H14" s="167"/>
      <c r="I14" s="31"/>
    </row>
    <row r="15" spans="1:11" s="38" customFormat="1" ht="15.9" customHeight="1">
      <c r="A15" s="183" t="str">
        <f>+'Movimentação de Terra'!A19</f>
        <v>REBAIXAMENTO DE LENÇOL</v>
      </c>
      <c r="B15" s="184"/>
      <c r="C15" s="185"/>
      <c r="D15" s="170">
        <f>+'Movimentação de Terra'!I23</f>
        <v>26284.5</v>
      </c>
      <c r="E15" s="171"/>
      <c r="F15" s="171"/>
      <c r="G15" s="171"/>
      <c r="H15" s="172"/>
      <c r="I15" s="11"/>
    </row>
    <row r="16" spans="1:11" ht="15.9" customHeight="1">
      <c r="A16" s="183" t="str">
        <f>+'Movimentação de Terra'!A26</f>
        <v>ESCAVAÇÃO E REATERRO DE VALAS</v>
      </c>
      <c r="B16" s="184"/>
      <c r="C16" s="185"/>
      <c r="D16" s="170">
        <f>+'Movimentação de Terra'!I32</f>
        <v>141304.97606426582</v>
      </c>
      <c r="E16" s="171"/>
      <c r="F16" s="171"/>
      <c r="G16" s="171"/>
      <c r="H16" s="172"/>
      <c r="I16" s="39"/>
    </row>
    <row r="17" spans="1:9" ht="32.25" customHeight="1">
      <c r="A17" s="183" t="str">
        <f>+'Movimentação de Terra'!A35</f>
        <v>REGULARIZAÇÃO E APILOAmENTO DE FUNDO DE VALAS</v>
      </c>
      <c r="B17" s="184"/>
      <c r="C17" s="185"/>
      <c r="D17" s="186">
        <f>+'Movimentação de Terra'!I39</f>
        <v>5891</v>
      </c>
      <c r="E17" s="187"/>
      <c r="F17" s="187"/>
      <c r="G17" s="187"/>
      <c r="H17" s="188"/>
      <c r="I17" s="39"/>
    </row>
    <row r="18" spans="1:9" ht="15.9" customHeight="1">
      <c r="A18" s="173" t="s">
        <v>43</v>
      </c>
      <c r="B18" s="174"/>
      <c r="C18" s="175"/>
      <c r="D18" s="176">
        <f>SUM(D15:H17)</f>
        <v>173480.47606426582</v>
      </c>
      <c r="E18" s="177"/>
      <c r="F18" s="177"/>
      <c r="G18" s="177"/>
      <c r="H18" s="178"/>
      <c r="I18" s="39"/>
    </row>
    <row r="19" spans="1:9" ht="15" customHeight="1">
      <c r="A19" s="181"/>
      <c r="B19" s="182"/>
      <c r="C19" s="182"/>
      <c r="D19" s="182"/>
      <c r="E19" s="182"/>
      <c r="F19" s="182"/>
      <c r="G19" s="41"/>
      <c r="H19" s="41"/>
      <c r="I19" s="43"/>
    </row>
    <row r="20" spans="1:9">
      <c r="A20" s="30"/>
      <c r="B20" s="30"/>
      <c r="C20" s="30"/>
      <c r="D20" s="44"/>
      <c r="E20" s="30"/>
      <c r="F20" s="30"/>
      <c r="G20" s="30"/>
      <c r="H20" s="30"/>
      <c r="I20" s="30"/>
    </row>
    <row r="22" spans="1:9">
      <c r="A22" s="23" t="s">
        <v>164</v>
      </c>
      <c r="B22" s="24"/>
      <c r="C22" s="24"/>
      <c r="D22" s="45"/>
      <c r="E22" s="24"/>
      <c r="F22" s="24"/>
      <c r="G22" s="24"/>
      <c r="H22" s="24"/>
      <c r="I22" s="26"/>
    </row>
    <row r="23" spans="1:9">
      <c r="A23" s="46"/>
      <c r="B23" s="30"/>
      <c r="C23" s="30"/>
      <c r="D23" s="44"/>
      <c r="E23" s="30"/>
      <c r="F23" s="30"/>
      <c r="G23" s="30"/>
      <c r="H23" s="30"/>
      <c r="I23" s="31"/>
    </row>
    <row r="24" spans="1:9">
      <c r="A24" s="163" t="s">
        <v>35</v>
      </c>
      <c r="B24" s="164"/>
      <c r="C24" s="164"/>
      <c r="D24" s="165" t="s">
        <v>39</v>
      </c>
      <c r="E24" s="166"/>
      <c r="F24" s="166"/>
      <c r="G24" s="166"/>
      <c r="H24" s="167"/>
      <c r="I24" s="31"/>
    </row>
    <row r="25" spans="1:9" ht="15.9" customHeight="1">
      <c r="A25" s="197" t="str">
        <f>+Infraestrutura!A12</f>
        <v>FUNDAÇÃO PROFUNDA</v>
      </c>
      <c r="B25" s="180"/>
      <c r="C25" s="180"/>
      <c r="D25" s="193">
        <f>+Infraestrutura!I26</f>
        <v>2904912</v>
      </c>
      <c r="E25" s="194"/>
      <c r="F25" s="194"/>
      <c r="G25" s="194"/>
      <c r="H25" s="195"/>
      <c r="I25" s="31"/>
    </row>
    <row r="26" spans="1:9" ht="15.9" customHeight="1">
      <c r="A26" s="196" t="str">
        <f>+Infraestrutura!A29</f>
        <v>FUNDAÇÃO RASA</v>
      </c>
      <c r="B26" s="196"/>
      <c r="C26" s="196"/>
      <c r="D26" s="170">
        <f>+Infraestrutura!I36</f>
        <v>1205106.2765000002</v>
      </c>
      <c r="E26" s="171"/>
      <c r="F26" s="171"/>
      <c r="G26" s="171"/>
      <c r="H26" s="172"/>
      <c r="I26" s="31"/>
    </row>
    <row r="27" spans="1:9" ht="15.9" customHeight="1">
      <c r="A27" s="196" t="s">
        <v>223</v>
      </c>
      <c r="B27" s="196"/>
      <c r="C27" s="196"/>
      <c r="D27" s="170">
        <f>Infraestrutura!I46</f>
        <v>257581.24</v>
      </c>
      <c r="E27" s="171"/>
      <c r="F27" s="171"/>
      <c r="G27" s="171"/>
      <c r="H27" s="172"/>
      <c r="I27" s="31"/>
    </row>
    <row r="28" spans="1:9" ht="15.9" customHeight="1">
      <c r="A28" s="173" t="s">
        <v>43</v>
      </c>
      <c r="B28" s="174"/>
      <c r="C28" s="175"/>
      <c r="D28" s="176">
        <f>SUM(D25:H27)</f>
        <v>4367599.5164999999</v>
      </c>
      <c r="E28" s="177"/>
      <c r="F28" s="177"/>
      <c r="G28" s="177"/>
      <c r="H28" s="178"/>
      <c r="I28" s="31"/>
    </row>
    <row r="29" spans="1:9">
      <c r="A29" s="47"/>
      <c r="B29" s="41"/>
      <c r="C29" s="41"/>
      <c r="D29" s="48"/>
      <c r="E29" s="41"/>
      <c r="F29" s="41"/>
      <c r="G29" s="41"/>
      <c r="H29" s="41"/>
      <c r="I29" s="43"/>
    </row>
    <row r="31" spans="1:9">
      <c r="A31" s="23" t="s">
        <v>77</v>
      </c>
      <c r="B31" s="24"/>
      <c r="C31" s="24"/>
      <c r="D31" s="45"/>
      <c r="E31" s="24"/>
      <c r="F31" s="24"/>
      <c r="G31" s="24"/>
      <c r="H31" s="24"/>
      <c r="I31" s="26"/>
    </row>
    <row r="32" spans="1:9">
      <c r="A32" s="46"/>
      <c r="B32" s="30"/>
      <c r="C32" s="30"/>
      <c r="D32" s="44"/>
      <c r="E32" s="30"/>
      <c r="F32" s="30"/>
      <c r="G32" s="30"/>
      <c r="H32" s="30"/>
      <c r="I32" s="31"/>
    </row>
    <row r="33" spans="1:9">
      <c r="A33" s="163" t="s">
        <v>35</v>
      </c>
      <c r="B33" s="164"/>
      <c r="C33" s="164"/>
      <c r="D33" s="165" t="s">
        <v>39</v>
      </c>
      <c r="E33" s="166"/>
      <c r="F33" s="166"/>
      <c r="G33" s="166"/>
      <c r="H33" s="167"/>
      <c r="I33" s="31"/>
    </row>
    <row r="34" spans="1:9" ht="15.9" customHeight="1">
      <c r="A34" s="179" t="str">
        <f>+Supraestrutura!A12</f>
        <v>SUPRAESTRUTURA</v>
      </c>
      <c r="B34" s="179"/>
      <c r="C34" s="179"/>
      <c r="D34" s="193">
        <f>+Supraestrutura!I24</f>
        <v>14390209.344000001</v>
      </c>
      <c r="E34" s="194"/>
      <c r="F34" s="194"/>
      <c r="G34" s="194"/>
      <c r="H34" s="195"/>
      <c r="I34" s="31"/>
    </row>
    <row r="35" spans="1:9" ht="15.9" customHeight="1">
      <c r="A35" s="173" t="s">
        <v>43</v>
      </c>
      <c r="B35" s="174"/>
      <c r="C35" s="175"/>
      <c r="D35" s="176">
        <f>SUM(D34:H34)</f>
        <v>14390209.344000001</v>
      </c>
      <c r="E35" s="177"/>
      <c r="F35" s="177"/>
      <c r="G35" s="177"/>
      <c r="H35" s="178"/>
      <c r="I35" s="31"/>
    </row>
    <row r="36" spans="1:9">
      <c r="A36" s="47"/>
      <c r="B36" s="41"/>
      <c r="C36" s="41"/>
      <c r="D36" s="48"/>
      <c r="E36" s="41"/>
      <c r="F36" s="41"/>
      <c r="G36" s="41"/>
      <c r="H36" s="41"/>
      <c r="I36" s="43"/>
    </row>
    <row r="38" spans="1:9">
      <c r="A38" s="23" t="s">
        <v>84</v>
      </c>
      <c r="B38" s="24"/>
      <c r="C38" s="24"/>
      <c r="D38" s="45"/>
      <c r="E38" s="24"/>
      <c r="F38" s="24"/>
      <c r="G38" s="24"/>
      <c r="H38" s="24"/>
      <c r="I38" s="26"/>
    </row>
    <row r="39" spans="1:9">
      <c r="A39" s="46"/>
      <c r="B39" s="30"/>
      <c r="C39" s="30"/>
      <c r="D39" s="44"/>
      <c r="E39" s="30"/>
      <c r="F39" s="30"/>
      <c r="G39" s="30"/>
      <c r="H39" s="30"/>
      <c r="I39" s="31"/>
    </row>
    <row r="40" spans="1:9">
      <c r="A40" s="163" t="s">
        <v>35</v>
      </c>
      <c r="B40" s="164"/>
      <c r="C40" s="164"/>
      <c r="D40" s="165" t="s">
        <v>39</v>
      </c>
      <c r="E40" s="166"/>
      <c r="F40" s="166"/>
      <c r="G40" s="166"/>
      <c r="H40" s="167"/>
      <c r="I40" s="31"/>
    </row>
    <row r="41" spans="1:9" ht="15.9" customHeight="1">
      <c r="A41" s="169" t="str">
        <f>+Alvenaria!A12</f>
        <v>ALVENARIA</v>
      </c>
      <c r="B41" s="169"/>
      <c r="C41" s="169"/>
      <c r="D41" s="170">
        <f>+Alvenaria!I22</f>
        <v>2280313.7722499999</v>
      </c>
      <c r="E41" s="171"/>
      <c r="F41" s="171"/>
      <c r="G41" s="171"/>
      <c r="H41" s="172"/>
      <c r="I41" s="31"/>
    </row>
    <row r="42" spans="1:9" ht="15.9" customHeight="1">
      <c r="A42" s="173" t="s">
        <v>43</v>
      </c>
      <c r="B42" s="174"/>
      <c r="C42" s="175"/>
      <c r="D42" s="176">
        <f>SUM(D41)</f>
        <v>2280313.7722499999</v>
      </c>
      <c r="E42" s="177"/>
      <c r="F42" s="177"/>
      <c r="G42" s="177"/>
      <c r="H42" s="178"/>
      <c r="I42" s="31"/>
    </row>
    <row r="43" spans="1:9" ht="15.75" customHeight="1">
      <c r="A43" s="47"/>
      <c r="B43" s="41"/>
      <c r="C43" s="41"/>
      <c r="D43" s="42"/>
      <c r="E43" s="49"/>
      <c r="F43" s="49"/>
      <c r="G43" s="50"/>
      <c r="H43" s="41"/>
      <c r="I43" s="43"/>
    </row>
    <row r="44" spans="1:9" ht="15.75" customHeight="1"/>
    <row r="45" spans="1:9" ht="15.75" customHeight="1">
      <c r="A45" s="23" t="s">
        <v>165</v>
      </c>
      <c r="B45" s="24"/>
      <c r="C45" s="24"/>
      <c r="D45" s="25"/>
      <c r="E45" s="24"/>
      <c r="F45" s="24"/>
      <c r="G45" s="24"/>
      <c r="H45" s="24"/>
      <c r="I45" s="26"/>
    </row>
    <row r="46" spans="1:9" ht="15.75" customHeight="1">
      <c r="A46" s="27"/>
      <c r="B46" s="28"/>
      <c r="C46" s="28"/>
      <c r="D46" s="29"/>
      <c r="E46" s="28"/>
      <c r="F46" s="28"/>
      <c r="G46" s="30"/>
      <c r="H46" s="30"/>
      <c r="I46" s="31"/>
    </row>
    <row r="47" spans="1:9" ht="15.75" customHeight="1">
      <c r="A47" s="163" t="s">
        <v>35</v>
      </c>
      <c r="B47" s="164"/>
      <c r="C47" s="189"/>
      <c r="D47" s="165" t="s">
        <v>39</v>
      </c>
      <c r="E47" s="166"/>
      <c r="F47" s="166"/>
      <c r="G47" s="166"/>
      <c r="H47" s="167"/>
      <c r="I47" s="31"/>
    </row>
    <row r="48" spans="1:9" ht="15.75" customHeight="1">
      <c r="A48" s="190" t="str">
        <f>+Instalações!A12</f>
        <v>INSTALAÇÕES ELÉTRICAS</v>
      </c>
      <c r="B48" s="191"/>
      <c r="C48" s="192"/>
      <c r="D48" s="193">
        <f>+Instalações!I23</f>
        <v>2660249.2800000003</v>
      </c>
      <c r="E48" s="194"/>
      <c r="F48" s="194"/>
      <c r="G48" s="194"/>
      <c r="H48" s="195"/>
      <c r="I48" s="35"/>
    </row>
    <row r="49" spans="1:9" ht="15.75" customHeight="1">
      <c r="A49" s="183" t="str">
        <f>+Instalações!A25</f>
        <v>INSTALAÇÕES HIDRÁULICAS</v>
      </c>
      <c r="B49" s="184"/>
      <c r="C49" s="185"/>
      <c r="D49" s="170">
        <f>+Instalações!I35</f>
        <v>2187993.92</v>
      </c>
      <c r="E49" s="171"/>
      <c r="F49" s="171"/>
      <c r="G49" s="171"/>
      <c r="H49" s="172"/>
      <c r="I49" s="11"/>
    </row>
    <row r="50" spans="1:9" ht="15.75" customHeight="1">
      <c r="A50" s="183" t="str">
        <f>+Instalações!A38</f>
        <v>INSTALAÇÕES PREVENTIVAS E GLP</v>
      </c>
      <c r="B50" s="184"/>
      <c r="C50" s="185"/>
      <c r="D50" s="170">
        <f>+Instalações!I45</f>
        <v>986419.20000000007</v>
      </c>
      <c r="E50" s="171"/>
      <c r="F50" s="171"/>
      <c r="G50" s="171"/>
      <c r="H50" s="172"/>
      <c r="I50" s="39"/>
    </row>
    <row r="51" spans="1:9" ht="27.75" customHeight="1">
      <c r="A51" s="183" t="str">
        <f>+Instalações!A48</f>
        <v>CLIMATIZAÇÃO, EXAUSTÃO MECÂNICA E PRESSURIZAÇÃO</v>
      </c>
      <c r="B51" s="184"/>
      <c r="C51" s="185"/>
      <c r="D51" s="186">
        <f>+Instalações!I54</f>
        <v>965760</v>
      </c>
      <c r="E51" s="187"/>
      <c r="F51" s="187"/>
      <c r="G51" s="187"/>
      <c r="H51" s="188"/>
      <c r="I51" s="39"/>
    </row>
    <row r="52" spans="1:9" ht="15.75" customHeight="1">
      <c r="A52" s="173" t="s">
        <v>43</v>
      </c>
      <c r="B52" s="174"/>
      <c r="C52" s="175"/>
      <c r="D52" s="176">
        <f>SUM(D48:H51)</f>
        <v>6800422.4000000004</v>
      </c>
      <c r="E52" s="177"/>
      <c r="F52" s="177"/>
      <c r="G52" s="177"/>
      <c r="H52" s="178"/>
      <c r="I52" s="39"/>
    </row>
    <row r="53" spans="1:9" ht="15.75" customHeight="1">
      <c r="A53" s="181"/>
      <c r="B53" s="182"/>
      <c r="C53" s="182"/>
      <c r="D53" s="182"/>
      <c r="E53" s="182"/>
      <c r="F53" s="182"/>
      <c r="G53" s="41"/>
      <c r="H53" s="41"/>
      <c r="I53" s="43"/>
    </row>
    <row r="54" spans="1:9" ht="15.75" customHeight="1"/>
    <row r="55" spans="1:9" ht="15.75" customHeight="1">
      <c r="A55" s="23" t="s">
        <v>111</v>
      </c>
      <c r="B55" s="24"/>
      <c r="C55" s="24"/>
      <c r="D55" s="45"/>
      <c r="E55" s="24"/>
      <c r="F55" s="24"/>
      <c r="G55" s="24"/>
      <c r="H55" s="24"/>
      <c r="I55" s="26"/>
    </row>
    <row r="56" spans="1:9" ht="15.75" customHeight="1">
      <c r="A56" s="46"/>
      <c r="B56" s="30"/>
      <c r="C56" s="30"/>
      <c r="D56" s="44"/>
      <c r="E56" s="30"/>
      <c r="F56" s="30"/>
      <c r="G56" s="30"/>
      <c r="H56" s="30"/>
      <c r="I56" s="31"/>
    </row>
    <row r="57" spans="1:9" ht="15.75" customHeight="1">
      <c r="A57" s="163" t="s">
        <v>35</v>
      </c>
      <c r="B57" s="164"/>
      <c r="C57" s="164"/>
      <c r="D57" s="165" t="s">
        <v>39</v>
      </c>
      <c r="E57" s="166"/>
      <c r="F57" s="166"/>
      <c r="G57" s="166"/>
      <c r="H57" s="167"/>
      <c r="I57" s="31"/>
    </row>
    <row r="58" spans="1:9" ht="15.75" customHeight="1">
      <c r="A58" s="169" t="str">
        <f>+Impermeabilização!A12</f>
        <v>IMPERMEABILIZAÇÃO</v>
      </c>
      <c r="B58" s="169"/>
      <c r="C58" s="169"/>
      <c r="D58" s="170">
        <f>+Impermeabilização!I23</f>
        <v>885001.43500000006</v>
      </c>
      <c r="E58" s="171"/>
      <c r="F58" s="171"/>
      <c r="G58" s="171"/>
      <c r="H58" s="172"/>
      <c r="I58" s="31"/>
    </row>
    <row r="59" spans="1:9" ht="15.75" customHeight="1">
      <c r="A59" s="173" t="s">
        <v>43</v>
      </c>
      <c r="B59" s="174"/>
      <c r="C59" s="175"/>
      <c r="D59" s="176">
        <f>SUM(D58)</f>
        <v>885001.43500000006</v>
      </c>
      <c r="E59" s="177"/>
      <c r="F59" s="177"/>
      <c r="G59" s="177"/>
      <c r="H59" s="178"/>
      <c r="I59" s="31"/>
    </row>
    <row r="60" spans="1:9" ht="15.75" customHeight="1">
      <c r="A60" s="47"/>
      <c r="B60" s="41"/>
      <c r="C60" s="41"/>
      <c r="D60" s="42"/>
      <c r="E60" s="49"/>
      <c r="F60" s="49"/>
      <c r="G60" s="50"/>
      <c r="H60" s="41"/>
      <c r="I60" s="43"/>
    </row>
    <row r="61" spans="1:9" ht="15.75" customHeight="1"/>
    <row r="62" spans="1:9" ht="15.75" customHeight="1">
      <c r="A62" s="23" t="s">
        <v>166</v>
      </c>
      <c r="B62" s="24"/>
      <c r="C62" s="24"/>
      <c r="D62" s="45"/>
      <c r="E62" s="24"/>
      <c r="F62" s="24"/>
      <c r="G62" s="24"/>
      <c r="H62" s="24"/>
      <c r="I62" s="26"/>
    </row>
    <row r="63" spans="1:9" ht="15.75" customHeight="1">
      <c r="A63" s="46"/>
      <c r="B63" s="30"/>
      <c r="C63" s="30"/>
      <c r="D63" s="44"/>
      <c r="E63" s="30"/>
      <c r="F63" s="30"/>
      <c r="G63" s="30"/>
      <c r="H63" s="30"/>
      <c r="I63" s="31"/>
    </row>
    <row r="64" spans="1:9" ht="15.75" customHeight="1">
      <c r="A64" s="163" t="s">
        <v>35</v>
      </c>
      <c r="B64" s="164"/>
      <c r="C64" s="164"/>
      <c r="D64" s="165" t="s">
        <v>39</v>
      </c>
      <c r="E64" s="166"/>
      <c r="F64" s="166"/>
      <c r="G64" s="166"/>
      <c r="H64" s="167"/>
      <c r="I64" s="31"/>
    </row>
    <row r="65" spans="1:9" ht="32.25" customHeight="1">
      <c r="A65" s="169" t="str">
        <f>+'Rev. Internos Piso e Parede'!A12</f>
        <v>REVESTIMENTOS INTERNOS EM PISO E PAREDE</v>
      </c>
      <c r="B65" s="169"/>
      <c r="C65" s="169"/>
      <c r="D65" s="170">
        <f>+'Rev. Internos Piso e Parede'!I19</f>
        <v>2776646.7456</v>
      </c>
      <c r="E65" s="171"/>
      <c r="F65" s="171"/>
      <c r="G65" s="171"/>
      <c r="H65" s="172"/>
      <c r="I65" s="31"/>
    </row>
    <row r="66" spans="1:9" ht="15.75" customHeight="1">
      <c r="A66" s="173" t="s">
        <v>43</v>
      </c>
      <c r="B66" s="174"/>
      <c r="C66" s="175"/>
      <c r="D66" s="176">
        <f>SUM(D65)</f>
        <v>2776646.7456</v>
      </c>
      <c r="E66" s="177"/>
      <c r="F66" s="177"/>
      <c r="G66" s="177"/>
      <c r="H66" s="178"/>
      <c r="I66" s="31"/>
    </row>
    <row r="67" spans="1:9" ht="15.75" customHeight="1">
      <c r="A67" s="47"/>
      <c r="B67" s="41"/>
      <c r="C67" s="41"/>
      <c r="D67" s="42"/>
      <c r="E67" s="49"/>
      <c r="F67" s="49"/>
      <c r="G67" s="50"/>
      <c r="H67" s="41"/>
      <c r="I67" s="43"/>
    </row>
    <row r="68" spans="1:9" ht="15.75" customHeight="1"/>
    <row r="69" spans="1:9" ht="15.75" customHeight="1">
      <c r="A69" s="23" t="s">
        <v>167</v>
      </c>
      <c r="B69" s="24"/>
      <c r="C69" s="24"/>
      <c r="D69" s="45"/>
      <c r="E69" s="24"/>
      <c r="F69" s="24"/>
      <c r="G69" s="24"/>
      <c r="H69" s="24"/>
      <c r="I69" s="26"/>
    </row>
    <row r="70" spans="1:9" ht="15.75" customHeight="1">
      <c r="A70" s="46"/>
      <c r="B70" s="30"/>
      <c r="C70" s="30"/>
      <c r="D70" s="44"/>
      <c r="E70" s="30"/>
      <c r="F70" s="30"/>
      <c r="G70" s="30"/>
      <c r="H70" s="30"/>
      <c r="I70" s="31"/>
    </row>
    <row r="71" spans="1:9" ht="15.75" customHeight="1">
      <c r="A71" s="163" t="s">
        <v>35</v>
      </c>
      <c r="B71" s="164"/>
      <c r="C71" s="164"/>
      <c r="D71" s="165" t="s">
        <v>39</v>
      </c>
      <c r="E71" s="166"/>
      <c r="F71" s="166"/>
      <c r="G71" s="166"/>
      <c r="H71" s="167"/>
      <c r="I71" s="31"/>
    </row>
    <row r="72" spans="1:9" ht="15.75" customHeight="1">
      <c r="A72" s="169" t="str">
        <f>+'Acabamentos de Teto'!A12</f>
        <v>ACABAMENTOS DE TETO</v>
      </c>
      <c r="B72" s="169"/>
      <c r="C72" s="169"/>
      <c r="D72" s="170">
        <f>+'Acabamentos de Teto'!I19</f>
        <v>1737034.6016885818</v>
      </c>
      <c r="E72" s="171"/>
      <c r="F72" s="171"/>
      <c r="G72" s="171"/>
      <c r="H72" s="172"/>
      <c r="I72" s="31"/>
    </row>
    <row r="73" spans="1:9" ht="15.75" customHeight="1">
      <c r="A73" s="173" t="s">
        <v>43</v>
      </c>
      <c r="B73" s="174"/>
      <c r="C73" s="175"/>
      <c r="D73" s="176">
        <f>SUM(D72)</f>
        <v>1737034.6016885818</v>
      </c>
      <c r="E73" s="177"/>
      <c r="F73" s="177"/>
      <c r="G73" s="177"/>
      <c r="H73" s="178"/>
      <c r="I73" s="31"/>
    </row>
    <row r="74" spans="1:9" ht="15.75" customHeight="1">
      <c r="A74" s="47"/>
      <c r="B74" s="41"/>
      <c r="C74" s="41"/>
      <c r="D74" s="42"/>
      <c r="E74" s="49"/>
      <c r="F74" s="49"/>
      <c r="G74" s="50"/>
      <c r="H74" s="41"/>
      <c r="I74" s="43"/>
    </row>
    <row r="75" spans="1:9" ht="15.75" customHeight="1"/>
    <row r="76" spans="1:9" ht="15.75" customHeight="1">
      <c r="A76" s="23" t="s">
        <v>136</v>
      </c>
      <c r="B76" s="24"/>
      <c r="C76" s="24"/>
      <c r="D76" s="45"/>
      <c r="E76" s="24"/>
      <c r="F76" s="24"/>
      <c r="G76" s="24"/>
      <c r="H76" s="24"/>
      <c r="I76" s="26"/>
    </row>
    <row r="77" spans="1:9" ht="15.75" customHeight="1">
      <c r="A77" s="46"/>
      <c r="B77" s="30"/>
      <c r="C77" s="30"/>
      <c r="D77" s="44"/>
      <c r="E77" s="30"/>
      <c r="F77" s="30"/>
      <c r="G77" s="30"/>
      <c r="H77" s="30"/>
      <c r="I77" s="31"/>
    </row>
    <row r="78" spans="1:9" ht="15.75" customHeight="1">
      <c r="A78" s="163" t="s">
        <v>35</v>
      </c>
      <c r="B78" s="164"/>
      <c r="C78" s="164"/>
      <c r="D78" s="165" t="s">
        <v>39</v>
      </c>
      <c r="E78" s="166"/>
      <c r="F78" s="166"/>
      <c r="G78" s="166"/>
      <c r="H78" s="167"/>
      <c r="I78" s="31"/>
    </row>
    <row r="79" spans="1:9" ht="15.75" customHeight="1">
      <c r="A79" s="169" t="str">
        <f>+'Acabamentos de Piso e Parede'!A12</f>
        <v>ACABAMENTOS EM PISO E PAREDE</v>
      </c>
      <c r="B79" s="169"/>
      <c r="C79" s="169"/>
      <c r="D79" s="170">
        <f>+'Acabamentos de Piso e Parede'!I19</f>
        <v>4185847.8</v>
      </c>
      <c r="E79" s="171"/>
      <c r="F79" s="171"/>
      <c r="G79" s="171"/>
      <c r="H79" s="172"/>
      <c r="I79" s="31"/>
    </row>
    <row r="80" spans="1:9" ht="15.75" customHeight="1">
      <c r="A80" s="173" t="s">
        <v>43</v>
      </c>
      <c r="B80" s="174"/>
      <c r="C80" s="175"/>
      <c r="D80" s="176">
        <f>SUM(D79)</f>
        <v>4185847.8</v>
      </c>
      <c r="E80" s="177"/>
      <c r="F80" s="177"/>
      <c r="G80" s="177"/>
      <c r="H80" s="178"/>
      <c r="I80" s="31"/>
    </row>
    <row r="81" spans="1:9" ht="15.75" customHeight="1">
      <c r="A81" s="47"/>
      <c r="B81" s="41"/>
      <c r="C81" s="41"/>
      <c r="D81" s="42"/>
      <c r="E81" s="49"/>
      <c r="F81" s="49"/>
      <c r="G81" s="50"/>
      <c r="H81" s="41"/>
      <c r="I81" s="43"/>
    </row>
    <row r="82" spans="1:9" ht="15.75" customHeight="1"/>
    <row r="83" spans="1:9" ht="15.75" customHeight="1">
      <c r="A83" s="23" t="s">
        <v>140</v>
      </c>
      <c r="B83" s="24"/>
      <c r="C83" s="24"/>
      <c r="D83" s="45"/>
      <c r="E83" s="24"/>
      <c r="F83" s="24"/>
      <c r="G83" s="24"/>
      <c r="H83" s="24"/>
      <c r="I83" s="26"/>
    </row>
    <row r="84" spans="1:9" ht="15.75" customHeight="1">
      <c r="A84" s="46"/>
      <c r="B84" s="30"/>
      <c r="C84" s="30"/>
      <c r="D84" s="44"/>
      <c r="E84" s="30"/>
      <c r="F84" s="30"/>
      <c r="G84" s="30"/>
      <c r="H84" s="30"/>
      <c r="I84" s="31"/>
    </row>
    <row r="85" spans="1:9" ht="15.75" customHeight="1">
      <c r="A85" s="163" t="s">
        <v>35</v>
      </c>
      <c r="B85" s="164"/>
      <c r="C85" s="164"/>
      <c r="D85" s="165" t="s">
        <v>39</v>
      </c>
      <c r="E85" s="166"/>
      <c r="F85" s="166"/>
      <c r="G85" s="166"/>
      <c r="H85" s="167"/>
      <c r="I85" s="31"/>
    </row>
    <row r="86" spans="1:9" ht="15.75" customHeight="1">
      <c r="A86" s="169" t="str">
        <f>+'Pintura Interna'!A12</f>
        <v>PINTURA INTERNA</v>
      </c>
      <c r="B86" s="169"/>
      <c r="C86" s="169"/>
      <c r="D86" s="170">
        <f>+'Pintura Interna'!I16</f>
        <v>1952288.0000000002</v>
      </c>
      <c r="E86" s="171"/>
      <c r="F86" s="171"/>
      <c r="G86" s="171"/>
      <c r="H86" s="172"/>
      <c r="I86" s="31"/>
    </row>
    <row r="87" spans="1:9" ht="15.75" customHeight="1">
      <c r="A87" s="173" t="s">
        <v>43</v>
      </c>
      <c r="B87" s="174"/>
      <c r="C87" s="175"/>
      <c r="D87" s="176">
        <f>SUM(D86)</f>
        <v>1952288.0000000002</v>
      </c>
      <c r="E87" s="177"/>
      <c r="F87" s="177"/>
      <c r="G87" s="177"/>
      <c r="H87" s="178"/>
      <c r="I87" s="31"/>
    </row>
    <row r="88" spans="1:9" ht="15.75" customHeight="1">
      <c r="A88" s="47"/>
      <c r="B88" s="41"/>
      <c r="C88" s="41"/>
      <c r="D88" s="42"/>
      <c r="E88" s="49"/>
      <c r="F88" s="49"/>
      <c r="G88" s="50"/>
      <c r="H88" s="41"/>
      <c r="I88" s="43"/>
    </row>
    <row r="89" spans="1:9" ht="15.75" customHeight="1"/>
    <row r="90" spans="1:9" ht="15.75" customHeight="1">
      <c r="A90" s="23" t="s">
        <v>143</v>
      </c>
      <c r="B90" s="24"/>
      <c r="C90" s="24"/>
      <c r="D90" s="45"/>
      <c r="E90" s="24"/>
      <c r="F90" s="24"/>
      <c r="G90" s="24"/>
      <c r="H90" s="24"/>
      <c r="I90" s="26"/>
    </row>
    <row r="91" spans="1:9" ht="15.75" customHeight="1">
      <c r="A91" s="46"/>
      <c r="B91" s="30"/>
      <c r="C91" s="30"/>
      <c r="D91" s="44"/>
      <c r="E91" s="30"/>
      <c r="F91" s="30"/>
      <c r="G91" s="30"/>
      <c r="H91" s="30"/>
      <c r="I91" s="31"/>
    </row>
    <row r="92" spans="1:9" ht="15.75" customHeight="1">
      <c r="A92" s="163" t="s">
        <v>35</v>
      </c>
      <c r="B92" s="164"/>
      <c r="C92" s="164"/>
      <c r="D92" s="165" t="s">
        <v>39</v>
      </c>
      <c r="E92" s="166"/>
      <c r="F92" s="166"/>
      <c r="G92" s="166"/>
      <c r="H92" s="167"/>
      <c r="I92" s="31"/>
    </row>
    <row r="93" spans="1:9" ht="15.75" customHeight="1">
      <c r="A93" s="169" t="str">
        <f>+Esquadrias!A12</f>
        <v>ESQUADRIAS</v>
      </c>
      <c r="B93" s="169"/>
      <c r="C93" s="169"/>
      <c r="D93" s="170">
        <f>+Esquadrias!I23</f>
        <v>7084015.2000000002</v>
      </c>
      <c r="E93" s="171"/>
      <c r="F93" s="171"/>
      <c r="G93" s="171"/>
      <c r="H93" s="172"/>
      <c r="I93" s="31"/>
    </row>
    <row r="94" spans="1:9" ht="15.75" customHeight="1">
      <c r="A94" s="173" t="s">
        <v>43</v>
      </c>
      <c r="B94" s="174"/>
      <c r="C94" s="175"/>
      <c r="D94" s="176">
        <f>SUM(D93)</f>
        <v>7084015.2000000002</v>
      </c>
      <c r="E94" s="177"/>
      <c r="F94" s="177"/>
      <c r="G94" s="177"/>
      <c r="H94" s="178"/>
      <c r="I94" s="31"/>
    </row>
    <row r="95" spans="1:9" ht="15.75" customHeight="1">
      <c r="A95" s="47"/>
      <c r="B95" s="41"/>
      <c r="C95" s="41"/>
      <c r="D95" s="42"/>
      <c r="E95" s="49"/>
      <c r="F95" s="49"/>
      <c r="G95" s="50"/>
      <c r="H95" s="41"/>
      <c r="I95" s="43"/>
    </row>
    <row r="96" spans="1:9" ht="15.75" customHeight="1"/>
    <row r="97" spans="1:9" ht="15.75" customHeight="1">
      <c r="A97" s="23" t="s">
        <v>168</v>
      </c>
      <c r="B97" s="24"/>
      <c r="C97" s="24"/>
      <c r="D97" s="45"/>
      <c r="E97" s="24"/>
      <c r="F97" s="24"/>
      <c r="G97" s="24"/>
      <c r="H97" s="24"/>
      <c r="I97" s="26"/>
    </row>
    <row r="98" spans="1:9" ht="15.75" customHeight="1">
      <c r="A98" s="46"/>
      <c r="B98" s="30"/>
      <c r="C98" s="30"/>
      <c r="D98" s="44"/>
      <c r="E98" s="30"/>
      <c r="F98" s="30"/>
      <c r="G98" s="30"/>
      <c r="H98" s="30"/>
      <c r="I98" s="31"/>
    </row>
    <row r="99" spans="1:9" ht="15.75" customHeight="1">
      <c r="A99" s="163" t="s">
        <v>35</v>
      </c>
      <c r="B99" s="164"/>
      <c r="C99" s="164"/>
      <c r="D99" s="165" t="s">
        <v>39</v>
      </c>
      <c r="E99" s="166"/>
      <c r="F99" s="166"/>
      <c r="G99" s="166"/>
      <c r="H99" s="167"/>
      <c r="I99" s="31"/>
    </row>
    <row r="100" spans="1:9" ht="15.75" customHeight="1">
      <c r="A100" s="180" t="str">
        <f>+'Rev. Fachada'!A12</f>
        <v>REVESTIMENTOS ARGAMASSADOS</v>
      </c>
      <c r="B100" s="180"/>
      <c r="C100" s="180"/>
      <c r="D100" s="170">
        <f>+'Rev. Fachada'!I18</f>
        <v>387804.67169724806</v>
      </c>
      <c r="E100" s="171"/>
      <c r="F100" s="171"/>
      <c r="G100" s="171"/>
      <c r="H100" s="172"/>
      <c r="I100" s="31"/>
    </row>
    <row r="101" spans="1:9" ht="15.75" customHeight="1">
      <c r="A101" s="179" t="str">
        <f>+'Rev. Fachada'!A21</f>
        <v>PINTURA</v>
      </c>
      <c r="B101" s="179"/>
      <c r="C101" s="179"/>
      <c r="D101" s="170">
        <f>+'Rev. Fachada'!I25</f>
        <v>1028820</v>
      </c>
      <c r="E101" s="171"/>
      <c r="F101" s="171"/>
      <c r="G101" s="171"/>
      <c r="H101" s="172"/>
      <c r="I101" s="31"/>
    </row>
    <row r="102" spans="1:9" ht="15.75" customHeight="1">
      <c r="A102" s="179" t="str">
        <f>+'Rev. Fachada'!A27</f>
        <v>REVESTIMENTOS ESPECIAIS</v>
      </c>
      <c r="B102" s="179"/>
      <c r="C102" s="179"/>
      <c r="D102" s="170">
        <f>+'Rev. Fachada'!I32</f>
        <v>3400971.648000001</v>
      </c>
      <c r="E102" s="171"/>
      <c r="F102" s="171"/>
      <c r="G102" s="171"/>
      <c r="H102" s="172"/>
      <c r="I102" s="31"/>
    </row>
    <row r="103" spans="1:9" ht="15.75" customHeight="1">
      <c r="A103" s="173" t="s">
        <v>43</v>
      </c>
      <c r="B103" s="174"/>
      <c r="C103" s="175"/>
      <c r="D103" s="176">
        <f>SUM(D100:H102)</f>
        <v>4817596.3196972487</v>
      </c>
      <c r="E103" s="177"/>
      <c r="F103" s="177"/>
      <c r="G103" s="177"/>
      <c r="H103" s="178"/>
      <c r="I103" s="31"/>
    </row>
    <row r="104" spans="1:9" ht="15.75" customHeight="1">
      <c r="A104" s="47"/>
      <c r="B104" s="41"/>
      <c r="C104" s="41"/>
      <c r="D104" s="42"/>
      <c r="E104" s="49"/>
      <c r="F104" s="49"/>
      <c r="G104" s="50"/>
      <c r="H104" s="41"/>
      <c r="I104" s="43"/>
    </row>
    <row r="105" spans="1:9" ht="15.75" customHeight="1"/>
    <row r="106" spans="1:9" ht="15.75" customHeight="1">
      <c r="A106" s="23" t="s">
        <v>169</v>
      </c>
      <c r="B106" s="24"/>
      <c r="C106" s="24"/>
      <c r="D106" s="45"/>
      <c r="E106" s="24"/>
      <c r="F106" s="24"/>
      <c r="G106" s="24"/>
      <c r="H106" s="24"/>
      <c r="I106" s="26"/>
    </row>
    <row r="107" spans="1:9" ht="15.75" customHeight="1">
      <c r="A107" s="46"/>
      <c r="B107" s="30"/>
      <c r="C107" s="30"/>
      <c r="D107" s="44"/>
      <c r="E107" s="30"/>
      <c r="F107" s="30"/>
      <c r="G107" s="30"/>
      <c r="H107" s="30"/>
      <c r="I107" s="31"/>
    </row>
    <row r="108" spans="1:9" ht="15.75" customHeight="1">
      <c r="A108" s="163" t="s">
        <v>35</v>
      </c>
      <c r="B108" s="164"/>
      <c r="C108" s="164"/>
      <c r="D108" s="165" t="s">
        <v>39</v>
      </c>
      <c r="E108" s="166"/>
      <c r="F108" s="166"/>
      <c r="G108" s="166"/>
      <c r="H108" s="167"/>
      <c r="I108" s="31"/>
    </row>
    <row r="109" spans="1:9" ht="15.75" customHeight="1">
      <c r="A109" s="168" t="str">
        <f>+Cobertura!A12</f>
        <v>COBERTURA</v>
      </c>
      <c r="B109" s="169"/>
      <c r="C109" s="169"/>
      <c r="D109" s="170">
        <f>+Cobertura!I16</f>
        <v>180719.99999999997</v>
      </c>
      <c r="E109" s="171"/>
      <c r="F109" s="171"/>
      <c r="G109" s="171"/>
      <c r="H109" s="172"/>
      <c r="I109" s="31"/>
    </row>
    <row r="110" spans="1:9" ht="15.75" customHeight="1">
      <c r="A110" s="173" t="s">
        <v>43</v>
      </c>
      <c r="B110" s="174"/>
      <c r="C110" s="175"/>
      <c r="D110" s="176">
        <f>SUM(D109)</f>
        <v>180719.99999999997</v>
      </c>
      <c r="E110" s="177"/>
      <c r="F110" s="177"/>
      <c r="G110" s="177"/>
      <c r="H110" s="178"/>
      <c r="I110" s="31"/>
    </row>
    <row r="111" spans="1:9" ht="15.75" customHeight="1">
      <c r="A111" s="47"/>
      <c r="B111" s="41"/>
      <c r="C111" s="41"/>
      <c r="D111" s="42"/>
      <c r="E111" s="49"/>
      <c r="F111" s="49"/>
      <c r="G111" s="50"/>
      <c r="H111" s="41"/>
      <c r="I111" s="43"/>
    </row>
    <row r="112" spans="1:9" ht="15.75" customHeight="1"/>
    <row r="113" spans="1:9" ht="15.75" customHeight="1">
      <c r="A113" s="23" t="s">
        <v>45</v>
      </c>
      <c r="B113" s="24"/>
      <c r="C113" s="24"/>
      <c r="D113" s="45"/>
      <c r="E113" s="24"/>
      <c r="F113" s="24"/>
      <c r="G113" s="24"/>
      <c r="H113" s="24"/>
      <c r="I113" s="26"/>
    </row>
    <row r="114" spans="1:9" ht="15.75" customHeight="1">
      <c r="A114" s="46"/>
      <c r="B114" s="30"/>
      <c r="C114" s="30"/>
      <c r="D114" s="44"/>
      <c r="E114" s="30"/>
      <c r="F114" s="30"/>
      <c r="G114" s="30"/>
      <c r="H114" s="30"/>
      <c r="I114" s="31"/>
    </row>
    <row r="115" spans="1:9" ht="15.75" customHeight="1">
      <c r="A115" s="163" t="s">
        <v>35</v>
      </c>
      <c r="B115" s="164"/>
      <c r="C115" s="164"/>
      <c r="D115" s="165" t="s">
        <v>39</v>
      </c>
      <c r="E115" s="166"/>
      <c r="F115" s="166"/>
      <c r="G115" s="166"/>
      <c r="H115" s="167"/>
      <c r="I115" s="31"/>
    </row>
    <row r="116" spans="1:9" ht="15.75" customHeight="1">
      <c r="A116" s="168" t="str">
        <f>+Equipamentos!A12</f>
        <v>EQUIPAMENTOS</v>
      </c>
      <c r="B116" s="169"/>
      <c r="C116" s="169"/>
      <c r="D116" s="170">
        <f>+Equipamentos!I21</f>
        <v>2695760</v>
      </c>
      <c r="E116" s="171"/>
      <c r="F116" s="171"/>
      <c r="G116" s="171"/>
      <c r="H116" s="172"/>
      <c r="I116" s="31"/>
    </row>
    <row r="117" spans="1:9" ht="15.75" customHeight="1">
      <c r="A117" s="173" t="s">
        <v>43</v>
      </c>
      <c r="B117" s="174"/>
      <c r="C117" s="175"/>
      <c r="D117" s="176">
        <f>SUM(D116)</f>
        <v>2695760</v>
      </c>
      <c r="E117" s="177"/>
      <c r="F117" s="177"/>
      <c r="G117" s="177"/>
      <c r="H117" s="178"/>
      <c r="I117" s="31"/>
    </row>
    <row r="118" spans="1:9" ht="15.75" customHeight="1">
      <c r="A118" s="47"/>
      <c r="B118" s="41"/>
      <c r="C118" s="41"/>
      <c r="D118" s="42"/>
      <c r="E118" s="49"/>
      <c r="F118" s="49"/>
      <c r="G118" s="50"/>
      <c r="H118" s="41"/>
      <c r="I118" s="43"/>
    </row>
    <row r="119" spans="1:9" ht="15.75" customHeight="1"/>
    <row r="120" spans="1:9" ht="15.75" customHeight="1">
      <c r="A120" s="23" t="s">
        <v>157</v>
      </c>
      <c r="B120" s="24"/>
      <c r="C120" s="24"/>
      <c r="D120" s="45"/>
      <c r="E120" s="24"/>
      <c r="F120" s="24"/>
      <c r="G120" s="24"/>
      <c r="H120" s="24"/>
      <c r="I120" s="26"/>
    </row>
    <row r="121" spans="1:9" ht="15.75" customHeight="1">
      <c r="A121" s="46"/>
      <c r="B121" s="30"/>
      <c r="C121" s="30"/>
      <c r="D121" s="44"/>
      <c r="E121" s="30"/>
      <c r="F121" s="30"/>
      <c r="G121" s="30"/>
      <c r="H121" s="30"/>
      <c r="I121" s="31"/>
    </row>
    <row r="122" spans="1:9" ht="15.75" customHeight="1">
      <c r="A122" s="163" t="s">
        <v>35</v>
      </c>
      <c r="B122" s="164"/>
      <c r="C122" s="164"/>
      <c r="D122" s="165" t="s">
        <v>39</v>
      </c>
      <c r="E122" s="166"/>
      <c r="F122" s="166"/>
      <c r="G122" s="166"/>
      <c r="H122" s="167"/>
      <c r="I122" s="31"/>
    </row>
    <row r="123" spans="1:9" ht="15.75" customHeight="1">
      <c r="A123" s="168" t="str">
        <f>+Complementares!A12</f>
        <v>SERVIÇOS COMPLEMENTARES</v>
      </c>
      <c r="B123" s="169"/>
      <c r="C123" s="169"/>
      <c r="D123" s="170">
        <f>+Complementares!I20</f>
        <v>2735182.4</v>
      </c>
      <c r="E123" s="171"/>
      <c r="F123" s="171"/>
      <c r="G123" s="171"/>
      <c r="H123" s="172"/>
      <c r="I123" s="31"/>
    </row>
    <row r="124" spans="1:9" ht="15.75" customHeight="1">
      <c r="A124" s="173" t="s">
        <v>43</v>
      </c>
      <c r="B124" s="174"/>
      <c r="C124" s="175"/>
      <c r="D124" s="176">
        <f>SUM(D123)</f>
        <v>2735182.4</v>
      </c>
      <c r="E124" s="177"/>
      <c r="F124" s="177"/>
      <c r="G124" s="177"/>
      <c r="H124" s="178"/>
      <c r="I124" s="31"/>
    </row>
    <row r="125" spans="1:9" ht="15.75" customHeight="1">
      <c r="A125" s="47"/>
      <c r="B125" s="41"/>
      <c r="C125" s="41"/>
      <c r="D125" s="42"/>
      <c r="E125" s="49"/>
      <c r="F125" s="49"/>
      <c r="G125" s="50"/>
      <c r="H125" s="41"/>
      <c r="I125" s="43"/>
    </row>
    <row r="126" spans="1:9" ht="15.75" customHeight="1"/>
    <row r="127" spans="1:9" ht="15.75" customHeight="1"/>
    <row r="128" spans="1:9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</sheetData>
  <mergeCells count="117">
    <mergeCell ref="A2:I4"/>
    <mergeCell ref="B7:I7"/>
    <mergeCell ref="B8:I8"/>
    <mergeCell ref="B9:D9"/>
    <mergeCell ref="H9:I9"/>
    <mergeCell ref="B10:D10"/>
    <mergeCell ref="H10:I10"/>
    <mergeCell ref="A19:F19"/>
    <mergeCell ref="A16:C16"/>
    <mergeCell ref="D16:H16"/>
    <mergeCell ref="A17:C17"/>
    <mergeCell ref="D17:H17"/>
    <mergeCell ref="A18:C18"/>
    <mergeCell ref="D18:H18"/>
    <mergeCell ref="A14:C14"/>
    <mergeCell ref="D14:H14"/>
    <mergeCell ref="A15:C15"/>
    <mergeCell ref="D15:H15"/>
    <mergeCell ref="A28:C28"/>
    <mergeCell ref="D28:H28"/>
    <mergeCell ref="A33:C33"/>
    <mergeCell ref="D33:H33"/>
    <mergeCell ref="A34:C34"/>
    <mergeCell ref="D34:H34"/>
    <mergeCell ref="A26:C26"/>
    <mergeCell ref="D26:H26"/>
    <mergeCell ref="A24:C24"/>
    <mergeCell ref="D24:H24"/>
    <mergeCell ref="A25:C25"/>
    <mergeCell ref="D25:H25"/>
    <mergeCell ref="A27:C27"/>
    <mergeCell ref="D27:H27"/>
    <mergeCell ref="A42:C42"/>
    <mergeCell ref="D42:H42"/>
    <mergeCell ref="A47:C47"/>
    <mergeCell ref="D47:H47"/>
    <mergeCell ref="A48:C48"/>
    <mergeCell ref="D48:H48"/>
    <mergeCell ref="A35:C35"/>
    <mergeCell ref="D35:H35"/>
    <mergeCell ref="A40:C40"/>
    <mergeCell ref="D40:H40"/>
    <mergeCell ref="A41:C41"/>
    <mergeCell ref="D41:H41"/>
    <mergeCell ref="A52:C52"/>
    <mergeCell ref="D52:H52"/>
    <mergeCell ref="A53:F53"/>
    <mergeCell ref="A57:C57"/>
    <mergeCell ref="D57:H57"/>
    <mergeCell ref="A58:C58"/>
    <mergeCell ref="D58:H58"/>
    <mergeCell ref="A49:C49"/>
    <mergeCell ref="D49:H49"/>
    <mergeCell ref="A50:C50"/>
    <mergeCell ref="D50:H50"/>
    <mergeCell ref="A51:C51"/>
    <mergeCell ref="D51:H51"/>
    <mergeCell ref="A66:C66"/>
    <mergeCell ref="D66:H66"/>
    <mergeCell ref="A71:C71"/>
    <mergeCell ref="D71:H71"/>
    <mergeCell ref="A72:C72"/>
    <mergeCell ref="D72:H72"/>
    <mergeCell ref="A59:C59"/>
    <mergeCell ref="D59:H59"/>
    <mergeCell ref="A64:C64"/>
    <mergeCell ref="D64:H64"/>
    <mergeCell ref="A65:C65"/>
    <mergeCell ref="D65:H65"/>
    <mergeCell ref="A80:C80"/>
    <mergeCell ref="D80:H80"/>
    <mergeCell ref="A85:C85"/>
    <mergeCell ref="D85:H85"/>
    <mergeCell ref="A86:C86"/>
    <mergeCell ref="D86:H86"/>
    <mergeCell ref="A73:C73"/>
    <mergeCell ref="D73:H73"/>
    <mergeCell ref="A78:C78"/>
    <mergeCell ref="D78:H78"/>
    <mergeCell ref="A79:C79"/>
    <mergeCell ref="D79:H79"/>
    <mergeCell ref="A94:C94"/>
    <mergeCell ref="D94:H94"/>
    <mergeCell ref="A99:C99"/>
    <mergeCell ref="D99:H99"/>
    <mergeCell ref="A100:C100"/>
    <mergeCell ref="D100:H100"/>
    <mergeCell ref="A87:C87"/>
    <mergeCell ref="D87:H87"/>
    <mergeCell ref="A92:C92"/>
    <mergeCell ref="D92:H92"/>
    <mergeCell ref="A93:C93"/>
    <mergeCell ref="D93:H93"/>
    <mergeCell ref="A108:C108"/>
    <mergeCell ref="D108:H108"/>
    <mergeCell ref="A109:C109"/>
    <mergeCell ref="D109:H109"/>
    <mergeCell ref="A110:C110"/>
    <mergeCell ref="D110:H110"/>
    <mergeCell ref="A103:C103"/>
    <mergeCell ref="D103:H103"/>
    <mergeCell ref="A101:C101"/>
    <mergeCell ref="D101:H101"/>
    <mergeCell ref="A102:C102"/>
    <mergeCell ref="D102:H102"/>
    <mergeCell ref="A122:C122"/>
    <mergeCell ref="D122:H122"/>
    <mergeCell ref="A123:C123"/>
    <mergeCell ref="D123:H123"/>
    <mergeCell ref="A124:C124"/>
    <mergeCell ref="D124:H124"/>
    <mergeCell ref="A115:C115"/>
    <mergeCell ref="D115:H115"/>
    <mergeCell ref="A116:C116"/>
    <mergeCell ref="D116:H116"/>
    <mergeCell ref="A117:C117"/>
    <mergeCell ref="D117:H117"/>
  </mergeCells>
  <dataValidations count="1">
    <dataValidation type="list" allowBlank="1" showInputMessage="1" showErrorMessage="1" sqref="H10" xr:uid="{00000000-0002-0000-0100-000000000000}">
      <formula1>$L$1:$L$6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rowBreaks count="1" manualBreakCount="1">
    <brk id="29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3C66"/>
  </sheetPr>
  <dimension ref="A1:M42"/>
  <sheetViews>
    <sheetView showGridLines="0" topLeftCell="A25" zoomScale="97" zoomScaleNormal="97" zoomScaleSheetLayoutView="95" workbookViewId="0">
      <selection activeCell="I42" sqref="I42"/>
    </sheetView>
  </sheetViews>
  <sheetFormatPr defaultColWidth="9.109375" defaultRowHeight="13.2"/>
  <cols>
    <col min="1" max="1" width="17.44140625" style="12" customWidth="1"/>
    <col min="2" max="2" width="9.88671875" style="12" customWidth="1"/>
    <col min="3" max="3" width="8.88671875" style="12" customWidth="1"/>
    <col min="4" max="4" width="13" style="70" customWidth="1"/>
    <col min="5" max="5" width="7.5546875" style="76" customWidth="1"/>
    <col min="6" max="6" width="10.6640625" style="19" customWidth="1"/>
    <col min="7" max="7" width="13.33203125" style="12" customWidth="1"/>
    <col min="8" max="8" width="12.88671875" style="12" customWidth="1"/>
    <col min="9" max="9" width="11.44140625" style="12" bestFit="1" customWidth="1"/>
    <col min="10" max="10" width="7.33203125" style="12" bestFit="1" customWidth="1"/>
    <col min="11" max="11" width="6.44140625" style="12" customWidth="1"/>
    <col min="12" max="16384" width="9.109375" style="12"/>
  </cols>
  <sheetData>
    <row r="1" spans="1:13">
      <c r="A1" s="1"/>
      <c r="B1" s="1"/>
      <c r="C1" s="1"/>
      <c r="D1" s="63"/>
      <c r="E1" s="72"/>
      <c r="F1" s="20"/>
      <c r="G1" s="1"/>
      <c r="H1" s="1"/>
      <c r="I1" s="1"/>
      <c r="J1" s="1"/>
      <c r="K1" s="1"/>
      <c r="M1" s="13"/>
    </row>
    <row r="2" spans="1:13">
      <c r="A2" s="151" t="s">
        <v>48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M2" s="13"/>
    </row>
    <row r="3" spans="1:13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  <c r="M3" s="13"/>
    </row>
    <row r="4" spans="1:13">
      <c r="A4" s="152"/>
      <c r="B4" s="152"/>
      <c r="C4" s="152"/>
      <c r="D4" s="152"/>
      <c r="E4" s="152"/>
      <c r="F4" s="152"/>
      <c r="G4" s="152"/>
      <c r="H4" s="152"/>
      <c r="I4" s="152"/>
      <c r="J4" s="152"/>
      <c r="K4" s="152"/>
      <c r="M4" s="13"/>
    </row>
    <row r="5" spans="1:13" ht="13.8" thickBot="1">
      <c r="A5" s="2"/>
      <c r="B5" s="2"/>
      <c r="C5" s="2"/>
      <c r="D5" s="64"/>
      <c r="E5" s="73"/>
      <c r="F5" s="21"/>
      <c r="G5" s="3"/>
      <c r="H5" s="3"/>
      <c r="I5" s="3"/>
      <c r="J5" s="3"/>
      <c r="K5" s="3"/>
      <c r="M5" s="13"/>
    </row>
    <row r="6" spans="1:13">
      <c r="A6" s="4"/>
      <c r="B6" s="4"/>
      <c r="C6" s="4"/>
      <c r="D6" s="65"/>
      <c r="E6" s="74"/>
      <c r="F6" s="22"/>
      <c r="G6" s="5"/>
      <c r="H6" s="5"/>
      <c r="I6" s="5"/>
      <c r="J6" s="5"/>
      <c r="K6" s="5"/>
      <c r="M6" s="13"/>
    </row>
    <row r="7" spans="1:13">
      <c r="A7" s="6" t="s">
        <v>0</v>
      </c>
      <c r="B7" s="153" t="s">
        <v>198</v>
      </c>
      <c r="C7" s="153"/>
      <c r="D7" s="153"/>
      <c r="E7" s="153"/>
      <c r="F7" s="153"/>
      <c r="G7" s="153"/>
      <c r="H7" s="153"/>
      <c r="I7" s="153"/>
      <c r="J7" s="153"/>
      <c r="K7" s="153"/>
      <c r="M7" s="13"/>
    </row>
    <row r="8" spans="1:13">
      <c r="A8" s="6" t="s">
        <v>1</v>
      </c>
      <c r="B8" s="154"/>
      <c r="C8" s="154"/>
      <c r="D8" s="154"/>
      <c r="E8" s="154"/>
      <c r="F8" s="154"/>
      <c r="G8" s="154"/>
      <c r="H8" s="154"/>
      <c r="I8" s="154"/>
      <c r="J8" s="154"/>
      <c r="K8" s="154"/>
      <c r="M8" s="13"/>
    </row>
    <row r="9" spans="1:13" ht="15" customHeight="1">
      <c r="A9" s="6" t="s">
        <v>2</v>
      </c>
      <c r="B9" s="155" t="s">
        <v>199</v>
      </c>
      <c r="C9" s="156"/>
      <c r="D9" s="156"/>
      <c r="E9" s="156"/>
      <c r="F9" s="156"/>
      <c r="G9" s="156"/>
      <c r="H9" s="157"/>
      <c r="I9" s="7" t="s">
        <v>6</v>
      </c>
      <c r="J9" s="154" t="s">
        <v>44</v>
      </c>
      <c r="K9" s="154"/>
    </row>
    <row r="10" spans="1:13">
      <c r="A10" s="8" t="s">
        <v>3</v>
      </c>
      <c r="B10" s="158">
        <v>44294</v>
      </c>
      <c r="C10" s="159"/>
      <c r="D10" s="159"/>
      <c r="E10" s="159"/>
      <c r="F10" s="160"/>
      <c r="G10" s="10" t="s">
        <v>4</v>
      </c>
      <c r="H10" s="9" t="s">
        <v>5</v>
      </c>
      <c r="I10" s="7" t="s">
        <v>41</v>
      </c>
      <c r="J10" s="161" t="s">
        <v>8</v>
      </c>
      <c r="K10" s="162"/>
    </row>
    <row r="12" spans="1:13" ht="14.1" hidden="1" customHeight="1">
      <c r="A12" s="23" t="s">
        <v>66</v>
      </c>
      <c r="B12" s="24"/>
      <c r="C12" s="24"/>
      <c r="D12" s="66"/>
      <c r="E12" s="45"/>
      <c r="F12" s="25"/>
      <c r="G12" s="24"/>
      <c r="H12" s="24"/>
      <c r="I12" s="24"/>
      <c r="J12" s="24"/>
      <c r="K12" s="26"/>
    </row>
    <row r="13" spans="1:13" ht="14.1" hidden="1" customHeight="1">
      <c r="A13" s="27"/>
      <c r="B13" s="28"/>
      <c r="C13" s="28"/>
      <c r="D13" s="67"/>
      <c r="E13" s="75"/>
      <c r="F13" s="29"/>
      <c r="G13" s="28"/>
      <c r="H13" s="28"/>
      <c r="I13" s="30"/>
      <c r="J13" s="30"/>
      <c r="K13" s="31"/>
    </row>
    <row r="14" spans="1:13" ht="15.9" hidden="1" customHeight="1">
      <c r="A14" s="163" t="s">
        <v>35</v>
      </c>
      <c r="B14" s="164"/>
      <c r="C14" s="164"/>
      <c r="D14" s="198" t="s">
        <v>52</v>
      </c>
      <c r="E14" s="199"/>
      <c r="F14" s="165" t="s">
        <v>24</v>
      </c>
      <c r="G14" s="167"/>
      <c r="H14" s="32" t="s">
        <v>40</v>
      </c>
      <c r="I14" s="165" t="s">
        <v>39</v>
      </c>
      <c r="J14" s="167"/>
      <c r="K14" s="31"/>
    </row>
    <row r="15" spans="1:13" ht="15.9" hidden="1" customHeight="1">
      <c r="A15" s="180" t="s">
        <v>50</v>
      </c>
      <c r="B15" s="180"/>
      <c r="C15" s="180"/>
      <c r="D15" s="60">
        <f>+'Dados Gerais'!E25*3.06</f>
        <v>0</v>
      </c>
      <c r="E15" s="61" t="s">
        <v>61</v>
      </c>
      <c r="F15" s="52">
        <v>28.5</v>
      </c>
      <c r="G15" s="33" t="s">
        <v>51</v>
      </c>
      <c r="H15" s="34" t="s">
        <v>53</v>
      </c>
      <c r="I15" s="193">
        <f>+D15*F15</f>
        <v>0</v>
      </c>
      <c r="J15" s="195"/>
      <c r="K15" s="35"/>
    </row>
    <row r="16" spans="1:13" ht="15.9" hidden="1" customHeight="1">
      <c r="A16" s="200" t="s">
        <v>43</v>
      </c>
      <c r="B16" s="200"/>
      <c r="C16" s="200"/>
      <c r="D16" s="200"/>
      <c r="E16" s="200"/>
      <c r="F16" s="200"/>
      <c r="G16" s="200"/>
      <c r="H16" s="200"/>
      <c r="I16" s="201">
        <f>SUM(I15:J15)</f>
        <v>0</v>
      </c>
      <c r="J16" s="201"/>
      <c r="K16" s="39"/>
    </row>
    <row r="17" spans="1:13" ht="15" hidden="1" customHeight="1">
      <c r="A17" s="181"/>
      <c r="B17" s="182"/>
      <c r="C17" s="182"/>
      <c r="D17" s="182"/>
      <c r="E17" s="182"/>
      <c r="F17" s="182"/>
      <c r="G17" s="182"/>
      <c r="H17" s="182"/>
      <c r="I17" s="41"/>
      <c r="J17" s="41"/>
      <c r="K17" s="43"/>
    </row>
    <row r="18" spans="1:13" hidden="1">
      <c r="A18" s="30"/>
      <c r="B18" s="30"/>
      <c r="C18" s="30"/>
      <c r="D18" s="68"/>
      <c r="E18" s="44"/>
      <c r="F18" s="44"/>
      <c r="G18" s="30"/>
      <c r="H18" s="30"/>
      <c r="I18" s="30"/>
      <c r="J18" s="30"/>
      <c r="K18" s="30"/>
    </row>
    <row r="19" spans="1:13">
      <c r="A19" s="23" t="s">
        <v>56</v>
      </c>
      <c r="B19" s="24"/>
      <c r="C19" s="24"/>
      <c r="D19" s="66"/>
      <c r="E19" s="45"/>
      <c r="F19" s="25"/>
      <c r="G19" s="24"/>
      <c r="H19" s="24"/>
      <c r="I19" s="24"/>
      <c r="J19" s="24"/>
      <c r="K19" s="26"/>
    </row>
    <row r="20" spans="1:13" ht="15.9" customHeight="1">
      <c r="A20" s="27"/>
      <c r="B20" s="28"/>
      <c r="C20" s="28"/>
      <c r="D20" s="67"/>
      <c r="E20" s="75"/>
      <c r="F20" s="29"/>
      <c r="G20" s="28"/>
      <c r="H20" s="28"/>
      <c r="I20" s="30"/>
      <c r="J20" s="30"/>
      <c r="K20" s="31"/>
    </row>
    <row r="21" spans="1:13" ht="15.9" customHeight="1">
      <c r="A21" s="163" t="s">
        <v>35</v>
      </c>
      <c r="B21" s="164"/>
      <c r="C21" s="164"/>
      <c r="D21" s="198" t="s">
        <v>52</v>
      </c>
      <c r="E21" s="199"/>
      <c r="F21" s="165" t="s">
        <v>24</v>
      </c>
      <c r="G21" s="167"/>
      <c r="H21" s="58" t="s">
        <v>40</v>
      </c>
      <c r="I21" s="165" t="s">
        <v>39</v>
      </c>
      <c r="J21" s="167"/>
      <c r="K21" s="31"/>
    </row>
    <row r="22" spans="1:13" ht="15.9" customHeight="1">
      <c r="A22" s="180" t="s">
        <v>57</v>
      </c>
      <c r="B22" s="180"/>
      <c r="C22" s="180"/>
      <c r="D22" s="61">
        <v>0</v>
      </c>
      <c r="E22" s="61" t="s">
        <v>42</v>
      </c>
      <c r="F22" s="52">
        <v>29.5</v>
      </c>
      <c r="G22" s="33" t="s">
        <v>38</v>
      </c>
      <c r="H22" s="34" t="s">
        <v>180</v>
      </c>
      <c r="I22" s="202">
        <f>F22*'Dados Gerais'!E13</f>
        <v>26284.5</v>
      </c>
      <c r="J22" s="172"/>
      <c r="K22" s="35"/>
    </row>
    <row r="23" spans="1:13" ht="15.9" customHeight="1">
      <c r="A23" s="200" t="s">
        <v>43</v>
      </c>
      <c r="B23" s="200"/>
      <c r="C23" s="200"/>
      <c r="D23" s="200"/>
      <c r="E23" s="200"/>
      <c r="F23" s="200"/>
      <c r="G23" s="200"/>
      <c r="H23" s="200"/>
      <c r="I23" s="201">
        <f>SUM(I22:J22)</f>
        <v>26284.5</v>
      </c>
      <c r="J23" s="201"/>
      <c r="K23" s="39"/>
    </row>
    <row r="24" spans="1:13" ht="15.9" customHeight="1">
      <c r="A24" s="181"/>
      <c r="B24" s="182"/>
      <c r="C24" s="182"/>
      <c r="D24" s="182"/>
      <c r="E24" s="182"/>
      <c r="F24" s="182"/>
      <c r="G24" s="182"/>
      <c r="H24" s="182"/>
      <c r="I24" s="41"/>
      <c r="J24" s="41"/>
      <c r="K24" s="43"/>
    </row>
    <row r="25" spans="1:13">
      <c r="A25" s="30"/>
      <c r="B25" s="30"/>
      <c r="C25" s="30"/>
      <c r="D25" s="68"/>
      <c r="E25" s="44"/>
      <c r="F25" s="44"/>
      <c r="G25" s="30"/>
      <c r="H25" s="30"/>
      <c r="I25" s="30"/>
      <c r="J25" s="30"/>
      <c r="K25" s="30"/>
    </row>
    <row r="26" spans="1:13" ht="13.5" customHeight="1">
      <c r="A26" s="23" t="s">
        <v>54</v>
      </c>
      <c r="B26" s="24"/>
      <c r="C26" s="24"/>
      <c r="D26" s="66"/>
      <c r="E26" s="45"/>
      <c r="F26" s="45"/>
      <c r="G26" s="24"/>
      <c r="H26" s="24"/>
      <c r="I26" s="24"/>
      <c r="J26" s="24"/>
      <c r="K26" s="26"/>
    </row>
    <row r="27" spans="1:13">
      <c r="A27" s="46"/>
      <c r="B27" s="30"/>
      <c r="C27" s="30"/>
      <c r="D27" s="68"/>
      <c r="E27" s="44"/>
      <c r="F27" s="44"/>
      <c r="G27" s="30"/>
      <c r="H27" s="30"/>
      <c r="I27" s="30"/>
      <c r="J27" s="30"/>
      <c r="K27" s="31"/>
    </row>
    <row r="28" spans="1:13" ht="15.9" customHeight="1">
      <c r="A28" s="163" t="s">
        <v>35</v>
      </c>
      <c r="B28" s="164"/>
      <c r="C28" s="164"/>
      <c r="D28" s="198" t="s">
        <v>52</v>
      </c>
      <c r="E28" s="199"/>
      <c r="F28" s="165" t="s">
        <v>24</v>
      </c>
      <c r="G28" s="167"/>
      <c r="H28" s="32" t="s">
        <v>40</v>
      </c>
      <c r="I28" s="165" t="s">
        <v>39</v>
      </c>
      <c r="J28" s="167"/>
      <c r="K28" s="31"/>
    </row>
    <row r="29" spans="1:13" ht="25.5" customHeight="1">
      <c r="A29" s="180" t="s">
        <v>58</v>
      </c>
      <c r="B29" s="180"/>
      <c r="C29" s="180"/>
      <c r="D29" s="111">
        <f>M29*1.3</f>
        <v>952.04200000000003</v>
      </c>
      <c r="E29" s="61" t="s">
        <v>42</v>
      </c>
      <c r="F29" s="52"/>
      <c r="G29" s="33" t="s">
        <v>60</v>
      </c>
      <c r="H29" s="87" t="s">
        <v>230</v>
      </c>
      <c r="I29" s="204">
        <f>+ROUNDUP((D29*31),0)</f>
        <v>29514</v>
      </c>
      <c r="J29" s="204"/>
      <c r="K29" s="31"/>
      <c r="M29" s="12">
        <f>(721.74+10.6)</f>
        <v>732.34</v>
      </c>
    </row>
    <row r="30" spans="1:13" ht="26.4">
      <c r="A30" s="179" t="s">
        <v>59</v>
      </c>
      <c r="B30" s="179"/>
      <c r="C30" s="179"/>
      <c r="D30" s="69">
        <f>D29-M29</f>
        <v>219.702</v>
      </c>
      <c r="E30" s="69" t="s">
        <v>42</v>
      </c>
      <c r="F30" s="53"/>
      <c r="G30" s="36" t="s">
        <v>60</v>
      </c>
      <c r="H30" s="84" t="s">
        <v>230</v>
      </c>
      <c r="I30" s="170">
        <f>+ROUNDUP((D30*8.5),0)</f>
        <v>1868</v>
      </c>
      <c r="J30" s="172"/>
      <c r="K30" s="31"/>
    </row>
    <row r="31" spans="1:13" ht="26.4">
      <c r="A31" s="179" t="s">
        <v>55</v>
      </c>
      <c r="B31" s="179"/>
      <c r="C31" s="179"/>
      <c r="D31" s="126">
        <f>+Infraestrutura!D25*F31</f>
        <v>3489.6182877544702</v>
      </c>
      <c r="E31" s="77" t="s">
        <v>61</v>
      </c>
      <c r="F31" s="122">
        <v>1.2</v>
      </c>
      <c r="G31" s="40" t="s">
        <v>182</v>
      </c>
      <c r="H31" s="237" t="s">
        <v>230</v>
      </c>
      <c r="I31" s="186">
        <f>+D31*31.5</f>
        <v>109922.97606426581</v>
      </c>
      <c r="J31" s="188"/>
      <c r="K31" s="31"/>
    </row>
    <row r="32" spans="1:13" ht="15.9" customHeight="1">
      <c r="A32" s="200" t="s">
        <v>43</v>
      </c>
      <c r="B32" s="200"/>
      <c r="C32" s="200"/>
      <c r="D32" s="200"/>
      <c r="E32" s="200"/>
      <c r="F32" s="200"/>
      <c r="G32" s="200"/>
      <c r="H32" s="200"/>
      <c r="I32" s="201">
        <f>SUM(I29:J31)</f>
        <v>141304.97606426582</v>
      </c>
      <c r="J32" s="201"/>
      <c r="K32" s="31"/>
    </row>
    <row r="33" spans="1:11">
      <c r="A33" s="47"/>
      <c r="B33" s="41"/>
      <c r="C33" s="41"/>
      <c r="D33" s="49"/>
      <c r="E33" s="42"/>
      <c r="F33" s="48"/>
      <c r="G33" s="41"/>
      <c r="H33" s="41"/>
      <c r="I33" s="41"/>
      <c r="J33" s="41"/>
      <c r="K33" s="43"/>
    </row>
    <row r="35" spans="1:11">
      <c r="A35" s="23" t="s">
        <v>196</v>
      </c>
      <c r="B35" s="24"/>
      <c r="C35" s="24"/>
      <c r="D35" s="66"/>
      <c r="E35" s="45"/>
      <c r="F35" s="45"/>
      <c r="G35" s="24"/>
      <c r="H35" s="24"/>
      <c r="I35" s="24"/>
      <c r="J35" s="24"/>
      <c r="K35" s="26"/>
    </row>
    <row r="36" spans="1:11">
      <c r="A36" s="46"/>
      <c r="B36" s="30"/>
      <c r="C36" s="30"/>
      <c r="D36" s="68"/>
      <c r="E36" s="44"/>
      <c r="F36" s="44"/>
      <c r="G36" s="30"/>
      <c r="H36" s="30"/>
      <c r="I36" s="30"/>
      <c r="J36" s="30"/>
      <c r="K36" s="31"/>
    </row>
    <row r="37" spans="1:11">
      <c r="A37" s="163" t="s">
        <v>35</v>
      </c>
      <c r="B37" s="164"/>
      <c r="C37" s="164"/>
      <c r="D37" s="198" t="s">
        <v>52</v>
      </c>
      <c r="E37" s="199"/>
      <c r="F37" s="165" t="s">
        <v>24</v>
      </c>
      <c r="G37" s="167"/>
      <c r="H37" s="32" t="s">
        <v>40</v>
      </c>
      <c r="I37" s="165" t="s">
        <v>39</v>
      </c>
      <c r="J37" s="167"/>
      <c r="K37" s="31"/>
    </row>
    <row r="38" spans="1:11" ht="30.75" customHeight="1">
      <c r="A38" s="180" t="s">
        <v>62</v>
      </c>
      <c r="B38" s="180"/>
      <c r="C38" s="180"/>
      <c r="D38" s="112">
        <v>357.01</v>
      </c>
      <c r="E38" s="71" t="s">
        <v>18</v>
      </c>
      <c r="F38" s="53"/>
      <c r="G38" s="36"/>
      <c r="H38" s="87" t="s">
        <v>230</v>
      </c>
      <c r="I38" s="186">
        <f>ROUNDUP((D38*16.5),0)</f>
        <v>5891</v>
      </c>
      <c r="J38" s="203"/>
      <c r="K38" s="31"/>
    </row>
    <row r="39" spans="1:11" ht="15.9" customHeight="1">
      <c r="A39" s="200" t="s">
        <v>43</v>
      </c>
      <c r="B39" s="200"/>
      <c r="C39" s="200"/>
      <c r="D39" s="200"/>
      <c r="E39" s="200"/>
      <c r="F39" s="200"/>
      <c r="G39" s="200"/>
      <c r="H39" s="200"/>
      <c r="I39" s="201">
        <f>SUM(I38:J38)</f>
        <v>5891</v>
      </c>
      <c r="J39" s="201"/>
      <c r="K39" s="31"/>
    </row>
    <row r="40" spans="1:11">
      <c r="A40" s="47"/>
      <c r="B40" s="41"/>
      <c r="C40" s="41"/>
      <c r="D40" s="49"/>
      <c r="E40" s="42"/>
      <c r="F40" s="48"/>
      <c r="G40" s="41"/>
      <c r="H40" s="41"/>
      <c r="I40" s="41"/>
      <c r="J40" s="41"/>
      <c r="K40" s="43"/>
    </row>
    <row r="42" spans="1:11">
      <c r="I42" s="91">
        <f>I39+I32+I23</f>
        <v>173480.47606426582</v>
      </c>
    </row>
  </sheetData>
  <mergeCells count="45">
    <mergeCell ref="I37:J37"/>
    <mergeCell ref="A37:C37"/>
    <mergeCell ref="A38:C38"/>
    <mergeCell ref="J9:K9"/>
    <mergeCell ref="I38:J38"/>
    <mergeCell ref="A29:C29"/>
    <mergeCell ref="I29:J29"/>
    <mergeCell ref="A30:C30"/>
    <mergeCell ref="I30:J30"/>
    <mergeCell ref="A31:C31"/>
    <mergeCell ref="I31:J31"/>
    <mergeCell ref="A28:C28"/>
    <mergeCell ref="F28:G28"/>
    <mergeCell ref="I28:J28"/>
    <mergeCell ref="A17:H17"/>
    <mergeCell ref="A16:H16"/>
    <mergeCell ref="A2:K4"/>
    <mergeCell ref="B7:K7"/>
    <mergeCell ref="B8:K8"/>
    <mergeCell ref="B10:F10"/>
    <mergeCell ref="J10:K10"/>
    <mergeCell ref="B9:H9"/>
    <mergeCell ref="I39:J39"/>
    <mergeCell ref="F14:G14"/>
    <mergeCell ref="I14:J14"/>
    <mergeCell ref="I15:J15"/>
    <mergeCell ref="A32:H32"/>
    <mergeCell ref="I32:J32"/>
    <mergeCell ref="F21:G21"/>
    <mergeCell ref="I21:J21"/>
    <mergeCell ref="A22:C22"/>
    <mergeCell ref="I22:J22"/>
    <mergeCell ref="A23:H23"/>
    <mergeCell ref="I23:J23"/>
    <mergeCell ref="A24:H24"/>
    <mergeCell ref="A15:C15"/>
    <mergeCell ref="D21:E21"/>
    <mergeCell ref="I16:J16"/>
    <mergeCell ref="D28:E28"/>
    <mergeCell ref="D37:E37"/>
    <mergeCell ref="D14:E14"/>
    <mergeCell ref="F37:G37"/>
    <mergeCell ref="A39:H39"/>
    <mergeCell ref="A21:C21"/>
    <mergeCell ref="A14:C14"/>
  </mergeCells>
  <dataValidations disablePrompts="1" count="1">
    <dataValidation type="list" allowBlank="1" showInputMessage="1" showErrorMessage="1" sqref="J10" xr:uid="{00000000-0002-0000-0200-000000000000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3C66"/>
  </sheetPr>
  <dimension ref="A1:P49"/>
  <sheetViews>
    <sheetView showGridLines="0" topLeftCell="A38" zoomScaleNormal="100" zoomScaleSheetLayoutView="95" workbookViewId="0">
      <selection activeCell="D50" sqref="D50"/>
    </sheetView>
  </sheetViews>
  <sheetFormatPr defaultColWidth="9.109375" defaultRowHeight="13.2"/>
  <cols>
    <col min="1" max="1" width="17.44140625" style="12" customWidth="1"/>
    <col min="2" max="2" width="9.88671875" style="12" customWidth="1"/>
    <col min="3" max="3" width="8.88671875" style="12" customWidth="1"/>
    <col min="4" max="4" width="13" style="70" customWidth="1"/>
    <col min="5" max="5" width="7.5546875" style="76" customWidth="1"/>
    <col min="6" max="6" width="10.6640625" style="19" customWidth="1"/>
    <col min="7" max="7" width="13.33203125" style="12" customWidth="1"/>
    <col min="8" max="8" width="12.88671875" style="12" customWidth="1"/>
    <col min="9" max="9" width="13.109375" style="12" bestFit="1" customWidth="1"/>
    <col min="10" max="10" width="7.33203125" style="12" bestFit="1" customWidth="1"/>
    <col min="11" max="11" width="6.44140625" style="12" customWidth="1"/>
    <col min="12" max="13" width="9.109375" style="12"/>
    <col min="14" max="14" width="10.44140625" style="12" bestFit="1" customWidth="1"/>
    <col min="15" max="16384" width="9.109375" style="12"/>
  </cols>
  <sheetData>
    <row r="1" spans="1:13">
      <c r="A1" s="1"/>
      <c r="B1" s="1"/>
      <c r="C1" s="1"/>
      <c r="D1" s="63"/>
      <c r="E1" s="72"/>
      <c r="F1" s="20"/>
      <c r="G1" s="1"/>
      <c r="H1" s="1"/>
      <c r="I1" s="1"/>
      <c r="J1" s="1"/>
      <c r="K1" s="1"/>
      <c r="M1" s="13"/>
    </row>
    <row r="2" spans="1:13">
      <c r="A2" s="151" t="s">
        <v>75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M2" s="13"/>
    </row>
    <row r="3" spans="1:13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  <c r="M3" s="13"/>
    </row>
    <row r="4" spans="1:13">
      <c r="A4" s="152"/>
      <c r="B4" s="152"/>
      <c r="C4" s="152"/>
      <c r="D4" s="152"/>
      <c r="E4" s="152"/>
      <c r="F4" s="152"/>
      <c r="G4" s="152"/>
      <c r="H4" s="152"/>
      <c r="I4" s="152"/>
      <c r="J4" s="152"/>
      <c r="K4" s="152"/>
      <c r="M4" s="13"/>
    </row>
    <row r="5" spans="1:13" ht="13.8" thickBot="1">
      <c r="A5" s="2"/>
      <c r="B5" s="2"/>
      <c r="C5" s="2"/>
      <c r="D5" s="64"/>
      <c r="E5" s="73"/>
      <c r="F5" s="21"/>
      <c r="G5" s="3"/>
      <c r="H5" s="3"/>
      <c r="I5" s="3"/>
      <c r="J5" s="3"/>
      <c r="K5" s="3"/>
      <c r="M5" s="13"/>
    </row>
    <row r="6" spans="1:13">
      <c r="A6" s="4"/>
      <c r="B6" s="4"/>
      <c r="C6" s="4"/>
      <c r="D6" s="65"/>
      <c r="E6" s="74"/>
      <c r="F6" s="22"/>
      <c r="G6" s="5"/>
      <c r="H6" s="5"/>
      <c r="I6" s="5"/>
      <c r="J6" s="5"/>
      <c r="K6" s="5"/>
      <c r="M6" s="13"/>
    </row>
    <row r="7" spans="1:13">
      <c r="A7" s="6" t="s">
        <v>0</v>
      </c>
      <c r="B7" s="153" t="s">
        <v>198</v>
      </c>
      <c r="C7" s="153"/>
      <c r="D7" s="153"/>
      <c r="E7" s="153"/>
      <c r="F7" s="153"/>
      <c r="G7" s="153"/>
      <c r="H7" s="153"/>
      <c r="I7" s="153"/>
      <c r="J7" s="153"/>
      <c r="K7" s="153"/>
      <c r="M7" s="13"/>
    </row>
    <row r="8" spans="1:13">
      <c r="A8" s="6" t="s">
        <v>1</v>
      </c>
      <c r="B8" s="154"/>
      <c r="C8" s="154"/>
      <c r="D8" s="154"/>
      <c r="E8" s="154"/>
      <c r="F8" s="154"/>
      <c r="G8" s="154"/>
      <c r="H8" s="154"/>
      <c r="I8" s="154"/>
      <c r="J8" s="154"/>
      <c r="K8" s="154"/>
      <c r="M8" s="13"/>
    </row>
    <row r="9" spans="1:13" ht="15" customHeight="1">
      <c r="A9" s="6" t="s">
        <v>2</v>
      </c>
      <c r="B9" s="155" t="s">
        <v>199</v>
      </c>
      <c r="C9" s="156"/>
      <c r="D9" s="156"/>
      <c r="E9" s="156"/>
      <c r="F9" s="156"/>
      <c r="G9" s="156"/>
      <c r="H9" s="157"/>
      <c r="I9" s="7" t="s">
        <v>6</v>
      </c>
      <c r="J9" s="154" t="s">
        <v>44</v>
      </c>
      <c r="K9" s="154"/>
    </row>
    <row r="10" spans="1:13">
      <c r="A10" s="8" t="s">
        <v>3</v>
      </c>
      <c r="B10" s="158">
        <v>44097</v>
      </c>
      <c r="C10" s="159"/>
      <c r="D10" s="159"/>
      <c r="E10" s="159"/>
      <c r="F10" s="160"/>
      <c r="G10" s="10" t="s">
        <v>4</v>
      </c>
      <c r="H10" s="9" t="s">
        <v>5</v>
      </c>
      <c r="I10" s="7" t="s">
        <v>41</v>
      </c>
      <c r="J10" s="161" t="s">
        <v>8</v>
      </c>
      <c r="K10" s="162"/>
    </row>
    <row r="12" spans="1:13" ht="14.1" customHeight="1">
      <c r="A12" s="23" t="s">
        <v>72</v>
      </c>
      <c r="B12" s="24"/>
      <c r="C12" s="24"/>
      <c r="D12" s="66"/>
      <c r="E12" s="45"/>
      <c r="F12" s="25"/>
      <c r="G12" s="24"/>
      <c r="H12" s="24"/>
      <c r="I12" s="24"/>
      <c r="J12" s="24"/>
      <c r="K12" s="26"/>
    </row>
    <row r="13" spans="1:13" ht="14.1" customHeight="1">
      <c r="A13" s="27"/>
      <c r="B13" s="28"/>
      <c r="C13" s="28"/>
      <c r="D13" s="67"/>
      <c r="E13" s="75"/>
      <c r="F13" s="29"/>
      <c r="G13" s="28"/>
      <c r="H13" s="28"/>
      <c r="I13" s="30"/>
      <c r="J13" s="30"/>
      <c r="K13" s="31"/>
    </row>
    <row r="14" spans="1:13" ht="15.9" customHeight="1">
      <c r="A14" s="163" t="s">
        <v>35</v>
      </c>
      <c r="B14" s="164"/>
      <c r="C14" s="164"/>
      <c r="D14" s="198" t="s">
        <v>52</v>
      </c>
      <c r="E14" s="199"/>
      <c r="F14" s="165" t="s">
        <v>24</v>
      </c>
      <c r="G14" s="167"/>
      <c r="H14" s="58" t="s">
        <v>40</v>
      </c>
      <c r="I14" s="165" t="s">
        <v>39</v>
      </c>
      <c r="J14" s="167"/>
      <c r="K14" s="31"/>
    </row>
    <row r="15" spans="1:13" ht="15.9" customHeight="1">
      <c r="A15" s="180" t="s">
        <v>179</v>
      </c>
      <c r="B15" s="180"/>
      <c r="C15" s="180"/>
      <c r="D15" s="60">
        <f>ROUNDUP((F15*'Dados Gerais'!$E$13),0)</f>
        <v>223</v>
      </c>
      <c r="E15" s="61" t="s">
        <v>19</v>
      </c>
      <c r="F15" s="52">
        <v>0.25</v>
      </c>
      <c r="G15" s="33" t="s">
        <v>204</v>
      </c>
      <c r="H15" s="34" t="s">
        <v>180</v>
      </c>
      <c r="I15" s="193">
        <v>0</v>
      </c>
      <c r="J15" s="195"/>
      <c r="K15" s="35"/>
    </row>
    <row r="16" spans="1:13" ht="15.9" customHeight="1">
      <c r="A16" s="183" t="s">
        <v>70</v>
      </c>
      <c r="B16" s="184"/>
      <c r="C16" s="185"/>
      <c r="D16" s="113">
        <f>ROUNDUP(($D$15*(F16/100)),0)</f>
        <v>56</v>
      </c>
      <c r="E16" s="83" t="s">
        <v>19</v>
      </c>
      <c r="F16" s="55">
        <v>25</v>
      </c>
      <c r="G16" s="56" t="s">
        <v>130</v>
      </c>
      <c r="H16" s="57" t="s">
        <v>180</v>
      </c>
      <c r="I16" s="170">
        <v>0</v>
      </c>
      <c r="J16" s="172"/>
      <c r="K16" s="35"/>
    </row>
    <row r="17" spans="1:16" ht="15.9" customHeight="1">
      <c r="A17" s="211" t="s">
        <v>70</v>
      </c>
      <c r="B17" s="211"/>
      <c r="C17" s="211"/>
      <c r="D17" s="113">
        <f>ROUNDUP((F17*D16),0)</f>
        <v>1904</v>
      </c>
      <c r="E17" s="83" t="s">
        <v>20</v>
      </c>
      <c r="F17" s="55">
        <v>34</v>
      </c>
      <c r="G17" s="56" t="s">
        <v>181</v>
      </c>
      <c r="H17" s="57" t="s">
        <v>180</v>
      </c>
      <c r="I17" s="209">
        <f>+ROUNDUP((D17*110),0)</f>
        <v>209440</v>
      </c>
      <c r="J17" s="210"/>
      <c r="K17" s="35"/>
    </row>
    <row r="18" spans="1:16" ht="15.9" customHeight="1">
      <c r="A18" s="179" t="s">
        <v>71</v>
      </c>
      <c r="B18" s="179"/>
      <c r="C18" s="179"/>
      <c r="D18" s="113">
        <f>ROUNDUP(($D$15*(F18/100)),0)</f>
        <v>56</v>
      </c>
      <c r="E18" s="83" t="s">
        <v>19</v>
      </c>
      <c r="F18" s="53">
        <v>25</v>
      </c>
      <c r="G18" s="36" t="s">
        <v>130</v>
      </c>
      <c r="H18" s="37" t="s">
        <v>180</v>
      </c>
      <c r="I18" s="170">
        <v>0</v>
      </c>
      <c r="J18" s="172"/>
      <c r="K18" s="35"/>
    </row>
    <row r="19" spans="1:16" ht="15.9" customHeight="1">
      <c r="A19" s="183" t="s">
        <v>71</v>
      </c>
      <c r="B19" s="184"/>
      <c r="C19" s="185"/>
      <c r="D19" s="113">
        <f>ROUNDUP((F19*D18),0)</f>
        <v>1904</v>
      </c>
      <c r="E19" s="69" t="s">
        <v>20</v>
      </c>
      <c r="F19" s="55">
        <v>34</v>
      </c>
      <c r="G19" s="56" t="s">
        <v>181</v>
      </c>
      <c r="H19" s="37" t="s">
        <v>180</v>
      </c>
      <c r="I19" s="209">
        <f>+ROUNDUP((D19*120),0)</f>
        <v>228480</v>
      </c>
      <c r="J19" s="210"/>
      <c r="K19" s="35"/>
    </row>
    <row r="20" spans="1:16" ht="15.9" customHeight="1">
      <c r="A20" s="179" t="s">
        <v>219</v>
      </c>
      <c r="B20" s="179"/>
      <c r="C20" s="179"/>
      <c r="D20" s="113">
        <f>ROUNDUP(($D$15*(F20/100)),0)</f>
        <v>67</v>
      </c>
      <c r="E20" s="83" t="s">
        <v>19</v>
      </c>
      <c r="F20" s="53">
        <v>30</v>
      </c>
      <c r="G20" s="36" t="s">
        <v>130</v>
      </c>
      <c r="H20" s="37" t="s">
        <v>180</v>
      </c>
      <c r="I20" s="170">
        <v>0</v>
      </c>
      <c r="J20" s="172"/>
      <c r="K20" s="35"/>
    </row>
    <row r="21" spans="1:16" ht="15.9" customHeight="1">
      <c r="A21" s="183" t="s">
        <v>219</v>
      </c>
      <c r="B21" s="184"/>
      <c r="C21" s="185"/>
      <c r="D21" s="113">
        <f>ROUNDUP((F21*D20),0)</f>
        <v>2278</v>
      </c>
      <c r="E21" s="69" t="s">
        <v>20</v>
      </c>
      <c r="F21" s="55">
        <v>34</v>
      </c>
      <c r="G21" s="56" t="s">
        <v>181</v>
      </c>
      <c r="H21" s="37" t="s">
        <v>180</v>
      </c>
      <c r="I21" s="209">
        <f>+ROUNDUP((D21*140),0)</f>
        <v>318920</v>
      </c>
      <c r="J21" s="210"/>
      <c r="K21" s="35"/>
    </row>
    <row r="22" spans="1:16" ht="15.9" customHeight="1">
      <c r="A22" s="179" t="s">
        <v>218</v>
      </c>
      <c r="B22" s="179"/>
      <c r="C22" s="179"/>
      <c r="D22" s="113">
        <f>ROUNDUP(($D$15*(F22/100)),0)</f>
        <v>45</v>
      </c>
      <c r="E22" s="83" t="s">
        <v>19</v>
      </c>
      <c r="F22" s="53">
        <v>20</v>
      </c>
      <c r="G22" s="36" t="s">
        <v>130</v>
      </c>
      <c r="H22" s="37" t="s">
        <v>180</v>
      </c>
      <c r="I22" s="170">
        <v>0</v>
      </c>
      <c r="J22" s="172"/>
      <c r="K22" s="35"/>
    </row>
    <row r="23" spans="1:16" ht="15.9" customHeight="1">
      <c r="A23" s="183" t="s">
        <v>218</v>
      </c>
      <c r="B23" s="184"/>
      <c r="C23" s="185"/>
      <c r="D23" s="123">
        <f>ROUNDUP((F23*D22),0)</f>
        <v>1530</v>
      </c>
      <c r="E23" s="69" t="s">
        <v>20</v>
      </c>
      <c r="F23" s="55">
        <v>34</v>
      </c>
      <c r="G23" s="56" t="s">
        <v>181</v>
      </c>
      <c r="H23" s="37" t="s">
        <v>180</v>
      </c>
      <c r="I23" s="209">
        <f>+ROUNDUP((D23*150),0)</f>
        <v>229500</v>
      </c>
      <c r="J23" s="210"/>
      <c r="K23" s="35"/>
    </row>
    <row r="24" spans="1:16" ht="15.9" customHeight="1">
      <c r="A24" s="179" t="s">
        <v>63</v>
      </c>
      <c r="B24" s="179"/>
      <c r="C24" s="179"/>
      <c r="D24" s="123">
        <f>ROUNDUP((D25*F24),0)</f>
        <v>30535</v>
      </c>
      <c r="E24" s="69" t="s">
        <v>67</v>
      </c>
      <c r="F24" s="53">
        <v>10.5</v>
      </c>
      <c r="G24" s="36" t="s">
        <v>129</v>
      </c>
      <c r="H24" s="37" t="s">
        <v>180</v>
      </c>
      <c r="I24" s="170">
        <f>+ROUNDUP((D24*9.5),0)</f>
        <v>290083</v>
      </c>
      <c r="J24" s="172"/>
      <c r="K24" s="35"/>
    </row>
    <row r="25" spans="1:16" ht="15.9" customHeight="1">
      <c r="A25" s="179" t="s">
        <v>64</v>
      </c>
      <c r="B25" s="179"/>
      <c r="C25" s="179"/>
      <c r="D25" s="124">
        <f>(PI()*(0.4^2)/4*D17+PI()*(0.6^2)/4*D19+PI()*(0.7^2)/4*D21+PI()*(0.8^2)/4*D23)*1.2</f>
        <v>2908.0152397953921</v>
      </c>
      <c r="E25" s="69" t="s">
        <v>61</v>
      </c>
      <c r="F25" s="53">
        <v>560</v>
      </c>
      <c r="G25" s="36" t="s">
        <v>51</v>
      </c>
      <c r="H25" s="37" t="s">
        <v>180</v>
      </c>
      <c r="I25" s="170">
        <f>+ROUNDUP((D25*F25),0)</f>
        <v>1628489</v>
      </c>
      <c r="J25" s="172"/>
      <c r="K25" s="35"/>
      <c r="M25" s="91"/>
    </row>
    <row r="26" spans="1:16" ht="15.9" customHeight="1">
      <c r="A26" s="200" t="s">
        <v>43</v>
      </c>
      <c r="B26" s="200"/>
      <c r="C26" s="200"/>
      <c r="D26" s="200"/>
      <c r="E26" s="200"/>
      <c r="F26" s="200"/>
      <c r="G26" s="200"/>
      <c r="H26" s="200"/>
      <c r="I26" s="201">
        <f>SUM(I15:J25)</f>
        <v>2904912</v>
      </c>
      <c r="J26" s="201"/>
      <c r="K26" s="39"/>
    </row>
    <row r="27" spans="1:16" ht="15" customHeight="1">
      <c r="A27" s="212"/>
      <c r="B27" s="182"/>
      <c r="C27" s="182"/>
      <c r="D27" s="182"/>
      <c r="E27" s="182"/>
      <c r="F27" s="182"/>
      <c r="G27" s="182"/>
      <c r="H27" s="182"/>
      <c r="I27" s="41"/>
      <c r="J27" s="41"/>
      <c r="K27" s="43"/>
    </row>
    <row r="28" spans="1:16">
      <c r="A28" s="30"/>
      <c r="B28" s="30"/>
      <c r="C28" s="30"/>
      <c r="D28" s="68"/>
      <c r="E28" s="44"/>
      <c r="F28" s="44"/>
      <c r="G28" s="30"/>
      <c r="H28" s="30"/>
      <c r="I28" s="30"/>
      <c r="J28" s="30"/>
      <c r="K28" s="30"/>
    </row>
    <row r="29" spans="1:16">
      <c r="A29" s="23" t="s">
        <v>73</v>
      </c>
      <c r="B29" s="24"/>
      <c r="C29" s="24"/>
      <c r="D29" s="66"/>
      <c r="E29" s="45"/>
      <c r="F29" s="25"/>
      <c r="G29" s="24"/>
      <c r="H29" s="24"/>
      <c r="I29" s="24"/>
      <c r="J29" s="24"/>
      <c r="K29" s="26"/>
    </row>
    <row r="30" spans="1:16" ht="15.9" customHeight="1">
      <c r="A30" s="27"/>
      <c r="B30" s="28"/>
      <c r="C30" s="28"/>
      <c r="D30" s="67"/>
      <c r="E30" s="75"/>
      <c r="F30" s="29"/>
      <c r="G30" s="28"/>
      <c r="H30" s="28"/>
      <c r="I30" s="30"/>
      <c r="J30" s="30"/>
      <c r="K30" s="31"/>
    </row>
    <row r="31" spans="1:16" ht="15.9" customHeight="1">
      <c r="A31" s="163" t="s">
        <v>35</v>
      </c>
      <c r="B31" s="164"/>
      <c r="C31" s="164"/>
      <c r="D31" s="198" t="s">
        <v>52</v>
      </c>
      <c r="E31" s="199"/>
      <c r="F31" s="165" t="s">
        <v>24</v>
      </c>
      <c r="G31" s="167"/>
      <c r="H31" s="58" t="s">
        <v>40</v>
      </c>
      <c r="I31" s="165" t="s">
        <v>39</v>
      </c>
      <c r="J31" s="167"/>
      <c r="K31" s="31"/>
    </row>
    <row r="32" spans="1:16" ht="30.75" customHeight="1">
      <c r="A32" s="180" t="s">
        <v>74</v>
      </c>
      <c r="B32" s="180"/>
      <c r="C32" s="180"/>
      <c r="D32" s="79">
        <f>+P33*1.5</f>
        <v>1204.095</v>
      </c>
      <c r="E32" s="61" t="s">
        <v>18</v>
      </c>
      <c r="F32" s="52"/>
      <c r="G32" s="33" t="s">
        <v>178</v>
      </c>
      <c r="H32" s="84" t="s">
        <v>230</v>
      </c>
      <c r="I32" s="208">
        <f>+D32*33.7</f>
        <v>40578.001500000006</v>
      </c>
      <c r="J32" s="195"/>
      <c r="K32" s="35"/>
      <c r="M32" s="12" t="s">
        <v>221</v>
      </c>
      <c r="P32" s="12" t="s">
        <v>231</v>
      </c>
    </row>
    <row r="33" spans="1:16" ht="26.4">
      <c r="A33" s="179" t="s">
        <v>63</v>
      </c>
      <c r="B33" s="179"/>
      <c r="C33" s="179"/>
      <c r="D33" s="80">
        <f>N37*1.1*1.5</f>
        <v>59652.450000000004</v>
      </c>
      <c r="E33" s="69" t="s">
        <v>67</v>
      </c>
      <c r="F33" s="53"/>
      <c r="G33" s="36" t="s">
        <v>129</v>
      </c>
      <c r="H33" s="84" t="s">
        <v>230</v>
      </c>
      <c r="I33" s="202">
        <f>+D33*9.5</f>
        <v>566698.27500000002</v>
      </c>
      <c r="J33" s="205"/>
      <c r="K33" s="35"/>
      <c r="L33" s="91"/>
      <c r="M33" s="12">
        <v>1265</v>
      </c>
      <c r="N33" s="12">
        <v>167</v>
      </c>
      <c r="P33" s="12">
        <v>802.73</v>
      </c>
    </row>
    <row r="34" spans="1:16" ht="26.4">
      <c r="A34" s="179" t="s">
        <v>64</v>
      </c>
      <c r="B34" s="179"/>
      <c r="C34" s="179"/>
      <c r="D34" s="80">
        <f>'Movimentação de Terra'!M29</f>
        <v>732.34</v>
      </c>
      <c r="E34" s="69" t="s">
        <v>61</v>
      </c>
      <c r="F34" s="53"/>
      <c r="G34" s="36" t="s">
        <v>60</v>
      </c>
      <c r="H34" s="84" t="s">
        <v>230</v>
      </c>
      <c r="I34" s="202">
        <f>+D34*500</f>
        <v>366170</v>
      </c>
      <c r="J34" s="205"/>
      <c r="K34" s="35"/>
      <c r="M34" s="12">
        <v>1285</v>
      </c>
      <c r="N34" s="12">
        <v>251</v>
      </c>
    </row>
    <row r="35" spans="1:16" ht="15.9" customHeight="1">
      <c r="A35" s="179" t="s">
        <v>65</v>
      </c>
      <c r="B35" s="179"/>
      <c r="C35" s="179"/>
      <c r="D35" s="81">
        <f>+'Dados Gerais'!E13</f>
        <v>891</v>
      </c>
      <c r="E35" s="69" t="s">
        <v>18</v>
      </c>
      <c r="F35" s="53">
        <v>260</v>
      </c>
      <c r="G35" s="36" t="s">
        <v>38</v>
      </c>
      <c r="H35" s="37" t="s">
        <v>180</v>
      </c>
      <c r="I35" s="206">
        <f>+D35*F35</f>
        <v>231660</v>
      </c>
      <c r="J35" s="207"/>
      <c r="K35" s="35"/>
      <c r="M35" s="12">
        <v>1879</v>
      </c>
      <c r="N35" s="12">
        <v>222</v>
      </c>
    </row>
    <row r="36" spans="1:16" ht="15.9" customHeight="1">
      <c r="A36" s="200" t="s">
        <v>43</v>
      </c>
      <c r="B36" s="200"/>
      <c r="C36" s="200"/>
      <c r="D36" s="200"/>
      <c r="E36" s="200"/>
      <c r="F36" s="200"/>
      <c r="G36" s="200"/>
      <c r="H36" s="200"/>
      <c r="I36" s="201">
        <f>SUM(I32:J35)</f>
        <v>1205106.2765000002</v>
      </c>
      <c r="J36" s="201"/>
      <c r="K36" s="39"/>
      <c r="M36" s="12">
        <v>1173</v>
      </c>
      <c r="N36" s="12">
        <v>110</v>
      </c>
    </row>
    <row r="37" spans="1:16" ht="15.9" customHeight="1">
      <c r="A37" s="181"/>
      <c r="B37" s="182"/>
      <c r="C37" s="182"/>
      <c r="D37" s="182"/>
      <c r="E37" s="182"/>
      <c r="F37" s="182"/>
      <c r="G37" s="182"/>
      <c r="H37" s="182"/>
      <c r="I37" s="41"/>
      <c r="J37" s="41"/>
      <c r="K37" s="43"/>
      <c r="M37" s="12">
        <v>2760</v>
      </c>
      <c r="N37" s="70">
        <f>SUM(N33:N36)+SUM(M33:M48)</f>
        <v>36153</v>
      </c>
    </row>
    <row r="38" spans="1:16">
      <c r="A38" s="30"/>
      <c r="B38" s="30"/>
      <c r="C38" s="30"/>
      <c r="D38" s="68"/>
      <c r="E38" s="44"/>
      <c r="F38" s="44"/>
      <c r="G38" s="30"/>
      <c r="H38" s="30"/>
      <c r="I38" s="30"/>
      <c r="J38" s="30"/>
      <c r="K38" s="30"/>
      <c r="M38" s="12">
        <v>1140</v>
      </c>
    </row>
    <row r="39" spans="1:16">
      <c r="A39" s="258" t="s">
        <v>222</v>
      </c>
      <c r="B39" s="259"/>
      <c r="C39" s="259"/>
      <c r="D39" s="260"/>
      <c r="E39" s="261"/>
      <c r="F39" s="262"/>
      <c r="G39" s="259"/>
      <c r="H39" s="259"/>
      <c r="I39" s="259"/>
      <c r="J39" s="259"/>
      <c r="K39" s="26"/>
      <c r="M39" s="12">
        <v>1320</v>
      </c>
    </row>
    <row r="40" spans="1:16">
      <c r="A40" s="263"/>
      <c r="B40" s="264"/>
      <c r="C40" s="264"/>
      <c r="D40" s="265"/>
      <c r="E40" s="266"/>
      <c r="F40" s="267"/>
      <c r="G40" s="264"/>
      <c r="H40" s="264"/>
      <c r="I40" s="268"/>
      <c r="J40" s="268"/>
      <c r="K40" s="31"/>
      <c r="M40" s="12">
        <v>878</v>
      </c>
    </row>
    <row r="41" spans="1:16">
      <c r="A41" s="163" t="s">
        <v>35</v>
      </c>
      <c r="B41" s="164"/>
      <c r="C41" s="164"/>
      <c r="D41" s="198" t="s">
        <v>52</v>
      </c>
      <c r="E41" s="199"/>
      <c r="F41" s="165" t="s">
        <v>24</v>
      </c>
      <c r="G41" s="167"/>
      <c r="H41" s="132" t="s">
        <v>40</v>
      </c>
      <c r="I41" s="165" t="s">
        <v>39</v>
      </c>
      <c r="J41" s="167"/>
      <c r="K41" s="31"/>
      <c r="M41" s="12">
        <v>1698</v>
      </c>
    </row>
    <row r="42" spans="1:16">
      <c r="A42" s="213" t="s">
        <v>63</v>
      </c>
      <c r="B42" s="213"/>
      <c r="C42" s="213"/>
      <c r="D42" s="127">
        <f>F42*D43</f>
        <v>9117.92</v>
      </c>
      <c r="E42" s="114" t="s">
        <v>67</v>
      </c>
      <c r="F42" s="128">
        <v>80</v>
      </c>
      <c r="G42" s="129" t="s">
        <v>248</v>
      </c>
      <c r="H42" s="130" t="s">
        <v>180</v>
      </c>
      <c r="I42" s="214">
        <f>+D42*9.5</f>
        <v>86620.24</v>
      </c>
      <c r="J42" s="215"/>
      <c r="K42" s="35"/>
      <c r="M42" s="12">
        <v>1543</v>
      </c>
    </row>
    <row r="43" spans="1:16">
      <c r="A43" s="213" t="s">
        <v>64</v>
      </c>
      <c r="B43" s="213"/>
      <c r="C43" s="213"/>
      <c r="D43" s="127">
        <v>113.974</v>
      </c>
      <c r="E43" s="114" t="s">
        <v>61</v>
      </c>
      <c r="F43" s="128">
        <v>500</v>
      </c>
      <c r="G43" s="129" t="s">
        <v>51</v>
      </c>
      <c r="H43" s="130" t="s">
        <v>180</v>
      </c>
      <c r="I43" s="214">
        <f>+D43*F43</f>
        <v>56987</v>
      </c>
      <c r="J43" s="215"/>
      <c r="K43" s="35"/>
      <c r="M43" s="12">
        <v>1682</v>
      </c>
    </row>
    <row r="44" spans="1:16" ht="14.4" customHeight="1">
      <c r="A44" s="213" t="s">
        <v>249</v>
      </c>
      <c r="B44" s="213"/>
      <c r="C44" s="213"/>
      <c r="D44" s="273">
        <v>81.41</v>
      </c>
      <c r="E44" s="114" t="s">
        <v>20</v>
      </c>
      <c r="F44" s="128">
        <v>350</v>
      </c>
      <c r="G44" s="129" t="s">
        <v>252</v>
      </c>
      <c r="H44" s="130" t="s">
        <v>180</v>
      </c>
      <c r="I44" s="274">
        <f>F44*D44</f>
        <v>28493.5</v>
      </c>
      <c r="J44" s="275"/>
      <c r="K44" s="35"/>
      <c r="M44" s="12">
        <v>1583</v>
      </c>
    </row>
    <row r="45" spans="1:16">
      <c r="A45" s="213" t="s">
        <v>65</v>
      </c>
      <c r="B45" s="213"/>
      <c r="C45" s="213"/>
      <c r="D45" s="272">
        <v>284.935</v>
      </c>
      <c r="E45" s="114" t="s">
        <v>18</v>
      </c>
      <c r="F45" s="128">
        <v>300</v>
      </c>
      <c r="G45" s="129" t="s">
        <v>38</v>
      </c>
      <c r="H45" s="130" t="s">
        <v>180</v>
      </c>
      <c r="I45" s="256">
        <f>+D45*F45</f>
        <v>85480.5</v>
      </c>
      <c r="J45" s="257"/>
      <c r="K45" s="35"/>
      <c r="M45" s="12">
        <v>350</v>
      </c>
    </row>
    <row r="46" spans="1:16">
      <c r="A46" s="200" t="s">
        <v>43</v>
      </c>
      <c r="B46" s="200"/>
      <c r="C46" s="200"/>
      <c r="D46" s="200"/>
      <c r="E46" s="200"/>
      <c r="F46" s="200"/>
      <c r="G46" s="200"/>
      <c r="H46" s="200"/>
      <c r="I46" s="201">
        <f>SUM(I42:J45)</f>
        <v>257581.24</v>
      </c>
      <c r="J46" s="201"/>
      <c r="K46" s="39"/>
      <c r="M46" s="12">
        <v>9425</v>
      </c>
    </row>
    <row r="47" spans="1:16">
      <c r="A47" s="181"/>
      <c r="B47" s="182"/>
      <c r="C47" s="182"/>
      <c r="D47" s="182"/>
      <c r="E47" s="182"/>
      <c r="F47" s="182"/>
      <c r="G47" s="182"/>
      <c r="H47" s="182"/>
      <c r="I47" s="41"/>
      <c r="J47" s="41"/>
      <c r="K47" s="43"/>
      <c r="M47" s="12">
        <v>5457</v>
      </c>
    </row>
    <row r="48" spans="1:16">
      <c r="M48" s="12">
        <v>1965</v>
      </c>
    </row>
    <row r="49" spans="9:9">
      <c r="I49" s="91">
        <f>I46+I36+I26</f>
        <v>4367599.5164999999</v>
      </c>
    </row>
  </sheetData>
  <mergeCells count="66">
    <mergeCell ref="A24:C24"/>
    <mergeCell ref="I24:J24"/>
    <mergeCell ref="A25:C25"/>
    <mergeCell ref="I25:J25"/>
    <mergeCell ref="A19:C19"/>
    <mergeCell ref="I19:J19"/>
    <mergeCell ref="B10:F10"/>
    <mergeCell ref="J10:K10"/>
    <mergeCell ref="A2:K4"/>
    <mergeCell ref="B7:K7"/>
    <mergeCell ref="B8:K8"/>
    <mergeCell ref="J9:K9"/>
    <mergeCell ref="B9:H9"/>
    <mergeCell ref="A14:C14"/>
    <mergeCell ref="D14:E14"/>
    <mergeCell ref="F14:G14"/>
    <mergeCell ref="I14:J14"/>
    <mergeCell ref="A15:C15"/>
    <mergeCell ref="I15:J15"/>
    <mergeCell ref="A26:H26"/>
    <mergeCell ref="I26:J26"/>
    <mergeCell ref="A27:H27"/>
    <mergeCell ref="A31:C31"/>
    <mergeCell ref="D31:E31"/>
    <mergeCell ref="F31:G31"/>
    <mergeCell ref="I31:J31"/>
    <mergeCell ref="A32:C32"/>
    <mergeCell ref="I32:J32"/>
    <mergeCell ref="A36:H36"/>
    <mergeCell ref="I36:J36"/>
    <mergeCell ref="A37:H37"/>
    <mergeCell ref="I35:J35"/>
    <mergeCell ref="I34:J34"/>
    <mergeCell ref="I33:J33"/>
    <mergeCell ref="A33:C33"/>
    <mergeCell ref="A34:C34"/>
    <mergeCell ref="A35:C35"/>
    <mergeCell ref="I16:J16"/>
    <mergeCell ref="A16:C16"/>
    <mergeCell ref="A22:C22"/>
    <mergeCell ref="I22:J22"/>
    <mergeCell ref="A23:C23"/>
    <mergeCell ref="I23:J23"/>
    <mergeCell ref="A20:C20"/>
    <mergeCell ref="I20:J20"/>
    <mergeCell ref="A21:C21"/>
    <mergeCell ref="I21:J21"/>
    <mergeCell ref="A18:C18"/>
    <mergeCell ref="I18:J18"/>
    <mergeCell ref="A17:C17"/>
    <mergeCell ref="I17:J17"/>
    <mergeCell ref="A41:C41"/>
    <mergeCell ref="D41:E41"/>
    <mergeCell ref="F41:G41"/>
    <mergeCell ref="I41:J41"/>
    <mergeCell ref="A46:H46"/>
    <mergeCell ref="I46:J46"/>
    <mergeCell ref="A47:H47"/>
    <mergeCell ref="A42:C42"/>
    <mergeCell ref="I42:J42"/>
    <mergeCell ref="A43:C43"/>
    <mergeCell ref="I43:J43"/>
    <mergeCell ref="A45:C45"/>
    <mergeCell ref="I45:J45"/>
    <mergeCell ref="A44:C44"/>
    <mergeCell ref="I44:J44"/>
  </mergeCells>
  <dataValidations disablePrompts="1" count="1">
    <dataValidation type="list" allowBlank="1" showInputMessage="1" showErrorMessage="1" sqref="J10" xr:uid="{00000000-0002-0000-0300-000000000000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3C66"/>
  </sheetPr>
  <dimension ref="A1:M28"/>
  <sheetViews>
    <sheetView showGridLines="0" topLeftCell="A16" zoomScaleNormal="100" zoomScaleSheetLayoutView="95" workbookViewId="0">
      <selection activeCell="K28" sqref="K28"/>
    </sheetView>
  </sheetViews>
  <sheetFormatPr defaultColWidth="9.109375" defaultRowHeight="13.2"/>
  <cols>
    <col min="1" max="1" width="17.44140625" style="12" customWidth="1"/>
    <col min="2" max="2" width="11.33203125" style="12" customWidth="1"/>
    <col min="3" max="3" width="8.88671875" style="12" customWidth="1"/>
    <col min="4" max="4" width="13" style="70" customWidth="1"/>
    <col min="5" max="5" width="7.5546875" style="76" customWidth="1"/>
    <col min="6" max="6" width="10.6640625" style="19" customWidth="1"/>
    <col min="7" max="7" width="13.33203125" style="12" customWidth="1"/>
    <col min="8" max="8" width="12.88671875" style="12" customWidth="1"/>
    <col min="9" max="9" width="9.33203125" style="12" customWidth="1"/>
    <col min="10" max="10" width="9.33203125" style="12" bestFit="1" customWidth="1"/>
    <col min="11" max="11" width="14.109375" style="12" bestFit="1" customWidth="1"/>
    <col min="12" max="12" width="11.5546875" style="12" bestFit="1" customWidth="1"/>
    <col min="13" max="14" width="9.109375" style="12"/>
    <col min="15" max="15" width="11.33203125" style="12" bestFit="1" customWidth="1"/>
    <col min="16" max="16384" width="9.109375" style="12"/>
  </cols>
  <sheetData>
    <row r="1" spans="1:12">
      <c r="A1" s="1"/>
      <c r="B1" s="1"/>
      <c r="C1" s="1"/>
      <c r="D1" s="63"/>
      <c r="E1" s="72"/>
      <c r="F1" s="20"/>
      <c r="G1" s="1"/>
      <c r="H1" s="1"/>
      <c r="I1" s="1"/>
      <c r="J1" s="1"/>
      <c r="K1" s="1"/>
      <c r="L1" s="13"/>
    </row>
    <row r="2" spans="1:12">
      <c r="A2" s="151" t="s">
        <v>76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3"/>
    </row>
    <row r="3" spans="1:12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3"/>
    </row>
    <row r="4" spans="1:12">
      <c r="A4" s="152"/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3"/>
    </row>
    <row r="5" spans="1:12" ht="13.8" thickBot="1">
      <c r="A5" s="2"/>
      <c r="B5" s="2"/>
      <c r="C5" s="2"/>
      <c r="D5" s="64"/>
      <c r="E5" s="73"/>
      <c r="F5" s="21"/>
      <c r="G5" s="3"/>
      <c r="H5" s="3"/>
      <c r="I5" s="3"/>
      <c r="J5" s="3"/>
      <c r="K5" s="3"/>
      <c r="L5" s="13"/>
    </row>
    <row r="6" spans="1:12">
      <c r="A6" s="4"/>
      <c r="B6" s="4"/>
      <c r="C6" s="4"/>
      <c r="D6" s="65"/>
      <c r="E6" s="74"/>
      <c r="F6" s="22"/>
      <c r="G6" s="5"/>
      <c r="H6" s="5"/>
      <c r="I6" s="5"/>
      <c r="J6" s="5"/>
      <c r="K6" s="5"/>
      <c r="L6" s="13"/>
    </row>
    <row r="7" spans="1:12">
      <c r="A7" s="6" t="s">
        <v>0</v>
      </c>
      <c r="B7" s="153" t="s">
        <v>198</v>
      </c>
      <c r="C7" s="153"/>
      <c r="D7" s="153"/>
      <c r="E7" s="153"/>
      <c r="F7" s="153"/>
      <c r="G7" s="153"/>
      <c r="H7" s="153"/>
      <c r="I7" s="153"/>
      <c r="J7" s="153"/>
      <c r="K7" s="153"/>
      <c r="L7" s="13"/>
    </row>
    <row r="8" spans="1:12">
      <c r="A8" s="6" t="s">
        <v>1</v>
      </c>
      <c r="B8" s="154"/>
      <c r="C8" s="154"/>
      <c r="D8" s="154"/>
      <c r="E8" s="154"/>
      <c r="F8" s="154"/>
      <c r="G8" s="154"/>
      <c r="H8" s="154"/>
      <c r="I8" s="154"/>
      <c r="J8" s="154"/>
      <c r="K8" s="154"/>
      <c r="L8" s="13"/>
    </row>
    <row r="9" spans="1:12" ht="15" customHeight="1">
      <c r="A9" s="6" t="s">
        <v>2</v>
      </c>
      <c r="B9" s="155" t="s">
        <v>199</v>
      </c>
      <c r="C9" s="156"/>
      <c r="D9" s="156"/>
      <c r="E9" s="156"/>
      <c r="F9" s="156"/>
      <c r="G9" s="156"/>
      <c r="H9" s="157"/>
      <c r="I9" s="7" t="s">
        <v>6</v>
      </c>
      <c r="J9" s="154" t="s">
        <v>44</v>
      </c>
      <c r="K9" s="154"/>
    </row>
    <row r="10" spans="1:12">
      <c r="A10" s="8" t="s">
        <v>3</v>
      </c>
      <c r="B10" s="158">
        <v>44294</v>
      </c>
      <c r="C10" s="159"/>
      <c r="D10" s="159"/>
      <c r="E10" s="159"/>
      <c r="F10" s="160"/>
      <c r="G10" s="10" t="s">
        <v>4</v>
      </c>
      <c r="H10" s="9" t="s">
        <v>5</v>
      </c>
      <c r="I10" s="7" t="s">
        <v>41</v>
      </c>
      <c r="J10" s="161" t="s">
        <v>8</v>
      </c>
      <c r="K10" s="162"/>
    </row>
    <row r="12" spans="1:12">
      <c r="A12" s="23" t="s">
        <v>77</v>
      </c>
      <c r="B12" s="24"/>
      <c r="C12" s="24"/>
      <c r="D12" s="66"/>
      <c r="E12" s="45"/>
      <c r="F12" s="25"/>
      <c r="G12" s="24"/>
      <c r="H12" s="24"/>
      <c r="I12" s="24"/>
      <c r="J12" s="24"/>
      <c r="K12" s="26"/>
    </row>
    <row r="13" spans="1:12" ht="15.9" customHeight="1">
      <c r="A13" s="27"/>
      <c r="B13" s="28"/>
      <c r="C13" s="28"/>
      <c r="D13" s="67"/>
      <c r="E13" s="75"/>
      <c r="F13" s="29"/>
      <c r="G13" s="28"/>
      <c r="H13" s="28"/>
      <c r="I13" s="30"/>
      <c r="J13" s="30"/>
      <c r="K13" s="31"/>
    </row>
    <row r="14" spans="1:12" ht="15.75" customHeight="1">
      <c r="A14" s="163" t="s">
        <v>35</v>
      </c>
      <c r="B14" s="164"/>
      <c r="C14" s="164"/>
      <c r="D14" s="198" t="s">
        <v>52</v>
      </c>
      <c r="E14" s="199"/>
      <c r="F14" s="165" t="s">
        <v>24</v>
      </c>
      <c r="G14" s="167"/>
      <c r="H14" s="58" t="s">
        <v>40</v>
      </c>
      <c r="I14" s="165" t="s">
        <v>39</v>
      </c>
      <c r="J14" s="167"/>
      <c r="K14" s="31"/>
    </row>
    <row r="15" spans="1:12" ht="15.75" customHeight="1">
      <c r="A15" s="180" t="s">
        <v>78</v>
      </c>
      <c r="B15" s="180"/>
      <c r="C15" s="180"/>
      <c r="D15" s="79">
        <f>+D16*F15/100</f>
        <v>10850.611200000001</v>
      </c>
      <c r="E15" s="61" t="s">
        <v>18</v>
      </c>
      <c r="F15" s="52">
        <v>16.5</v>
      </c>
      <c r="G15" s="33" t="s">
        <v>130</v>
      </c>
      <c r="H15" s="34" t="s">
        <v>180</v>
      </c>
      <c r="I15" s="208">
        <f>+D15*70</f>
        <v>759542.7840000001</v>
      </c>
      <c r="J15" s="195"/>
      <c r="K15" s="35"/>
    </row>
    <row r="16" spans="1:12" ht="15.75" customHeight="1">
      <c r="A16" s="183" t="s">
        <v>79</v>
      </c>
      <c r="B16" s="184"/>
      <c r="C16" s="185"/>
      <c r="D16" s="82">
        <f>+'Dados Gerais'!$E$15*F16</f>
        <v>65761.280000000013</v>
      </c>
      <c r="E16" s="83" t="s">
        <v>18</v>
      </c>
      <c r="F16" s="55">
        <v>3.2</v>
      </c>
      <c r="G16" s="56" t="s">
        <v>183</v>
      </c>
      <c r="H16" s="57" t="s">
        <v>180</v>
      </c>
      <c r="I16" s="202">
        <f>+D16*9.5</f>
        <v>624732.16000000015</v>
      </c>
      <c r="J16" s="205"/>
      <c r="K16" s="35"/>
    </row>
    <row r="17" spans="1:13" ht="15.75" customHeight="1">
      <c r="A17" s="183" t="s">
        <v>81</v>
      </c>
      <c r="B17" s="184"/>
      <c r="C17" s="185"/>
      <c r="D17" s="85">
        <f>+'Dados Gerais'!E20*'Dados Gerais'!E17</f>
        <v>9992.7699999999986</v>
      </c>
      <c r="E17" s="83" t="s">
        <v>18</v>
      </c>
      <c r="F17" s="55">
        <v>25</v>
      </c>
      <c r="G17" s="56" t="s">
        <v>69</v>
      </c>
      <c r="H17" s="57" t="s">
        <v>180</v>
      </c>
      <c r="I17" s="202">
        <f t="shared" ref="I17" si="0">+D17*F17</f>
        <v>249819.24999999997</v>
      </c>
      <c r="J17" s="205"/>
      <c r="K17" s="35"/>
      <c r="L17" s="91"/>
      <c r="M17" s="91"/>
    </row>
    <row r="18" spans="1:13" ht="15.75" customHeight="1">
      <c r="A18" s="183" t="s">
        <v>82</v>
      </c>
      <c r="B18" s="184"/>
      <c r="C18" s="185"/>
      <c r="D18" s="82">
        <f>+'Dados Gerais'!E24</f>
        <v>7973.1299999999992</v>
      </c>
      <c r="E18" s="83" t="s">
        <v>18</v>
      </c>
      <c r="F18" s="55">
        <v>30</v>
      </c>
      <c r="G18" s="56" t="s">
        <v>69</v>
      </c>
      <c r="H18" s="57" t="s">
        <v>180</v>
      </c>
      <c r="I18" s="202">
        <f t="shared" ref="I18" si="1">+D18*F18</f>
        <v>239193.89999999997</v>
      </c>
      <c r="J18" s="205"/>
      <c r="K18" s="35"/>
    </row>
    <row r="19" spans="1:13" ht="15.75" customHeight="1">
      <c r="A19" s="179" t="s">
        <v>80</v>
      </c>
      <c r="B19" s="179"/>
      <c r="C19" s="179"/>
      <c r="D19" s="80">
        <f>(D20+D21)*F19</f>
        <v>436696.00000000006</v>
      </c>
      <c r="E19" s="69" t="s">
        <v>67</v>
      </c>
      <c r="F19" s="53">
        <v>85</v>
      </c>
      <c r="G19" s="36" t="s">
        <v>129</v>
      </c>
      <c r="H19" s="57" t="s">
        <v>180</v>
      </c>
      <c r="I19" s="202">
        <f>+D19*9.5</f>
        <v>4148612.0000000005</v>
      </c>
      <c r="J19" s="205"/>
      <c r="K19" s="35"/>
    </row>
    <row r="20" spans="1:13" ht="15.75" customHeight="1">
      <c r="A20" s="179" t="s">
        <v>216</v>
      </c>
      <c r="B20" s="179"/>
      <c r="C20" s="179"/>
      <c r="D20" s="80">
        <f>'Dados Gerais'!E24*F20</f>
        <v>1993.2824999999998</v>
      </c>
      <c r="E20" s="69" t="s">
        <v>61</v>
      </c>
      <c r="F20" s="53">
        <v>0.25</v>
      </c>
      <c r="G20" s="56" t="s">
        <v>184</v>
      </c>
      <c r="H20" s="37" t="s">
        <v>180</v>
      </c>
      <c r="I20" s="202">
        <f>+D20*630</f>
        <v>1255767.9749999999</v>
      </c>
      <c r="J20" s="205"/>
      <c r="K20" s="35"/>
    </row>
    <row r="21" spans="1:13" ht="15.75" customHeight="1">
      <c r="A21" s="213" t="s">
        <v>217</v>
      </c>
      <c r="B21" s="213"/>
      <c r="C21" s="213"/>
      <c r="D21" s="127">
        <f>(+'Dados Gerais'!E15-'Dados Gerais'!E24)*Supraestrutura!$F$21</f>
        <v>3144.3175000000006</v>
      </c>
      <c r="E21" s="114" t="s">
        <v>61</v>
      </c>
      <c r="F21" s="128">
        <v>0.25</v>
      </c>
      <c r="G21" s="129" t="s">
        <v>184</v>
      </c>
      <c r="H21" s="130" t="s">
        <v>180</v>
      </c>
      <c r="I21" s="214">
        <f>+D21*450</f>
        <v>1414942.8750000002</v>
      </c>
      <c r="J21" s="215"/>
      <c r="K21" s="35"/>
    </row>
    <row r="22" spans="1:13" ht="15.75" customHeight="1">
      <c r="A22" s="213" t="s">
        <v>215</v>
      </c>
      <c r="B22" s="213"/>
      <c r="C22" s="213"/>
      <c r="D22" s="131">
        <f>'Dados Gerais'!E15</f>
        <v>20550.400000000001</v>
      </c>
      <c r="E22" s="114" t="s">
        <v>18</v>
      </c>
      <c r="F22" s="128">
        <v>90</v>
      </c>
      <c r="G22" s="129" t="s">
        <v>25</v>
      </c>
      <c r="H22" s="130" t="s">
        <v>180</v>
      </c>
      <c r="I22" s="214">
        <f t="shared" ref="I22" si="2">+D22*F22</f>
        <v>1849536.0000000002</v>
      </c>
      <c r="J22" s="215"/>
      <c r="K22" s="35"/>
    </row>
    <row r="23" spans="1:13" ht="15.75" customHeight="1">
      <c r="A23" s="213" t="s">
        <v>220</v>
      </c>
      <c r="B23" s="213"/>
      <c r="C23" s="213"/>
      <c r="D23" s="131">
        <f>+'Dados Gerais'!E15</f>
        <v>20550.400000000001</v>
      </c>
      <c r="E23" s="114" t="s">
        <v>18</v>
      </c>
      <c r="F23" s="128">
        <v>187.25</v>
      </c>
      <c r="G23" s="129" t="s">
        <v>69</v>
      </c>
      <c r="H23" s="130" t="s">
        <v>180</v>
      </c>
      <c r="I23" s="214">
        <f>+D23*F23</f>
        <v>3848062.4000000004</v>
      </c>
      <c r="J23" s="215"/>
      <c r="K23" s="35"/>
    </row>
    <row r="24" spans="1:13" ht="15.75" customHeight="1">
      <c r="A24" s="200" t="s">
        <v>43</v>
      </c>
      <c r="B24" s="200"/>
      <c r="C24" s="200"/>
      <c r="D24" s="200"/>
      <c r="E24" s="200"/>
      <c r="F24" s="200"/>
      <c r="G24" s="200"/>
      <c r="H24" s="200"/>
      <c r="I24" s="201">
        <f>SUM(I15:J23)</f>
        <v>14390209.344000001</v>
      </c>
      <c r="J24" s="201"/>
      <c r="K24" s="39"/>
    </row>
    <row r="25" spans="1:13" ht="15.9" customHeight="1">
      <c r="A25" s="181"/>
      <c r="B25" s="182"/>
      <c r="C25" s="182"/>
      <c r="D25" s="182"/>
      <c r="E25" s="182"/>
      <c r="F25" s="182"/>
      <c r="G25" s="182"/>
      <c r="H25" s="182"/>
      <c r="I25" s="41"/>
      <c r="J25" s="41"/>
      <c r="K25" s="43"/>
    </row>
    <row r="26" spans="1:13">
      <c r="A26" s="30"/>
      <c r="B26" s="30"/>
      <c r="C26" s="30"/>
      <c r="D26" s="68"/>
      <c r="E26" s="44"/>
      <c r="F26" s="44"/>
      <c r="G26" s="30"/>
      <c r="H26" s="30"/>
      <c r="I26" s="30"/>
      <c r="J26" s="116"/>
      <c r="K26" s="30"/>
    </row>
    <row r="27" spans="1:13">
      <c r="J27" s="91"/>
      <c r="K27" s="91"/>
    </row>
    <row r="28" spans="1:13">
      <c r="I28" s="91"/>
      <c r="K28" s="91">
        <f>I24</f>
        <v>14390209.344000001</v>
      </c>
    </row>
  </sheetData>
  <mergeCells count="32">
    <mergeCell ref="A14:C14"/>
    <mergeCell ref="D14:E14"/>
    <mergeCell ref="F14:G14"/>
    <mergeCell ref="I14:J14"/>
    <mergeCell ref="A16:C16"/>
    <mergeCell ref="A15:C15"/>
    <mergeCell ref="I15:J15"/>
    <mergeCell ref="I16:J16"/>
    <mergeCell ref="B10:F10"/>
    <mergeCell ref="J10:K10"/>
    <mergeCell ref="A2:K4"/>
    <mergeCell ref="B7:K7"/>
    <mergeCell ref="B8:K8"/>
    <mergeCell ref="J9:K9"/>
    <mergeCell ref="B9:H9"/>
    <mergeCell ref="A17:C17"/>
    <mergeCell ref="I17:J17"/>
    <mergeCell ref="A18:C18"/>
    <mergeCell ref="I18:J18"/>
    <mergeCell ref="A24:H24"/>
    <mergeCell ref="I24:J24"/>
    <mergeCell ref="A25:H25"/>
    <mergeCell ref="A19:C19"/>
    <mergeCell ref="I19:J19"/>
    <mergeCell ref="A21:C21"/>
    <mergeCell ref="I21:J21"/>
    <mergeCell ref="A22:C22"/>
    <mergeCell ref="I22:J22"/>
    <mergeCell ref="A20:C20"/>
    <mergeCell ref="I20:J20"/>
    <mergeCell ref="A23:C23"/>
    <mergeCell ref="I23:J23"/>
  </mergeCells>
  <dataValidations disablePrompts="1" count="1">
    <dataValidation type="list" allowBlank="1" showInputMessage="1" showErrorMessage="1" sqref="J10" xr:uid="{00000000-0002-0000-0400-000000000000}">
      <formula1>$M$1:$M$6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40D28-57E4-408E-8411-61CD603C89D4}">
  <sheetPr>
    <tabColor rgb="FF003C66"/>
  </sheetPr>
  <dimension ref="A1:M27"/>
  <sheetViews>
    <sheetView showGridLines="0" topLeftCell="A13" zoomScaleNormal="100" zoomScaleSheetLayoutView="95" workbookViewId="0">
      <selection activeCell="K27" sqref="K27"/>
    </sheetView>
  </sheetViews>
  <sheetFormatPr defaultColWidth="9.109375" defaultRowHeight="13.2"/>
  <cols>
    <col min="1" max="1" width="17.44140625" style="12" customWidth="1"/>
    <col min="2" max="2" width="11.33203125" style="12" customWidth="1"/>
    <col min="3" max="3" width="8.88671875" style="12" customWidth="1"/>
    <col min="4" max="4" width="13" style="70" customWidth="1"/>
    <col min="5" max="5" width="7.5546875" style="76" customWidth="1"/>
    <col min="6" max="6" width="10.6640625" style="19" customWidth="1"/>
    <col min="7" max="7" width="13.33203125" style="12" customWidth="1"/>
    <col min="8" max="8" width="12.88671875" style="12" customWidth="1"/>
    <col min="9" max="9" width="9.33203125" style="12" customWidth="1"/>
    <col min="10" max="10" width="9.33203125" style="12" bestFit="1" customWidth="1"/>
    <col min="11" max="11" width="11.6640625" style="12" customWidth="1"/>
    <col min="12" max="12" width="11.5546875" style="12" bestFit="1" customWidth="1"/>
    <col min="13" max="14" width="9.109375" style="12"/>
    <col min="15" max="15" width="11.33203125" style="12" bestFit="1" customWidth="1"/>
    <col min="16" max="16384" width="9.109375" style="12"/>
  </cols>
  <sheetData>
    <row r="1" spans="1:12">
      <c r="A1" s="1"/>
      <c r="B1" s="1"/>
      <c r="C1" s="1"/>
      <c r="D1" s="63"/>
      <c r="E1" s="72"/>
      <c r="F1" s="20"/>
      <c r="G1" s="1"/>
      <c r="H1" s="1"/>
      <c r="I1" s="1"/>
      <c r="J1" s="1"/>
      <c r="K1" s="1"/>
      <c r="L1" s="13"/>
    </row>
    <row r="2" spans="1:12">
      <c r="A2" s="151" t="s">
        <v>76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3"/>
    </row>
    <row r="3" spans="1:12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3"/>
    </row>
    <row r="4" spans="1:12">
      <c r="A4" s="152"/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3"/>
    </row>
    <row r="5" spans="1:12" ht="13.8" thickBot="1">
      <c r="A5" s="2"/>
      <c r="B5" s="2"/>
      <c r="C5" s="2"/>
      <c r="D5" s="64"/>
      <c r="E5" s="73"/>
      <c r="F5" s="21"/>
      <c r="G5" s="3"/>
      <c r="H5" s="3"/>
      <c r="I5" s="3"/>
      <c r="J5" s="3"/>
      <c r="K5" s="3"/>
      <c r="L5" s="13"/>
    </row>
    <row r="6" spans="1:12">
      <c r="A6" s="4"/>
      <c r="B6" s="4"/>
      <c r="C6" s="4"/>
      <c r="D6" s="65"/>
      <c r="E6" s="74"/>
      <c r="F6" s="22"/>
      <c r="G6" s="5"/>
      <c r="H6" s="5"/>
      <c r="I6" s="5"/>
      <c r="J6" s="5"/>
      <c r="K6" s="5"/>
      <c r="L6" s="13"/>
    </row>
    <row r="7" spans="1:12">
      <c r="A7" s="6" t="s">
        <v>0</v>
      </c>
      <c r="B7" s="153" t="s">
        <v>198</v>
      </c>
      <c r="C7" s="153"/>
      <c r="D7" s="153"/>
      <c r="E7" s="153"/>
      <c r="F7" s="153"/>
      <c r="G7" s="153"/>
      <c r="H7" s="153"/>
      <c r="I7" s="153"/>
      <c r="J7" s="153"/>
      <c r="K7" s="153"/>
      <c r="L7" s="13"/>
    </row>
    <row r="8" spans="1:12">
      <c r="A8" s="6" t="s">
        <v>1</v>
      </c>
      <c r="B8" s="154"/>
      <c r="C8" s="154"/>
      <c r="D8" s="154"/>
      <c r="E8" s="154"/>
      <c r="F8" s="154"/>
      <c r="G8" s="154"/>
      <c r="H8" s="154"/>
      <c r="I8" s="154"/>
      <c r="J8" s="154"/>
      <c r="K8" s="154"/>
      <c r="L8" s="13"/>
    </row>
    <row r="9" spans="1:12" ht="15" customHeight="1">
      <c r="A9" s="6" t="s">
        <v>2</v>
      </c>
      <c r="B9" s="155" t="s">
        <v>199</v>
      </c>
      <c r="C9" s="156"/>
      <c r="D9" s="156"/>
      <c r="E9" s="156"/>
      <c r="F9" s="156"/>
      <c r="G9" s="156"/>
      <c r="H9" s="157"/>
      <c r="I9" s="7" t="s">
        <v>6</v>
      </c>
      <c r="J9" s="154" t="s">
        <v>44</v>
      </c>
      <c r="K9" s="154"/>
    </row>
    <row r="10" spans="1:12">
      <c r="A10" s="8" t="s">
        <v>3</v>
      </c>
      <c r="B10" s="158">
        <v>44294</v>
      </c>
      <c r="C10" s="159"/>
      <c r="D10" s="159"/>
      <c r="E10" s="159"/>
      <c r="F10" s="160"/>
      <c r="G10" s="10" t="s">
        <v>4</v>
      </c>
      <c r="H10" s="9" t="s">
        <v>5</v>
      </c>
      <c r="I10" s="7" t="s">
        <v>41</v>
      </c>
      <c r="J10" s="161" t="s">
        <v>8</v>
      </c>
      <c r="K10" s="162"/>
    </row>
    <row r="12" spans="1:12">
      <c r="A12" s="23" t="s">
        <v>224</v>
      </c>
      <c r="B12" s="24"/>
      <c r="C12" s="24"/>
      <c r="D12" s="66"/>
      <c r="E12" s="45"/>
      <c r="F12" s="25"/>
      <c r="G12" s="24"/>
      <c r="H12" s="24"/>
      <c r="I12" s="24"/>
      <c r="J12" s="24"/>
      <c r="K12" s="26"/>
    </row>
    <row r="13" spans="1:12" ht="15.9" customHeight="1">
      <c r="A13" s="27"/>
      <c r="B13" s="28"/>
      <c r="C13" s="28"/>
      <c r="D13" s="67"/>
      <c r="E13" s="75"/>
      <c r="F13" s="29"/>
      <c r="G13" s="28"/>
      <c r="H13" s="28"/>
      <c r="I13" s="30"/>
      <c r="J13" s="30"/>
      <c r="K13" s="31"/>
    </row>
    <row r="14" spans="1:12" ht="15.75" customHeight="1">
      <c r="A14" s="163" t="s">
        <v>35</v>
      </c>
      <c r="B14" s="164"/>
      <c r="C14" s="164"/>
      <c r="D14" s="198" t="s">
        <v>52</v>
      </c>
      <c r="E14" s="199"/>
      <c r="F14" s="165" t="s">
        <v>24</v>
      </c>
      <c r="G14" s="167"/>
      <c r="H14" s="125" t="s">
        <v>40</v>
      </c>
      <c r="I14" s="165" t="s">
        <v>39</v>
      </c>
      <c r="J14" s="167"/>
      <c r="K14" s="31"/>
    </row>
    <row r="15" spans="1:12" ht="15.75" customHeight="1">
      <c r="A15" s="180" t="s">
        <v>225</v>
      </c>
      <c r="B15" s="180"/>
      <c r="C15" s="180"/>
      <c r="D15" s="97">
        <f>'Dados Gerais'!E30*Marina!F15</f>
        <v>16471.600000000002</v>
      </c>
      <c r="E15" s="61" t="s">
        <v>67</v>
      </c>
      <c r="F15" s="52">
        <v>40</v>
      </c>
      <c r="G15" s="33" t="s">
        <v>228</v>
      </c>
      <c r="H15" s="34" t="s">
        <v>180</v>
      </c>
      <c r="I15" s="208">
        <f>ROUNDUP(+D15*25*1.2,)</f>
        <v>494148</v>
      </c>
      <c r="J15" s="195"/>
      <c r="K15" s="35"/>
    </row>
    <row r="16" spans="1:12" ht="15.75" customHeight="1">
      <c r="A16" s="183" t="s">
        <v>179</v>
      </c>
      <c r="B16" s="184"/>
      <c r="C16" s="185"/>
      <c r="D16" s="82">
        <f>ROUNDUP(F16*'Dados Gerais'!E30,)</f>
        <v>54</v>
      </c>
      <c r="E16" s="83" t="s">
        <v>18</v>
      </c>
      <c r="F16" s="55">
        <f>ROUNDUP(0.11*1.15,2)</f>
        <v>0.13</v>
      </c>
      <c r="G16" s="56" t="s">
        <v>229</v>
      </c>
      <c r="H16" s="57" t="s">
        <v>180</v>
      </c>
      <c r="I16" s="202">
        <v>0</v>
      </c>
      <c r="J16" s="205"/>
      <c r="K16" s="35"/>
    </row>
    <row r="17" spans="1:13" ht="15.75" customHeight="1">
      <c r="A17" s="183" t="s">
        <v>71</v>
      </c>
      <c r="B17" s="184"/>
      <c r="C17" s="185"/>
      <c r="D17" s="85">
        <f>ROUNDUP(F17/100*D16,)</f>
        <v>19</v>
      </c>
      <c r="E17" s="83" t="s">
        <v>19</v>
      </c>
      <c r="F17" s="55">
        <v>35</v>
      </c>
      <c r="G17" s="56" t="s">
        <v>130</v>
      </c>
      <c r="H17" s="57" t="s">
        <v>180</v>
      </c>
      <c r="I17" s="202">
        <v>0</v>
      </c>
      <c r="J17" s="205"/>
      <c r="K17" s="35"/>
      <c r="L17" s="91"/>
      <c r="M17" s="91"/>
    </row>
    <row r="18" spans="1:13" ht="15.75" customHeight="1">
      <c r="A18" s="183" t="s">
        <v>71</v>
      </c>
      <c r="B18" s="184"/>
      <c r="C18" s="185"/>
      <c r="D18" s="82">
        <f>F18*D17</f>
        <v>760</v>
      </c>
      <c r="E18" s="83" t="s">
        <v>20</v>
      </c>
      <c r="F18" s="55">
        <v>40</v>
      </c>
      <c r="G18" s="137" t="s">
        <v>181</v>
      </c>
      <c r="H18" s="57" t="s">
        <v>180</v>
      </c>
      <c r="I18" s="202">
        <f>ROUNDUP(D18*120*1.7,)</f>
        <v>155040</v>
      </c>
      <c r="J18" s="205"/>
      <c r="K18" s="35"/>
    </row>
    <row r="19" spans="1:13" ht="15.75" customHeight="1">
      <c r="A19" s="133" t="s">
        <v>219</v>
      </c>
      <c r="B19" s="134"/>
      <c r="C19" s="135"/>
      <c r="D19" s="80">
        <f>D16-D17</f>
        <v>35</v>
      </c>
      <c r="E19" s="69" t="s">
        <v>19</v>
      </c>
      <c r="F19" s="53">
        <f>100-F17</f>
        <v>65</v>
      </c>
      <c r="G19" s="56" t="s">
        <v>130</v>
      </c>
      <c r="H19" s="57" t="s">
        <v>180</v>
      </c>
      <c r="I19" s="202">
        <v>0</v>
      </c>
      <c r="J19" s="205"/>
      <c r="K19" s="35"/>
    </row>
    <row r="20" spans="1:13" ht="15.75" customHeight="1">
      <c r="A20" s="136" t="s">
        <v>219</v>
      </c>
      <c r="B20" s="136"/>
      <c r="C20" s="136"/>
      <c r="D20" s="80">
        <f>F20*D19</f>
        <v>1400</v>
      </c>
      <c r="E20" s="69" t="s">
        <v>20</v>
      </c>
      <c r="F20" s="53">
        <v>40</v>
      </c>
      <c r="G20" s="137" t="s">
        <v>181</v>
      </c>
      <c r="H20" s="37" t="s">
        <v>180</v>
      </c>
      <c r="I20" s="202">
        <f>ROUNDUP(D20*125*1.7,)</f>
        <v>297500</v>
      </c>
      <c r="J20" s="205"/>
      <c r="K20" s="35"/>
    </row>
    <row r="21" spans="1:13" ht="15.75" customHeight="1">
      <c r="A21" s="248" t="s">
        <v>63</v>
      </c>
      <c r="B21" s="249"/>
      <c r="C21" s="250"/>
      <c r="D21" s="80">
        <f>F21*D22</f>
        <v>6195.7971951310064</v>
      </c>
      <c r="E21" s="69" t="s">
        <v>67</v>
      </c>
      <c r="F21" s="53">
        <v>10.5</v>
      </c>
      <c r="G21" s="137" t="s">
        <v>129</v>
      </c>
      <c r="H21" s="37" t="s">
        <v>180</v>
      </c>
      <c r="I21" s="202">
        <f>D21*9.5</f>
        <v>58860.073353744563</v>
      </c>
      <c r="J21" s="205"/>
      <c r="K21" s="35"/>
    </row>
    <row r="22" spans="1:13" ht="15.75" customHeight="1">
      <c r="A22" s="251" t="s">
        <v>64</v>
      </c>
      <c r="B22" s="252"/>
      <c r="C22" s="253"/>
      <c r="D22" s="80">
        <f>(PI()*(0.4^2)/4*D18+PI()*(0.6^2)/4*D20+PI()*(0.7^2)/4)*1.2</f>
        <v>590.07592334581011</v>
      </c>
      <c r="E22" s="69" t="s">
        <v>244</v>
      </c>
      <c r="F22" s="53">
        <v>630</v>
      </c>
      <c r="G22" s="137" t="s">
        <v>51</v>
      </c>
      <c r="H22" s="37" t="s">
        <v>180</v>
      </c>
      <c r="I22" s="202">
        <f>D22*F22</f>
        <v>371747.83170786034</v>
      </c>
      <c r="J22" s="205"/>
      <c r="K22" s="35"/>
    </row>
    <row r="23" spans="1:13" ht="15.75" customHeight="1">
      <c r="A23" s="200" t="s">
        <v>43</v>
      </c>
      <c r="B23" s="200"/>
      <c r="C23" s="200"/>
      <c r="D23" s="200"/>
      <c r="E23" s="200"/>
      <c r="F23" s="200"/>
      <c r="G23" s="200"/>
      <c r="H23" s="200"/>
      <c r="I23" s="201">
        <f>SUM(I15:J22)</f>
        <v>1377295.9050616049</v>
      </c>
      <c r="J23" s="201"/>
      <c r="K23" s="39"/>
    </row>
    <row r="24" spans="1:13" ht="15.9" customHeight="1">
      <c r="A24" s="181"/>
      <c r="B24" s="182"/>
      <c r="C24" s="182"/>
      <c r="D24" s="182"/>
      <c r="E24" s="182"/>
      <c r="F24" s="182"/>
      <c r="G24" s="182"/>
      <c r="H24" s="182"/>
      <c r="I24" s="41"/>
      <c r="J24" s="41"/>
      <c r="K24" s="43"/>
    </row>
    <row r="25" spans="1:13">
      <c r="A25" s="30"/>
      <c r="B25" s="30"/>
      <c r="C25" s="30"/>
      <c r="D25" s="68"/>
      <c r="E25" s="44"/>
      <c r="F25" s="44"/>
      <c r="G25" s="30"/>
      <c r="H25" s="30"/>
      <c r="I25" s="30"/>
      <c r="J25" s="116"/>
      <c r="K25" s="30"/>
    </row>
    <row r="26" spans="1:13">
      <c r="J26" s="91"/>
    </row>
    <row r="27" spans="1:13">
      <c r="K27" s="91">
        <f>I23</f>
        <v>1377295.9050616049</v>
      </c>
    </row>
  </sheetData>
  <mergeCells count="28">
    <mergeCell ref="B10:F10"/>
    <mergeCell ref="J10:K10"/>
    <mergeCell ref="I22:J22"/>
    <mergeCell ref="I21:J21"/>
    <mergeCell ref="A21:C21"/>
    <mergeCell ref="A22:C22"/>
    <mergeCell ref="A2:K4"/>
    <mergeCell ref="B7:K7"/>
    <mergeCell ref="B8:K8"/>
    <mergeCell ref="B9:H9"/>
    <mergeCell ref="J9:K9"/>
    <mergeCell ref="A14:C14"/>
    <mergeCell ref="D14:E14"/>
    <mergeCell ref="F14:G14"/>
    <mergeCell ref="I14:J14"/>
    <mergeCell ref="A15:C15"/>
    <mergeCell ref="I15:J15"/>
    <mergeCell ref="A16:C16"/>
    <mergeCell ref="I16:J16"/>
    <mergeCell ref="A17:C17"/>
    <mergeCell ref="I17:J17"/>
    <mergeCell ref="A18:C18"/>
    <mergeCell ref="I18:J18"/>
    <mergeCell ref="A23:H23"/>
    <mergeCell ref="I23:J23"/>
    <mergeCell ref="A24:H24"/>
    <mergeCell ref="I19:J19"/>
    <mergeCell ref="I20:J20"/>
  </mergeCells>
  <dataValidations disablePrompts="1" count="1">
    <dataValidation type="list" allowBlank="1" showInputMessage="1" showErrorMessage="1" sqref="J10" xr:uid="{99529A2E-749F-44C8-8436-E53FA22D182A}">
      <formula1>$M$1:$M$6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3C66"/>
  </sheetPr>
  <dimension ref="A1:M26"/>
  <sheetViews>
    <sheetView showGridLines="0" topLeftCell="A19" zoomScaleNormal="100" zoomScaleSheetLayoutView="95" workbookViewId="0">
      <selection activeCell="J26" sqref="J26"/>
    </sheetView>
  </sheetViews>
  <sheetFormatPr defaultColWidth="9.109375" defaultRowHeight="13.2"/>
  <cols>
    <col min="1" max="1" width="17.44140625" style="12" customWidth="1"/>
    <col min="2" max="2" width="9.88671875" style="12" customWidth="1"/>
    <col min="3" max="3" width="8.88671875" style="12" customWidth="1"/>
    <col min="4" max="4" width="14" style="70" customWidth="1"/>
    <col min="5" max="5" width="7.5546875" style="76" customWidth="1"/>
    <col min="6" max="6" width="10.6640625" style="19" customWidth="1"/>
    <col min="7" max="7" width="15.88671875" style="12" customWidth="1"/>
    <col min="8" max="8" width="12.88671875" style="12" customWidth="1"/>
    <col min="9" max="9" width="9.33203125" style="12" customWidth="1"/>
    <col min="10" max="10" width="13.109375" style="12" bestFit="1" customWidth="1"/>
    <col min="11" max="11" width="6.44140625" style="12" customWidth="1"/>
    <col min="12" max="16384" width="9.109375" style="12"/>
  </cols>
  <sheetData>
    <row r="1" spans="1:13">
      <c r="A1" s="1"/>
      <c r="B1" s="1"/>
      <c r="C1" s="1"/>
      <c r="D1" s="63"/>
      <c r="E1" s="72"/>
      <c r="F1" s="20"/>
      <c r="G1" s="1"/>
      <c r="H1" s="1"/>
      <c r="I1" s="1"/>
      <c r="J1" s="1"/>
      <c r="K1" s="1"/>
      <c r="M1" s="13"/>
    </row>
    <row r="2" spans="1:13">
      <c r="A2" s="151" t="s">
        <v>83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M2" s="13"/>
    </row>
    <row r="3" spans="1:13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  <c r="M3" s="13"/>
    </row>
    <row r="4" spans="1:13">
      <c r="A4" s="152"/>
      <c r="B4" s="152"/>
      <c r="C4" s="152"/>
      <c r="D4" s="152"/>
      <c r="E4" s="152"/>
      <c r="F4" s="152"/>
      <c r="G4" s="152"/>
      <c r="H4" s="152"/>
      <c r="I4" s="152"/>
      <c r="J4" s="152"/>
      <c r="K4" s="152"/>
      <c r="M4" s="13"/>
    </row>
    <row r="5" spans="1:13" ht="13.8" thickBot="1">
      <c r="A5" s="2"/>
      <c r="B5" s="2"/>
      <c r="C5" s="2"/>
      <c r="D5" s="64"/>
      <c r="E5" s="73"/>
      <c r="F5" s="21"/>
      <c r="G5" s="3"/>
      <c r="H5" s="3"/>
      <c r="I5" s="3"/>
      <c r="J5" s="3"/>
      <c r="K5" s="3"/>
      <c r="M5" s="13"/>
    </row>
    <row r="6" spans="1:13">
      <c r="A6" s="4"/>
      <c r="B6" s="4"/>
      <c r="C6" s="4"/>
      <c r="D6" s="65"/>
      <c r="E6" s="74"/>
      <c r="F6" s="22"/>
      <c r="G6" s="5"/>
      <c r="H6" s="5"/>
      <c r="I6" s="5"/>
      <c r="J6" s="5"/>
      <c r="K6" s="5"/>
      <c r="M6" s="13"/>
    </row>
    <row r="7" spans="1:13">
      <c r="A7" s="6" t="s">
        <v>0</v>
      </c>
      <c r="B7" s="153" t="s">
        <v>198</v>
      </c>
      <c r="C7" s="153"/>
      <c r="D7" s="153"/>
      <c r="E7" s="153"/>
      <c r="F7" s="153"/>
      <c r="G7" s="153"/>
      <c r="H7" s="153"/>
      <c r="I7" s="153"/>
      <c r="J7" s="153"/>
      <c r="K7" s="153"/>
      <c r="M7" s="13"/>
    </row>
    <row r="8" spans="1:13">
      <c r="A8" s="6" t="s">
        <v>1</v>
      </c>
      <c r="B8" s="154"/>
      <c r="C8" s="154"/>
      <c r="D8" s="154"/>
      <c r="E8" s="154"/>
      <c r="F8" s="154"/>
      <c r="G8" s="154"/>
      <c r="H8" s="154"/>
      <c r="I8" s="154"/>
      <c r="J8" s="154"/>
      <c r="K8" s="154"/>
      <c r="M8" s="13"/>
    </row>
    <row r="9" spans="1:13" ht="15" customHeight="1">
      <c r="A9" s="6" t="s">
        <v>2</v>
      </c>
      <c r="B9" s="155" t="s">
        <v>199</v>
      </c>
      <c r="C9" s="156"/>
      <c r="D9" s="156"/>
      <c r="E9" s="156"/>
      <c r="F9" s="156"/>
      <c r="G9" s="156"/>
      <c r="H9" s="157"/>
      <c r="I9" s="7" t="s">
        <v>6</v>
      </c>
      <c r="J9" s="154" t="s">
        <v>44</v>
      </c>
      <c r="K9" s="154"/>
    </row>
    <row r="10" spans="1:13">
      <c r="A10" s="8" t="s">
        <v>3</v>
      </c>
      <c r="B10" s="158">
        <v>44294</v>
      </c>
      <c r="C10" s="159"/>
      <c r="D10" s="159"/>
      <c r="E10" s="159"/>
      <c r="F10" s="160"/>
      <c r="G10" s="10" t="s">
        <v>4</v>
      </c>
      <c r="H10" s="9" t="s">
        <v>5</v>
      </c>
      <c r="I10" s="7" t="s">
        <v>41</v>
      </c>
      <c r="J10" s="161" t="s">
        <v>8</v>
      </c>
      <c r="K10" s="162"/>
    </row>
    <row r="12" spans="1:13">
      <c r="A12" s="23" t="s">
        <v>84</v>
      </c>
      <c r="B12" s="24"/>
      <c r="C12" s="24"/>
      <c r="D12" s="66"/>
      <c r="E12" s="45"/>
      <c r="F12" s="25"/>
      <c r="G12" s="24"/>
      <c r="H12" s="24"/>
      <c r="I12" s="24"/>
      <c r="J12" s="24"/>
      <c r="K12" s="26"/>
    </row>
    <row r="13" spans="1:13" ht="15.9" customHeight="1">
      <c r="A13" s="27"/>
      <c r="B13" s="28"/>
      <c r="C13" s="28"/>
      <c r="D13" s="67"/>
      <c r="E13" s="75"/>
      <c r="F13" s="29"/>
      <c r="G13" s="28"/>
      <c r="H13" s="28"/>
      <c r="I13" s="30"/>
      <c r="J13" s="30"/>
      <c r="K13" s="31"/>
    </row>
    <row r="14" spans="1:13" ht="15.9" customHeight="1">
      <c r="A14" s="163" t="s">
        <v>35</v>
      </c>
      <c r="B14" s="164"/>
      <c r="C14" s="164"/>
      <c r="D14" s="198" t="s">
        <v>52</v>
      </c>
      <c r="E14" s="199"/>
      <c r="F14" s="165" t="s">
        <v>24</v>
      </c>
      <c r="G14" s="167"/>
      <c r="H14" s="58" t="s">
        <v>40</v>
      </c>
      <c r="I14" s="165" t="s">
        <v>39</v>
      </c>
      <c r="J14" s="167"/>
      <c r="K14" s="31"/>
    </row>
    <row r="15" spans="1:13" ht="36.75" customHeight="1">
      <c r="A15" s="180" t="s">
        <v>86</v>
      </c>
      <c r="B15" s="180"/>
      <c r="C15" s="180"/>
      <c r="D15" s="97">
        <f>+F15*'Dados Gerais'!E24</f>
        <v>5979.8474999999999</v>
      </c>
      <c r="E15" s="61" t="s">
        <v>18</v>
      </c>
      <c r="F15" s="52">
        <v>0.75</v>
      </c>
      <c r="G15" s="110" t="s">
        <v>175</v>
      </c>
      <c r="H15" s="87" t="s">
        <v>180</v>
      </c>
      <c r="I15" s="208">
        <f>+D15*43.5</f>
        <v>260123.36624999999</v>
      </c>
      <c r="J15" s="195"/>
      <c r="K15" s="35"/>
    </row>
    <row r="16" spans="1:13" ht="36.75" customHeight="1">
      <c r="A16" s="179" t="s">
        <v>170</v>
      </c>
      <c r="B16" s="179"/>
      <c r="C16" s="179"/>
      <c r="D16" s="80">
        <f>+'Dados Gerais'!$E$22*Alvenaria!F16</f>
        <v>667.25</v>
      </c>
      <c r="E16" s="69" t="s">
        <v>18</v>
      </c>
      <c r="F16" s="53">
        <v>0.85</v>
      </c>
      <c r="G16" s="36" t="s">
        <v>176</v>
      </c>
      <c r="H16" s="84" t="s">
        <v>180</v>
      </c>
      <c r="I16" s="202">
        <f>+D16*43.5</f>
        <v>29025.375</v>
      </c>
      <c r="J16" s="205"/>
      <c r="K16" s="35"/>
    </row>
    <row r="17" spans="1:11" ht="36.75" customHeight="1">
      <c r="A17" s="179" t="s">
        <v>197</v>
      </c>
      <c r="B17" s="179"/>
      <c r="C17" s="179"/>
      <c r="D17" s="80">
        <f>+'Dados Gerais'!$E$20*'Dados Gerais'!$E$17*Alvenaria!F17</f>
        <v>17986.985999999997</v>
      </c>
      <c r="E17" s="69" t="s">
        <v>18</v>
      </c>
      <c r="F17" s="53">
        <v>1.8</v>
      </c>
      <c r="G17" s="117" t="s">
        <v>185</v>
      </c>
      <c r="H17" s="84" t="s">
        <v>180</v>
      </c>
      <c r="I17" s="202">
        <f t="shared" ref="I17:I20" si="0">+D17*43.5</f>
        <v>782433.89099999983</v>
      </c>
      <c r="J17" s="205"/>
      <c r="K17" s="35"/>
    </row>
    <row r="18" spans="1:11" ht="36.75" customHeight="1">
      <c r="A18" s="179" t="s">
        <v>206</v>
      </c>
      <c r="B18" s="179"/>
      <c r="C18" s="179"/>
      <c r="D18" s="80">
        <f>+'Dados Gerais'!$E$20*'Dados Gerais'!$E$18*Alvenaria!F18</f>
        <v>2116.116</v>
      </c>
      <c r="E18" s="69" t="s">
        <v>205</v>
      </c>
      <c r="F18" s="53">
        <v>1.8</v>
      </c>
      <c r="G18" s="117" t="s">
        <v>208</v>
      </c>
      <c r="H18" s="84" t="s">
        <v>180</v>
      </c>
      <c r="I18" s="202">
        <f t="shared" ref="I18" si="1">+D18*43.5</f>
        <v>92051.046000000002</v>
      </c>
      <c r="J18" s="205"/>
      <c r="K18" s="35"/>
    </row>
    <row r="19" spans="1:11" ht="36.75" customHeight="1">
      <c r="A19" s="179" t="s">
        <v>245</v>
      </c>
      <c r="B19" s="179"/>
      <c r="C19" s="179"/>
      <c r="D19" s="80">
        <f>+'Dados Gerais'!$E$20*'Dados Gerais'!$E$19*Alvenaria!F19</f>
        <v>2116.116</v>
      </c>
      <c r="E19" s="69" t="s">
        <v>207</v>
      </c>
      <c r="F19" s="53">
        <v>1.8</v>
      </c>
      <c r="G19" s="117" t="s">
        <v>211</v>
      </c>
      <c r="H19" s="84" t="s">
        <v>180</v>
      </c>
      <c r="I19" s="202">
        <f t="shared" ref="I19" si="2">+D19*43.5</f>
        <v>92051.046000000002</v>
      </c>
      <c r="J19" s="205"/>
      <c r="K19" s="35"/>
    </row>
    <row r="20" spans="1:11" ht="36.75" customHeight="1">
      <c r="A20" s="179" t="s">
        <v>87</v>
      </c>
      <c r="B20" s="179"/>
      <c r="C20" s="179"/>
      <c r="D20" s="80">
        <f>+'Dados Gerais'!E20*F20</f>
        <v>470.24799999999999</v>
      </c>
      <c r="E20" s="69" t="s">
        <v>18</v>
      </c>
      <c r="F20" s="53">
        <v>0.8</v>
      </c>
      <c r="G20" s="56" t="s">
        <v>85</v>
      </c>
      <c r="H20" s="84" t="s">
        <v>180</v>
      </c>
      <c r="I20" s="202">
        <f t="shared" si="0"/>
        <v>20455.788</v>
      </c>
      <c r="J20" s="205"/>
      <c r="K20" s="35"/>
    </row>
    <row r="21" spans="1:11" ht="15.9" customHeight="1">
      <c r="A21" s="216" t="s">
        <v>65</v>
      </c>
      <c r="B21" s="216"/>
      <c r="C21" s="216"/>
      <c r="D21" s="86">
        <f>+D15+D17+D16+D20</f>
        <v>25104.331499999997</v>
      </c>
      <c r="E21" s="77" t="s">
        <v>18</v>
      </c>
      <c r="F21" s="54">
        <v>40</v>
      </c>
      <c r="G21" s="40" t="s">
        <v>69</v>
      </c>
      <c r="H21" s="78" t="s">
        <v>180</v>
      </c>
      <c r="I21" s="206">
        <f>+D21*F21</f>
        <v>1004173.2599999999</v>
      </c>
      <c r="J21" s="207"/>
      <c r="K21" s="35"/>
    </row>
    <row r="22" spans="1:11" ht="15.9" customHeight="1">
      <c r="A22" s="200" t="s">
        <v>43</v>
      </c>
      <c r="B22" s="200"/>
      <c r="C22" s="200"/>
      <c r="D22" s="200"/>
      <c r="E22" s="200"/>
      <c r="F22" s="200"/>
      <c r="G22" s="200"/>
      <c r="H22" s="200"/>
      <c r="I22" s="201">
        <f>SUM(I15:J21)</f>
        <v>2280313.7722499999</v>
      </c>
      <c r="J22" s="201"/>
      <c r="K22" s="39"/>
    </row>
    <row r="23" spans="1:11" ht="15.9" customHeight="1">
      <c r="A23" s="181"/>
      <c r="B23" s="182"/>
      <c r="C23" s="182"/>
      <c r="D23" s="182"/>
      <c r="E23" s="182"/>
      <c r="F23" s="182"/>
      <c r="G23" s="182"/>
      <c r="H23" s="182"/>
      <c r="I23" s="41"/>
      <c r="J23" s="41"/>
      <c r="K23" s="43"/>
    </row>
    <row r="24" spans="1:11">
      <c r="A24" s="30"/>
      <c r="B24" s="30"/>
      <c r="C24" s="30"/>
      <c r="D24" s="68"/>
      <c r="E24" s="44"/>
      <c r="F24" s="44"/>
      <c r="G24" s="30"/>
      <c r="H24" s="30"/>
      <c r="I24" s="30"/>
      <c r="J24" s="30"/>
      <c r="K24" s="30"/>
    </row>
    <row r="26" spans="1:11">
      <c r="J26" s="91">
        <f>I22</f>
        <v>2280313.7722499999</v>
      </c>
    </row>
  </sheetData>
  <mergeCells count="28">
    <mergeCell ref="B10:F10"/>
    <mergeCell ref="J10:K10"/>
    <mergeCell ref="A2:K4"/>
    <mergeCell ref="B7:K7"/>
    <mergeCell ref="B8:K8"/>
    <mergeCell ref="J9:K9"/>
    <mergeCell ref="B9:H9"/>
    <mergeCell ref="A17:C17"/>
    <mergeCell ref="I17:J17"/>
    <mergeCell ref="A20:C20"/>
    <mergeCell ref="I20:J20"/>
    <mergeCell ref="A14:C14"/>
    <mergeCell ref="D14:E14"/>
    <mergeCell ref="F14:G14"/>
    <mergeCell ref="I14:J14"/>
    <mergeCell ref="A15:C15"/>
    <mergeCell ref="I15:J15"/>
    <mergeCell ref="A16:C16"/>
    <mergeCell ref="I16:J16"/>
    <mergeCell ref="A18:C18"/>
    <mergeCell ref="I18:J18"/>
    <mergeCell ref="A19:C19"/>
    <mergeCell ref="I19:J19"/>
    <mergeCell ref="A21:C21"/>
    <mergeCell ref="I21:J21"/>
    <mergeCell ref="A22:H22"/>
    <mergeCell ref="I22:J22"/>
    <mergeCell ref="A23:H23"/>
  </mergeCells>
  <dataValidations count="1">
    <dataValidation type="list" allowBlank="1" showInputMessage="1" showErrorMessage="1" sqref="J10" xr:uid="{00000000-0002-0000-0500-000000000000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3C66"/>
  </sheetPr>
  <dimension ref="A1:N55"/>
  <sheetViews>
    <sheetView showGridLines="0" topLeftCell="A38" zoomScaleNormal="100" zoomScaleSheetLayoutView="95" workbookViewId="0">
      <selection activeCell="E52" sqref="E52"/>
    </sheetView>
  </sheetViews>
  <sheetFormatPr defaultColWidth="9.109375" defaultRowHeight="13.2"/>
  <cols>
    <col min="1" max="1" width="17.44140625" style="12" customWidth="1"/>
    <col min="2" max="2" width="9.88671875" style="12" customWidth="1"/>
    <col min="3" max="3" width="12.5546875" style="12" customWidth="1"/>
    <col min="4" max="4" width="14" style="70" customWidth="1"/>
    <col min="5" max="5" width="7.5546875" style="76" customWidth="1"/>
    <col min="6" max="6" width="11.44140625" style="19" customWidth="1"/>
    <col min="7" max="7" width="15.88671875" style="12" customWidth="1"/>
    <col min="8" max="8" width="12.88671875" style="12" customWidth="1"/>
    <col min="9" max="9" width="9.33203125" style="12" customWidth="1"/>
    <col min="10" max="10" width="7.33203125" style="12" bestFit="1" customWidth="1"/>
    <col min="11" max="11" width="6.44140625" style="12" customWidth="1"/>
    <col min="12" max="12" width="11.33203125" style="12" bestFit="1" customWidth="1"/>
    <col min="13" max="13" width="13.109375" style="12" bestFit="1" customWidth="1"/>
    <col min="14" max="16384" width="9.109375" style="12"/>
  </cols>
  <sheetData>
    <row r="1" spans="1:13">
      <c r="A1" s="1"/>
      <c r="B1" s="1"/>
      <c r="C1" s="1"/>
      <c r="D1" s="63"/>
      <c r="E1" s="72"/>
      <c r="F1" s="20"/>
      <c r="G1" s="1"/>
      <c r="H1" s="1"/>
      <c r="I1" s="1"/>
      <c r="J1" s="1"/>
      <c r="K1" s="1"/>
      <c r="M1" s="13"/>
    </row>
    <row r="2" spans="1:13">
      <c r="A2" s="151" t="s">
        <v>88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M2" s="13"/>
    </row>
    <row r="3" spans="1:13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  <c r="M3" s="13"/>
    </row>
    <row r="4" spans="1:13">
      <c r="A4" s="152"/>
      <c r="B4" s="152"/>
      <c r="C4" s="152"/>
      <c r="D4" s="152"/>
      <c r="E4" s="152"/>
      <c r="F4" s="152"/>
      <c r="G4" s="152"/>
      <c r="H4" s="152"/>
      <c r="I4" s="152"/>
      <c r="J4" s="152"/>
      <c r="K4" s="152"/>
      <c r="M4" s="13"/>
    </row>
    <row r="5" spans="1:13" ht="13.8" thickBot="1">
      <c r="A5" s="2"/>
      <c r="B5" s="2"/>
      <c r="C5" s="2"/>
      <c r="D5" s="64"/>
      <c r="E5" s="73"/>
      <c r="F5" s="21"/>
      <c r="G5" s="3"/>
      <c r="H5" s="3"/>
      <c r="I5" s="3"/>
      <c r="J5" s="3"/>
      <c r="K5" s="3"/>
      <c r="M5" s="13"/>
    </row>
    <row r="6" spans="1:13">
      <c r="A6" s="4"/>
      <c r="B6" s="4"/>
      <c r="C6" s="4"/>
      <c r="D6" s="65"/>
      <c r="E6" s="74"/>
      <c r="F6" s="22"/>
      <c r="G6" s="5"/>
      <c r="H6" s="5"/>
      <c r="I6" s="5"/>
      <c r="J6" s="5"/>
      <c r="K6" s="5"/>
      <c r="M6" s="13"/>
    </row>
    <row r="7" spans="1:13">
      <c r="A7" s="6" t="s">
        <v>0</v>
      </c>
      <c r="B7" s="153" t="s">
        <v>198</v>
      </c>
      <c r="C7" s="153"/>
      <c r="D7" s="153"/>
      <c r="E7" s="153"/>
      <c r="F7" s="153"/>
      <c r="G7" s="153"/>
      <c r="H7" s="153"/>
      <c r="I7" s="153"/>
      <c r="J7" s="153"/>
      <c r="K7" s="153"/>
      <c r="M7" s="13"/>
    </row>
    <row r="8" spans="1:13">
      <c r="A8" s="6" t="s">
        <v>1</v>
      </c>
      <c r="B8" s="154"/>
      <c r="C8" s="154"/>
      <c r="D8" s="154"/>
      <c r="E8" s="154"/>
      <c r="F8" s="154"/>
      <c r="G8" s="154"/>
      <c r="H8" s="154"/>
      <c r="I8" s="154"/>
      <c r="J8" s="154"/>
      <c r="K8" s="154"/>
      <c r="M8" s="13"/>
    </row>
    <row r="9" spans="1:13" ht="15" customHeight="1">
      <c r="A9" s="6" t="s">
        <v>2</v>
      </c>
      <c r="B9" s="155" t="s">
        <v>199</v>
      </c>
      <c r="C9" s="156"/>
      <c r="D9" s="156"/>
      <c r="E9" s="156"/>
      <c r="F9" s="156"/>
      <c r="G9" s="156"/>
      <c r="H9" s="157"/>
      <c r="I9" s="7" t="s">
        <v>6</v>
      </c>
      <c r="J9" s="154" t="s">
        <v>44</v>
      </c>
      <c r="K9" s="154"/>
    </row>
    <row r="10" spans="1:13">
      <c r="A10" s="8" t="s">
        <v>3</v>
      </c>
      <c r="B10" s="158">
        <v>44294</v>
      </c>
      <c r="C10" s="159"/>
      <c r="D10" s="159"/>
      <c r="E10" s="159"/>
      <c r="F10" s="160"/>
      <c r="G10" s="10" t="s">
        <v>4</v>
      </c>
      <c r="H10" s="9" t="s">
        <v>5</v>
      </c>
      <c r="I10" s="7" t="s">
        <v>41</v>
      </c>
      <c r="J10" s="161" t="s">
        <v>8</v>
      </c>
      <c r="K10" s="162"/>
    </row>
    <row r="12" spans="1:13">
      <c r="A12" s="23" t="s">
        <v>89</v>
      </c>
      <c r="B12" s="24"/>
      <c r="C12" s="24"/>
      <c r="D12" s="66"/>
      <c r="E12" s="45"/>
      <c r="F12" s="25"/>
      <c r="G12" s="24"/>
      <c r="H12" s="24"/>
      <c r="I12" s="24"/>
      <c r="J12" s="24"/>
      <c r="K12" s="26"/>
    </row>
    <row r="13" spans="1:13" ht="15.9" customHeight="1">
      <c r="A13" s="27"/>
      <c r="B13" s="28"/>
      <c r="C13" s="28"/>
      <c r="D13" s="67"/>
      <c r="E13" s="75"/>
      <c r="F13" s="29"/>
      <c r="G13" s="28"/>
      <c r="H13" s="28"/>
      <c r="I13" s="30"/>
      <c r="J13" s="30"/>
      <c r="K13" s="31"/>
    </row>
    <row r="14" spans="1:13" ht="15.9" customHeight="1">
      <c r="A14" s="163" t="s">
        <v>35</v>
      </c>
      <c r="B14" s="164"/>
      <c r="C14" s="164"/>
      <c r="D14" s="198" t="s">
        <v>52</v>
      </c>
      <c r="E14" s="199"/>
      <c r="F14" s="165" t="s">
        <v>24</v>
      </c>
      <c r="G14" s="167"/>
      <c r="H14" s="58" t="s">
        <v>40</v>
      </c>
      <c r="I14" s="165" t="s">
        <v>39</v>
      </c>
      <c r="J14" s="167"/>
      <c r="K14" s="31"/>
    </row>
    <row r="15" spans="1:13" ht="15.9" customHeight="1">
      <c r="A15" s="190" t="s">
        <v>90</v>
      </c>
      <c r="B15" s="191"/>
      <c r="C15" s="192"/>
      <c r="D15" s="79">
        <v>1</v>
      </c>
      <c r="E15" s="61" t="s">
        <v>68</v>
      </c>
      <c r="F15" s="52">
        <v>2.65</v>
      </c>
      <c r="G15" s="33" t="s">
        <v>25</v>
      </c>
      <c r="H15" s="87" t="s">
        <v>180</v>
      </c>
      <c r="I15" s="208">
        <f>+F15*'Dados Gerais'!$E$15</f>
        <v>54458.560000000005</v>
      </c>
      <c r="J15" s="195"/>
      <c r="K15" s="35"/>
    </row>
    <row r="16" spans="1:13" ht="15.9" customHeight="1">
      <c r="A16" s="183" t="s">
        <v>91</v>
      </c>
      <c r="B16" s="184"/>
      <c r="C16" s="185"/>
      <c r="D16" s="82">
        <v>1</v>
      </c>
      <c r="E16" s="83" t="s">
        <v>68</v>
      </c>
      <c r="F16" s="55">
        <v>8.1999999999999993</v>
      </c>
      <c r="G16" s="56" t="s">
        <v>25</v>
      </c>
      <c r="H16" s="88" t="s">
        <v>180</v>
      </c>
      <c r="I16" s="202">
        <f>+F16*'Dados Gerais'!$E$15</f>
        <v>168513.28</v>
      </c>
      <c r="J16" s="205"/>
      <c r="K16" s="35"/>
    </row>
    <row r="17" spans="1:11" ht="15.9" customHeight="1">
      <c r="A17" s="183" t="s">
        <v>92</v>
      </c>
      <c r="B17" s="184"/>
      <c r="C17" s="185"/>
      <c r="D17" s="82">
        <v>1</v>
      </c>
      <c r="E17" s="83" t="s">
        <v>68</v>
      </c>
      <c r="F17" s="55">
        <v>5.6</v>
      </c>
      <c r="G17" s="56" t="s">
        <v>25</v>
      </c>
      <c r="H17" s="88" t="s">
        <v>180</v>
      </c>
      <c r="I17" s="202">
        <f>+F17*'Dados Gerais'!$E$15</f>
        <v>115082.24000000001</v>
      </c>
      <c r="J17" s="205"/>
      <c r="K17" s="35"/>
    </row>
    <row r="18" spans="1:11" ht="15.9" customHeight="1">
      <c r="A18" s="183" t="s">
        <v>93</v>
      </c>
      <c r="B18" s="184"/>
      <c r="C18" s="185"/>
      <c r="D18" s="82">
        <v>1</v>
      </c>
      <c r="E18" s="83" t="s">
        <v>68</v>
      </c>
      <c r="F18" s="55">
        <v>35</v>
      </c>
      <c r="G18" s="56" t="s">
        <v>25</v>
      </c>
      <c r="H18" s="88" t="s">
        <v>180</v>
      </c>
      <c r="I18" s="202">
        <f>+F18*'Dados Gerais'!$E$15</f>
        <v>719264</v>
      </c>
      <c r="J18" s="205"/>
      <c r="K18" s="35"/>
    </row>
    <row r="19" spans="1:11" ht="15.9" customHeight="1">
      <c r="A19" s="183" t="s">
        <v>94</v>
      </c>
      <c r="B19" s="184"/>
      <c r="C19" s="185"/>
      <c r="D19" s="80">
        <v>1</v>
      </c>
      <c r="E19" s="69" t="s">
        <v>68</v>
      </c>
      <c r="F19" s="53">
        <v>15</v>
      </c>
      <c r="G19" s="36" t="s">
        <v>25</v>
      </c>
      <c r="H19" s="84" t="s">
        <v>180</v>
      </c>
      <c r="I19" s="202">
        <f>+F19*'Dados Gerais'!$E$15</f>
        <v>308256</v>
      </c>
      <c r="J19" s="205"/>
      <c r="K19" s="35"/>
    </row>
    <row r="20" spans="1:11" ht="15.9" customHeight="1">
      <c r="A20" s="183" t="s">
        <v>232</v>
      </c>
      <c r="B20" s="184"/>
      <c r="C20" s="185"/>
      <c r="D20" s="80">
        <v>1</v>
      </c>
      <c r="E20" s="69" t="s">
        <v>68</v>
      </c>
      <c r="F20" s="53">
        <v>10</v>
      </c>
      <c r="G20" s="36" t="s">
        <v>25</v>
      </c>
      <c r="H20" s="84" t="s">
        <v>180</v>
      </c>
      <c r="I20" s="202">
        <f>+F20*'Dados Gerais'!$E$15</f>
        <v>205504</v>
      </c>
      <c r="J20" s="205"/>
      <c r="K20" s="35"/>
    </row>
    <row r="21" spans="1:11" ht="15.9" customHeight="1">
      <c r="A21" s="183" t="s">
        <v>95</v>
      </c>
      <c r="B21" s="184"/>
      <c r="C21" s="185"/>
      <c r="D21" s="80">
        <v>1</v>
      </c>
      <c r="E21" s="69" t="s">
        <v>68</v>
      </c>
      <c r="F21" s="53">
        <v>8</v>
      </c>
      <c r="G21" s="36" t="s">
        <v>25</v>
      </c>
      <c r="H21" s="84" t="s">
        <v>180</v>
      </c>
      <c r="I21" s="202">
        <f>+F21*'Dados Gerais'!$E$15</f>
        <v>164403.20000000001</v>
      </c>
      <c r="J21" s="205"/>
      <c r="K21" s="35"/>
    </row>
    <row r="22" spans="1:11" ht="15.9" customHeight="1">
      <c r="A22" s="217" t="s">
        <v>96</v>
      </c>
      <c r="B22" s="218"/>
      <c r="C22" s="219"/>
      <c r="D22" s="86">
        <v>1</v>
      </c>
      <c r="E22" s="77" t="s">
        <v>68</v>
      </c>
      <c r="F22" s="54">
        <v>45</v>
      </c>
      <c r="G22" s="40" t="s">
        <v>25</v>
      </c>
      <c r="H22" s="78" t="s">
        <v>180</v>
      </c>
      <c r="I22" s="206">
        <f>+F22*'Dados Gerais'!$E$15</f>
        <v>924768.00000000012</v>
      </c>
      <c r="J22" s="207"/>
      <c r="K22" s="35"/>
    </row>
    <row r="23" spans="1:11" ht="15.9" customHeight="1">
      <c r="A23" s="200" t="s">
        <v>43</v>
      </c>
      <c r="B23" s="200"/>
      <c r="C23" s="200"/>
      <c r="D23" s="200"/>
      <c r="E23" s="200"/>
      <c r="F23" s="200"/>
      <c r="G23" s="200"/>
      <c r="H23" s="200"/>
      <c r="I23" s="201">
        <f>SUM(I15:J22)</f>
        <v>2660249.2800000003</v>
      </c>
      <c r="J23" s="201"/>
      <c r="K23" s="39"/>
    </row>
    <row r="24" spans="1:11" ht="15.9" customHeight="1">
      <c r="A24" s="181"/>
      <c r="B24" s="182"/>
      <c r="C24" s="182"/>
      <c r="D24" s="182"/>
      <c r="E24" s="182"/>
      <c r="F24" s="182"/>
      <c r="G24" s="182"/>
      <c r="H24" s="182"/>
      <c r="I24" s="41"/>
      <c r="J24" s="41"/>
      <c r="K24" s="43"/>
    </row>
    <row r="25" spans="1:11">
      <c r="A25" s="23" t="s">
        <v>97</v>
      </c>
      <c r="B25" s="24"/>
      <c r="C25" s="24"/>
      <c r="D25" s="66"/>
      <c r="E25" s="45"/>
      <c r="F25" s="25"/>
      <c r="G25" s="24"/>
      <c r="H25" s="24"/>
      <c r="I25" s="24"/>
      <c r="J25" s="24"/>
      <c r="K25" s="26"/>
    </row>
    <row r="26" spans="1:11">
      <c r="A26" s="27"/>
      <c r="B26" s="28"/>
      <c r="C26" s="28"/>
      <c r="D26" s="67"/>
      <c r="E26" s="75"/>
      <c r="F26" s="29"/>
      <c r="G26" s="28"/>
      <c r="H26" s="28"/>
      <c r="I26" s="30"/>
      <c r="J26" s="30"/>
      <c r="K26" s="31"/>
    </row>
    <row r="27" spans="1:11">
      <c r="A27" s="163" t="s">
        <v>35</v>
      </c>
      <c r="B27" s="164"/>
      <c r="C27" s="164"/>
      <c r="D27" s="198" t="s">
        <v>52</v>
      </c>
      <c r="E27" s="199"/>
      <c r="F27" s="165" t="s">
        <v>24</v>
      </c>
      <c r="G27" s="167"/>
      <c r="H27" s="59" t="s">
        <v>40</v>
      </c>
      <c r="I27" s="165" t="s">
        <v>39</v>
      </c>
      <c r="J27" s="167"/>
      <c r="K27" s="31"/>
    </row>
    <row r="28" spans="1:11" ht="15.75" customHeight="1">
      <c r="A28" s="220" t="s">
        <v>98</v>
      </c>
      <c r="B28" s="221"/>
      <c r="C28" s="222"/>
      <c r="D28" s="79">
        <v>1</v>
      </c>
      <c r="E28" s="61" t="s">
        <v>68</v>
      </c>
      <c r="F28" s="52">
        <v>15</v>
      </c>
      <c r="G28" s="33" t="s">
        <v>25</v>
      </c>
      <c r="H28" s="87" t="s">
        <v>180</v>
      </c>
      <c r="I28" s="208">
        <f>+F28*'Dados Gerais'!$E$15</f>
        <v>308256</v>
      </c>
      <c r="J28" s="195"/>
      <c r="K28" s="35"/>
    </row>
    <row r="29" spans="1:11" ht="15.75" customHeight="1">
      <c r="A29" s="223" t="s">
        <v>99</v>
      </c>
      <c r="B29" s="224"/>
      <c r="C29" s="225"/>
      <c r="D29" s="82">
        <v>1</v>
      </c>
      <c r="E29" s="83" t="s">
        <v>68</v>
      </c>
      <c r="F29" s="55">
        <v>7.5</v>
      </c>
      <c r="G29" s="56" t="s">
        <v>25</v>
      </c>
      <c r="H29" s="88" t="s">
        <v>180</v>
      </c>
      <c r="I29" s="202">
        <f>+F29*'Dados Gerais'!$E$15</f>
        <v>154128</v>
      </c>
      <c r="J29" s="205"/>
      <c r="K29" s="35"/>
    </row>
    <row r="30" spans="1:11" ht="15.75" customHeight="1">
      <c r="A30" s="223" t="s">
        <v>100</v>
      </c>
      <c r="B30" s="224"/>
      <c r="C30" s="225"/>
      <c r="D30" s="82">
        <v>1</v>
      </c>
      <c r="E30" s="83" t="s">
        <v>68</v>
      </c>
      <c r="F30" s="55">
        <v>6.4</v>
      </c>
      <c r="G30" s="56" t="s">
        <v>25</v>
      </c>
      <c r="H30" s="88" t="s">
        <v>180</v>
      </c>
      <c r="I30" s="202">
        <f>+F30*'Dados Gerais'!$E$15</f>
        <v>131522.56000000003</v>
      </c>
      <c r="J30" s="205"/>
      <c r="K30" s="35"/>
    </row>
    <row r="31" spans="1:11" ht="15.75" customHeight="1">
      <c r="A31" s="223" t="s">
        <v>101</v>
      </c>
      <c r="B31" s="224"/>
      <c r="C31" s="225"/>
      <c r="D31" s="82">
        <v>1</v>
      </c>
      <c r="E31" s="83" t="s">
        <v>68</v>
      </c>
      <c r="F31" s="55">
        <v>8.15</v>
      </c>
      <c r="G31" s="56" t="s">
        <v>25</v>
      </c>
      <c r="H31" s="88" t="s">
        <v>180</v>
      </c>
      <c r="I31" s="202">
        <f>+F31*'Dados Gerais'!$E$15</f>
        <v>167485.76000000001</v>
      </c>
      <c r="J31" s="205"/>
      <c r="K31" s="35"/>
    </row>
    <row r="32" spans="1:11" ht="15.75" customHeight="1">
      <c r="A32" s="223" t="s">
        <v>102</v>
      </c>
      <c r="B32" s="224"/>
      <c r="C32" s="225"/>
      <c r="D32" s="80">
        <v>1</v>
      </c>
      <c r="E32" s="69" t="s">
        <v>68</v>
      </c>
      <c r="F32" s="53">
        <v>1.5</v>
      </c>
      <c r="G32" s="36" t="s">
        <v>25</v>
      </c>
      <c r="H32" s="84" t="s">
        <v>180</v>
      </c>
      <c r="I32" s="202">
        <f>+F32*'Dados Gerais'!$E$15</f>
        <v>30825.600000000002</v>
      </c>
      <c r="J32" s="205"/>
      <c r="K32" s="35"/>
    </row>
    <row r="33" spans="1:14" ht="15.75" customHeight="1">
      <c r="A33" s="223" t="s">
        <v>103</v>
      </c>
      <c r="B33" s="224"/>
      <c r="C33" s="225"/>
      <c r="D33" s="80">
        <v>1</v>
      </c>
      <c r="E33" s="69" t="s">
        <v>68</v>
      </c>
      <c r="F33" s="53">
        <v>25</v>
      </c>
      <c r="G33" s="36" t="s">
        <v>25</v>
      </c>
      <c r="H33" s="84" t="s">
        <v>180</v>
      </c>
      <c r="I33" s="202">
        <f>+F33*'Dados Gerais'!$E$15+7500*4*2</f>
        <v>573760</v>
      </c>
      <c r="J33" s="205"/>
      <c r="K33" s="35"/>
    </row>
    <row r="34" spans="1:14" ht="15.75" customHeight="1">
      <c r="A34" s="223" t="s">
        <v>104</v>
      </c>
      <c r="B34" s="224"/>
      <c r="C34" s="225"/>
      <c r="D34" s="86">
        <v>1</v>
      </c>
      <c r="E34" s="77" t="s">
        <v>68</v>
      </c>
      <c r="F34" s="62">
        <v>40</v>
      </c>
      <c r="G34" s="40" t="s">
        <v>25</v>
      </c>
      <c r="H34" s="78" t="s">
        <v>180</v>
      </c>
      <c r="I34" s="206">
        <f>+F34*'Dados Gerais'!$E$15</f>
        <v>822016</v>
      </c>
      <c r="J34" s="207"/>
      <c r="K34" s="35"/>
    </row>
    <row r="35" spans="1:14">
      <c r="A35" s="200" t="s">
        <v>43</v>
      </c>
      <c r="B35" s="200"/>
      <c r="C35" s="200"/>
      <c r="D35" s="200"/>
      <c r="E35" s="200"/>
      <c r="F35" s="200"/>
      <c r="G35" s="200"/>
      <c r="H35" s="200"/>
      <c r="I35" s="201">
        <f>SUM(I28:J34)</f>
        <v>2187993.92</v>
      </c>
      <c r="J35" s="201"/>
      <c r="K35" s="39"/>
    </row>
    <row r="36" spans="1:14">
      <c r="A36" s="181"/>
      <c r="B36" s="182"/>
      <c r="C36" s="182"/>
      <c r="D36" s="182"/>
      <c r="E36" s="182"/>
      <c r="F36" s="182"/>
      <c r="G36" s="182"/>
      <c r="H36" s="182"/>
      <c r="I36" s="41"/>
      <c r="J36" s="41"/>
      <c r="K36" s="43"/>
    </row>
    <row r="38" spans="1:14">
      <c r="A38" s="23" t="s">
        <v>105</v>
      </c>
      <c r="B38" s="24"/>
      <c r="C38" s="24"/>
      <c r="D38" s="66"/>
      <c r="E38" s="45"/>
      <c r="F38" s="25"/>
      <c r="G38" s="24"/>
      <c r="H38" s="24"/>
      <c r="I38" s="24"/>
      <c r="J38" s="24"/>
      <c r="K38" s="26"/>
    </row>
    <row r="39" spans="1:14">
      <c r="A39" s="27"/>
      <c r="B39" s="28"/>
      <c r="C39" s="28"/>
      <c r="D39" s="67"/>
      <c r="E39" s="75"/>
      <c r="F39" s="29"/>
      <c r="G39" s="28"/>
      <c r="H39" s="28"/>
      <c r="I39" s="30"/>
      <c r="J39" s="30"/>
      <c r="K39" s="31"/>
    </row>
    <row r="40" spans="1:14" ht="15.75" customHeight="1">
      <c r="A40" s="163" t="s">
        <v>35</v>
      </c>
      <c r="B40" s="164"/>
      <c r="C40" s="164"/>
      <c r="D40" s="198" t="s">
        <v>52</v>
      </c>
      <c r="E40" s="199"/>
      <c r="F40" s="165" t="s">
        <v>24</v>
      </c>
      <c r="G40" s="167"/>
      <c r="H40" s="59" t="s">
        <v>40</v>
      </c>
      <c r="I40" s="165" t="s">
        <v>39</v>
      </c>
      <c r="J40" s="167"/>
      <c r="K40" s="31"/>
    </row>
    <row r="41" spans="1:14" ht="15.75" customHeight="1">
      <c r="A41" s="220" t="s">
        <v>106</v>
      </c>
      <c r="B41" s="221"/>
      <c r="C41" s="222"/>
      <c r="D41" s="79">
        <v>1</v>
      </c>
      <c r="E41" s="61" t="s">
        <v>68</v>
      </c>
      <c r="F41" s="52">
        <v>18</v>
      </c>
      <c r="G41" s="33" t="s">
        <v>25</v>
      </c>
      <c r="H41" s="87" t="s">
        <v>180</v>
      </c>
      <c r="I41" s="208">
        <f>+F41*'Dados Gerais'!$E$15</f>
        <v>369907.20000000001</v>
      </c>
      <c r="J41" s="195"/>
      <c r="K41" s="35"/>
      <c r="L41" s="91"/>
      <c r="M41" s="92"/>
      <c r="N41" s="92"/>
    </row>
    <row r="42" spans="1:14" ht="15.75" customHeight="1">
      <c r="A42" s="223" t="s">
        <v>107</v>
      </c>
      <c r="B42" s="224"/>
      <c r="C42" s="225"/>
      <c r="D42" s="82">
        <v>1</v>
      </c>
      <c r="E42" s="83" t="s">
        <v>68</v>
      </c>
      <c r="F42" s="55">
        <v>9.5</v>
      </c>
      <c r="G42" s="56" t="s">
        <v>25</v>
      </c>
      <c r="H42" s="88" t="s">
        <v>180</v>
      </c>
      <c r="I42" s="202">
        <f>+F42*'Dados Gerais'!$E$15</f>
        <v>195228.80000000002</v>
      </c>
      <c r="J42" s="205"/>
      <c r="K42" s="35"/>
      <c r="L42" s="91"/>
    </row>
    <row r="43" spans="1:14" ht="15.75" customHeight="1">
      <c r="A43" s="238" t="s">
        <v>233</v>
      </c>
      <c r="B43" s="239"/>
      <c r="C43" s="240"/>
      <c r="D43" s="82">
        <v>1</v>
      </c>
      <c r="E43" s="83" t="s">
        <v>68</v>
      </c>
      <c r="F43" s="55">
        <v>6</v>
      </c>
      <c r="G43" s="56" t="s">
        <v>25</v>
      </c>
      <c r="H43" s="88" t="s">
        <v>180</v>
      </c>
      <c r="I43" s="202">
        <f>+F43*'Dados Gerais'!$E$15</f>
        <v>123302.40000000001</v>
      </c>
      <c r="J43" s="205"/>
      <c r="K43" s="35"/>
      <c r="L43" s="91"/>
    </row>
    <row r="44" spans="1:14" ht="15.75" customHeight="1">
      <c r="A44" s="238" t="s">
        <v>234</v>
      </c>
      <c r="B44" s="239"/>
      <c r="C44" s="240"/>
      <c r="D44" s="82">
        <v>1</v>
      </c>
      <c r="E44" s="83" t="s">
        <v>68</v>
      </c>
      <c r="F44" s="55">
        <v>14.5</v>
      </c>
      <c r="G44" s="56" t="s">
        <v>25</v>
      </c>
      <c r="H44" s="88" t="s">
        <v>180</v>
      </c>
      <c r="I44" s="202">
        <f>+F44*'Dados Gerais'!$E$15</f>
        <v>297980.80000000005</v>
      </c>
      <c r="J44" s="205"/>
      <c r="K44" s="35"/>
      <c r="L44" s="91"/>
    </row>
    <row r="45" spans="1:14" ht="15.75" customHeight="1">
      <c r="A45" s="200" t="s">
        <v>43</v>
      </c>
      <c r="B45" s="200"/>
      <c r="C45" s="200"/>
      <c r="D45" s="200"/>
      <c r="E45" s="200"/>
      <c r="F45" s="200"/>
      <c r="G45" s="200"/>
      <c r="H45" s="200"/>
      <c r="I45" s="201">
        <f>SUM(I41:J44)</f>
        <v>986419.20000000007</v>
      </c>
      <c r="J45" s="201"/>
      <c r="K45" s="39"/>
      <c r="L45" s="91"/>
      <c r="M45" s="91">
        <f>I45+I35+I23</f>
        <v>5834662.4000000004</v>
      </c>
    </row>
    <row r="46" spans="1:14">
      <c r="A46" s="181"/>
      <c r="B46" s="182"/>
      <c r="C46" s="182"/>
      <c r="D46" s="182"/>
      <c r="E46" s="182"/>
      <c r="F46" s="182"/>
      <c r="G46" s="182"/>
      <c r="H46" s="182"/>
      <c r="I46" s="41"/>
      <c r="J46" s="41"/>
      <c r="K46" s="43"/>
    </row>
    <row r="48" spans="1:14">
      <c r="A48" s="23" t="s">
        <v>108</v>
      </c>
      <c r="B48" s="24"/>
      <c r="C48" s="24"/>
      <c r="D48" s="66"/>
      <c r="E48" s="45"/>
      <c r="F48" s="25"/>
      <c r="G48" s="24"/>
      <c r="H48" s="24"/>
      <c r="I48" s="24"/>
      <c r="J48" s="24"/>
      <c r="K48" s="26"/>
    </row>
    <row r="49" spans="1:11">
      <c r="A49" s="27"/>
      <c r="B49" s="28"/>
      <c r="C49" s="28"/>
      <c r="D49" s="67"/>
      <c r="E49" s="75"/>
      <c r="F49" s="29"/>
      <c r="G49" s="28"/>
      <c r="H49" s="28"/>
      <c r="I49" s="30"/>
      <c r="J49" s="30"/>
      <c r="K49" s="31"/>
    </row>
    <row r="50" spans="1:11" ht="15.75" customHeight="1">
      <c r="A50" s="163" t="s">
        <v>35</v>
      </c>
      <c r="B50" s="164"/>
      <c r="C50" s="164"/>
      <c r="D50" s="198" t="s">
        <v>52</v>
      </c>
      <c r="E50" s="199"/>
      <c r="F50" s="165" t="s">
        <v>24</v>
      </c>
      <c r="G50" s="167"/>
      <c r="H50" s="59" t="s">
        <v>40</v>
      </c>
      <c r="I50" s="165" t="s">
        <v>39</v>
      </c>
      <c r="J50" s="167"/>
      <c r="K50" s="31"/>
    </row>
    <row r="51" spans="1:11" ht="30" customHeight="1">
      <c r="A51" s="220" t="s">
        <v>109</v>
      </c>
      <c r="B51" s="221"/>
      <c r="C51" s="222"/>
      <c r="D51" s="79">
        <v>1</v>
      </c>
      <c r="E51" s="61" t="s">
        <v>68</v>
      </c>
      <c r="F51" s="52">
        <v>25</v>
      </c>
      <c r="G51" s="33" t="s">
        <v>25</v>
      </c>
      <c r="H51" s="87" t="s">
        <v>180</v>
      </c>
      <c r="I51" s="208">
        <f>+F51*'Dados Gerais'!$E$15</f>
        <v>513760.00000000006</v>
      </c>
      <c r="J51" s="226"/>
      <c r="K51" s="35"/>
    </row>
    <row r="52" spans="1:11" ht="30" customHeight="1">
      <c r="A52" s="228" t="s">
        <v>213</v>
      </c>
      <c r="B52" s="229"/>
      <c r="C52" s="230"/>
      <c r="D52" s="82">
        <v>1</v>
      </c>
      <c r="E52" s="83" t="s">
        <v>68</v>
      </c>
      <c r="F52" s="55">
        <v>6500</v>
      </c>
      <c r="G52" s="56" t="s">
        <v>119</v>
      </c>
      <c r="H52" s="88" t="s">
        <v>180</v>
      </c>
      <c r="I52" s="231">
        <f>+F52*('Dados Gerais'!E29+'Dados Gerais'!E17+'Dados Gerais'!E18+'Dados Gerais'!E19)</f>
        <v>175500</v>
      </c>
      <c r="J52" s="232"/>
      <c r="K52" s="35"/>
    </row>
    <row r="53" spans="1:11" ht="15.75" customHeight="1">
      <c r="A53" s="227" t="s">
        <v>110</v>
      </c>
      <c r="B53" s="227"/>
      <c r="C53" s="227"/>
      <c r="D53" s="80">
        <v>1</v>
      </c>
      <c r="E53" s="80" t="s">
        <v>68</v>
      </c>
      <c r="F53" s="53">
        <v>3500</v>
      </c>
      <c r="G53" s="36" t="s">
        <v>25</v>
      </c>
      <c r="H53" s="94" t="s">
        <v>180</v>
      </c>
      <c r="I53" s="202">
        <f>+F53*79</f>
        <v>276500</v>
      </c>
      <c r="J53" s="205"/>
      <c r="K53" s="35"/>
    </row>
    <row r="54" spans="1:11" ht="15.75" customHeight="1">
      <c r="A54" s="200" t="s">
        <v>43</v>
      </c>
      <c r="B54" s="200"/>
      <c r="C54" s="200"/>
      <c r="D54" s="200"/>
      <c r="E54" s="200"/>
      <c r="F54" s="200"/>
      <c r="G54" s="200"/>
      <c r="H54" s="200"/>
      <c r="I54" s="201">
        <f>SUM(I51:J53)</f>
        <v>965760</v>
      </c>
      <c r="J54" s="201"/>
      <c r="K54" s="39"/>
    </row>
    <row r="55" spans="1:11">
      <c r="A55" s="181"/>
      <c r="B55" s="182"/>
      <c r="C55" s="182"/>
      <c r="D55" s="182"/>
      <c r="E55" s="182"/>
      <c r="F55" s="182"/>
      <c r="G55" s="182"/>
      <c r="H55" s="182"/>
      <c r="I55" s="41"/>
      <c r="J55" s="41"/>
      <c r="K55" s="43"/>
    </row>
  </sheetData>
  <mergeCells count="79">
    <mergeCell ref="A43:C43"/>
    <mergeCell ref="I43:J43"/>
    <mergeCell ref="A44:C44"/>
    <mergeCell ref="I44:J44"/>
    <mergeCell ref="A55:H55"/>
    <mergeCell ref="A51:C51"/>
    <mergeCell ref="I51:J51"/>
    <mergeCell ref="A53:C53"/>
    <mergeCell ref="I53:J53"/>
    <mergeCell ref="A54:H54"/>
    <mergeCell ref="I54:J54"/>
    <mergeCell ref="A52:C52"/>
    <mergeCell ref="I52:J52"/>
    <mergeCell ref="A45:H45"/>
    <mergeCell ref="I45:J45"/>
    <mergeCell ref="A46:H46"/>
    <mergeCell ref="A50:C50"/>
    <mergeCell ref="D50:E50"/>
    <mergeCell ref="F50:G50"/>
    <mergeCell ref="I50:J50"/>
    <mergeCell ref="A42:C42"/>
    <mergeCell ref="I42:J42"/>
    <mergeCell ref="A40:C40"/>
    <mergeCell ref="D40:E40"/>
    <mergeCell ref="F40:G40"/>
    <mergeCell ref="I40:J40"/>
    <mergeCell ref="A41:C41"/>
    <mergeCell ref="I41:J41"/>
    <mergeCell ref="A34:C34"/>
    <mergeCell ref="I34:J34"/>
    <mergeCell ref="A35:H35"/>
    <mergeCell ref="I35:J35"/>
    <mergeCell ref="A36:H36"/>
    <mergeCell ref="A31:C31"/>
    <mergeCell ref="I31:J31"/>
    <mergeCell ref="A32:C32"/>
    <mergeCell ref="I32:J32"/>
    <mergeCell ref="A33:C33"/>
    <mergeCell ref="I33:J33"/>
    <mergeCell ref="A28:C28"/>
    <mergeCell ref="I28:J28"/>
    <mergeCell ref="A29:C29"/>
    <mergeCell ref="I29:J29"/>
    <mergeCell ref="A30:C30"/>
    <mergeCell ref="I30:J30"/>
    <mergeCell ref="B10:F10"/>
    <mergeCell ref="J10:K10"/>
    <mergeCell ref="A27:C27"/>
    <mergeCell ref="D27:E27"/>
    <mergeCell ref="F27:G27"/>
    <mergeCell ref="I27:J27"/>
    <mergeCell ref="A14:C14"/>
    <mergeCell ref="D14:E14"/>
    <mergeCell ref="F14:G14"/>
    <mergeCell ref="I14:J14"/>
    <mergeCell ref="A15:C15"/>
    <mergeCell ref="I15:J15"/>
    <mergeCell ref="A23:H23"/>
    <mergeCell ref="I23:J23"/>
    <mergeCell ref="A24:H24"/>
    <mergeCell ref="A16:C16"/>
    <mergeCell ref="A2:K4"/>
    <mergeCell ref="B7:K7"/>
    <mergeCell ref="B8:K8"/>
    <mergeCell ref="J9:K9"/>
    <mergeCell ref="B9:H9"/>
    <mergeCell ref="A17:C17"/>
    <mergeCell ref="A18:C18"/>
    <mergeCell ref="I16:J16"/>
    <mergeCell ref="I17:J17"/>
    <mergeCell ref="I18:J18"/>
    <mergeCell ref="A19:C19"/>
    <mergeCell ref="I19:J19"/>
    <mergeCell ref="A21:C21"/>
    <mergeCell ref="I21:J21"/>
    <mergeCell ref="A22:C22"/>
    <mergeCell ref="I22:J22"/>
    <mergeCell ref="A20:C20"/>
    <mergeCell ref="I20:J20"/>
  </mergeCells>
  <dataValidations disablePrompts="1" count="1">
    <dataValidation type="list" allowBlank="1" showInputMessage="1" showErrorMessage="1" sqref="J10" xr:uid="{00000000-0002-0000-0600-000000000000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3C66"/>
  </sheetPr>
  <dimension ref="A1:K24"/>
  <sheetViews>
    <sheetView showGridLines="0" topLeftCell="A10" zoomScaleNormal="100" zoomScaleSheetLayoutView="95" workbookViewId="0">
      <selection activeCell="I23" sqref="I23:J23"/>
    </sheetView>
  </sheetViews>
  <sheetFormatPr defaultColWidth="9.109375" defaultRowHeight="13.2"/>
  <cols>
    <col min="1" max="1" width="17.44140625" style="12" customWidth="1"/>
    <col min="2" max="2" width="9.88671875" style="12" customWidth="1"/>
    <col min="3" max="3" width="8.88671875" style="12" customWidth="1"/>
    <col min="4" max="4" width="14" style="70" customWidth="1"/>
    <col min="5" max="5" width="7.5546875" style="76" customWidth="1"/>
    <col min="6" max="6" width="10.6640625" style="19" customWidth="1"/>
    <col min="7" max="7" width="15.88671875" style="12" customWidth="1"/>
    <col min="8" max="8" width="12.88671875" style="12" customWidth="1"/>
    <col min="9" max="9" width="9.33203125" style="12" customWidth="1"/>
    <col min="10" max="10" width="7.33203125" style="12" bestFit="1" customWidth="1"/>
    <col min="11" max="11" width="6.44140625" style="12" customWidth="1"/>
    <col min="12" max="16384" width="9.109375" style="12"/>
  </cols>
  <sheetData>
    <row r="1" spans="1:11">
      <c r="A1" s="1"/>
      <c r="B1" s="1"/>
      <c r="C1" s="1"/>
      <c r="D1" s="63"/>
      <c r="E1" s="72"/>
      <c r="F1" s="20"/>
      <c r="G1" s="1"/>
      <c r="H1" s="1"/>
      <c r="I1" s="1"/>
      <c r="J1" s="1"/>
      <c r="K1" s="1"/>
    </row>
    <row r="2" spans="1:11">
      <c r="A2" s="151" t="s">
        <v>118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</row>
    <row r="3" spans="1:11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</row>
    <row r="4" spans="1:11">
      <c r="A4" s="152"/>
      <c r="B4" s="152"/>
      <c r="C4" s="152"/>
      <c r="D4" s="152"/>
      <c r="E4" s="152"/>
      <c r="F4" s="152"/>
      <c r="G4" s="152"/>
      <c r="H4" s="152"/>
      <c r="I4" s="152"/>
      <c r="J4" s="152"/>
      <c r="K4" s="152"/>
    </row>
    <row r="5" spans="1:11" ht="13.8" thickBot="1">
      <c r="A5" s="2"/>
      <c r="B5" s="2"/>
      <c r="C5" s="2"/>
      <c r="D5" s="64"/>
      <c r="E5" s="73"/>
      <c r="F5" s="21"/>
      <c r="G5" s="3"/>
      <c r="H5" s="3"/>
      <c r="I5" s="3"/>
      <c r="J5" s="3"/>
      <c r="K5" s="3"/>
    </row>
    <row r="6" spans="1:11">
      <c r="A6" s="4"/>
      <c r="B6" s="4"/>
      <c r="C6" s="4"/>
      <c r="D6" s="65"/>
      <c r="E6" s="74"/>
      <c r="F6" s="22"/>
      <c r="G6" s="5"/>
      <c r="H6" s="5"/>
      <c r="I6" s="5"/>
      <c r="J6" s="5"/>
      <c r="K6" s="5"/>
    </row>
    <row r="7" spans="1:11">
      <c r="A7" s="6" t="s">
        <v>0</v>
      </c>
      <c r="B7" s="153" t="s">
        <v>198</v>
      </c>
      <c r="C7" s="153"/>
      <c r="D7" s="153"/>
      <c r="E7" s="153"/>
      <c r="F7" s="153"/>
      <c r="G7" s="153"/>
      <c r="H7" s="153"/>
      <c r="I7" s="153"/>
      <c r="J7" s="153"/>
      <c r="K7" s="153"/>
    </row>
    <row r="8" spans="1:11">
      <c r="A8" s="6" t="s">
        <v>1</v>
      </c>
      <c r="B8" s="154"/>
      <c r="C8" s="154"/>
      <c r="D8" s="154"/>
      <c r="E8" s="154"/>
      <c r="F8" s="154"/>
      <c r="G8" s="154"/>
      <c r="H8" s="154"/>
      <c r="I8" s="154"/>
      <c r="J8" s="154"/>
      <c r="K8" s="154"/>
    </row>
    <row r="9" spans="1:11" ht="15" customHeight="1">
      <c r="A9" s="6" t="s">
        <v>2</v>
      </c>
      <c r="B9" s="155" t="s">
        <v>199</v>
      </c>
      <c r="C9" s="156"/>
      <c r="D9" s="156"/>
      <c r="E9" s="156"/>
      <c r="F9" s="156"/>
      <c r="G9" s="156"/>
      <c r="H9" s="157"/>
      <c r="I9" s="7" t="s">
        <v>6</v>
      </c>
      <c r="J9" s="154" t="s">
        <v>44</v>
      </c>
      <c r="K9" s="154"/>
    </row>
    <row r="10" spans="1:11">
      <c r="A10" s="8" t="s">
        <v>3</v>
      </c>
      <c r="B10" s="158">
        <v>44294</v>
      </c>
      <c r="C10" s="159"/>
      <c r="D10" s="159"/>
      <c r="E10" s="159"/>
      <c r="F10" s="160"/>
      <c r="G10" s="10" t="s">
        <v>4</v>
      </c>
      <c r="H10" s="9" t="s">
        <v>5</v>
      </c>
      <c r="I10" s="7" t="s">
        <v>41</v>
      </c>
      <c r="J10" s="161" t="s">
        <v>8</v>
      </c>
      <c r="K10" s="162"/>
    </row>
    <row r="12" spans="1:11">
      <c r="A12" s="23" t="s">
        <v>111</v>
      </c>
      <c r="B12" s="24"/>
      <c r="C12" s="24"/>
      <c r="D12" s="66"/>
      <c r="E12" s="45"/>
      <c r="F12" s="25"/>
      <c r="G12" s="24"/>
      <c r="H12" s="24"/>
      <c r="I12" s="24"/>
      <c r="J12" s="24"/>
      <c r="K12" s="26"/>
    </row>
    <row r="13" spans="1:11" ht="15.9" customHeight="1">
      <c r="A13" s="27"/>
      <c r="B13" s="28"/>
      <c r="C13" s="28"/>
      <c r="D13" s="67"/>
      <c r="E13" s="75"/>
      <c r="F13" s="29"/>
      <c r="G13" s="28"/>
      <c r="H13" s="28"/>
      <c r="I13" s="30"/>
      <c r="J13" s="30"/>
      <c r="K13" s="31"/>
    </row>
    <row r="14" spans="1:11" ht="15.9" customHeight="1">
      <c r="A14" s="163" t="s">
        <v>35</v>
      </c>
      <c r="B14" s="164"/>
      <c r="C14" s="164"/>
      <c r="D14" s="198" t="s">
        <v>52</v>
      </c>
      <c r="E14" s="199"/>
      <c r="F14" s="165" t="s">
        <v>24</v>
      </c>
      <c r="G14" s="167"/>
      <c r="H14" s="59" t="s">
        <v>40</v>
      </c>
      <c r="I14" s="165" t="s">
        <v>39</v>
      </c>
      <c r="J14" s="167"/>
      <c r="K14" s="31"/>
    </row>
    <row r="15" spans="1:11" ht="15.9" customHeight="1">
      <c r="A15" s="190" t="s">
        <v>117</v>
      </c>
      <c r="B15" s="191"/>
      <c r="C15" s="192"/>
      <c r="D15" s="79">
        <f>+D19+D20</f>
        <v>7192.6400000000012</v>
      </c>
      <c r="E15" s="83" t="s">
        <v>18</v>
      </c>
      <c r="F15" s="52">
        <v>15.5</v>
      </c>
      <c r="G15" s="33" t="s">
        <v>69</v>
      </c>
      <c r="H15" s="87" t="s">
        <v>180</v>
      </c>
      <c r="I15" s="208">
        <f>+D15*F15</f>
        <v>111485.92000000001</v>
      </c>
      <c r="J15" s="195"/>
      <c r="K15" s="31"/>
    </row>
    <row r="16" spans="1:11" ht="15.9" customHeight="1">
      <c r="A16" s="233" t="s">
        <v>112</v>
      </c>
      <c r="B16" s="234"/>
      <c r="C16" s="235"/>
      <c r="D16" s="82">
        <v>50</v>
      </c>
      <c r="E16" s="83" t="s">
        <v>18</v>
      </c>
      <c r="F16" s="55">
        <v>45</v>
      </c>
      <c r="G16" s="56" t="s">
        <v>69</v>
      </c>
      <c r="H16" s="88" t="s">
        <v>180</v>
      </c>
      <c r="I16" s="202">
        <f>+D16*F16</f>
        <v>2250</v>
      </c>
      <c r="J16" s="205"/>
      <c r="K16" s="35"/>
    </row>
    <row r="17" spans="1:11" ht="15.9" customHeight="1">
      <c r="A17" s="183" t="s">
        <v>113</v>
      </c>
      <c r="B17" s="184"/>
      <c r="C17" s="185"/>
      <c r="D17" s="82">
        <f>0.7*Infraestrutura!D32</f>
        <v>842.86649999999997</v>
      </c>
      <c r="E17" s="83" t="s">
        <v>18</v>
      </c>
      <c r="F17" s="55">
        <v>30</v>
      </c>
      <c r="G17" s="56" t="s">
        <v>69</v>
      </c>
      <c r="H17" s="88" t="s">
        <v>180</v>
      </c>
      <c r="I17" s="202">
        <f>+D17*F17</f>
        <v>25285.994999999999</v>
      </c>
      <c r="J17" s="205"/>
      <c r="K17" s="35"/>
    </row>
    <row r="18" spans="1:11" ht="15.9" customHeight="1">
      <c r="A18" s="183" t="s">
        <v>114</v>
      </c>
      <c r="B18" s="184"/>
      <c r="C18" s="185"/>
      <c r="D18" s="82">
        <v>1</v>
      </c>
      <c r="E18" s="83" t="s">
        <v>68</v>
      </c>
      <c r="F18" s="55">
        <v>2.8</v>
      </c>
      <c r="G18" s="56" t="s">
        <v>25</v>
      </c>
      <c r="H18" s="88" t="s">
        <v>180</v>
      </c>
      <c r="I18" s="202">
        <f>+F18*'Dados Gerais'!$E$15</f>
        <v>57541.120000000003</v>
      </c>
      <c r="J18" s="205"/>
      <c r="K18" s="35"/>
    </row>
    <row r="19" spans="1:11" ht="15.9" customHeight="1">
      <c r="A19" s="183" t="s">
        <v>115</v>
      </c>
      <c r="B19" s="184"/>
      <c r="C19" s="185"/>
      <c r="D19" s="82">
        <f>+F19*'Dados Gerais'!$E$15</f>
        <v>4110.0800000000008</v>
      </c>
      <c r="E19" s="83" t="s">
        <v>18</v>
      </c>
      <c r="F19" s="55">
        <v>0.2</v>
      </c>
      <c r="G19" s="56" t="s">
        <v>183</v>
      </c>
      <c r="H19" s="88" t="s">
        <v>180</v>
      </c>
      <c r="I19" s="202">
        <f>+D19*40</f>
        <v>164403.20000000004</v>
      </c>
      <c r="J19" s="205"/>
      <c r="K19" s="35"/>
    </row>
    <row r="20" spans="1:11" ht="15.9" customHeight="1">
      <c r="A20" s="183" t="s">
        <v>120</v>
      </c>
      <c r="B20" s="184"/>
      <c r="C20" s="185"/>
      <c r="D20" s="82">
        <f>+F20*'Dados Gerais'!$E$15</f>
        <v>3082.56</v>
      </c>
      <c r="E20" s="83" t="s">
        <v>18</v>
      </c>
      <c r="F20" s="53">
        <v>0.15</v>
      </c>
      <c r="G20" s="56" t="s">
        <v>183</v>
      </c>
      <c r="H20" s="84" t="s">
        <v>180</v>
      </c>
      <c r="I20" s="202">
        <f>+D20*105</f>
        <v>323668.8</v>
      </c>
      <c r="J20" s="205"/>
      <c r="K20" s="35"/>
    </row>
    <row r="21" spans="1:11" ht="15.9" customHeight="1">
      <c r="A21" s="183" t="s">
        <v>116</v>
      </c>
      <c r="B21" s="184"/>
      <c r="C21" s="185"/>
      <c r="D21" s="82">
        <v>1</v>
      </c>
      <c r="E21" s="83" t="s">
        <v>68</v>
      </c>
      <c r="F21" s="53">
        <v>0.75</v>
      </c>
      <c r="G21" s="36" t="s">
        <v>25</v>
      </c>
      <c r="H21" s="84" t="s">
        <v>180</v>
      </c>
      <c r="I21" s="202">
        <f>+F21*'Dados Gerais'!$E$15</f>
        <v>15412.800000000001</v>
      </c>
      <c r="J21" s="205"/>
      <c r="K21" s="35"/>
    </row>
    <row r="22" spans="1:11" ht="15.9" customHeight="1">
      <c r="A22" s="217" t="s">
        <v>121</v>
      </c>
      <c r="B22" s="218"/>
      <c r="C22" s="219"/>
      <c r="D22" s="86">
        <f>+D20</f>
        <v>3082.56</v>
      </c>
      <c r="E22" s="77" t="s">
        <v>18</v>
      </c>
      <c r="F22" s="62">
        <v>60</v>
      </c>
      <c r="G22" s="40" t="s">
        <v>69</v>
      </c>
      <c r="H22" s="78" t="s">
        <v>180</v>
      </c>
      <c r="I22" s="206">
        <f>+D22*60</f>
        <v>184953.60000000001</v>
      </c>
      <c r="J22" s="207"/>
      <c r="K22" s="35"/>
    </row>
    <row r="23" spans="1:11" ht="15.9" customHeight="1">
      <c r="A23" s="200" t="s">
        <v>43</v>
      </c>
      <c r="B23" s="200"/>
      <c r="C23" s="200"/>
      <c r="D23" s="200"/>
      <c r="E23" s="200"/>
      <c r="F23" s="200"/>
      <c r="G23" s="200"/>
      <c r="H23" s="200"/>
      <c r="I23" s="201">
        <f>SUM(I15:J22)</f>
        <v>885001.43500000006</v>
      </c>
      <c r="J23" s="201"/>
      <c r="K23" s="39"/>
    </row>
    <row r="24" spans="1:11" ht="15.9" customHeight="1">
      <c r="A24" s="181"/>
      <c r="B24" s="182"/>
      <c r="C24" s="182"/>
      <c r="D24" s="182"/>
      <c r="E24" s="182"/>
      <c r="F24" s="182"/>
      <c r="G24" s="182"/>
      <c r="H24" s="182"/>
      <c r="I24" s="96"/>
      <c r="J24" s="41"/>
      <c r="K24" s="43"/>
    </row>
  </sheetData>
  <mergeCells count="30">
    <mergeCell ref="A17:C17"/>
    <mergeCell ref="I17:J17"/>
    <mergeCell ref="A18:C18"/>
    <mergeCell ref="I18:J18"/>
    <mergeCell ref="A19:C19"/>
    <mergeCell ref="I19:J19"/>
    <mergeCell ref="A24:H24"/>
    <mergeCell ref="A20:C20"/>
    <mergeCell ref="I20:J20"/>
    <mergeCell ref="A21:C21"/>
    <mergeCell ref="I21:J21"/>
    <mergeCell ref="A22:C22"/>
    <mergeCell ref="I22:J22"/>
    <mergeCell ref="A23:H23"/>
    <mergeCell ref="I23:J23"/>
    <mergeCell ref="A14:C14"/>
    <mergeCell ref="D14:E14"/>
    <mergeCell ref="F14:G14"/>
    <mergeCell ref="I14:J14"/>
    <mergeCell ref="A16:C16"/>
    <mergeCell ref="I16:J16"/>
    <mergeCell ref="A15:C15"/>
    <mergeCell ref="I15:J15"/>
    <mergeCell ref="B10:F10"/>
    <mergeCell ref="J10:K10"/>
    <mergeCell ref="A2:K4"/>
    <mergeCell ref="B7:K7"/>
    <mergeCell ref="B8:K8"/>
    <mergeCell ref="J9:K9"/>
    <mergeCell ref="B9:H9"/>
  </mergeCells>
  <dataValidations count="1">
    <dataValidation type="list" allowBlank="1" showInputMessage="1" showErrorMessage="1" sqref="J10" xr:uid="{00000000-0002-0000-0700-000000000000}">
      <formula1>#REF!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3C66"/>
  </sheetPr>
  <dimension ref="A1:M22"/>
  <sheetViews>
    <sheetView showGridLines="0" topLeftCell="A4" zoomScaleNormal="100" zoomScaleSheetLayoutView="95" workbookViewId="0">
      <selection activeCell="K22" sqref="K22"/>
    </sheetView>
  </sheetViews>
  <sheetFormatPr defaultColWidth="9.109375" defaultRowHeight="13.2"/>
  <cols>
    <col min="1" max="1" width="17.44140625" style="12" customWidth="1"/>
    <col min="2" max="2" width="9.88671875" style="12" customWidth="1"/>
    <col min="3" max="3" width="8.88671875" style="12" customWidth="1"/>
    <col min="4" max="4" width="14" style="70" customWidth="1"/>
    <col min="5" max="5" width="7.5546875" style="76" customWidth="1"/>
    <col min="6" max="6" width="10.6640625" style="19" customWidth="1"/>
    <col min="7" max="7" width="15.88671875" style="12" customWidth="1"/>
    <col min="8" max="8" width="15.109375" style="12" customWidth="1"/>
    <col min="9" max="9" width="9.33203125" style="12" customWidth="1"/>
    <col min="10" max="10" width="7.33203125" style="12" bestFit="1" customWidth="1"/>
    <col min="11" max="11" width="6.44140625" style="12" customWidth="1"/>
    <col min="12" max="12" width="11.33203125" style="12" bestFit="1" customWidth="1"/>
    <col min="13" max="16384" width="9.109375" style="12"/>
  </cols>
  <sheetData>
    <row r="1" spans="1:13">
      <c r="A1" s="1"/>
      <c r="B1" s="1"/>
      <c r="C1" s="1"/>
      <c r="D1" s="63"/>
      <c r="E1" s="72"/>
      <c r="F1" s="20"/>
      <c r="G1" s="1"/>
      <c r="H1" s="1"/>
      <c r="I1" s="1"/>
      <c r="J1" s="1"/>
      <c r="K1" s="1"/>
      <c r="M1" s="13"/>
    </row>
    <row r="2" spans="1:13">
      <c r="A2" s="151" t="s">
        <v>132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M2" s="13"/>
    </row>
    <row r="3" spans="1:13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  <c r="M3" s="13"/>
    </row>
    <row r="4" spans="1:13">
      <c r="A4" s="152"/>
      <c r="B4" s="152"/>
      <c r="C4" s="152"/>
      <c r="D4" s="152"/>
      <c r="E4" s="152"/>
      <c r="F4" s="152"/>
      <c r="G4" s="152"/>
      <c r="H4" s="152"/>
      <c r="I4" s="152"/>
      <c r="J4" s="152"/>
      <c r="K4" s="152"/>
      <c r="M4" s="13"/>
    </row>
    <row r="5" spans="1:13" ht="13.8" thickBot="1">
      <c r="A5" s="2"/>
      <c r="B5" s="2"/>
      <c r="C5" s="2"/>
      <c r="D5" s="64"/>
      <c r="E5" s="73"/>
      <c r="F5" s="21"/>
      <c r="G5" s="3"/>
      <c r="H5" s="3"/>
      <c r="I5" s="3"/>
      <c r="J5" s="3"/>
      <c r="K5" s="3"/>
      <c r="M5" s="13"/>
    </row>
    <row r="6" spans="1:13">
      <c r="A6" s="4"/>
      <c r="B6" s="4"/>
      <c r="C6" s="4"/>
      <c r="D6" s="65"/>
      <c r="E6" s="74"/>
      <c r="F6" s="22"/>
      <c r="G6" s="5"/>
      <c r="H6" s="5"/>
      <c r="I6" s="5"/>
      <c r="J6" s="5"/>
      <c r="K6" s="5"/>
      <c r="M6" s="13"/>
    </row>
    <row r="7" spans="1:13">
      <c r="A7" s="6" t="s">
        <v>0</v>
      </c>
      <c r="B7" s="153" t="s">
        <v>198</v>
      </c>
      <c r="C7" s="153"/>
      <c r="D7" s="153"/>
      <c r="E7" s="153"/>
      <c r="F7" s="153"/>
      <c r="G7" s="153"/>
      <c r="H7" s="153"/>
      <c r="I7" s="153"/>
      <c r="J7" s="153"/>
      <c r="K7" s="153"/>
      <c r="M7" s="13"/>
    </row>
    <row r="8" spans="1:13">
      <c r="A8" s="6" t="s">
        <v>1</v>
      </c>
      <c r="B8" s="154"/>
      <c r="C8" s="154"/>
      <c r="D8" s="154"/>
      <c r="E8" s="154"/>
      <c r="F8" s="154"/>
      <c r="G8" s="154"/>
      <c r="H8" s="154"/>
      <c r="I8" s="154"/>
      <c r="J8" s="154"/>
      <c r="K8" s="154"/>
      <c r="M8" s="13"/>
    </row>
    <row r="9" spans="1:13" ht="15" customHeight="1">
      <c r="A9" s="6" t="s">
        <v>2</v>
      </c>
      <c r="B9" s="155" t="s">
        <v>199</v>
      </c>
      <c r="C9" s="156"/>
      <c r="D9" s="156"/>
      <c r="E9" s="156"/>
      <c r="F9" s="156"/>
      <c r="G9" s="156"/>
      <c r="H9" s="157"/>
      <c r="I9" s="7" t="s">
        <v>6</v>
      </c>
      <c r="J9" s="154" t="s">
        <v>44</v>
      </c>
      <c r="K9" s="154"/>
    </row>
    <row r="10" spans="1:13">
      <c r="A10" s="8" t="s">
        <v>3</v>
      </c>
      <c r="B10" s="158">
        <v>44294</v>
      </c>
      <c r="C10" s="159"/>
      <c r="D10" s="159"/>
      <c r="E10" s="159"/>
      <c r="F10" s="160"/>
      <c r="G10" s="10" t="s">
        <v>4</v>
      </c>
      <c r="H10" s="9" t="s">
        <v>5</v>
      </c>
      <c r="I10" s="7" t="s">
        <v>41</v>
      </c>
      <c r="J10" s="161" t="s">
        <v>8</v>
      </c>
      <c r="K10" s="162"/>
    </row>
    <row r="12" spans="1:13">
      <c r="A12" s="23" t="s">
        <v>166</v>
      </c>
      <c r="B12" s="24"/>
      <c r="C12" s="24"/>
      <c r="D12" s="66"/>
      <c r="E12" s="45"/>
      <c r="F12" s="25"/>
      <c r="G12" s="24"/>
      <c r="H12" s="24"/>
      <c r="I12" s="24"/>
      <c r="J12" s="24"/>
      <c r="K12" s="26"/>
    </row>
    <row r="13" spans="1:13" ht="15.9" customHeight="1">
      <c r="A13" s="27"/>
      <c r="B13" s="28"/>
      <c r="C13" s="28"/>
      <c r="D13" s="67"/>
      <c r="E13" s="75"/>
      <c r="F13" s="29"/>
      <c r="G13" s="28"/>
      <c r="H13" s="28"/>
      <c r="I13" s="30"/>
      <c r="J13" s="30"/>
      <c r="K13" s="31"/>
    </row>
    <row r="14" spans="1:13" ht="15.9" customHeight="1">
      <c r="A14" s="163" t="s">
        <v>35</v>
      </c>
      <c r="B14" s="164"/>
      <c r="C14" s="164"/>
      <c r="D14" s="198" t="s">
        <v>52</v>
      </c>
      <c r="E14" s="199"/>
      <c r="F14" s="165" t="s">
        <v>24</v>
      </c>
      <c r="G14" s="167"/>
      <c r="H14" s="59" t="s">
        <v>40</v>
      </c>
      <c r="I14" s="165" t="s">
        <v>39</v>
      </c>
      <c r="J14" s="167"/>
      <c r="K14" s="31"/>
    </row>
    <row r="15" spans="1:13" ht="15.9" customHeight="1">
      <c r="A15" s="190" t="s">
        <v>125</v>
      </c>
      <c r="B15" s="191"/>
      <c r="C15" s="192"/>
      <c r="D15" s="97">
        <f>+'Dados Gerais'!$E$15*'Rev. Internos Piso e Parede'!F15</f>
        <v>16851.328000000001</v>
      </c>
      <c r="E15" s="83" t="s">
        <v>18</v>
      </c>
      <c r="F15" s="52">
        <v>0.82</v>
      </c>
      <c r="G15" s="33" t="s">
        <v>122</v>
      </c>
      <c r="H15" s="87" t="s">
        <v>180</v>
      </c>
      <c r="I15" s="208">
        <f>+D15*48*1.15</f>
        <v>930193.30559999996</v>
      </c>
      <c r="J15" s="195"/>
      <c r="K15" s="31"/>
    </row>
    <row r="16" spans="1:13" ht="27" customHeight="1">
      <c r="A16" s="233" t="s">
        <v>123</v>
      </c>
      <c r="B16" s="234"/>
      <c r="C16" s="235"/>
      <c r="D16" s="82">
        <f>+'Dados Gerais'!$E$15*'Rev. Internos Piso e Parede'!F16</f>
        <v>45210.880000000005</v>
      </c>
      <c r="E16" s="83" t="s">
        <v>18</v>
      </c>
      <c r="F16" s="55">
        <v>2.2000000000000002</v>
      </c>
      <c r="G16" s="56" t="s">
        <v>122</v>
      </c>
      <c r="H16" s="88" t="s">
        <v>180</v>
      </c>
      <c r="I16" s="202">
        <f>+D16*5.5</f>
        <v>248659.84000000003</v>
      </c>
      <c r="J16" s="205"/>
      <c r="K16" s="35"/>
    </row>
    <row r="17" spans="1:11" ht="27" customHeight="1">
      <c r="A17" s="183" t="s">
        <v>124</v>
      </c>
      <c r="B17" s="184"/>
      <c r="C17" s="185"/>
      <c r="D17" s="82">
        <f>+'Dados Gerais'!$E$15*'Rev. Internos Piso e Parede'!F17</f>
        <v>45210.880000000005</v>
      </c>
      <c r="E17" s="83" t="s">
        <v>18</v>
      </c>
      <c r="F17" s="55">
        <v>2.2000000000000002</v>
      </c>
      <c r="G17" s="56" t="s">
        <v>122</v>
      </c>
      <c r="H17" s="88" t="s">
        <v>180</v>
      </c>
      <c r="I17" s="202">
        <f>35*D17</f>
        <v>1582380.8000000003</v>
      </c>
      <c r="J17" s="205"/>
      <c r="K17" s="35"/>
    </row>
    <row r="18" spans="1:11" ht="15.9" customHeight="1">
      <c r="A18" s="183" t="s">
        <v>135</v>
      </c>
      <c r="B18" s="184"/>
      <c r="C18" s="185"/>
      <c r="D18" s="82">
        <v>1</v>
      </c>
      <c r="E18" s="83" t="s">
        <v>68</v>
      </c>
      <c r="F18" s="55">
        <v>0.75</v>
      </c>
      <c r="G18" s="56" t="s">
        <v>25</v>
      </c>
      <c r="H18" s="88" t="s">
        <v>180</v>
      </c>
      <c r="I18" s="202">
        <f>+F18*'Dados Gerais'!$E$15</f>
        <v>15412.800000000001</v>
      </c>
      <c r="J18" s="205"/>
      <c r="K18" s="35"/>
    </row>
    <row r="19" spans="1:11" ht="15.9" customHeight="1">
      <c r="A19" s="200" t="s">
        <v>43</v>
      </c>
      <c r="B19" s="200"/>
      <c r="C19" s="200"/>
      <c r="D19" s="200"/>
      <c r="E19" s="200"/>
      <c r="F19" s="200"/>
      <c r="G19" s="200"/>
      <c r="H19" s="200"/>
      <c r="I19" s="201">
        <f>SUM(I15:J18)</f>
        <v>2776646.7456</v>
      </c>
      <c r="J19" s="201"/>
      <c r="K19" s="39"/>
    </row>
    <row r="20" spans="1:11" ht="15.9" customHeight="1">
      <c r="A20" s="181"/>
      <c r="B20" s="182"/>
      <c r="C20" s="182"/>
      <c r="D20" s="182"/>
      <c r="E20" s="182"/>
      <c r="F20" s="182"/>
      <c r="G20" s="182"/>
      <c r="H20" s="182"/>
      <c r="I20" s="96"/>
      <c r="J20" s="41"/>
      <c r="K20" s="43"/>
    </row>
    <row r="22" spans="1:11">
      <c r="K22" s="91">
        <f>I19</f>
        <v>2776646.7456</v>
      </c>
    </row>
  </sheetData>
  <mergeCells count="22">
    <mergeCell ref="A20:H20"/>
    <mergeCell ref="A19:H19"/>
    <mergeCell ref="I19:J19"/>
    <mergeCell ref="A16:C16"/>
    <mergeCell ref="I16:J16"/>
    <mergeCell ref="A17:C17"/>
    <mergeCell ref="I17:J17"/>
    <mergeCell ref="B10:F10"/>
    <mergeCell ref="J10:K10"/>
    <mergeCell ref="A18:C18"/>
    <mergeCell ref="I18:J18"/>
    <mergeCell ref="A2:K4"/>
    <mergeCell ref="B7:K7"/>
    <mergeCell ref="B8:K8"/>
    <mergeCell ref="J9:K9"/>
    <mergeCell ref="A14:C14"/>
    <mergeCell ref="D14:E14"/>
    <mergeCell ref="F14:G14"/>
    <mergeCell ref="I14:J14"/>
    <mergeCell ref="A15:C15"/>
    <mergeCell ref="I15:J15"/>
    <mergeCell ref="B9:H9"/>
  </mergeCells>
  <dataValidations disablePrompts="1" count="1">
    <dataValidation type="list" allowBlank="1" showInputMessage="1" showErrorMessage="1" sqref="J10" xr:uid="{00000000-0002-0000-0800-000000000000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3C66"/>
  </sheetPr>
  <dimension ref="A1:M24"/>
  <sheetViews>
    <sheetView showGridLines="0" topLeftCell="A7" zoomScaleNormal="100" zoomScaleSheetLayoutView="95" workbookViewId="0">
      <selection activeCell="J24" sqref="J24"/>
    </sheetView>
  </sheetViews>
  <sheetFormatPr defaultColWidth="9.109375" defaultRowHeight="13.2"/>
  <cols>
    <col min="1" max="1" width="17.44140625" style="12" customWidth="1"/>
    <col min="2" max="2" width="9.88671875" style="12" customWidth="1"/>
    <col min="3" max="3" width="8.88671875" style="12" customWidth="1"/>
    <col min="4" max="4" width="14" style="70" customWidth="1"/>
    <col min="5" max="5" width="7.5546875" style="76" customWidth="1"/>
    <col min="6" max="6" width="10.6640625" style="19" customWidth="1"/>
    <col min="7" max="7" width="15.88671875" style="12" customWidth="1"/>
    <col min="8" max="8" width="12.88671875" style="12" customWidth="1"/>
    <col min="9" max="9" width="9.33203125" style="12" customWidth="1"/>
    <col min="10" max="10" width="13.109375" style="12" bestFit="1" customWidth="1"/>
    <col min="11" max="11" width="6.44140625" style="12" customWidth="1"/>
    <col min="12" max="12" width="11.33203125" style="12" bestFit="1" customWidth="1"/>
    <col min="13" max="16384" width="9.109375" style="12"/>
  </cols>
  <sheetData>
    <row r="1" spans="1:13">
      <c r="A1" s="1"/>
      <c r="B1" s="1"/>
      <c r="C1" s="1"/>
      <c r="D1" s="63"/>
      <c r="E1" s="72"/>
      <c r="F1" s="20"/>
      <c r="G1" s="1"/>
      <c r="H1" s="1"/>
      <c r="I1" s="1"/>
      <c r="J1" s="1"/>
      <c r="K1" s="1"/>
      <c r="M1" s="13"/>
    </row>
    <row r="2" spans="1:13">
      <c r="A2" s="151" t="s">
        <v>131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M2" s="13"/>
    </row>
    <row r="3" spans="1:13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  <c r="M3" s="13"/>
    </row>
    <row r="4" spans="1:13">
      <c r="A4" s="152"/>
      <c r="B4" s="152"/>
      <c r="C4" s="152"/>
      <c r="D4" s="152"/>
      <c r="E4" s="152"/>
      <c r="F4" s="152"/>
      <c r="G4" s="152"/>
      <c r="H4" s="152"/>
      <c r="I4" s="152"/>
      <c r="J4" s="152"/>
      <c r="K4" s="152"/>
      <c r="M4" s="13"/>
    </row>
    <row r="5" spans="1:13" ht="13.8" thickBot="1">
      <c r="A5" s="2"/>
      <c r="B5" s="2"/>
      <c r="C5" s="2"/>
      <c r="D5" s="64"/>
      <c r="E5" s="73"/>
      <c r="F5" s="21"/>
      <c r="G5" s="3"/>
      <c r="H5" s="3"/>
      <c r="I5" s="3"/>
      <c r="J5" s="3"/>
      <c r="K5" s="3"/>
      <c r="M5" s="13"/>
    </row>
    <row r="6" spans="1:13">
      <c r="A6" s="4"/>
      <c r="B6" s="4"/>
      <c r="C6" s="4"/>
      <c r="D6" s="65"/>
      <c r="E6" s="74"/>
      <c r="F6" s="22"/>
      <c r="G6" s="5"/>
      <c r="H6" s="5"/>
      <c r="I6" s="5"/>
      <c r="J6" s="5"/>
      <c r="K6" s="5"/>
      <c r="M6" s="13"/>
    </row>
    <row r="7" spans="1:13">
      <c r="A7" s="6" t="s">
        <v>0</v>
      </c>
      <c r="B7" s="153" t="s">
        <v>198</v>
      </c>
      <c r="C7" s="153"/>
      <c r="D7" s="153"/>
      <c r="E7" s="153"/>
      <c r="F7" s="153"/>
      <c r="G7" s="153"/>
      <c r="H7" s="153"/>
      <c r="I7" s="153"/>
      <c r="J7" s="153"/>
      <c r="K7" s="153"/>
      <c r="M7" s="13"/>
    </row>
    <row r="8" spans="1:13">
      <c r="A8" s="6" t="s">
        <v>1</v>
      </c>
      <c r="B8" s="154"/>
      <c r="C8" s="154"/>
      <c r="D8" s="154"/>
      <c r="E8" s="154"/>
      <c r="F8" s="154"/>
      <c r="G8" s="154"/>
      <c r="H8" s="154"/>
      <c r="I8" s="154"/>
      <c r="J8" s="154"/>
      <c r="K8" s="154"/>
      <c r="M8" s="13"/>
    </row>
    <row r="9" spans="1:13" ht="15" customHeight="1">
      <c r="A9" s="6" t="s">
        <v>2</v>
      </c>
      <c r="B9" s="155" t="s">
        <v>199</v>
      </c>
      <c r="C9" s="156"/>
      <c r="D9" s="156"/>
      <c r="E9" s="156"/>
      <c r="F9" s="157"/>
      <c r="G9" s="10" t="s">
        <v>10</v>
      </c>
      <c r="H9" s="51" t="s">
        <v>49</v>
      </c>
      <c r="I9" s="7" t="s">
        <v>6</v>
      </c>
      <c r="J9" s="154" t="s">
        <v>44</v>
      </c>
      <c r="K9" s="154"/>
    </row>
    <row r="10" spans="1:13">
      <c r="A10" s="8" t="s">
        <v>3</v>
      </c>
      <c r="B10" s="158">
        <v>44294</v>
      </c>
      <c r="C10" s="159"/>
      <c r="D10" s="159"/>
      <c r="E10" s="159"/>
      <c r="F10" s="160"/>
      <c r="G10" s="10" t="s">
        <v>4</v>
      </c>
      <c r="H10" s="9" t="s">
        <v>5</v>
      </c>
      <c r="I10" s="7" t="s">
        <v>41</v>
      </c>
      <c r="J10" s="161" t="s">
        <v>8</v>
      </c>
      <c r="K10" s="162"/>
    </row>
    <row r="12" spans="1:13">
      <c r="A12" s="23" t="s">
        <v>134</v>
      </c>
      <c r="B12" s="24"/>
      <c r="C12" s="24"/>
      <c r="D12" s="66"/>
      <c r="E12" s="45"/>
      <c r="F12" s="25"/>
      <c r="G12" s="24"/>
      <c r="H12" s="24"/>
      <c r="I12" s="24"/>
      <c r="J12" s="24"/>
      <c r="K12" s="26"/>
    </row>
    <row r="13" spans="1:13" ht="15.9" customHeight="1">
      <c r="A13" s="27"/>
      <c r="B13" s="28"/>
      <c r="C13" s="28"/>
      <c r="D13" s="67"/>
      <c r="E13" s="75"/>
      <c r="F13" s="29"/>
      <c r="G13" s="28"/>
      <c r="H13" s="28"/>
      <c r="I13" s="30"/>
      <c r="J13" s="30"/>
      <c r="K13" s="31"/>
    </row>
    <row r="14" spans="1:13" ht="15.9" customHeight="1">
      <c r="A14" s="163" t="s">
        <v>35</v>
      </c>
      <c r="B14" s="164"/>
      <c r="C14" s="164"/>
      <c r="D14" s="198" t="s">
        <v>52</v>
      </c>
      <c r="E14" s="199"/>
      <c r="F14" s="165" t="s">
        <v>24</v>
      </c>
      <c r="G14" s="167"/>
      <c r="H14" s="59" t="s">
        <v>40</v>
      </c>
      <c r="I14" s="165" t="s">
        <v>39</v>
      </c>
      <c r="J14" s="167"/>
      <c r="K14" s="31"/>
    </row>
    <row r="15" spans="1:13" ht="15.9" customHeight="1">
      <c r="A15" s="190" t="s">
        <v>126</v>
      </c>
      <c r="B15" s="191"/>
      <c r="C15" s="192"/>
      <c r="D15" s="97">
        <f>+'Dados Gerais'!E15*F15</f>
        <v>16440.320000000003</v>
      </c>
      <c r="E15" s="83" t="s">
        <v>18</v>
      </c>
      <c r="F15" s="52">
        <v>0.8</v>
      </c>
      <c r="G15" s="33" t="s">
        <v>122</v>
      </c>
      <c r="H15" s="87" t="s">
        <v>180</v>
      </c>
      <c r="I15" s="208">
        <f>+D15*75</f>
        <v>1233024.0000000002</v>
      </c>
      <c r="J15" s="195"/>
      <c r="K15" s="31"/>
    </row>
    <row r="16" spans="1:13" ht="15.9" customHeight="1">
      <c r="A16" s="233" t="s">
        <v>127</v>
      </c>
      <c r="B16" s="234"/>
      <c r="C16" s="235"/>
      <c r="D16" s="82">
        <f>+F16*'Dados Gerais'!$E$15</f>
        <v>14796.288</v>
      </c>
      <c r="E16" s="83" t="s">
        <v>18</v>
      </c>
      <c r="F16" s="55">
        <v>0.72</v>
      </c>
      <c r="G16" s="56" t="s">
        <v>186</v>
      </c>
      <c r="H16" s="88" t="s">
        <v>180</v>
      </c>
      <c r="I16" s="202">
        <f>+D16*23</f>
        <v>340314.62400000001</v>
      </c>
      <c r="J16" s="205"/>
      <c r="K16" s="35"/>
    </row>
    <row r="17" spans="1:11" ht="15.9" customHeight="1">
      <c r="A17" s="183" t="s">
        <v>128</v>
      </c>
      <c r="B17" s="184"/>
      <c r="C17" s="185"/>
      <c r="D17" s="82">
        <f>+F17*'Dados Gerais'!$E$15</f>
        <v>1582.6483930795848</v>
      </c>
      <c r="E17" s="83" t="s">
        <v>18</v>
      </c>
      <c r="F17" s="55">
        <f>(384.435/5491)*1.1</f>
        <v>7.7013021307594243E-2</v>
      </c>
      <c r="G17" s="56" t="s">
        <v>186</v>
      </c>
      <c r="H17" s="88" t="s">
        <v>180</v>
      </c>
      <c r="I17" s="202">
        <f>D17*45</f>
        <v>71219.177688581316</v>
      </c>
      <c r="J17" s="205"/>
      <c r="K17" s="35"/>
    </row>
    <row r="18" spans="1:11" ht="15.9" customHeight="1">
      <c r="A18" s="183" t="s">
        <v>135</v>
      </c>
      <c r="B18" s="184"/>
      <c r="C18" s="185"/>
      <c r="D18" s="82">
        <v>1</v>
      </c>
      <c r="E18" s="83" t="s">
        <v>68</v>
      </c>
      <c r="F18" s="55">
        <v>4.5</v>
      </c>
      <c r="G18" s="56" t="s">
        <v>25</v>
      </c>
      <c r="H18" s="88" t="s">
        <v>180</v>
      </c>
      <c r="I18" s="202">
        <f>+F18*'Dados Gerais'!$E$15</f>
        <v>92476.800000000003</v>
      </c>
      <c r="J18" s="205"/>
      <c r="K18" s="35"/>
    </row>
    <row r="19" spans="1:11" ht="15.9" customHeight="1">
      <c r="A19" s="200" t="s">
        <v>43</v>
      </c>
      <c r="B19" s="200"/>
      <c r="C19" s="200"/>
      <c r="D19" s="200"/>
      <c r="E19" s="200"/>
      <c r="F19" s="200"/>
      <c r="G19" s="200"/>
      <c r="H19" s="200"/>
      <c r="I19" s="201">
        <f>SUM(I15:J18)</f>
        <v>1737034.6016885818</v>
      </c>
      <c r="J19" s="201"/>
      <c r="K19" s="39"/>
    </row>
    <row r="20" spans="1:11" ht="15.9" customHeight="1">
      <c r="A20" s="181"/>
      <c r="B20" s="182"/>
      <c r="C20" s="182"/>
      <c r="D20" s="182"/>
      <c r="E20" s="182"/>
      <c r="F20" s="182"/>
      <c r="G20" s="182"/>
      <c r="H20" s="182"/>
      <c r="I20" s="96"/>
      <c r="J20" s="41"/>
      <c r="K20" s="43"/>
    </row>
    <row r="21" spans="1:11">
      <c r="J21" s="91"/>
    </row>
    <row r="24" spans="1:11">
      <c r="J24" s="91">
        <f>I19</f>
        <v>1737034.6016885818</v>
      </c>
    </row>
  </sheetData>
  <mergeCells count="22">
    <mergeCell ref="A20:H20"/>
    <mergeCell ref="A16:C16"/>
    <mergeCell ref="I16:J16"/>
    <mergeCell ref="A17:C17"/>
    <mergeCell ref="I17:J17"/>
    <mergeCell ref="A19:H19"/>
    <mergeCell ref="I19:J19"/>
    <mergeCell ref="A18:C18"/>
    <mergeCell ref="I18:J18"/>
    <mergeCell ref="A14:C14"/>
    <mergeCell ref="D14:E14"/>
    <mergeCell ref="F14:G14"/>
    <mergeCell ref="I14:J14"/>
    <mergeCell ref="A15:C15"/>
    <mergeCell ref="I15:J15"/>
    <mergeCell ref="B10:F10"/>
    <mergeCell ref="J10:K10"/>
    <mergeCell ref="A2:K4"/>
    <mergeCell ref="B7:K7"/>
    <mergeCell ref="B8:K8"/>
    <mergeCell ref="B9:F9"/>
    <mergeCell ref="J9:K9"/>
  </mergeCells>
  <dataValidations count="1">
    <dataValidation type="list" allowBlank="1" showInputMessage="1" showErrorMessage="1" sqref="J10" xr:uid="{00000000-0002-0000-0900-000000000000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3C66"/>
  </sheetPr>
  <dimension ref="A1:M22"/>
  <sheetViews>
    <sheetView showGridLines="0" topLeftCell="A4" zoomScaleNormal="100" zoomScaleSheetLayoutView="95" workbookViewId="0">
      <selection activeCell="J22" sqref="J22"/>
    </sheetView>
  </sheetViews>
  <sheetFormatPr defaultColWidth="9.109375" defaultRowHeight="13.2"/>
  <cols>
    <col min="1" max="1" width="17.44140625" style="12" customWidth="1"/>
    <col min="2" max="2" width="9.88671875" style="12" customWidth="1"/>
    <col min="3" max="3" width="8.88671875" style="12" customWidth="1"/>
    <col min="4" max="4" width="14" style="70" customWidth="1"/>
    <col min="5" max="5" width="7.5546875" style="76" customWidth="1"/>
    <col min="6" max="6" width="10.6640625" style="19" customWidth="1"/>
    <col min="7" max="7" width="15.88671875" style="12" customWidth="1"/>
    <col min="8" max="8" width="12.88671875" style="12" customWidth="1"/>
    <col min="9" max="9" width="9.33203125" style="12" customWidth="1"/>
    <col min="10" max="10" width="13.109375" style="12" bestFit="1" customWidth="1"/>
    <col min="11" max="11" width="6.44140625" style="12" customWidth="1"/>
    <col min="12" max="12" width="13.109375" style="12" bestFit="1" customWidth="1"/>
    <col min="13" max="16384" width="9.109375" style="12"/>
  </cols>
  <sheetData>
    <row r="1" spans="1:13">
      <c r="A1" s="1"/>
      <c r="B1" s="1"/>
      <c r="C1" s="1"/>
      <c r="D1" s="63"/>
      <c r="E1" s="72"/>
      <c r="F1" s="20"/>
      <c r="G1" s="1"/>
      <c r="H1" s="1"/>
      <c r="I1" s="1"/>
      <c r="J1" s="1"/>
      <c r="K1" s="1"/>
      <c r="M1" s="13"/>
    </row>
    <row r="2" spans="1:13">
      <c r="A2" s="151" t="s">
        <v>133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M2" s="13"/>
    </row>
    <row r="3" spans="1:13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  <c r="M3" s="13"/>
    </row>
    <row r="4" spans="1:13">
      <c r="A4" s="152"/>
      <c r="B4" s="152"/>
      <c r="C4" s="152"/>
      <c r="D4" s="152"/>
      <c r="E4" s="152"/>
      <c r="F4" s="152"/>
      <c r="G4" s="152"/>
      <c r="H4" s="152"/>
      <c r="I4" s="152"/>
      <c r="J4" s="152"/>
      <c r="K4" s="152"/>
      <c r="M4" s="13"/>
    </row>
    <row r="5" spans="1:13" ht="13.8" thickBot="1">
      <c r="A5" s="2"/>
      <c r="B5" s="2"/>
      <c r="C5" s="2"/>
      <c r="D5" s="64"/>
      <c r="E5" s="73"/>
      <c r="F5" s="21"/>
      <c r="G5" s="3"/>
      <c r="H5" s="3"/>
      <c r="I5" s="3"/>
      <c r="J5" s="3"/>
      <c r="K5" s="3"/>
      <c r="M5" s="13"/>
    </row>
    <row r="6" spans="1:13">
      <c r="A6" s="4"/>
      <c r="B6" s="4"/>
      <c r="C6" s="4"/>
      <c r="D6" s="65"/>
      <c r="E6" s="74"/>
      <c r="F6" s="22"/>
      <c r="G6" s="5"/>
      <c r="H6" s="5"/>
      <c r="I6" s="5"/>
      <c r="J6" s="5"/>
      <c r="K6" s="5"/>
      <c r="M6" s="13"/>
    </row>
    <row r="7" spans="1:13">
      <c r="A7" s="6" t="s">
        <v>0</v>
      </c>
      <c r="B7" s="153" t="s">
        <v>198</v>
      </c>
      <c r="C7" s="153"/>
      <c r="D7" s="153"/>
      <c r="E7" s="153"/>
      <c r="F7" s="153"/>
      <c r="G7" s="153"/>
      <c r="H7" s="153"/>
      <c r="I7" s="153"/>
      <c r="J7" s="153"/>
      <c r="K7" s="153"/>
      <c r="M7" s="13"/>
    </row>
    <row r="8" spans="1:13">
      <c r="A8" s="6" t="s">
        <v>1</v>
      </c>
      <c r="B8" s="154"/>
      <c r="C8" s="154"/>
      <c r="D8" s="154"/>
      <c r="E8" s="154"/>
      <c r="F8" s="154"/>
      <c r="G8" s="154"/>
      <c r="H8" s="154"/>
      <c r="I8" s="154"/>
      <c r="J8" s="154"/>
      <c r="K8" s="154"/>
      <c r="M8" s="13"/>
    </row>
    <row r="9" spans="1:13" ht="15" customHeight="1">
      <c r="A9" s="6" t="s">
        <v>2</v>
      </c>
      <c r="B9" s="155" t="s">
        <v>199</v>
      </c>
      <c r="C9" s="156"/>
      <c r="D9" s="156"/>
      <c r="E9" s="156"/>
      <c r="F9" s="157"/>
      <c r="G9" s="10" t="s">
        <v>10</v>
      </c>
      <c r="H9" s="51" t="s">
        <v>49</v>
      </c>
      <c r="I9" s="7" t="s">
        <v>6</v>
      </c>
      <c r="J9" s="154" t="s">
        <v>44</v>
      </c>
      <c r="K9" s="154"/>
    </row>
    <row r="10" spans="1:13">
      <c r="A10" s="8" t="s">
        <v>3</v>
      </c>
      <c r="B10" s="158">
        <v>44294</v>
      </c>
      <c r="C10" s="159"/>
      <c r="D10" s="159"/>
      <c r="E10" s="159"/>
      <c r="F10" s="160"/>
      <c r="G10" s="10" t="s">
        <v>4</v>
      </c>
      <c r="H10" s="9" t="s">
        <v>5</v>
      </c>
      <c r="I10" s="7" t="s">
        <v>41</v>
      </c>
      <c r="J10" s="161" t="s">
        <v>8</v>
      </c>
      <c r="K10" s="162"/>
    </row>
    <row r="12" spans="1:13">
      <c r="A12" s="23" t="s">
        <v>136</v>
      </c>
      <c r="B12" s="24"/>
      <c r="C12" s="24"/>
      <c r="D12" s="66"/>
      <c r="E12" s="45"/>
      <c r="F12" s="25"/>
      <c r="G12" s="24"/>
      <c r="H12" s="24"/>
      <c r="I12" s="24"/>
      <c r="J12" s="24"/>
      <c r="K12" s="26"/>
    </row>
    <row r="13" spans="1:13" ht="15.9" customHeight="1">
      <c r="A13" s="27"/>
      <c r="B13" s="28"/>
      <c r="C13" s="28"/>
      <c r="D13" s="67"/>
      <c r="E13" s="75"/>
      <c r="F13" s="29"/>
      <c r="G13" s="28"/>
      <c r="H13" s="28"/>
      <c r="I13" s="30"/>
      <c r="J13" s="30"/>
      <c r="K13" s="31"/>
    </row>
    <row r="14" spans="1:13" ht="15.9" customHeight="1">
      <c r="A14" s="163" t="s">
        <v>35</v>
      </c>
      <c r="B14" s="164"/>
      <c r="C14" s="164"/>
      <c r="D14" s="198" t="s">
        <v>52</v>
      </c>
      <c r="E14" s="199"/>
      <c r="F14" s="165" t="s">
        <v>24</v>
      </c>
      <c r="G14" s="167"/>
      <c r="H14" s="89" t="s">
        <v>40</v>
      </c>
      <c r="I14" s="165" t="s">
        <v>39</v>
      </c>
      <c r="J14" s="167"/>
      <c r="K14" s="31"/>
    </row>
    <row r="15" spans="1:13" ht="15.9" customHeight="1">
      <c r="A15" s="190" t="s">
        <v>137</v>
      </c>
      <c r="B15" s="191"/>
      <c r="C15" s="192"/>
      <c r="D15" s="97">
        <v>1</v>
      </c>
      <c r="E15" s="83" t="s">
        <v>68</v>
      </c>
      <c r="F15" s="52">
        <v>110</v>
      </c>
      <c r="G15" s="33" t="s">
        <v>25</v>
      </c>
      <c r="H15" s="87" t="s">
        <v>180</v>
      </c>
      <c r="I15" s="208">
        <f>+F15*'Dados Gerais'!$E$15</f>
        <v>2260544</v>
      </c>
      <c r="J15" s="195"/>
      <c r="K15" s="31"/>
      <c r="L15" s="91"/>
    </row>
    <row r="16" spans="1:13" ht="15.9" customHeight="1">
      <c r="A16" s="183" t="s">
        <v>241</v>
      </c>
      <c r="B16" s="184"/>
      <c r="C16" s="185"/>
      <c r="D16" s="85">
        <v>3476.97</v>
      </c>
      <c r="E16" s="83" t="s">
        <v>236</v>
      </c>
      <c r="F16" s="55">
        <v>140</v>
      </c>
      <c r="G16" s="56" t="s">
        <v>69</v>
      </c>
      <c r="H16" s="88" t="s">
        <v>180</v>
      </c>
      <c r="I16" s="202">
        <f>+F16*D16</f>
        <v>486775.8</v>
      </c>
      <c r="J16" s="205"/>
      <c r="K16" s="31"/>
    </row>
    <row r="17" spans="1:11" ht="15.9" customHeight="1">
      <c r="A17" s="183" t="s">
        <v>147</v>
      </c>
      <c r="B17" s="184"/>
      <c r="C17" s="185"/>
      <c r="D17" s="85">
        <v>1</v>
      </c>
      <c r="E17" s="83" t="s">
        <v>68</v>
      </c>
      <c r="F17" s="55">
        <v>30</v>
      </c>
      <c r="G17" s="56" t="s">
        <v>25</v>
      </c>
      <c r="H17" s="88" t="s">
        <v>180</v>
      </c>
      <c r="I17" s="202">
        <f>+F17*'Dados Gerais'!$E$15</f>
        <v>616512</v>
      </c>
      <c r="J17" s="205"/>
      <c r="K17" s="31"/>
    </row>
    <row r="18" spans="1:11" ht="15.9" customHeight="1">
      <c r="A18" s="233" t="s">
        <v>138</v>
      </c>
      <c r="B18" s="234"/>
      <c r="C18" s="235"/>
      <c r="D18" s="82">
        <v>1</v>
      </c>
      <c r="E18" s="83" t="s">
        <v>68</v>
      </c>
      <c r="F18" s="55">
        <v>40</v>
      </c>
      <c r="G18" s="56" t="s">
        <v>25</v>
      </c>
      <c r="H18" s="88" t="s">
        <v>180</v>
      </c>
      <c r="I18" s="202">
        <f>+F18*'Dados Gerais'!$E$15</f>
        <v>822016</v>
      </c>
      <c r="J18" s="205"/>
      <c r="K18" s="35"/>
    </row>
    <row r="19" spans="1:11" ht="15.9" customHeight="1">
      <c r="A19" s="200" t="s">
        <v>43</v>
      </c>
      <c r="B19" s="200"/>
      <c r="C19" s="200"/>
      <c r="D19" s="200"/>
      <c r="E19" s="200"/>
      <c r="F19" s="200"/>
      <c r="G19" s="200"/>
      <c r="H19" s="200"/>
      <c r="I19" s="201">
        <f>SUM(I15:J18)</f>
        <v>4185847.8</v>
      </c>
      <c r="J19" s="201"/>
      <c r="K19" s="39"/>
    </row>
    <row r="20" spans="1:11" ht="15.9" customHeight="1">
      <c r="A20" s="181"/>
      <c r="B20" s="182"/>
      <c r="C20" s="182"/>
      <c r="D20" s="182"/>
      <c r="E20" s="182"/>
      <c r="F20" s="182"/>
      <c r="G20" s="182"/>
      <c r="H20" s="182"/>
      <c r="I20" s="96"/>
      <c r="J20" s="41"/>
      <c r="K20" s="43"/>
    </row>
    <row r="22" spans="1:11">
      <c r="J22" s="91">
        <f>I19</f>
        <v>4185847.8</v>
      </c>
    </row>
  </sheetData>
  <mergeCells count="22">
    <mergeCell ref="A16:C16"/>
    <mergeCell ref="I16:J16"/>
    <mergeCell ref="B10:F10"/>
    <mergeCell ref="J10:K10"/>
    <mergeCell ref="A2:K4"/>
    <mergeCell ref="B7:K7"/>
    <mergeCell ref="B8:K8"/>
    <mergeCell ref="B9:F9"/>
    <mergeCell ref="J9:K9"/>
    <mergeCell ref="A14:C14"/>
    <mergeCell ref="D14:E14"/>
    <mergeCell ref="F14:G14"/>
    <mergeCell ref="I14:J14"/>
    <mergeCell ref="A15:C15"/>
    <mergeCell ref="I15:J15"/>
    <mergeCell ref="A20:H20"/>
    <mergeCell ref="A17:C17"/>
    <mergeCell ref="I17:J17"/>
    <mergeCell ref="A18:C18"/>
    <mergeCell ref="I18:J18"/>
    <mergeCell ref="A19:H19"/>
    <mergeCell ref="I19:J19"/>
  </mergeCells>
  <dataValidations count="1">
    <dataValidation type="list" allowBlank="1" showInputMessage="1" showErrorMessage="1" sqref="J10" xr:uid="{00000000-0002-0000-0A00-000000000000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3C66"/>
  </sheetPr>
  <dimension ref="A1:M19"/>
  <sheetViews>
    <sheetView showGridLines="0" zoomScaleNormal="100" zoomScaleSheetLayoutView="95" workbookViewId="0">
      <selection activeCell="J19" sqref="J19"/>
    </sheetView>
  </sheetViews>
  <sheetFormatPr defaultColWidth="9.109375" defaultRowHeight="13.2"/>
  <cols>
    <col min="1" max="1" width="17.44140625" style="12" customWidth="1"/>
    <col min="2" max="2" width="9.88671875" style="12" customWidth="1"/>
    <col min="3" max="3" width="8.88671875" style="12" customWidth="1"/>
    <col min="4" max="4" width="14" style="70" customWidth="1"/>
    <col min="5" max="5" width="7.5546875" style="76" customWidth="1"/>
    <col min="6" max="6" width="10.6640625" style="19" customWidth="1"/>
    <col min="7" max="7" width="15.88671875" style="12" customWidth="1"/>
    <col min="8" max="8" width="12.88671875" style="12" customWidth="1"/>
    <col min="9" max="9" width="9.33203125" style="12" customWidth="1"/>
    <col min="10" max="10" width="13.109375" style="12" bestFit="1" customWidth="1"/>
    <col min="11" max="11" width="6.44140625" style="12" customWidth="1"/>
    <col min="12" max="12" width="11.33203125" style="12" bestFit="1" customWidth="1"/>
    <col min="13" max="16384" width="9.109375" style="12"/>
  </cols>
  <sheetData>
    <row r="1" spans="1:13">
      <c r="A1" s="1"/>
      <c r="B1" s="1"/>
      <c r="C1" s="1"/>
      <c r="D1" s="63"/>
      <c r="E1" s="72"/>
      <c r="F1" s="20"/>
      <c r="G1" s="1"/>
      <c r="H1" s="1"/>
      <c r="I1" s="1"/>
      <c r="J1" s="1"/>
      <c r="K1" s="1"/>
      <c r="M1" s="13"/>
    </row>
    <row r="2" spans="1:13">
      <c r="A2" s="151" t="s">
        <v>139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M2" s="13"/>
    </row>
    <row r="3" spans="1:13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  <c r="M3" s="13"/>
    </row>
    <row r="4" spans="1:13">
      <c r="A4" s="152"/>
      <c r="B4" s="152"/>
      <c r="C4" s="152"/>
      <c r="D4" s="152"/>
      <c r="E4" s="152"/>
      <c r="F4" s="152"/>
      <c r="G4" s="152"/>
      <c r="H4" s="152"/>
      <c r="I4" s="152"/>
      <c r="J4" s="152"/>
      <c r="K4" s="152"/>
      <c r="M4" s="13"/>
    </row>
    <row r="5" spans="1:13" ht="13.8" thickBot="1">
      <c r="A5" s="2"/>
      <c r="B5" s="2"/>
      <c r="C5" s="2"/>
      <c r="D5" s="64"/>
      <c r="E5" s="73"/>
      <c r="F5" s="21"/>
      <c r="G5" s="3"/>
      <c r="H5" s="3"/>
      <c r="I5" s="3"/>
      <c r="J5" s="3"/>
      <c r="K5" s="3"/>
      <c r="M5" s="13"/>
    </row>
    <row r="6" spans="1:13">
      <c r="A6" s="4"/>
      <c r="B6" s="4"/>
      <c r="C6" s="4"/>
      <c r="D6" s="65"/>
      <c r="E6" s="74"/>
      <c r="F6" s="22"/>
      <c r="G6" s="5"/>
      <c r="H6" s="5"/>
      <c r="I6" s="5"/>
      <c r="J6" s="5"/>
      <c r="K6" s="5"/>
      <c r="M6" s="13"/>
    </row>
    <row r="7" spans="1:13">
      <c r="A7" s="6" t="s">
        <v>0</v>
      </c>
      <c r="B7" s="153" t="s">
        <v>198</v>
      </c>
      <c r="C7" s="153"/>
      <c r="D7" s="153"/>
      <c r="E7" s="153"/>
      <c r="F7" s="153"/>
      <c r="G7" s="153"/>
      <c r="H7" s="153"/>
      <c r="I7" s="153"/>
      <c r="J7" s="153"/>
      <c r="K7" s="153"/>
      <c r="M7" s="13"/>
    </row>
    <row r="8" spans="1:13">
      <c r="A8" s="6" t="s">
        <v>1</v>
      </c>
      <c r="B8" s="154"/>
      <c r="C8" s="154"/>
      <c r="D8" s="154"/>
      <c r="E8" s="154"/>
      <c r="F8" s="154"/>
      <c r="G8" s="154"/>
      <c r="H8" s="154"/>
      <c r="I8" s="154"/>
      <c r="J8" s="154"/>
      <c r="K8" s="154"/>
      <c r="M8" s="13"/>
    </row>
    <row r="9" spans="1:13" ht="15" customHeight="1">
      <c r="A9" s="6" t="s">
        <v>2</v>
      </c>
      <c r="B9" s="155" t="s">
        <v>199</v>
      </c>
      <c r="C9" s="156"/>
      <c r="D9" s="156"/>
      <c r="E9" s="156"/>
      <c r="F9" s="157"/>
      <c r="G9" s="10" t="s">
        <v>10</v>
      </c>
      <c r="H9" s="51" t="s">
        <v>49</v>
      </c>
      <c r="I9" s="7" t="s">
        <v>6</v>
      </c>
      <c r="J9" s="154" t="s">
        <v>44</v>
      </c>
      <c r="K9" s="154"/>
    </row>
    <row r="10" spans="1:13">
      <c r="A10" s="8" t="s">
        <v>3</v>
      </c>
      <c r="B10" s="158">
        <v>44294</v>
      </c>
      <c r="C10" s="159"/>
      <c r="D10" s="159"/>
      <c r="E10" s="159"/>
      <c r="F10" s="160"/>
      <c r="G10" s="10" t="s">
        <v>4</v>
      </c>
      <c r="H10" s="9" t="s">
        <v>5</v>
      </c>
      <c r="I10" s="7" t="s">
        <v>41</v>
      </c>
      <c r="J10" s="161" t="s">
        <v>8</v>
      </c>
      <c r="K10" s="162"/>
    </row>
    <row r="12" spans="1:13">
      <c r="A12" s="23" t="s">
        <v>140</v>
      </c>
      <c r="B12" s="24"/>
      <c r="C12" s="24"/>
      <c r="D12" s="66"/>
      <c r="E12" s="45"/>
      <c r="F12" s="25"/>
      <c r="G12" s="24"/>
      <c r="H12" s="24"/>
      <c r="I12" s="24"/>
      <c r="J12" s="24"/>
      <c r="K12" s="26"/>
    </row>
    <row r="13" spans="1:13" ht="15.9" customHeight="1">
      <c r="A13" s="27"/>
      <c r="B13" s="28"/>
      <c r="C13" s="28"/>
      <c r="D13" s="67"/>
      <c r="E13" s="75"/>
      <c r="F13" s="29"/>
      <c r="G13" s="28"/>
      <c r="H13" s="28"/>
      <c r="I13" s="30"/>
      <c r="J13" s="30"/>
      <c r="K13" s="31"/>
    </row>
    <row r="14" spans="1:13" ht="15.9" customHeight="1">
      <c r="A14" s="163" t="s">
        <v>35</v>
      </c>
      <c r="B14" s="164"/>
      <c r="C14" s="164"/>
      <c r="D14" s="198" t="s">
        <v>52</v>
      </c>
      <c r="E14" s="199"/>
      <c r="F14" s="165" t="s">
        <v>24</v>
      </c>
      <c r="G14" s="167"/>
      <c r="H14" s="89" t="s">
        <v>40</v>
      </c>
      <c r="I14" s="165" t="s">
        <v>39</v>
      </c>
      <c r="J14" s="167"/>
      <c r="K14" s="31"/>
    </row>
    <row r="15" spans="1:13" ht="15.9" customHeight="1">
      <c r="A15" s="190" t="s">
        <v>141</v>
      </c>
      <c r="B15" s="191"/>
      <c r="C15" s="192"/>
      <c r="D15" s="97">
        <v>1</v>
      </c>
      <c r="E15" s="83" t="s">
        <v>68</v>
      </c>
      <c r="F15" s="52">
        <v>95</v>
      </c>
      <c r="G15" s="33" t="s">
        <v>25</v>
      </c>
      <c r="H15" s="87" t="s">
        <v>180</v>
      </c>
      <c r="I15" s="208">
        <f>+F15*'Dados Gerais'!$E$15</f>
        <v>1952288.0000000002</v>
      </c>
      <c r="J15" s="195"/>
      <c r="K15" s="31"/>
    </row>
    <row r="16" spans="1:13" ht="15.9" customHeight="1">
      <c r="A16" s="200" t="s">
        <v>43</v>
      </c>
      <c r="B16" s="200"/>
      <c r="C16" s="200"/>
      <c r="D16" s="200"/>
      <c r="E16" s="200"/>
      <c r="F16" s="200"/>
      <c r="G16" s="200"/>
      <c r="H16" s="200"/>
      <c r="I16" s="201">
        <f>SUM(I15:J15)</f>
        <v>1952288.0000000002</v>
      </c>
      <c r="J16" s="201"/>
      <c r="K16" s="39"/>
    </row>
    <row r="17" spans="1:11" ht="15.9" customHeight="1">
      <c r="A17" s="181"/>
      <c r="B17" s="182"/>
      <c r="C17" s="182"/>
      <c r="D17" s="182"/>
      <c r="E17" s="182"/>
      <c r="F17" s="182"/>
      <c r="G17" s="182"/>
      <c r="H17" s="182"/>
      <c r="I17" s="96"/>
      <c r="J17" s="41"/>
      <c r="K17" s="43"/>
    </row>
    <row r="19" spans="1:11">
      <c r="J19" s="91">
        <f>I16</f>
        <v>1952288.0000000002</v>
      </c>
    </row>
  </sheetData>
  <mergeCells count="16">
    <mergeCell ref="B10:F10"/>
    <mergeCell ref="J10:K10"/>
    <mergeCell ref="A2:K4"/>
    <mergeCell ref="B7:K7"/>
    <mergeCell ref="B8:K8"/>
    <mergeCell ref="B9:F9"/>
    <mergeCell ref="J9:K9"/>
    <mergeCell ref="A16:H16"/>
    <mergeCell ref="I16:J16"/>
    <mergeCell ref="A17:H17"/>
    <mergeCell ref="A14:C14"/>
    <mergeCell ref="D14:E14"/>
    <mergeCell ref="F14:G14"/>
    <mergeCell ref="I14:J14"/>
    <mergeCell ref="A15:C15"/>
    <mergeCell ref="I15:J15"/>
  </mergeCells>
  <dataValidations count="1">
    <dataValidation type="list" allowBlank="1" showInputMessage="1" showErrorMessage="1" sqref="J10" xr:uid="{00000000-0002-0000-0B00-000000000000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3C66"/>
  </sheetPr>
  <dimension ref="A1:M26"/>
  <sheetViews>
    <sheetView showGridLines="0" topLeftCell="A10" zoomScaleNormal="100" zoomScaleSheetLayoutView="95" workbookViewId="0">
      <selection activeCell="K26" sqref="K26"/>
    </sheetView>
  </sheetViews>
  <sheetFormatPr defaultColWidth="9.109375" defaultRowHeight="13.2"/>
  <cols>
    <col min="1" max="1" width="17.44140625" style="12" customWidth="1"/>
    <col min="2" max="2" width="9.88671875" style="12" customWidth="1"/>
    <col min="3" max="3" width="8.88671875" style="12" customWidth="1"/>
    <col min="4" max="4" width="14" style="70" customWidth="1"/>
    <col min="5" max="5" width="7.5546875" style="76" customWidth="1"/>
    <col min="6" max="6" width="11.5546875" style="19" customWidth="1"/>
    <col min="7" max="7" width="15.88671875" style="12" customWidth="1"/>
    <col min="8" max="8" width="12.88671875" style="12" customWidth="1"/>
    <col min="9" max="9" width="9.33203125" style="12" customWidth="1"/>
    <col min="10" max="10" width="11.33203125" style="12" bestFit="1" customWidth="1"/>
    <col min="11" max="11" width="13.109375" style="12" bestFit="1" customWidth="1"/>
    <col min="12" max="12" width="11.33203125" style="12" bestFit="1" customWidth="1"/>
    <col min="13" max="16384" width="9.109375" style="12"/>
  </cols>
  <sheetData>
    <row r="1" spans="1:13">
      <c r="A1" s="1"/>
      <c r="B1" s="1"/>
      <c r="C1" s="1"/>
      <c r="D1" s="63"/>
      <c r="E1" s="72"/>
      <c r="F1" s="20"/>
      <c r="G1" s="1"/>
      <c r="H1" s="1"/>
      <c r="I1" s="1"/>
      <c r="J1" s="1"/>
      <c r="K1" s="1"/>
      <c r="M1" s="13"/>
    </row>
    <row r="2" spans="1:13">
      <c r="A2" s="151" t="s">
        <v>142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M2" s="13"/>
    </row>
    <row r="3" spans="1:13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  <c r="M3" s="13"/>
    </row>
    <row r="4" spans="1:13">
      <c r="A4" s="152"/>
      <c r="B4" s="152"/>
      <c r="C4" s="152"/>
      <c r="D4" s="152"/>
      <c r="E4" s="152"/>
      <c r="F4" s="152"/>
      <c r="G4" s="152"/>
      <c r="H4" s="152"/>
      <c r="I4" s="152"/>
      <c r="J4" s="152"/>
      <c r="K4" s="152"/>
      <c r="M4" s="13"/>
    </row>
    <row r="5" spans="1:13" ht="13.8" thickBot="1">
      <c r="A5" s="2"/>
      <c r="B5" s="2"/>
      <c r="C5" s="2"/>
      <c r="D5" s="64"/>
      <c r="E5" s="73"/>
      <c r="F5" s="21"/>
      <c r="G5" s="3"/>
      <c r="H5" s="3"/>
      <c r="I5" s="3"/>
      <c r="J5" s="3"/>
      <c r="K5" s="3"/>
      <c r="M5" s="13"/>
    </row>
    <row r="6" spans="1:13">
      <c r="A6" s="4"/>
      <c r="B6" s="4"/>
      <c r="C6" s="4"/>
      <c r="D6" s="65"/>
      <c r="E6" s="74"/>
      <c r="F6" s="22"/>
      <c r="G6" s="5"/>
      <c r="H6" s="5"/>
      <c r="I6" s="5"/>
      <c r="J6" s="5"/>
      <c r="K6" s="5"/>
      <c r="M6" s="13"/>
    </row>
    <row r="7" spans="1:13">
      <c r="A7" s="6" t="s">
        <v>0</v>
      </c>
      <c r="B7" s="153" t="s">
        <v>198</v>
      </c>
      <c r="C7" s="153"/>
      <c r="D7" s="153"/>
      <c r="E7" s="153"/>
      <c r="F7" s="153"/>
      <c r="G7" s="153"/>
      <c r="H7" s="153"/>
      <c r="I7" s="153"/>
      <c r="J7" s="153"/>
      <c r="K7" s="153"/>
      <c r="M7" s="13"/>
    </row>
    <row r="8" spans="1:13">
      <c r="A8" s="6" t="s">
        <v>1</v>
      </c>
      <c r="B8" s="154"/>
      <c r="C8" s="154"/>
      <c r="D8" s="154"/>
      <c r="E8" s="154"/>
      <c r="F8" s="154"/>
      <c r="G8" s="154"/>
      <c r="H8" s="154"/>
      <c r="I8" s="154"/>
      <c r="J8" s="154"/>
      <c r="K8" s="154"/>
      <c r="M8" s="13"/>
    </row>
    <row r="9" spans="1:13" ht="15" customHeight="1">
      <c r="A9" s="6" t="s">
        <v>2</v>
      </c>
      <c r="B9" s="155" t="s">
        <v>199</v>
      </c>
      <c r="C9" s="156"/>
      <c r="D9" s="156"/>
      <c r="E9" s="156"/>
      <c r="F9" s="157"/>
      <c r="G9" s="10" t="s">
        <v>10</v>
      </c>
      <c r="H9" s="51" t="s">
        <v>49</v>
      </c>
      <c r="I9" s="7" t="s">
        <v>6</v>
      </c>
      <c r="J9" s="154" t="s">
        <v>44</v>
      </c>
      <c r="K9" s="154"/>
    </row>
    <row r="10" spans="1:13">
      <c r="A10" s="8" t="s">
        <v>3</v>
      </c>
      <c r="B10" s="158">
        <v>44294</v>
      </c>
      <c r="C10" s="159"/>
      <c r="D10" s="159"/>
      <c r="E10" s="159"/>
      <c r="F10" s="160"/>
      <c r="G10" s="10" t="s">
        <v>4</v>
      </c>
      <c r="H10" s="9" t="s">
        <v>5</v>
      </c>
      <c r="I10" s="7" t="s">
        <v>41</v>
      </c>
      <c r="J10" s="161" t="s">
        <v>8</v>
      </c>
      <c r="K10" s="162"/>
    </row>
    <row r="12" spans="1:13" ht="15.75" customHeight="1">
      <c r="A12" s="23" t="s">
        <v>143</v>
      </c>
      <c r="B12" s="24"/>
      <c r="C12" s="24"/>
      <c r="D12" s="66"/>
      <c r="E12" s="45"/>
      <c r="F12" s="25"/>
      <c r="G12" s="24"/>
      <c r="H12" s="24"/>
      <c r="I12" s="24"/>
      <c r="J12" s="24"/>
      <c r="K12" s="26"/>
    </row>
    <row r="13" spans="1:13" ht="15.75" customHeight="1">
      <c r="A13" s="27"/>
      <c r="B13" s="28"/>
      <c r="C13" s="28"/>
      <c r="D13" s="67"/>
      <c r="E13" s="75"/>
      <c r="F13" s="29"/>
      <c r="G13" s="28"/>
      <c r="H13" s="28"/>
      <c r="I13" s="30"/>
      <c r="J13" s="30"/>
      <c r="K13" s="31"/>
    </row>
    <row r="14" spans="1:13" ht="15.75" customHeight="1">
      <c r="A14" s="163" t="s">
        <v>35</v>
      </c>
      <c r="B14" s="164"/>
      <c r="C14" s="164"/>
      <c r="D14" s="198" t="s">
        <v>52</v>
      </c>
      <c r="E14" s="199"/>
      <c r="F14" s="165" t="s">
        <v>24</v>
      </c>
      <c r="G14" s="167"/>
      <c r="H14" s="89" t="s">
        <v>40</v>
      </c>
      <c r="I14" s="165" t="s">
        <v>39</v>
      </c>
      <c r="J14" s="167"/>
      <c r="K14" s="31"/>
    </row>
    <row r="15" spans="1:13" ht="15.75" customHeight="1">
      <c r="A15" s="180" t="s">
        <v>145</v>
      </c>
      <c r="B15" s="180"/>
      <c r="C15" s="180"/>
      <c r="D15" s="97">
        <v>1</v>
      </c>
      <c r="E15" s="79" t="s">
        <v>68</v>
      </c>
      <c r="F15" s="98">
        <v>200</v>
      </c>
      <c r="G15" s="99" t="s">
        <v>25</v>
      </c>
      <c r="H15" s="100" t="s">
        <v>180</v>
      </c>
      <c r="I15" s="236">
        <f>+F15*'Dados Gerais'!$E$15</f>
        <v>4110080.0000000005</v>
      </c>
      <c r="J15" s="204"/>
      <c r="K15" s="31"/>
    </row>
    <row r="16" spans="1:13" ht="15.75" customHeight="1">
      <c r="A16" s="179" t="s">
        <v>144</v>
      </c>
      <c r="B16" s="179"/>
      <c r="C16" s="179"/>
      <c r="D16" s="101">
        <v>1</v>
      </c>
      <c r="E16" s="80" t="s">
        <v>68</v>
      </c>
      <c r="F16" s="102">
        <v>3000</v>
      </c>
      <c r="G16" s="103" t="s">
        <v>119</v>
      </c>
      <c r="H16" s="94" t="s">
        <v>180</v>
      </c>
      <c r="I16" s="202">
        <f>+F16*'Dados Gerais'!$E$16</f>
        <v>81000</v>
      </c>
      <c r="J16" s="205"/>
      <c r="K16" s="31"/>
    </row>
    <row r="17" spans="1:11" ht="15.75" customHeight="1">
      <c r="A17" s="179" t="s">
        <v>235</v>
      </c>
      <c r="B17" s="179"/>
      <c r="C17" s="179"/>
      <c r="D17" s="101">
        <v>1</v>
      </c>
      <c r="E17" s="80" t="s">
        <v>68</v>
      </c>
      <c r="F17" s="109">
        <v>80000</v>
      </c>
      <c r="G17" s="108" t="s">
        <v>156</v>
      </c>
      <c r="H17" s="95" t="s">
        <v>180</v>
      </c>
      <c r="I17" s="202">
        <f>+D17*F17</f>
        <v>80000</v>
      </c>
      <c r="J17" s="205"/>
      <c r="K17" s="31"/>
    </row>
    <row r="18" spans="1:11">
      <c r="A18" s="211" t="s">
        <v>240</v>
      </c>
      <c r="B18" s="211"/>
      <c r="C18" s="211"/>
      <c r="D18" s="85">
        <v>475.02</v>
      </c>
      <c r="E18" s="82" t="s">
        <v>18</v>
      </c>
      <c r="F18" s="109">
        <v>600</v>
      </c>
      <c r="G18" s="108" t="s">
        <v>69</v>
      </c>
      <c r="H18" s="95" t="s">
        <v>180</v>
      </c>
      <c r="I18" s="254">
        <f>+F18*D18</f>
        <v>285012</v>
      </c>
      <c r="J18" s="255"/>
      <c r="K18" s="31"/>
    </row>
    <row r="19" spans="1:11">
      <c r="A19" s="211" t="s">
        <v>237</v>
      </c>
      <c r="B19" s="211"/>
      <c r="C19" s="211"/>
      <c r="D19" s="85">
        <v>328.69800000000004</v>
      </c>
      <c r="E19" s="82" t="s">
        <v>18</v>
      </c>
      <c r="F19" s="109">
        <v>1000</v>
      </c>
      <c r="G19" s="108" t="s">
        <v>69</v>
      </c>
      <c r="H19" s="95" t="s">
        <v>180</v>
      </c>
      <c r="I19" s="254">
        <f>+F19*D19</f>
        <v>328698.00000000006</v>
      </c>
      <c r="J19" s="255"/>
      <c r="K19" s="31"/>
    </row>
    <row r="20" spans="1:11">
      <c r="A20" s="211" t="s">
        <v>238</v>
      </c>
      <c r="B20" s="211"/>
      <c r="C20" s="211"/>
      <c r="D20" s="85">
        <v>495.68800000000005</v>
      </c>
      <c r="E20" s="82" t="s">
        <v>18</v>
      </c>
      <c r="F20" s="109">
        <v>750</v>
      </c>
      <c r="G20" s="108" t="s">
        <v>69</v>
      </c>
      <c r="H20" s="95" t="s">
        <v>180</v>
      </c>
      <c r="I20" s="254">
        <f>+F20*D20</f>
        <v>371766.00000000006</v>
      </c>
      <c r="J20" s="255"/>
      <c r="K20" s="31"/>
    </row>
    <row r="21" spans="1:11">
      <c r="A21" s="211" t="s">
        <v>239</v>
      </c>
      <c r="B21" s="211"/>
      <c r="C21" s="211"/>
      <c r="D21" s="85">
        <v>152.85599999999999</v>
      </c>
      <c r="E21" s="82" t="s">
        <v>18</v>
      </c>
      <c r="F21" s="109">
        <v>1200</v>
      </c>
      <c r="G21" s="108" t="s">
        <v>69</v>
      </c>
      <c r="H21" s="95" t="s">
        <v>180</v>
      </c>
      <c r="I21" s="254">
        <f>+F21*D21</f>
        <v>183427.19999999998</v>
      </c>
      <c r="J21" s="255"/>
      <c r="K21" s="31"/>
    </row>
    <row r="22" spans="1:11" ht="15.75" customHeight="1">
      <c r="A22" s="216" t="s">
        <v>146</v>
      </c>
      <c r="B22" s="216"/>
      <c r="C22" s="216"/>
      <c r="D22" s="105">
        <v>1</v>
      </c>
      <c r="E22" s="81" t="s">
        <v>68</v>
      </c>
      <c r="F22" s="106">
        <v>80</v>
      </c>
      <c r="G22" s="107" t="s">
        <v>25</v>
      </c>
      <c r="H22" s="93" t="s">
        <v>180</v>
      </c>
      <c r="I22" s="256">
        <f>+F22*'Dados Gerais'!$E$15</f>
        <v>1644032</v>
      </c>
      <c r="J22" s="257"/>
      <c r="K22" s="31"/>
    </row>
    <row r="23" spans="1:11" ht="15.75" customHeight="1">
      <c r="A23" s="200" t="s">
        <v>43</v>
      </c>
      <c r="B23" s="200"/>
      <c r="C23" s="200"/>
      <c r="D23" s="200"/>
      <c r="E23" s="200"/>
      <c r="F23" s="200"/>
      <c r="G23" s="200"/>
      <c r="H23" s="200"/>
      <c r="I23" s="201">
        <f>SUM(I15:J22)</f>
        <v>7084015.2000000002</v>
      </c>
      <c r="J23" s="201"/>
      <c r="K23" s="39"/>
    </row>
    <row r="24" spans="1:11" ht="15.75" customHeight="1">
      <c r="A24" s="181"/>
      <c r="B24" s="182"/>
      <c r="C24" s="182"/>
      <c r="D24" s="182"/>
      <c r="E24" s="182"/>
      <c r="F24" s="182"/>
      <c r="G24" s="182"/>
      <c r="H24" s="182"/>
      <c r="I24" s="96"/>
      <c r="J24" s="41"/>
      <c r="K24" s="43"/>
    </row>
    <row r="26" spans="1:11">
      <c r="K26" s="91">
        <f>I23</f>
        <v>7084015.2000000002</v>
      </c>
    </row>
  </sheetData>
  <mergeCells count="30">
    <mergeCell ref="A21:C21"/>
    <mergeCell ref="I21:J21"/>
    <mergeCell ref="A19:C19"/>
    <mergeCell ref="I19:J19"/>
    <mergeCell ref="A20:C20"/>
    <mergeCell ref="B10:F10"/>
    <mergeCell ref="J10:K10"/>
    <mergeCell ref="A2:K4"/>
    <mergeCell ref="B7:K7"/>
    <mergeCell ref="B8:K8"/>
    <mergeCell ref="B9:F9"/>
    <mergeCell ref="J9:K9"/>
    <mergeCell ref="A14:C14"/>
    <mergeCell ref="D14:E14"/>
    <mergeCell ref="F14:G14"/>
    <mergeCell ref="I14:J14"/>
    <mergeCell ref="A15:C15"/>
    <mergeCell ref="I15:J15"/>
    <mergeCell ref="A24:H24"/>
    <mergeCell ref="A16:C16"/>
    <mergeCell ref="A22:C22"/>
    <mergeCell ref="I16:J16"/>
    <mergeCell ref="I22:J22"/>
    <mergeCell ref="A17:C17"/>
    <mergeCell ref="I17:J17"/>
    <mergeCell ref="A23:H23"/>
    <mergeCell ref="I23:J23"/>
    <mergeCell ref="A18:C18"/>
    <mergeCell ref="I18:J18"/>
    <mergeCell ref="I20:J20"/>
  </mergeCells>
  <dataValidations disablePrompts="1" count="1">
    <dataValidation type="list" allowBlank="1" showInputMessage="1" showErrorMessage="1" sqref="J10" xr:uid="{00000000-0002-0000-0C00-000000000000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3C66"/>
  </sheetPr>
  <dimension ref="A1:M59"/>
  <sheetViews>
    <sheetView showGridLines="0" topLeftCell="A19" zoomScaleNormal="100" zoomScaleSheetLayoutView="95" workbookViewId="0">
      <selection activeCell="I34" sqref="I34"/>
    </sheetView>
  </sheetViews>
  <sheetFormatPr defaultColWidth="9.109375" defaultRowHeight="13.2"/>
  <cols>
    <col min="1" max="1" width="17.44140625" style="12" customWidth="1"/>
    <col min="2" max="2" width="9.88671875" style="12" customWidth="1"/>
    <col min="3" max="3" width="8.88671875" style="12" customWidth="1"/>
    <col min="4" max="4" width="14" style="70" customWidth="1"/>
    <col min="5" max="5" width="7.5546875" style="76" customWidth="1"/>
    <col min="6" max="6" width="11.5546875" style="19" customWidth="1"/>
    <col min="7" max="7" width="15.88671875" style="12" customWidth="1"/>
    <col min="8" max="8" width="12.88671875" style="12" customWidth="1"/>
    <col min="9" max="9" width="13.109375" style="12" bestFit="1" customWidth="1"/>
    <col min="10" max="10" width="7.33203125" style="12" bestFit="1" customWidth="1"/>
    <col min="11" max="11" width="6.44140625" style="12" customWidth="1"/>
    <col min="12" max="12" width="12.44140625" style="12" bestFit="1" customWidth="1"/>
    <col min="13" max="13" width="13.5546875" style="12" bestFit="1" customWidth="1"/>
    <col min="14" max="16384" width="9.109375" style="12"/>
  </cols>
  <sheetData>
    <row r="1" spans="1:13">
      <c r="A1" s="1"/>
      <c r="B1" s="1"/>
      <c r="C1" s="1"/>
      <c r="D1" s="63"/>
      <c r="E1" s="72"/>
      <c r="F1" s="20"/>
      <c r="G1" s="1"/>
      <c r="H1" s="1"/>
      <c r="I1" s="1"/>
      <c r="J1" s="1"/>
      <c r="K1" s="1"/>
      <c r="M1" s="13"/>
    </row>
    <row r="2" spans="1:13">
      <c r="A2" s="151" t="s">
        <v>148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M2" s="13"/>
    </row>
    <row r="3" spans="1:13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  <c r="M3" s="13"/>
    </row>
    <row r="4" spans="1:13">
      <c r="A4" s="152"/>
      <c r="B4" s="152"/>
      <c r="C4" s="152"/>
      <c r="D4" s="152"/>
      <c r="E4" s="152"/>
      <c r="F4" s="152"/>
      <c r="G4" s="152"/>
      <c r="H4" s="152"/>
      <c r="I4" s="152"/>
      <c r="J4" s="152"/>
      <c r="K4" s="152"/>
      <c r="M4" s="13"/>
    </row>
    <row r="5" spans="1:13" ht="13.8" thickBot="1">
      <c r="A5" s="2"/>
      <c r="B5" s="2"/>
      <c r="C5" s="2"/>
      <c r="D5" s="64"/>
      <c r="E5" s="73"/>
      <c r="F5" s="21"/>
      <c r="G5" s="3"/>
      <c r="H5" s="3"/>
      <c r="I5" s="3"/>
      <c r="J5" s="3"/>
      <c r="K5" s="3"/>
      <c r="M5" s="13"/>
    </row>
    <row r="6" spans="1:13">
      <c r="A6" s="4"/>
      <c r="B6" s="4"/>
      <c r="C6" s="4"/>
      <c r="D6" s="65"/>
      <c r="E6" s="74"/>
      <c r="F6" s="22"/>
      <c r="G6" s="5"/>
      <c r="H6" s="5"/>
      <c r="I6" s="5"/>
      <c r="J6" s="5"/>
      <c r="K6" s="5"/>
      <c r="M6" s="13"/>
    </row>
    <row r="7" spans="1:13">
      <c r="A7" s="6" t="s">
        <v>0</v>
      </c>
      <c r="B7" s="153" t="s">
        <v>198</v>
      </c>
      <c r="C7" s="153"/>
      <c r="D7" s="153"/>
      <c r="E7" s="153"/>
      <c r="F7" s="153"/>
      <c r="G7" s="153"/>
      <c r="H7" s="153"/>
      <c r="I7" s="153"/>
      <c r="J7" s="153"/>
      <c r="K7" s="153"/>
      <c r="M7" s="13"/>
    </row>
    <row r="8" spans="1:13">
      <c r="A8" s="6" t="s">
        <v>1</v>
      </c>
      <c r="B8" s="154"/>
      <c r="C8" s="154"/>
      <c r="D8" s="154"/>
      <c r="E8" s="154"/>
      <c r="F8" s="154"/>
      <c r="G8" s="154"/>
      <c r="H8" s="154"/>
      <c r="I8" s="154"/>
      <c r="J8" s="154"/>
      <c r="K8" s="154"/>
      <c r="M8" s="13"/>
    </row>
    <row r="9" spans="1:13" ht="15" customHeight="1">
      <c r="A9" s="6" t="s">
        <v>2</v>
      </c>
      <c r="B9" s="155" t="s">
        <v>199</v>
      </c>
      <c r="C9" s="156"/>
      <c r="D9" s="156"/>
      <c r="E9" s="156"/>
      <c r="F9" s="157"/>
      <c r="G9" s="10" t="s">
        <v>10</v>
      </c>
      <c r="H9" s="51" t="s">
        <v>49</v>
      </c>
      <c r="I9" s="7" t="s">
        <v>6</v>
      </c>
      <c r="J9" s="154" t="s">
        <v>44</v>
      </c>
      <c r="K9" s="154"/>
    </row>
    <row r="10" spans="1:13">
      <c r="A10" s="8" t="s">
        <v>3</v>
      </c>
      <c r="B10" s="158">
        <v>44294</v>
      </c>
      <c r="C10" s="159"/>
      <c r="D10" s="159"/>
      <c r="E10" s="159"/>
      <c r="F10" s="160"/>
      <c r="G10" s="10" t="s">
        <v>4</v>
      </c>
      <c r="H10" s="9" t="s">
        <v>5</v>
      </c>
      <c r="I10" s="7" t="s">
        <v>41</v>
      </c>
      <c r="J10" s="161" t="s">
        <v>8</v>
      </c>
      <c r="K10" s="162"/>
    </row>
    <row r="12" spans="1:13" ht="15.75" customHeight="1">
      <c r="A12" s="23" t="s">
        <v>149</v>
      </c>
      <c r="B12" s="24"/>
      <c r="C12" s="24"/>
      <c r="D12" s="66"/>
      <c r="E12" s="45"/>
      <c r="F12" s="25"/>
      <c r="G12" s="24"/>
      <c r="H12" s="24"/>
      <c r="I12" s="24"/>
      <c r="J12" s="24"/>
      <c r="K12" s="26"/>
    </row>
    <row r="13" spans="1:13" ht="15.75" customHeight="1">
      <c r="A13" s="27"/>
      <c r="B13" s="28"/>
      <c r="C13" s="28"/>
      <c r="D13" s="67"/>
      <c r="E13" s="75"/>
      <c r="F13" s="29"/>
      <c r="G13" s="28"/>
      <c r="H13" s="28"/>
      <c r="I13" s="30"/>
      <c r="J13" s="30"/>
      <c r="K13" s="31"/>
    </row>
    <row r="14" spans="1:13" ht="15.75" customHeight="1">
      <c r="A14" s="163" t="s">
        <v>35</v>
      </c>
      <c r="B14" s="164"/>
      <c r="C14" s="164"/>
      <c r="D14" s="198" t="s">
        <v>52</v>
      </c>
      <c r="E14" s="199"/>
      <c r="F14" s="165" t="s">
        <v>24</v>
      </c>
      <c r="G14" s="167"/>
      <c r="H14" s="115" t="s">
        <v>40</v>
      </c>
      <c r="I14" s="165" t="s">
        <v>39</v>
      </c>
      <c r="J14" s="167"/>
      <c r="K14" s="31"/>
    </row>
    <row r="15" spans="1:13">
      <c r="A15" s="276" t="s">
        <v>250</v>
      </c>
      <c r="B15" s="277"/>
      <c r="C15" s="278"/>
      <c r="D15" s="279">
        <f>F15*'Dados Gerais'!$E$15</f>
        <v>3842.9248000000002</v>
      </c>
      <c r="E15" s="270" t="s">
        <v>18</v>
      </c>
      <c r="F15" s="280">
        <v>0.187</v>
      </c>
      <c r="G15" s="281" t="s">
        <v>183</v>
      </c>
      <c r="H15" s="281" t="s">
        <v>42</v>
      </c>
      <c r="I15" s="271">
        <f>D15*5.04*1.5</f>
        <v>29052.511488000004</v>
      </c>
      <c r="J15" s="282"/>
      <c r="K15" s="31"/>
      <c r="L15" s="118"/>
    </row>
    <row r="16" spans="1:13">
      <c r="A16" s="276" t="s">
        <v>251</v>
      </c>
      <c r="B16" s="277"/>
      <c r="C16" s="278"/>
      <c r="D16" s="279">
        <f>F16*'Dados Gerais'!$E$15</f>
        <v>15351.148800000001</v>
      </c>
      <c r="E16" s="270" t="s">
        <v>18</v>
      </c>
      <c r="F16" s="280">
        <v>0.747</v>
      </c>
      <c r="G16" s="281" t="s">
        <v>183</v>
      </c>
      <c r="H16" s="281" t="s">
        <v>42</v>
      </c>
      <c r="I16" s="271">
        <f>D16*F16*1.5</f>
        <v>17200.9622304</v>
      </c>
      <c r="J16" s="282"/>
      <c r="K16" s="31"/>
      <c r="L16" s="118"/>
    </row>
    <row r="17" spans="1:13">
      <c r="A17" s="276" t="s">
        <v>124</v>
      </c>
      <c r="B17" s="277"/>
      <c r="C17" s="278"/>
      <c r="D17" s="279">
        <f>F17*'Dados Gerais'!$E$15</f>
        <v>19194.073600000003</v>
      </c>
      <c r="E17" s="270" t="s">
        <v>18</v>
      </c>
      <c r="F17" s="280">
        <v>0.93400000000000005</v>
      </c>
      <c r="G17" s="281" t="s">
        <v>183</v>
      </c>
      <c r="H17" s="281" t="s">
        <v>42</v>
      </c>
      <c r="I17" s="271">
        <f>D17*11.1565*1.1*1.45</f>
        <v>341551.19797884807</v>
      </c>
      <c r="J17" s="282"/>
      <c r="K17" s="31"/>
      <c r="L17" s="118">
        <f>+D17*F17</f>
        <v>17927.264742400002</v>
      </c>
    </row>
    <row r="18" spans="1:13" ht="15.75" customHeight="1">
      <c r="A18" s="200" t="s">
        <v>43</v>
      </c>
      <c r="B18" s="200"/>
      <c r="C18" s="200"/>
      <c r="D18" s="200"/>
      <c r="E18" s="200"/>
      <c r="F18" s="200"/>
      <c r="G18" s="200"/>
      <c r="H18" s="200"/>
      <c r="I18" s="201">
        <f>SUM(I15:J17)</f>
        <v>387804.67169724806</v>
      </c>
      <c r="J18" s="201"/>
      <c r="K18" s="39"/>
    </row>
    <row r="19" spans="1:13" ht="15.75" customHeight="1">
      <c r="A19" s="181"/>
      <c r="B19" s="182"/>
      <c r="C19" s="182"/>
      <c r="D19" s="182"/>
      <c r="E19" s="182"/>
      <c r="F19" s="182"/>
      <c r="G19" s="182"/>
      <c r="H19" s="182"/>
      <c r="I19" s="96"/>
      <c r="J19" s="41"/>
      <c r="K19" s="43"/>
    </row>
    <row r="20" spans="1:13" ht="15.75" customHeight="1">
      <c r="F20" s="119"/>
      <c r="M20" s="118"/>
    </row>
    <row r="21" spans="1:13" ht="15.75" customHeight="1">
      <c r="A21" s="23" t="s">
        <v>150</v>
      </c>
      <c r="B21" s="24"/>
      <c r="C21" s="24"/>
      <c r="D21" s="66"/>
      <c r="E21" s="45"/>
      <c r="F21" s="25"/>
      <c r="G21" s="24"/>
      <c r="H21" s="24"/>
      <c r="I21" s="24"/>
      <c r="J21" s="24"/>
      <c r="K21" s="26"/>
    </row>
    <row r="22" spans="1:13" ht="15.75" customHeight="1">
      <c r="A22" s="27"/>
      <c r="B22" s="28"/>
      <c r="C22" s="28"/>
      <c r="D22" s="67"/>
      <c r="E22" s="75"/>
      <c r="F22" s="29"/>
      <c r="G22" s="28"/>
      <c r="H22" s="28"/>
      <c r="I22" s="30"/>
      <c r="J22" s="30"/>
      <c r="K22" s="31"/>
    </row>
    <row r="23" spans="1:13" ht="15.75" customHeight="1">
      <c r="A23" s="163" t="s">
        <v>35</v>
      </c>
      <c r="B23" s="164"/>
      <c r="C23" s="164"/>
      <c r="D23" s="198" t="s">
        <v>52</v>
      </c>
      <c r="E23" s="199"/>
      <c r="F23" s="165" t="s">
        <v>24</v>
      </c>
      <c r="G23" s="167"/>
      <c r="H23" s="115" t="s">
        <v>40</v>
      </c>
      <c r="I23" s="165" t="s">
        <v>39</v>
      </c>
      <c r="J23" s="167"/>
      <c r="K23" s="31"/>
    </row>
    <row r="24" spans="1:13">
      <c r="A24" s="269" t="s">
        <v>188</v>
      </c>
      <c r="B24" s="269"/>
      <c r="C24" s="269"/>
      <c r="D24" s="279">
        <f>633.12</f>
        <v>633.12</v>
      </c>
      <c r="E24" s="270" t="s">
        <v>18</v>
      </c>
      <c r="F24" s="280">
        <v>25</v>
      </c>
      <c r="G24" s="281" t="s">
        <v>69</v>
      </c>
      <c r="H24" s="281" t="s">
        <v>42</v>
      </c>
      <c r="I24" s="271">
        <f>+D24*F24*65</f>
        <v>1028820</v>
      </c>
      <c r="J24" s="282"/>
      <c r="K24" s="31"/>
    </row>
    <row r="25" spans="1:13" ht="15.75" customHeight="1">
      <c r="A25" s="200" t="s">
        <v>43</v>
      </c>
      <c r="B25" s="200"/>
      <c r="C25" s="200"/>
      <c r="D25" s="200"/>
      <c r="E25" s="200"/>
      <c r="F25" s="200"/>
      <c r="G25" s="200"/>
      <c r="H25" s="200"/>
      <c r="I25" s="201">
        <f>SUM(I24:J24)</f>
        <v>1028820</v>
      </c>
      <c r="J25" s="201"/>
      <c r="K25" s="39"/>
    </row>
    <row r="26" spans="1:13" ht="15.75" customHeight="1">
      <c r="A26" s="181"/>
      <c r="B26" s="182"/>
      <c r="C26" s="182"/>
      <c r="D26" s="182"/>
      <c r="E26" s="182"/>
      <c r="F26" s="182"/>
      <c r="G26" s="182"/>
      <c r="H26" s="182"/>
      <c r="I26" s="96"/>
      <c r="J26" s="41"/>
      <c r="K26" s="43"/>
    </row>
    <row r="27" spans="1:13" ht="15.75" customHeight="1">
      <c r="A27" s="23" t="s">
        <v>151</v>
      </c>
      <c r="B27" s="24"/>
      <c r="C27" s="24"/>
      <c r="D27" s="66"/>
      <c r="E27" s="45"/>
      <c r="F27" s="25"/>
      <c r="G27" s="24"/>
      <c r="H27" s="24"/>
      <c r="I27" s="24"/>
      <c r="J27" s="24"/>
      <c r="K27" s="26"/>
    </row>
    <row r="28" spans="1:13" ht="15.75" customHeight="1">
      <c r="A28" s="27"/>
      <c r="B28" s="28"/>
      <c r="C28" s="28"/>
      <c r="D28" s="67"/>
      <c r="E28" s="75"/>
      <c r="F28" s="29"/>
      <c r="G28" s="28"/>
      <c r="H28" s="28"/>
      <c r="I28" s="30"/>
      <c r="J28" s="30"/>
      <c r="K28" s="31"/>
    </row>
    <row r="29" spans="1:13" ht="15.75" customHeight="1">
      <c r="A29" s="163" t="s">
        <v>35</v>
      </c>
      <c r="B29" s="164"/>
      <c r="C29" s="164"/>
      <c r="D29" s="198" t="s">
        <v>52</v>
      </c>
      <c r="E29" s="199"/>
      <c r="F29" s="165" t="s">
        <v>24</v>
      </c>
      <c r="G29" s="167"/>
      <c r="H29" s="115" t="s">
        <v>40</v>
      </c>
      <c r="I29" s="165" t="s">
        <v>39</v>
      </c>
      <c r="J29" s="167"/>
      <c r="K29" s="31"/>
    </row>
    <row r="30" spans="1:13" ht="35.25" customHeight="1">
      <c r="A30" s="211" t="s">
        <v>195</v>
      </c>
      <c r="B30" s="211"/>
      <c r="C30" s="211"/>
      <c r="D30" s="85">
        <v>1</v>
      </c>
      <c r="E30" s="82" t="s">
        <v>68</v>
      </c>
      <c r="F30" s="241">
        <v>60000</v>
      </c>
      <c r="G30" s="242"/>
      <c r="H30" s="100" t="s">
        <v>42</v>
      </c>
      <c r="I30" s="236">
        <f>+F30</f>
        <v>60000</v>
      </c>
      <c r="J30" s="204"/>
      <c r="K30" s="31"/>
    </row>
    <row r="31" spans="1:13" ht="35.25" customHeight="1">
      <c r="A31" s="211" t="s">
        <v>242</v>
      </c>
      <c r="B31" s="211"/>
      <c r="C31" s="211"/>
      <c r="D31" s="85">
        <f>D17-D24</f>
        <v>18560.953600000004</v>
      </c>
      <c r="E31" s="82" t="s">
        <v>18</v>
      </c>
      <c r="F31" s="243">
        <v>180</v>
      </c>
      <c r="G31" s="244"/>
      <c r="H31" s="94" t="s">
        <v>42</v>
      </c>
      <c r="I31" s="245">
        <f>+F31*D31</f>
        <v>3340971.648000001</v>
      </c>
      <c r="J31" s="246"/>
      <c r="K31" s="31"/>
    </row>
    <row r="32" spans="1:13" ht="15.75" customHeight="1">
      <c r="A32" s="200"/>
      <c r="B32" s="200"/>
      <c r="C32" s="200"/>
      <c r="D32" s="200"/>
      <c r="E32" s="200"/>
      <c r="F32" s="200"/>
      <c r="G32" s="200"/>
      <c r="H32" s="200"/>
      <c r="I32" s="201">
        <f>SUM(I30:J31)</f>
        <v>3400971.648000001</v>
      </c>
      <c r="J32" s="201"/>
      <c r="K32" s="39"/>
    </row>
    <row r="33" spans="1:11" ht="15.75" customHeight="1">
      <c r="A33" s="181"/>
      <c r="B33" s="182"/>
      <c r="C33" s="182"/>
      <c r="D33" s="182"/>
      <c r="E33" s="182"/>
      <c r="F33" s="182"/>
      <c r="G33" s="182"/>
      <c r="H33" s="182"/>
      <c r="I33" s="96"/>
      <c r="J33" s="41"/>
      <c r="K33" s="43"/>
    </row>
    <row r="34" spans="1:11" ht="15.75" customHeight="1">
      <c r="I34" s="91">
        <f>I32+I25+I18</f>
        <v>4817596.3196972487</v>
      </c>
    </row>
    <row r="35" spans="1:11" ht="15.75" customHeight="1"/>
    <row r="36" spans="1:11" ht="15.75" customHeight="1"/>
    <row r="37" spans="1:11" ht="15.75" customHeight="1"/>
    <row r="38" spans="1:11" ht="15.75" customHeight="1"/>
    <row r="39" spans="1:11" ht="15.75" customHeight="1"/>
    <row r="40" spans="1:11" ht="15.75" customHeight="1"/>
    <row r="41" spans="1:11" ht="15.75" customHeight="1"/>
    <row r="42" spans="1:11" ht="15.75" customHeight="1"/>
    <row r="43" spans="1:11" ht="15.75" customHeight="1"/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</sheetData>
  <mergeCells count="42">
    <mergeCell ref="A16:C16"/>
    <mergeCell ref="I16:J16"/>
    <mergeCell ref="A15:C15"/>
    <mergeCell ref="I15:J15"/>
    <mergeCell ref="A31:C31"/>
    <mergeCell ref="F31:G31"/>
    <mergeCell ref="I31:J31"/>
    <mergeCell ref="B10:F10"/>
    <mergeCell ref="J10:K10"/>
    <mergeCell ref="A2:K4"/>
    <mergeCell ref="B7:K7"/>
    <mergeCell ref="B8:K8"/>
    <mergeCell ref="B9:F9"/>
    <mergeCell ref="J9:K9"/>
    <mergeCell ref="I30:J30"/>
    <mergeCell ref="A32:H32"/>
    <mergeCell ref="A14:C14"/>
    <mergeCell ref="D14:E14"/>
    <mergeCell ref="F14:G14"/>
    <mergeCell ref="I14:J14"/>
    <mergeCell ref="A17:C17"/>
    <mergeCell ref="I17:J17"/>
    <mergeCell ref="A25:H25"/>
    <mergeCell ref="I25:J25"/>
    <mergeCell ref="A29:C29"/>
    <mergeCell ref="I29:J29"/>
    <mergeCell ref="A33:H33"/>
    <mergeCell ref="F30:G30"/>
    <mergeCell ref="D29:E29"/>
    <mergeCell ref="F29:G29"/>
    <mergeCell ref="I18:J18"/>
    <mergeCell ref="A24:C24"/>
    <mergeCell ref="I24:J24"/>
    <mergeCell ref="A18:H18"/>
    <mergeCell ref="A19:H19"/>
    <mergeCell ref="A23:C23"/>
    <mergeCell ref="D23:E23"/>
    <mergeCell ref="F23:G23"/>
    <mergeCell ref="I23:J23"/>
    <mergeCell ref="I32:J32"/>
    <mergeCell ref="A26:H26"/>
    <mergeCell ref="A30:C30"/>
  </mergeCells>
  <dataValidations disablePrompts="1" count="1">
    <dataValidation type="list" allowBlank="1" showInputMessage="1" showErrorMessage="1" sqref="J10" xr:uid="{00000000-0002-0000-0D00-000000000000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3C66"/>
  </sheetPr>
  <dimension ref="A1:M19"/>
  <sheetViews>
    <sheetView showGridLines="0" zoomScaleNormal="100" zoomScaleSheetLayoutView="95" workbookViewId="0">
      <selection activeCell="J19" sqref="J19"/>
    </sheetView>
  </sheetViews>
  <sheetFormatPr defaultColWidth="9.109375" defaultRowHeight="13.2"/>
  <cols>
    <col min="1" max="1" width="17.44140625" style="12" customWidth="1"/>
    <col min="2" max="2" width="9.88671875" style="12" customWidth="1"/>
    <col min="3" max="3" width="8.88671875" style="12" customWidth="1"/>
    <col min="4" max="4" width="14" style="70" customWidth="1"/>
    <col min="5" max="5" width="7.5546875" style="76" customWidth="1"/>
    <col min="6" max="6" width="11.5546875" style="19" customWidth="1"/>
    <col min="7" max="7" width="15.88671875" style="12" customWidth="1"/>
    <col min="8" max="8" width="12.88671875" style="12" customWidth="1"/>
    <col min="9" max="9" width="9.33203125" style="12" customWidth="1"/>
    <col min="10" max="10" width="11.44140625" style="12" bestFit="1" customWidth="1"/>
    <col min="11" max="11" width="6.44140625" style="12" customWidth="1"/>
    <col min="12" max="12" width="11.33203125" style="12" bestFit="1" customWidth="1"/>
    <col min="13" max="16384" width="9.109375" style="12"/>
  </cols>
  <sheetData>
    <row r="1" spans="1:13">
      <c r="A1" s="1"/>
      <c r="B1" s="1"/>
      <c r="C1" s="1"/>
      <c r="D1" s="63"/>
      <c r="E1" s="72"/>
      <c r="F1" s="20"/>
      <c r="G1" s="1"/>
      <c r="H1" s="1"/>
      <c r="I1" s="1"/>
      <c r="J1" s="1"/>
      <c r="K1" s="1"/>
      <c r="M1" s="13"/>
    </row>
    <row r="2" spans="1:13">
      <c r="A2" s="151" t="s">
        <v>155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M2" s="13"/>
    </row>
    <row r="3" spans="1:13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  <c r="M3" s="13"/>
    </row>
    <row r="4" spans="1:13">
      <c r="A4" s="152"/>
      <c r="B4" s="152"/>
      <c r="C4" s="152"/>
      <c r="D4" s="152"/>
      <c r="E4" s="152"/>
      <c r="F4" s="152"/>
      <c r="G4" s="152"/>
      <c r="H4" s="152"/>
      <c r="I4" s="152"/>
      <c r="J4" s="152"/>
      <c r="K4" s="152"/>
      <c r="M4" s="13"/>
    </row>
    <row r="5" spans="1:13" ht="13.8" thickBot="1">
      <c r="A5" s="2"/>
      <c r="B5" s="2"/>
      <c r="C5" s="2"/>
      <c r="D5" s="64"/>
      <c r="E5" s="73"/>
      <c r="F5" s="21"/>
      <c r="G5" s="3"/>
      <c r="H5" s="3"/>
      <c r="I5" s="3"/>
      <c r="J5" s="3"/>
      <c r="K5" s="3"/>
      <c r="M5" s="13"/>
    </row>
    <row r="6" spans="1:13">
      <c r="A6" s="4"/>
      <c r="B6" s="4"/>
      <c r="C6" s="4"/>
      <c r="D6" s="65"/>
      <c r="E6" s="74"/>
      <c r="F6" s="22"/>
      <c r="G6" s="5"/>
      <c r="H6" s="5"/>
      <c r="I6" s="5"/>
      <c r="J6" s="5"/>
      <c r="K6" s="5"/>
      <c r="M6" s="13"/>
    </row>
    <row r="7" spans="1:13">
      <c r="A7" s="6" t="s">
        <v>0</v>
      </c>
      <c r="B7" s="153" t="s">
        <v>198</v>
      </c>
      <c r="C7" s="153"/>
      <c r="D7" s="153"/>
      <c r="E7" s="153"/>
      <c r="F7" s="153"/>
      <c r="G7" s="153"/>
      <c r="H7" s="153"/>
      <c r="I7" s="153"/>
      <c r="J7" s="153"/>
      <c r="K7" s="153"/>
      <c r="M7" s="13"/>
    </row>
    <row r="8" spans="1:13">
      <c r="A8" s="6" t="s">
        <v>1</v>
      </c>
      <c r="B8" s="154"/>
      <c r="C8" s="154"/>
      <c r="D8" s="154"/>
      <c r="E8" s="154"/>
      <c r="F8" s="154"/>
      <c r="G8" s="154"/>
      <c r="H8" s="154"/>
      <c r="I8" s="154"/>
      <c r="J8" s="154"/>
      <c r="K8" s="154"/>
      <c r="M8" s="13"/>
    </row>
    <row r="9" spans="1:13" ht="15" customHeight="1">
      <c r="A9" s="6" t="s">
        <v>2</v>
      </c>
      <c r="B9" s="155" t="s">
        <v>199</v>
      </c>
      <c r="C9" s="156"/>
      <c r="D9" s="156"/>
      <c r="E9" s="156"/>
      <c r="F9" s="157"/>
      <c r="G9" s="10" t="s">
        <v>10</v>
      </c>
      <c r="H9" s="51" t="s">
        <v>49</v>
      </c>
      <c r="I9" s="7" t="s">
        <v>6</v>
      </c>
      <c r="J9" s="154" t="s">
        <v>44</v>
      </c>
      <c r="K9" s="154"/>
    </row>
    <row r="10" spans="1:13">
      <c r="A10" s="8" t="s">
        <v>3</v>
      </c>
      <c r="B10" s="158">
        <v>44294</v>
      </c>
      <c r="C10" s="159"/>
      <c r="D10" s="159"/>
      <c r="E10" s="159"/>
      <c r="F10" s="160"/>
      <c r="G10" s="10" t="s">
        <v>4</v>
      </c>
      <c r="H10" s="9" t="s">
        <v>5</v>
      </c>
      <c r="I10" s="7" t="s">
        <v>41</v>
      </c>
      <c r="J10" s="161" t="s">
        <v>8</v>
      </c>
      <c r="K10" s="162"/>
    </row>
    <row r="12" spans="1:13" ht="15.75" customHeight="1">
      <c r="A12" s="23" t="s">
        <v>169</v>
      </c>
      <c r="B12" s="24"/>
      <c r="C12" s="24"/>
      <c r="D12" s="66"/>
      <c r="E12" s="45"/>
      <c r="F12" s="25"/>
      <c r="G12" s="24"/>
      <c r="H12" s="24"/>
      <c r="I12" s="24"/>
      <c r="J12" s="24"/>
      <c r="K12" s="26"/>
    </row>
    <row r="13" spans="1:13" ht="15.75" customHeight="1">
      <c r="A13" s="27"/>
      <c r="B13" s="28"/>
      <c r="C13" s="28"/>
      <c r="D13" s="67"/>
      <c r="E13" s="75"/>
      <c r="F13" s="29"/>
      <c r="G13" s="28"/>
      <c r="H13" s="28"/>
      <c r="I13" s="30"/>
      <c r="J13" s="30"/>
      <c r="K13" s="31"/>
    </row>
    <row r="14" spans="1:13" ht="15.75" customHeight="1">
      <c r="A14" s="163" t="s">
        <v>35</v>
      </c>
      <c r="B14" s="164"/>
      <c r="C14" s="164"/>
      <c r="D14" s="198" t="s">
        <v>52</v>
      </c>
      <c r="E14" s="199"/>
      <c r="F14" s="165" t="s">
        <v>24</v>
      </c>
      <c r="G14" s="167"/>
      <c r="H14" s="89" t="s">
        <v>40</v>
      </c>
      <c r="I14" s="165" t="s">
        <v>39</v>
      </c>
      <c r="J14" s="167"/>
      <c r="K14" s="31"/>
    </row>
    <row r="15" spans="1:13" ht="15.75" customHeight="1">
      <c r="A15" s="180" t="s">
        <v>187</v>
      </c>
      <c r="B15" s="180"/>
      <c r="C15" s="180"/>
      <c r="D15" s="97">
        <f>145.06*2+82.33+29.15</f>
        <v>401.59999999999997</v>
      </c>
      <c r="E15" s="79" t="s">
        <v>18</v>
      </c>
      <c r="F15" s="98">
        <v>450</v>
      </c>
      <c r="G15" s="99" t="s">
        <v>69</v>
      </c>
      <c r="H15" s="100" t="s">
        <v>42</v>
      </c>
      <c r="I15" s="236">
        <f>+F15*D15</f>
        <v>180719.99999999997</v>
      </c>
      <c r="J15" s="204"/>
      <c r="K15" s="31"/>
    </row>
    <row r="16" spans="1:13" ht="15.75" customHeight="1">
      <c r="A16" s="200" t="s">
        <v>43</v>
      </c>
      <c r="B16" s="200"/>
      <c r="C16" s="200"/>
      <c r="D16" s="200"/>
      <c r="E16" s="200"/>
      <c r="F16" s="200"/>
      <c r="G16" s="200"/>
      <c r="H16" s="200"/>
      <c r="I16" s="201">
        <f>SUM(I15:J15)</f>
        <v>180719.99999999997</v>
      </c>
      <c r="J16" s="201"/>
      <c r="K16" s="39"/>
    </row>
    <row r="17" spans="1:11" ht="15.75" customHeight="1">
      <c r="A17" s="181"/>
      <c r="B17" s="182"/>
      <c r="C17" s="182"/>
      <c r="D17" s="182"/>
      <c r="E17" s="182"/>
      <c r="F17" s="182"/>
      <c r="G17" s="182"/>
      <c r="H17" s="182"/>
      <c r="I17" s="96"/>
      <c r="J17" s="41"/>
      <c r="K17" s="43"/>
    </row>
    <row r="19" spans="1:11">
      <c r="J19" s="91">
        <f>I16</f>
        <v>180719.99999999997</v>
      </c>
    </row>
  </sheetData>
  <mergeCells count="16">
    <mergeCell ref="B10:F10"/>
    <mergeCell ref="J10:K10"/>
    <mergeCell ref="A2:K4"/>
    <mergeCell ref="B7:K7"/>
    <mergeCell ref="B8:K8"/>
    <mergeCell ref="B9:F9"/>
    <mergeCell ref="J9:K9"/>
    <mergeCell ref="A17:H17"/>
    <mergeCell ref="A16:H16"/>
    <mergeCell ref="I16:J16"/>
    <mergeCell ref="A14:C14"/>
    <mergeCell ref="D14:E14"/>
    <mergeCell ref="F14:G14"/>
    <mergeCell ref="I14:J14"/>
    <mergeCell ref="A15:C15"/>
    <mergeCell ref="I15:J15"/>
  </mergeCells>
  <dataValidations count="1">
    <dataValidation type="list" allowBlank="1" showInputMessage="1" showErrorMessage="1" sqref="J10" xr:uid="{00000000-0002-0000-0E00-000000000000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3C66"/>
  </sheetPr>
  <dimension ref="A1:M24"/>
  <sheetViews>
    <sheetView showGridLines="0" topLeftCell="A4" zoomScaleNormal="100" zoomScaleSheetLayoutView="95" workbookViewId="0">
      <selection activeCell="J24" sqref="J24"/>
    </sheetView>
  </sheetViews>
  <sheetFormatPr defaultColWidth="9.109375" defaultRowHeight="13.2"/>
  <cols>
    <col min="1" max="1" width="17.44140625" style="12" customWidth="1"/>
    <col min="2" max="2" width="9.88671875" style="12" customWidth="1"/>
    <col min="3" max="3" width="8.88671875" style="12" customWidth="1"/>
    <col min="4" max="4" width="14" style="70" customWidth="1"/>
    <col min="5" max="5" width="7.5546875" style="76" customWidth="1"/>
    <col min="6" max="6" width="11.5546875" style="19" customWidth="1"/>
    <col min="7" max="7" width="15.88671875" style="12" customWidth="1"/>
    <col min="8" max="8" width="12.88671875" style="12" customWidth="1"/>
    <col min="9" max="9" width="9.33203125" style="12" customWidth="1"/>
    <col min="10" max="10" width="13.109375" style="12" bestFit="1" customWidth="1"/>
    <col min="11" max="11" width="6.44140625" style="12" customWidth="1"/>
    <col min="12" max="12" width="11.33203125" style="12" bestFit="1" customWidth="1"/>
    <col min="13" max="16384" width="9.109375" style="12"/>
  </cols>
  <sheetData>
    <row r="1" spans="1:13">
      <c r="A1" s="1"/>
      <c r="B1" s="1"/>
      <c r="C1" s="1"/>
      <c r="D1" s="63"/>
      <c r="E1" s="72"/>
      <c r="F1" s="20"/>
      <c r="G1" s="1"/>
      <c r="H1" s="1"/>
      <c r="I1" s="1"/>
      <c r="J1" s="1"/>
      <c r="K1" s="1"/>
      <c r="M1" s="13"/>
    </row>
    <row r="2" spans="1:13">
      <c r="A2" s="151" t="s">
        <v>152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M2" s="13"/>
    </row>
    <row r="3" spans="1:13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  <c r="M3" s="13"/>
    </row>
    <row r="4" spans="1:13">
      <c r="A4" s="152"/>
      <c r="B4" s="152"/>
      <c r="C4" s="152"/>
      <c r="D4" s="152"/>
      <c r="E4" s="152"/>
      <c r="F4" s="152"/>
      <c r="G4" s="152"/>
      <c r="H4" s="152"/>
      <c r="I4" s="152"/>
      <c r="J4" s="152"/>
      <c r="K4" s="152"/>
      <c r="M4" s="13"/>
    </row>
    <row r="5" spans="1:13" ht="13.8" thickBot="1">
      <c r="A5" s="2"/>
      <c r="B5" s="2"/>
      <c r="C5" s="2"/>
      <c r="D5" s="64"/>
      <c r="E5" s="73"/>
      <c r="F5" s="21"/>
      <c r="G5" s="3"/>
      <c r="H5" s="3"/>
      <c r="I5" s="3"/>
      <c r="J5" s="3"/>
      <c r="K5" s="3"/>
      <c r="M5" s="13"/>
    </row>
    <row r="6" spans="1:13">
      <c r="A6" s="4"/>
      <c r="B6" s="4"/>
      <c r="C6" s="4"/>
      <c r="D6" s="65"/>
      <c r="E6" s="74"/>
      <c r="F6" s="22"/>
      <c r="G6" s="5"/>
      <c r="H6" s="5"/>
      <c r="I6" s="5"/>
      <c r="J6" s="5"/>
      <c r="K6" s="5"/>
      <c r="M6" s="13"/>
    </row>
    <row r="7" spans="1:13">
      <c r="A7" s="6" t="s">
        <v>0</v>
      </c>
      <c r="B7" s="153" t="s">
        <v>198</v>
      </c>
      <c r="C7" s="153"/>
      <c r="D7" s="153"/>
      <c r="E7" s="153"/>
      <c r="F7" s="153"/>
      <c r="G7" s="153"/>
      <c r="H7" s="153"/>
      <c r="I7" s="153"/>
      <c r="J7" s="153"/>
      <c r="K7" s="153"/>
      <c r="M7" s="13"/>
    </row>
    <row r="8" spans="1:13">
      <c r="A8" s="6" t="s">
        <v>1</v>
      </c>
      <c r="B8" s="154"/>
      <c r="C8" s="154"/>
      <c r="D8" s="154"/>
      <c r="E8" s="154"/>
      <c r="F8" s="154"/>
      <c r="G8" s="154"/>
      <c r="H8" s="154"/>
      <c r="I8" s="154"/>
      <c r="J8" s="154"/>
      <c r="K8" s="154"/>
      <c r="M8" s="13"/>
    </row>
    <row r="9" spans="1:13" ht="15" customHeight="1">
      <c r="A9" s="6" t="s">
        <v>2</v>
      </c>
      <c r="B9" s="155" t="s">
        <v>199</v>
      </c>
      <c r="C9" s="156"/>
      <c r="D9" s="156"/>
      <c r="E9" s="156"/>
      <c r="F9" s="157"/>
      <c r="G9" s="10" t="s">
        <v>10</v>
      </c>
      <c r="H9" s="51" t="s">
        <v>49</v>
      </c>
      <c r="I9" s="7" t="s">
        <v>6</v>
      </c>
      <c r="J9" s="154" t="s">
        <v>44</v>
      </c>
      <c r="K9" s="154"/>
    </row>
    <row r="10" spans="1:13">
      <c r="A10" s="8" t="s">
        <v>3</v>
      </c>
      <c r="B10" s="158">
        <v>44294</v>
      </c>
      <c r="C10" s="159"/>
      <c r="D10" s="159"/>
      <c r="E10" s="159"/>
      <c r="F10" s="160"/>
      <c r="G10" s="10" t="s">
        <v>4</v>
      </c>
      <c r="H10" s="9" t="s">
        <v>5</v>
      </c>
      <c r="I10" s="7" t="s">
        <v>41</v>
      </c>
      <c r="J10" s="161" t="s">
        <v>8</v>
      </c>
      <c r="K10" s="162"/>
    </row>
    <row r="12" spans="1:13" ht="15.75" customHeight="1">
      <c r="A12" s="23" t="s">
        <v>45</v>
      </c>
      <c r="B12" s="24"/>
      <c r="C12" s="24"/>
      <c r="D12" s="66"/>
      <c r="E12" s="45"/>
      <c r="F12" s="25"/>
      <c r="G12" s="24"/>
      <c r="H12" s="24"/>
      <c r="I12" s="24"/>
      <c r="J12" s="24"/>
      <c r="K12" s="26"/>
    </row>
    <row r="13" spans="1:13" ht="15.75" customHeight="1">
      <c r="A13" s="27"/>
      <c r="B13" s="28"/>
      <c r="C13" s="28"/>
      <c r="D13" s="67"/>
      <c r="E13" s="75"/>
      <c r="F13" s="29"/>
      <c r="G13" s="28"/>
      <c r="H13" s="28"/>
      <c r="I13" s="30"/>
      <c r="J13" s="30"/>
      <c r="K13" s="31"/>
    </row>
    <row r="14" spans="1:13" ht="15.75" customHeight="1">
      <c r="A14" s="163" t="s">
        <v>35</v>
      </c>
      <c r="B14" s="164"/>
      <c r="C14" s="164"/>
      <c r="D14" s="198" t="s">
        <v>52</v>
      </c>
      <c r="E14" s="199"/>
      <c r="F14" s="165" t="s">
        <v>24</v>
      </c>
      <c r="G14" s="167"/>
      <c r="H14" s="89" t="s">
        <v>40</v>
      </c>
      <c r="I14" s="165" t="s">
        <v>39</v>
      </c>
      <c r="J14" s="167"/>
      <c r="K14" s="31"/>
    </row>
    <row r="15" spans="1:13" ht="15.75" customHeight="1">
      <c r="A15" s="180" t="s">
        <v>153</v>
      </c>
      <c r="B15" s="180"/>
      <c r="C15" s="180"/>
      <c r="D15" s="97">
        <v>3</v>
      </c>
      <c r="E15" s="79" t="s">
        <v>19</v>
      </c>
      <c r="F15" s="120">
        <v>15000</v>
      </c>
      <c r="G15" s="99" t="s">
        <v>119</v>
      </c>
      <c r="H15" s="100" t="s">
        <v>180</v>
      </c>
      <c r="I15" s="208">
        <f>D15*F15*('Dados Gerais'!$E$16)</f>
        <v>1215000</v>
      </c>
      <c r="J15" s="226"/>
      <c r="K15" s="31"/>
    </row>
    <row r="16" spans="1:13" ht="15.75" customHeight="1">
      <c r="A16" s="179" t="s">
        <v>214</v>
      </c>
      <c r="B16" s="179"/>
      <c r="C16" s="179"/>
      <c r="D16" s="101">
        <v>1</v>
      </c>
      <c r="E16" s="80" t="s">
        <v>19</v>
      </c>
      <c r="F16" s="121">
        <v>70000</v>
      </c>
      <c r="G16" s="103" t="s">
        <v>156</v>
      </c>
      <c r="H16" s="94" t="s">
        <v>180</v>
      </c>
      <c r="I16" s="202">
        <f>+D16*F16</f>
        <v>70000</v>
      </c>
      <c r="J16" s="205"/>
      <c r="K16" s="31"/>
    </row>
    <row r="17" spans="1:11" ht="15.75" customHeight="1">
      <c r="A17" s="179" t="s">
        <v>154</v>
      </c>
      <c r="B17" s="179"/>
      <c r="C17" s="179"/>
      <c r="D17" s="101">
        <v>1</v>
      </c>
      <c r="E17" s="80" t="s">
        <v>68</v>
      </c>
      <c r="F17" s="104">
        <f>150000+60000*2</f>
        <v>270000</v>
      </c>
      <c r="G17" s="103" t="s">
        <v>156</v>
      </c>
      <c r="H17" s="94" t="s">
        <v>180</v>
      </c>
      <c r="I17" s="202">
        <f>+D17*F17</f>
        <v>270000</v>
      </c>
      <c r="J17" s="205"/>
      <c r="K17" s="31"/>
    </row>
    <row r="18" spans="1:11" ht="15.75" customHeight="1">
      <c r="A18" s="179" t="s">
        <v>243</v>
      </c>
      <c r="B18" s="179"/>
      <c r="C18" s="179"/>
      <c r="D18" s="80">
        <v>1</v>
      </c>
      <c r="E18" s="80" t="s">
        <v>68</v>
      </c>
      <c r="F18" s="247">
        <f>75000</f>
        <v>75000</v>
      </c>
      <c r="G18" s="103" t="s">
        <v>156</v>
      </c>
      <c r="H18" s="94" t="s">
        <v>180</v>
      </c>
      <c r="I18" s="170">
        <f t="shared" ref="I18" si="0">+D18*F18</f>
        <v>75000</v>
      </c>
      <c r="J18" s="172"/>
      <c r="K18" s="31"/>
    </row>
    <row r="19" spans="1:11" ht="15.75" customHeight="1">
      <c r="A19" s="179" t="s">
        <v>246</v>
      </c>
      <c r="B19" s="179"/>
      <c r="C19" s="179"/>
      <c r="D19" s="101">
        <v>1</v>
      </c>
      <c r="E19" s="80" t="s">
        <v>68</v>
      </c>
      <c r="F19" s="104">
        <v>100000</v>
      </c>
      <c r="G19" s="103" t="s">
        <v>156</v>
      </c>
      <c r="H19" s="94" t="s">
        <v>180</v>
      </c>
      <c r="I19" s="202">
        <f>+D19*F19</f>
        <v>100000</v>
      </c>
      <c r="J19" s="205"/>
      <c r="K19" s="31"/>
    </row>
    <row r="20" spans="1:11" ht="15.75" customHeight="1">
      <c r="A20" s="179" t="s">
        <v>247</v>
      </c>
      <c r="B20" s="179"/>
      <c r="C20" s="179"/>
      <c r="D20" s="101">
        <v>1</v>
      </c>
      <c r="E20" s="80" t="s">
        <v>68</v>
      </c>
      <c r="F20" s="104">
        <f>Instalações!I54</f>
        <v>965760</v>
      </c>
      <c r="G20" s="103" t="s">
        <v>156</v>
      </c>
      <c r="H20" s="94" t="s">
        <v>180</v>
      </c>
      <c r="I20" s="202">
        <f>+D20*F20</f>
        <v>965760</v>
      </c>
      <c r="J20" s="205"/>
      <c r="K20" s="31"/>
    </row>
    <row r="21" spans="1:11" ht="15.75" customHeight="1">
      <c r="A21" s="200" t="s">
        <v>43</v>
      </c>
      <c r="B21" s="200"/>
      <c r="C21" s="200"/>
      <c r="D21" s="200"/>
      <c r="E21" s="200"/>
      <c r="F21" s="200"/>
      <c r="G21" s="200"/>
      <c r="H21" s="200"/>
      <c r="I21" s="201">
        <f>SUM(I15:J20)</f>
        <v>2695760</v>
      </c>
      <c r="J21" s="201"/>
      <c r="K21" s="39"/>
    </row>
    <row r="22" spans="1:11" ht="15.75" customHeight="1">
      <c r="A22" s="181"/>
      <c r="B22" s="182"/>
      <c r="C22" s="182"/>
      <c r="D22" s="182"/>
      <c r="E22" s="182"/>
      <c r="F22" s="182"/>
      <c r="G22" s="182"/>
      <c r="H22" s="182"/>
      <c r="I22" s="96"/>
      <c r="J22" s="41"/>
      <c r="K22" s="43"/>
    </row>
    <row r="24" spans="1:11">
      <c r="J24" s="91">
        <f>I21</f>
        <v>2695760</v>
      </c>
    </row>
  </sheetData>
  <mergeCells count="26">
    <mergeCell ref="B10:F10"/>
    <mergeCell ref="J10:K10"/>
    <mergeCell ref="A2:K4"/>
    <mergeCell ref="B7:K7"/>
    <mergeCell ref="B8:K8"/>
    <mergeCell ref="B9:F9"/>
    <mergeCell ref="J9:K9"/>
    <mergeCell ref="A14:C14"/>
    <mergeCell ref="D14:E14"/>
    <mergeCell ref="F14:G14"/>
    <mergeCell ref="I14:J14"/>
    <mergeCell ref="A15:C15"/>
    <mergeCell ref="I15:J15"/>
    <mergeCell ref="A16:C16"/>
    <mergeCell ref="I16:J16"/>
    <mergeCell ref="A22:H22"/>
    <mergeCell ref="A17:C17"/>
    <mergeCell ref="I17:J17"/>
    <mergeCell ref="A21:H21"/>
    <mergeCell ref="I21:J21"/>
    <mergeCell ref="A19:C19"/>
    <mergeCell ref="I19:J19"/>
    <mergeCell ref="A20:C20"/>
    <mergeCell ref="I20:J20"/>
    <mergeCell ref="A18:C18"/>
    <mergeCell ref="I18:J18"/>
  </mergeCells>
  <dataValidations disablePrompts="1" count="1">
    <dataValidation type="list" allowBlank="1" showInputMessage="1" showErrorMessage="1" sqref="J10" xr:uid="{00000000-0002-0000-0F00-000000000000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3C66"/>
  </sheetPr>
  <dimension ref="A1:M23"/>
  <sheetViews>
    <sheetView showGridLines="0" tabSelected="1" topLeftCell="A7" zoomScaleNormal="100" zoomScaleSheetLayoutView="95" workbookViewId="0">
      <selection activeCell="L18" sqref="L18"/>
    </sheetView>
  </sheetViews>
  <sheetFormatPr defaultColWidth="9.109375" defaultRowHeight="13.2"/>
  <cols>
    <col min="1" max="1" width="17.44140625" style="12" customWidth="1"/>
    <col min="2" max="2" width="9.88671875" style="12" customWidth="1"/>
    <col min="3" max="3" width="8.88671875" style="12" customWidth="1"/>
    <col min="4" max="4" width="14" style="70" customWidth="1"/>
    <col min="5" max="5" width="7.5546875" style="76" customWidth="1"/>
    <col min="6" max="6" width="11.5546875" style="19" customWidth="1"/>
    <col min="7" max="7" width="15.88671875" style="12" customWidth="1"/>
    <col min="8" max="8" width="12.88671875" style="12" customWidth="1"/>
    <col min="9" max="9" width="9.33203125" style="12" customWidth="1"/>
    <col min="10" max="10" width="13.109375" style="12" bestFit="1" customWidth="1"/>
    <col min="11" max="11" width="6.44140625" style="12" customWidth="1"/>
    <col min="12" max="12" width="11.5546875" style="12" bestFit="1" customWidth="1"/>
    <col min="13" max="16384" width="9.109375" style="12"/>
  </cols>
  <sheetData>
    <row r="1" spans="1:13">
      <c r="A1" s="1"/>
      <c r="B1" s="1"/>
      <c r="C1" s="1"/>
      <c r="D1" s="63"/>
      <c r="E1" s="72"/>
      <c r="F1" s="20"/>
      <c r="G1" s="1"/>
      <c r="H1" s="1"/>
      <c r="I1" s="1"/>
      <c r="J1" s="1"/>
      <c r="K1" s="1"/>
      <c r="M1" s="13"/>
    </row>
    <row r="2" spans="1:13">
      <c r="A2" s="151" t="s">
        <v>152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M2" s="13"/>
    </row>
    <row r="3" spans="1:13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  <c r="M3" s="13"/>
    </row>
    <row r="4" spans="1:13">
      <c r="A4" s="152"/>
      <c r="B4" s="152"/>
      <c r="C4" s="152"/>
      <c r="D4" s="152"/>
      <c r="E4" s="152"/>
      <c r="F4" s="152"/>
      <c r="G4" s="152"/>
      <c r="H4" s="152"/>
      <c r="I4" s="152"/>
      <c r="J4" s="152"/>
      <c r="K4" s="152"/>
      <c r="M4" s="13"/>
    </row>
    <row r="5" spans="1:13" ht="13.8" thickBot="1">
      <c r="A5" s="2"/>
      <c r="B5" s="2"/>
      <c r="C5" s="2"/>
      <c r="D5" s="64"/>
      <c r="E5" s="73"/>
      <c r="F5" s="21"/>
      <c r="G5" s="3"/>
      <c r="H5" s="3"/>
      <c r="I5" s="3"/>
      <c r="J5" s="3"/>
      <c r="K5" s="3"/>
      <c r="M5" s="13"/>
    </row>
    <row r="6" spans="1:13">
      <c r="A6" s="4"/>
      <c r="B6" s="4"/>
      <c r="C6" s="4"/>
      <c r="D6" s="65"/>
      <c r="E6" s="74"/>
      <c r="F6" s="22"/>
      <c r="G6" s="5"/>
      <c r="H6" s="5"/>
      <c r="I6" s="5"/>
      <c r="J6" s="5"/>
      <c r="K6" s="5"/>
      <c r="M6" s="13"/>
    </row>
    <row r="7" spans="1:13">
      <c r="A7" s="6" t="s">
        <v>0</v>
      </c>
      <c r="B7" s="153" t="s">
        <v>198</v>
      </c>
      <c r="C7" s="153"/>
      <c r="D7" s="153"/>
      <c r="E7" s="153"/>
      <c r="F7" s="153"/>
      <c r="G7" s="153"/>
      <c r="H7" s="153"/>
      <c r="I7" s="153"/>
      <c r="J7" s="153"/>
      <c r="K7" s="153"/>
      <c r="M7" s="13"/>
    </row>
    <row r="8" spans="1:13">
      <c r="A8" s="6" t="s">
        <v>1</v>
      </c>
      <c r="B8" s="154"/>
      <c r="C8" s="154"/>
      <c r="D8" s="154"/>
      <c r="E8" s="154"/>
      <c r="F8" s="154"/>
      <c r="G8" s="154"/>
      <c r="H8" s="154"/>
      <c r="I8" s="154"/>
      <c r="J8" s="154"/>
      <c r="K8" s="154"/>
      <c r="M8" s="13"/>
    </row>
    <row r="9" spans="1:13" ht="15" customHeight="1">
      <c r="A9" s="6" t="s">
        <v>2</v>
      </c>
      <c r="B9" s="155" t="s">
        <v>199</v>
      </c>
      <c r="C9" s="156"/>
      <c r="D9" s="156"/>
      <c r="E9" s="156"/>
      <c r="F9" s="157"/>
      <c r="G9" s="10" t="s">
        <v>10</v>
      </c>
      <c r="H9" s="51" t="s">
        <v>49</v>
      </c>
      <c r="I9" s="7" t="s">
        <v>6</v>
      </c>
      <c r="J9" s="154" t="s">
        <v>44</v>
      </c>
      <c r="K9" s="154"/>
    </row>
    <row r="10" spans="1:13">
      <c r="A10" s="8" t="s">
        <v>3</v>
      </c>
      <c r="B10" s="158">
        <v>44294</v>
      </c>
      <c r="C10" s="159"/>
      <c r="D10" s="159"/>
      <c r="E10" s="159"/>
      <c r="F10" s="160"/>
      <c r="G10" s="10" t="s">
        <v>4</v>
      </c>
      <c r="H10" s="9" t="s">
        <v>5</v>
      </c>
      <c r="I10" s="7" t="s">
        <v>41</v>
      </c>
      <c r="J10" s="161" t="s">
        <v>8</v>
      </c>
      <c r="K10" s="162"/>
    </row>
    <row r="12" spans="1:13" ht="15.75" customHeight="1">
      <c r="A12" s="23" t="s">
        <v>157</v>
      </c>
      <c r="B12" s="24"/>
      <c r="C12" s="24"/>
      <c r="D12" s="66"/>
      <c r="E12" s="45"/>
      <c r="F12" s="25"/>
      <c r="G12" s="24"/>
      <c r="H12" s="24"/>
      <c r="I12" s="24"/>
      <c r="J12" s="24"/>
      <c r="K12" s="26"/>
    </row>
    <row r="13" spans="1:13" ht="15.75" customHeight="1">
      <c r="A13" s="27"/>
      <c r="B13" s="28"/>
      <c r="C13" s="28"/>
      <c r="D13" s="67"/>
      <c r="E13" s="75"/>
      <c r="F13" s="29"/>
      <c r="G13" s="28"/>
      <c r="H13" s="28"/>
      <c r="I13" s="30"/>
      <c r="J13" s="30"/>
      <c r="K13" s="31"/>
    </row>
    <row r="14" spans="1:13" ht="15.75" customHeight="1">
      <c r="A14" s="163" t="s">
        <v>35</v>
      </c>
      <c r="B14" s="164"/>
      <c r="C14" s="164"/>
      <c r="D14" s="198" t="s">
        <v>52</v>
      </c>
      <c r="E14" s="199"/>
      <c r="F14" s="165" t="s">
        <v>24</v>
      </c>
      <c r="G14" s="167"/>
      <c r="H14" s="89" t="s">
        <v>40</v>
      </c>
      <c r="I14" s="165" t="s">
        <v>39</v>
      </c>
      <c r="J14" s="167"/>
      <c r="K14" s="31"/>
    </row>
    <row r="15" spans="1:13" ht="15.75" customHeight="1">
      <c r="A15" s="180" t="s">
        <v>158</v>
      </c>
      <c r="B15" s="180"/>
      <c r="C15" s="180"/>
      <c r="D15" s="97">
        <v>1</v>
      </c>
      <c r="E15" s="79" t="s">
        <v>68</v>
      </c>
      <c r="F15" s="90">
        <v>2500</v>
      </c>
      <c r="G15" s="99" t="s">
        <v>212</v>
      </c>
      <c r="H15" s="100" t="s">
        <v>180</v>
      </c>
      <c r="I15" s="208">
        <f>D15*F15*'Dados Gerais'!$E$22</f>
        <v>1962500</v>
      </c>
      <c r="J15" s="226"/>
      <c r="K15" s="31"/>
    </row>
    <row r="16" spans="1:13" ht="15.75" customHeight="1">
      <c r="A16" s="179" t="s">
        <v>159</v>
      </c>
      <c r="B16" s="179"/>
      <c r="C16" s="179"/>
      <c r="D16" s="101">
        <v>1</v>
      </c>
      <c r="E16" s="80" t="s">
        <v>68</v>
      </c>
      <c r="F16" s="104">
        <v>500</v>
      </c>
      <c r="G16" s="103" t="s">
        <v>212</v>
      </c>
      <c r="H16" s="94" t="s">
        <v>180</v>
      </c>
      <c r="I16" s="202">
        <f>D16*F16*'Dados Gerais'!$E$22</f>
        <v>392500</v>
      </c>
      <c r="J16" s="205"/>
      <c r="K16" s="31"/>
    </row>
    <row r="17" spans="1:12" ht="15.75" customHeight="1">
      <c r="A17" s="179" t="s">
        <v>160</v>
      </c>
      <c r="B17" s="179"/>
      <c r="C17" s="179"/>
      <c r="D17" s="101">
        <v>1</v>
      </c>
      <c r="E17" s="80" t="s">
        <v>68</v>
      </c>
      <c r="F17" s="104">
        <v>7</v>
      </c>
      <c r="G17" s="103" t="s">
        <v>25</v>
      </c>
      <c r="H17" s="94" t="s">
        <v>180</v>
      </c>
      <c r="I17" s="202">
        <f>D17*F17*'Dados Gerais'!$E$15</f>
        <v>143852.80000000002</v>
      </c>
      <c r="J17" s="205"/>
      <c r="K17" s="31"/>
      <c r="L17" s="91"/>
    </row>
    <row r="18" spans="1:12" ht="15.75" customHeight="1">
      <c r="A18" s="179" t="s">
        <v>161</v>
      </c>
      <c r="B18" s="179"/>
      <c r="C18" s="179"/>
      <c r="D18" s="101">
        <v>1</v>
      </c>
      <c r="E18" s="80" t="s">
        <v>68</v>
      </c>
      <c r="F18" s="104">
        <v>5</v>
      </c>
      <c r="G18" s="103" t="s">
        <v>25</v>
      </c>
      <c r="H18" s="94" t="s">
        <v>180</v>
      </c>
      <c r="I18" s="202">
        <f>D18*F18*'Dados Gerais'!$E$15</f>
        <v>102752</v>
      </c>
      <c r="J18" s="205"/>
      <c r="K18" s="31"/>
    </row>
    <row r="19" spans="1:12" ht="15.75" customHeight="1">
      <c r="A19" s="216" t="s">
        <v>162</v>
      </c>
      <c r="B19" s="216"/>
      <c r="C19" s="216"/>
      <c r="D19" s="101">
        <v>1</v>
      </c>
      <c r="E19" s="80" t="s">
        <v>68</v>
      </c>
      <c r="F19" s="104">
        <v>6.5</v>
      </c>
      <c r="G19" s="107" t="s">
        <v>25</v>
      </c>
      <c r="H19" s="94" t="s">
        <v>180</v>
      </c>
      <c r="I19" s="206">
        <f>D19*F19*'Dados Gerais'!$E$15</f>
        <v>133577.60000000001</v>
      </c>
      <c r="J19" s="207"/>
      <c r="K19" s="31"/>
    </row>
    <row r="20" spans="1:12" ht="15.75" customHeight="1">
      <c r="A20" s="200" t="s">
        <v>43</v>
      </c>
      <c r="B20" s="200"/>
      <c r="C20" s="200"/>
      <c r="D20" s="200"/>
      <c r="E20" s="200"/>
      <c r="F20" s="200"/>
      <c r="G20" s="200"/>
      <c r="H20" s="200"/>
      <c r="I20" s="201">
        <f>SUM(I15:J19)</f>
        <v>2735182.4</v>
      </c>
      <c r="J20" s="201"/>
      <c r="K20" s="39"/>
    </row>
    <row r="21" spans="1:12" ht="15.75" customHeight="1">
      <c r="A21" s="181"/>
      <c r="B21" s="182"/>
      <c r="C21" s="182"/>
      <c r="D21" s="182"/>
      <c r="E21" s="182"/>
      <c r="F21" s="182"/>
      <c r="G21" s="182"/>
      <c r="H21" s="182"/>
      <c r="I21" s="96"/>
      <c r="J21" s="41"/>
      <c r="K21" s="43"/>
    </row>
    <row r="22" spans="1:12">
      <c r="J22" s="91"/>
    </row>
    <row r="23" spans="1:12">
      <c r="J23" s="91">
        <f>I20</f>
        <v>2735182.4</v>
      </c>
    </row>
  </sheetData>
  <mergeCells count="24">
    <mergeCell ref="B10:F10"/>
    <mergeCell ref="J10:K10"/>
    <mergeCell ref="A2:K4"/>
    <mergeCell ref="B7:K7"/>
    <mergeCell ref="B8:K8"/>
    <mergeCell ref="B9:F9"/>
    <mergeCell ref="J9:K9"/>
    <mergeCell ref="A14:C14"/>
    <mergeCell ref="D14:E14"/>
    <mergeCell ref="F14:G14"/>
    <mergeCell ref="I14:J14"/>
    <mergeCell ref="A15:C15"/>
    <mergeCell ref="I15:J15"/>
    <mergeCell ref="A16:C16"/>
    <mergeCell ref="I16:J16"/>
    <mergeCell ref="A17:C17"/>
    <mergeCell ref="I17:J17"/>
    <mergeCell ref="A20:H20"/>
    <mergeCell ref="I20:J20"/>
    <mergeCell ref="A21:H21"/>
    <mergeCell ref="A18:C18"/>
    <mergeCell ref="I18:J18"/>
    <mergeCell ref="A19:C19"/>
    <mergeCell ref="I19:J19"/>
  </mergeCells>
  <dataValidations count="1">
    <dataValidation type="list" allowBlank="1" showInputMessage="1" showErrorMessage="1" sqref="J10" xr:uid="{00000000-0002-0000-1000-000000000000}">
      <formula1>$N$1:$N$6</formula1>
    </dataValidation>
  </dataValidation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18</vt:i4>
      </vt:variant>
      <vt:variant>
        <vt:lpstr>Intervalos Nomeados</vt:lpstr>
      </vt:variant>
      <vt:variant>
        <vt:i4>35</vt:i4>
      </vt:variant>
    </vt:vector>
  </HeadingPairs>
  <TitlesOfParts>
    <vt:vector size="53" baseType="lpstr">
      <vt:lpstr>Dados Gerais</vt:lpstr>
      <vt:lpstr>Resumo</vt:lpstr>
      <vt:lpstr>Movimentação de Terra</vt:lpstr>
      <vt:lpstr>Infraestrutura</vt:lpstr>
      <vt:lpstr>Supraestrutura</vt:lpstr>
      <vt:lpstr>Marina</vt:lpstr>
      <vt:lpstr>Alvenaria</vt:lpstr>
      <vt:lpstr>Instalações</vt:lpstr>
      <vt:lpstr>Impermeabilização</vt:lpstr>
      <vt:lpstr>Rev. Internos Piso e Parede</vt:lpstr>
      <vt:lpstr>Acabamentos de Teto</vt:lpstr>
      <vt:lpstr>Acabamentos de Piso e Parede</vt:lpstr>
      <vt:lpstr>Pintura Interna</vt:lpstr>
      <vt:lpstr>Esquadrias</vt:lpstr>
      <vt:lpstr>Rev. Fachada</vt:lpstr>
      <vt:lpstr>Cobertura</vt:lpstr>
      <vt:lpstr>Equipamentos</vt:lpstr>
      <vt:lpstr>Complementares</vt:lpstr>
      <vt:lpstr>'Acabamentos de Piso e Parede'!Area_de_impressao</vt:lpstr>
      <vt:lpstr>'Acabamentos de Teto'!Area_de_impressao</vt:lpstr>
      <vt:lpstr>Alvenaria!Area_de_impressao</vt:lpstr>
      <vt:lpstr>Cobertura!Area_de_impressao</vt:lpstr>
      <vt:lpstr>Complementares!Area_de_impressao</vt:lpstr>
      <vt:lpstr>Equipamentos!Area_de_impressao</vt:lpstr>
      <vt:lpstr>Esquadrias!Area_de_impressao</vt:lpstr>
      <vt:lpstr>Impermeabilização!Area_de_impressao</vt:lpstr>
      <vt:lpstr>Infraestrutura!Area_de_impressao</vt:lpstr>
      <vt:lpstr>Instalações!Area_de_impressao</vt:lpstr>
      <vt:lpstr>Marina!Area_de_impressao</vt:lpstr>
      <vt:lpstr>'Movimentação de Terra'!Area_de_impressao</vt:lpstr>
      <vt:lpstr>'Pintura Interna'!Area_de_impressao</vt:lpstr>
      <vt:lpstr>Resumo!Area_de_impressao</vt:lpstr>
      <vt:lpstr>'Rev. Fachada'!Area_de_impressao</vt:lpstr>
      <vt:lpstr>'Rev. Internos Piso e Parede'!Area_de_impressao</vt:lpstr>
      <vt:lpstr>Supraestrutura!Area_de_impressao</vt:lpstr>
      <vt:lpstr>'Acabamentos de Piso e Parede'!Titulos_de_impressao</vt:lpstr>
      <vt:lpstr>'Acabamentos de Teto'!Titulos_de_impressao</vt:lpstr>
      <vt:lpstr>Alvenaria!Titulos_de_impressao</vt:lpstr>
      <vt:lpstr>Cobertura!Titulos_de_impressao</vt:lpstr>
      <vt:lpstr>Complementares!Titulos_de_impressao</vt:lpstr>
      <vt:lpstr>'Dados Gerais'!Titulos_de_impressao</vt:lpstr>
      <vt:lpstr>Equipamentos!Titulos_de_impressao</vt:lpstr>
      <vt:lpstr>Esquadrias!Titulos_de_impressao</vt:lpstr>
      <vt:lpstr>Impermeabilização!Titulos_de_impressao</vt:lpstr>
      <vt:lpstr>Infraestrutura!Titulos_de_impressao</vt:lpstr>
      <vt:lpstr>Instalações!Titulos_de_impressao</vt:lpstr>
      <vt:lpstr>Marina!Titulos_de_impressao</vt:lpstr>
      <vt:lpstr>'Movimentação de Terra'!Titulos_de_impressao</vt:lpstr>
      <vt:lpstr>'Pintura Interna'!Titulos_de_impressao</vt:lpstr>
      <vt:lpstr>Resumo!Titulos_de_impressao</vt:lpstr>
      <vt:lpstr>'Rev. Fachada'!Titulos_de_impressao</vt:lpstr>
      <vt:lpstr>'Rev. Internos Piso e Parede'!Titulos_de_impressao</vt:lpstr>
      <vt:lpstr>Supraestrutura!Titulos_de_impressao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 Oliveira</dc:creator>
  <cp:lastModifiedBy>Luisa Romaniello</cp:lastModifiedBy>
  <cp:lastPrinted>2020-09-28T02:21:03Z</cp:lastPrinted>
  <dcterms:created xsi:type="dcterms:W3CDTF">2013-07-31T19:52:57Z</dcterms:created>
  <dcterms:modified xsi:type="dcterms:W3CDTF">2021-09-21T20:50:29Z</dcterms:modified>
</cp:coreProperties>
</file>