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OTA 08.2021\365 (antigo Afonso Pena)\03. Custo\01.3 Orçamento Paramétrico\Parametrico 2024\"/>
    </mc:Choice>
  </mc:AlternateContent>
  <xr:revisionPtr revIDLastSave="0" documentId="13_ncr:1_{E915BB83-9FCD-42AA-A01B-89A605E37FA9}" xr6:coauthVersionLast="47" xr6:coauthVersionMax="47" xr10:uidLastSave="{00000000-0000-0000-0000-000000000000}"/>
  <bookViews>
    <workbookView xWindow="1140" yWindow="1695" windowWidth="17160" windowHeight="11310" tabRatio="849" firstSheet="12" activeTab="13" xr2:uid="{00000000-000D-0000-FFFF-FFFF00000000}"/>
  </bookViews>
  <sheets>
    <sheet name="DADOS_INICIAIS" sheetId="46" r:id="rId1"/>
    <sheet name="MÃO DE OBRA" sheetId="69" r:id="rId2"/>
    <sheet name="MOVIMENTAÇÃO_DE_TERRA" sheetId="47" r:id="rId3"/>
    <sheet name="CONTENÇÕES" sheetId="49" state="hidden" r:id="rId4"/>
    <sheet name="INFRAESTRUTURA" sheetId="21" r:id="rId5"/>
    <sheet name="CONTENÇÃO" sheetId="67" r:id="rId6"/>
    <sheet name="SUPRAESTRUTURA" sheetId="48" r:id="rId7"/>
    <sheet name="ALVENARIA" sheetId="61" r:id="rId8"/>
    <sheet name="INSTALAÇÕES" sheetId="58" r:id="rId9"/>
    <sheet name="SISTEMAS ESPECIAIS" sheetId="59" r:id="rId10"/>
    <sheet name="IMPERMEABILIZAÇÃO" sheetId="62" r:id="rId11"/>
    <sheet name="Rev. Internos Piso e Parede" sheetId="51" r:id="rId12"/>
    <sheet name="TETO" sheetId="63" r:id="rId13"/>
    <sheet name="Acabamentos de Piso e Parede" sheetId="53" r:id="rId14"/>
    <sheet name="PINTURA INTERNA" sheetId="64" r:id="rId15"/>
    <sheet name="ESQUADRIAS" sheetId="65" r:id="rId16"/>
    <sheet name="COBERTURA" sheetId="66" r:id="rId17"/>
    <sheet name="Rev. Fachada" sheetId="55" r:id="rId18"/>
    <sheet name="COMPLEMENTARES" sheetId="60" r:id="rId19"/>
    <sheet name="Auxiliar" sheetId="36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\0" localSheetId="16">#REF!</definedName>
    <definedName name="\0" localSheetId="18">#REF!</definedName>
    <definedName name="\0" localSheetId="0">#REF!</definedName>
    <definedName name="\0" localSheetId="8">#REF!</definedName>
    <definedName name="\0" localSheetId="2">#REF!</definedName>
    <definedName name="\0" localSheetId="9">#REF!</definedName>
    <definedName name="\0">#REF!</definedName>
    <definedName name="\a" localSheetId="0">#REF!</definedName>
    <definedName name="\a">#REF!</definedName>
    <definedName name="\m" localSheetId="0">#REF!</definedName>
    <definedName name="\m">#REF!</definedName>
    <definedName name="_xlnm._FilterDatabase" localSheetId="19" hidden="1">Auxiliar!$A$1:$D$68</definedName>
    <definedName name="_xlnm._FilterDatabase" localSheetId="0" hidden="1">DADOS_INICIAIS!#REF!</definedName>
    <definedName name="aa" localSheetId="0">#REF!</definedName>
    <definedName name="aa">#REF!</definedName>
    <definedName name="aaaa" localSheetId="16">'[1]M.O.'!#REF!</definedName>
    <definedName name="aaaa" localSheetId="18">'[1]M.O.'!#REF!</definedName>
    <definedName name="aaaa" localSheetId="0">'[1]M.O.'!#REF!</definedName>
    <definedName name="aaaa" localSheetId="8">'[1]M.O.'!#REF!</definedName>
    <definedName name="aaaa" localSheetId="2">'[1]M.O.'!#REF!</definedName>
    <definedName name="aaaa" localSheetId="9">'[1]M.O.'!#REF!</definedName>
    <definedName name="aaaa">'[1]M.O.'!#REF!</definedName>
    <definedName name="angelo" localSheetId="16">[2]Geral!#REF!</definedName>
    <definedName name="angelo" localSheetId="18">[2]Geral!#REF!</definedName>
    <definedName name="angelo" localSheetId="0">[2]Geral!#REF!</definedName>
    <definedName name="angelo" localSheetId="8">[2]Geral!#REF!</definedName>
    <definedName name="angelo" localSheetId="2">[2]Geral!#REF!</definedName>
    <definedName name="angelo" localSheetId="9">[2]Geral!#REF!</definedName>
    <definedName name="angelo">[2]Geral!#REF!</definedName>
    <definedName name="area">#REF!</definedName>
    <definedName name="_xlnm.Print_Area" localSheetId="13">'Acabamentos de Piso e Parede'!$A$1:$H$31</definedName>
    <definedName name="_xlnm.Print_Area" localSheetId="7">ALVENARIA!$A$1:$I$19</definedName>
    <definedName name="_xlnm.Print_Area" localSheetId="16">COBERTURA!$A$1:$H$13</definedName>
    <definedName name="_xlnm.Print_Area" localSheetId="18">COMPLEMENTARES!$A$1:$G$17</definedName>
    <definedName name="_xlnm.Print_Area" localSheetId="5">CONTENÇÃO!$A$1:$I$30</definedName>
    <definedName name="_xlnm.Print_Area" localSheetId="3">CONTENÇÕES!$A$1:$I$45</definedName>
    <definedName name="_xlnm.Print_Area" localSheetId="0">DADOS_INICIAIS!$A$1:$G$30</definedName>
    <definedName name="_xlnm.Print_Area" localSheetId="15">ESQUADRIAS!$A$1:$I$21</definedName>
    <definedName name="_xlnm.Print_Area" localSheetId="10">IMPERMEABILIZAÇÃO!$A$1:$I$19</definedName>
    <definedName name="_xlnm.Print_Area" localSheetId="4">INFRAESTRUTURA!$A$1:$I$34</definedName>
    <definedName name="_xlnm.Print_Area" localSheetId="8">INSTALAÇÕES!$A$1:$E$33</definedName>
    <definedName name="_xlnm.Print_Area" localSheetId="1">'MÃO DE OBRA'!$A$1:$D$37</definedName>
    <definedName name="_xlnm.Print_Area" localSheetId="2">MOVIMENTAÇÃO_DE_TERRA!$A$1:$G$27</definedName>
    <definedName name="_xlnm.Print_Area" localSheetId="14">'PINTURA INTERNA'!$A$1:$I$16</definedName>
    <definedName name="_xlnm.Print_Area" localSheetId="17">'Rev. Fachada'!$A$1:$H$23</definedName>
    <definedName name="_xlnm.Print_Area" localSheetId="11">'Rev. Internos Piso e Parede'!$A$1:$H$22</definedName>
    <definedName name="_xlnm.Print_Area" localSheetId="9">'SISTEMAS ESPECIAIS'!$A$1:$E$37</definedName>
    <definedName name="_xlnm.Print_Area" localSheetId="6">SUPRAESTRUTURA!$A$1:$I$18</definedName>
    <definedName name="_xlnm.Print_Area" localSheetId="12">TETO!$A$1:$I$15</definedName>
    <definedName name="_xlnm.Print_Area">#REF!</definedName>
    <definedName name="aux" localSheetId="16">#REF!</definedName>
    <definedName name="aux" localSheetId="18">#REF!</definedName>
    <definedName name="aux" localSheetId="0">#REF!</definedName>
    <definedName name="aux" localSheetId="8">#REF!</definedName>
    <definedName name="aux" localSheetId="2">#REF!</definedName>
    <definedName name="aux" localSheetId="9">#REF!</definedName>
    <definedName name="aux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18" hidden="1">{#N/A,#N/A,FALSE,"ET-CAPA";#N/A,#N/A,FALSE,"ET-PAG1";#N/A,#N/A,FALSE,"ET-PAG2";#N/A,#N/A,FALSE,"ET-PAG3";#N/A,#N/A,FALSE,"ET-PAG4";#N/A,#N/A,FALSE,"ET-PAG5"}</definedName>
    <definedName name="eee" localSheetId="5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8" hidden="1">{#N/A,#N/A,FALSE,"ET-CAPA";#N/A,#N/A,FALSE,"ET-PAG1";#N/A,#N/A,FALSE,"ET-PAG2";#N/A,#N/A,FALSE,"ET-PAG3";#N/A,#N/A,FALSE,"ET-PAG4";#N/A,#N/A,FALSE,"ET-PAG5"}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9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16">#REF!</definedName>
    <definedName name="FFFFFFF" localSheetId="18">#REF!</definedName>
    <definedName name="FFFFFFF" localSheetId="0">#REF!</definedName>
    <definedName name="FFFFFFF" localSheetId="8">#REF!</definedName>
    <definedName name="FFFFFFF" localSheetId="2">#REF!</definedName>
    <definedName name="FFFFFFF" localSheetId="9">#REF!</definedName>
    <definedName name="FFFFFFF">#REF!</definedName>
    <definedName name="item_1" localSheetId="16">#REF!</definedName>
    <definedName name="item_1" localSheetId="18">#REF!</definedName>
    <definedName name="item_1" localSheetId="0">#REF!</definedName>
    <definedName name="item_1" localSheetId="8">#REF!</definedName>
    <definedName name="item_1" localSheetId="2">#REF!</definedName>
    <definedName name="item_1" localSheetId="9">#REF!</definedName>
    <definedName name="item_1">#REF!</definedName>
    <definedName name="LS" localSheetId="16">'[1]M.O.'!#REF!</definedName>
    <definedName name="LS" localSheetId="18">'[1]M.O.'!#REF!</definedName>
    <definedName name="LS" localSheetId="0">'[1]M.O.'!#REF!</definedName>
    <definedName name="LS" localSheetId="8">'[1]M.O.'!#REF!</definedName>
    <definedName name="LS" localSheetId="2">'[1]M.O.'!#REF!</definedName>
    <definedName name="LS" localSheetId="9">'[1]M.O.'!#REF!</definedName>
    <definedName name="LS">'[1]M.O.'!#REF!</definedName>
    <definedName name="MENU" localSheetId="16">#REF!</definedName>
    <definedName name="MENU" localSheetId="18">#REF!</definedName>
    <definedName name="MENU" localSheetId="0">#REF!</definedName>
    <definedName name="MENU" localSheetId="8">#REF!</definedName>
    <definedName name="MENU" localSheetId="2">#REF!</definedName>
    <definedName name="MENU" localSheetId="9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 localSheetId="16">#REF!</definedName>
    <definedName name="PAV" localSheetId="18">#REF!</definedName>
    <definedName name="PAV" localSheetId="0">#REF!</definedName>
    <definedName name="PAV" localSheetId="8">#REF!</definedName>
    <definedName name="PAV" localSheetId="2">#REF!</definedName>
    <definedName name="PAV" localSheetId="9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 localSheetId="13">'Acabamentos de Piso e Parede'!$7:$11</definedName>
    <definedName name="_xlnm.Print_Titles" localSheetId="7">ALVENARIA!$2:$2</definedName>
    <definedName name="_xlnm.Print_Titles" localSheetId="16">COBERTURA!#REF!</definedName>
    <definedName name="_xlnm.Print_Titles" localSheetId="18">COMPLEMENTARES!#REF!</definedName>
    <definedName name="_xlnm.Print_Titles" localSheetId="5">CONTENÇÃO!$2:$2</definedName>
    <definedName name="_xlnm.Print_Titles" localSheetId="3">CONTENÇÕES!$2:$2</definedName>
    <definedName name="_xlnm.Print_Titles" localSheetId="0">DADOS_INICIAIS!$1:$6</definedName>
    <definedName name="_xlnm.Print_Titles" localSheetId="15">ESQUADRIAS!$2:$2</definedName>
    <definedName name="_xlnm.Print_Titles" localSheetId="10">IMPERMEABILIZAÇÃO!$2:$2</definedName>
    <definedName name="_xlnm.Print_Titles" localSheetId="4">INFRAESTRUTURA!$2:$2</definedName>
    <definedName name="_xlnm.Print_Titles" localSheetId="8">INSTALAÇÕES!#REF!</definedName>
    <definedName name="_xlnm.Print_Titles" localSheetId="2">MOVIMENTAÇÃO_DE_TERRA!#REF!</definedName>
    <definedName name="_xlnm.Print_Titles" localSheetId="14">'PINTURA INTERNA'!$2:$2</definedName>
    <definedName name="_xlnm.Print_Titles" localSheetId="17">'Rev. Fachada'!$7:$11</definedName>
    <definedName name="_xlnm.Print_Titles" localSheetId="11">'Rev. Internos Piso e Parede'!$7:$11</definedName>
    <definedName name="_xlnm.Print_Titles" localSheetId="9">'SISTEMAS ESPECIAIS'!#REF!</definedName>
    <definedName name="_xlnm.Print_Titles" localSheetId="6">SUPRAESTRUTURA!$2:$2</definedName>
    <definedName name="_xlnm.Print_Titles" localSheetId="12">TETO!$2:$2</definedName>
    <definedName name="_xlnm.Print_Titles">#REF!</definedName>
    <definedName name="TOT" localSheetId="16">#REF!</definedName>
    <definedName name="TOT" localSheetId="18">#REF!</definedName>
    <definedName name="TOT" localSheetId="0">#REF!</definedName>
    <definedName name="TOT" localSheetId="8">#REF!</definedName>
    <definedName name="TOT" localSheetId="2">#REF!</definedName>
    <definedName name="TOT" localSheetId="9">#REF!</definedName>
    <definedName name="TOT">#REF!</definedName>
    <definedName name="Total" localSheetId="0">#REF!</definedName>
    <definedName name="Total">#REF!</definedName>
    <definedName name="TRP">#REF!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18" hidden="1">{#N/A,#N/A,FALSE,"ET-CAPA";#N/A,#N/A,FALSE,"ET-PAG1";#N/A,#N/A,FALSE,"ET-PAG2";#N/A,#N/A,FALSE,"ET-PAG3";#N/A,#N/A,FALSE,"ET-PAG4";#N/A,#N/A,FALSE,"ET-PAG5"}</definedName>
    <definedName name="u" localSheetId="5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8" hidden="1">{#N/A,#N/A,FALSE,"ET-CAPA";#N/A,#N/A,FALSE,"ET-PAG1";#N/A,#N/A,FALSE,"ET-PAG2";#N/A,#N/A,FALSE,"ET-PAG3";#N/A,#N/A,FALSE,"ET-PAG4";#N/A,#N/A,FALSE,"ET-PAG5"}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9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18" hidden="1">{#N/A,#N/A,FALSE,"ET-CAPA";#N/A,#N/A,FALSE,"ET-PAG1";#N/A,#N/A,FALSE,"ET-PAG2";#N/A,#N/A,FALSE,"ET-PAG3";#N/A,#N/A,FALSE,"ET-PAG4";#N/A,#N/A,FALSE,"ET-PAG5"}</definedName>
    <definedName name="wrn.GERAL." localSheetId="5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16">#REF!</definedName>
    <definedName name="xxxx" localSheetId="18">#REF!</definedName>
    <definedName name="xxxx" localSheetId="0">#REF!</definedName>
    <definedName name="xxxx" localSheetId="8">#REF!</definedName>
    <definedName name="xxxx" localSheetId="2">#REF!</definedName>
    <definedName name="xxxx" localSheetId="9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59" l="1"/>
  <c r="G16" i="51"/>
  <c r="B46" i="53"/>
  <c r="B15" i="53"/>
  <c r="I14" i="53"/>
  <c r="G30" i="53"/>
  <c r="F14" i="64"/>
  <c r="F13" i="64"/>
  <c r="F26" i="47" l="1"/>
  <c r="F17" i="47"/>
  <c r="F10" i="47"/>
  <c r="F11" i="47"/>
  <c r="F9" i="47"/>
  <c r="F24" i="47"/>
  <c r="F23" i="47"/>
  <c r="G20" i="21"/>
  <c r="G21" i="21"/>
  <c r="G19" i="21"/>
  <c r="G18" i="21"/>
  <c r="G16" i="21"/>
  <c r="G14" i="21"/>
  <c r="F33" i="47"/>
  <c r="F32" i="47"/>
  <c r="F12" i="60"/>
  <c r="G15" i="55"/>
  <c r="G21" i="55"/>
  <c r="K19" i="55"/>
  <c r="K18" i="55"/>
  <c r="L22" i="55" s="1"/>
  <c r="B15" i="55"/>
  <c r="D9" i="66"/>
  <c r="D10" i="66" s="1"/>
  <c r="F19" i="65"/>
  <c r="D14" i="65"/>
  <c r="G14" i="65" s="1"/>
  <c r="D13" i="65"/>
  <c r="D18" i="65"/>
  <c r="D16" i="65"/>
  <c r="D19" i="65"/>
  <c r="D17" i="65"/>
  <c r="D11" i="65"/>
  <c r="G14" i="64"/>
  <c r="G13" i="64"/>
  <c r="G15" i="64" s="1"/>
  <c r="G12" i="64"/>
  <c r="G11" i="64"/>
  <c r="G10" i="64"/>
  <c r="F12" i="64"/>
  <c r="F11" i="64"/>
  <c r="D14" i="64"/>
  <c r="D12" i="64"/>
  <c r="D11" i="64"/>
  <c r="D13" i="64"/>
  <c r="F12" i="47" l="1"/>
  <c r="D10" i="65"/>
  <c r="B10" i="65" s="1"/>
  <c r="G22" i="53"/>
  <c r="G18" i="53"/>
  <c r="G25" i="53"/>
  <c r="G23" i="53"/>
  <c r="D19" i="53" l="1"/>
  <c r="G20" i="51" l="1"/>
  <c r="G18" i="51"/>
  <c r="G19" i="51"/>
  <c r="D37" i="59"/>
  <c r="D12" i="59"/>
  <c r="D11" i="59"/>
  <c r="B9" i="59"/>
  <c r="G36" i="61"/>
  <c r="F14" i="61"/>
  <c r="G18" i="67" l="1"/>
  <c r="G17" i="67"/>
  <c r="G16" i="67"/>
  <c r="G14" i="67"/>
  <c r="G13" i="67"/>
  <c r="G12" i="67"/>
  <c r="G15" i="67"/>
  <c r="F15" i="67"/>
  <c r="D12" i="69"/>
  <c r="D13" i="69"/>
  <c r="D14" i="69"/>
  <c r="D15" i="69"/>
  <c r="D16" i="69"/>
  <c r="D17" i="69"/>
  <c r="D18" i="69"/>
  <c r="D19" i="69"/>
  <c r="D20" i="69"/>
  <c r="D21" i="69"/>
  <c r="D22" i="69"/>
  <c r="D23" i="69"/>
  <c r="D24" i="69"/>
  <c r="D25" i="69"/>
  <c r="D26" i="69"/>
  <c r="D27" i="69"/>
  <c r="D28" i="69"/>
  <c r="D29" i="69"/>
  <c r="C30" i="69"/>
  <c r="G19" i="67" l="1"/>
  <c r="D30" i="69"/>
  <c r="F34" i="47"/>
  <c r="D9" i="47"/>
  <c r="D10" i="47"/>
  <c r="B26" i="53" l="1"/>
  <c r="G26" i="53" s="1"/>
  <c r="G16" i="61"/>
  <c r="G15" i="61"/>
  <c r="G11" i="61"/>
  <c r="G12" i="61"/>
  <c r="G13" i="61"/>
  <c r="G14" i="61"/>
  <c r="D14" i="61"/>
  <c r="B14" i="61"/>
  <c r="B27" i="53"/>
  <c r="G27" i="53" s="1"/>
  <c r="B20" i="53"/>
  <c r="G20" i="53" s="1"/>
  <c r="B18" i="51"/>
  <c r="B19" i="51"/>
  <c r="B20" i="51"/>
  <c r="B43" i="53"/>
  <c r="B21" i="53" s="1"/>
  <c r="B50" i="53"/>
  <c r="B49" i="53"/>
  <c r="B29" i="53" s="1"/>
  <c r="G29" i="53" s="1"/>
  <c r="B48" i="53"/>
  <c r="B28" i="53" s="1"/>
  <c r="B17" i="51"/>
  <c r="B16" i="51"/>
  <c r="B39" i="53"/>
  <c r="B15" i="51" s="1"/>
  <c r="D10" i="64" s="1"/>
  <c r="B42" i="53"/>
  <c r="B19" i="53" s="1"/>
  <c r="B44" i="53"/>
  <c r="B24" i="53" s="1"/>
  <c r="B38" i="53"/>
  <c r="B40" i="53"/>
  <c r="B17" i="53" s="1"/>
  <c r="G17" i="53" s="1"/>
  <c r="B37" i="53"/>
  <c r="B16" i="53" s="1"/>
  <c r="B36" i="53"/>
  <c r="D9" i="60"/>
  <c r="F9" i="60" s="1"/>
  <c r="D13" i="63"/>
  <c r="D12" i="63"/>
  <c r="D15" i="62"/>
  <c r="D16" i="62"/>
  <c r="G16" i="62" s="1"/>
  <c r="D11" i="62"/>
  <c r="D27" i="59"/>
  <c r="D11" i="67"/>
  <c r="D13" i="67" s="1"/>
  <c r="D27" i="67"/>
  <c r="G27" i="67" s="1"/>
  <c r="F26" i="67"/>
  <c r="D26" i="67"/>
  <c r="D25" i="67"/>
  <c r="G25" i="67" s="1"/>
  <c r="G24" i="67"/>
  <c r="D12" i="67"/>
  <c r="G10" i="67"/>
  <c r="D16" i="67" l="1"/>
  <c r="G26" i="67"/>
  <c r="G28" i="67" s="1"/>
  <c r="G11" i="67"/>
  <c r="B27" i="67"/>
  <c r="D15" i="67" l="1"/>
  <c r="G31" i="67" s="1"/>
  <c r="G30" i="48"/>
  <c r="D30" i="48"/>
  <c r="F29" i="48"/>
  <c r="B31" i="21"/>
  <c r="F25" i="48"/>
  <c r="D24" i="48"/>
  <c r="H31" i="67" l="1"/>
  <c r="H33" i="67" s="1"/>
  <c r="D29" i="21"/>
  <c r="G29" i="21" s="1"/>
  <c r="D33" i="47"/>
  <c r="D32" i="47"/>
  <c r="H33" i="47"/>
  <c r="A14" i="46"/>
  <c r="D31" i="21"/>
  <c r="D28" i="21"/>
  <c r="G28" i="21" s="1"/>
  <c r="D10" i="21"/>
  <c r="D11" i="21" s="1"/>
  <c r="D12" i="21" s="1"/>
  <c r="D23" i="47" l="1"/>
  <c r="D30" i="21"/>
  <c r="G30" i="21" s="1"/>
  <c r="G32" i="21" s="1"/>
  <c r="D13" i="21"/>
  <c r="D14" i="21" s="1"/>
  <c r="D22" i="21"/>
  <c r="D15" i="21"/>
  <c r="D16" i="21" s="1"/>
  <c r="D17" i="21"/>
  <c r="B33" i="59" l="1"/>
  <c r="B8" i="59"/>
  <c r="B10" i="59"/>
  <c r="B11" i="59"/>
  <c r="H7" i="59"/>
  <c r="B7" i="59" s="1"/>
  <c r="F13" i="61"/>
  <c r="D13" i="61"/>
  <c r="D12" i="61"/>
  <c r="D11" i="61"/>
  <c r="D10" i="61"/>
  <c r="D16" i="61" s="1"/>
  <c r="D17" i="61" l="1"/>
  <c r="C10" i="47"/>
  <c r="B9" i="47"/>
  <c r="B10" i="47" s="1"/>
  <c r="C9" i="47"/>
  <c r="E24" i="46"/>
  <c r="E25" i="46"/>
  <c r="E12" i="46"/>
  <c r="D26" i="48"/>
  <c r="D27" i="48" l="1"/>
  <c r="G26" i="48"/>
  <c r="G18" i="65"/>
  <c r="D28" i="48" l="1"/>
  <c r="G28" i="48" s="1"/>
  <c r="G27" i="48"/>
  <c r="D25" i="61"/>
  <c r="D26" i="61"/>
  <c r="F61" i="48" l="1"/>
  <c r="G61" i="48" s="1"/>
  <c r="F60" i="48"/>
  <c r="F57" i="48"/>
  <c r="F58" i="48" s="1"/>
  <c r="D60" i="48"/>
  <c r="D57" i="48"/>
  <c r="F54" i="48"/>
  <c r="D56" i="48"/>
  <c r="D53" i="48"/>
  <c r="G53" i="48" s="1"/>
  <c r="D52" i="48"/>
  <c r="D51" i="48" s="1"/>
  <c r="F56" i="48"/>
  <c r="G56" i="48" l="1"/>
  <c r="D58" i="48"/>
  <c r="G58" i="48" s="1"/>
  <c r="G57" i="48"/>
  <c r="G52" i="48"/>
  <c r="G51" i="48"/>
  <c r="G60" i="48"/>
  <c r="F27" i="46" l="1"/>
  <c r="D18" i="21" l="1"/>
  <c r="D19" i="21" l="1"/>
  <c r="D20" i="58"/>
  <c r="D21" i="58"/>
  <c r="D29" i="59"/>
  <c r="G19" i="53"/>
  <c r="D20" i="21" l="1"/>
  <c r="D28" i="61"/>
  <c r="G28" i="61" s="1"/>
  <c r="D27" i="61"/>
  <c r="G27" i="61" s="1"/>
  <c r="F31" i="61"/>
  <c r="D24" i="61"/>
  <c r="D15" i="61"/>
  <c r="G26" i="61" l="1"/>
  <c r="F31" i="48"/>
  <c r="G31" i="48" s="1"/>
  <c r="F16" i="48"/>
  <c r="F26" i="48"/>
  <c r="D29" i="48"/>
  <c r="D15" i="48"/>
  <c r="D13" i="48"/>
  <c r="D14" i="48" s="1"/>
  <c r="D23" i="48"/>
  <c r="D22" i="48" s="1"/>
  <c r="D12" i="48"/>
  <c r="D11" i="48"/>
  <c r="F27" i="48" l="1"/>
  <c r="G11" i="65"/>
  <c r="G12" i="65" l="1"/>
  <c r="G15" i="51"/>
  <c r="G21" i="51" s="1"/>
  <c r="G17" i="51"/>
  <c r="G24" i="53"/>
  <c r="D17" i="51"/>
  <c r="D16" i="51"/>
  <c r="G21" i="53" l="1"/>
  <c r="G16" i="53"/>
  <c r="G15" i="53"/>
  <c r="D10" i="63"/>
  <c r="D11" i="63" s="1"/>
  <c r="G11" i="63" s="1"/>
  <c r="D36" i="59"/>
  <c r="D35" i="59"/>
  <c r="D34" i="59"/>
  <c r="D32" i="59"/>
  <c r="D31" i="59"/>
  <c r="D28" i="59"/>
  <c r="D26" i="59"/>
  <c r="C30" i="59"/>
  <c r="G17" i="65" l="1"/>
  <c r="G28" i="55"/>
  <c r="G10" i="66"/>
  <c r="G11" i="66"/>
  <c r="G9" i="66"/>
  <c r="G12" i="66" s="1"/>
  <c r="D11" i="60"/>
  <c r="F11" i="60" s="1"/>
  <c r="F16" i="60" s="1"/>
  <c r="D13" i="60"/>
  <c r="F13" i="60" s="1"/>
  <c r="D14" i="60"/>
  <c r="F14" i="60" s="1"/>
  <c r="D15" i="60"/>
  <c r="F15" i="60" s="1"/>
  <c r="D10" i="60"/>
  <c r="F10" i="60" s="1"/>
  <c r="F15" i="65"/>
  <c r="G15" i="65" s="1"/>
  <c r="G10" i="65"/>
  <c r="G19" i="65"/>
  <c r="G16" i="65"/>
  <c r="K20" i="65"/>
  <c r="L20" i="65" s="1"/>
  <c r="K15" i="64"/>
  <c r="L15" i="64" s="1"/>
  <c r="G10" i="63"/>
  <c r="K14" i="63"/>
  <c r="L14" i="63" s="1"/>
  <c r="G14" i="66" l="1"/>
  <c r="H10" i="65"/>
  <c r="G20" i="65"/>
  <c r="G22" i="65" s="1"/>
  <c r="G27" i="55"/>
  <c r="G29" i="55" s="1"/>
  <c r="G13" i="65"/>
  <c r="G17" i="64"/>
  <c r="B21" i="55" l="1"/>
  <c r="G22" i="55" s="1"/>
  <c r="G16" i="55"/>
  <c r="H14" i="66"/>
  <c r="H22" i="65"/>
  <c r="H17" i="64"/>
  <c r="H19" i="64" s="1"/>
  <c r="G32" i="55" l="1"/>
  <c r="D30" i="59"/>
  <c r="D33" i="59"/>
  <c r="D31" i="58"/>
  <c r="D32" i="58"/>
  <c r="D30" i="58"/>
  <c r="D22" i="58"/>
  <c r="D23" i="58"/>
  <c r="D19" i="58"/>
  <c r="D8" i="58"/>
  <c r="D9" i="58"/>
  <c r="D10" i="58"/>
  <c r="D11" i="58"/>
  <c r="D12" i="58"/>
  <c r="D7" i="58"/>
  <c r="D20" i="59"/>
  <c r="D19" i="59"/>
  <c r="D18" i="59"/>
  <c r="D17" i="59"/>
  <c r="D10" i="59"/>
  <c r="D8" i="59"/>
  <c r="G11" i="62"/>
  <c r="F12" i="48"/>
  <c r="G12" i="48"/>
  <c r="D29" i="61" l="1"/>
  <c r="D30" i="61" s="1"/>
  <c r="G30" i="61" s="1"/>
  <c r="D7" i="59"/>
  <c r="D25" i="58"/>
  <c r="D24" i="47" l="1"/>
  <c r="F13" i="62" l="1"/>
  <c r="G13" i="62" s="1"/>
  <c r="D14" i="62"/>
  <c r="G14" i="62" s="1"/>
  <c r="K18" i="62"/>
  <c r="L18" i="62" s="1"/>
  <c r="F16" i="61"/>
  <c r="G25" i="61"/>
  <c r="G24" i="61"/>
  <c r="K18" i="61"/>
  <c r="L18" i="61" s="1"/>
  <c r="F13" i="48"/>
  <c r="G11" i="48"/>
  <c r="F45" i="48"/>
  <c r="G45" i="48" s="1"/>
  <c r="F44" i="48"/>
  <c r="D44" i="48"/>
  <c r="F42" i="48"/>
  <c r="D42" i="48"/>
  <c r="D43" i="48" s="1"/>
  <c r="G43" i="48" s="1"/>
  <c r="F41" i="48"/>
  <c r="D41" i="48"/>
  <c r="D40" i="48"/>
  <c r="G40" i="48" s="1"/>
  <c r="D39" i="48"/>
  <c r="G39" i="48" s="1"/>
  <c r="D38" i="48"/>
  <c r="G38" i="48" s="1"/>
  <c r="G24" i="48"/>
  <c r="G23" i="48"/>
  <c r="K17" i="48"/>
  <c r="L17" i="48" s="1"/>
  <c r="G16" i="48"/>
  <c r="F29" i="21"/>
  <c r="F19" i="21"/>
  <c r="D39" i="49"/>
  <c r="B39" i="49"/>
  <c r="F39" i="49" s="1"/>
  <c r="D37" i="49"/>
  <c r="D38" i="49" s="1"/>
  <c r="G38" i="49" s="1"/>
  <c r="D36" i="49"/>
  <c r="G36" i="49" s="1"/>
  <c r="D21" i="59"/>
  <c r="D43" i="59"/>
  <c r="D14" i="58"/>
  <c r="D33" i="58"/>
  <c r="D45" i="59" l="1"/>
  <c r="D35" i="58"/>
  <c r="H32" i="47"/>
  <c r="D54" i="48"/>
  <c r="D23" i="61"/>
  <c r="G23" i="61" s="1"/>
  <c r="G10" i="61"/>
  <c r="D10" i="62"/>
  <c r="G10" i="62" s="1"/>
  <c r="G15" i="62"/>
  <c r="D17" i="62"/>
  <c r="G17" i="62" s="1"/>
  <c r="F18" i="60"/>
  <c r="G44" i="48"/>
  <c r="G41" i="48"/>
  <c r="D37" i="48"/>
  <c r="G37" i="48" s="1"/>
  <c r="G22" i="48"/>
  <c r="G42" i="48"/>
  <c r="G25" i="48"/>
  <c r="D10" i="48"/>
  <c r="G10" i="48" s="1"/>
  <c r="G39" i="49"/>
  <c r="G37" i="49"/>
  <c r="D32" i="61" l="1"/>
  <c r="G32" i="61" s="1"/>
  <c r="D31" i="61"/>
  <c r="G13" i="63"/>
  <c r="G12" i="63"/>
  <c r="D55" i="48"/>
  <c r="G54" i="48"/>
  <c r="G18" i="61"/>
  <c r="G18" i="60"/>
  <c r="E45" i="59"/>
  <c r="E35" i="58"/>
  <c r="E37" i="58" s="1"/>
  <c r="G46" i="48"/>
  <c r="G40" i="49"/>
  <c r="J30" i="55"/>
  <c r="G14" i="63" l="1"/>
  <c r="G16" i="63" s="1"/>
  <c r="G32" i="48"/>
  <c r="G55" i="48"/>
  <c r="D59" i="48"/>
  <c r="G59" i="48" s="1"/>
  <c r="G31" i="61"/>
  <c r="G33" i="61" s="1"/>
  <c r="J26" i="61"/>
  <c r="J27" i="61" s="1"/>
  <c r="J14" i="51"/>
  <c r="G33" i="53"/>
  <c r="H16" i="63" l="1"/>
  <c r="H19" i="63" s="1"/>
  <c r="H36" i="61"/>
  <c r="G39" i="61"/>
  <c r="H39" i="61" s="1"/>
  <c r="G62" i="48"/>
  <c r="G65" i="48"/>
  <c r="H33" i="53"/>
  <c r="H35" i="53" s="1"/>
  <c r="J13" i="51"/>
  <c r="G24" i="51"/>
  <c r="H24" i="51" l="1"/>
  <c r="H26" i="51" s="1"/>
  <c r="H32" i="55"/>
  <c r="H33" i="55" s="1"/>
  <c r="D29" i="49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F31" i="21"/>
  <c r="F15" i="48"/>
  <c r="F18" i="47"/>
  <c r="D12" i="62" l="1"/>
  <c r="G15" i="48"/>
  <c r="G13" i="48"/>
  <c r="G30" i="49"/>
  <c r="D17" i="49"/>
  <c r="B17" i="49"/>
  <c r="G14" i="49"/>
  <c r="D11" i="47"/>
  <c r="G12" i="62" l="1"/>
  <c r="D18" i="49"/>
  <c r="G18" i="49" s="1"/>
  <c r="D19" i="49"/>
  <c r="G19" i="49" s="1"/>
  <c r="G17" i="49"/>
  <c r="G18" i="62" l="1"/>
  <c r="G20" i="62" s="1"/>
  <c r="D25" i="47"/>
  <c r="F25" i="47" s="1"/>
  <c r="F27" i="47" s="1"/>
  <c r="G21" i="49"/>
  <c r="G46" i="49" s="1"/>
  <c r="H46" i="49" s="1"/>
  <c r="H20" i="62" l="1"/>
  <c r="H23" i="62" s="1"/>
  <c r="G14" i="48"/>
  <c r="G17" i="48" s="1"/>
  <c r="H11" i="36"/>
  <c r="H10" i="36"/>
  <c r="H9" i="36"/>
  <c r="H8" i="36"/>
  <c r="H7" i="36"/>
  <c r="H6" i="36"/>
  <c r="H12" i="36"/>
  <c r="H5" i="36"/>
  <c r="H65" i="48" l="1"/>
  <c r="G12" i="21"/>
  <c r="D26" i="47" l="1"/>
  <c r="F36" i="47" s="1"/>
  <c r="G36" i="47" l="1"/>
  <c r="G23" i="21"/>
  <c r="G35" i="21" s="1"/>
  <c r="H35" i="2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7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5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29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0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26" authorId="0" shapeId="0" xr:uid="{9B1E4645-A739-4AEE-8254-DF9C7DFC0B8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7" authorId="0" shapeId="0" xr:uid="{36EC388C-C211-47FA-805B-D70DD8DEABCE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24" authorId="0" shapeId="0" xr:uid="{5D1C62E2-BA6D-4CB7-883E-07C5706393A9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24" authorId="0" shapeId="0" xr:uid="{75A226B3-F4D8-4436-B76B-327301C9F037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26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8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7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7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2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51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51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3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7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59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5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36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<sst xmlns="http://schemas.openxmlformats.org/spreadsheetml/2006/main" count="1191" uniqueCount="460">
  <si>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</si>
  <si>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</si>
  <si>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</si>
  <si>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</si>
  <si>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</si>
  <si>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</si>
  <si>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</si>
  <si>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</si>
  <si>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</si>
  <si>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</si>
  <si>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</si>
  <si>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</si>
  <si>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</si>
  <si>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</si>
  <si>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</si>
  <si>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</si>
  <si>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</si>
  <si>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</si>
  <si>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</si>
  <si>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</si>
  <si>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</si>
  <si>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</si>
  <si>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</si>
  <si>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</si>
  <si>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</si>
  <si>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</si>
  <si>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</si>
  <si>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</si>
  <si>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</si>
  <si>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</si>
  <si>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</si>
  <si>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</si>
  <si>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</si>
  <si>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</si>
  <si>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</si>
  <si>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</si>
  <si>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</si>
  <si>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</si>
  <si>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</si>
  <si>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</si>
  <si>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</si>
  <si>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</si>
  <si>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</si>
  <si>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</si>
  <si>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</si>
  <si>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</si>
  <si>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</si>
  <si>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</si>
  <si>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</si>
  <si>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</si>
  <si>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</si>
  <si>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</si>
  <si>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</si>
  <si>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</si>
  <si>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</si>
  <si>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</si>
  <si>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</si>
  <si>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</si>
  <si>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</si>
  <si>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</si>
  <si>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</si>
  <si>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</si>
  <si>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</si>
  <si>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</si>
  <si>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</si>
  <si>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</si>
  <si>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</si>
  <si>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</si>
  <si>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</si>
  <si>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</si>
  <si>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</si>
  <si>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</si>
  <si>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</si>
  <si>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</si>
  <si>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</si>
  <si>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</si>
  <si>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</si>
  <si>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</si>
  <si>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</si>
  <si>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</si>
  <si>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</si>
  <si>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</si>
  <si>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</si>
  <si>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</si>
  <si>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</si>
  <si>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</si>
  <si>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</si>
  <si>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</si>
  <si>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</si>
  <si>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</si>
  <si>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</si>
  <si>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</si>
  <si>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</si>
  <si>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</si>
  <si>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</si>
  <si>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</si>
  <si>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</si>
  <si>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</si>
  <si>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</si>
  <si>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</si>
  <si>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</si>
  <si>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</si>
  <si>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</si>
  <si>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</si>
  <si>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</si>
  <si>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</si>
  <si>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</si>
  <si>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</si>
  <si>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</si>
  <si>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</si>
  <si>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</si>
  <si>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</si>
  <si>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</si>
  <si>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</si>
  <si>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</si>
  <si>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</si>
  <si>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</si>
  <si>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</si>
  <si>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</si>
  <si>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</si>
  <si>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</si>
  <si>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</si>
  <si>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</si>
  <si>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</si>
  <si>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</si>
  <si>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</si>
  <si>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</si>
  <si>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</si>
  <si>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</si>
  <si>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</si>
  <si>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</si>
  <si>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</si>
  <si>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</si>
  <si>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</si>
  <si>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</si>
  <si>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</si>
  <si>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</si>
  <si>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</si>
  <si>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</si>
  <si>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</si>
  <si>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</si>
  <si>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</si>
  <si>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</si>
  <si>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</si>
  <si>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</si>
  <si>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Preço unitário de escavação (R$ / m3)</t>
  </si>
  <si>
    <t>Volume total de escavação (m3)</t>
  </si>
  <si>
    <t>Altura do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</si>
  <si>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</si>
  <si>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</si>
  <si>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</si>
  <si>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</si>
  <si>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</si>
  <si>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</si>
  <si>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</si>
  <si>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</si>
  <si>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</si>
  <si>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</si>
  <si>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</si>
  <si>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</si>
  <si>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</si>
  <si>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</si>
  <si>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</si>
  <si>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</si>
  <si>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</si>
  <si>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</si>
  <si>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</si>
  <si>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</si>
  <si>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</si>
  <si>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</si>
  <si>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</si>
  <si>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</si>
  <si>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</si>
  <si>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</si>
  <si>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</si>
  <si>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</si>
  <si>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</si>
  <si>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</si>
  <si>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</si>
  <si>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</si>
  <si>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</si>
  <si>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</si>
  <si>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</si>
  <si>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</si>
  <si>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</si>
  <si>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San Felicce</t>
  </si>
  <si>
    <t>Amalfi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</si>
  <si>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</si>
  <si>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</si>
  <si>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</si>
  <si>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</si>
  <si>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</si>
  <si>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</si>
  <si>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</si>
  <si>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</si>
  <si>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REVESTIMENTOS INTERNOS EM PISO E PAREDE</t>
  </si>
  <si>
    <t>Chapisco e reboco</t>
  </si>
  <si>
    <t>Estucamento</t>
  </si>
  <si>
    <t>Negativo</t>
  </si>
  <si>
    <t>COBERTURA</t>
  </si>
  <si>
    <t>TERREO</t>
  </si>
  <si>
    <t>VINILICO</t>
  </si>
  <si>
    <t>PAVER</t>
  </si>
  <si>
    <t>CERAMICA</t>
  </si>
  <si>
    <t>PORCELANATO</t>
  </si>
  <si>
    <t>TOTAL ACABAMENTOS</t>
  </si>
  <si>
    <t>Rodapés</t>
  </si>
  <si>
    <t xml:space="preserve">m² </t>
  </si>
  <si>
    <t>Piscina</t>
  </si>
  <si>
    <t xml:space="preserve">Porcelanato </t>
  </si>
  <si>
    <t>ACABAMENTOS EM PISO E PAREDE</t>
  </si>
  <si>
    <t>TOTAL FACHADA</t>
  </si>
  <si>
    <t>-</t>
  </si>
  <si>
    <t>ACABAMENTOS ESPECIAIS</t>
  </si>
  <si>
    <t>RESERV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</si>
  <si>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</si>
  <si>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</si>
  <si>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</si>
  <si>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</si>
  <si>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</si>
  <si>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</si>
  <si>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</si>
  <si>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</si>
  <si>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</si>
  <si>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</si>
  <si>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</si>
  <si>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</si>
  <si>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</si>
  <si>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</si>
  <si>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</si>
  <si>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Serralherias</t>
  </si>
  <si>
    <t>PCF</t>
  </si>
  <si>
    <t>ESQUADRIAS</t>
  </si>
  <si>
    <t>TOTAL INSTALAÇÕES</t>
  </si>
  <si>
    <t>Instalações de Proteção e Aterramento - SPDA</t>
  </si>
  <si>
    <t>Instalações de GLP</t>
  </si>
  <si>
    <t>Instalações Preventivas</t>
  </si>
  <si>
    <t>INSTALAÇÕES PREVENTIVAS E GLP</t>
  </si>
  <si>
    <t>Mão de Obra para Instalações Hidráulicas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</si>
  <si>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</si>
  <si>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</si>
  <si>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</si>
  <si>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</si>
  <si>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</si>
  <si>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</si>
  <si>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</si>
  <si>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</si>
  <si>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</si>
  <si>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</si>
  <si>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</si>
  <si>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</si>
  <si>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</si>
  <si>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</si>
  <si>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</si>
  <si>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</si>
  <si>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</si>
  <si>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Equipamentos para Piscina</t>
  </si>
  <si>
    <t>Infra de carro elétrico</t>
  </si>
  <si>
    <t>Grupo de geradores</t>
  </si>
  <si>
    <t>Elevadores</t>
  </si>
  <si>
    <t>Preço Unitário</t>
  </si>
  <si>
    <t>EQUIPAMENTOS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</si>
  <si>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</si>
  <si>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</si>
  <si>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</si>
  <si>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</si>
  <si>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</si>
  <si>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</si>
  <si>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</si>
  <si>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</si>
  <si>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</si>
  <si>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</si>
  <si>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</si>
  <si>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</si>
  <si>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</si>
  <si>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</si>
  <si>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</si>
  <si>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</si>
  <si>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Móveis e decoração</t>
  </si>
  <si>
    <t>SERVIÇOS COMPLEMENTARES</t>
  </si>
  <si>
    <t>COMPLEMENTARES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</si>
  <si>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</si>
  <si>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</si>
  <si>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</si>
  <si>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</si>
  <si>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</si>
  <si>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</si>
  <si>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</si>
  <si>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</si>
  <si>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</si>
  <si>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</si>
  <si>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</si>
  <si>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Observação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</si>
  <si>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</si>
  <si>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</si>
  <si>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</si>
  <si>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</si>
  <si>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</si>
  <si>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</si>
  <si>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</si>
  <si>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TRELIÇADA</t>
  </si>
  <si>
    <t>Nova utiliza a verba de 1.500,00 por pav</t>
  </si>
  <si>
    <t>PAREDES E PAINÉIS</t>
  </si>
  <si>
    <t>ALVENARIA - DRTWALL</t>
  </si>
  <si>
    <t>Drywall tipo</t>
  </si>
  <si>
    <t>CHU</t>
  </si>
  <si>
    <t>m² * CHU</t>
  </si>
  <si>
    <t>perda</t>
  </si>
  <si>
    <t>m³ / Vol infra</t>
  </si>
  <si>
    <t>Escoramento</t>
  </si>
  <si>
    <t>TIPO 6</t>
  </si>
  <si>
    <t>TIPO 7</t>
  </si>
  <si>
    <t>ATICO</t>
  </si>
  <si>
    <t>Equipamentos para Sauna</t>
  </si>
  <si>
    <t>Escada pressurizada</t>
  </si>
  <si>
    <t>Bombas</t>
  </si>
  <si>
    <t>m / FORRO</t>
  </si>
  <si>
    <t>PINTURA INTERNA</t>
  </si>
  <si>
    <t>REVESTIMENTOS E ACABAMENTOS DE TETO</t>
  </si>
  <si>
    <t xml:space="preserve"> m² / AC</t>
  </si>
  <si>
    <t>Estrutura e telhamento</t>
  </si>
  <si>
    <t>Pergolados</t>
  </si>
  <si>
    <t>TELHADO</t>
  </si>
  <si>
    <t>Molduras ACM</t>
  </si>
  <si>
    <t>Textura</t>
  </si>
  <si>
    <t>Equipamento d ecarro eletrico</t>
  </si>
  <si>
    <t>Trataamento de esgoto</t>
  </si>
  <si>
    <t>PASTILHA</t>
  </si>
  <si>
    <t>Cerâmico</t>
  </si>
  <si>
    <t>Ladrilho hidaraulico</t>
  </si>
  <si>
    <t>TOTAL ESQUADRIAS</t>
  </si>
  <si>
    <t>M²</t>
  </si>
  <si>
    <t xml:space="preserve">un </t>
  </si>
  <si>
    <t>Subestação</t>
  </si>
  <si>
    <t>Estaca Hélice Continua Diâmetro 80</t>
  </si>
  <si>
    <t xml:space="preserve">Armação 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</si>
  <si>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</si>
  <si>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</si>
  <si>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</si>
  <si>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</si>
  <si>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</si>
  <si>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</si>
  <si>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</si>
  <si>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</si>
  <si>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Cristalizante (reservatorios)</t>
  </si>
  <si>
    <t>Churrasqueiras pré-moldadas</t>
  </si>
  <si>
    <t>R$</t>
  </si>
  <si>
    <t>Fechadura biométrica</t>
  </si>
  <si>
    <t>LED MOLDURAS</t>
  </si>
  <si>
    <t>R$ / m</t>
  </si>
  <si>
    <t>AP</t>
  </si>
  <si>
    <t>ÁREA PRIVATIVA RESIDENCIAL</t>
  </si>
  <si>
    <t>ÁREA PRIVATIVA COMERCIAL</t>
  </si>
  <si>
    <t>Escavação subsolos</t>
  </si>
  <si>
    <t>Escavação terreo e mezanino</t>
  </si>
  <si>
    <t>Área de subsolo (m²)</t>
  </si>
  <si>
    <t>Escavação total do pavmento</t>
  </si>
  <si>
    <t xml:space="preserve">Escavação triangular </t>
  </si>
  <si>
    <t xml:space="preserve">Bota-fora </t>
  </si>
  <si>
    <t>30% de empolamento</t>
  </si>
  <si>
    <t>Alvenaria bloco concreto celular</t>
  </si>
  <si>
    <t>Alvenaria 9cm</t>
  </si>
  <si>
    <t>Alvenaria 11,5cm</t>
  </si>
  <si>
    <t>Alvenaria 14cm</t>
  </si>
  <si>
    <t xml:space="preserve">Louças e Metais </t>
  </si>
  <si>
    <t>MEZANINO</t>
  </si>
  <si>
    <t>2 PAV</t>
  </si>
  <si>
    <t>TIPO</t>
  </si>
  <si>
    <t>365 (Afonso Pena)</t>
  </si>
  <si>
    <t xml:space="preserve">COTA </t>
  </si>
  <si>
    <t>0895-PL-ARQ-TDOS-001-R10</t>
  </si>
  <si>
    <t>Quantidade do orçamento executivo</t>
  </si>
  <si>
    <t>Custo do orçamento executivo</t>
  </si>
  <si>
    <t>Lastro de concreto magro e=5cm</t>
  </si>
  <si>
    <t>Indice do orçamento executivo</t>
  </si>
  <si>
    <t>Lastro de brita (piso) e=5cm</t>
  </si>
  <si>
    <t>SUPRAESTRUTURA - LAJE CUBETAS</t>
  </si>
  <si>
    <t>Escoramento proprio</t>
  </si>
  <si>
    <t>Cubetas proprias</t>
  </si>
  <si>
    <t>Piso sobre solo</t>
  </si>
  <si>
    <t>Perímetro de contenção</t>
  </si>
  <si>
    <t>Area de contenção (acima da terra)</t>
  </si>
  <si>
    <t>Execução de mureta guia</t>
  </si>
  <si>
    <t>Serviço especializado parede diafragma</t>
  </si>
  <si>
    <t>Mobilização para parede diagragma</t>
  </si>
  <si>
    <t>espessura</t>
  </si>
  <si>
    <t>5% de perda</t>
  </si>
  <si>
    <t>Tratamento em juntas de concretagem com fita hidroexpansiva</t>
  </si>
  <si>
    <t>Fabricação, montagem e desmontagem de forma para parede de concreto</t>
  </si>
  <si>
    <t>altura</t>
  </si>
  <si>
    <t>TOTAL CONTENÇÃO</t>
  </si>
  <si>
    <t>Concreto (30 Mpa) COM CRISTALIZANTE</t>
  </si>
  <si>
    <t>Atirantamentos</t>
  </si>
  <si>
    <t>Automação, telecomunicação, som e sistemas de segurança</t>
  </si>
  <si>
    <t>Plataforma vertical</t>
  </si>
  <si>
    <t>Forro acartonado</t>
  </si>
  <si>
    <t>ARGILA EXPANDIDA</t>
  </si>
  <si>
    <t>LAJOTAS (RAMPA)</t>
  </si>
  <si>
    <t>GRANITO (PINGADEIRAS)</t>
  </si>
  <si>
    <t>Argila expandida</t>
  </si>
  <si>
    <t>PISO ALISADO (GARAGEM E ESCADAS)</t>
  </si>
  <si>
    <t>GRANITO PAREDE</t>
  </si>
  <si>
    <t>PISO</t>
  </si>
  <si>
    <t>PAREDE</t>
  </si>
  <si>
    <t>Revestimentos de Parede granito</t>
  </si>
  <si>
    <t>Revestimentos de Parede ceramica</t>
  </si>
  <si>
    <t>Piso elevador granito</t>
  </si>
  <si>
    <t>Cobogó</t>
  </si>
  <si>
    <t>m² / UN</t>
  </si>
  <si>
    <t>Peitoris</t>
  </si>
  <si>
    <t>Soleiras</t>
  </si>
  <si>
    <t>Retenção de mão de obra</t>
  </si>
  <si>
    <t>Serviços complementares externo</t>
  </si>
  <si>
    <t>Pintura</t>
  </si>
  <si>
    <t>Instal elétrica, sist comb incêndio, outros</t>
  </si>
  <si>
    <t>Instal. Hidro, louças, metais, gás, shp</t>
  </si>
  <si>
    <t>Pisos</t>
  </si>
  <si>
    <t>Revestimento externo</t>
  </si>
  <si>
    <t>Revestimento interno</t>
  </si>
  <si>
    <t>Revestimento de teto</t>
  </si>
  <si>
    <t>Impermeabilização e tratamento</t>
  </si>
  <si>
    <t>Cobertura</t>
  </si>
  <si>
    <t>Esquadrias metálicas</t>
  </si>
  <si>
    <t>Esquadrias de madeiras</t>
  </si>
  <si>
    <t>Parede e paineis</t>
  </si>
  <si>
    <t>Supraestrutura</t>
  </si>
  <si>
    <t>Infraestrutura</t>
  </si>
  <si>
    <t>Contenções</t>
  </si>
  <si>
    <t>Instalação canteiro de obra</t>
  </si>
  <si>
    <t>Custo MO (R$)</t>
  </si>
  <si>
    <t>Peso (%)</t>
  </si>
  <si>
    <t>Serviço</t>
  </si>
  <si>
    <t>Item</t>
  </si>
  <si>
    <t>Área (m2)</t>
  </si>
  <si>
    <t>Valor cub ref</t>
  </si>
  <si>
    <t>Cub ref</t>
  </si>
  <si>
    <t xml:space="preserve">Indiçe do Cub </t>
  </si>
  <si>
    <t>AFONSO PENA</t>
  </si>
  <si>
    <t>Planilha de levantamento de custo de mão de obra</t>
  </si>
  <si>
    <t>Empreitada Global</t>
  </si>
  <si>
    <t>Aquecedores de passagem</t>
  </si>
  <si>
    <t>Polimento de piso</t>
  </si>
  <si>
    <t>Piso drenante</t>
  </si>
  <si>
    <t>Grama sintética</t>
  </si>
  <si>
    <t>Deck piscina - MAT + MO</t>
  </si>
  <si>
    <t>Piso vinilico - MAT+MO</t>
  </si>
  <si>
    <t>Textura parede</t>
  </si>
  <si>
    <t>Textura teto</t>
  </si>
  <si>
    <t>Pintura Interna parede</t>
  </si>
  <si>
    <t>Pintura Interna teto</t>
  </si>
  <si>
    <t>Pele de vidro</t>
  </si>
  <si>
    <t>Guarda-corpo - vidro 100cm</t>
  </si>
  <si>
    <t>Guarda-corpo - vidro 400cm</t>
  </si>
  <si>
    <t>Corrimão madeira</t>
  </si>
  <si>
    <t>Esquadrias de Alumínio com motorização</t>
  </si>
  <si>
    <t>m2</t>
  </si>
  <si>
    <t xml:space="preserve">TORRE </t>
  </si>
  <si>
    <t>Mini-quadra</t>
  </si>
  <si>
    <t>R$ / m2</t>
  </si>
  <si>
    <t>Pintura piso acrilica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</si>
</sst>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  <numFmt numFmtId="167" formatCode="&quot;R$&quot;#,##0.0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11"/>
      <color rgb="FFFF0000"/>
      <name val="Poppins"/>
    </font>
    <font>
      <sz val="12"/>
      <color theme="1"/>
      <name val="Arial"/>
      <family val="2"/>
    </font>
    <font>
      <b/>
      <sz val="8"/>
      <color theme="1"/>
      <name val="Poppins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theme="6" tint="0.59999389629810485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0" fontId="28" fillId="0" borderId="39" xfId="0" applyFont="1" applyBorder="1" applyAlignment="1">
      <alignment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43" fontId="3" fillId="0" borderId="57" xfId="1" applyFont="1" applyBorder="1" applyAlignment="1">
      <alignment horizontal="center" vertical="center"/>
    </xf>
    <xf numFmtId="43" fontId="3" fillId="0" borderId="57" xfId="1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14" fontId="3" fillId="11" borderId="61" xfId="0" applyNumberFormat="1" applyFont="1" applyFill="1" applyBorder="1" applyAlignment="1">
      <alignment vertical="center"/>
    </xf>
    <xf numFmtId="0" fontId="3" fillId="12" borderId="62" xfId="0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4" xfId="0" applyNumberFormat="1" applyFont="1" applyFill="1" applyBorder="1" applyAlignment="1">
      <alignment horizontal="left" vertical="center"/>
    </xf>
    <xf numFmtId="14" fontId="3" fillId="11" borderId="61" xfId="0" applyNumberFormat="1" applyFont="1" applyFill="1" applyBorder="1" applyAlignment="1">
      <alignment horizontal="left" vertical="center"/>
    </xf>
    <xf numFmtId="0" fontId="3" fillId="12" borderId="65" xfId="0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14" fontId="3" fillId="11" borderId="64" xfId="0" applyNumberFormat="1" applyFont="1" applyFill="1" applyBorder="1" applyAlignment="1">
      <alignment vertical="center"/>
    </xf>
    <xf numFmtId="49" fontId="3" fillId="11" borderId="61" xfId="0" applyNumberFormat="1" applyFont="1" applyFill="1" applyBorder="1" applyAlignment="1">
      <alignment vertical="center"/>
    </xf>
    <xf numFmtId="0" fontId="31" fillId="12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7" xfId="0" applyFont="1" applyFill="1" applyBorder="1" applyAlignment="1">
      <alignment vertical="center"/>
    </xf>
    <xf numFmtId="0" fontId="3" fillId="11" borderId="61" xfId="0" applyFont="1" applyFill="1" applyBorder="1" applyAlignment="1">
      <alignment vertical="center"/>
    </xf>
    <xf numFmtId="0" fontId="31" fillId="12" borderId="6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9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12" borderId="6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70" xfId="0" applyFont="1" applyBorder="1" applyAlignment="1">
      <alignment horizontal="center" vertical="center" wrapText="1"/>
    </xf>
    <xf numFmtId="166" fontId="3" fillId="0" borderId="71" xfId="1" applyNumberFormat="1" applyFont="1" applyBorder="1" applyAlignment="1">
      <alignment horizontal="center" vertical="center"/>
    </xf>
    <xf numFmtId="43" fontId="3" fillId="0" borderId="71" xfId="1" applyFont="1" applyBorder="1" applyAlignment="1">
      <alignment horizontal="center" vertical="center" wrapText="1"/>
    </xf>
    <xf numFmtId="43" fontId="3" fillId="0" borderId="72" xfId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3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7" xfId="1" applyFont="1" applyFill="1" applyBorder="1" applyAlignment="1">
      <alignment horizontal="center" vertical="center"/>
    </xf>
    <xf numFmtId="166" fontId="29" fillId="0" borderId="71" xfId="1" applyNumberFormat="1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 wrapText="1"/>
    </xf>
    <xf numFmtId="43" fontId="29" fillId="0" borderId="72" xfId="1" applyFont="1" applyBorder="1" applyAlignment="1">
      <alignment horizontal="center" vertical="center" wrapText="1"/>
    </xf>
    <xf numFmtId="0" fontId="29" fillId="0" borderId="73" xfId="0" applyFont="1" applyBorder="1" applyAlignment="1">
      <alignment vertical="center" wrapText="1"/>
    </xf>
    <xf numFmtId="0" fontId="29" fillId="0" borderId="73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43" fontId="0" fillId="0" borderId="0" xfId="0" applyNumberFormat="1" applyAlignment="1">
      <alignment vertical="center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9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8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9" xfId="0" applyFont="1" applyFill="1" applyBorder="1" applyAlignment="1">
      <alignment horizontal="center" vertical="center" wrapText="1"/>
    </xf>
    <xf numFmtId="43" fontId="36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81" xfId="0" applyFont="1" applyBorder="1" applyAlignment="1">
      <alignment horizontal="left" vertical="center" wrapText="1"/>
    </xf>
    <xf numFmtId="43" fontId="3" fillId="0" borderId="55" xfId="1" applyFont="1" applyBorder="1" applyAlignment="1">
      <alignment horizontal="center" vertical="center" wrapText="1"/>
    </xf>
    <xf numFmtId="43" fontId="3" fillId="0" borderId="82" xfId="1" applyFont="1" applyBorder="1" applyAlignment="1">
      <alignment horizontal="center" vertical="center" wrapText="1"/>
    </xf>
    <xf numFmtId="0" fontId="0" fillId="0" borderId="0" xfId="0"/>
    <xf numFmtId="0" fontId="10" fillId="0" borderId="35" xfId="0" applyFont="1" applyBorder="1" applyAlignment="1">
      <alignment horizontal="left" vertical="center" wrapText="1"/>
    </xf>
    <xf numFmtId="43" fontId="10" fillId="0" borderId="1" xfId="1" applyFont="1" applyFill="1" applyBorder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2" fontId="3" fillId="0" borderId="0" xfId="0" applyNumberFormat="1" applyFont="1" applyAlignment="1">
      <alignment vertical="center"/>
    </xf>
    <xf numFmtId="2" fontId="29" fillId="0" borderId="0" xfId="0" applyNumberFormat="1" applyFont="1" applyAlignment="1">
      <alignment vertical="center"/>
    </xf>
    <xf numFmtId="0" fontId="37" fillId="0" borderId="0" xfId="0" applyFont="1"/>
    <xf numFmtId="4" fontId="37" fillId="0" borderId="0" xfId="0" applyNumberFormat="1" applyFont="1"/>
    <xf numFmtId="10" fontId="37" fillId="0" borderId="0" xfId="0" applyNumberFormat="1" applyFont="1"/>
    <xf numFmtId="4" fontId="15" fillId="13" borderId="1" xfId="0" applyNumberFormat="1" applyFont="1" applyFill="1" applyBorder="1"/>
    <xf numFmtId="10" fontId="15" fillId="13" borderId="1" xfId="0" applyNumberFormat="1" applyFont="1" applyFill="1" applyBorder="1"/>
    <xf numFmtId="4" fontId="15" fillId="2" borderId="1" xfId="0" applyNumberFormat="1" applyFont="1" applyFill="1" applyBorder="1"/>
    <xf numFmtId="10" fontId="15" fillId="2" borderId="1" xfId="0" applyNumberFormat="1" applyFont="1" applyFill="1" applyBorder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 vertical="center"/>
    </xf>
    <xf numFmtId="4" fontId="38" fillId="10" borderId="1" xfId="0" applyNumberFormat="1" applyFont="1" applyFill="1" applyBorder="1" applyAlignment="1">
      <alignment horizontal="center" vertical="center"/>
    </xf>
    <xf numFmtId="10" fontId="38" fillId="10" borderId="1" xfId="0" applyNumberFormat="1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/>
    </xf>
    <xf numFmtId="4" fontId="15" fillId="0" borderId="1" xfId="0" applyNumberFormat="1" applyFont="1" applyBorder="1"/>
    <xf numFmtId="0" fontId="15" fillId="0" borderId="1" xfId="0" applyFont="1" applyBorder="1"/>
    <xf numFmtId="167" fontId="15" fillId="0" borderId="1" xfId="0" applyNumberFormat="1" applyFont="1" applyBorder="1"/>
    <xf numFmtId="17" fontId="15" fillId="0" borderId="1" xfId="0" applyNumberFormat="1" applyFont="1" applyBorder="1"/>
    <xf numFmtId="0" fontId="37" fillId="0" borderId="0" xfId="0" applyFont="1" applyAlignment="1">
      <alignment horizontal="center"/>
    </xf>
    <xf numFmtId="10" fontId="15" fillId="0" borderId="1" xfId="0" applyNumberFormat="1" applyFont="1" applyBorder="1"/>
    <xf numFmtId="0" fontId="15" fillId="0" borderId="1" xfId="0" applyFont="1" applyBorder="1" applyAlignment="1">
      <alignment horizontal="right"/>
    </xf>
    <xf numFmtId="0" fontId="15" fillId="0" borderId="1" xfId="0" applyFont="1" applyBorder="1" applyAlignment="1">
      <alignment horizontal="left"/>
    </xf>
    <xf numFmtId="0" fontId="15" fillId="0" borderId="0" xfId="0" applyFont="1"/>
    <xf numFmtId="43" fontId="4" fillId="0" borderId="0" xfId="0" applyNumberFormat="1" applyFont="1" applyAlignment="1">
      <alignment vertical="center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right"/>
    </xf>
    <xf numFmtId="0" fontId="38" fillId="10" borderId="0" xfId="0" applyFont="1" applyFill="1" applyAlignment="1">
      <alignment horizontal="center"/>
    </xf>
    <xf numFmtId="0" fontId="37" fillId="0" borderId="0" xfId="0" applyFont="1" applyAlignment="1">
      <alignment horizontal="center"/>
    </xf>
    <xf numFmtId="0" fontId="15" fillId="13" borderId="2" xfId="0" applyFont="1" applyFill="1" applyBorder="1" applyAlignment="1">
      <alignment horizontal="center"/>
    </xf>
    <xf numFmtId="0" fontId="15" fillId="13" borderId="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43" fontId="28" fillId="9" borderId="53" xfId="1" applyFont="1" applyFill="1" applyBorder="1" applyAlignment="1">
      <alignment horizontal="center" vertical="center"/>
    </xf>
    <xf numFmtId="43" fontId="28" fillId="9" borderId="52" xfId="1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8" fillId="10" borderId="78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</cellXfs>
  <cellStyles count="11">
    <cellStyle name="Moeda" xfId="10" builtinId="4"/>
    <cellStyle name="Normal" xfId="0" builtinId="0"/>
    <cellStyle name="Normal 2" xfId="2" xr:uid="{00000000-0005-0000-0000-000001000000}"/>
    <cellStyle name="Normal 3" xfId="7" xr:uid="{E04F1BAC-8E74-4A37-9445-C7335308FD48}"/>
    <cellStyle name="Normal 7" xfId="5" xr:uid="{B5D56057-44D1-4A2B-9814-263CBEA5E92D}"/>
    <cellStyle name="Porcentagem" xfId="6" builtinId="5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97595</xdr:colOff>
      <xdr:row>0</xdr:row>
      <xdr:rowOff>225491</xdr:rowOff>
    </xdr:from>
    <xdr:to>
      <xdr:col>6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509288</xdr:colOff>
      <xdr:row>5</xdr:row>
      <xdr:rowOff>48635</xdr:rowOff>
    </xdr:from>
    <xdr:to>
      <xdr:col>13</xdr:col>
      <xdr:colOff>309048</xdr:colOff>
      <xdr:row>10</xdr:row>
      <xdr:rowOff>35075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EB990B-41DA-4242-8474-132EA84F3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66582" y="1653317"/>
          <a:ext cx="3463074" cy="1896707"/>
        </a:xfrm>
        <a:prstGeom prst="rect">
          <a:avLst/>
        </a:prstGeom>
      </xdr:spPr>
    </xdr:pic>
    <xdr:clientData/>
  </xdr:twoCellAnchor>
  <xdr:twoCellAnchor editAs="oneCell">
    <xdr:from>
      <xdr:col>13</xdr:col>
      <xdr:colOff>455295</xdr:colOff>
      <xdr:row>5</xdr:row>
      <xdr:rowOff>90115</xdr:rowOff>
    </xdr:from>
    <xdr:to>
      <xdr:col>21</xdr:col>
      <xdr:colOff>187122</xdr:colOff>
      <xdr:row>10</xdr:row>
      <xdr:rowOff>110360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F9437F8-BAAE-4982-BDE5-C5BBDF0FF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70189" y="1694797"/>
          <a:ext cx="4602913" cy="19438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375816</xdr:colOff>
      <xdr:row>22</xdr:row>
      <xdr:rowOff>197168</xdr:rowOff>
    </xdr:from>
    <xdr:to>
      <xdr:col>14</xdr:col>
      <xdr:colOff>688897</xdr:colOff>
      <xdr:row>30</xdr:row>
      <xdr:rowOff>110621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B9A8DA-F3D6-EDC8-D06F-560BD0229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92066" y="6855143"/>
          <a:ext cx="4723156" cy="24128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Chiquetti%20e%20Dal%20Vesco/Bela%20Vida%20-%202024.04/04.%20Custo/03.7%20Custo%20-%20Entrega%20parcial/C&#243;pia%20de%20CTN-CDV-BVD%20%20-%20Or&#231;amento_Param&#233;trico_Anal&#237;tico_R00%20-%20ANALISE%20INT2.xlsx?A9E2CAAE" TargetMode="External"/><Relationship Id="rId1" Type="http://schemas.openxmlformats.org/officeDocument/2006/relationships/externalLinkPath" Target="file:///\\A9E2CAAE\C&#243;pia%20de%20CTN-CDV-BVD%20%20-%20Or&#231;amento_Param&#233;trico_Anal&#237;tico_R00%20-%20ANALISE%20INT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ltoQi%20Visus_Alvenari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ltoQi%20Visus_PIS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ltoQi%20Visus_Pared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ltoQi%20Visus_Esquadria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ltoQi%20Visus_Facha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EPCs"/>
      <sheetName val="CANTEIRO"/>
      <sheetName val="CUSTOS_INDIRETOS"/>
      <sheetName val="Cont.Tecnol."/>
      <sheetName val="Orçamento Executivo"/>
      <sheetName val="QUANTITATIVO_ESTRUTURA"/>
      <sheetName val="INDIRETOS"/>
      <sheetName val="SUPRA"/>
      <sheetName val="Escorament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3">
          <cell r="C13">
            <v>80</v>
          </cell>
        </row>
        <row r="24">
          <cell r="D24">
            <v>281.02294063506673</v>
          </cell>
          <cell r="E24">
            <v>42.152369995398068</v>
          </cell>
          <cell r="F24">
            <v>2769.2521859180856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  <sheetName val="Planilha2"/>
    </sheetNames>
    <sheetDataSet>
      <sheetData sheetId="0">
        <row r="544">
          <cell r="O544">
            <v>1340.8500000000001</v>
          </cell>
        </row>
        <row r="545">
          <cell r="O545">
            <v>8231.3700000000008</v>
          </cell>
        </row>
        <row r="546">
          <cell r="O546">
            <v>8028.7299999999987</v>
          </cell>
        </row>
        <row r="547">
          <cell r="O547">
            <v>9287.5300000000007</v>
          </cell>
        </row>
      </sheetData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  <sheetName val="Planilha2"/>
    </sheetNames>
    <sheetDataSet>
      <sheetData sheetId="0">
        <row r="701">
          <cell r="J701">
            <v>11846.149999999998</v>
          </cell>
        </row>
        <row r="702">
          <cell r="J702">
            <v>142.32999999999998</v>
          </cell>
        </row>
        <row r="704">
          <cell r="J704">
            <v>11136.97</v>
          </cell>
        </row>
        <row r="759">
          <cell r="J759">
            <v>4523.8</v>
          </cell>
        </row>
        <row r="760">
          <cell r="J760">
            <v>317.45999999999998</v>
          </cell>
        </row>
        <row r="761">
          <cell r="J761">
            <v>254.59</v>
          </cell>
        </row>
        <row r="762">
          <cell r="J762">
            <v>1464.52</v>
          </cell>
        </row>
        <row r="764">
          <cell r="J764">
            <v>7888.24</v>
          </cell>
        </row>
        <row r="765">
          <cell r="J765">
            <v>860.37000000000012</v>
          </cell>
        </row>
        <row r="766">
          <cell r="J766">
            <v>83</v>
          </cell>
        </row>
        <row r="768">
          <cell r="J768">
            <v>20.170000000000002</v>
          </cell>
        </row>
        <row r="773">
          <cell r="J773">
            <v>54.03</v>
          </cell>
        </row>
        <row r="774">
          <cell r="J774">
            <v>474</v>
          </cell>
        </row>
        <row r="775">
          <cell r="J775">
            <v>288.43</v>
          </cell>
        </row>
        <row r="778">
          <cell r="J778">
            <v>89.92</v>
          </cell>
        </row>
        <row r="780">
          <cell r="J780">
            <v>10.26</v>
          </cell>
        </row>
        <row r="781">
          <cell r="J781">
            <v>320.33</v>
          </cell>
        </row>
        <row r="782">
          <cell r="J782">
            <v>0.87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  <sheetName val="Planilha2"/>
    </sheetNames>
    <sheetDataSet>
      <sheetData sheetId="0">
        <row r="739">
          <cell r="J739">
            <v>5085.54</v>
          </cell>
        </row>
        <row r="742">
          <cell r="J742">
            <v>1396.22</v>
          </cell>
        </row>
        <row r="745">
          <cell r="J745">
            <v>425.71999999999997</v>
          </cell>
        </row>
        <row r="746">
          <cell r="J746">
            <v>235.35999999999999</v>
          </cell>
        </row>
        <row r="747">
          <cell r="J747">
            <v>1325.1299999999999</v>
          </cell>
        </row>
        <row r="749">
          <cell r="J749">
            <v>81.260000000000005</v>
          </cell>
        </row>
        <row r="750">
          <cell r="J750">
            <v>7.35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</sheetNames>
    <sheetDataSet>
      <sheetData sheetId="0">
        <row r="574">
          <cell r="J574">
            <v>1835.66</v>
          </cell>
        </row>
        <row r="575">
          <cell r="J575">
            <v>135.94</v>
          </cell>
        </row>
        <row r="577">
          <cell r="J577">
            <v>10.87</v>
          </cell>
        </row>
        <row r="578">
          <cell r="J578">
            <v>269.57</v>
          </cell>
        </row>
        <row r="579">
          <cell r="J579">
            <v>151.35000000000002</v>
          </cell>
        </row>
        <row r="580">
          <cell r="K580">
            <v>123.68399999999998</v>
          </cell>
        </row>
        <row r="623">
          <cell r="J623">
            <v>34</v>
          </cell>
        </row>
        <row r="624">
          <cell r="J624">
            <v>692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</sheetNames>
    <sheetDataSet>
      <sheetData sheetId="0">
        <row r="11">
          <cell r="J11">
            <v>7981.26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G30"/>
  <sheetViews>
    <sheetView view="pageBreakPreview" topLeftCell="A19" zoomScale="115" zoomScaleNormal="115" zoomScaleSheetLayoutView="115" workbookViewId="0">
      <selection activeCell="G17" sqref="G17"/>
    </sheetView>
  </sheetViews>
  <sheetFormatPr defaultRowHeight="21.75" x14ac:dyDescent="0.6"/>
  <cols>
    <col min="1" max="1" width="19.140625" style="41" customWidth="1"/>
    <col min="2" max="2" width="83.7109375" style="42" customWidth="1"/>
    <col min="3" max="4" width="11.28515625" style="42" customWidth="1"/>
    <col min="5" max="5" width="11.28515625" style="43" customWidth="1"/>
    <col min="6" max="6" width="11.140625" style="44" customWidth="1"/>
    <col min="7" max="7" width="24" style="41" customWidth="1"/>
    <col min="8" max="9" width="9.28515625" bestFit="1" customWidth="1"/>
  </cols>
  <sheetData>
    <row r="1" spans="1:7" ht="18" customHeight="1" x14ac:dyDescent="0.6">
      <c r="A1" s="4" t="s">
        <v>0</v>
      </c>
      <c r="B1" s="5" t="s">
        <v>368</v>
      </c>
      <c r="C1" s="6"/>
      <c r="D1" s="6"/>
      <c r="E1" s="7"/>
      <c r="F1" s="8"/>
      <c r="G1" s="9"/>
    </row>
    <row r="2" spans="1:7" ht="18" customHeight="1" x14ac:dyDescent="0.6">
      <c r="A2" s="10" t="s">
        <v>117</v>
      </c>
      <c r="B2" s="11" t="s">
        <v>369</v>
      </c>
      <c r="C2" s="12"/>
      <c r="D2" s="12"/>
      <c r="E2" s="13"/>
      <c r="F2" s="14"/>
      <c r="G2" s="15"/>
    </row>
    <row r="3" spans="1:7" ht="18" customHeight="1" x14ac:dyDescent="0.6">
      <c r="A3" s="10" t="s">
        <v>1</v>
      </c>
      <c r="B3" s="11" t="s">
        <v>183</v>
      </c>
      <c r="C3" s="12"/>
      <c r="D3" s="12"/>
      <c r="E3" s="13"/>
      <c r="F3" s="14"/>
      <c r="G3" s="15"/>
    </row>
    <row r="4" spans="1:7" ht="18" customHeight="1" x14ac:dyDescent="0.6">
      <c r="A4" s="10" t="s">
        <v>281</v>
      </c>
      <c r="B4" s="11" t="s">
        <v>370</v>
      </c>
      <c r="C4" s="12"/>
      <c r="D4" s="12"/>
      <c r="E4" s="13"/>
      <c r="F4" s="14"/>
      <c r="G4" s="20"/>
    </row>
    <row r="5" spans="1:7" ht="25.15" customHeight="1" x14ac:dyDescent="0.25">
      <c r="A5" s="237" t="s">
        <v>126</v>
      </c>
      <c r="B5" s="238"/>
      <c r="C5" s="238"/>
      <c r="D5" s="238"/>
      <c r="E5" s="238"/>
      <c r="F5" s="238"/>
      <c r="G5" s="239"/>
    </row>
    <row r="6" spans="1:7" ht="14.45" customHeight="1" thickBot="1" x14ac:dyDescent="0.65">
      <c r="A6" s="16"/>
      <c r="B6" s="17"/>
      <c r="C6" s="17"/>
      <c r="D6" s="17"/>
      <c r="E6" s="18"/>
      <c r="F6" s="19"/>
      <c r="G6" s="20"/>
    </row>
    <row r="7" spans="1:7" x14ac:dyDescent="0.6">
      <c r="A7" s="22"/>
      <c r="B7" s="23" t="s">
        <v>14</v>
      </c>
      <c r="C7" s="24" t="s">
        <v>15</v>
      </c>
      <c r="D7" s="24" t="s">
        <v>127</v>
      </c>
      <c r="E7" s="25" t="s">
        <v>18</v>
      </c>
      <c r="F7" s="26"/>
      <c r="G7" s="21"/>
    </row>
    <row r="8" spans="1:7" x14ac:dyDescent="0.6">
      <c r="A8" s="22"/>
      <c r="B8" s="27" t="s">
        <v>128</v>
      </c>
      <c r="C8" s="28" t="s">
        <v>7</v>
      </c>
      <c r="D8" s="28" t="s">
        <v>120</v>
      </c>
      <c r="E8" s="29">
        <v>2133.7800000000002</v>
      </c>
      <c r="F8" s="26"/>
      <c r="G8" s="21"/>
    </row>
    <row r="9" spans="1:7" x14ac:dyDescent="0.6">
      <c r="A9" s="22"/>
      <c r="B9" s="30" t="s">
        <v>129</v>
      </c>
      <c r="C9" s="31" t="s">
        <v>8</v>
      </c>
      <c r="D9" s="31" t="s">
        <v>120</v>
      </c>
      <c r="E9" s="32">
        <v>17473.080000000002</v>
      </c>
      <c r="F9" s="26"/>
      <c r="G9" s="21"/>
    </row>
    <row r="10" spans="1:7" s="209" customFormat="1" x14ac:dyDescent="0.6">
      <c r="A10" s="22"/>
      <c r="B10" s="30" t="s">
        <v>351</v>
      </c>
      <c r="C10" s="31" t="s">
        <v>350</v>
      </c>
      <c r="D10" s="31" t="s">
        <v>120</v>
      </c>
      <c r="E10" s="32">
        <v>8783.16</v>
      </c>
      <c r="F10" s="26"/>
      <c r="G10" s="21"/>
    </row>
    <row r="11" spans="1:7" x14ac:dyDescent="0.6">
      <c r="A11" s="22"/>
      <c r="B11" s="30" t="s">
        <v>282</v>
      </c>
      <c r="C11" s="31" t="s">
        <v>283</v>
      </c>
      <c r="D11" s="31" t="s">
        <v>123</v>
      </c>
      <c r="E11" s="32">
        <v>176</v>
      </c>
      <c r="F11" s="203"/>
      <c r="G11" s="21"/>
    </row>
    <row r="12" spans="1:7" x14ac:dyDescent="0.6">
      <c r="A12" s="22"/>
      <c r="B12" s="30" t="s">
        <v>284</v>
      </c>
      <c r="C12" s="31" t="s">
        <v>288</v>
      </c>
      <c r="D12" s="31" t="s">
        <v>123</v>
      </c>
      <c r="E12" s="32">
        <f>(22+44+21)*2+(64+22+2+1)</f>
        <v>263</v>
      </c>
      <c r="F12" s="26"/>
      <c r="G12" s="21"/>
    </row>
    <row r="13" spans="1:7" x14ac:dyDescent="0.6">
      <c r="A13" s="22"/>
      <c r="B13" s="30" t="s">
        <v>285</v>
      </c>
      <c r="C13" s="31" t="s">
        <v>289</v>
      </c>
      <c r="D13" s="31" t="s">
        <v>123</v>
      </c>
      <c r="E13" s="32"/>
      <c r="F13" s="26"/>
      <c r="G13" s="21"/>
    </row>
    <row r="14" spans="1:7" s="209" customFormat="1" x14ac:dyDescent="0.6">
      <c r="A14" s="22">
        <f>E27/E8</f>
        <v>0.76479299646636478</v>
      </c>
      <c r="B14" s="30" t="s">
        <v>352</v>
      </c>
      <c r="C14" s="31" t="s">
        <v>350</v>
      </c>
      <c r="D14" s="31" t="s">
        <v>120</v>
      </c>
      <c r="E14" s="32">
        <v>484.62</v>
      </c>
      <c r="F14" s="26"/>
      <c r="G14" s="21"/>
    </row>
    <row r="15" spans="1:7" x14ac:dyDescent="0.6">
      <c r="A15" s="22"/>
      <c r="B15" s="30" t="s">
        <v>286</v>
      </c>
      <c r="C15" s="31" t="s">
        <v>287</v>
      </c>
      <c r="D15" s="31" t="s">
        <v>123</v>
      </c>
      <c r="E15" s="32"/>
      <c r="F15" s="26"/>
      <c r="G15" s="21"/>
    </row>
    <row r="16" spans="1:7" x14ac:dyDescent="0.6">
      <c r="A16" s="22"/>
      <c r="B16" s="30" t="s">
        <v>266</v>
      </c>
      <c r="C16" s="31" t="s">
        <v>305</v>
      </c>
      <c r="D16" s="31" t="s">
        <v>123</v>
      </c>
      <c r="E16" s="32">
        <v>88</v>
      </c>
      <c r="F16" s="26"/>
      <c r="G16" s="21"/>
    </row>
    <row r="17" spans="1:7" x14ac:dyDescent="0.6">
      <c r="A17" s="22"/>
      <c r="B17" s="30" t="s">
        <v>130</v>
      </c>
      <c r="C17" s="31" t="s">
        <v>9</v>
      </c>
      <c r="D17" s="31" t="s">
        <v>123</v>
      </c>
      <c r="E17" s="32">
        <v>16</v>
      </c>
      <c r="F17" s="26"/>
      <c r="G17" s="21"/>
    </row>
    <row r="18" spans="1:7" x14ac:dyDescent="0.6">
      <c r="A18" s="22"/>
      <c r="B18" s="30" t="s">
        <v>131</v>
      </c>
      <c r="C18" s="31" t="s">
        <v>10</v>
      </c>
      <c r="D18" s="31" t="s">
        <v>123</v>
      </c>
      <c r="E18" s="32">
        <v>10</v>
      </c>
      <c r="F18" s="26"/>
      <c r="G18" s="21"/>
    </row>
    <row r="19" spans="1:7" x14ac:dyDescent="0.6">
      <c r="A19" s="22"/>
      <c r="B19" s="30" t="s">
        <v>132</v>
      </c>
      <c r="C19" s="31" t="s">
        <v>40</v>
      </c>
      <c r="D19" s="31" t="s">
        <v>123</v>
      </c>
      <c r="E19" s="32">
        <v>1</v>
      </c>
      <c r="F19" s="26"/>
      <c r="G19" s="21"/>
    </row>
    <row r="20" spans="1:7" x14ac:dyDescent="0.6">
      <c r="A20" s="22"/>
      <c r="B20" s="30" t="s">
        <v>133</v>
      </c>
      <c r="C20" s="31" t="s">
        <v>41</v>
      </c>
      <c r="D20" s="31" t="s">
        <v>123</v>
      </c>
      <c r="E20" s="32">
        <v>0</v>
      </c>
      <c r="F20" s="26"/>
      <c r="G20" s="21"/>
    </row>
    <row r="21" spans="1:7" x14ac:dyDescent="0.6">
      <c r="A21" s="22"/>
      <c r="B21" s="30" t="s">
        <v>134</v>
      </c>
      <c r="C21" s="31" t="s">
        <v>11</v>
      </c>
      <c r="D21" s="31" t="s">
        <v>120</v>
      </c>
      <c r="E21" s="32">
        <v>889.05</v>
      </c>
      <c r="F21" s="26"/>
      <c r="G21" s="21"/>
    </row>
    <row r="22" spans="1:7" x14ac:dyDescent="0.6">
      <c r="A22" s="22"/>
      <c r="B22" s="30" t="s">
        <v>135</v>
      </c>
      <c r="C22" s="31" t="s">
        <v>12</v>
      </c>
      <c r="D22" s="31" t="s">
        <v>119</v>
      </c>
      <c r="E22" s="32">
        <v>161.37</v>
      </c>
      <c r="F22" s="26"/>
      <c r="G22" s="21"/>
    </row>
    <row r="23" spans="1:7" x14ac:dyDescent="0.6">
      <c r="A23" s="22"/>
      <c r="B23" s="30" t="s">
        <v>136</v>
      </c>
      <c r="C23" s="31" t="s">
        <v>36</v>
      </c>
      <c r="D23" s="31" t="s">
        <v>120</v>
      </c>
      <c r="E23" s="32"/>
      <c r="F23" s="26"/>
      <c r="G23" s="21"/>
    </row>
    <row r="24" spans="1:7" x14ac:dyDescent="0.6">
      <c r="A24" s="22"/>
      <c r="B24" s="30" t="s">
        <v>137</v>
      </c>
      <c r="C24" s="31" t="s">
        <v>35</v>
      </c>
      <c r="D24" s="31" t="s">
        <v>120</v>
      </c>
      <c r="E24" s="32">
        <f>E25+1570.87+1588.77</f>
        <v>6375.09</v>
      </c>
      <c r="F24" s="26"/>
      <c r="G24" s="21"/>
    </row>
    <row r="25" spans="1:7" x14ac:dyDescent="0.6">
      <c r="A25" s="22"/>
      <c r="B25" s="30" t="s">
        <v>138</v>
      </c>
      <c r="C25" s="31" t="s">
        <v>139</v>
      </c>
      <c r="D25" s="31" t="s">
        <v>120</v>
      </c>
      <c r="E25" s="32">
        <f>1631.9+1583.55</f>
        <v>3215.45</v>
      </c>
      <c r="F25" s="26"/>
      <c r="G25" s="21"/>
    </row>
    <row r="26" spans="1:7" x14ac:dyDescent="0.6">
      <c r="A26" s="22"/>
      <c r="B26" s="30" t="s">
        <v>140</v>
      </c>
      <c r="C26" s="31" t="s">
        <v>13</v>
      </c>
      <c r="D26" s="31" t="s">
        <v>123</v>
      </c>
      <c r="E26" s="32">
        <v>2</v>
      </c>
      <c r="F26" s="26"/>
      <c r="G26" s="21"/>
    </row>
    <row r="27" spans="1:7" x14ac:dyDescent="0.6">
      <c r="A27" s="22"/>
      <c r="B27" s="30" t="s">
        <v>141</v>
      </c>
      <c r="C27" s="31" t="s">
        <v>39</v>
      </c>
      <c r="D27" s="31" t="s">
        <v>120</v>
      </c>
      <c r="E27" s="32">
        <v>1631.9</v>
      </c>
      <c r="F27" s="26">
        <f>E27/E9</f>
        <v>9.339509691479693E-2</v>
      </c>
      <c r="G27" s="21"/>
    </row>
    <row r="28" spans="1:7" x14ac:dyDescent="0.6">
      <c r="A28" s="22"/>
      <c r="B28" s="30" t="s">
        <v>142</v>
      </c>
      <c r="C28" s="31" t="s">
        <v>152</v>
      </c>
      <c r="D28" s="31" t="s">
        <v>119</v>
      </c>
      <c r="E28" s="32">
        <v>156.03</v>
      </c>
      <c r="F28" s="26"/>
      <c r="G28" s="21"/>
    </row>
    <row r="29" spans="1:7" ht="22.5" thickBot="1" x14ac:dyDescent="0.65">
      <c r="A29" s="22"/>
      <c r="B29" s="33" t="s">
        <v>143</v>
      </c>
      <c r="C29" s="34" t="s">
        <v>153</v>
      </c>
      <c r="D29" s="34" t="s">
        <v>123</v>
      </c>
      <c r="E29" s="35">
        <v>4</v>
      </c>
      <c r="F29" s="26"/>
      <c r="G29" s="21"/>
    </row>
    <row r="30" spans="1:7" ht="22.5" thickBot="1" x14ac:dyDescent="0.65">
      <c r="A30" s="36"/>
      <c r="B30" s="37"/>
      <c r="C30" s="37"/>
      <c r="D30" s="37"/>
      <c r="E30" s="38"/>
      <c r="F30" s="39"/>
      <c r="G30" s="40"/>
    </row>
  </sheetData>
  <mergeCells count="1">
    <mergeCell ref="A5:G5"/>
  </mergeCells>
  <pageMargins left="0.51181102362204722" right="0.51181102362204722" top="0.78740157480314965" bottom="0.78740157480314965" header="0.31496062992125984" footer="0.31496062992125984"/>
  <pageSetup paperSize="9" scale="5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654B7-529B-4C5C-920B-7E4C2957D973}">
  <dimension ref="A2:G36"/>
  <sheetViews>
    <sheetView topLeftCell="A16" zoomScale="145" zoomScaleNormal="145" workbookViewId="0">
      <selection activeCell="C22" sqref="C22"/>
    </sheetView>
  </sheetViews>
  <sheetFormatPr defaultColWidth="9.140625" defaultRowHeight="15" x14ac:dyDescent="0.2"/>
  <cols>
    <col min="1" max="1" width="15.5703125" style="215" customWidth="1"/>
    <col min="2" max="2" width="41.42578125" style="215" customWidth="1"/>
    <col min="3" max="3" width="12.28515625" style="217" customWidth="1"/>
    <col min="4" max="4" width="16.28515625" style="216" bestFit="1" customWidth="1"/>
    <col min="5" max="5" width="9.140625" style="215"/>
    <col min="6" max="6" width="8.85546875" style="215" customWidth="1"/>
    <col min="7" max="16384" width="9.140625" style="215"/>
  </cols>
  <sheetData>
    <row r="2" spans="1:7" ht="18.75" x14ac:dyDescent="0.45">
      <c r="A2" s="241" t="s">
        <v>438</v>
      </c>
      <c r="B2" s="241"/>
      <c r="C2" s="241"/>
      <c r="D2" s="241"/>
      <c r="G2" s="235"/>
    </row>
    <row r="3" spans="1:7" x14ac:dyDescent="0.2">
      <c r="A3" s="242"/>
      <c r="B3" s="242"/>
      <c r="C3" s="242"/>
      <c r="D3" s="242"/>
    </row>
    <row r="4" spans="1:7" ht="18.75" x14ac:dyDescent="0.45">
      <c r="A4" s="234" t="s">
        <v>0</v>
      </c>
      <c r="B4" s="233" t="s">
        <v>437</v>
      </c>
      <c r="C4" s="231"/>
      <c r="D4" s="231"/>
    </row>
    <row r="5" spans="1:7" ht="18.75" x14ac:dyDescent="0.45">
      <c r="A5" s="228" t="s">
        <v>436</v>
      </c>
      <c r="B5" s="232">
        <v>0.41</v>
      </c>
      <c r="C5" s="231"/>
      <c r="D5" s="231"/>
    </row>
    <row r="6" spans="1:7" ht="18.75" x14ac:dyDescent="0.45">
      <c r="A6" s="228" t="s">
        <v>435</v>
      </c>
      <c r="B6" s="230">
        <v>45566</v>
      </c>
    </row>
    <row r="7" spans="1:7" ht="18.75" x14ac:dyDescent="0.45">
      <c r="A7" s="228" t="s">
        <v>434</v>
      </c>
      <c r="B7" s="229">
        <v>2846.12</v>
      </c>
    </row>
    <row r="8" spans="1:7" ht="18.75" x14ac:dyDescent="0.45">
      <c r="A8" s="228" t="s">
        <v>433</v>
      </c>
      <c r="B8" s="227">
        <v>17473.080000000002</v>
      </c>
    </row>
    <row r="11" spans="1:7" ht="18.75" x14ac:dyDescent="0.45">
      <c r="A11" s="226" t="s">
        <v>432</v>
      </c>
      <c r="B11" s="226" t="s">
        <v>431</v>
      </c>
      <c r="C11" s="225" t="s">
        <v>430</v>
      </c>
      <c r="D11" s="224" t="s">
        <v>429</v>
      </c>
    </row>
    <row r="12" spans="1:7" ht="18.75" x14ac:dyDescent="0.45">
      <c r="A12" s="223">
        <v>1</v>
      </c>
      <c r="B12" s="222" t="s">
        <v>428</v>
      </c>
      <c r="C12" s="221">
        <v>0.01</v>
      </c>
      <c r="D12" s="220">
        <f t="shared" ref="D12:D29" si="0">$B$5*$B$7*$B$8*C12</f>
        <v>203894.97804336</v>
      </c>
      <c r="F12" s="216"/>
    </row>
    <row r="13" spans="1:7" ht="18.75" x14ac:dyDescent="0.45">
      <c r="A13" s="223">
        <v>2</v>
      </c>
      <c r="B13" s="222" t="s">
        <v>427</v>
      </c>
      <c r="C13" s="221">
        <v>0.01</v>
      </c>
      <c r="D13" s="220">
        <f t="shared" si="0"/>
        <v>203894.97804336</v>
      </c>
    </row>
    <row r="14" spans="1:7" ht="18.75" x14ac:dyDescent="0.45">
      <c r="A14" s="223">
        <v>3</v>
      </c>
      <c r="B14" s="222" t="s">
        <v>426</v>
      </c>
      <c r="C14" s="221">
        <v>0.04</v>
      </c>
      <c r="D14" s="220">
        <f t="shared" si="0"/>
        <v>815579.91217343998</v>
      </c>
    </row>
    <row r="15" spans="1:7" ht="18.75" x14ac:dyDescent="0.45">
      <c r="A15" s="223">
        <v>4</v>
      </c>
      <c r="B15" s="222" t="s">
        <v>425</v>
      </c>
      <c r="C15" s="221">
        <v>0.23</v>
      </c>
      <c r="D15" s="220">
        <f t="shared" si="0"/>
        <v>4689584.4949972806</v>
      </c>
    </row>
    <row r="16" spans="1:7" ht="18.75" x14ac:dyDescent="0.45">
      <c r="A16" s="223">
        <v>5</v>
      </c>
      <c r="B16" s="222" t="s">
        <v>424</v>
      </c>
      <c r="C16" s="221">
        <v>7.0000000000000007E-2</v>
      </c>
      <c r="D16" s="220">
        <f t="shared" si="0"/>
        <v>1427264.8463035203</v>
      </c>
    </row>
    <row r="17" spans="1:4" ht="18.75" x14ac:dyDescent="0.45">
      <c r="A17" s="223">
        <v>6</v>
      </c>
      <c r="B17" s="222" t="s">
        <v>423</v>
      </c>
      <c r="C17" s="221">
        <v>0.03</v>
      </c>
      <c r="D17" s="220">
        <f t="shared" si="0"/>
        <v>611684.93413007993</v>
      </c>
    </row>
    <row r="18" spans="1:4" ht="18.75" x14ac:dyDescent="0.45">
      <c r="A18" s="223">
        <v>7</v>
      </c>
      <c r="B18" s="222" t="s">
        <v>422</v>
      </c>
      <c r="C18" s="221">
        <v>0.01</v>
      </c>
      <c r="D18" s="220">
        <f t="shared" si="0"/>
        <v>203894.97804336</v>
      </c>
    </row>
    <row r="19" spans="1:4" ht="18.75" x14ac:dyDescent="0.45">
      <c r="A19" s="223">
        <v>8</v>
      </c>
      <c r="B19" s="222" t="s">
        <v>421</v>
      </c>
      <c r="C19" s="221">
        <v>1.4999999999999999E-2</v>
      </c>
      <c r="D19" s="220">
        <f t="shared" si="0"/>
        <v>305842.46706503996</v>
      </c>
    </row>
    <row r="20" spans="1:4" ht="18.75" x14ac:dyDescent="0.45">
      <c r="A20" s="223">
        <v>9</v>
      </c>
      <c r="B20" s="222" t="s">
        <v>420</v>
      </c>
      <c r="C20" s="221">
        <v>5.0000000000000001E-3</v>
      </c>
      <c r="D20" s="220">
        <f t="shared" si="0"/>
        <v>101947.48902168</v>
      </c>
    </row>
    <row r="21" spans="1:4" ht="18.75" x14ac:dyDescent="0.45">
      <c r="A21" s="223">
        <v>10</v>
      </c>
      <c r="B21" s="222" t="s">
        <v>419</v>
      </c>
      <c r="C21" s="221">
        <v>3.5000000000000003E-2</v>
      </c>
      <c r="D21" s="220">
        <f t="shared" si="0"/>
        <v>713632.42315176013</v>
      </c>
    </row>
    <row r="22" spans="1:4" ht="18.75" x14ac:dyDescent="0.45">
      <c r="A22" s="223">
        <v>11</v>
      </c>
      <c r="B22" s="222" t="s">
        <v>418</v>
      </c>
      <c r="C22" s="221">
        <v>0.12</v>
      </c>
      <c r="D22" s="220">
        <f t="shared" si="0"/>
        <v>2446739.7365203197</v>
      </c>
    </row>
    <row r="23" spans="1:4" ht="18.75" x14ac:dyDescent="0.45">
      <c r="A23" s="223">
        <v>12</v>
      </c>
      <c r="B23" s="222" t="s">
        <v>417</v>
      </c>
      <c r="C23" s="221">
        <v>7.0000000000000007E-2</v>
      </c>
      <c r="D23" s="220">
        <f t="shared" si="0"/>
        <v>1427264.8463035203</v>
      </c>
    </row>
    <row r="24" spans="1:4" ht="18.75" x14ac:dyDescent="0.45">
      <c r="A24" s="223">
        <v>13</v>
      </c>
      <c r="B24" s="222" t="s">
        <v>416</v>
      </c>
      <c r="C24" s="221">
        <v>0.09</v>
      </c>
      <c r="D24" s="220">
        <f t="shared" si="0"/>
        <v>1835054.8023902399</v>
      </c>
    </row>
    <row r="25" spans="1:4" ht="18.75" x14ac:dyDescent="0.45">
      <c r="A25" s="223">
        <v>14</v>
      </c>
      <c r="B25" s="222" t="s">
        <v>415</v>
      </c>
      <c r="C25" s="221">
        <v>0.06</v>
      </c>
      <c r="D25" s="220">
        <f t="shared" si="0"/>
        <v>1223369.8682601599</v>
      </c>
    </row>
    <row r="26" spans="1:4" ht="18.75" x14ac:dyDescent="0.45">
      <c r="A26" s="223">
        <v>15</v>
      </c>
      <c r="B26" s="222" t="s">
        <v>414</v>
      </c>
      <c r="C26" s="221">
        <v>0.06</v>
      </c>
      <c r="D26" s="220">
        <f t="shared" si="0"/>
        <v>1223369.8682601599</v>
      </c>
    </row>
    <row r="27" spans="1:4" ht="18.75" x14ac:dyDescent="0.45">
      <c r="A27" s="223">
        <v>16</v>
      </c>
      <c r="B27" s="222" t="s">
        <v>413</v>
      </c>
      <c r="C27" s="221">
        <v>7.4999999999999997E-2</v>
      </c>
      <c r="D27" s="220">
        <f t="shared" si="0"/>
        <v>1529212.3353251999</v>
      </c>
    </row>
    <row r="28" spans="1:4" ht="18.75" x14ac:dyDescent="0.45">
      <c r="A28" s="223">
        <v>17</v>
      </c>
      <c r="B28" s="222" t="s">
        <v>412</v>
      </c>
      <c r="C28" s="221">
        <v>0.02</v>
      </c>
      <c r="D28" s="220">
        <f t="shared" si="0"/>
        <v>407789.95608671999</v>
      </c>
    </row>
    <row r="29" spans="1:4" ht="18.75" x14ac:dyDescent="0.45">
      <c r="A29" s="223">
        <v>18</v>
      </c>
      <c r="B29" s="222" t="s">
        <v>411</v>
      </c>
      <c r="C29" s="221">
        <v>0.05</v>
      </c>
      <c r="D29" s="220">
        <f t="shared" si="0"/>
        <v>1019474.8902168</v>
      </c>
    </row>
    <row r="30" spans="1:4" ht="15.75" customHeight="1" x14ac:dyDescent="0.45">
      <c r="A30" s="243" t="s">
        <v>17</v>
      </c>
      <c r="B30" s="244"/>
      <c r="C30" s="219">
        <f>SUM(C12:C29)</f>
        <v>1</v>
      </c>
      <c r="D30" s="218">
        <f>SUM(D12:D29)</f>
        <v>20389497.804336</v>
      </c>
    </row>
    <row r="34" spans="1:4" x14ac:dyDescent="0.2">
      <c r="A34" s="240"/>
      <c r="B34" s="240"/>
      <c r="C34" s="240"/>
      <c r="D34" s="240"/>
    </row>
    <row r="35" spans="1:4" ht="15.75" customHeight="1" x14ac:dyDescent="0.2">
      <c r="A35" s="240"/>
      <c r="B35" s="240"/>
      <c r="C35" s="240"/>
      <c r="D35" s="240"/>
    </row>
    <row r="36" spans="1:4" ht="15.75" customHeight="1" x14ac:dyDescent="0.2">
      <c r="A36" s="240"/>
      <c r="B36" s="240"/>
      <c r="C36" s="240"/>
      <c r="D36" s="240"/>
    </row>
  </sheetData>
  <mergeCells count="6">
    <mergeCell ref="A36:D36"/>
    <mergeCell ref="A2:D2"/>
    <mergeCell ref="A3:D3"/>
    <mergeCell ref="A30:B30"/>
    <mergeCell ref="A34:D34"/>
    <mergeCell ref="A35:D3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sheetPr>
    <tabColor rgb="FF92D050"/>
  </sheetPr>
  <dimension ref="A1:K36"/>
  <sheetViews>
    <sheetView showGridLines="0" topLeftCell="A28" zoomScale="85" zoomScaleNormal="85" zoomScaleSheetLayoutView="95" workbookViewId="0">
      <selection activeCell="F32" sqref="F32:F33"/>
    </sheetView>
  </sheetViews>
  <sheetFormatPr defaultColWidth="9.140625" defaultRowHeight="19.5" x14ac:dyDescent="0.25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56.7109375" style="107" customWidth="1"/>
    <col min="8" max="16384" width="9.140625" style="1"/>
  </cols>
  <sheetData>
    <row r="1" spans="1:9" x14ac:dyDescent="0.25">
      <c r="A1" s="48"/>
      <c r="B1" s="48"/>
      <c r="C1" s="48"/>
      <c r="D1" s="51"/>
      <c r="E1" s="104"/>
      <c r="F1" s="104"/>
      <c r="G1" s="104"/>
      <c r="I1" s="2"/>
    </row>
    <row r="2" spans="1:9" ht="28.5" x14ac:dyDescent="0.25">
      <c r="A2" s="249" t="s">
        <v>121</v>
      </c>
      <c r="B2" s="250"/>
      <c r="C2" s="250"/>
      <c r="D2" s="250"/>
      <c r="E2" s="250"/>
      <c r="F2" s="250"/>
      <c r="G2" s="251"/>
      <c r="I2" s="2"/>
    </row>
    <row r="3" spans="1:9" ht="28.5" customHeight="1" x14ac:dyDescent="0.25">
      <c r="A3" s="189" t="s">
        <v>184</v>
      </c>
      <c r="B3" s="195">
        <v>45573</v>
      </c>
      <c r="C3" s="193"/>
      <c r="D3" s="193"/>
      <c r="E3" s="193"/>
      <c r="F3" s="193"/>
      <c r="G3" s="194"/>
      <c r="I3" s="2"/>
    </row>
    <row r="4" spans="1:9" ht="28.5" customHeight="1" x14ac:dyDescent="0.25">
      <c r="A4" s="189" t="s">
        <v>290</v>
      </c>
      <c r="B4" s="196" t="s">
        <v>212</v>
      </c>
      <c r="C4" s="191"/>
      <c r="D4" s="191"/>
      <c r="E4" s="191"/>
      <c r="F4" s="191"/>
      <c r="G4" s="192"/>
      <c r="I4" s="2"/>
    </row>
    <row r="5" spans="1:9" x14ac:dyDescent="0.25">
      <c r="A5" s="50"/>
      <c r="B5" s="50"/>
      <c r="C5" s="50"/>
      <c r="D5" s="49"/>
      <c r="E5" s="105"/>
      <c r="F5" s="104"/>
      <c r="G5" s="104"/>
      <c r="I5" s="2"/>
    </row>
    <row r="6" spans="1:9" s="55" customFormat="1" ht="21.75" x14ac:dyDescent="0.25">
      <c r="A6" s="52" t="s">
        <v>148</v>
      </c>
      <c r="B6" s="53"/>
      <c r="C6" s="53"/>
      <c r="D6" s="54"/>
      <c r="E6" s="98"/>
      <c r="F6" s="98"/>
      <c r="G6" s="98"/>
    </row>
    <row r="7" spans="1:9" s="55" customFormat="1" ht="21.75" x14ac:dyDescent="0.25">
      <c r="A7" s="56"/>
      <c r="B7" s="57"/>
      <c r="C7" s="57"/>
      <c r="D7" s="58"/>
      <c r="E7" s="99"/>
      <c r="F7" s="100"/>
      <c r="G7" s="100"/>
    </row>
    <row r="8" spans="1:9" s="55" customFormat="1" ht="42" customHeight="1" x14ac:dyDescent="0.25">
      <c r="A8" s="63" t="s">
        <v>14</v>
      </c>
      <c r="B8" s="64" t="s">
        <v>355</v>
      </c>
      <c r="C8" s="64" t="s">
        <v>147</v>
      </c>
      <c r="D8" s="65" t="s">
        <v>146</v>
      </c>
      <c r="E8" s="101" t="s">
        <v>145</v>
      </c>
      <c r="F8" s="90" t="s">
        <v>16</v>
      </c>
      <c r="G8" s="90" t="s">
        <v>292</v>
      </c>
    </row>
    <row r="9" spans="1:9" s="55" customFormat="1" ht="21.75" x14ac:dyDescent="0.25">
      <c r="A9" s="66" t="s">
        <v>353</v>
      </c>
      <c r="B9" s="67">
        <f>DADOS_INICIAIS!E27</f>
        <v>1631.9</v>
      </c>
      <c r="C9" s="67">
        <f>32.68-26.74</f>
        <v>5.9400000000000013</v>
      </c>
      <c r="D9" s="68">
        <f>C9*B9</f>
        <v>9693.4860000000026</v>
      </c>
      <c r="E9" s="88">
        <v>30</v>
      </c>
      <c r="F9" s="89">
        <f>E9*D9*1.1</f>
        <v>319885.03800000012</v>
      </c>
      <c r="G9" s="67" t="s">
        <v>356</v>
      </c>
    </row>
    <row r="10" spans="1:9" s="55" customFormat="1" ht="21.75" x14ac:dyDescent="0.25">
      <c r="A10" s="66" t="s">
        <v>354</v>
      </c>
      <c r="B10" s="67">
        <f>B9</f>
        <v>1631.9</v>
      </c>
      <c r="C10" s="67">
        <f>39.44-32.68</f>
        <v>6.759999999999998</v>
      </c>
      <c r="D10" s="68">
        <f>(C10*B10)/2</f>
        <v>5515.8219999999983</v>
      </c>
      <c r="E10" s="88">
        <v>30</v>
      </c>
      <c r="F10" s="89">
        <f t="shared" ref="F10:F11" si="0">E10*D10*1.1</f>
        <v>182022.12599999996</v>
      </c>
      <c r="G10" s="67" t="s">
        <v>357</v>
      </c>
    </row>
    <row r="11" spans="1:9" s="55" customFormat="1" ht="21.75" x14ac:dyDescent="0.25">
      <c r="A11" s="66" t="s">
        <v>358</v>
      </c>
      <c r="B11" s="67"/>
      <c r="C11" s="67"/>
      <c r="D11" s="68">
        <f>(D9+D10)*1.3</f>
        <v>19772.100400000003</v>
      </c>
      <c r="E11" s="88">
        <v>32</v>
      </c>
      <c r="F11" s="89">
        <f t="shared" si="0"/>
        <v>695977.93408000015</v>
      </c>
      <c r="G11" s="67" t="s">
        <v>359</v>
      </c>
    </row>
    <row r="12" spans="1:9" s="55" customFormat="1" ht="21.75" x14ac:dyDescent="0.25">
      <c r="A12" s="248" t="s">
        <v>17</v>
      </c>
      <c r="B12" s="248"/>
      <c r="C12" s="248"/>
      <c r="D12" s="248"/>
      <c r="E12" s="248"/>
      <c r="F12" s="90">
        <f>SUM(F9:F11)</f>
        <v>1197885.0980800004</v>
      </c>
      <c r="G12" s="90"/>
    </row>
    <row r="13" spans="1:9" s="55" customFormat="1" ht="21.75" x14ac:dyDescent="0.25">
      <c r="A13" s="252"/>
      <c r="B13" s="252"/>
      <c r="C13" s="252"/>
      <c r="D13" s="252"/>
      <c r="E13" s="252"/>
      <c r="F13" s="100"/>
      <c r="G13" s="100"/>
    </row>
    <row r="14" spans="1:9" s="55" customFormat="1" ht="21.75" x14ac:dyDescent="0.25">
      <c r="A14" s="52" t="s">
        <v>151</v>
      </c>
      <c r="B14" s="53"/>
      <c r="C14" s="53"/>
      <c r="D14" s="54"/>
      <c r="E14" s="98"/>
      <c r="F14" s="98"/>
      <c r="G14" s="98"/>
    </row>
    <row r="15" spans="1:9" s="55" customFormat="1" ht="21.75" x14ac:dyDescent="0.25">
      <c r="A15" s="56"/>
      <c r="B15" s="57"/>
      <c r="C15" s="57"/>
      <c r="D15" s="58"/>
      <c r="E15" s="99"/>
      <c r="F15" s="100"/>
      <c r="G15" s="100"/>
    </row>
    <row r="16" spans="1:9" s="55" customFormat="1" ht="42" customHeight="1" x14ac:dyDescent="0.25">
      <c r="A16" s="63" t="s">
        <v>14</v>
      </c>
      <c r="B16" s="64" t="s">
        <v>150</v>
      </c>
      <c r="C16" s="64"/>
      <c r="D16" s="65"/>
      <c r="E16" s="101" t="s">
        <v>149</v>
      </c>
      <c r="F16" s="90" t="s">
        <v>16</v>
      </c>
      <c r="G16" s="90" t="s">
        <v>292</v>
      </c>
    </row>
    <row r="17" spans="1:11" s="55" customFormat="1" ht="21.75" x14ac:dyDescent="0.25">
      <c r="A17" s="66" t="s">
        <v>124</v>
      </c>
      <c r="B17" s="211">
        <v>160</v>
      </c>
      <c r="C17" s="74"/>
      <c r="D17" s="75"/>
      <c r="E17" s="88">
        <v>200</v>
      </c>
      <c r="F17" s="89">
        <f>B17*E17*1.1</f>
        <v>35200</v>
      </c>
      <c r="G17" s="67" t="s">
        <v>371</v>
      </c>
    </row>
    <row r="18" spans="1:11" s="55" customFormat="1" ht="21.75" x14ac:dyDescent="0.25">
      <c r="A18" s="248" t="s">
        <v>17</v>
      </c>
      <c r="B18" s="248"/>
      <c r="C18" s="248"/>
      <c r="D18" s="248"/>
      <c r="E18" s="248"/>
      <c r="F18" s="90">
        <f>SUM(F17:F17)</f>
        <v>35200</v>
      </c>
      <c r="G18" s="90"/>
    </row>
    <row r="19" spans="1:11" s="55" customFormat="1" ht="21.75" x14ac:dyDescent="0.25">
      <c r="A19" s="252"/>
      <c r="B19" s="252"/>
      <c r="C19" s="252"/>
      <c r="D19" s="252"/>
      <c r="E19" s="252"/>
      <c r="F19" s="100"/>
      <c r="G19" s="100"/>
    </row>
    <row r="20" spans="1:11" s="55" customFormat="1" ht="21.75" x14ac:dyDescent="0.25">
      <c r="A20" s="52" t="s">
        <v>19</v>
      </c>
      <c r="B20" s="53"/>
      <c r="C20" s="53"/>
      <c r="D20" s="54"/>
      <c r="E20" s="98"/>
      <c r="F20" s="98"/>
      <c r="G20" s="98"/>
    </row>
    <row r="21" spans="1:11" s="55" customFormat="1" ht="21.75" x14ac:dyDescent="0.25">
      <c r="A21" s="56"/>
      <c r="B21" s="57"/>
      <c r="C21" s="57"/>
      <c r="D21" s="58"/>
      <c r="E21" s="99"/>
      <c r="F21" s="100"/>
      <c r="G21" s="100"/>
    </row>
    <row r="22" spans="1:11" s="55" customFormat="1" ht="42" customHeight="1" x14ac:dyDescent="0.25">
      <c r="A22" s="63" t="s">
        <v>14</v>
      </c>
      <c r="B22" s="253" t="s">
        <v>5</v>
      </c>
      <c r="C22" s="254"/>
      <c r="D22" s="65" t="s">
        <v>146</v>
      </c>
      <c r="E22" s="101" t="s">
        <v>158</v>
      </c>
      <c r="F22" s="90" t="s">
        <v>16</v>
      </c>
      <c r="G22" s="90" t="s">
        <v>292</v>
      </c>
    </row>
    <row r="23" spans="1:11" s="55" customFormat="1" ht="43.5" x14ac:dyDescent="0.25">
      <c r="A23" s="70" t="s">
        <v>20</v>
      </c>
      <c r="B23" s="62">
        <v>1.2</v>
      </c>
      <c r="C23" s="62" t="s">
        <v>308</v>
      </c>
      <c r="D23" s="72">
        <f>B23*INFRAESTRUTURA!D29</f>
        <v>587.48399999999992</v>
      </c>
      <c r="E23" s="88">
        <v>45</v>
      </c>
      <c r="F23" s="106">
        <f>E23*D23*1.1</f>
        <v>29080.457999999999</v>
      </c>
      <c r="G23" s="67" t="s">
        <v>372</v>
      </c>
    </row>
    <row r="24" spans="1:11" s="55" customFormat="1" ht="26.25" customHeight="1" x14ac:dyDescent="0.25">
      <c r="A24" s="70" t="s">
        <v>21</v>
      </c>
      <c r="B24" s="62">
        <v>0.6</v>
      </c>
      <c r="C24" s="62" t="s">
        <v>155</v>
      </c>
      <c r="D24" s="72">
        <f>D23-INFRAESTRUTURA!D29</f>
        <v>97.91399999999993</v>
      </c>
      <c r="E24" s="88">
        <v>12</v>
      </c>
      <c r="F24" s="106">
        <f>E24*D24*1.1</f>
        <v>1292.4647999999993</v>
      </c>
      <c r="G24" s="67" t="s">
        <v>372</v>
      </c>
    </row>
    <row r="25" spans="1:11" s="55" customFormat="1" ht="21.75" x14ac:dyDescent="0.25">
      <c r="A25" s="70" t="s">
        <v>154</v>
      </c>
      <c r="B25" s="62">
        <v>1.3</v>
      </c>
      <c r="C25" s="62"/>
      <c r="D25" s="72">
        <f>(D23-D24)*B25</f>
        <v>636.44100000000003</v>
      </c>
      <c r="E25" s="88">
        <v>35</v>
      </c>
      <c r="F25" s="106">
        <f t="shared" ref="F25" si="1">E25*D25*1.1</f>
        <v>24502.978500000005</v>
      </c>
      <c r="G25" s="67" t="s">
        <v>372</v>
      </c>
    </row>
    <row r="26" spans="1:11" s="55" customFormat="1" ht="21.75" x14ac:dyDescent="0.25">
      <c r="A26" s="69" t="s">
        <v>144</v>
      </c>
      <c r="B26" s="61">
        <v>1.3</v>
      </c>
      <c r="C26" s="61" t="s">
        <v>22</v>
      </c>
      <c r="D26" s="73">
        <f>INFRAESTRUTURA!D19</f>
        <v>1230.0403380306261</v>
      </c>
      <c r="E26" s="88">
        <v>35</v>
      </c>
      <c r="F26" s="106">
        <f>E26*D26*B26*1.1</f>
        <v>61563.518918432841</v>
      </c>
      <c r="G26" s="67" t="s">
        <v>372</v>
      </c>
    </row>
    <row r="27" spans="1:11" s="55" customFormat="1" ht="21.75" x14ac:dyDescent="0.25">
      <c r="A27" s="248" t="s">
        <v>17</v>
      </c>
      <c r="B27" s="248"/>
      <c r="C27" s="248"/>
      <c r="D27" s="248"/>
      <c r="E27" s="248"/>
      <c r="F27" s="90">
        <f>SUM(F23:F26)</f>
        <v>116439.42021843285</v>
      </c>
      <c r="G27" s="90"/>
    </row>
    <row r="28" spans="1:11" x14ac:dyDescent="0.25">
      <c r="K28" s="47"/>
    </row>
    <row r="29" spans="1:11" ht="21.75" x14ac:dyDescent="0.25">
      <c r="A29" s="52" t="s">
        <v>100</v>
      </c>
      <c r="B29" s="53"/>
      <c r="C29" s="53"/>
      <c r="D29" s="54"/>
      <c r="E29" s="98"/>
      <c r="F29" s="98"/>
      <c r="G29" s="98"/>
    </row>
    <row r="30" spans="1:11" ht="21.75" x14ac:dyDescent="0.25">
      <c r="A30" s="56"/>
      <c r="B30" s="57"/>
      <c r="C30" s="57"/>
      <c r="D30" s="58"/>
      <c r="E30" s="99"/>
      <c r="F30" s="100"/>
      <c r="G30" s="100"/>
    </row>
    <row r="31" spans="1:11" ht="43.5" x14ac:dyDescent="0.25">
      <c r="A31" s="63" t="s">
        <v>14</v>
      </c>
      <c r="B31" s="253" t="s">
        <v>5</v>
      </c>
      <c r="C31" s="254"/>
      <c r="D31" s="65" t="s">
        <v>156</v>
      </c>
      <c r="E31" s="101" t="s">
        <v>157</v>
      </c>
      <c r="F31" s="90" t="s">
        <v>16</v>
      </c>
      <c r="G31" s="90" t="s">
        <v>292</v>
      </c>
    </row>
    <row r="32" spans="1:11" ht="21.75" x14ac:dyDescent="0.25">
      <c r="A32" s="70" t="s">
        <v>373</v>
      </c>
      <c r="B32" s="62">
        <v>0.35</v>
      </c>
      <c r="C32" s="62" t="s">
        <v>113</v>
      </c>
      <c r="D32" s="72">
        <f>B32*DADOS_INICIAIS!E27</f>
        <v>571.16499999999996</v>
      </c>
      <c r="E32" s="88">
        <v>22</v>
      </c>
      <c r="F32" s="106">
        <f>E32*D32*1.1</f>
        <v>13822.193000000001</v>
      </c>
      <c r="G32" s="67" t="s">
        <v>374</v>
      </c>
      <c r="H32" s="1">
        <f>F32/DADOS_INICIAIS!E27</f>
        <v>8.4700000000000006</v>
      </c>
      <c r="I32" s="100"/>
    </row>
    <row r="33" spans="1:9" ht="21.75" x14ac:dyDescent="0.25">
      <c r="A33" s="70" t="s">
        <v>375</v>
      </c>
      <c r="B33" s="62">
        <v>0.95</v>
      </c>
      <c r="C33" s="62" t="s">
        <v>113</v>
      </c>
      <c r="D33" s="72">
        <f>B33*DADOS_INICIAIS!E28</f>
        <v>148.2285</v>
      </c>
      <c r="E33" s="88">
        <v>8</v>
      </c>
      <c r="F33" s="106">
        <f>E33*D33*1.1</f>
        <v>1304.4108000000001</v>
      </c>
      <c r="G33" s="67" t="s">
        <v>374</v>
      </c>
      <c r="H33" s="1">
        <f>F33/DADOS_INICIAIS!E28</f>
        <v>8.3600000000000012</v>
      </c>
      <c r="I33" s="100"/>
    </row>
    <row r="34" spans="1:9" ht="21.75" x14ac:dyDescent="0.25">
      <c r="A34" s="248" t="s">
        <v>17</v>
      </c>
      <c r="B34" s="248"/>
      <c r="C34" s="248"/>
      <c r="D34" s="248"/>
      <c r="E34" s="248"/>
      <c r="F34" s="90">
        <f>SUM(F32:F33)</f>
        <v>15126.603800000001</v>
      </c>
      <c r="G34" s="90"/>
    </row>
    <row r="36" spans="1:9" ht="23.25" customHeight="1" x14ac:dyDescent="0.25">
      <c r="A36" s="245" t="s">
        <v>103</v>
      </c>
      <c r="B36" s="246"/>
      <c r="C36" s="246"/>
      <c r="D36" s="246"/>
      <c r="E36" s="247"/>
      <c r="F36" s="108">
        <f>F12+F18+F27+F34</f>
        <v>1364651.1220984331</v>
      </c>
      <c r="G36" s="108">
        <f>F36/DADOS_INICIAIS!E9</f>
        <v>78.100204548850741</v>
      </c>
    </row>
  </sheetData>
  <mergeCells count="10">
    <mergeCell ref="A36:E36"/>
    <mergeCell ref="A27:E27"/>
    <mergeCell ref="A2:G2"/>
    <mergeCell ref="A12:E12"/>
    <mergeCell ref="A13:E13"/>
    <mergeCell ref="B22:C22"/>
    <mergeCell ref="B31:C31"/>
    <mergeCell ref="A34:E34"/>
    <mergeCell ref="A18:E18"/>
    <mergeCell ref="A19:E19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FF0000"/>
  </sheetPr>
  <dimension ref="A1:J46"/>
  <sheetViews>
    <sheetView showGridLines="0" zoomScale="80" zoomScaleNormal="80" zoomScaleSheetLayoutView="95" workbookViewId="0">
      <selection activeCell="I11" sqref="I1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15.1406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49" t="s">
        <v>164</v>
      </c>
      <c r="B3" s="257"/>
      <c r="C3" s="257"/>
      <c r="D3" s="250"/>
      <c r="E3" s="250"/>
      <c r="F3" s="250"/>
      <c r="G3" s="250"/>
      <c r="H3" s="251"/>
      <c r="J3" s="79"/>
    </row>
    <row r="4" spans="1:10" ht="19.5" x14ac:dyDescent="0.25">
      <c r="A4" s="189" t="s">
        <v>184</v>
      </c>
      <c r="B4" s="195"/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290</v>
      </c>
      <c r="B5" s="190"/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165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42" customHeight="1" x14ac:dyDescent="0.25">
      <c r="A9" s="63" t="s">
        <v>14</v>
      </c>
      <c r="B9" s="253" t="s">
        <v>5</v>
      </c>
      <c r="C9" s="254"/>
      <c r="D9" s="253" t="s">
        <v>18</v>
      </c>
      <c r="E9" s="254"/>
      <c r="F9" s="101" t="s">
        <v>118</v>
      </c>
      <c r="G9" s="90" t="s">
        <v>16</v>
      </c>
      <c r="H9" s="100"/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B10*DADOS_INICIAIS!E27</f>
        <v>244.785</v>
      </c>
      <c r="E10" s="67" t="s">
        <v>3</v>
      </c>
      <c r="F10" s="92"/>
      <c r="G10" s="93"/>
      <c r="H10" s="102"/>
    </row>
    <row r="11" spans="1:10" ht="21.75" x14ac:dyDescent="0.25">
      <c r="A11" s="255" t="s">
        <v>160</v>
      </c>
      <c r="B11" s="76">
        <v>0.1</v>
      </c>
      <c r="C11" s="62"/>
      <c r="D11" s="67">
        <f>B11*$D$10</f>
        <v>24.4785</v>
      </c>
      <c r="E11" s="67" t="s">
        <v>3</v>
      </c>
      <c r="F11" s="92"/>
      <c r="G11" s="93"/>
      <c r="H11" s="102"/>
    </row>
    <row r="12" spans="1:10" ht="21.75" x14ac:dyDescent="0.25">
      <c r="A12" s="256"/>
      <c r="B12" s="77">
        <v>20</v>
      </c>
      <c r="C12" s="62" t="s">
        <v>161</v>
      </c>
      <c r="D12" s="67">
        <f>B12*D11</f>
        <v>489.57</v>
      </c>
      <c r="E12" s="67" t="s">
        <v>4</v>
      </c>
      <c r="F12" s="88"/>
      <c r="G12" s="89">
        <f>F12*D12</f>
        <v>0</v>
      </c>
      <c r="H12" s="102"/>
    </row>
    <row r="13" spans="1:10" ht="21.75" x14ac:dyDescent="0.25">
      <c r="A13" s="255" t="s">
        <v>159</v>
      </c>
      <c r="B13" s="76">
        <v>0.5</v>
      </c>
      <c r="C13" s="62"/>
      <c r="D13" s="67">
        <f>B13*$D$10</f>
        <v>122.3925</v>
      </c>
      <c r="E13" s="67" t="s">
        <v>3</v>
      </c>
      <c r="F13" s="92"/>
      <c r="G13" s="93"/>
      <c r="H13" s="102"/>
    </row>
    <row r="14" spans="1:10" ht="21.75" x14ac:dyDescent="0.25">
      <c r="A14" s="256"/>
      <c r="B14" s="77">
        <v>20</v>
      </c>
      <c r="C14" s="62" t="s">
        <v>161</v>
      </c>
      <c r="D14" s="67">
        <f>B14*D13</f>
        <v>2447.85</v>
      </c>
      <c r="E14" s="67" t="s">
        <v>4</v>
      </c>
      <c r="F14" s="88"/>
      <c r="G14" s="89">
        <f>F14*D14</f>
        <v>0</v>
      </c>
      <c r="H14" s="102"/>
    </row>
    <row r="15" spans="1:10" ht="21.75" x14ac:dyDescent="0.25">
      <c r="A15" s="255" t="s">
        <v>114</v>
      </c>
      <c r="B15" s="76">
        <v>0.4</v>
      </c>
      <c r="C15" s="62" t="s">
        <v>108</v>
      </c>
      <c r="D15" s="67">
        <f>B15*$D$10</f>
        <v>97.914000000000001</v>
      </c>
      <c r="E15" s="67" t="s">
        <v>3</v>
      </c>
      <c r="F15" s="92"/>
      <c r="G15" s="93"/>
      <c r="H15" s="102"/>
    </row>
    <row r="16" spans="1:10" ht="21.75" x14ac:dyDescent="0.25">
      <c r="A16" s="256"/>
      <c r="B16" s="77">
        <v>20</v>
      </c>
      <c r="C16" s="62" t="s">
        <v>161</v>
      </c>
      <c r="D16" s="67">
        <f>B16*D15</f>
        <v>1958.28</v>
      </c>
      <c r="E16" s="67" t="s">
        <v>4</v>
      </c>
      <c r="F16" s="88"/>
      <c r="G16" s="89">
        <f>F16*D16</f>
        <v>0</v>
      </c>
      <c r="H16" s="102"/>
    </row>
    <row r="17" spans="1:8" ht="21.75" x14ac:dyDescent="0.25">
      <c r="A17" s="66" t="s">
        <v>24</v>
      </c>
      <c r="B17" s="62">
        <f>(PI()*0.4^2)/4*D14+(PI()*0.5^2)/4*D16+(PI()*0.6^2)/4*D12</f>
        <v>830.53593832569572</v>
      </c>
      <c r="C17" s="62" t="s">
        <v>108</v>
      </c>
      <c r="D17" s="67">
        <f>(PI()*0.4^2)/4*D14+(PI()*0.5^2)/4*D16+(PI()*0.6^2)/4*D12</f>
        <v>830.53593832569572</v>
      </c>
      <c r="E17" s="67" t="s">
        <v>22</v>
      </c>
      <c r="F17" s="88"/>
      <c r="G17" s="89">
        <f>F17*D17</f>
        <v>0</v>
      </c>
      <c r="H17" s="102"/>
    </row>
    <row r="18" spans="1:8" ht="21.75" x14ac:dyDescent="0.25">
      <c r="A18" s="66" t="s">
        <v>115</v>
      </c>
      <c r="B18" s="62">
        <v>1.6575131198547477</v>
      </c>
      <c r="C18" s="62" t="s">
        <v>34</v>
      </c>
      <c r="D18" s="67">
        <f>B18*D17</f>
        <v>1376.6242142857143</v>
      </c>
      <c r="E18" s="67" t="s">
        <v>26</v>
      </c>
      <c r="F18" s="88"/>
      <c r="G18" s="89">
        <f>F18*D18</f>
        <v>0</v>
      </c>
      <c r="H18" s="102"/>
    </row>
    <row r="19" spans="1:8" ht="21.75" x14ac:dyDescent="0.25">
      <c r="A19" s="66" t="s">
        <v>125</v>
      </c>
      <c r="B19" s="62">
        <v>10.178337551067401</v>
      </c>
      <c r="C19" s="62" t="s">
        <v>34</v>
      </c>
      <c r="D19" s="67">
        <f>B19*D17</f>
        <v>8453.4751285714283</v>
      </c>
      <c r="E19" s="67" t="s">
        <v>26</v>
      </c>
      <c r="F19" s="88"/>
      <c r="G19" s="89">
        <f>F19*D19</f>
        <v>0</v>
      </c>
      <c r="H19" s="102"/>
    </row>
    <row r="20" spans="1:8" ht="21.75" x14ac:dyDescent="0.2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1.75" x14ac:dyDescent="0.25">
      <c r="A21" s="248" t="s">
        <v>17</v>
      </c>
      <c r="B21" s="248"/>
      <c r="C21" s="248"/>
      <c r="D21" s="248"/>
      <c r="E21" s="248"/>
      <c r="F21" s="248"/>
      <c r="G21" s="90">
        <f>SUM(G10:G20)</f>
        <v>0</v>
      </c>
      <c r="H21" s="103"/>
    </row>
    <row r="23" spans="1:8" ht="21.75" x14ac:dyDescent="0.25">
      <c r="A23" s="52" t="s">
        <v>291</v>
      </c>
      <c r="B23" s="52"/>
      <c r="C23" s="52"/>
      <c r="D23" s="53"/>
      <c r="E23" s="53"/>
      <c r="F23" s="98"/>
      <c r="G23" s="98"/>
      <c r="H23" s="98"/>
    </row>
    <row r="24" spans="1:8" ht="21.75" x14ac:dyDescent="0.25">
      <c r="A24" s="56"/>
      <c r="B24" s="56"/>
      <c r="C24" s="56"/>
      <c r="D24" s="57"/>
      <c r="E24" s="57"/>
      <c r="F24" s="99"/>
      <c r="G24" s="100"/>
      <c r="H24" s="100"/>
    </row>
    <row r="25" spans="1:8" ht="21.75" x14ac:dyDescent="0.25">
      <c r="A25" s="63" t="s">
        <v>14</v>
      </c>
      <c r="B25" s="253" t="s">
        <v>5</v>
      </c>
      <c r="C25" s="254"/>
      <c r="D25" s="253" t="s">
        <v>18</v>
      </c>
      <c r="E25" s="254"/>
      <c r="F25" s="101" t="s">
        <v>118</v>
      </c>
      <c r="G25" s="90" t="s">
        <v>16</v>
      </c>
      <c r="H25" s="100"/>
    </row>
    <row r="26" spans="1:8" ht="43.5" x14ac:dyDescent="0.25">
      <c r="A26" s="66" t="s">
        <v>111</v>
      </c>
      <c r="B26" s="62">
        <v>2.1</v>
      </c>
      <c r="C26" s="62" t="s">
        <v>113</v>
      </c>
      <c r="D26" s="67">
        <f>B26*DADOS_INICIAIS!E27</f>
        <v>3426.9900000000002</v>
      </c>
      <c r="E26" s="67" t="s">
        <v>2</v>
      </c>
      <c r="F26" s="88"/>
      <c r="G26" s="89">
        <f>F26*D26</f>
        <v>0</v>
      </c>
      <c r="H26" s="102"/>
    </row>
    <row r="27" spans="1:8" ht="21.75" x14ac:dyDescent="0.25">
      <c r="A27" s="66" t="s">
        <v>24</v>
      </c>
      <c r="B27" s="62">
        <v>0.65</v>
      </c>
      <c r="C27" s="62" t="s">
        <v>112</v>
      </c>
      <c r="D27" s="67">
        <f>B27*DADOS_INICIAIS!E27</f>
        <v>1060.7350000000001</v>
      </c>
      <c r="E27" s="67" t="s">
        <v>22</v>
      </c>
      <c r="F27" s="88"/>
      <c r="G27" s="89">
        <f>F27*D27</f>
        <v>0</v>
      </c>
      <c r="H27" s="102"/>
    </row>
    <row r="28" spans="1:8" ht="21.75" x14ac:dyDescent="0.25">
      <c r="A28" s="66" t="s">
        <v>23</v>
      </c>
      <c r="B28" s="62">
        <v>110</v>
      </c>
      <c r="C28" s="62" t="s">
        <v>34</v>
      </c>
      <c r="D28" s="67">
        <f>B28*D27</f>
        <v>116680.85000000002</v>
      </c>
      <c r="E28" s="67" t="s">
        <v>26</v>
      </c>
      <c r="F28" s="88"/>
      <c r="G28" s="89">
        <f>F28*D28</f>
        <v>0</v>
      </c>
      <c r="H28" s="102"/>
    </row>
    <row r="29" spans="1:8" ht="21.75" x14ac:dyDescent="0.25">
      <c r="A29" s="66" t="s">
        <v>25</v>
      </c>
      <c r="B29" s="62">
        <f>SUPRAESTRUTURA!B15*1.5</f>
        <v>360</v>
      </c>
      <c r="C29" s="62" t="s">
        <v>102</v>
      </c>
      <c r="D29" s="67">
        <f>DADOS_INICIAIS!E27</f>
        <v>1631.9</v>
      </c>
      <c r="E29" s="67" t="s">
        <v>2</v>
      </c>
      <c r="F29" s="88">
        <f>B29</f>
        <v>360</v>
      </c>
      <c r="G29" s="89">
        <f>F29*D29</f>
        <v>587484</v>
      </c>
      <c r="H29" s="102"/>
    </row>
    <row r="30" spans="1:8" ht="21.75" x14ac:dyDescent="0.25">
      <c r="A30" s="248" t="s">
        <v>17</v>
      </c>
      <c r="B30" s="248"/>
      <c r="C30" s="248"/>
      <c r="D30" s="248"/>
      <c r="E30" s="248"/>
      <c r="F30" s="248"/>
      <c r="G30" s="90">
        <f>SUM(G26:G29)</f>
        <v>587484</v>
      </c>
      <c r="H30" s="103"/>
    </row>
    <row r="33" spans="1:8" ht="21.75" x14ac:dyDescent="0.25">
      <c r="A33" s="52" t="s">
        <v>166</v>
      </c>
      <c r="B33" s="52"/>
      <c r="C33" s="52"/>
      <c r="D33" s="53"/>
      <c r="E33" s="53"/>
      <c r="F33" s="98"/>
      <c r="G33" s="98"/>
      <c r="H33" s="98"/>
    </row>
    <row r="34" spans="1:8" ht="21.75" x14ac:dyDescent="0.25">
      <c r="A34" s="56"/>
      <c r="B34" s="56"/>
      <c r="C34" s="56"/>
      <c r="D34" s="57"/>
      <c r="E34" s="57"/>
      <c r="F34" s="99"/>
      <c r="G34" s="100"/>
      <c r="H34" s="100"/>
    </row>
    <row r="35" spans="1:8" ht="21.75" x14ac:dyDescent="0.25">
      <c r="A35" s="63" t="s">
        <v>14</v>
      </c>
      <c r="B35" s="253" t="s">
        <v>5</v>
      </c>
      <c r="C35" s="254"/>
      <c r="D35" s="253" t="s">
        <v>18</v>
      </c>
      <c r="E35" s="254"/>
      <c r="F35" s="101" t="s">
        <v>118</v>
      </c>
      <c r="G35" s="90" t="s">
        <v>16</v>
      </c>
      <c r="H35" s="100"/>
    </row>
    <row r="36" spans="1:8" ht="43.5" x14ac:dyDescent="0.25">
      <c r="A36" s="66" t="s">
        <v>111</v>
      </c>
      <c r="B36" s="62">
        <v>2.1</v>
      </c>
      <c r="C36" s="62" t="s">
        <v>113</v>
      </c>
      <c r="D36" s="67">
        <f>B36*DADOS_INICIAIS!E37</f>
        <v>0</v>
      </c>
      <c r="E36" s="67" t="s">
        <v>2</v>
      </c>
      <c r="F36" s="88"/>
      <c r="G36" s="89">
        <f>F36*D36</f>
        <v>0</v>
      </c>
      <c r="H36" s="102"/>
    </row>
    <row r="37" spans="1:8" ht="21.75" x14ac:dyDescent="0.25">
      <c r="A37" s="66" t="s">
        <v>24</v>
      </c>
      <c r="B37" s="62">
        <v>0.65</v>
      </c>
      <c r="C37" s="62" t="s">
        <v>112</v>
      </c>
      <c r="D37" s="67">
        <f>B37*DADOS_INICIAIS!E37</f>
        <v>0</v>
      </c>
      <c r="E37" s="67" t="s">
        <v>22</v>
      </c>
      <c r="F37" s="88"/>
      <c r="G37" s="89">
        <f>F37*D37</f>
        <v>0</v>
      </c>
      <c r="H37" s="102"/>
    </row>
    <row r="38" spans="1:8" ht="21.75" x14ac:dyDescent="0.25">
      <c r="A38" s="66" t="s">
        <v>23</v>
      </c>
      <c r="B38" s="62">
        <v>110</v>
      </c>
      <c r="C38" s="62" t="s">
        <v>34</v>
      </c>
      <c r="D38" s="67">
        <f>B38*D37</f>
        <v>0</v>
      </c>
      <c r="E38" s="67" t="s">
        <v>26</v>
      </c>
      <c r="F38" s="88"/>
      <c r="G38" s="89">
        <f>F38*D38</f>
        <v>0</v>
      </c>
      <c r="H38" s="102"/>
    </row>
    <row r="39" spans="1:8" ht="21.75" x14ac:dyDescent="0.25">
      <c r="A39" s="66" t="s">
        <v>25</v>
      </c>
      <c r="B39" s="62">
        <f>SUPRAESTRUTURA!B72*1.5</f>
        <v>0</v>
      </c>
      <c r="C39" s="62" t="s">
        <v>102</v>
      </c>
      <c r="D39" s="67">
        <f>DADOS_INICIAIS!E37</f>
        <v>0</v>
      </c>
      <c r="E39" s="67" t="s">
        <v>2</v>
      </c>
      <c r="F39" s="88">
        <f>B39</f>
        <v>0</v>
      </c>
      <c r="G39" s="89">
        <f>F39*D39</f>
        <v>0</v>
      </c>
      <c r="H39" s="102"/>
    </row>
    <row r="40" spans="1:8" ht="21.75" x14ac:dyDescent="0.25">
      <c r="A40" s="248" t="s">
        <v>17</v>
      </c>
      <c r="B40" s="248"/>
      <c r="C40" s="248"/>
      <c r="D40" s="248"/>
      <c r="E40" s="248"/>
      <c r="F40" s="248"/>
      <c r="G40" s="90">
        <f>SUM(G36:G39)</f>
        <v>0</v>
      </c>
      <c r="H40" s="103"/>
    </row>
    <row r="45" spans="1:8" x14ac:dyDescent="0.25">
      <c r="D45" s="86"/>
      <c r="E45" s="87"/>
    </row>
    <row r="46" spans="1:8" ht="21.75" x14ac:dyDescent="0.25">
      <c r="A46" s="258" t="s">
        <v>104</v>
      </c>
      <c r="B46" s="259"/>
      <c r="C46" s="259"/>
      <c r="D46" s="259"/>
      <c r="E46" s="259"/>
      <c r="F46" s="260"/>
      <c r="G46" s="91">
        <f>G21+G30</f>
        <v>587484</v>
      </c>
      <c r="H46" s="91">
        <f>G46/DADOS_INICIAIS!E9</f>
        <v>33.62223488932689</v>
      </c>
    </row>
  </sheetData>
  <mergeCells count="14">
    <mergeCell ref="A21:F21"/>
    <mergeCell ref="B25:C25"/>
    <mergeCell ref="D25:E25"/>
    <mergeCell ref="A30:F30"/>
    <mergeCell ref="A46:F46"/>
    <mergeCell ref="B35:C35"/>
    <mergeCell ref="D35:E35"/>
    <mergeCell ref="A40:F40"/>
    <mergeCell ref="A15:A16"/>
    <mergeCell ref="A3:H3"/>
    <mergeCell ref="B9:C9"/>
    <mergeCell ref="D9:E9"/>
    <mergeCell ref="A11:A12"/>
    <mergeCell ref="A13:A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35"/>
  <sheetViews>
    <sheetView showGridLines="0" topLeftCell="A22" zoomScale="80" zoomScaleNormal="80" zoomScaleSheetLayoutView="95" workbookViewId="0">
      <selection activeCell="G28" sqref="G28:G30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7.28515625" style="94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49" t="s">
        <v>122</v>
      </c>
      <c r="B3" s="257"/>
      <c r="C3" s="257"/>
      <c r="D3" s="250"/>
      <c r="E3" s="250"/>
      <c r="F3" s="250"/>
      <c r="G3" s="250"/>
      <c r="H3" s="251"/>
      <c r="J3" s="79"/>
    </row>
    <row r="4" spans="1:10" ht="19.5" x14ac:dyDescent="0.25">
      <c r="A4" s="189" t="s">
        <v>184</v>
      </c>
      <c r="B4" s="195">
        <v>45573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290</v>
      </c>
      <c r="B5" s="196" t="s">
        <v>212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106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21.75" x14ac:dyDescent="0.25">
      <c r="A9" s="63" t="s">
        <v>14</v>
      </c>
      <c r="B9" s="253" t="s">
        <v>5</v>
      </c>
      <c r="C9" s="254"/>
      <c r="D9" s="253" t="s">
        <v>18</v>
      </c>
      <c r="E9" s="254"/>
      <c r="F9" s="101" t="s">
        <v>118</v>
      </c>
      <c r="G9" s="90" t="s">
        <v>16</v>
      </c>
      <c r="H9" s="90" t="s">
        <v>292</v>
      </c>
    </row>
    <row r="10" spans="1:10" ht="21.75" x14ac:dyDescent="0.25">
      <c r="A10" s="66" t="s">
        <v>107</v>
      </c>
      <c r="B10" s="62">
        <v>0.1</v>
      </c>
      <c r="C10" s="62" t="s">
        <v>108</v>
      </c>
      <c r="D10" s="67">
        <f>ROUNDUP(B10*DADOS_INICIAIS!E27,0)</f>
        <v>164</v>
      </c>
      <c r="E10" s="67" t="s">
        <v>3</v>
      </c>
      <c r="F10" s="92"/>
      <c r="G10" s="93"/>
      <c r="H10" s="67"/>
    </row>
    <row r="11" spans="1:10" ht="21.75" x14ac:dyDescent="0.25">
      <c r="A11" s="255" t="s">
        <v>160</v>
      </c>
      <c r="B11" s="76">
        <v>0</v>
      </c>
      <c r="C11" s="62"/>
      <c r="D11" s="67">
        <f>ROUND(B11*D10,0)</f>
        <v>0</v>
      </c>
      <c r="E11" s="67" t="s">
        <v>3</v>
      </c>
      <c r="F11" s="92"/>
      <c r="G11" s="93"/>
      <c r="H11" s="67"/>
    </row>
    <row r="12" spans="1:10" ht="21.75" x14ac:dyDescent="0.25">
      <c r="A12" s="256"/>
      <c r="B12" s="77">
        <v>20</v>
      </c>
      <c r="C12" s="62" t="s">
        <v>161</v>
      </c>
      <c r="D12" s="67">
        <f>B12*D11</f>
        <v>0</v>
      </c>
      <c r="E12" s="67" t="s">
        <v>4</v>
      </c>
      <c r="F12" s="88">
        <v>70</v>
      </c>
      <c r="G12" s="89">
        <f>F12*D12*1.1</f>
        <v>0</v>
      </c>
      <c r="H12" s="67"/>
    </row>
    <row r="13" spans="1:10" ht="21.75" x14ac:dyDescent="0.25">
      <c r="A13" s="255" t="s">
        <v>159</v>
      </c>
      <c r="B13" s="76">
        <v>0.4</v>
      </c>
      <c r="C13" s="62"/>
      <c r="D13" s="67">
        <f>ROUND(B13*D10,0)</f>
        <v>66</v>
      </c>
      <c r="E13" s="67" t="s">
        <v>3</v>
      </c>
      <c r="F13" s="92"/>
      <c r="G13" s="93"/>
      <c r="H13" s="67"/>
    </row>
    <row r="14" spans="1:10" ht="21.75" x14ac:dyDescent="0.25">
      <c r="A14" s="256"/>
      <c r="B14" s="77">
        <v>20</v>
      </c>
      <c r="C14" s="62" t="s">
        <v>161</v>
      </c>
      <c r="D14" s="67">
        <f>B14*D13</f>
        <v>1320</v>
      </c>
      <c r="E14" s="67" t="s">
        <v>4</v>
      </c>
      <c r="F14" s="88">
        <v>90</v>
      </c>
      <c r="G14" s="89">
        <f>F14*D14</f>
        <v>118800</v>
      </c>
      <c r="H14" s="67"/>
    </row>
    <row r="15" spans="1:10" ht="21.75" x14ac:dyDescent="0.25">
      <c r="A15" s="255" t="s">
        <v>114</v>
      </c>
      <c r="B15" s="76">
        <v>0.5</v>
      </c>
      <c r="C15" s="62" t="s">
        <v>108</v>
      </c>
      <c r="D15" s="67">
        <f>ROUND(B15*D10,0)</f>
        <v>82</v>
      </c>
      <c r="E15" s="67" t="s">
        <v>3</v>
      </c>
      <c r="F15" s="92"/>
      <c r="G15" s="93"/>
      <c r="H15" s="67"/>
    </row>
    <row r="16" spans="1:10" ht="21.75" x14ac:dyDescent="0.25">
      <c r="A16" s="256"/>
      <c r="B16" s="77">
        <v>22</v>
      </c>
      <c r="C16" s="62" t="s">
        <v>161</v>
      </c>
      <c r="D16" s="67">
        <f>B16*D15</f>
        <v>1804</v>
      </c>
      <c r="E16" s="67" t="s">
        <v>4</v>
      </c>
      <c r="F16" s="88">
        <v>105</v>
      </c>
      <c r="G16" s="89">
        <f>F16*D16</f>
        <v>189420</v>
      </c>
      <c r="H16" s="67"/>
    </row>
    <row r="17" spans="1:8" ht="21.75" x14ac:dyDescent="0.25">
      <c r="A17" s="255" t="s">
        <v>334</v>
      </c>
      <c r="B17" s="76">
        <v>0.1</v>
      </c>
      <c r="C17" s="62" t="s">
        <v>108</v>
      </c>
      <c r="D17" s="67">
        <f>ROUND(B17*D10,0)</f>
        <v>16</v>
      </c>
      <c r="E17" s="67" t="s">
        <v>3</v>
      </c>
      <c r="F17" s="92"/>
      <c r="G17" s="93"/>
      <c r="H17" s="67"/>
    </row>
    <row r="18" spans="1:8" ht="21.75" x14ac:dyDescent="0.25">
      <c r="A18" s="256"/>
      <c r="B18" s="77">
        <v>22</v>
      </c>
      <c r="C18" s="62" t="s">
        <v>161</v>
      </c>
      <c r="D18" s="67">
        <f>B18*D17</f>
        <v>352</v>
      </c>
      <c r="E18" s="67" t="s">
        <v>4</v>
      </c>
      <c r="F18" s="88">
        <v>120</v>
      </c>
      <c r="G18" s="89">
        <f>F18*D18</f>
        <v>42240</v>
      </c>
      <c r="H18" s="67"/>
    </row>
    <row r="19" spans="1:8" ht="21.75" x14ac:dyDescent="0.25">
      <c r="A19" s="66" t="s">
        <v>293</v>
      </c>
      <c r="B19" s="62">
        <v>1.3</v>
      </c>
      <c r="C19" s="62" t="s">
        <v>307</v>
      </c>
      <c r="D19" s="67">
        <f>(((PI()*(0.4^2)/4)*D12)+((PI()*(0.5^2)/4)*D14)+((PI()*(0.6^2)/4)*D16)+((PI()*(0.8^2)/4)*D18))*B19</f>
        <v>1230.0403380306261</v>
      </c>
      <c r="E19" s="67" t="s">
        <v>22</v>
      </c>
      <c r="F19" s="88">
        <f>535+45</f>
        <v>580</v>
      </c>
      <c r="G19" s="89">
        <f>F19*D19*B19</f>
        <v>927450.4148750921</v>
      </c>
      <c r="H19" s="67"/>
    </row>
    <row r="20" spans="1:8" ht="21.75" x14ac:dyDescent="0.25">
      <c r="A20" s="66" t="s">
        <v>335</v>
      </c>
      <c r="B20" s="62">
        <v>17.399999999999999</v>
      </c>
      <c r="C20" s="62" t="s">
        <v>34</v>
      </c>
      <c r="D20" s="67">
        <f>B20*D19</f>
        <v>21402.701881732894</v>
      </c>
      <c r="E20" s="67" t="s">
        <v>26</v>
      </c>
      <c r="F20" s="88">
        <v>7.62</v>
      </c>
      <c r="G20" s="89">
        <f>F20*D20</f>
        <v>163088.58833880466</v>
      </c>
      <c r="H20" s="67"/>
    </row>
    <row r="21" spans="1:8" ht="21.75" x14ac:dyDescent="0.25">
      <c r="A21" s="66" t="s">
        <v>109</v>
      </c>
      <c r="B21" s="62">
        <v>1</v>
      </c>
      <c r="C21" s="62" t="s">
        <v>27</v>
      </c>
      <c r="D21" s="67">
        <v>1</v>
      </c>
      <c r="E21" s="67" t="s">
        <v>27</v>
      </c>
      <c r="F21" s="88">
        <v>10000</v>
      </c>
      <c r="G21" s="89">
        <f>F21*D21</f>
        <v>10000</v>
      </c>
      <c r="H21" s="67"/>
    </row>
    <row r="22" spans="1:8" ht="21.75" x14ac:dyDescent="0.25">
      <c r="A22" s="66" t="s">
        <v>294</v>
      </c>
      <c r="B22" s="62"/>
      <c r="C22" s="62"/>
      <c r="D22" s="67">
        <f>D10</f>
        <v>164</v>
      </c>
      <c r="E22" s="67" t="s">
        <v>3</v>
      </c>
      <c r="F22" s="88">
        <v>300</v>
      </c>
      <c r="G22" s="89"/>
      <c r="H22" s="67" t="s">
        <v>439</v>
      </c>
    </row>
    <row r="23" spans="1:8" ht="21.75" x14ac:dyDescent="0.25">
      <c r="A23" s="248" t="s">
        <v>17</v>
      </c>
      <c r="B23" s="248"/>
      <c r="C23" s="248"/>
      <c r="D23" s="248"/>
      <c r="E23" s="248"/>
      <c r="F23" s="248"/>
      <c r="G23" s="90">
        <f>SUM(G10:G22)</f>
        <v>1450999.0032138966</v>
      </c>
      <c r="H23" s="90"/>
    </row>
    <row r="25" spans="1:8" ht="21.75" x14ac:dyDescent="0.25">
      <c r="A25" s="52" t="s">
        <v>110</v>
      </c>
      <c r="B25" s="52"/>
      <c r="C25" s="52"/>
      <c r="D25" s="53"/>
      <c r="E25" s="53"/>
      <c r="F25" s="98"/>
      <c r="G25" s="98"/>
      <c r="H25" s="98"/>
    </row>
    <row r="26" spans="1:8" ht="21.75" x14ac:dyDescent="0.25">
      <c r="A26" s="56"/>
      <c r="B26" s="56"/>
      <c r="C26" s="56"/>
      <c r="D26" s="57"/>
      <c r="E26" s="57"/>
      <c r="F26" s="99"/>
      <c r="G26" s="100"/>
      <c r="H26" s="100"/>
    </row>
    <row r="27" spans="1:8" ht="21.75" x14ac:dyDescent="0.25">
      <c r="A27" s="63" t="s">
        <v>14</v>
      </c>
      <c r="B27" s="253" t="s">
        <v>5</v>
      </c>
      <c r="C27" s="254"/>
      <c r="D27" s="253" t="s">
        <v>18</v>
      </c>
      <c r="E27" s="254"/>
      <c r="F27" s="101" t="s">
        <v>118</v>
      </c>
      <c r="G27" s="90" t="s">
        <v>16</v>
      </c>
      <c r="H27" s="90" t="s">
        <v>292</v>
      </c>
    </row>
    <row r="28" spans="1:8" ht="43.5" x14ac:dyDescent="0.25">
      <c r="A28" s="66" t="s">
        <v>111</v>
      </c>
      <c r="B28" s="62">
        <v>0.8</v>
      </c>
      <c r="C28" s="62" t="s">
        <v>113</v>
      </c>
      <c r="D28" s="67">
        <f>B28*DADOS_INICIAIS!E27</f>
        <v>1305.5200000000002</v>
      </c>
      <c r="E28" s="67" t="s">
        <v>2</v>
      </c>
      <c r="F28" s="88">
        <v>68</v>
      </c>
      <c r="G28" s="89">
        <f>F28*D28</f>
        <v>88775.360000000015</v>
      </c>
      <c r="H28" s="67"/>
    </row>
    <row r="29" spans="1:8" ht="21.75" x14ac:dyDescent="0.25">
      <c r="A29" s="66" t="s">
        <v>293</v>
      </c>
      <c r="B29" s="62">
        <v>0.3</v>
      </c>
      <c r="C29" s="62" t="s">
        <v>112</v>
      </c>
      <c r="D29" s="67">
        <f>B29*DADOS_INICIAIS!E27</f>
        <v>489.57</v>
      </c>
      <c r="E29" s="67" t="s">
        <v>22</v>
      </c>
      <c r="F29" s="88">
        <f>535+45</f>
        <v>580</v>
      </c>
      <c r="G29" s="89">
        <f>F29*D29*1.05</f>
        <v>298148.13</v>
      </c>
      <c r="H29" s="67"/>
    </row>
    <row r="30" spans="1:8" ht="21.75" x14ac:dyDescent="0.25">
      <c r="A30" s="66" t="s">
        <v>23</v>
      </c>
      <c r="B30" s="62">
        <v>130</v>
      </c>
      <c r="C30" s="62" t="s">
        <v>34</v>
      </c>
      <c r="D30" s="67">
        <f>B30*D29</f>
        <v>63644.1</v>
      </c>
      <c r="E30" s="67" t="s">
        <v>26</v>
      </c>
      <c r="F30" s="88">
        <v>7.62</v>
      </c>
      <c r="G30" s="89">
        <f>F30*D30</f>
        <v>484968.04200000002</v>
      </c>
      <c r="H30" s="67"/>
    </row>
    <row r="31" spans="1:8" ht="21.75" x14ac:dyDescent="0.25">
      <c r="A31" s="66" t="s">
        <v>25</v>
      </c>
      <c r="B31" s="62">
        <f>SUPRAESTRUTURA!B15*1.5</f>
        <v>360</v>
      </c>
      <c r="C31" s="62" t="s">
        <v>102</v>
      </c>
      <c r="D31" s="67">
        <f>DADOS_INICIAIS!E27</f>
        <v>1631.9</v>
      </c>
      <c r="E31" s="67" t="s">
        <v>2</v>
      </c>
      <c r="F31" s="88">
        <f>B31</f>
        <v>360</v>
      </c>
      <c r="G31" s="89"/>
      <c r="H31" s="67" t="s">
        <v>439</v>
      </c>
    </row>
    <row r="32" spans="1:8" ht="21.75" x14ac:dyDescent="0.25">
      <c r="A32" s="248" t="s">
        <v>17</v>
      </c>
      <c r="B32" s="248"/>
      <c r="C32" s="248"/>
      <c r="D32" s="248"/>
      <c r="E32" s="248"/>
      <c r="F32" s="248"/>
      <c r="G32" s="90">
        <f>SUM(G28:G31)</f>
        <v>871891.53200000001</v>
      </c>
      <c r="H32" s="90"/>
    </row>
    <row r="34" spans="1:8" x14ac:dyDescent="0.25">
      <c r="D34" s="86"/>
      <c r="E34" s="87"/>
    </row>
    <row r="35" spans="1:8" ht="21.75" x14ac:dyDescent="0.25">
      <c r="A35" s="258" t="s">
        <v>104</v>
      </c>
      <c r="B35" s="259"/>
      <c r="C35" s="259"/>
      <c r="D35" s="259"/>
      <c r="E35" s="259"/>
      <c r="F35" s="260"/>
      <c r="G35" s="91">
        <f>G23+G32</f>
        <v>2322890.5352138965</v>
      </c>
      <c r="H35" s="91">
        <f>G35/DADOS_INICIAIS!E9</f>
        <v>132.9411034124434</v>
      </c>
    </row>
  </sheetData>
  <mergeCells count="12">
    <mergeCell ref="A32:F32"/>
    <mergeCell ref="A35:F35"/>
    <mergeCell ref="A3:H3"/>
    <mergeCell ref="A23:F23"/>
    <mergeCell ref="D9:E9"/>
    <mergeCell ref="B9:C9"/>
    <mergeCell ref="A11:A12"/>
    <mergeCell ref="A13:A14"/>
    <mergeCell ref="A15:A16"/>
    <mergeCell ref="B27:C27"/>
    <mergeCell ref="D27:E27"/>
    <mergeCell ref="A17:A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39F9-49CD-4ECB-99EF-572027AB5DBD}">
  <sheetPr>
    <tabColor rgb="FF92D050"/>
  </sheetPr>
  <dimension ref="A1:J33"/>
  <sheetViews>
    <sheetView showGridLines="0" topLeftCell="A7" zoomScale="80" zoomScaleNormal="80" zoomScaleSheetLayoutView="95" workbookViewId="0">
      <selection activeCell="G12" sqref="G12:G18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49" t="s">
        <v>122</v>
      </c>
      <c r="B3" s="257"/>
      <c r="C3" s="257"/>
      <c r="D3" s="250"/>
      <c r="E3" s="250"/>
      <c r="F3" s="250"/>
      <c r="G3" s="250"/>
      <c r="H3" s="251"/>
      <c r="J3" s="79"/>
    </row>
    <row r="4" spans="1:10" ht="19.5" x14ac:dyDescent="0.25">
      <c r="A4" s="189" t="s">
        <v>184</v>
      </c>
      <c r="B4" s="195">
        <v>45573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290</v>
      </c>
      <c r="B5" s="196" t="s">
        <v>212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21.75" x14ac:dyDescent="0.25">
      <c r="A9" s="63" t="s">
        <v>14</v>
      </c>
      <c r="B9" s="253" t="s">
        <v>5</v>
      </c>
      <c r="C9" s="254"/>
      <c r="D9" s="253" t="s">
        <v>18</v>
      </c>
      <c r="E9" s="254"/>
      <c r="F9" s="101" t="s">
        <v>118</v>
      </c>
      <c r="G9" s="90" t="s">
        <v>16</v>
      </c>
      <c r="H9" s="90" t="s">
        <v>292</v>
      </c>
    </row>
    <row r="10" spans="1:10" ht="21.75" x14ac:dyDescent="0.25">
      <c r="A10" s="66" t="s">
        <v>380</v>
      </c>
      <c r="B10" s="62"/>
      <c r="C10" s="62"/>
      <c r="D10" s="67">
        <v>168.34800000000001</v>
      </c>
      <c r="E10" s="67" t="s">
        <v>4</v>
      </c>
      <c r="F10" s="92"/>
      <c r="G10" s="93">
        <f>F10*D10*1.05</f>
        <v>0</v>
      </c>
      <c r="H10" s="67"/>
    </row>
    <row r="11" spans="1:10" ht="21.75" x14ac:dyDescent="0.25">
      <c r="A11" s="66" t="s">
        <v>381</v>
      </c>
      <c r="B11" s="62"/>
      <c r="C11" s="62"/>
      <c r="D11" s="67">
        <f>D10*14</f>
        <v>2356.8720000000003</v>
      </c>
      <c r="E11" s="67" t="s">
        <v>2</v>
      </c>
      <c r="F11" s="92"/>
      <c r="G11" s="93">
        <f t="shared" ref="G11" si="0">F11*D11*1.05</f>
        <v>0</v>
      </c>
      <c r="H11" s="67"/>
    </row>
    <row r="12" spans="1:10" ht="21.75" x14ac:dyDescent="0.25">
      <c r="A12" s="66" t="s">
        <v>382</v>
      </c>
      <c r="B12" s="62"/>
      <c r="C12" s="62"/>
      <c r="D12" s="67">
        <f>D10</f>
        <v>168.34800000000001</v>
      </c>
      <c r="E12" s="67" t="s">
        <v>4</v>
      </c>
      <c r="F12" s="88">
        <v>710</v>
      </c>
      <c r="G12" s="89">
        <f>F12*D12*1.1</f>
        <v>131479.78800000003</v>
      </c>
      <c r="H12" s="67"/>
    </row>
    <row r="13" spans="1:10" ht="21.75" x14ac:dyDescent="0.25">
      <c r="A13" s="66" t="s">
        <v>383</v>
      </c>
      <c r="B13" s="62"/>
      <c r="C13" s="62"/>
      <c r="D13" s="67">
        <f>D11</f>
        <v>2356.8720000000003</v>
      </c>
      <c r="E13" s="67" t="s">
        <v>2</v>
      </c>
      <c r="F13" s="88">
        <v>270</v>
      </c>
      <c r="G13" s="89">
        <f>F13*D13</f>
        <v>636355.44000000006</v>
      </c>
      <c r="H13" s="67"/>
    </row>
    <row r="14" spans="1:10" ht="21.75" x14ac:dyDescent="0.25">
      <c r="A14" s="66" t="s">
        <v>384</v>
      </c>
      <c r="B14" s="62"/>
      <c r="C14" s="62"/>
      <c r="D14" s="67">
        <v>1</v>
      </c>
      <c r="E14" s="67" t="s">
        <v>27</v>
      </c>
      <c r="F14" s="88">
        <v>18000</v>
      </c>
      <c r="G14" s="89">
        <f>F14</f>
        <v>18000</v>
      </c>
      <c r="H14" s="67"/>
    </row>
    <row r="15" spans="1:10" ht="21.75" x14ac:dyDescent="0.25">
      <c r="A15" s="66" t="s">
        <v>335</v>
      </c>
      <c r="B15" s="62">
        <v>112</v>
      </c>
      <c r="C15" s="62" t="s">
        <v>34</v>
      </c>
      <c r="D15" s="67">
        <f>B15*D16</f>
        <v>113506.95552000002</v>
      </c>
      <c r="E15" s="67" t="s">
        <v>26</v>
      </c>
      <c r="F15" s="88">
        <f>7.62*1.1</f>
        <v>8.3820000000000014</v>
      </c>
      <c r="G15" s="89">
        <f>F15*D15</f>
        <v>951415.30116864026</v>
      </c>
      <c r="H15" s="67"/>
    </row>
    <row r="16" spans="1:10" ht="21.75" x14ac:dyDescent="0.25">
      <c r="A16" s="66" t="s">
        <v>391</v>
      </c>
      <c r="B16" s="62">
        <v>0.43</v>
      </c>
      <c r="C16" s="62" t="s">
        <v>385</v>
      </c>
      <c r="D16" s="67">
        <f>B16*D11</f>
        <v>1013.4549600000001</v>
      </c>
      <c r="E16" s="67" t="s">
        <v>22</v>
      </c>
      <c r="F16" s="88">
        <v>610</v>
      </c>
      <c r="G16" s="89">
        <f>F16*D16*1.05</f>
        <v>649117.90188000014</v>
      </c>
      <c r="H16" s="67" t="s">
        <v>386</v>
      </c>
    </row>
    <row r="17" spans="1:8" ht="43.5" x14ac:dyDescent="0.25">
      <c r="A17" s="66" t="s">
        <v>387</v>
      </c>
      <c r="B17" s="62"/>
      <c r="C17" s="62"/>
      <c r="D17" s="67">
        <v>969.34</v>
      </c>
      <c r="E17" s="67" t="s">
        <v>4</v>
      </c>
      <c r="F17" s="88">
        <v>41.5</v>
      </c>
      <c r="G17" s="89">
        <f>F17*D17*1.1</f>
        <v>44250.371000000006</v>
      </c>
      <c r="H17" s="67"/>
    </row>
    <row r="18" spans="1:8" ht="21.75" x14ac:dyDescent="0.25">
      <c r="A18" s="66" t="s">
        <v>392</v>
      </c>
      <c r="B18" s="62"/>
      <c r="C18" s="62"/>
      <c r="D18" s="67">
        <v>1</v>
      </c>
      <c r="E18" s="67" t="s">
        <v>27</v>
      </c>
      <c r="F18" s="88">
        <v>210</v>
      </c>
      <c r="G18" s="89">
        <f>F18*D18*D11*1.1</f>
        <v>544437.43200000015</v>
      </c>
      <c r="H18" s="67"/>
    </row>
    <row r="19" spans="1:8" ht="21.75" x14ac:dyDescent="0.25">
      <c r="A19" s="248" t="s">
        <v>17</v>
      </c>
      <c r="B19" s="248"/>
      <c r="C19" s="248"/>
      <c r="D19" s="248"/>
      <c r="E19" s="248"/>
      <c r="F19" s="248"/>
      <c r="G19" s="90">
        <f>SUM(G10:G18)</f>
        <v>2975056.2340486404</v>
      </c>
      <c r="H19" s="90"/>
    </row>
    <row r="21" spans="1:8" ht="21.75" hidden="1" x14ac:dyDescent="0.25">
      <c r="A21" s="52" t="s">
        <v>291</v>
      </c>
      <c r="B21" s="52"/>
      <c r="C21" s="52"/>
      <c r="D21" s="53"/>
      <c r="E21" s="53"/>
      <c r="F21" s="98"/>
      <c r="G21" s="98"/>
      <c r="H21" s="98"/>
    </row>
    <row r="22" spans="1:8" ht="21.75" hidden="1" x14ac:dyDescent="0.25">
      <c r="A22" s="56"/>
      <c r="B22" s="56"/>
      <c r="C22" s="56"/>
      <c r="D22" s="57"/>
      <c r="E22" s="57"/>
      <c r="F22" s="99"/>
      <c r="G22" s="100"/>
      <c r="H22" s="100"/>
    </row>
    <row r="23" spans="1:8" ht="21.75" hidden="1" x14ac:dyDescent="0.25">
      <c r="A23" s="63" t="s">
        <v>14</v>
      </c>
      <c r="B23" s="253" t="s">
        <v>5</v>
      </c>
      <c r="C23" s="254"/>
      <c r="D23" s="253" t="s">
        <v>18</v>
      </c>
      <c r="E23" s="254"/>
      <c r="F23" s="101" t="s">
        <v>118</v>
      </c>
      <c r="G23" s="90" t="s">
        <v>16</v>
      </c>
      <c r="H23" s="90" t="s">
        <v>292</v>
      </c>
    </row>
    <row r="24" spans="1:8" ht="21.75" hidden="1" x14ac:dyDescent="0.25">
      <c r="A24" s="66" t="s">
        <v>380</v>
      </c>
      <c r="B24" s="62"/>
      <c r="C24" s="62"/>
      <c r="D24" s="67">
        <v>33.25</v>
      </c>
      <c r="E24" s="67" t="s">
        <v>4</v>
      </c>
      <c r="F24" s="92"/>
      <c r="G24" s="93">
        <f>F24*D24*1.05</f>
        <v>0</v>
      </c>
      <c r="H24" s="67"/>
    </row>
    <row r="25" spans="1:8" ht="43.5" hidden="1" x14ac:dyDescent="0.25">
      <c r="A25" s="66" t="s">
        <v>388</v>
      </c>
      <c r="B25" s="62">
        <v>3</v>
      </c>
      <c r="C25" s="62" t="s">
        <v>389</v>
      </c>
      <c r="D25" s="67">
        <f>[4]QUANTITATIVO_ESTRUTURA!$D$24</f>
        <v>281.02294063506673</v>
      </c>
      <c r="E25" s="67" t="s">
        <v>2</v>
      </c>
      <c r="F25" s="88">
        <v>68</v>
      </c>
      <c r="G25" s="89">
        <f>F25*D25*1.05</f>
        <v>20065.037961343765</v>
      </c>
      <c r="H25" s="67"/>
    </row>
    <row r="26" spans="1:8" ht="21.75" hidden="1" x14ac:dyDescent="0.25">
      <c r="A26" s="66" t="s">
        <v>293</v>
      </c>
      <c r="B26" s="62">
        <v>0.2</v>
      </c>
      <c r="C26" s="62" t="s">
        <v>385</v>
      </c>
      <c r="D26" s="67">
        <f>[4]QUANTITATIVO_ESTRUTURA!$E$24</f>
        <v>42.152369995398068</v>
      </c>
      <c r="E26" s="67" t="s">
        <v>22</v>
      </c>
      <c r="F26" s="88">
        <f>477+40</f>
        <v>517</v>
      </c>
      <c r="G26" s="89">
        <f>F26*D26*1.05*1.05</f>
        <v>24026.534754601933</v>
      </c>
      <c r="H26" s="67"/>
    </row>
    <row r="27" spans="1:8" ht="21.75" hidden="1" x14ac:dyDescent="0.25">
      <c r="A27" s="66" t="s">
        <v>23</v>
      </c>
      <c r="B27" s="62">
        <f>D27/D26</f>
        <v>65.696239291418607</v>
      </c>
      <c r="C27" s="62" t="s">
        <v>34</v>
      </c>
      <c r="D27" s="67">
        <f>[4]QUANTITATIVO_ESTRUTURA!$F$24</f>
        <v>2769.2521859180856</v>
      </c>
      <c r="E27" s="67" t="s">
        <v>26</v>
      </c>
      <c r="F27" s="88">
        <v>7.62</v>
      </c>
      <c r="G27" s="89">
        <f>F27*D27*1.05</f>
        <v>22156.786739530602</v>
      </c>
      <c r="H27" s="67"/>
    </row>
    <row r="28" spans="1:8" ht="21.75" hidden="1" x14ac:dyDescent="0.25">
      <c r="A28" s="248" t="s">
        <v>17</v>
      </c>
      <c r="B28" s="248"/>
      <c r="C28" s="248"/>
      <c r="D28" s="248"/>
      <c r="E28" s="248"/>
      <c r="F28" s="248"/>
      <c r="G28" s="90">
        <f>SUM(G25:G27)</f>
        <v>66248.359455476311</v>
      </c>
      <c r="H28" s="90"/>
    </row>
    <row r="30" spans="1:8" x14ac:dyDescent="0.25">
      <c r="D30" s="86"/>
      <c r="E30" s="87"/>
    </row>
    <row r="31" spans="1:8" ht="21.75" x14ac:dyDescent="0.25">
      <c r="A31" s="258" t="s">
        <v>390</v>
      </c>
      <c r="B31" s="259"/>
      <c r="C31" s="259"/>
      <c r="D31" s="259"/>
      <c r="E31" s="259"/>
      <c r="F31" s="260"/>
      <c r="G31" s="91">
        <f>G19</f>
        <v>2975056.2340486404</v>
      </c>
      <c r="H31" s="91">
        <f>G31/DADOS_INICIAIS!E9</f>
        <v>170.2651297910065</v>
      </c>
    </row>
    <row r="33" spans="8:8" x14ac:dyDescent="0.25">
      <c r="H33" s="94">
        <f>H31/1.1</f>
        <v>154.78648162818772</v>
      </c>
    </row>
  </sheetData>
  <mergeCells count="8">
    <mergeCell ref="A28:F28"/>
    <mergeCell ref="A31:F31"/>
    <mergeCell ref="A3:H3"/>
    <mergeCell ref="B9:C9"/>
    <mergeCell ref="D9:E9"/>
    <mergeCell ref="A19:F19"/>
    <mergeCell ref="B23:C23"/>
    <mergeCell ref="D23:E2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92D050"/>
  </sheetPr>
  <dimension ref="A1:L67"/>
  <sheetViews>
    <sheetView showGridLines="0" topLeftCell="A21" zoomScale="80" zoomScaleNormal="80" zoomScaleSheetLayoutView="95" workbookViewId="0">
      <selection activeCell="D30" sqref="D30:E30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6.85546875" style="55" customWidth="1"/>
    <col min="8" max="8" width="58.28515625" style="55" customWidth="1"/>
    <col min="9" max="9" width="14.57031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49" t="s">
        <v>28</v>
      </c>
      <c r="B3" s="257"/>
      <c r="C3" s="257"/>
      <c r="D3" s="250"/>
      <c r="E3" s="250"/>
      <c r="F3" s="250"/>
      <c r="G3" s="250"/>
      <c r="H3" s="251"/>
      <c r="J3" s="79"/>
    </row>
    <row r="4" spans="1:10" ht="19.5" x14ac:dyDescent="0.25">
      <c r="A4" s="189" t="s">
        <v>184</v>
      </c>
      <c r="B4" s="195">
        <v>45573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290</v>
      </c>
      <c r="B5" s="196" t="s">
        <v>212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hidden="1" x14ac:dyDescent="0.25">
      <c r="A7" s="52" t="s">
        <v>299</v>
      </c>
      <c r="B7" s="52"/>
      <c r="C7" s="52"/>
      <c r="D7" s="53"/>
      <c r="E7" s="53"/>
      <c r="F7" s="54"/>
      <c r="G7" s="53"/>
      <c r="H7" s="53"/>
    </row>
    <row r="8" spans="1:10" ht="21.75" hidden="1" x14ac:dyDescent="0.25">
      <c r="A8" s="56"/>
      <c r="B8" s="56"/>
      <c r="C8" s="56"/>
      <c r="D8" s="57"/>
      <c r="E8" s="57"/>
      <c r="F8" s="58"/>
      <c r="G8" s="59"/>
      <c r="H8" s="59"/>
    </row>
    <row r="9" spans="1:10" ht="42" hidden="1" customHeight="1" x14ac:dyDescent="0.25">
      <c r="A9" s="63" t="s">
        <v>14</v>
      </c>
      <c r="B9" s="253" t="s">
        <v>5</v>
      </c>
      <c r="C9" s="254"/>
      <c r="D9" s="253" t="s">
        <v>18</v>
      </c>
      <c r="E9" s="254"/>
      <c r="F9" s="65" t="s">
        <v>118</v>
      </c>
      <c r="G9" s="71" t="s">
        <v>16</v>
      </c>
      <c r="H9" s="90" t="s">
        <v>292</v>
      </c>
    </row>
    <row r="10" spans="1:10" ht="21.75" hidden="1" x14ac:dyDescent="0.25">
      <c r="A10" s="66" t="s">
        <v>29</v>
      </c>
      <c r="B10" s="62">
        <v>3</v>
      </c>
      <c r="C10" s="62" t="s">
        <v>298</v>
      </c>
      <c r="D10" s="67">
        <f>(D11/DADOS_INICIAIS!$E$17)*B10</f>
        <v>8190.5062500000004</v>
      </c>
      <c r="E10" s="67" t="s">
        <v>2</v>
      </c>
      <c r="F10" s="88">
        <v>110</v>
      </c>
      <c r="G10" s="89">
        <f>F10*D10*1.1</f>
        <v>991051.25625000009</v>
      </c>
      <c r="H10" s="67"/>
    </row>
    <row r="11" spans="1:10" ht="21.75" hidden="1" x14ac:dyDescent="0.25">
      <c r="A11" s="78" t="s">
        <v>30</v>
      </c>
      <c r="B11" s="62">
        <v>2.5</v>
      </c>
      <c r="C11" s="62" t="s">
        <v>37</v>
      </c>
      <c r="D11" s="67">
        <f>B11*DADOS_INICIAIS!$E$9</f>
        <v>43682.700000000004</v>
      </c>
      <c r="E11" s="67" t="s">
        <v>2</v>
      </c>
      <c r="F11" s="88">
        <v>2.5</v>
      </c>
      <c r="G11" s="89">
        <f>F11*D11*1.1</f>
        <v>120127.42500000003</v>
      </c>
      <c r="H11" s="67"/>
    </row>
    <row r="12" spans="1:10" ht="21.75" hidden="1" x14ac:dyDescent="0.25">
      <c r="A12" s="78" t="s">
        <v>309</v>
      </c>
      <c r="B12" s="62">
        <v>4</v>
      </c>
      <c r="C12" s="62" t="s">
        <v>163</v>
      </c>
      <c r="D12" s="67">
        <f>ROUNDUP(B12*DADOS_INICIAIS!$E$27*B10,0)</f>
        <v>19583</v>
      </c>
      <c r="E12" s="67" t="s">
        <v>3</v>
      </c>
      <c r="F12" s="88">
        <f>17</f>
        <v>17</v>
      </c>
      <c r="G12" s="89">
        <f>F12*D12*1.1</f>
        <v>366202.10000000003</v>
      </c>
      <c r="H12" s="67"/>
      <c r="I12" s="198"/>
    </row>
    <row r="13" spans="1:10" ht="21.75" hidden="1" x14ac:dyDescent="0.25">
      <c r="A13" s="66" t="s">
        <v>99</v>
      </c>
      <c r="B13" s="62">
        <v>0.22</v>
      </c>
      <c r="C13" s="62" t="s">
        <v>38</v>
      </c>
      <c r="D13" s="67">
        <f>B13*DADOS_INICIAIS!$E$9</f>
        <v>3844.0776000000005</v>
      </c>
      <c r="E13" s="67" t="s">
        <v>22</v>
      </c>
      <c r="F13" s="88">
        <f>535+45</f>
        <v>580</v>
      </c>
      <c r="G13" s="89">
        <f>F13*D13*1.05*1.1</f>
        <v>2575147.5842400007</v>
      </c>
      <c r="H13" s="67"/>
    </row>
    <row r="14" spans="1:10" ht="21.75" hidden="1" x14ac:dyDescent="0.25">
      <c r="A14" s="66" t="s">
        <v>31</v>
      </c>
      <c r="B14" s="62">
        <v>110</v>
      </c>
      <c r="C14" s="62" t="s">
        <v>34</v>
      </c>
      <c r="D14" s="67">
        <f>D13*B14</f>
        <v>422848.53600000008</v>
      </c>
      <c r="E14" s="67" t="s">
        <v>26</v>
      </c>
      <c r="F14" s="88">
        <v>7.62</v>
      </c>
      <c r="G14" s="89">
        <f>F14*D14*1.1</f>
        <v>3544316.4287520009</v>
      </c>
      <c r="H14" s="67"/>
    </row>
    <row r="15" spans="1:10" ht="43.5" hidden="1" x14ac:dyDescent="0.25">
      <c r="A15" s="66" t="s">
        <v>101</v>
      </c>
      <c r="B15" s="62">
        <v>240</v>
      </c>
      <c r="C15" s="62" t="s">
        <v>6</v>
      </c>
      <c r="D15" s="67">
        <f>DADOS_INICIAIS!$E$9</f>
        <v>17473.080000000002</v>
      </c>
      <c r="E15" s="67" t="s">
        <v>2</v>
      </c>
      <c r="F15" s="88">
        <f>B15</f>
        <v>240</v>
      </c>
      <c r="G15" s="89">
        <f>F15*D15*1.1</f>
        <v>4612893.120000001</v>
      </c>
      <c r="H15" s="67"/>
    </row>
    <row r="16" spans="1:10" ht="43.5" hidden="1" x14ac:dyDescent="0.25">
      <c r="A16" s="66" t="s">
        <v>295</v>
      </c>
      <c r="B16" s="62">
        <v>5300</v>
      </c>
      <c r="C16" s="62" t="s">
        <v>296</v>
      </c>
      <c r="D16" s="67">
        <v>1</v>
      </c>
      <c r="E16" s="67" t="s">
        <v>27</v>
      </c>
      <c r="F16" s="88">
        <f>B16*DADOS_INICIAIS!$E$17</f>
        <v>84800</v>
      </c>
      <c r="G16" s="89">
        <f>F16*D16*1.1</f>
        <v>93280.000000000015</v>
      </c>
      <c r="H16" s="67" t="s">
        <v>297</v>
      </c>
      <c r="I16" s="55" t="s">
        <v>301</v>
      </c>
    </row>
    <row r="17" spans="1:12" ht="21.75" hidden="1" x14ac:dyDescent="0.25">
      <c r="A17" s="248" t="s">
        <v>17</v>
      </c>
      <c r="B17" s="248"/>
      <c r="C17" s="248"/>
      <c r="D17" s="248"/>
      <c r="E17" s="248"/>
      <c r="F17" s="248"/>
      <c r="G17" s="90">
        <f>SUM(G10:G16)</f>
        <v>12303017.914242003</v>
      </c>
      <c r="H17" s="90"/>
      <c r="K17" s="55">
        <f>4160+1440+1120+2880+4800+91680+4000</f>
        <v>110080</v>
      </c>
      <c r="L17" s="55">
        <f>K17/21</f>
        <v>5241.9047619047615</v>
      </c>
    </row>
    <row r="19" spans="1:12" ht="21.75" x14ac:dyDescent="0.25">
      <c r="A19" s="52" t="s">
        <v>376</v>
      </c>
      <c r="B19" s="52"/>
      <c r="C19" s="52"/>
      <c r="D19" s="53"/>
      <c r="E19" s="53"/>
      <c r="F19" s="54"/>
      <c r="G19" s="53"/>
      <c r="H19" s="53"/>
    </row>
    <row r="20" spans="1:12" ht="21.75" x14ac:dyDescent="0.25">
      <c r="A20" s="56"/>
      <c r="B20" s="56"/>
      <c r="C20" s="56"/>
      <c r="D20" s="57"/>
      <c r="E20" s="57"/>
      <c r="F20" s="58"/>
      <c r="G20" s="59"/>
      <c r="H20" s="59"/>
    </row>
    <row r="21" spans="1:12" ht="21.75" x14ac:dyDescent="0.25">
      <c r="A21" s="63" t="s">
        <v>14</v>
      </c>
      <c r="B21" s="253" t="s">
        <v>5</v>
      </c>
      <c r="C21" s="254"/>
      <c r="D21" s="253" t="s">
        <v>18</v>
      </c>
      <c r="E21" s="254"/>
      <c r="F21" s="65" t="s">
        <v>118</v>
      </c>
      <c r="G21" s="71" t="s">
        <v>16</v>
      </c>
      <c r="H21" s="90" t="s">
        <v>292</v>
      </c>
    </row>
    <row r="22" spans="1:12" ht="21.75" x14ac:dyDescent="0.25">
      <c r="A22" s="66" t="s">
        <v>29</v>
      </c>
      <c r="B22" s="62">
        <v>2</v>
      </c>
      <c r="C22" s="62" t="s">
        <v>298</v>
      </c>
      <c r="D22" s="67">
        <f>(D23/DADOS_INICIAIS!$E$17)*B22</f>
        <v>4368.2700000000004</v>
      </c>
      <c r="E22" s="67" t="s">
        <v>2</v>
      </c>
      <c r="F22" s="88">
        <v>110</v>
      </c>
      <c r="G22" s="89">
        <f>F22*D22*1.1</f>
        <v>528560.67000000016</v>
      </c>
      <c r="H22" s="67"/>
    </row>
    <row r="23" spans="1:12" ht="21.75" x14ac:dyDescent="0.25">
      <c r="A23" s="78" t="s">
        <v>30</v>
      </c>
      <c r="B23" s="62">
        <v>2</v>
      </c>
      <c r="C23" s="62" t="s">
        <v>37</v>
      </c>
      <c r="D23" s="67">
        <f>B23*DADOS_INICIAIS!$E$9</f>
        <v>34946.160000000003</v>
      </c>
      <c r="E23" s="67" t="s">
        <v>2</v>
      </c>
      <c r="F23" s="88">
        <v>2.5</v>
      </c>
      <c r="G23" s="89">
        <f>F23*D23*1.1</f>
        <v>96101.940000000017</v>
      </c>
      <c r="H23" s="67"/>
    </row>
    <row r="24" spans="1:12" ht="21.75" x14ac:dyDescent="0.25">
      <c r="A24" s="78" t="s">
        <v>377</v>
      </c>
      <c r="B24" s="62">
        <v>3</v>
      </c>
      <c r="C24" s="62" t="s">
        <v>162</v>
      </c>
      <c r="D24" s="67">
        <f>ROUNDUP(B24*DADOS_INICIAIS!$E$27*B22,0)</f>
        <v>9792</v>
      </c>
      <c r="E24" s="67" t="s">
        <v>3</v>
      </c>
      <c r="F24" s="88">
        <v>3.5</v>
      </c>
      <c r="G24" s="89">
        <f>F24*D24*1.1</f>
        <v>37699.200000000004</v>
      </c>
      <c r="H24" s="67"/>
    </row>
    <row r="25" spans="1:12" ht="21.75" x14ac:dyDescent="0.25">
      <c r="A25" s="66" t="s">
        <v>378</v>
      </c>
      <c r="B25" s="62">
        <v>1.5</v>
      </c>
      <c r="C25" s="62" t="s">
        <v>6</v>
      </c>
      <c r="D25" s="67">
        <v>1</v>
      </c>
      <c r="E25" s="67" t="s">
        <v>27</v>
      </c>
      <c r="F25" s="88">
        <f>B25*DADOS_INICIAIS!$E$9</f>
        <v>26209.620000000003</v>
      </c>
      <c r="G25" s="89">
        <f>F25*D25*1.1</f>
        <v>28830.582000000006</v>
      </c>
      <c r="H25" s="67"/>
    </row>
    <row r="26" spans="1:12" ht="21.75" x14ac:dyDescent="0.25">
      <c r="A26" s="66" t="s">
        <v>99</v>
      </c>
      <c r="B26" s="62">
        <v>0.18</v>
      </c>
      <c r="C26" s="62" t="s">
        <v>38</v>
      </c>
      <c r="D26" s="67">
        <f>B26*DADOS_INICIAIS!$E$9</f>
        <v>3145.1544000000004</v>
      </c>
      <c r="E26" s="67" t="s">
        <v>22</v>
      </c>
      <c r="F26" s="88">
        <f>535+45</f>
        <v>580</v>
      </c>
      <c r="G26" s="89">
        <f>F26*D26*1.05</f>
        <v>1915399.0296000002</v>
      </c>
      <c r="H26" s="67"/>
    </row>
    <row r="27" spans="1:12" ht="21.75" x14ac:dyDescent="0.25">
      <c r="A27" s="66" t="s">
        <v>344</v>
      </c>
      <c r="B27" s="76">
        <v>0.2</v>
      </c>
      <c r="C27" s="62"/>
      <c r="D27" s="67">
        <f>B27*D26</f>
        <v>629.03088000000014</v>
      </c>
      <c r="E27" s="67" t="s">
        <v>22</v>
      </c>
      <c r="F27" s="88">
        <f>1.22*F26-F26</f>
        <v>127.60000000000002</v>
      </c>
      <c r="G27" s="89">
        <f>F27*D27*1.05*1.1</f>
        <v>92705.313032640057</v>
      </c>
      <c r="H27" s="67"/>
    </row>
    <row r="28" spans="1:12" ht="21.75" x14ac:dyDescent="0.25">
      <c r="A28" s="66" t="s">
        <v>31</v>
      </c>
      <c r="B28" s="62">
        <v>100</v>
      </c>
      <c r="C28" s="62" t="s">
        <v>34</v>
      </c>
      <c r="D28" s="67">
        <f>B28*(D27+D26)</f>
        <v>377418.52800000005</v>
      </c>
      <c r="E28" s="67" t="s">
        <v>26</v>
      </c>
      <c r="F28" s="88">
        <v>7.62</v>
      </c>
      <c r="G28" s="89">
        <f>F28*D28</f>
        <v>2875929.1833600006</v>
      </c>
      <c r="H28" s="67"/>
    </row>
    <row r="29" spans="1:12" ht="43.5" x14ac:dyDescent="0.25">
      <c r="A29" s="66" t="s">
        <v>101</v>
      </c>
      <c r="B29" s="62">
        <v>280</v>
      </c>
      <c r="C29" s="62" t="s">
        <v>6</v>
      </c>
      <c r="D29" s="67">
        <f>DADOS_INICIAIS!$E$9</f>
        <v>17473.080000000002</v>
      </c>
      <c r="E29" s="67" t="s">
        <v>2</v>
      </c>
      <c r="F29" s="88">
        <f>B29</f>
        <v>280</v>
      </c>
      <c r="G29" s="89"/>
      <c r="H29" s="67"/>
    </row>
    <row r="30" spans="1:12" ht="21.75" x14ac:dyDescent="0.25">
      <c r="A30" s="66" t="s">
        <v>379</v>
      </c>
      <c r="B30" s="62"/>
      <c r="C30" s="62"/>
      <c r="D30" s="67">
        <f>DADOS_INICIAIS!E27</f>
        <v>1631.9</v>
      </c>
      <c r="E30" s="67" t="s">
        <v>2</v>
      </c>
      <c r="F30" s="88">
        <v>25</v>
      </c>
      <c r="G30" s="89">
        <f>F30*D30*1.1</f>
        <v>44877.25</v>
      </c>
      <c r="H30" s="67"/>
    </row>
    <row r="31" spans="1:12" ht="43.5" x14ac:dyDescent="0.25">
      <c r="A31" s="66" t="s">
        <v>295</v>
      </c>
      <c r="B31" s="62">
        <v>5300</v>
      </c>
      <c r="C31" s="62" t="s">
        <v>296</v>
      </c>
      <c r="D31" s="67">
        <v>1</v>
      </c>
      <c r="E31" s="67" t="s">
        <v>27</v>
      </c>
      <c r="F31" s="88">
        <f>B31*DADOS_INICIAIS!$E$17</f>
        <v>84800</v>
      </c>
      <c r="G31" s="89">
        <f>F31*D31*1.1</f>
        <v>93280.000000000015</v>
      </c>
      <c r="H31" s="67" t="s">
        <v>297</v>
      </c>
    </row>
    <row r="32" spans="1:12" ht="21.75" x14ac:dyDescent="0.25">
      <c r="A32" s="248" t="s">
        <v>17</v>
      </c>
      <c r="B32" s="248"/>
      <c r="C32" s="248"/>
      <c r="D32" s="248"/>
      <c r="E32" s="248"/>
      <c r="F32" s="248"/>
      <c r="G32" s="90">
        <f>SUM(G22:G31)</f>
        <v>5713383.1679926412</v>
      </c>
      <c r="H32" s="90"/>
    </row>
    <row r="34" spans="1:8" ht="21.75" hidden="1" x14ac:dyDescent="0.25">
      <c r="A34" s="52" t="s">
        <v>300</v>
      </c>
      <c r="B34" s="52"/>
      <c r="C34" s="52"/>
      <c r="D34" s="53"/>
      <c r="E34" s="53"/>
      <c r="F34" s="54"/>
      <c r="G34" s="53"/>
      <c r="H34" s="53"/>
    </row>
    <row r="35" spans="1:8" ht="21.75" hidden="1" x14ac:dyDescent="0.25">
      <c r="A35" s="56"/>
      <c r="B35" s="56"/>
      <c r="C35" s="56"/>
      <c r="D35" s="57"/>
      <c r="E35" s="57"/>
      <c r="F35" s="58"/>
      <c r="G35" s="59"/>
      <c r="H35" s="59"/>
    </row>
    <row r="36" spans="1:8" ht="21.75" hidden="1" x14ac:dyDescent="0.25">
      <c r="A36" s="63" t="s">
        <v>14</v>
      </c>
      <c r="B36" s="253" t="s">
        <v>5</v>
      </c>
      <c r="C36" s="254"/>
      <c r="D36" s="253" t="s">
        <v>18</v>
      </c>
      <c r="E36" s="254"/>
      <c r="F36" s="65" t="s">
        <v>118</v>
      </c>
      <c r="G36" s="71" t="s">
        <v>16</v>
      </c>
      <c r="H36" s="90" t="s">
        <v>292</v>
      </c>
    </row>
    <row r="37" spans="1:8" ht="21.75" hidden="1" x14ac:dyDescent="0.25">
      <c r="A37" s="66" t="s">
        <v>29</v>
      </c>
      <c r="B37" s="197">
        <v>2</v>
      </c>
      <c r="C37" s="197" t="s">
        <v>298</v>
      </c>
      <c r="D37" s="67">
        <f>(D38/DADOS_INICIAIS!$E$17)*B37</f>
        <v>0</v>
      </c>
      <c r="E37" s="67" t="s">
        <v>2</v>
      </c>
      <c r="F37" s="88">
        <v>85</v>
      </c>
      <c r="G37" s="89">
        <f>F37*D37*1.1</f>
        <v>0</v>
      </c>
      <c r="H37" s="67"/>
    </row>
    <row r="38" spans="1:8" ht="21.75" hidden="1" x14ac:dyDescent="0.25">
      <c r="A38" s="78" t="s">
        <v>30</v>
      </c>
      <c r="B38" s="197">
        <v>2.1</v>
      </c>
      <c r="C38" s="197" t="s">
        <v>37</v>
      </c>
      <c r="D38" s="67">
        <f>B38*DADOS_INICIAIS!E40</f>
        <v>0</v>
      </c>
      <c r="E38" s="67" t="s">
        <v>2</v>
      </c>
      <c r="F38" s="88">
        <v>1.5</v>
      </c>
      <c r="G38" s="89">
        <f>F38*D38*1.1</f>
        <v>0</v>
      </c>
      <c r="H38" s="67"/>
    </row>
    <row r="39" spans="1:8" ht="21.75" hidden="1" x14ac:dyDescent="0.25">
      <c r="A39" s="78" t="s">
        <v>32</v>
      </c>
      <c r="B39" s="197">
        <v>2</v>
      </c>
      <c r="C39" s="197" t="s">
        <v>162</v>
      </c>
      <c r="D39" s="67">
        <f>B39*DADOS_INICIAIS!E49*DADOS_INICIAIS!E46</f>
        <v>0</v>
      </c>
      <c r="E39" s="67" t="s">
        <v>3</v>
      </c>
      <c r="F39" s="88">
        <v>17</v>
      </c>
      <c r="G39" s="89">
        <f>F39*D39*1.1</f>
        <v>0</v>
      </c>
      <c r="H39" s="67"/>
    </row>
    <row r="40" spans="1:8" ht="21.75" hidden="1" x14ac:dyDescent="0.25">
      <c r="A40" s="78" t="s">
        <v>33</v>
      </c>
      <c r="B40" s="197">
        <v>2</v>
      </c>
      <c r="C40" s="197" t="s">
        <v>163</v>
      </c>
      <c r="D40" s="67">
        <f>B40*DADOS_INICIAIS!E52</f>
        <v>0</v>
      </c>
      <c r="E40" s="67" t="s">
        <v>3</v>
      </c>
      <c r="F40" s="88">
        <v>17</v>
      </c>
      <c r="G40" s="89">
        <f>F40*D40*1.1</f>
        <v>0</v>
      </c>
      <c r="H40" s="67"/>
    </row>
    <row r="41" spans="1:8" ht="21.75" hidden="1" x14ac:dyDescent="0.25">
      <c r="A41" s="66" t="s">
        <v>116</v>
      </c>
      <c r="B41" s="197">
        <v>25</v>
      </c>
      <c r="C41" s="197" t="s">
        <v>6</v>
      </c>
      <c r="D41" s="67">
        <f>B41*DADOS_INICIAIS!E40</f>
        <v>0</v>
      </c>
      <c r="E41" s="67" t="s">
        <v>22</v>
      </c>
      <c r="F41" s="88">
        <f>B41</f>
        <v>25</v>
      </c>
      <c r="G41" s="89">
        <f>F41*D41*1.1</f>
        <v>0</v>
      </c>
      <c r="H41" s="67"/>
    </row>
    <row r="42" spans="1:8" ht="21.75" hidden="1" x14ac:dyDescent="0.25">
      <c r="A42" s="66" t="s">
        <v>99</v>
      </c>
      <c r="B42" s="197">
        <v>0.25</v>
      </c>
      <c r="C42" s="197" t="s">
        <v>38</v>
      </c>
      <c r="D42" s="67">
        <f>B42*DADOS_INICIAIS!E40</f>
        <v>0</v>
      </c>
      <c r="E42" s="67" t="s">
        <v>22</v>
      </c>
      <c r="F42" s="88">
        <f>575</f>
        <v>575</v>
      </c>
      <c r="G42" s="89">
        <f>F42*D42*1.05*1.1</f>
        <v>0</v>
      </c>
      <c r="H42" s="67"/>
    </row>
    <row r="43" spans="1:8" ht="21.75" hidden="1" x14ac:dyDescent="0.25">
      <c r="A43" s="66" t="s">
        <v>31</v>
      </c>
      <c r="B43" s="197">
        <v>110</v>
      </c>
      <c r="C43" s="197" t="s">
        <v>34</v>
      </c>
      <c r="D43" s="67">
        <f>D42*B43</f>
        <v>0</v>
      </c>
      <c r="E43" s="67" t="s">
        <v>26</v>
      </c>
      <c r="F43" s="88">
        <v>7.25</v>
      </c>
      <c r="G43" s="89">
        <f>F43*D43*1.1</f>
        <v>0</v>
      </c>
      <c r="H43" s="67"/>
    </row>
    <row r="44" spans="1:8" ht="43.5" hidden="1" x14ac:dyDescent="0.25">
      <c r="A44" s="66" t="s">
        <v>101</v>
      </c>
      <c r="B44" s="197">
        <v>240</v>
      </c>
      <c r="C44" s="197" t="s">
        <v>6</v>
      </c>
      <c r="D44" s="67">
        <f>DADOS_INICIAIS!E40</f>
        <v>0</v>
      </c>
      <c r="E44" s="67" t="s">
        <v>2</v>
      </c>
      <c r="F44" s="88">
        <f>B44</f>
        <v>240</v>
      </c>
      <c r="G44" s="89">
        <f>F44*D44*1.1</f>
        <v>0</v>
      </c>
      <c r="H44" s="67"/>
    </row>
    <row r="45" spans="1:8" ht="43.5" hidden="1" x14ac:dyDescent="0.25">
      <c r="A45" s="66" t="s">
        <v>295</v>
      </c>
      <c r="B45" s="197">
        <v>5300</v>
      </c>
      <c r="C45" s="197" t="s">
        <v>296</v>
      </c>
      <c r="D45" s="67">
        <v>1</v>
      </c>
      <c r="E45" s="67" t="s">
        <v>27</v>
      </c>
      <c r="F45" s="88">
        <f>B45*DADOS_INICIAIS!E45</f>
        <v>0</v>
      </c>
      <c r="G45" s="89">
        <f>F45*D45*1.1</f>
        <v>0</v>
      </c>
      <c r="H45" s="67" t="s">
        <v>297</v>
      </c>
    </row>
    <row r="46" spans="1:8" ht="21.75" hidden="1" x14ac:dyDescent="0.25">
      <c r="A46" s="248" t="s">
        <v>17</v>
      </c>
      <c r="B46" s="248"/>
      <c r="C46" s="248"/>
      <c r="D46" s="248"/>
      <c r="E46" s="248"/>
      <c r="F46" s="248"/>
      <c r="G46" s="90">
        <f>SUM(G37:G45)</f>
        <v>0</v>
      </c>
      <c r="H46" s="90"/>
    </row>
    <row r="47" spans="1:8" hidden="1" x14ac:dyDescent="0.25"/>
    <row r="48" spans="1:8" ht="21.75" hidden="1" x14ac:dyDescent="0.25">
      <c r="A48" s="52" t="s">
        <v>336</v>
      </c>
      <c r="B48" s="52"/>
      <c r="C48" s="52"/>
      <c r="D48" s="53"/>
      <c r="E48" s="53"/>
      <c r="F48" s="54"/>
      <c r="G48" s="53"/>
      <c r="H48" s="53"/>
    </row>
    <row r="49" spans="1:8" ht="21.75" hidden="1" x14ac:dyDescent="0.25">
      <c r="A49" s="56"/>
      <c r="B49" s="56"/>
      <c r="C49" s="56"/>
      <c r="D49" s="57"/>
      <c r="E49" s="57"/>
      <c r="F49" s="58"/>
      <c r="G49" s="59"/>
      <c r="H49" s="59"/>
    </row>
    <row r="50" spans="1:8" ht="21.75" hidden="1" x14ac:dyDescent="0.25">
      <c r="A50" s="63" t="s">
        <v>14</v>
      </c>
      <c r="B50" s="253" t="s">
        <v>5</v>
      </c>
      <c r="C50" s="254"/>
      <c r="D50" s="253" t="s">
        <v>18</v>
      </c>
      <c r="E50" s="254"/>
      <c r="F50" s="65" t="s">
        <v>118</v>
      </c>
      <c r="G50" s="71" t="s">
        <v>16</v>
      </c>
      <c r="H50" s="90" t="s">
        <v>292</v>
      </c>
    </row>
    <row r="51" spans="1:8" ht="21.75" hidden="1" x14ac:dyDescent="0.25">
      <c r="A51" s="66" t="s">
        <v>29</v>
      </c>
      <c r="B51" s="62">
        <v>3</v>
      </c>
      <c r="C51" s="62" t="s">
        <v>298</v>
      </c>
      <c r="D51" s="67">
        <f>(D52/DADOS_INICIAIS!$E$17)*B51</f>
        <v>8190.5062500000004</v>
      </c>
      <c r="E51" s="67" t="s">
        <v>2</v>
      </c>
      <c r="F51" s="88">
        <v>85</v>
      </c>
      <c r="G51" s="89">
        <f t="shared" ref="G51:G56" si="0">F51*D51*1.1</f>
        <v>765812.33437500009</v>
      </c>
      <c r="H51" s="67"/>
    </row>
    <row r="52" spans="1:8" ht="21.75" hidden="1" x14ac:dyDescent="0.25">
      <c r="A52" s="78" t="s">
        <v>30</v>
      </c>
      <c r="B52" s="62">
        <v>2.5</v>
      </c>
      <c r="C52" s="62" t="s">
        <v>37</v>
      </c>
      <c r="D52" s="67">
        <f>B52*DADOS_INICIAIS!$E$9</f>
        <v>43682.700000000004</v>
      </c>
      <c r="E52" s="67" t="s">
        <v>2</v>
      </c>
      <c r="F52" s="88">
        <v>1.5</v>
      </c>
      <c r="G52" s="89">
        <f t="shared" si="0"/>
        <v>72076.455000000016</v>
      </c>
      <c r="H52" s="67"/>
    </row>
    <row r="53" spans="1:8" ht="21.75" hidden="1" x14ac:dyDescent="0.25">
      <c r="A53" s="78" t="s">
        <v>309</v>
      </c>
      <c r="B53" s="62">
        <v>4</v>
      </c>
      <c r="C53" s="62" t="s">
        <v>163</v>
      </c>
      <c r="D53" s="67">
        <f>ROUNDUP(B53*DADOS_INICIAIS!$E$27*B51,0)</f>
        <v>19583</v>
      </c>
      <c r="E53" s="67" t="s">
        <v>3</v>
      </c>
      <c r="F53" s="88">
        <v>17</v>
      </c>
      <c r="G53" s="89">
        <f t="shared" si="0"/>
        <v>366202.10000000003</v>
      </c>
      <c r="H53" s="67"/>
    </row>
    <row r="54" spans="1:8" ht="21.75" hidden="1" x14ac:dyDescent="0.25">
      <c r="A54" s="78" t="s">
        <v>339</v>
      </c>
      <c r="B54" s="204">
        <v>12.3</v>
      </c>
      <c r="C54" s="204" t="s">
        <v>337</v>
      </c>
      <c r="D54" s="67">
        <f>(DADOS_INICIAIS!$E$18+DADOS_INICIAIS!$E$19)*DADOS_INICIAIS!$E$21+DADOS_INICIAIS!$E$24</f>
        <v>16154.64</v>
      </c>
      <c r="E54" s="67" t="s">
        <v>2</v>
      </c>
      <c r="F54" s="88">
        <f>B54</f>
        <v>12.3</v>
      </c>
      <c r="G54" s="89">
        <f t="shared" si="0"/>
        <v>218572.27920000005</v>
      </c>
      <c r="H54" s="67"/>
    </row>
    <row r="55" spans="1:8" ht="21.75" hidden="1" x14ac:dyDescent="0.25">
      <c r="A55" s="78" t="s">
        <v>340</v>
      </c>
      <c r="B55" s="204">
        <v>2.83</v>
      </c>
      <c r="C55" s="204" t="s">
        <v>338</v>
      </c>
      <c r="D55" s="67">
        <f>B55*D54</f>
        <v>45717.631199999996</v>
      </c>
      <c r="E55" s="67" t="s">
        <v>26</v>
      </c>
      <c r="F55" s="88">
        <v>12.3</v>
      </c>
      <c r="G55" s="89">
        <f t="shared" si="0"/>
        <v>618559.55013600003</v>
      </c>
      <c r="H55" s="67"/>
    </row>
    <row r="56" spans="1:8" ht="21.75" hidden="1" x14ac:dyDescent="0.25">
      <c r="A56" s="66" t="s">
        <v>341</v>
      </c>
      <c r="B56" s="204">
        <v>9000</v>
      </c>
      <c r="C56" s="204" t="s">
        <v>342</v>
      </c>
      <c r="D56" s="67">
        <f>DADOS_INICIAIS!E17</f>
        <v>16</v>
      </c>
      <c r="E56" s="67" t="s">
        <v>343</v>
      </c>
      <c r="F56" s="88">
        <f>B56</f>
        <v>9000</v>
      </c>
      <c r="G56" s="89">
        <f t="shared" si="0"/>
        <v>158400</v>
      </c>
      <c r="H56" s="67"/>
    </row>
    <row r="57" spans="1:8" ht="21.75" hidden="1" x14ac:dyDescent="0.25">
      <c r="A57" s="66" t="s">
        <v>99</v>
      </c>
      <c r="B57" s="204">
        <v>0.25</v>
      </c>
      <c r="C57" s="204" t="s">
        <v>38</v>
      </c>
      <c r="D57" s="67">
        <f>B57*DADOS_INICIAIS!$E$9</f>
        <v>4368.2700000000004</v>
      </c>
      <c r="E57" s="67" t="s">
        <v>22</v>
      </c>
      <c r="F57" s="88">
        <f>535+45</f>
        <v>580</v>
      </c>
      <c r="G57" s="89">
        <f>F57*D57*1.05*1.1</f>
        <v>2926304.0730000003</v>
      </c>
      <c r="H57" s="67"/>
    </row>
    <row r="58" spans="1:8" ht="21.75" hidden="1" x14ac:dyDescent="0.25">
      <c r="A58" s="66" t="s">
        <v>344</v>
      </c>
      <c r="B58" s="76">
        <v>0.2</v>
      </c>
      <c r="C58" s="62"/>
      <c r="D58" s="67">
        <f>B58*D57</f>
        <v>873.65400000000011</v>
      </c>
      <c r="E58" s="67" t="s">
        <v>22</v>
      </c>
      <c r="F58" s="88">
        <f>1.22*F57-F57</f>
        <v>127.60000000000002</v>
      </c>
      <c r="G58" s="89">
        <f>F58*D58*1.05*1.1</f>
        <v>128757.37921200006</v>
      </c>
      <c r="H58" s="67"/>
    </row>
    <row r="59" spans="1:8" ht="21.75" hidden="1" x14ac:dyDescent="0.25">
      <c r="A59" s="66" t="s">
        <v>31</v>
      </c>
      <c r="B59" s="204">
        <v>110</v>
      </c>
      <c r="C59" s="204" t="s">
        <v>34</v>
      </c>
      <c r="D59" s="67">
        <f>D57*B59-D55</f>
        <v>434792.06880000007</v>
      </c>
      <c r="E59" s="67" t="s">
        <v>26</v>
      </c>
      <c r="F59" s="88">
        <v>7.62</v>
      </c>
      <c r="G59" s="89">
        <f>F59*D59*1.1</f>
        <v>3644427.1206816006</v>
      </c>
      <c r="H59" s="67"/>
    </row>
    <row r="60" spans="1:8" ht="43.5" hidden="1" x14ac:dyDescent="0.25">
      <c r="A60" s="66" t="s">
        <v>101</v>
      </c>
      <c r="B60" s="62">
        <v>240</v>
      </c>
      <c r="C60" s="62" t="s">
        <v>6</v>
      </c>
      <c r="D60" s="67">
        <f>DADOS_INICIAIS!$E$9</f>
        <v>17473.080000000002</v>
      </c>
      <c r="E60" s="67" t="s">
        <v>2</v>
      </c>
      <c r="F60" s="88">
        <f>B60</f>
        <v>240</v>
      </c>
      <c r="G60" s="89">
        <f>F60*D60*1.1</f>
        <v>4612893.120000001</v>
      </c>
      <c r="H60" s="67"/>
    </row>
    <row r="61" spans="1:8" ht="43.5" hidden="1" x14ac:dyDescent="0.25">
      <c r="A61" s="66" t="s">
        <v>295</v>
      </c>
      <c r="B61" s="62">
        <v>5300</v>
      </c>
      <c r="C61" s="62" t="s">
        <v>296</v>
      </c>
      <c r="D61" s="67">
        <v>1</v>
      </c>
      <c r="E61" s="67" t="s">
        <v>27</v>
      </c>
      <c r="F61" s="88">
        <f>B61*DADOS_INICIAIS!$E$17</f>
        <v>84800</v>
      </c>
      <c r="G61" s="89">
        <f>F61*D61*1.1</f>
        <v>93280.000000000015</v>
      </c>
      <c r="H61" s="67" t="s">
        <v>297</v>
      </c>
    </row>
    <row r="62" spans="1:8" ht="21.75" hidden="1" x14ac:dyDescent="0.25">
      <c r="A62" s="248" t="s">
        <v>17</v>
      </c>
      <c r="B62" s="248"/>
      <c r="C62" s="248"/>
      <c r="D62" s="248"/>
      <c r="E62" s="248"/>
      <c r="F62" s="248"/>
      <c r="G62" s="90">
        <f>SUM(G51:G61)</f>
        <v>13605284.411604602</v>
      </c>
      <c r="H62" s="90"/>
    </row>
    <row r="63" spans="1:8" x14ac:dyDescent="0.25">
      <c r="G63" s="198"/>
    </row>
    <row r="65" spans="1:8" ht="21.75" x14ac:dyDescent="0.25">
      <c r="A65" s="258" t="s">
        <v>105</v>
      </c>
      <c r="B65" s="259"/>
      <c r="C65" s="259"/>
      <c r="D65" s="259"/>
      <c r="E65" s="259"/>
      <c r="F65" s="260"/>
      <c r="G65" s="91">
        <f>G32</f>
        <v>5713383.1679926412</v>
      </c>
      <c r="H65" s="91">
        <f>G65/DADOS_INICIAIS!E9</f>
        <v>326.98202995651832</v>
      </c>
    </row>
    <row r="67" spans="1:8" x14ac:dyDescent="0.25">
      <c r="G67" s="198"/>
    </row>
  </sheetData>
  <mergeCells count="14">
    <mergeCell ref="A17:F17"/>
    <mergeCell ref="A65:F65"/>
    <mergeCell ref="A3:H3"/>
    <mergeCell ref="B9:C9"/>
    <mergeCell ref="D9:E9"/>
    <mergeCell ref="B21:C21"/>
    <mergeCell ref="D21:E21"/>
    <mergeCell ref="A32:F32"/>
    <mergeCell ref="B36:C36"/>
    <mergeCell ref="D36:E36"/>
    <mergeCell ref="A46:F46"/>
    <mergeCell ref="B50:C50"/>
    <mergeCell ref="D50:E50"/>
    <mergeCell ref="A62:F6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sheetPr>
    <tabColor rgb="FF92D050"/>
  </sheetPr>
  <dimension ref="A1:L39"/>
  <sheetViews>
    <sheetView showGridLines="0" topLeftCell="A6" zoomScale="80" zoomScaleNormal="80" zoomScaleSheetLayoutView="95" workbookViewId="0">
      <selection activeCell="G10" sqref="G10:G16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49" t="s">
        <v>302</v>
      </c>
      <c r="B3" s="257"/>
      <c r="C3" s="257"/>
      <c r="D3" s="250"/>
      <c r="E3" s="250"/>
      <c r="F3" s="250"/>
      <c r="G3" s="250"/>
      <c r="H3" s="251"/>
      <c r="J3" s="79"/>
    </row>
    <row r="4" spans="1:10" ht="19.5" x14ac:dyDescent="0.25">
      <c r="A4" s="189" t="s">
        <v>184</v>
      </c>
      <c r="B4" s="195">
        <v>45569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290</v>
      </c>
      <c r="B5" s="196" t="s">
        <v>212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182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53" t="s">
        <v>5</v>
      </c>
      <c r="C9" s="254"/>
      <c r="D9" s="253" t="s">
        <v>18</v>
      </c>
      <c r="E9" s="254"/>
      <c r="F9" s="65" t="s">
        <v>118</v>
      </c>
      <c r="G9" s="71" t="s">
        <v>16</v>
      </c>
      <c r="H9" s="90" t="s">
        <v>292</v>
      </c>
    </row>
    <row r="10" spans="1:10" ht="21.75" x14ac:dyDescent="0.25">
      <c r="A10" s="66" t="s">
        <v>361</v>
      </c>
      <c r="B10" s="62">
        <v>1</v>
      </c>
      <c r="C10" s="62" t="s">
        <v>179</v>
      </c>
      <c r="D10" s="67">
        <f>[5]Planilha1!$O$545</f>
        <v>8231.3700000000008</v>
      </c>
      <c r="E10" s="67" t="s">
        <v>2</v>
      </c>
      <c r="F10" s="88">
        <v>17.8</v>
      </c>
      <c r="G10" s="89">
        <f>F10*D10*1.1</f>
        <v>161170.22460000005</v>
      </c>
      <c r="H10" s="67"/>
    </row>
    <row r="11" spans="1:10" ht="21.75" x14ac:dyDescent="0.25">
      <c r="A11" s="78" t="s">
        <v>362</v>
      </c>
      <c r="B11" s="62">
        <v>0.4</v>
      </c>
      <c r="C11" s="62" t="s">
        <v>177</v>
      </c>
      <c r="D11" s="67">
        <f>[5]Planilha1!$O$546</f>
        <v>8028.7299999999987</v>
      </c>
      <c r="E11" s="67" t="s">
        <v>2</v>
      </c>
      <c r="F11" s="88">
        <v>28.9</v>
      </c>
      <c r="G11" s="89">
        <f t="shared" ref="G11:G14" si="0">F11*D11*1.1</f>
        <v>255233.32669999998</v>
      </c>
      <c r="H11" s="67"/>
    </row>
    <row r="12" spans="1:10" ht="21.75" x14ac:dyDescent="0.25">
      <c r="A12" s="78" t="s">
        <v>363</v>
      </c>
      <c r="B12" s="62">
        <v>1.65</v>
      </c>
      <c r="C12" s="62" t="s">
        <v>175</v>
      </c>
      <c r="D12" s="67">
        <f>[5]Planilha1!$O$547</f>
        <v>9287.5300000000007</v>
      </c>
      <c r="E12" s="67" t="s">
        <v>2</v>
      </c>
      <c r="F12" s="88">
        <v>30.2</v>
      </c>
      <c r="G12" s="89">
        <f t="shared" si="0"/>
        <v>308531.74660000007</v>
      </c>
      <c r="H12" s="67"/>
    </row>
    <row r="13" spans="1:10" ht="21.75" x14ac:dyDescent="0.25">
      <c r="A13" s="66" t="s">
        <v>360</v>
      </c>
      <c r="B13" s="62">
        <v>0.2</v>
      </c>
      <c r="C13" s="62" t="s">
        <v>37</v>
      </c>
      <c r="D13" s="67">
        <f>[5]Planilha1!$O$544</f>
        <v>1340.8500000000001</v>
      </c>
      <c r="E13" s="67" t="s">
        <v>2</v>
      </c>
      <c r="F13" s="88">
        <f>60</f>
        <v>60</v>
      </c>
      <c r="G13" s="89">
        <f t="shared" si="0"/>
        <v>88496.10000000002</v>
      </c>
      <c r="H13" s="67"/>
    </row>
    <row r="14" spans="1:10" ht="21.75" x14ac:dyDescent="0.25">
      <c r="A14" s="66" t="s">
        <v>407</v>
      </c>
      <c r="B14" s="62">
        <f>0.4*0.4</f>
        <v>0.16000000000000003</v>
      </c>
      <c r="C14" s="62" t="s">
        <v>408</v>
      </c>
      <c r="D14" s="67">
        <f>723*B14</f>
        <v>115.68000000000002</v>
      </c>
      <c r="E14" s="67" t="s">
        <v>2</v>
      </c>
      <c r="F14" s="88">
        <f>22+2.5</f>
        <v>24.5</v>
      </c>
      <c r="G14" s="89">
        <f t="shared" si="0"/>
        <v>3117.5760000000005</v>
      </c>
      <c r="H14" s="67"/>
    </row>
    <row r="15" spans="1:10" ht="21.75" x14ac:dyDescent="0.25">
      <c r="A15" s="212" t="s">
        <v>171</v>
      </c>
      <c r="B15" s="62">
        <v>1.75</v>
      </c>
      <c r="C15" s="62" t="s">
        <v>306</v>
      </c>
      <c r="D15" s="67">
        <f>B15*DADOS_INICIAIS!$E$16</f>
        <v>154</v>
      </c>
      <c r="E15" s="67" t="s">
        <v>332</v>
      </c>
      <c r="F15" s="88">
        <v>210</v>
      </c>
      <c r="G15" s="89">
        <f>F15*D15*1.1</f>
        <v>35574</v>
      </c>
      <c r="H15" s="67"/>
    </row>
    <row r="16" spans="1:10" ht="21.75" x14ac:dyDescent="0.25">
      <c r="A16" s="66" t="s">
        <v>170</v>
      </c>
      <c r="B16" s="62">
        <v>12.5</v>
      </c>
      <c r="C16" s="62" t="s">
        <v>169</v>
      </c>
      <c r="D16" s="67">
        <f>D10+D11+D12+D13</f>
        <v>26888.479999999996</v>
      </c>
      <c r="E16" s="67" t="s">
        <v>2</v>
      </c>
      <c r="F16" s="88">
        <f>B16</f>
        <v>12.5</v>
      </c>
      <c r="G16" s="89">
        <f>F16*D16*1.1</f>
        <v>369716.6</v>
      </c>
      <c r="H16" s="67"/>
    </row>
    <row r="17" spans="1:12" ht="21.75" x14ac:dyDescent="0.25">
      <c r="A17" s="66" t="s">
        <v>25</v>
      </c>
      <c r="B17" s="62">
        <v>35</v>
      </c>
      <c r="C17" s="62" t="s">
        <v>169</v>
      </c>
      <c r="D17" s="67">
        <f>D10+D11+D12+D13</f>
        <v>26888.479999999996</v>
      </c>
      <c r="E17" s="67" t="s">
        <v>2</v>
      </c>
      <c r="F17" s="88">
        <v>35</v>
      </c>
      <c r="G17" s="89"/>
      <c r="H17" s="67"/>
    </row>
    <row r="18" spans="1:12" ht="21.75" x14ac:dyDescent="0.25">
      <c r="A18" s="248" t="s">
        <v>17</v>
      </c>
      <c r="B18" s="248"/>
      <c r="C18" s="248"/>
      <c r="D18" s="248"/>
      <c r="E18" s="248"/>
      <c r="F18" s="248"/>
      <c r="G18" s="90">
        <f>SUM(G10:G17)</f>
        <v>1221839.5739000002</v>
      </c>
      <c r="H18" s="90"/>
      <c r="K18" s="55">
        <f>4160+1440+1120+2880+4800+91680+4000</f>
        <v>110080</v>
      </c>
      <c r="L18" s="55">
        <f>K18/21</f>
        <v>5241.9047619047615</v>
      </c>
    </row>
    <row r="20" spans="1:12" ht="21.75" hidden="1" x14ac:dyDescent="0.25">
      <c r="A20" s="52" t="s">
        <v>303</v>
      </c>
      <c r="B20" s="52"/>
      <c r="C20" s="52"/>
      <c r="D20" s="53"/>
      <c r="E20" s="53"/>
      <c r="F20" s="54"/>
      <c r="G20" s="53"/>
      <c r="H20" s="53"/>
    </row>
    <row r="21" spans="1:12" ht="21.75" hidden="1" x14ac:dyDescent="0.25">
      <c r="A21" s="56"/>
      <c r="B21" s="56"/>
      <c r="C21" s="56"/>
      <c r="D21" s="57"/>
      <c r="E21" s="57"/>
      <c r="F21" s="58"/>
      <c r="G21" s="59"/>
      <c r="H21" s="59"/>
    </row>
    <row r="22" spans="1:12" ht="21.75" hidden="1" x14ac:dyDescent="0.25">
      <c r="A22" s="63" t="s">
        <v>14</v>
      </c>
      <c r="B22" s="253" t="s">
        <v>5</v>
      </c>
      <c r="C22" s="254"/>
      <c r="D22" s="253" t="s">
        <v>18</v>
      </c>
      <c r="E22" s="254"/>
      <c r="F22" s="65" t="s">
        <v>118</v>
      </c>
      <c r="G22" s="71" t="s">
        <v>16</v>
      </c>
      <c r="H22" s="90" t="s">
        <v>292</v>
      </c>
    </row>
    <row r="23" spans="1:12" ht="21.75" hidden="1" x14ac:dyDescent="0.25">
      <c r="A23" s="66" t="s">
        <v>180</v>
      </c>
      <c r="B23" s="62">
        <v>1</v>
      </c>
      <c r="C23" s="62" t="s">
        <v>179</v>
      </c>
      <c r="D23" s="67">
        <f>B23*DADOS_INICIAIS!$E$24</f>
        <v>6375.09</v>
      </c>
      <c r="E23" s="67" t="s">
        <v>2</v>
      </c>
      <c r="F23" s="88">
        <v>45</v>
      </c>
      <c r="G23" s="89">
        <f>F23*D23*1.1</f>
        <v>315566.95500000002</v>
      </c>
      <c r="H23" s="67"/>
    </row>
    <row r="24" spans="1:12" ht="21.75" hidden="1" x14ac:dyDescent="0.25">
      <c r="A24" s="78" t="s">
        <v>178</v>
      </c>
      <c r="B24" s="62">
        <v>0.4</v>
      </c>
      <c r="C24" s="62" t="s">
        <v>177</v>
      </c>
      <c r="D24" s="67">
        <f>B24*DADOS_INICIAIS!$E$23</f>
        <v>0</v>
      </c>
      <c r="E24" s="67" t="s">
        <v>2</v>
      </c>
      <c r="F24" s="88">
        <v>45</v>
      </c>
      <c r="G24" s="89">
        <f>F24*D24*1.1</f>
        <v>0</v>
      </c>
      <c r="H24" s="67"/>
    </row>
    <row r="25" spans="1:12" ht="21.75" hidden="1" x14ac:dyDescent="0.25">
      <c r="A25" s="78" t="s">
        <v>176</v>
      </c>
      <c r="B25" s="62">
        <v>1.62</v>
      </c>
      <c r="C25" s="62" t="s">
        <v>175</v>
      </c>
      <c r="D25" s="67">
        <f>B25*(DADOS_INICIAIS!$E$21*(DADOS_INICIAIS!$E$18+DADOS_INICIAIS!$E$19))*0.3</f>
        <v>4752.8612999999996</v>
      </c>
      <c r="E25" s="67" t="s">
        <v>3</v>
      </c>
      <c r="F25" s="88">
        <v>45</v>
      </c>
      <c r="G25" s="89">
        <f>F25*D25*1.1</f>
        <v>235266.63434999998</v>
      </c>
      <c r="H25" s="67"/>
    </row>
    <row r="26" spans="1:12" ht="21.75" hidden="1" x14ac:dyDescent="0.25">
      <c r="A26" s="78" t="s">
        <v>304</v>
      </c>
      <c r="B26" s="62">
        <v>1.65</v>
      </c>
      <c r="C26" s="62" t="s">
        <v>175</v>
      </c>
      <c r="D26" s="67">
        <f>B26*(DADOS_INICIAIS!$E$21*(DADOS_INICIAIS!$E$18+DADOS_INICIAIS!$E$19))*0.7</f>
        <v>11295.380249999998</v>
      </c>
      <c r="E26" s="67"/>
      <c r="F26" s="88">
        <v>220</v>
      </c>
      <c r="G26" s="89">
        <f t="shared" ref="G26:G31" si="1">F26*D26*1.1</f>
        <v>2733482.0205000001</v>
      </c>
      <c r="H26" s="67"/>
      <c r="J26" s="55">
        <f>D26/(D31+D26)</f>
        <v>0.42417292036384335</v>
      </c>
    </row>
    <row r="27" spans="1:12" ht="21.75" hidden="1" x14ac:dyDescent="0.25">
      <c r="A27" s="78" t="s">
        <v>174</v>
      </c>
      <c r="B27" s="62">
        <v>0.2</v>
      </c>
      <c r="C27" s="62" t="s">
        <v>37</v>
      </c>
      <c r="D27" s="67">
        <f>B27*DADOS_INICIAIS!$E$9</f>
        <v>3494.6160000000004</v>
      </c>
      <c r="E27" s="67" t="s">
        <v>3</v>
      </c>
      <c r="F27" s="88">
        <v>70</v>
      </c>
      <c r="G27" s="89">
        <f t="shared" si="1"/>
        <v>269085.43200000003</v>
      </c>
      <c r="H27" s="67"/>
      <c r="J27" s="55">
        <f>1-J26</f>
        <v>0.57582707963615665</v>
      </c>
    </row>
    <row r="28" spans="1:12" ht="21.75" hidden="1" x14ac:dyDescent="0.25">
      <c r="A28" s="66" t="s">
        <v>173</v>
      </c>
      <c r="B28" s="62">
        <v>0.8</v>
      </c>
      <c r="C28" s="62" t="s">
        <v>172</v>
      </c>
      <c r="D28" s="67">
        <f>B28*DADOS_INICIAIS!$E$21</f>
        <v>711.24</v>
      </c>
      <c r="E28" s="67" t="s">
        <v>22</v>
      </c>
      <c r="F28" s="88">
        <v>45</v>
      </c>
      <c r="G28" s="89">
        <f t="shared" si="1"/>
        <v>35206.380000000005</v>
      </c>
      <c r="H28" s="67"/>
    </row>
    <row r="29" spans="1:12" ht="21.75" hidden="1" x14ac:dyDescent="0.25">
      <c r="A29" s="66" t="s">
        <v>171</v>
      </c>
      <c r="B29" s="62">
        <v>1.75</v>
      </c>
      <c r="C29" s="62" t="s">
        <v>306</v>
      </c>
      <c r="D29" s="67">
        <f>'SISTEMAS ESPECIAIS'!B11</f>
        <v>88</v>
      </c>
      <c r="E29" s="67" t="s">
        <v>332</v>
      </c>
      <c r="F29" s="88">
        <v>210</v>
      </c>
      <c r="G29" s="89"/>
      <c r="H29" s="67"/>
    </row>
    <row r="30" spans="1:12" ht="21.75" hidden="1" x14ac:dyDescent="0.25">
      <c r="A30" s="66" t="s">
        <v>345</v>
      </c>
      <c r="B30" s="62"/>
      <c r="C30" s="62"/>
      <c r="D30" s="67">
        <f>D29</f>
        <v>88</v>
      </c>
      <c r="E30" s="67" t="s">
        <v>3</v>
      </c>
      <c r="F30" s="88">
        <v>1800</v>
      </c>
      <c r="G30" s="89">
        <f t="shared" si="1"/>
        <v>174240</v>
      </c>
      <c r="H30" s="67"/>
    </row>
    <row r="31" spans="1:12" ht="21.75" hidden="1" x14ac:dyDescent="0.25">
      <c r="A31" s="66" t="s">
        <v>170</v>
      </c>
      <c r="B31" s="62">
        <v>12.5</v>
      </c>
      <c r="C31" s="62" t="s">
        <v>169</v>
      </c>
      <c r="D31" s="67">
        <f>D24+D25+D23+D27+D28</f>
        <v>15333.8073</v>
      </c>
      <c r="E31" s="67" t="s">
        <v>26</v>
      </c>
      <c r="F31" s="88">
        <f>B31</f>
        <v>12.5</v>
      </c>
      <c r="G31" s="89">
        <f t="shared" si="1"/>
        <v>210839.85037500001</v>
      </c>
      <c r="H31" s="67"/>
    </row>
    <row r="32" spans="1:12" ht="21.75" hidden="1" x14ac:dyDescent="0.25">
      <c r="A32" s="66" t="s">
        <v>25</v>
      </c>
      <c r="B32" s="62">
        <v>35</v>
      </c>
      <c r="C32" s="62" t="s">
        <v>169</v>
      </c>
      <c r="D32" s="67">
        <f>D24+D25+D23+D27+D28</f>
        <v>15333.8073</v>
      </c>
      <c r="E32" s="67" t="s">
        <v>2</v>
      </c>
      <c r="F32" s="88">
        <v>35</v>
      </c>
      <c r="G32" s="89">
        <f>F32*D32*1.1</f>
        <v>590351.58105000004</v>
      </c>
      <c r="H32" s="67"/>
    </row>
    <row r="33" spans="1:8" ht="21.75" hidden="1" x14ac:dyDescent="0.25">
      <c r="A33" s="248" t="s">
        <v>17</v>
      </c>
      <c r="B33" s="248"/>
      <c r="C33" s="248"/>
      <c r="D33" s="248"/>
      <c r="E33" s="248"/>
      <c r="F33" s="248"/>
      <c r="G33" s="90">
        <f>SUM(G23:G32)</f>
        <v>4564038.8532750001</v>
      </c>
      <c r="H33" s="90"/>
    </row>
    <row r="36" spans="1:8" ht="21.75" x14ac:dyDescent="0.25">
      <c r="A36" s="258" t="s">
        <v>167</v>
      </c>
      <c r="B36" s="259"/>
      <c r="C36" s="259"/>
      <c r="D36" s="259"/>
      <c r="E36" s="259"/>
      <c r="F36" s="260"/>
      <c r="G36" s="91">
        <f>G18</f>
        <v>1221839.5739000002</v>
      </c>
      <c r="H36" s="91">
        <f>G36/DADOS_INICIAIS!E9</f>
        <v>69.926971884750714</v>
      </c>
    </row>
    <row r="39" spans="1:8" x14ac:dyDescent="0.25">
      <c r="G39" s="198">
        <f>G36/1.1</f>
        <v>1110763.2490000001</v>
      </c>
      <c r="H39" s="55">
        <f>G39/DADOS_INICIAIS!E9</f>
        <v>63.569974440682465</v>
      </c>
    </row>
  </sheetData>
  <mergeCells count="8">
    <mergeCell ref="A33:F33"/>
    <mergeCell ref="A36:F36"/>
    <mergeCell ref="A3:H3"/>
    <mergeCell ref="B9:C9"/>
    <mergeCell ref="D9:E9"/>
    <mergeCell ref="A18:F18"/>
    <mergeCell ref="B22:C22"/>
    <mergeCell ref="D22:E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sheetPr>
    <tabColor rgb="FF92D050"/>
  </sheetPr>
  <dimension ref="A1:I37"/>
  <sheetViews>
    <sheetView showGridLines="0" topLeftCell="A25" zoomScale="85" zoomScaleNormal="85" zoomScaleSheetLayoutView="95" workbookViewId="0">
      <selection activeCell="D30" sqref="D30:D32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249" t="s">
        <v>252</v>
      </c>
      <c r="B2" s="250"/>
      <c r="C2" s="250"/>
      <c r="D2" s="250"/>
      <c r="E2" s="251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251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/>
      <c r="E5" s="59"/>
    </row>
    <row r="6" spans="1:7" s="55" customFormat="1" ht="42" customHeight="1" x14ac:dyDescent="0.25">
      <c r="A6" s="63" t="s">
        <v>14</v>
      </c>
      <c r="B6" s="253" t="s">
        <v>5</v>
      </c>
      <c r="C6" s="254"/>
      <c r="D6" s="71" t="s">
        <v>16</v>
      </c>
      <c r="E6" s="59"/>
    </row>
    <row r="7" spans="1:7" s="55" customFormat="1" ht="21.75" x14ac:dyDescent="0.25">
      <c r="A7" s="66" t="s">
        <v>250</v>
      </c>
      <c r="B7" s="62">
        <v>5</v>
      </c>
      <c r="C7" s="62" t="s">
        <v>6</v>
      </c>
      <c r="D7" s="89">
        <f>B7*DADOS_INICIAIS!$E$9*1.1</f>
        <v>96101.940000000017</v>
      </c>
      <c r="E7" s="57"/>
    </row>
    <row r="8" spans="1:7" s="55" customFormat="1" ht="21.75" x14ac:dyDescent="0.25">
      <c r="A8" s="66" t="s">
        <v>249</v>
      </c>
      <c r="B8" s="62">
        <v>17</v>
      </c>
      <c r="C8" s="62" t="s">
        <v>6</v>
      </c>
      <c r="D8" s="89">
        <f>B8*DADOS_INICIAIS!$E$9*1.1</f>
        <v>326746.59600000008</v>
      </c>
      <c r="E8" s="57"/>
    </row>
    <row r="9" spans="1:7" s="55" customFormat="1" ht="21.75" x14ac:dyDescent="0.25">
      <c r="A9" s="66" t="s">
        <v>248</v>
      </c>
      <c r="B9" s="62">
        <v>30</v>
      </c>
      <c r="C9" s="62" t="s">
        <v>6</v>
      </c>
      <c r="D9" s="89">
        <f>B9*DADOS_INICIAIS!$E$9*1.1</f>
        <v>576611.64000000013</v>
      </c>
      <c r="E9" s="57"/>
    </row>
    <row r="10" spans="1:7" s="55" customFormat="1" ht="21.75" x14ac:dyDescent="0.25">
      <c r="A10" s="66" t="s">
        <v>247</v>
      </c>
      <c r="B10" s="62">
        <v>22</v>
      </c>
      <c r="C10" s="62" t="s">
        <v>6</v>
      </c>
      <c r="D10" s="89">
        <f>B10*DADOS_INICIAIS!$E$9*1.1</f>
        <v>422848.53600000002</v>
      </c>
      <c r="E10" s="57"/>
    </row>
    <row r="11" spans="1:7" s="55" customFormat="1" ht="21.75" x14ac:dyDescent="0.25">
      <c r="A11" s="66" t="s">
        <v>246</v>
      </c>
      <c r="B11" s="62">
        <v>12</v>
      </c>
      <c r="C11" s="62" t="s">
        <v>6</v>
      </c>
      <c r="D11" s="89">
        <f>B11*DADOS_INICIAIS!$E$9*1.1</f>
        <v>230644.65600000005</v>
      </c>
      <c r="E11" s="57"/>
    </row>
    <row r="12" spans="1:7" s="55" customFormat="1" ht="21.75" x14ac:dyDescent="0.25">
      <c r="A12" s="66" t="s">
        <v>245</v>
      </c>
      <c r="B12" s="62">
        <v>3</v>
      </c>
      <c r="C12" s="62" t="s">
        <v>6</v>
      </c>
      <c r="D12" s="89">
        <f>B12*DADOS_INICIAIS!$E$9*1.1</f>
        <v>57661.164000000012</v>
      </c>
      <c r="E12" s="57"/>
    </row>
    <row r="13" spans="1:7" s="55" customFormat="1" ht="21.75" x14ac:dyDescent="0.25">
      <c r="A13" s="66" t="s">
        <v>244</v>
      </c>
      <c r="B13" s="62">
        <v>60</v>
      </c>
      <c r="C13" s="62" t="s">
        <v>6</v>
      </c>
      <c r="D13" s="89"/>
      <c r="E13" s="57"/>
    </row>
    <row r="14" spans="1:7" s="55" customFormat="1" ht="21.75" x14ac:dyDescent="0.25">
      <c r="A14" s="248" t="s">
        <v>17</v>
      </c>
      <c r="B14" s="248"/>
      <c r="C14" s="248"/>
      <c r="D14" s="90">
        <f>SUM(D7:D13)</f>
        <v>1710614.5320000004</v>
      </c>
      <c r="E14" s="60"/>
    </row>
    <row r="15" spans="1:7" s="55" customFormat="1" ht="21.75" x14ac:dyDescent="0.25">
      <c r="A15" s="252"/>
      <c r="B15" s="252"/>
      <c r="C15" s="252"/>
      <c r="D15" s="100"/>
      <c r="E15" s="59"/>
    </row>
    <row r="16" spans="1:7" s="55" customFormat="1" ht="21.75" x14ac:dyDescent="0.25">
      <c r="A16" s="52" t="s">
        <v>243</v>
      </c>
      <c r="B16" s="53"/>
      <c r="C16" s="53"/>
      <c r="D16" s="98"/>
      <c r="E16" s="53"/>
    </row>
    <row r="17" spans="1:5" s="55" customFormat="1" ht="21.75" x14ac:dyDescent="0.25">
      <c r="A17" s="56"/>
      <c r="B17" s="57"/>
      <c r="C17" s="57"/>
      <c r="D17" s="100"/>
      <c r="E17" s="59"/>
    </row>
    <row r="18" spans="1:5" s="55" customFormat="1" ht="42" customHeight="1" x14ac:dyDescent="0.25">
      <c r="A18" s="63" t="s">
        <v>14</v>
      </c>
      <c r="B18" s="253" t="s">
        <v>5</v>
      </c>
      <c r="C18" s="254"/>
      <c r="D18" s="90" t="s">
        <v>16</v>
      </c>
      <c r="E18" s="59"/>
    </row>
    <row r="19" spans="1:5" s="55" customFormat="1" ht="21.75" x14ac:dyDescent="0.25">
      <c r="A19" s="66" t="s">
        <v>242</v>
      </c>
      <c r="B19" s="62">
        <v>25</v>
      </c>
      <c r="C19" s="62" t="s">
        <v>6</v>
      </c>
      <c r="D19" s="89">
        <f>B19*DADOS_INICIAIS!$E$9*1.1</f>
        <v>480509.70000000013</v>
      </c>
      <c r="E19" s="57"/>
    </row>
    <row r="20" spans="1:5" s="55" customFormat="1" ht="21.75" x14ac:dyDescent="0.25">
      <c r="A20" s="66" t="s">
        <v>241</v>
      </c>
      <c r="B20" s="62">
        <v>24</v>
      </c>
      <c r="C20" s="62" t="s">
        <v>6</v>
      </c>
      <c r="D20" s="89">
        <f>B20*DADOS_INICIAIS!$E$9*1.1</f>
        <v>461289.31200000009</v>
      </c>
      <c r="E20" s="57"/>
    </row>
    <row r="21" spans="1:5" s="55" customFormat="1" ht="21.75" x14ac:dyDescent="0.25">
      <c r="A21" s="66" t="s">
        <v>240</v>
      </c>
      <c r="B21" s="62">
        <v>4</v>
      </c>
      <c r="C21" s="62" t="s">
        <v>6</v>
      </c>
      <c r="D21" s="89">
        <f>B21*DADOS_INICIAIS!$E$9*1.1</f>
        <v>76881.552000000011</v>
      </c>
      <c r="E21" s="57"/>
    </row>
    <row r="22" spans="1:5" s="55" customFormat="1" ht="21.75" x14ac:dyDescent="0.25">
      <c r="A22" s="66" t="s">
        <v>239</v>
      </c>
      <c r="B22" s="62">
        <v>15</v>
      </c>
      <c r="C22" s="62" t="s">
        <v>6</v>
      </c>
      <c r="D22" s="89">
        <f>B22*DADOS_INICIAIS!$E$9*1.1</f>
        <v>288305.82000000007</v>
      </c>
      <c r="E22" s="57"/>
    </row>
    <row r="23" spans="1:5" s="55" customFormat="1" ht="21.75" x14ac:dyDescent="0.25">
      <c r="A23" s="66" t="s">
        <v>364</v>
      </c>
      <c r="B23" s="62">
        <v>20</v>
      </c>
      <c r="C23" s="62" t="s">
        <v>6</v>
      </c>
      <c r="D23" s="89">
        <f>B23*DADOS_INICIAIS!$E$9*1.1</f>
        <v>384407.76000000007</v>
      </c>
      <c r="E23" s="57"/>
    </row>
    <row r="24" spans="1:5" s="55" customFormat="1" ht="21.75" x14ac:dyDescent="0.25">
      <c r="A24" s="66" t="s">
        <v>238</v>
      </c>
      <c r="B24" s="62">
        <v>55</v>
      </c>
      <c r="C24" s="62" t="s">
        <v>6</v>
      </c>
      <c r="D24" s="89"/>
      <c r="E24" s="57"/>
    </row>
    <row r="25" spans="1:5" s="55" customFormat="1" ht="21.75" x14ac:dyDescent="0.25">
      <c r="A25" s="248" t="s">
        <v>17</v>
      </c>
      <c r="B25" s="248"/>
      <c r="C25" s="248"/>
      <c r="D25" s="90">
        <f>SUM(D19:D24)</f>
        <v>1691394.1440000003</v>
      </c>
      <c r="E25" s="60"/>
    </row>
    <row r="26" spans="1:5" s="55" customFormat="1" ht="21.75" x14ac:dyDescent="0.25">
      <c r="A26" s="252"/>
      <c r="B26" s="252"/>
      <c r="C26" s="252"/>
      <c r="D26" s="100"/>
      <c r="E26" s="59"/>
    </row>
    <row r="27" spans="1:5" s="55" customFormat="1" ht="21.75" x14ac:dyDescent="0.25">
      <c r="A27" s="52" t="s">
        <v>237</v>
      </c>
      <c r="B27" s="53"/>
      <c r="C27" s="53"/>
      <c r="D27" s="98"/>
      <c r="E27" s="53"/>
    </row>
    <row r="28" spans="1:5" s="55" customFormat="1" ht="21.75" x14ac:dyDescent="0.25">
      <c r="A28" s="56"/>
      <c r="B28" s="57"/>
      <c r="C28" s="57"/>
      <c r="D28" s="100"/>
      <c r="E28" s="59"/>
    </row>
    <row r="29" spans="1:5" s="55" customFormat="1" ht="42" customHeight="1" x14ac:dyDescent="0.25">
      <c r="A29" s="63" t="s">
        <v>14</v>
      </c>
      <c r="B29" s="253" t="s">
        <v>5</v>
      </c>
      <c r="C29" s="254"/>
      <c r="D29" s="90" t="s">
        <v>16</v>
      </c>
      <c r="E29" s="59"/>
    </row>
    <row r="30" spans="1:5" s="55" customFormat="1" ht="26.25" customHeight="1" x14ac:dyDescent="0.25">
      <c r="A30" s="70" t="s">
        <v>236</v>
      </c>
      <c r="B30" s="62">
        <v>12</v>
      </c>
      <c r="C30" s="62" t="s">
        <v>6</v>
      </c>
      <c r="D30" s="89">
        <f>B30*DADOS_INICIAIS!$E$9*1.1</f>
        <v>230644.65600000005</v>
      </c>
      <c r="E30" s="57"/>
    </row>
    <row r="31" spans="1:5" s="55" customFormat="1" ht="26.25" customHeight="1" x14ac:dyDescent="0.25">
      <c r="A31" s="70" t="s">
        <v>235</v>
      </c>
      <c r="B31" s="62">
        <v>15</v>
      </c>
      <c r="C31" s="62" t="s">
        <v>6</v>
      </c>
      <c r="D31" s="89">
        <f>B31*DADOS_INICIAIS!$E$9*1.1</f>
        <v>288305.82000000007</v>
      </c>
      <c r="E31" s="57"/>
    </row>
    <row r="32" spans="1:5" s="55" customFormat="1" ht="21.75" x14ac:dyDescent="0.25">
      <c r="A32" s="70" t="s">
        <v>234</v>
      </c>
      <c r="B32" s="62">
        <v>4</v>
      </c>
      <c r="C32" s="62" t="s">
        <v>6</v>
      </c>
      <c r="D32" s="89">
        <f>B32*DADOS_INICIAIS!$E$9*1.1</f>
        <v>76881.552000000011</v>
      </c>
      <c r="E32" s="57"/>
    </row>
    <row r="33" spans="1:9" s="55" customFormat="1" ht="21.75" x14ac:dyDescent="0.25">
      <c r="A33" s="248" t="s">
        <v>17</v>
      </c>
      <c r="B33" s="248"/>
      <c r="C33" s="248"/>
      <c r="D33" s="90">
        <f>SUM(D30:D32)</f>
        <v>595832.02800000017</v>
      </c>
      <c r="E33" s="60"/>
    </row>
    <row r="34" spans="1:9" x14ac:dyDescent="0.25">
      <c r="D34" s="107"/>
      <c r="I34" s="47"/>
    </row>
    <row r="35" spans="1:9" ht="23.25" customHeight="1" x14ac:dyDescent="0.25">
      <c r="A35" s="245" t="s">
        <v>233</v>
      </c>
      <c r="B35" s="246"/>
      <c r="C35" s="246"/>
      <c r="D35" s="108">
        <f>D14+D25+D33</f>
        <v>3997840.7040000008</v>
      </c>
      <c r="E35" s="108">
        <f>D35/DADOS_INICIAIS!E9</f>
        <v>228.8</v>
      </c>
    </row>
    <row r="37" spans="1:9" x14ac:dyDescent="0.25">
      <c r="E37" s="199">
        <f>E35/1.1</f>
        <v>208</v>
      </c>
    </row>
  </sheetData>
  <mergeCells count="10">
    <mergeCell ref="A35:C35"/>
    <mergeCell ref="A33:C33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sheetPr>
    <tabColor rgb="FF92D050"/>
  </sheetPr>
  <dimension ref="A1:O45"/>
  <sheetViews>
    <sheetView showGridLines="0" topLeftCell="A36" zoomScale="85" zoomScaleNormal="85" zoomScaleSheetLayoutView="95" workbookViewId="0">
      <selection activeCell="D36" sqref="D36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15" x14ac:dyDescent="0.25">
      <c r="A1" s="48"/>
      <c r="B1" s="48"/>
      <c r="C1" s="48"/>
      <c r="D1" s="48"/>
      <c r="E1" s="48"/>
      <c r="G1" s="2"/>
    </row>
    <row r="2" spans="1:15" ht="28.5" x14ac:dyDescent="0.25">
      <c r="A2" s="249" t="s">
        <v>271</v>
      </c>
      <c r="B2" s="250"/>
      <c r="C2" s="250"/>
      <c r="D2" s="250"/>
      <c r="E2" s="251"/>
      <c r="G2" s="2"/>
    </row>
    <row r="3" spans="1:15" x14ac:dyDescent="0.25">
      <c r="A3" s="50"/>
      <c r="B3" s="50"/>
      <c r="C3" s="50"/>
      <c r="D3" s="48"/>
      <c r="E3" s="48"/>
      <c r="G3" s="2"/>
    </row>
    <row r="4" spans="1:15" s="55" customFormat="1" ht="21.75" x14ac:dyDescent="0.25">
      <c r="A4" s="52" t="s">
        <v>270</v>
      </c>
      <c r="B4" s="53"/>
      <c r="C4" s="53"/>
      <c r="D4" s="53"/>
      <c r="E4" s="53"/>
    </row>
    <row r="5" spans="1:15" s="55" customFormat="1" ht="21.75" x14ac:dyDescent="0.25">
      <c r="A5" s="56"/>
      <c r="B5" s="57"/>
      <c r="C5" s="57"/>
      <c r="D5" s="59"/>
      <c r="E5" s="59"/>
    </row>
    <row r="6" spans="1:15" s="55" customFormat="1" ht="42" customHeight="1" x14ac:dyDescent="0.25">
      <c r="A6" s="63" t="s">
        <v>14</v>
      </c>
      <c r="B6" s="65" t="s">
        <v>18</v>
      </c>
      <c r="C6" s="71" t="s">
        <v>260</v>
      </c>
      <c r="D6" s="71" t="s">
        <v>16</v>
      </c>
      <c r="E6" s="59"/>
      <c r="G6" s="55" t="s">
        <v>200</v>
      </c>
      <c r="H6" s="55" t="s">
        <v>365</v>
      </c>
      <c r="I6" s="55" t="s">
        <v>366</v>
      </c>
      <c r="J6" s="55" t="s">
        <v>367</v>
      </c>
      <c r="M6" s="55" t="s">
        <v>310</v>
      </c>
      <c r="N6" s="55" t="s">
        <v>311</v>
      </c>
      <c r="O6" s="55" t="s">
        <v>312</v>
      </c>
    </row>
    <row r="7" spans="1:15" s="55" customFormat="1" ht="43.5" x14ac:dyDescent="0.25">
      <c r="A7" s="66" t="s">
        <v>269</v>
      </c>
      <c r="B7" s="67">
        <f>G7+H7+I7+J7*10+K7</f>
        <v>303</v>
      </c>
      <c r="C7" s="188">
        <v>1500</v>
      </c>
      <c r="D7" s="89">
        <f>B7*C7*1.1</f>
        <v>499950.00000000006</v>
      </c>
      <c r="E7" s="57"/>
      <c r="G7" s="55">
        <v>2</v>
      </c>
      <c r="H7" s="55">
        <f>4+3+1</f>
        <v>8</v>
      </c>
      <c r="I7" s="55">
        <v>26</v>
      </c>
      <c r="J7" s="55">
        <v>26</v>
      </c>
      <c r="K7" s="55">
        <v>7</v>
      </c>
      <c r="M7" s="55">
        <v>8</v>
      </c>
      <c r="N7" s="55">
        <v>8</v>
      </c>
      <c r="O7" s="55">
        <v>1</v>
      </c>
    </row>
    <row r="8" spans="1:15" s="55" customFormat="1" ht="29.25" customHeight="1" x14ac:dyDescent="0.25">
      <c r="A8" s="66" t="s">
        <v>268</v>
      </c>
      <c r="B8" s="67">
        <f>G8+H8+I8+J8*10+K8</f>
        <v>12</v>
      </c>
      <c r="C8" s="188">
        <v>5000</v>
      </c>
      <c r="D8" s="89">
        <f>B8*C8*1.1</f>
        <v>66000</v>
      </c>
      <c r="E8" s="57"/>
      <c r="G8" s="55">
        <v>0</v>
      </c>
      <c r="H8" s="55">
        <v>5</v>
      </c>
      <c r="I8" s="55">
        <v>0</v>
      </c>
      <c r="J8" s="55">
        <v>0</v>
      </c>
      <c r="K8" s="55">
        <v>7</v>
      </c>
      <c r="O8" s="55">
        <v>1</v>
      </c>
    </row>
    <row r="9" spans="1:15" s="55" customFormat="1" ht="29.25" customHeight="1" x14ac:dyDescent="0.25">
      <c r="A9" s="66" t="s">
        <v>440</v>
      </c>
      <c r="B9" s="67">
        <f>DADOS_INICIAIS!E11</f>
        <v>176</v>
      </c>
      <c r="C9" s="188">
        <v>1400</v>
      </c>
      <c r="D9" s="89"/>
      <c r="E9" s="57"/>
    </row>
    <row r="10" spans="1:15" s="55" customFormat="1" ht="21.75" x14ac:dyDescent="0.25">
      <c r="A10" s="66" t="s">
        <v>267</v>
      </c>
      <c r="B10" s="67">
        <f t="shared" ref="B10:B11" si="0">G10+H10+I10+J10*10+K10</f>
        <v>121</v>
      </c>
      <c r="C10" s="188">
        <v>900</v>
      </c>
      <c r="D10" s="89">
        <f>B10*C10*1.1</f>
        <v>119790.00000000001</v>
      </c>
      <c r="E10" s="57"/>
      <c r="G10" s="55">
        <v>2</v>
      </c>
      <c r="H10" s="55">
        <v>8</v>
      </c>
      <c r="I10" s="55">
        <v>10</v>
      </c>
      <c r="J10" s="55">
        <v>10</v>
      </c>
      <c r="K10" s="55">
        <v>1</v>
      </c>
      <c r="M10" s="55">
        <v>8</v>
      </c>
      <c r="N10" s="55">
        <v>8</v>
      </c>
      <c r="O10" s="55">
        <v>3</v>
      </c>
    </row>
    <row r="11" spans="1:15" s="55" customFormat="1" ht="21.75" x14ac:dyDescent="0.25">
      <c r="A11" s="66" t="s">
        <v>266</v>
      </c>
      <c r="B11" s="67">
        <f t="shared" si="0"/>
        <v>88</v>
      </c>
      <c r="C11" s="188">
        <v>2100</v>
      </c>
      <c r="D11" s="89">
        <f>B11*C11*1.1</f>
        <v>203280.00000000003</v>
      </c>
      <c r="E11" s="57"/>
      <c r="G11" s="55">
        <v>0</v>
      </c>
      <c r="H11" s="55">
        <v>0</v>
      </c>
      <c r="I11" s="55">
        <v>7</v>
      </c>
      <c r="J11" s="55">
        <v>8</v>
      </c>
      <c r="K11" s="55">
        <v>1</v>
      </c>
      <c r="M11" s="55">
        <v>4</v>
      </c>
      <c r="N11" s="55">
        <v>4</v>
      </c>
      <c r="O11" s="55">
        <v>1</v>
      </c>
    </row>
    <row r="12" spans="1:15" s="55" customFormat="1" ht="21.75" x14ac:dyDescent="0.25">
      <c r="A12" s="248" t="s">
        <v>17</v>
      </c>
      <c r="B12" s="248"/>
      <c r="C12" s="248"/>
      <c r="D12" s="90">
        <f>SUM(D7:D11)</f>
        <v>889020</v>
      </c>
      <c r="E12" s="60"/>
    </row>
    <row r="13" spans="1:15" s="55" customFormat="1" ht="21.75" x14ac:dyDescent="0.25">
      <c r="A13" s="252"/>
      <c r="B13" s="252"/>
      <c r="C13" s="252"/>
      <c r="D13" s="59"/>
      <c r="E13" s="59"/>
    </row>
    <row r="14" spans="1:15" s="55" customFormat="1" ht="21.75" x14ac:dyDescent="0.25">
      <c r="A14" s="52" t="s">
        <v>265</v>
      </c>
      <c r="B14" s="53"/>
      <c r="C14" s="53"/>
      <c r="D14" s="53"/>
      <c r="E14" s="53"/>
    </row>
    <row r="15" spans="1:15" s="55" customFormat="1" ht="21.75" x14ac:dyDescent="0.25">
      <c r="A15" s="56"/>
      <c r="B15" s="57"/>
      <c r="C15" s="57"/>
      <c r="D15" s="59"/>
      <c r="E15" s="59"/>
    </row>
    <row r="16" spans="1:15" s="55" customFormat="1" ht="42" customHeight="1" x14ac:dyDescent="0.25">
      <c r="A16" s="63" t="s">
        <v>14</v>
      </c>
      <c r="B16" s="253" t="s">
        <v>5</v>
      </c>
      <c r="C16" s="254"/>
      <c r="D16" s="71" t="s">
        <v>16</v>
      </c>
      <c r="E16" s="59"/>
    </row>
    <row r="17" spans="1:5" s="55" customFormat="1" ht="21.75" x14ac:dyDescent="0.25">
      <c r="A17" s="66" t="s">
        <v>264</v>
      </c>
      <c r="B17" s="62">
        <v>5</v>
      </c>
      <c r="C17" s="62" t="s">
        <v>6</v>
      </c>
      <c r="D17" s="89">
        <f>B17*DADOS_INICIAIS!$E$9*1.1</f>
        <v>96101.940000000017</v>
      </c>
      <c r="E17" s="57"/>
    </row>
    <row r="18" spans="1:5" s="55" customFormat="1" ht="21.75" x14ac:dyDescent="0.25">
      <c r="A18" s="66" t="s">
        <v>263</v>
      </c>
      <c r="B18" s="62">
        <v>6</v>
      </c>
      <c r="C18" s="62" t="s">
        <v>6</v>
      </c>
      <c r="D18" s="89">
        <f>B18*DADOS_INICIAIS!$E$9*1.1</f>
        <v>115322.32800000002</v>
      </c>
      <c r="E18" s="57"/>
    </row>
    <row r="19" spans="1:5" s="55" customFormat="1" ht="21.75" x14ac:dyDescent="0.25">
      <c r="A19" s="66" t="s">
        <v>262</v>
      </c>
      <c r="B19" s="62">
        <v>12</v>
      </c>
      <c r="C19" s="62" t="s">
        <v>6</v>
      </c>
      <c r="D19" s="89">
        <f>B19*DADOS_INICIAIS!$E$9*1.1</f>
        <v>230644.65600000005</v>
      </c>
      <c r="E19" s="57"/>
    </row>
    <row r="20" spans="1:5" s="55" customFormat="1" ht="43.5" x14ac:dyDescent="0.25">
      <c r="A20" s="66" t="s">
        <v>393</v>
      </c>
      <c r="B20" s="62">
        <v>6</v>
      </c>
      <c r="C20" s="62" t="s">
        <v>6</v>
      </c>
      <c r="D20" s="89">
        <f>B20*DADOS_INICIAIS!$E$9*1.1</f>
        <v>115322.32800000002</v>
      </c>
      <c r="E20" s="57"/>
    </row>
    <row r="21" spans="1:5" s="55" customFormat="1" ht="21.75" x14ac:dyDescent="0.25">
      <c r="A21" s="248" t="s">
        <v>17</v>
      </c>
      <c r="B21" s="248"/>
      <c r="C21" s="248"/>
      <c r="D21" s="90">
        <f>SUM(D17:D20)</f>
        <v>557391.25200000009</v>
      </c>
      <c r="E21" s="60"/>
    </row>
    <row r="22" spans="1:5" s="55" customFormat="1" ht="21.75" x14ac:dyDescent="0.25">
      <c r="A22" s="252"/>
      <c r="B22" s="252"/>
      <c r="C22" s="252"/>
      <c r="D22" s="59"/>
      <c r="E22" s="59"/>
    </row>
    <row r="23" spans="1:5" s="55" customFormat="1" ht="21.75" x14ac:dyDescent="0.25">
      <c r="A23" s="52" t="s">
        <v>261</v>
      </c>
      <c r="B23" s="53"/>
      <c r="C23" s="53"/>
      <c r="D23" s="53"/>
      <c r="E23" s="53"/>
    </row>
    <row r="24" spans="1:5" s="55" customFormat="1" ht="21.75" x14ac:dyDescent="0.25">
      <c r="A24" s="56"/>
      <c r="B24" s="57"/>
      <c r="C24" s="57"/>
      <c r="D24" s="59"/>
      <c r="E24" s="59"/>
    </row>
    <row r="25" spans="1:5" s="55" customFormat="1" ht="42" customHeight="1" x14ac:dyDescent="0.25">
      <c r="A25" s="63" t="s">
        <v>14</v>
      </c>
      <c r="B25" s="65" t="s">
        <v>18</v>
      </c>
      <c r="C25" s="71" t="s">
        <v>260</v>
      </c>
      <c r="D25" s="71" t="s">
        <v>16</v>
      </c>
      <c r="E25" s="59"/>
    </row>
    <row r="26" spans="1:5" s="55" customFormat="1" ht="26.25" customHeight="1" x14ac:dyDescent="0.25">
      <c r="A26" s="70" t="s">
        <v>259</v>
      </c>
      <c r="B26" s="67">
        <v>3</v>
      </c>
      <c r="C26" s="188">
        <v>280000</v>
      </c>
      <c r="D26" s="89">
        <f t="shared" ref="D26:D36" si="1">B26*C26*1.1</f>
        <v>924000.00000000012</v>
      </c>
      <c r="E26" s="57"/>
    </row>
    <row r="27" spans="1:5" s="55" customFormat="1" ht="26.25" customHeight="1" x14ac:dyDescent="0.25">
      <c r="A27" s="70" t="s">
        <v>394</v>
      </c>
      <c r="B27" s="67">
        <v>1</v>
      </c>
      <c r="C27" s="188">
        <v>55000</v>
      </c>
      <c r="D27" s="89">
        <f t="shared" ref="D27" si="2">B27*C27*1.1</f>
        <v>60500.000000000007</v>
      </c>
      <c r="E27" s="57"/>
    </row>
    <row r="28" spans="1:5" s="55" customFormat="1" ht="26.25" customHeight="1" x14ac:dyDescent="0.25">
      <c r="A28" s="70" t="s">
        <v>258</v>
      </c>
      <c r="B28" s="67">
        <v>1</v>
      </c>
      <c r="C28" s="188">
        <v>110000</v>
      </c>
      <c r="D28" s="89">
        <f t="shared" si="1"/>
        <v>121000.00000000001</v>
      </c>
      <c r="E28" s="57"/>
    </row>
    <row r="29" spans="1:5" s="55" customFormat="1" ht="26.25" customHeight="1" x14ac:dyDescent="0.25">
      <c r="A29" s="70" t="s">
        <v>333</v>
      </c>
      <c r="B29" s="67">
        <v>1</v>
      </c>
      <c r="C29" s="188">
        <v>250000</v>
      </c>
      <c r="D29" s="89">
        <f t="shared" si="1"/>
        <v>275000</v>
      </c>
      <c r="E29" s="57"/>
    </row>
    <row r="30" spans="1:5" s="55" customFormat="1" ht="26.25" hidden="1" customHeight="1" x14ac:dyDescent="0.25">
      <c r="A30" s="70" t="s">
        <v>314</v>
      </c>
      <c r="B30" s="67">
        <v>0</v>
      </c>
      <c r="C30" s="188">
        <f>50*DADOS_INICIAIS!E9</f>
        <v>873654.00000000012</v>
      </c>
      <c r="D30" s="89">
        <f t="shared" si="1"/>
        <v>0</v>
      </c>
      <c r="E30" s="57"/>
    </row>
    <row r="31" spans="1:5" s="55" customFormat="1" ht="26.25" hidden="1" customHeight="1" x14ac:dyDescent="0.25">
      <c r="A31" s="70" t="s">
        <v>315</v>
      </c>
      <c r="B31" s="67">
        <v>0</v>
      </c>
      <c r="C31" s="188">
        <v>10000</v>
      </c>
      <c r="D31" s="89">
        <f t="shared" si="1"/>
        <v>0</v>
      </c>
      <c r="E31" s="57"/>
    </row>
    <row r="32" spans="1:5" s="55" customFormat="1" ht="26.25" hidden="1" customHeight="1" x14ac:dyDescent="0.25">
      <c r="A32" s="70" t="s">
        <v>326</v>
      </c>
      <c r="B32" s="67">
        <v>0</v>
      </c>
      <c r="C32" s="188">
        <v>110000</v>
      </c>
      <c r="D32" s="89">
        <f t="shared" si="1"/>
        <v>0</v>
      </c>
      <c r="E32" s="57"/>
    </row>
    <row r="33" spans="1:9" s="55" customFormat="1" ht="26.25" customHeight="1" x14ac:dyDescent="0.25">
      <c r="A33" s="70" t="s">
        <v>257</v>
      </c>
      <c r="B33" s="67">
        <f>DADOS_INICIAIS!E11</f>
        <v>176</v>
      </c>
      <c r="C33" s="188">
        <v>550</v>
      </c>
      <c r="D33" s="89">
        <f t="shared" si="1"/>
        <v>106480.00000000001</v>
      </c>
      <c r="E33" s="57"/>
    </row>
    <row r="34" spans="1:9" s="55" customFormat="1" ht="26.25" hidden="1" customHeight="1" x14ac:dyDescent="0.25">
      <c r="A34" s="70" t="s">
        <v>325</v>
      </c>
      <c r="B34" s="67">
        <v>0</v>
      </c>
      <c r="C34" s="188">
        <v>10500</v>
      </c>
      <c r="D34" s="89">
        <f t="shared" si="1"/>
        <v>0</v>
      </c>
      <c r="E34" s="57"/>
    </row>
    <row r="35" spans="1:9" s="55" customFormat="1" ht="26.25" hidden="1" customHeight="1" x14ac:dyDescent="0.25">
      <c r="A35" s="70" t="s">
        <v>313</v>
      </c>
      <c r="B35" s="67">
        <v>0</v>
      </c>
      <c r="C35" s="188">
        <v>8500</v>
      </c>
      <c r="D35" s="89">
        <f t="shared" si="1"/>
        <v>0</v>
      </c>
      <c r="E35" s="57"/>
    </row>
    <row r="36" spans="1:9" s="55" customFormat="1" ht="26.25" customHeight="1" x14ac:dyDescent="0.25">
      <c r="A36" s="70" t="s">
        <v>256</v>
      </c>
      <c r="B36" s="67">
        <v>2</v>
      </c>
      <c r="C36" s="188">
        <v>25000</v>
      </c>
      <c r="D36" s="89">
        <f t="shared" si="1"/>
        <v>55000.000000000007</v>
      </c>
      <c r="E36" s="57"/>
    </row>
    <row r="37" spans="1:9" s="55" customFormat="1" ht="21.75" x14ac:dyDescent="0.25">
      <c r="A37" s="248" t="s">
        <v>17</v>
      </c>
      <c r="B37" s="248"/>
      <c r="C37" s="248"/>
      <c r="D37" s="90">
        <f>SUM(D26:D36)</f>
        <v>1541980.0000000002</v>
      </c>
      <c r="E37" s="60"/>
    </row>
    <row r="38" spans="1:9" x14ac:dyDescent="0.25">
      <c r="I38" s="47"/>
    </row>
    <row r="39" spans="1:9" s="55" customFormat="1" ht="21.75" x14ac:dyDescent="0.25">
      <c r="A39" s="52" t="s">
        <v>255</v>
      </c>
      <c r="B39" s="53"/>
      <c r="C39" s="53"/>
      <c r="D39" s="53"/>
      <c r="E39" s="53"/>
    </row>
    <row r="40" spans="1:9" s="55" customFormat="1" ht="21.75" x14ac:dyDescent="0.25">
      <c r="A40" s="56"/>
      <c r="B40" s="57"/>
      <c r="C40" s="57"/>
      <c r="D40" s="59"/>
      <c r="E40" s="59"/>
    </row>
    <row r="41" spans="1:9" s="55" customFormat="1" ht="40.5" customHeight="1" x14ac:dyDescent="0.25">
      <c r="A41" s="63" t="s">
        <v>14</v>
      </c>
      <c r="B41" s="253" t="s">
        <v>5</v>
      </c>
      <c r="C41" s="254"/>
      <c r="D41" s="71" t="s">
        <v>16</v>
      </c>
      <c r="E41" s="59"/>
    </row>
    <row r="42" spans="1:9" s="55" customFormat="1" ht="26.25" customHeight="1" x14ac:dyDescent="0.25">
      <c r="A42" s="70" t="s">
        <v>254</v>
      </c>
      <c r="B42" s="62">
        <v>20</v>
      </c>
      <c r="C42" s="62" t="s">
        <v>6</v>
      </c>
      <c r="D42" s="89">
        <f>B42*DADOS_INICIAIS!E9*1.1</f>
        <v>384407.76000000007</v>
      </c>
      <c r="E42" s="102"/>
    </row>
    <row r="43" spans="1:9" s="55" customFormat="1" ht="21.75" x14ac:dyDescent="0.25">
      <c r="A43" s="248" t="s">
        <v>17</v>
      </c>
      <c r="B43" s="248"/>
      <c r="C43" s="248"/>
      <c r="D43" s="90">
        <f>SUM(D42:D42)</f>
        <v>384407.76000000007</v>
      </c>
      <c r="E43" s="103"/>
    </row>
    <row r="44" spans="1:9" x14ac:dyDescent="0.25">
      <c r="D44" s="107"/>
      <c r="E44" s="107"/>
      <c r="I44" s="47"/>
    </row>
    <row r="45" spans="1:9" ht="23.25" customHeight="1" x14ac:dyDescent="0.25">
      <c r="A45" s="245" t="s">
        <v>253</v>
      </c>
      <c r="B45" s="246"/>
      <c r="C45" s="247"/>
      <c r="D45" s="108">
        <f>D12+D21+D37+D43</f>
        <v>3372799.0120000006</v>
      </c>
      <c r="E45" s="108">
        <f>D45/DADOS_INICIAIS!E9</f>
        <v>193.02830479800929</v>
      </c>
    </row>
  </sheetData>
  <mergeCells count="10">
    <mergeCell ref="A37:C37"/>
    <mergeCell ref="A45:C45"/>
    <mergeCell ref="B41:C41"/>
    <mergeCell ref="A43:C43"/>
    <mergeCell ref="A2:E2"/>
    <mergeCell ref="A12:C12"/>
    <mergeCell ref="A13:C13"/>
    <mergeCell ref="B16:C16"/>
    <mergeCell ref="A21:C21"/>
    <mergeCell ref="A22:C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sheetPr>
    <tabColor rgb="FF92D050"/>
  </sheetPr>
  <dimension ref="A1:L23"/>
  <sheetViews>
    <sheetView showGridLines="0" topLeftCell="A7" zoomScale="80" zoomScaleNormal="80" zoomScaleSheetLayoutView="95" workbookViewId="0">
      <selection activeCell="G10" sqref="G10:G17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49" t="s">
        <v>227</v>
      </c>
      <c r="B3" s="257"/>
      <c r="C3" s="257"/>
      <c r="D3" s="250"/>
      <c r="E3" s="250"/>
      <c r="F3" s="250"/>
      <c r="G3" s="250"/>
      <c r="H3" s="251"/>
      <c r="J3" s="79"/>
    </row>
    <row r="4" spans="1:10" ht="19.5" x14ac:dyDescent="0.25">
      <c r="A4" s="189" t="s">
        <v>184</v>
      </c>
      <c r="B4" s="195">
        <v>45573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290</v>
      </c>
      <c r="B5" s="196" t="s">
        <v>212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182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53" t="s">
        <v>5</v>
      </c>
      <c r="C9" s="254"/>
      <c r="D9" s="253" t="s">
        <v>18</v>
      </c>
      <c r="E9" s="254"/>
      <c r="F9" s="65" t="s">
        <v>118</v>
      </c>
      <c r="G9" s="71" t="s">
        <v>16</v>
      </c>
      <c r="H9" s="90" t="s">
        <v>292</v>
      </c>
    </row>
    <row r="10" spans="1:10" ht="21.75" x14ac:dyDescent="0.25">
      <c r="A10" s="66" t="s">
        <v>226</v>
      </c>
      <c r="B10" s="62">
        <v>25</v>
      </c>
      <c r="C10" s="62" t="s">
        <v>169</v>
      </c>
      <c r="D10" s="67">
        <f>D14+D15</f>
        <v>4368.2700000000004</v>
      </c>
      <c r="E10" s="67" t="s">
        <v>2</v>
      </c>
      <c r="F10" s="88">
        <v>7</v>
      </c>
      <c r="G10" s="89">
        <f t="shared" ref="G10:G17" si="0">F10*D10*1.1</f>
        <v>33635.679000000004</v>
      </c>
      <c r="H10" s="67"/>
    </row>
    <row r="11" spans="1:10" ht="21.75" x14ac:dyDescent="0.25">
      <c r="A11" s="78" t="s">
        <v>225</v>
      </c>
      <c r="B11" s="62">
        <v>45</v>
      </c>
      <c r="C11" s="62" t="s">
        <v>169</v>
      </c>
      <c r="D11" s="67">
        <f>((3.8)+(1.9+1.85)*2*1.8)*3</f>
        <v>51.900000000000006</v>
      </c>
      <c r="E11" s="67" t="s">
        <v>2</v>
      </c>
      <c r="F11" s="88">
        <v>41</v>
      </c>
      <c r="G11" s="89">
        <f t="shared" si="0"/>
        <v>2340.6900000000005</v>
      </c>
      <c r="H11" s="67"/>
    </row>
    <row r="12" spans="1:10" ht="21.75" x14ac:dyDescent="0.25">
      <c r="A12" s="78" t="s">
        <v>224</v>
      </c>
      <c r="B12" s="62">
        <v>30</v>
      </c>
      <c r="C12" s="62" t="s">
        <v>169</v>
      </c>
      <c r="D12" s="67">
        <f>INFRAESTRUTURA!D28</f>
        <v>1305.5200000000002</v>
      </c>
      <c r="E12" s="67" t="s">
        <v>2</v>
      </c>
      <c r="F12" s="88">
        <v>35</v>
      </c>
      <c r="G12" s="89">
        <f t="shared" si="0"/>
        <v>50262.520000000011</v>
      </c>
      <c r="H12" s="67"/>
    </row>
    <row r="13" spans="1:10" ht="21.75" x14ac:dyDescent="0.25">
      <c r="A13" s="66" t="s">
        <v>223</v>
      </c>
      <c r="B13" s="62">
        <v>0.8</v>
      </c>
      <c r="C13" s="62" t="s">
        <v>6</v>
      </c>
      <c r="D13" s="67">
        <v>1</v>
      </c>
      <c r="E13" s="67" t="s">
        <v>27</v>
      </c>
      <c r="F13" s="88">
        <f>B13*DADOS_INICIAIS!$E$9</f>
        <v>13978.464000000002</v>
      </c>
      <c r="G13" s="89">
        <f t="shared" si="0"/>
        <v>15376.310400000004</v>
      </c>
      <c r="H13" s="67"/>
    </row>
    <row r="14" spans="1:10" ht="21.75" x14ac:dyDescent="0.25">
      <c r="A14" s="66" t="s">
        <v>222</v>
      </c>
      <c r="B14" s="62">
        <v>0.15</v>
      </c>
      <c r="C14" s="62" t="s">
        <v>37</v>
      </c>
      <c r="D14" s="67">
        <f>B14*DADOS_INICIAIS!E9</f>
        <v>2620.962</v>
      </c>
      <c r="E14" s="67" t="s">
        <v>2</v>
      </c>
      <c r="F14" s="88">
        <v>40</v>
      </c>
      <c r="G14" s="89">
        <f>F14*D14</f>
        <v>104838.48</v>
      </c>
      <c r="H14" s="67"/>
    </row>
    <row r="15" spans="1:10" ht="21.75" x14ac:dyDescent="0.25">
      <c r="A15" s="66" t="s">
        <v>221</v>
      </c>
      <c r="B15" s="62">
        <v>0.1</v>
      </c>
      <c r="C15" s="62" t="s">
        <v>37</v>
      </c>
      <c r="D15" s="67">
        <f>B15*DADOS_INICIAIS!E9</f>
        <v>1747.3080000000002</v>
      </c>
      <c r="E15" s="67" t="s">
        <v>2</v>
      </c>
      <c r="F15" s="88">
        <v>120</v>
      </c>
      <c r="G15" s="89">
        <f t="shared" si="0"/>
        <v>230644.65600000005</v>
      </c>
      <c r="H15" s="67"/>
    </row>
    <row r="16" spans="1:10" ht="21.75" x14ac:dyDescent="0.25">
      <c r="A16" s="66" t="s">
        <v>220</v>
      </c>
      <c r="B16" s="62">
        <v>0.08</v>
      </c>
      <c r="C16" s="62" t="s">
        <v>37</v>
      </c>
      <c r="D16" s="67">
        <f>B16*DADOS_INICIAIS!E9</f>
        <v>1397.8464000000001</v>
      </c>
      <c r="E16" s="67" t="s">
        <v>2</v>
      </c>
      <c r="F16" s="88">
        <v>50</v>
      </c>
      <c r="G16" s="89">
        <f>F16*D16*1.1</f>
        <v>76881.552000000011</v>
      </c>
      <c r="H16" s="67"/>
    </row>
    <row r="17" spans="1:12" ht="21.75" x14ac:dyDescent="0.25">
      <c r="A17" s="66" t="s">
        <v>219</v>
      </c>
      <c r="B17" s="62">
        <v>28</v>
      </c>
      <c r="C17" s="62" t="s">
        <v>169</v>
      </c>
      <c r="D17" s="67">
        <f>D15</f>
        <v>1747.3080000000002</v>
      </c>
      <c r="E17" s="67" t="s">
        <v>2</v>
      </c>
      <c r="F17" s="88">
        <v>16</v>
      </c>
      <c r="G17" s="89">
        <f t="shared" si="0"/>
        <v>30752.620800000008</v>
      </c>
      <c r="H17" s="67"/>
    </row>
    <row r="18" spans="1:12" ht="21.75" x14ac:dyDescent="0.25">
      <c r="A18" s="248" t="s">
        <v>17</v>
      </c>
      <c r="B18" s="248"/>
      <c r="C18" s="248"/>
      <c r="D18" s="248"/>
      <c r="E18" s="248"/>
      <c r="F18" s="248"/>
      <c r="G18" s="90">
        <f>SUM(G10:G17)</f>
        <v>544732.50820000016</v>
      </c>
      <c r="H18" s="90"/>
      <c r="K18" s="55">
        <f>4160+1440+1120+2880+4800+91680+4000</f>
        <v>110080</v>
      </c>
      <c r="L18" s="55">
        <f>K18/21</f>
        <v>5241.9047619047615</v>
      </c>
    </row>
    <row r="20" spans="1:12" ht="21.75" x14ac:dyDescent="0.25">
      <c r="A20" s="258" t="s">
        <v>218</v>
      </c>
      <c r="B20" s="259"/>
      <c r="C20" s="259"/>
      <c r="D20" s="259"/>
      <c r="E20" s="259"/>
      <c r="F20" s="260"/>
      <c r="G20" s="91">
        <f>G18</f>
        <v>544732.50820000016</v>
      </c>
      <c r="H20" s="91">
        <f>G20/DADOS_INICIAIS!E9</f>
        <v>31.175528767681492</v>
      </c>
    </row>
    <row r="23" spans="1:12" x14ac:dyDescent="0.25">
      <c r="H23" s="198">
        <f>H20/1.1</f>
        <v>28.341389788801354</v>
      </c>
    </row>
  </sheetData>
  <mergeCells count="5">
    <mergeCell ref="A20:F20"/>
    <mergeCell ref="A3:H3"/>
    <mergeCell ref="B9:C9"/>
    <mergeCell ref="D9:E9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sheetPr>
    <tabColor rgb="FF92D050"/>
  </sheetPr>
  <dimension ref="A1:J26"/>
  <sheetViews>
    <sheetView showGridLines="0" topLeftCell="A7" zoomScale="87" zoomScaleNormal="87" zoomScaleSheetLayoutView="95" workbookViewId="0">
      <selection activeCell="G18" sqref="G18:G20"/>
    </sheetView>
  </sheetViews>
  <sheetFormatPr defaultColWidth="9.140625" defaultRowHeight="12.75" x14ac:dyDescent="0.25"/>
  <cols>
    <col min="1" max="1" width="45" style="1" bestFit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9.140625" style="1"/>
    <col min="10" max="10" width="12.85546875" style="1" bestFit="1" customWidth="1"/>
    <col min="11" max="16384" width="9.140625" style="1"/>
  </cols>
  <sheetData>
    <row r="1" spans="1:10" x14ac:dyDescent="0.25">
      <c r="B1" s="2"/>
      <c r="C1" s="1"/>
      <c r="D1" s="1"/>
      <c r="G1" s="161"/>
      <c r="H1" s="161"/>
      <c r="I1" s="2"/>
    </row>
    <row r="2" spans="1:10" ht="12.75" customHeight="1" x14ac:dyDescent="0.25">
      <c r="A2" s="261" t="s">
        <v>188</v>
      </c>
      <c r="B2" s="2"/>
      <c r="C2" s="1"/>
      <c r="D2" s="1"/>
      <c r="G2" s="166"/>
      <c r="H2" s="166"/>
      <c r="I2" s="2"/>
    </row>
    <row r="3" spans="1:10" ht="12.75" customHeight="1" x14ac:dyDescent="0.25">
      <c r="A3" s="262"/>
      <c r="B3" s="2"/>
      <c r="C3" s="1"/>
      <c r="D3" s="1"/>
      <c r="G3" s="166"/>
      <c r="H3" s="166"/>
      <c r="I3" s="2"/>
    </row>
    <row r="4" spans="1:10" ht="12.75" customHeight="1" x14ac:dyDescent="0.25">
      <c r="A4" s="262"/>
      <c r="B4" s="2"/>
      <c r="C4" s="1"/>
      <c r="D4" s="1"/>
      <c r="G4" s="166"/>
      <c r="H4" s="166"/>
      <c r="I4" s="2"/>
    </row>
    <row r="5" spans="1:10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0" x14ac:dyDescent="0.25">
      <c r="A6" s="162"/>
      <c r="B6" s="2"/>
      <c r="C6" s="1"/>
      <c r="D6" s="1"/>
      <c r="G6" s="161"/>
      <c r="H6" s="161"/>
      <c r="I6" s="2"/>
    </row>
    <row r="7" spans="1:10" x14ac:dyDescent="0.25">
      <c r="A7" s="160" t="s">
        <v>187</v>
      </c>
      <c r="B7" s="159" t="s">
        <v>186</v>
      </c>
      <c r="C7" s="158"/>
      <c r="D7" s="158"/>
      <c r="E7" s="158"/>
      <c r="F7" s="158"/>
      <c r="G7" s="158"/>
      <c r="H7" s="157"/>
      <c r="I7" s="2"/>
    </row>
    <row r="8" spans="1:10" x14ac:dyDescent="0.25">
      <c r="A8" s="156" t="s">
        <v>0</v>
      </c>
      <c r="B8" s="155" t="s">
        <v>185</v>
      </c>
      <c r="C8" s="154"/>
      <c r="D8" s="154"/>
      <c r="E8" s="154"/>
      <c r="F8" s="154"/>
      <c r="G8" s="154"/>
      <c r="H8" s="153"/>
      <c r="I8" s="2"/>
    </row>
    <row r="9" spans="1:10" ht="15" customHeight="1" x14ac:dyDescent="0.25">
      <c r="A9" s="152" t="s">
        <v>184</v>
      </c>
      <c r="B9" s="151">
        <v>45397</v>
      </c>
      <c r="C9" s="150"/>
      <c r="D9" s="150"/>
      <c r="E9" s="150"/>
      <c r="F9" s="150"/>
      <c r="G9" s="150"/>
      <c r="H9" s="149"/>
    </row>
    <row r="10" spans="1:10" x14ac:dyDescent="0.25">
      <c r="A10" s="148" t="s">
        <v>1</v>
      </c>
      <c r="B10" s="147" t="s">
        <v>183</v>
      </c>
      <c r="C10" s="146"/>
      <c r="D10" s="146"/>
      <c r="E10" s="146"/>
      <c r="F10" s="146"/>
      <c r="G10" s="146"/>
      <c r="H10" s="145"/>
    </row>
    <row r="12" spans="1:10" x14ac:dyDescent="0.25">
      <c r="A12" s="144" t="s">
        <v>195</v>
      </c>
      <c r="B12" s="143"/>
      <c r="C12" s="142"/>
      <c r="D12" s="141"/>
      <c r="E12" s="140"/>
      <c r="F12" s="140"/>
      <c r="G12" s="140"/>
      <c r="H12" s="139"/>
    </row>
    <row r="13" spans="1:10" ht="15.95" customHeight="1" x14ac:dyDescent="0.25">
      <c r="A13" s="138"/>
      <c r="B13" s="137"/>
      <c r="C13" s="136"/>
      <c r="D13" s="135"/>
      <c r="E13" s="135"/>
      <c r="F13" s="135"/>
      <c r="H13" s="131"/>
      <c r="J13" s="115">
        <f>SUM(G15:G17)</f>
        <v>881940.54300000006</v>
      </c>
    </row>
    <row r="14" spans="1:10" ht="15.95" customHeight="1" x14ac:dyDescent="0.25">
      <c r="A14" s="134" t="s">
        <v>14</v>
      </c>
      <c r="B14" s="268" t="s">
        <v>18</v>
      </c>
      <c r="C14" s="269"/>
      <c r="D14" s="270" t="s">
        <v>5</v>
      </c>
      <c r="E14" s="271"/>
      <c r="F14" s="133" t="s">
        <v>181</v>
      </c>
      <c r="G14" s="132" t="s">
        <v>16</v>
      </c>
      <c r="H14" s="131"/>
      <c r="J14" s="115">
        <f>G18+G19</f>
        <v>564602.73869999999</v>
      </c>
    </row>
    <row r="15" spans="1:10" ht="15.95" customHeight="1" x14ac:dyDescent="0.25">
      <c r="A15" s="174" t="s">
        <v>441</v>
      </c>
      <c r="B15" s="124">
        <f>'Acabamentos de Piso e Parede'!B39</f>
        <v>4841.26</v>
      </c>
      <c r="C15" s="129" t="s">
        <v>2</v>
      </c>
      <c r="D15" s="128">
        <v>14</v>
      </c>
      <c r="E15" s="130" t="s">
        <v>169</v>
      </c>
      <c r="F15" s="126" t="s">
        <v>168</v>
      </c>
      <c r="G15" s="125">
        <f>D15*B15*1.1</f>
        <v>74555.40400000001</v>
      </c>
      <c r="H15" s="131"/>
    </row>
    <row r="16" spans="1:10" ht="15.95" customHeight="1" x14ac:dyDescent="0.25">
      <c r="A16" s="172" t="s">
        <v>194</v>
      </c>
      <c r="B16" s="124">
        <f>[6]Planilha1!$J$701+[6]Planilha1!$J$702</f>
        <v>11988.479999999998</v>
      </c>
      <c r="C16" s="129" t="s">
        <v>2</v>
      </c>
      <c r="D16" s="128">
        <f>B16/DADOS_INICIAIS!E9</f>
        <v>0.68611143541951369</v>
      </c>
      <c r="E16" s="130" t="s">
        <v>190</v>
      </c>
      <c r="F16" s="126" t="s">
        <v>168</v>
      </c>
      <c r="G16" s="125">
        <f>+B16*38*1.1</f>
        <v>501118.46399999998</v>
      </c>
      <c r="H16" s="131"/>
    </row>
    <row r="17" spans="1:8" ht="15.95" customHeight="1" x14ac:dyDescent="0.25">
      <c r="A17" s="172" t="s">
        <v>193</v>
      </c>
      <c r="B17" s="124">
        <f>[6]Planilha1!$J$704</f>
        <v>11136.97</v>
      </c>
      <c r="C17" s="129" t="s">
        <v>2</v>
      </c>
      <c r="D17" s="128">
        <f>B17/DADOS_INICIAIS!E9</f>
        <v>0.63737875634976771</v>
      </c>
      <c r="E17" s="130" t="s">
        <v>190</v>
      </c>
      <c r="F17" s="126" t="s">
        <v>168</v>
      </c>
      <c r="G17" s="125">
        <f>+B17*25*1.1</f>
        <v>306266.67500000005</v>
      </c>
      <c r="H17" s="131"/>
    </row>
    <row r="18" spans="1:8" ht="27" customHeight="1" x14ac:dyDescent="0.25">
      <c r="A18" s="173" t="s">
        <v>192</v>
      </c>
      <c r="B18" s="171">
        <f>B19</f>
        <v>26321.806</v>
      </c>
      <c r="C18" s="170" t="s">
        <v>2</v>
      </c>
      <c r="D18" s="169">
        <v>1.7</v>
      </c>
      <c r="E18" s="127" t="s">
        <v>190</v>
      </c>
      <c r="F18" s="168" t="s">
        <v>168</v>
      </c>
      <c r="G18" s="125">
        <f>+B18*2.5*1.1</f>
        <v>72384.96650000001</v>
      </c>
      <c r="H18" s="123"/>
    </row>
    <row r="19" spans="1:8" ht="27" customHeight="1" x14ac:dyDescent="0.25">
      <c r="A19" s="172" t="s">
        <v>191</v>
      </c>
      <c r="B19" s="171">
        <f>DADOS_INICIAIS!E9*'Rev. Internos Piso e Parede'!D19-B20</f>
        <v>26321.806</v>
      </c>
      <c r="C19" s="170" t="s">
        <v>2</v>
      </c>
      <c r="D19" s="169">
        <v>1.7</v>
      </c>
      <c r="E19" s="127" t="s">
        <v>190</v>
      </c>
      <c r="F19" s="168" t="s">
        <v>168</v>
      </c>
      <c r="G19" s="125">
        <f>17*B19*1.1</f>
        <v>492217.77220000001</v>
      </c>
      <c r="H19" s="123"/>
    </row>
    <row r="20" spans="1:8" ht="27" customHeight="1" x14ac:dyDescent="0.25">
      <c r="A20" s="172" t="s">
        <v>197</v>
      </c>
      <c r="B20" s="171">
        <f>[7]Planilha1!$J$742+[7]Planilha1!$J$745+[7]Planilha1!$J$746+[7]Planilha1!$J$747</f>
        <v>3382.4300000000003</v>
      </c>
      <c r="C20" s="170" t="s">
        <v>2</v>
      </c>
      <c r="D20" s="169"/>
      <c r="E20" s="127" t="s">
        <v>190</v>
      </c>
      <c r="F20" s="168" t="s">
        <v>168</v>
      </c>
      <c r="G20" s="125">
        <f>5*B20*1.1</f>
        <v>18603.365000000002</v>
      </c>
      <c r="H20" s="123"/>
    </row>
    <row r="21" spans="1:8" ht="15.95" customHeight="1" x14ac:dyDescent="0.25">
      <c r="A21" s="266" t="s">
        <v>17</v>
      </c>
      <c r="B21" s="267"/>
      <c r="C21" s="267"/>
      <c r="D21" s="267"/>
      <c r="E21" s="267"/>
      <c r="F21" s="267"/>
      <c r="G21" s="122">
        <f>SUM(G15:G20)</f>
        <v>1465146.6467000002</v>
      </c>
      <c r="H21" s="121"/>
    </row>
    <row r="22" spans="1:8" ht="15.95" customHeight="1" x14ac:dyDescent="0.25">
      <c r="A22" s="264"/>
      <c r="B22" s="265"/>
      <c r="C22" s="265"/>
      <c r="D22" s="265"/>
      <c r="E22" s="265"/>
      <c r="F22" s="265"/>
      <c r="G22" s="167"/>
      <c r="H22" s="118"/>
    </row>
    <row r="24" spans="1:8" x14ac:dyDescent="0.25">
      <c r="A24" s="263" t="s">
        <v>189</v>
      </c>
      <c r="B24" s="263"/>
      <c r="C24" s="263"/>
      <c r="D24" s="263"/>
      <c r="E24" s="263"/>
      <c r="F24" s="263"/>
      <c r="G24" s="117">
        <f>G21</f>
        <v>1465146.6467000002</v>
      </c>
      <c r="H24" s="116">
        <f>G24/DADOS_INICIAIS!E9</f>
        <v>83.85165332614514</v>
      </c>
    </row>
    <row r="26" spans="1:8" x14ac:dyDescent="0.25">
      <c r="H26" s="115">
        <f>H24/1.1</f>
        <v>76.228775751041027</v>
      </c>
    </row>
  </sheetData>
  <mergeCells count="6">
    <mergeCell ref="A2:A4"/>
    <mergeCell ref="A24:F24"/>
    <mergeCell ref="A22:F22"/>
    <mergeCell ref="A21:F21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sheetPr>
    <tabColor rgb="FF92D050"/>
  </sheetPr>
  <dimension ref="A1:L19"/>
  <sheetViews>
    <sheetView showGridLines="0" topLeftCell="A4" zoomScale="80" zoomScaleNormal="80" zoomScaleSheetLayoutView="95" workbookViewId="0">
      <selection activeCell="G10" sqref="G10:G13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49" t="s">
        <v>318</v>
      </c>
      <c r="B3" s="257"/>
      <c r="C3" s="257"/>
      <c r="D3" s="250"/>
      <c r="E3" s="250"/>
      <c r="F3" s="250"/>
      <c r="G3" s="250"/>
      <c r="H3" s="251"/>
      <c r="J3" s="79"/>
    </row>
    <row r="4" spans="1:12" ht="19.5" x14ac:dyDescent="0.25">
      <c r="A4" s="189" t="s">
        <v>184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2" ht="19.5" x14ac:dyDescent="0.25">
      <c r="A5" s="189" t="s">
        <v>290</v>
      </c>
      <c r="B5" s="196" t="s">
        <v>212</v>
      </c>
      <c r="C5" s="191"/>
      <c r="D5" s="191"/>
      <c r="E5" s="191"/>
      <c r="F5" s="191"/>
      <c r="G5" s="191"/>
      <c r="H5" s="192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182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253" t="s">
        <v>5</v>
      </c>
      <c r="C9" s="254"/>
      <c r="D9" s="253" t="s">
        <v>18</v>
      </c>
      <c r="E9" s="254"/>
      <c r="F9" s="65" t="s">
        <v>118</v>
      </c>
      <c r="G9" s="71" t="s">
        <v>16</v>
      </c>
      <c r="H9" s="90" t="s">
        <v>292</v>
      </c>
    </row>
    <row r="10" spans="1:12" ht="21.75" x14ac:dyDescent="0.25">
      <c r="A10" s="66" t="s">
        <v>395</v>
      </c>
      <c r="B10" s="62">
        <v>0.4</v>
      </c>
      <c r="C10" s="62" t="s">
        <v>37</v>
      </c>
      <c r="D10" s="67">
        <f>B10*DADOS_INICIAIS!E9</f>
        <v>6989.2320000000009</v>
      </c>
      <c r="E10" s="67" t="s">
        <v>2</v>
      </c>
      <c r="F10" s="88">
        <v>120</v>
      </c>
      <c r="G10" s="89">
        <f>F10*D10*1.1</f>
        <v>922578.62400000019</v>
      </c>
      <c r="H10" s="67"/>
    </row>
    <row r="11" spans="1:12" ht="21.75" x14ac:dyDescent="0.25">
      <c r="A11" s="78" t="s">
        <v>198</v>
      </c>
      <c r="B11" s="62">
        <v>1.2</v>
      </c>
      <c r="C11" s="62" t="s">
        <v>316</v>
      </c>
      <c r="D11" s="67">
        <f>D10*B11</f>
        <v>8387.0784000000003</v>
      </c>
      <c r="E11" s="67" t="s">
        <v>2</v>
      </c>
      <c r="F11" s="88">
        <v>22</v>
      </c>
      <c r="G11" s="89">
        <f>F11*D11*1.1</f>
        <v>202967.29728</v>
      </c>
      <c r="H11" s="67"/>
    </row>
    <row r="12" spans="1:12" ht="21.75" x14ac:dyDescent="0.25">
      <c r="A12" s="78" t="s">
        <v>197</v>
      </c>
      <c r="B12" s="62">
        <v>0.1</v>
      </c>
      <c r="C12" s="62" t="s">
        <v>37</v>
      </c>
      <c r="D12" s="67">
        <f>DADOS_INICIAIS!E9*B12</f>
        <v>1747.3080000000002</v>
      </c>
      <c r="E12" s="67" t="s">
        <v>2</v>
      </c>
      <c r="F12" s="88">
        <v>5</v>
      </c>
      <c r="G12" s="89">
        <f>F12*D12*1.1</f>
        <v>9610.1940000000013</v>
      </c>
      <c r="H12" s="67"/>
    </row>
    <row r="13" spans="1:12" ht="21.75" x14ac:dyDescent="0.25">
      <c r="A13" s="66" t="s">
        <v>196</v>
      </c>
      <c r="B13" s="62">
        <v>0.3</v>
      </c>
      <c r="C13" s="62" t="s">
        <v>37</v>
      </c>
      <c r="D13" s="67">
        <f>B13*DADOS_INICIAIS!E9</f>
        <v>5241.924</v>
      </c>
      <c r="E13" s="67" t="s">
        <v>2</v>
      </c>
      <c r="F13" s="88">
        <v>17.5</v>
      </c>
      <c r="G13" s="89">
        <f>F13*D13*1.05*1.1</f>
        <v>105952.38885</v>
      </c>
      <c r="H13" s="67"/>
    </row>
    <row r="14" spans="1:12" ht="21.75" x14ac:dyDescent="0.25">
      <c r="A14" s="248" t="s">
        <v>17</v>
      </c>
      <c r="B14" s="248"/>
      <c r="C14" s="248"/>
      <c r="D14" s="248"/>
      <c r="E14" s="248"/>
      <c r="F14" s="248"/>
      <c r="G14" s="90">
        <f>SUM(G10:G13)</f>
        <v>1241108.50413</v>
      </c>
      <c r="H14" s="90"/>
      <c r="K14" s="55">
        <f>4160+1440+1120+2880+4800+91680+4000</f>
        <v>110080</v>
      </c>
      <c r="L14" s="55">
        <f>K14/21</f>
        <v>5241.9047619047615</v>
      </c>
    </row>
    <row r="16" spans="1:12" ht="21.75" x14ac:dyDescent="0.25">
      <c r="A16" s="258" t="s">
        <v>218</v>
      </c>
      <c r="B16" s="259"/>
      <c r="C16" s="259"/>
      <c r="D16" s="259"/>
      <c r="E16" s="259"/>
      <c r="F16" s="260"/>
      <c r="G16" s="91">
        <f>G14</f>
        <v>1241108.50413</v>
      </c>
      <c r="H16" s="91">
        <f>G16/DADOS_INICIAIS!E9</f>
        <v>71.029749999999993</v>
      </c>
    </row>
    <row r="19" spans="8:8" x14ac:dyDescent="0.25">
      <c r="H19" s="198">
        <f>H16/1.1</f>
        <v>64.572499999999991</v>
      </c>
    </row>
  </sheetData>
  <mergeCells count="5">
    <mergeCell ref="A3:H3"/>
    <mergeCell ref="B9:C9"/>
    <mergeCell ref="D9:E9"/>
    <mergeCell ref="A14:F14"/>
    <mergeCell ref="A16:F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sheetPr>
    <tabColor rgb="FF92D050"/>
  </sheetPr>
  <dimension ref="A1:K86"/>
  <sheetViews>
    <sheetView showGridLines="0" tabSelected="1" topLeftCell="A19" zoomScaleNormal="100" zoomScaleSheetLayoutView="95" workbookViewId="0">
      <selection activeCell="E23" sqref="E23"/>
    </sheetView>
  </sheetViews>
  <sheetFormatPr defaultColWidth="9.140625" defaultRowHeight="12.75" x14ac:dyDescent="0.25"/>
  <cols>
    <col min="1" max="1" width="47.42578125" style="1" customWidth="1"/>
    <col min="2" max="2" width="14" style="114" customWidth="1"/>
    <col min="3" max="3" width="11.42578125" style="113" customWidth="1"/>
    <col min="4" max="4" width="10.7109375" style="112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1" style="1" bestFit="1" customWidth="1"/>
    <col min="11" max="11" width="13.85546875" style="1" bestFit="1" customWidth="1"/>
    <col min="12" max="16384" width="9.140625" style="1"/>
  </cols>
  <sheetData>
    <row r="1" spans="1:11" x14ac:dyDescent="0.25">
      <c r="B1" s="2"/>
      <c r="C1" s="1"/>
      <c r="D1" s="1"/>
      <c r="G1" s="161"/>
      <c r="H1" s="161"/>
      <c r="I1" s="2"/>
    </row>
    <row r="2" spans="1:11" ht="12.75" customHeight="1" x14ac:dyDescent="0.25">
      <c r="A2" s="261" t="s">
        <v>188</v>
      </c>
      <c r="B2" s="2"/>
      <c r="C2" s="1"/>
      <c r="D2" s="1"/>
      <c r="G2" s="166"/>
      <c r="H2" s="166"/>
      <c r="I2" s="2"/>
    </row>
    <row r="3" spans="1:11" ht="12.75" customHeight="1" x14ac:dyDescent="0.25">
      <c r="A3" s="262"/>
      <c r="B3" s="2"/>
      <c r="C3" s="1"/>
      <c r="D3" s="1"/>
      <c r="G3" s="166"/>
      <c r="H3" s="166"/>
      <c r="I3" s="2"/>
    </row>
    <row r="4" spans="1:11" ht="12.75" customHeight="1" x14ac:dyDescent="0.25">
      <c r="A4" s="262"/>
      <c r="B4" s="2"/>
      <c r="C4" s="1"/>
      <c r="D4" s="1"/>
      <c r="G4" s="166"/>
      <c r="H4" s="166"/>
      <c r="I4" s="2"/>
    </row>
    <row r="5" spans="1:11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1" x14ac:dyDescent="0.25">
      <c r="A6" s="162"/>
      <c r="B6" s="2"/>
      <c r="C6" s="1"/>
      <c r="D6" s="1"/>
      <c r="G6" s="161"/>
      <c r="H6" s="161"/>
      <c r="I6" s="2"/>
    </row>
    <row r="7" spans="1:11" x14ac:dyDescent="0.25">
      <c r="A7" s="160" t="s">
        <v>187</v>
      </c>
      <c r="B7" s="159" t="s">
        <v>186</v>
      </c>
      <c r="C7" s="158"/>
      <c r="D7" s="158"/>
      <c r="E7" s="158"/>
      <c r="F7" s="158"/>
      <c r="G7" s="158"/>
      <c r="H7" s="157"/>
      <c r="I7" s="2"/>
    </row>
    <row r="8" spans="1:11" x14ac:dyDescent="0.25">
      <c r="A8" s="156" t="s">
        <v>0</v>
      </c>
      <c r="B8" s="155" t="s">
        <v>185</v>
      </c>
      <c r="C8" s="154"/>
      <c r="D8" s="154"/>
      <c r="E8" s="154"/>
      <c r="F8" s="154"/>
      <c r="G8" s="154"/>
      <c r="H8" s="153"/>
      <c r="I8" s="2"/>
    </row>
    <row r="9" spans="1:11" ht="15" customHeight="1" x14ac:dyDescent="0.25">
      <c r="A9" s="152" t="s">
        <v>184</v>
      </c>
      <c r="B9" s="151">
        <v>45397</v>
      </c>
      <c r="C9" s="150"/>
      <c r="D9" s="150"/>
      <c r="E9" s="150"/>
      <c r="F9" s="150"/>
      <c r="G9" s="150"/>
      <c r="H9" s="149"/>
    </row>
    <row r="10" spans="1:11" x14ac:dyDescent="0.25">
      <c r="A10" s="148" t="s">
        <v>1</v>
      </c>
      <c r="B10" s="147" t="s">
        <v>183</v>
      </c>
      <c r="C10" s="146"/>
      <c r="D10" s="146"/>
      <c r="E10" s="146"/>
      <c r="F10" s="146"/>
      <c r="G10" s="146"/>
      <c r="H10" s="145"/>
    </row>
    <row r="12" spans="1:11" x14ac:dyDescent="0.25">
      <c r="A12" s="144" t="s">
        <v>210</v>
      </c>
      <c r="B12" s="143"/>
      <c r="C12" s="142"/>
      <c r="D12" s="141"/>
      <c r="E12" s="140"/>
      <c r="F12" s="140"/>
      <c r="G12" s="140"/>
      <c r="H12" s="139"/>
    </row>
    <row r="13" spans="1:11" ht="15.95" customHeight="1" x14ac:dyDescent="0.25">
      <c r="A13" s="138"/>
      <c r="B13" s="137"/>
      <c r="C13" s="136"/>
      <c r="D13" s="135"/>
      <c r="E13" s="135"/>
      <c r="F13" s="135"/>
      <c r="H13" s="131"/>
    </row>
    <row r="14" spans="1:11" ht="15.95" customHeight="1" x14ac:dyDescent="0.25">
      <c r="A14" s="134" t="s">
        <v>14</v>
      </c>
      <c r="B14" s="268" t="s">
        <v>18</v>
      </c>
      <c r="C14" s="269"/>
      <c r="D14" s="270" t="s">
        <v>5</v>
      </c>
      <c r="E14" s="271"/>
      <c r="F14" s="133" t="s">
        <v>181</v>
      </c>
      <c r="G14" s="132" t="s">
        <v>16</v>
      </c>
      <c r="H14" s="131"/>
      <c r="I14" s="236">
        <f>B15+B16+B17+B18+B21+B22+B23+B24</f>
        <v>11840.770000000002</v>
      </c>
    </row>
    <row r="15" spans="1:11" ht="15.95" customHeight="1" x14ac:dyDescent="0.25">
      <c r="A15" s="172" t="s">
        <v>209</v>
      </c>
      <c r="B15" s="180">
        <f>B36-330.2*0.6-B22</f>
        <v>2195.33</v>
      </c>
      <c r="C15" s="170" t="s">
        <v>207</v>
      </c>
      <c r="D15" s="178">
        <v>80</v>
      </c>
      <c r="E15" s="127" t="s">
        <v>169</v>
      </c>
      <c r="F15" s="168" t="s">
        <v>168</v>
      </c>
      <c r="G15" s="125">
        <f>+D15*B15*1.1</f>
        <v>193189.04</v>
      </c>
      <c r="H15" s="131"/>
      <c r="K15" s="115"/>
    </row>
    <row r="16" spans="1:11" ht="15.95" customHeight="1" x14ac:dyDescent="0.25">
      <c r="A16" s="172" t="s">
        <v>328</v>
      </c>
      <c r="B16" s="180">
        <f>B37</f>
        <v>8758.8700000000008</v>
      </c>
      <c r="C16" s="170" t="s">
        <v>207</v>
      </c>
      <c r="D16" s="178">
        <v>65</v>
      </c>
      <c r="E16" s="127" t="s">
        <v>169</v>
      </c>
      <c r="F16" s="168" t="s">
        <v>168</v>
      </c>
      <c r="G16" s="125">
        <f t="shared" ref="G16:G24" si="0">+D16*B16*1.1</f>
        <v>626259.20500000007</v>
      </c>
      <c r="H16" s="131"/>
      <c r="K16" s="115"/>
    </row>
    <row r="17" spans="1:11" ht="15.95" customHeight="1" x14ac:dyDescent="0.25">
      <c r="A17" s="172" t="s">
        <v>445</v>
      </c>
      <c r="B17" s="180">
        <f>B40</f>
        <v>89.92</v>
      </c>
      <c r="C17" s="170" t="s">
        <v>207</v>
      </c>
      <c r="D17" s="178">
        <v>180</v>
      </c>
      <c r="E17" s="127" t="s">
        <v>169</v>
      </c>
      <c r="F17" s="168" t="s">
        <v>168</v>
      </c>
      <c r="G17" s="125">
        <f>+D17*B17*1.1</f>
        <v>17804.160000000003</v>
      </c>
      <c r="H17" s="131"/>
      <c r="K17" s="115"/>
    </row>
    <row r="18" spans="1:11" ht="15.95" customHeight="1" x14ac:dyDescent="0.25">
      <c r="A18" s="172" t="s">
        <v>443</v>
      </c>
      <c r="B18" s="180">
        <v>49.1</v>
      </c>
      <c r="C18" s="170" t="s">
        <v>207</v>
      </c>
      <c r="D18" s="178">
        <v>130</v>
      </c>
      <c r="E18" s="127" t="s">
        <v>169</v>
      </c>
      <c r="F18" s="168" t="s">
        <v>168</v>
      </c>
      <c r="G18" s="125">
        <f>+D18*B18*1.1</f>
        <v>7021.3</v>
      </c>
      <c r="H18" s="131"/>
      <c r="K18" s="115"/>
    </row>
    <row r="19" spans="1:11" ht="15.95" customHeight="1" x14ac:dyDescent="0.25">
      <c r="A19" s="172" t="s">
        <v>399</v>
      </c>
      <c r="B19" s="180">
        <f>B42</f>
        <v>20.170000000000002</v>
      </c>
      <c r="C19" s="170" t="s">
        <v>207</v>
      </c>
      <c r="D19" s="178">
        <f>0.1*(20*43.9)</f>
        <v>87.800000000000011</v>
      </c>
      <c r="E19" s="127" t="s">
        <v>169</v>
      </c>
      <c r="F19" s="168" t="s">
        <v>168</v>
      </c>
      <c r="G19" s="125">
        <f t="shared" ref="G19" si="1">+D19*B19*1.1</f>
        <v>1948.0186000000006</v>
      </c>
      <c r="H19" s="131"/>
      <c r="K19" s="115"/>
    </row>
    <row r="20" spans="1:11" ht="15.95" customHeight="1" x14ac:dyDescent="0.25">
      <c r="A20" s="182" t="s">
        <v>406</v>
      </c>
      <c r="B20" s="180">
        <f>3.8*3</f>
        <v>11.399999999999999</v>
      </c>
      <c r="C20" s="170" t="s">
        <v>207</v>
      </c>
      <c r="D20" s="178">
        <v>550</v>
      </c>
      <c r="E20" s="127" t="s">
        <v>169</v>
      </c>
      <c r="F20" s="168" t="s">
        <v>168</v>
      </c>
      <c r="G20" s="125">
        <f>+D20*B20*1.1</f>
        <v>6897</v>
      </c>
      <c r="H20" s="131"/>
    </row>
    <row r="21" spans="1:11" ht="15.95" customHeight="1" x14ac:dyDescent="0.25">
      <c r="A21" s="182" t="s">
        <v>208</v>
      </c>
      <c r="B21" s="180">
        <f>B43+B50+20</f>
        <v>155.29000000000002</v>
      </c>
      <c r="C21" s="170" t="s">
        <v>207</v>
      </c>
      <c r="D21" s="178">
        <v>80</v>
      </c>
      <c r="E21" s="127" t="s">
        <v>169</v>
      </c>
      <c r="F21" s="168" t="s">
        <v>168</v>
      </c>
      <c r="G21" s="125">
        <f t="shared" si="0"/>
        <v>13665.520000000002</v>
      </c>
      <c r="H21" s="131"/>
    </row>
    <row r="22" spans="1:11" ht="15.95" customHeight="1" x14ac:dyDescent="0.25">
      <c r="A22" s="172" t="s">
        <v>444</v>
      </c>
      <c r="B22" s="180">
        <v>154.69999999999999</v>
      </c>
      <c r="C22" s="170" t="s">
        <v>207</v>
      </c>
      <c r="D22" s="178">
        <v>450</v>
      </c>
      <c r="E22" s="127" t="s">
        <v>169</v>
      </c>
      <c r="F22" s="168" t="s">
        <v>168</v>
      </c>
      <c r="G22" s="125">
        <f>+D22*B22*1.1</f>
        <v>76576.5</v>
      </c>
      <c r="H22" s="131"/>
    </row>
    <row r="23" spans="1:11" ht="15.95" customHeight="1" x14ac:dyDescent="0.25">
      <c r="A23" s="172" t="s">
        <v>442</v>
      </c>
      <c r="B23" s="180">
        <v>182.97</v>
      </c>
      <c r="C23" s="170" t="s">
        <v>207</v>
      </c>
      <c r="D23" s="178">
        <v>80</v>
      </c>
      <c r="E23" s="127" t="s">
        <v>169</v>
      </c>
      <c r="F23" s="168" t="s">
        <v>168</v>
      </c>
      <c r="G23" s="125">
        <f>+D23*B23*1.1</f>
        <v>16101.360000000002</v>
      </c>
      <c r="H23" s="131"/>
    </row>
    <row r="24" spans="1:11" ht="15.95" customHeight="1" x14ac:dyDescent="0.25">
      <c r="A24" s="172" t="s">
        <v>329</v>
      </c>
      <c r="B24" s="180">
        <f>B44</f>
        <v>254.59</v>
      </c>
      <c r="C24" s="170" t="s">
        <v>207</v>
      </c>
      <c r="D24" s="178">
        <v>68</v>
      </c>
      <c r="E24" s="127" t="s">
        <v>169</v>
      </c>
      <c r="F24" s="168" t="s">
        <v>168</v>
      </c>
      <c r="G24" s="125">
        <f t="shared" si="0"/>
        <v>19043.332000000002</v>
      </c>
      <c r="H24" s="131"/>
    </row>
    <row r="25" spans="1:11" ht="15.95" customHeight="1" x14ac:dyDescent="0.25">
      <c r="A25" s="182" t="s">
        <v>206</v>
      </c>
      <c r="B25" s="180">
        <v>1</v>
      </c>
      <c r="C25" s="170" t="s">
        <v>27</v>
      </c>
      <c r="D25" s="178">
        <v>15</v>
      </c>
      <c r="E25" s="127" t="s">
        <v>6</v>
      </c>
      <c r="F25" s="168" t="s">
        <v>168</v>
      </c>
      <c r="G25" s="125">
        <f>D25*DADOS_INICIAIS!$E$9*1.1</f>
        <v>288305.82000000007</v>
      </c>
      <c r="H25" s="131"/>
    </row>
    <row r="26" spans="1:11" ht="15.95" customHeight="1" x14ac:dyDescent="0.25">
      <c r="A26" s="181" t="s">
        <v>410</v>
      </c>
      <c r="B26" s="180">
        <f>(497.91)*0.15</f>
        <v>74.686499999999995</v>
      </c>
      <c r="C26" s="170" t="s">
        <v>207</v>
      </c>
      <c r="D26" s="178">
        <v>350</v>
      </c>
      <c r="E26" s="127" t="s">
        <v>169</v>
      </c>
      <c r="F26" s="168" t="s">
        <v>168</v>
      </c>
      <c r="G26" s="125">
        <f>D26*B26*1.1</f>
        <v>28754.302500000002</v>
      </c>
      <c r="H26" s="131"/>
    </row>
    <row r="27" spans="1:11" ht="15.95" customHeight="1" x14ac:dyDescent="0.25">
      <c r="A27" s="181" t="s">
        <v>409</v>
      </c>
      <c r="B27" s="180">
        <f>(106.46+154.47)*0.2</f>
        <v>52.186000000000007</v>
      </c>
      <c r="C27" s="170" t="s">
        <v>207</v>
      </c>
      <c r="D27" s="178">
        <v>350</v>
      </c>
      <c r="E27" s="127" t="s">
        <v>169</v>
      </c>
      <c r="F27" s="168" t="s">
        <v>168</v>
      </c>
      <c r="G27" s="125">
        <f>D27*B27*1.1</f>
        <v>20091.610000000004</v>
      </c>
      <c r="H27" s="131"/>
    </row>
    <row r="28" spans="1:11" ht="15.95" customHeight="1" x14ac:dyDescent="0.25">
      <c r="A28" s="179" t="s">
        <v>404</v>
      </c>
      <c r="B28" s="171">
        <f>B48</f>
        <v>7.35</v>
      </c>
      <c r="C28" s="170" t="s">
        <v>207</v>
      </c>
      <c r="D28" s="178">
        <v>550</v>
      </c>
      <c r="E28" s="127" t="s">
        <v>169</v>
      </c>
      <c r="F28" s="168" t="s">
        <v>168</v>
      </c>
      <c r="G28" s="125"/>
      <c r="H28" s="123"/>
    </row>
    <row r="29" spans="1:11" ht="15.95" customHeight="1" x14ac:dyDescent="0.25">
      <c r="A29" s="179" t="s">
        <v>405</v>
      </c>
      <c r="B29" s="171">
        <f>B49</f>
        <v>5085.54</v>
      </c>
      <c r="C29" s="170" t="s">
        <v>207</v>
      </c>
      <c r="D29" s="178">
        <v>60</v>
      </c>
      <c r="E29" s="127" t="s">
        <v>169</v>
      </c>
      <c r="F29" s="168" t="s">
        <v>168</v>
      </c>
      <c r="G29" s="125">
        <f>D29*B29*1.1</f>
        <v>335645.64000000007</v>
      </c>
      <c r="H29" s="123"/>
    </row>
    <row r="30" spans="1:11" ht="15.95" customHeight="1" x14ac:dyDescent="0.25">
      <c r="A30" s="274"/>
      <c r="B30" s="263"/>
      <c r="C30" s="263"/>
      <c r="D30" s="263"/>
      <c r="E30" s="263"/>
      <c r="F30" s="263"/>
      <c r="G30" s="177">
        <f>SUM(G15:G29)</f>
        <v>1651302.8081000005</v>
      </c>
      <c r="H30" s="121"/>
    </row>
    <row r="31" spans="1:11" ht="15.95" customHeight="1" x14ac:dyDescent="0.25">
      <c r="A31" s="272"/>
      <c r="B31" s="273"/>
      <c r="C31" s="273"/>
      <c r="D31" s="273"/>
      <c r="E31" s="273"/>
      <c r="F31" s="273"/>
      <c r="G31" s="167"/>
      <c r="H31" s="118"/>
    </row>
    <row r="32" spans="1:11" ht="15.95" customHeight="1" x14ac:dyDescent="0.25">
      <c r="A32" s="120"/>
      <c r="B32" s="119"/>
      <c r="C32" s="119"/>
      <c r="D32" s="119"/>
      <c r="E32" s="119"/>
      <c r="F32" s="119"/>
      <c r="G32" s="167"/>
      <c r="H32" s="118"/>
    </row>
    <row r="33" spans="1:11" x14ac:dyDescent="0.25">
      <c r="A33" s="263" t="s">
        <v>205</v>
      </c>
      <c r="B33" s="263"/>
      <c r="C33" s="263"/>
      <c r="D33" s="263"/>
      <c r="E33" s="263"/>
      <c r="F33" s="263"/>
      <c r="G33" s="117">
        <f>G30</f>
        <v>1651302.8081000005</v>
      </c>
      <c r="H33" s="116">
        <f>G33/DADOS_INICIAIS!E9</f>
        <v>94.505536980314886</v>
      </c>
    </row>
    <row r="35" spans="1:11" ht="15" x14ac:dyDescent="0.25">
      <c r="A35" s="1" t="s">
        <v>402</v>
      </c>
      <c r="B35"/>
      <c r="C35"/>
      <c r="D35"/>
      <c r="E35"/>
      <c r="F35"/>
      <c r="G35"/>
      <c r="H35" s="176">
        <f>H33/1.1</f>
        <v>85.914124527558982</v>
      </c>
    </row>
    <row r="36" spans="1:11" ht="15" x14ac:dyDescent="0.25">
      <c r="A36" s="200" t="s">
        <v>204</v>
      </c>
      <c r="B36" s="115">
        <f>[6]Planilha1!$J$762+[6]Planilha1!$J$774+[6]Planilha1!$J$775+[6]Planilha1!$J$781+[6]Planilha1!$J$782</f>
        <v>2548.1499999999996</v>
      </c>
      <c r="D36"/>
      <c r="E36"/>
      <c r="F36"/>
      <c r="G36"/>
      <c r="H36" s="113"/>
    </row>
    <row r="37" spans="1:11" ht="15" x14ac:dyDescent="0.25">
      <c r="A37" s="184" t="s">
        <v>203</v>
      </c>
      <c r="B37" s="115">
        <f>[6]Planilha1!$J$764+[6]Planilha1!$J$765+[6]Planilha1!$J$780</f>
        <v>8758.8700000000008</v>
      </c>
      <c r="D37"/>
      <c r="E37"/>
      <c r="F37"/>
      <c r="G37"/>
      <c r="H37"/>
    </row>
    <row r="38" spans="1:11" ht="15" x14ac:dyDescent="0.25">
      <c r="A38" s="183" t="s">
        <v>398</v>
      </c>
      <c r="B38" s="213">
        <f>[6]Planilha1!$J$766</f>
        <v>83</v>
      </c>
      <c r="D38"/>
      <c r="E38"/>
      <c r="F38"/>
      <c r="G38"/>
      <c r="H38" s="176"/>
      <c r="K38" s="115"/>
    </row>
    <row r="39" spans="1:11" ht="15" x14ac:dyDescent="0.25">
      <c r="A39" s="1" t="s">
        <v>400</v>
      </c>
      <c r="B39" s="214">
        <f>[6]Planilha1!$J$759+[6]Planilha1!$J$760</f>
        <v>4841.26</v>
      </c>
      <c r="D39"/>
      <c r="E39"/>
      <c r="F39"/>
      <c r="G39"/>
      <c r="H39" s="176"/>
    </row>
    <row r="40" spans="1:11" ht="15" x14ac:dyDescent="0.25">
      <c r="A40" s="1" t="s">
        <v>201</v>
      </c>
      <c r="B40" s="213">
        <f>[6]Planilha1!$J$778</f>
        <v>89.92</v>
      </c>
      <c r="D40"/>
      <c r="E40"/>
      <c r="F40"/>
      <c r="G40"/>
      <c r="H40" s="176"/>
    </row>
    <row r="41" spans="1:11" ht="15" x14ac:dyDescent="0.25">
      <c r="A41" s="1" t="s">
        <v>202</v>
      </c>
      <c r="B41" s="1"/>
      <c r="D41"/>
      <c r="E41"/>
      <c r="F41"/>
      <c r="G41"/>
      <c r="H41"/>
    </row>
    <row r="42" spans="1:11" ht="15" x14ac:dyDescent="0.25">
      <c r="A42" s="1" t="s">
        <v>396</v>
      </c>
      <c r="B42" s="213">
        <f>[6]Planilha1!$J$768</f>
        <v>20.170000000000002</v>
      </c>
      <c r="C42"/>
      <c r="D42"/>
      <c r="E42"/>
      <c r="F42"/>
      <c r="G42"/>
      <c r="H42"/>
    </row>
    <row r="43" spans="1:11" ht="15" x14ac:dyDescent="0.25">
      <c r="A43" s="1" t="s">
        <v>327</v>
      </c>
      <c r="B43" s="213">
        <f>[6]Planilha1!$J$773</f>
        <v>54.03</v>
      </c>
      <c r="C43"/>
      <c r="D43"/>
      <c r="E43"/>
      <c r="F43"/>
      <c r="G43"/>
      <c r="H43"/>
    </row>
    <row r="44" spans="1:11" ht="15" x14ac:dyDescent="0.25">
      <c r="A44" s="1" t="s">
        <v>397</v>
      </c>
      <c r="B44" s="114">
        <f>[6]Planilha1!$J$761</f>
        <v>254.59</v>
      </c>
      <c r="C44"/>
      <c r="D44"/>
      <c r="E44"/>
      <c r="F44"/>
      <c r="G44"/>
      <c r="H44"/>
    </row>
    <row r="45" spans="1:11" ht="15" x14ac:dyDescent="0.25">
      <c r="B45"/>
      <c r="C45"/>
      <c r="D45"/>
      <c r="E45"/>
      <c r="F45"/>
      <c r="G45"/>
      <c r="H45"/>
    </row>
    <row r="46" spans="1:11" ht="15" x14ac:dyDescent="0.25">
      <c r="B46" s="114">
        <f>B36+B37+B40+B43+B44</f>
        <v>11705.560000000001</v>
      </c>
      <c r="C46" s="176"/>
      <c r="D46"/>
      <c r="E46"/>
      <c r="F46"/>
      <c r="G46"/>
      <c r="H46"/>
    </row>
    <row r="47" spans="1:11" ht="15" x14ac:dyDescent="0.25">
      <c r="A47" s="1" t="s">
        <v>403</v>
      </c>
      <c r="C47"/>
      <c r="D47"/>
      <c r="E47"/>
      <c r="F47"/>
      <c r="G47"/>
      <c r="H47"/>
    </row>
    <row r="48" spans="1:11" ht="15" x14ac:dyDescent="0.25">
      <c r="A48" s="1" t="s">
        <v>401</v>
      </c>
      <c r="B48" s="114">
        <f>[7]Planilha1!$J$750</f>
        <v>7.35</v>
      </c>
      <c r="C48"/>
      <c r="D48"/>
      <c r="E48"/>
      <c r="F48"/>
      <c r="G48"/>
      <c r="H48"/>
    </row>
    <row r="49" spans="1:8" ht="15" x14ac:dyDescent="0.25">
      <c r="A49" s="1" t="s">
        <v>203</v>
      </c>
      <c r="B49" s="114">
        <f>[7]Planilha1!$J$739</f>
        <v>5085.54</v>
      </c>
      <c r="C49"/>
      <c r="D49"/>
      <c r="E49"/>
      <c r="F49"/>
      <c r="G49"/>
      <c r="H49"/>
    </row>
    <row r="50" spans="1:8" ht="15" x14ac:dyDescent="0.25">
      <c r="A50" s="1" t="s">
        <v>327</v>
      </c>
      <c r="B50" s="114">
        <f>[7]Planilha1!$J$749</f>
        <v>81.260000000000005</v>
      </c>
      <c r="C50"/>
      <c r="D50"/>
      <c r="E50"/>
      <c r="F50"/>
      <c r="G50"/>
      <c r="H50"/>
    </row>
    <row r="51" spans="1:8" ht="15" x14ac:dyDescent="0.25">
      <c r="C51"/>
      <c r="D51"/>
      <c r="E51"/>
      <c r="F51"/>
      <c r="G51"/>
      <c r="H51"/>
    </row>
    <row r="52" spans="1:8" ht="15" x14ac:dyDescent="0.25">
      <c r="C52"/>
      <c r="D52"/>
      <c r="E52"/>
      <c r="F52"/>
      <c r="G52"/>
      <c r="H52"/>
    </row>
    <row r="53" spans="1:8" ht="15" x14ac:dyDescent="0.25">
      <c r="C53"/>
      <c r="D53"/>
      <c r="E53"/>
      <c r="F53"/>
      <c r="G53"/>
      <c r="H53"/>
    </row>
    <row r="54" spans="1:8" ht="15" x14ac:dyDescent="0.25">
      <c r="C54"/>
      <c r="D54"/>
      <c r="E54"/>
      <c r="F54"/>
      <c r="G54"/>
      <c r="H54"/>
    </row>
    <row r="55" spans="1:8" ht="15" x14ac:dyDescent="0.25">
      <c r="C55"/>
      <c r="D55"/>
      <c r="E55"/>
      <c r="F55"/>
      <c r="G55"/>
      <c r="H55"/>
    </row>
    <row r="56" spans="1:8" ht="15" x14ac:dyDescent="0.25">
      <c r="C56"/>
      <c r="D56"/>
      <c r="E56"/>
      <c r="F56"/>
      <c r="G56"/>
      <c r="H56"/>
    </row>
    <row r="57" spans="1:8" ht="15" x14ac:dyDescent="0.25">
      <c r="C57"/>
      <c r="D57"/>
      <c r="E57"/>
      <c r="F57"/>
      <c r="G57"/>
      <c r="H57"/>
    </row>
    <row r="58" spans="1:8" ht="15" x14ac:dyDescent="0.25">
      <c r="B58"/>
      <c r="C58"/>
      <c r="D58"/>
      <c r="E58"/>
      <c r="F58"/>
      <c r="G58"/>
      <c r="H58"/>
    </row>
    <row r="59" spans="1:8" ht="15" x14ac:dyDescent="0.25">
      <c r="C59"/>
      <c r="D59"/>
      <c r="E59"/>
      <c r="F59"/>
      <c r="G59"/>
      <c r="H59"/>
    </row>
    <row r="60" spans="1:8" ht="15" x14ac:dyDescent="0.25">
      <c r="C60"/>
      <c r="D60"/>
      <c r="E60"/>
      <c r="F60"/>
      <c r="G60"/>
      <c r="H60"/>
    </row>
    <row r="61" spans="1:8" ht="15" x14ac:dyDescent="0.25">
      <c r="C61"/>
      <c r="D61"/>
      <c r="E61"/>
      <c r="F61"/>
      <c r="G61"/>
      <c r="H61"/>
    </row>
    <row r="62" spans="1:8" ht="15" x14ac:dyDescent="0.25">
      <c r="C62"/>
      <c r="D62"/>
      <c r="E62"/>
      <c r="F62"/>
      <c r="G62"/>
      <c r="H62"/>
    </row>
    <row r="63" spans="1:8" ht="15" x14ac:dyDescent="0.25">
      <c r="C63"/>
      <c r="D63"/>
      <c r="E63"/>
      <c r="F63"/>
      <c r="G63"/>
      <c r="H63"/>
    </row>
    <row r="64" spans="1:8" ht="15" x14ac:dyDescent="0.25">
      <c r="B64"/>
      <c r="C64"/>
      <c r="D64"/>
      <c r="E64"/>
      <c r="F64"/>
      <c r="G64"/>
      <c r="H64"/>
    </row>
    <row r="65" spans="2:8" ht="15" x14ac:dyDescent="0.25">
      <c r="C65"/>
      <c r="D65"/>
      <c r="E65"/>
      <c r="F65"/>
      <c r="G65"/>
      <c r="H65"/>
    </row>
    <row r="66" spans="2:8" ht="15" x14ac:dyDescent="0.25">
      <c r="C66"/>
      <c r="D66"/>
      <c r="E66"/>
      <c r="F66"/>
      <c r="G66"/>
      <c r="H66"/>
    </row>
    <row r="67" spans="2:8" ht="15" x14ac:dyDescent="0.25">
      <c r="C67"/>
      <c r="D67"/>
      <c r="E67"/>
      <c r="F67"/>
      <c r="G67"/>
      <c r="H67"/>
    </row>
    <row r="68" spans="2:8" ht="15" x14ac:dyDescent="0.25">
      <c r="C68"/>
      <c r="D68"/>
      <c r="E68"/>
      <c r="F68"/>
      <c r="G68"/>
      <c r="H68"/>
    </row>
    <row r="69" spans="2:8" ht="15" x14ac:dyDescent="0.25">
      <c r="B69"/>
      <c r="C69"/>
      <c r="D69"/>
      <c r="E69"/>
      <c r="F69"/>
      <c r="G69"/>
      <c r="H69"/>
    </row>
    <row r="70" spans="2:8" ht="15" x14ac:dyDescent="0.25">
      <c r="C70"/>
      <c r="D70"/>
      <c r="E70"/>
      <c r="F70"/>
      <c r="G70"/>
      <c r="H70"/>
    </row>
    <row r="71" spans="2:8" ht="15" x14ac:dyDescent="0.25">
      <c r="B71"/>
      <c r="C71"/>
      <c r="D71"/>
      <c r="E71"/>
      <c r="F71"/>
      <c r="G71"/>
      <c r="H71"/>
    </row>
    <row r="72" spans="2:8" ht="15" x14ac:dyDescent="0.25">
      <c r="C72"/>
      <c r="D72"/>
      <c r="E72"/>
      <c r="F72"/>
      <c r="G72"/>
      <c r="H72"/>
    </row>
    <row r="73" spans="2:8" ht="15" x14ac:dyDescent="0.25">
      <c r="C73"/>
      <c r="D73"/>
      <c r="E73"/>
      <c r="F73"/>
      <c r="G73"/>
      <c r="H73"/>
    </row>
    <row r="74" spans="2:8" ht="15" x14ac:dyDescent="0.25">
      <c r="C74"/>
      <c r="D74"/>
      <c r="E74"/>
      <c r="F74"/>
      <c r="G74"/>
      <c r="H74"/>
    </row>
    <row r="75" spans="2:8" ht="15" x14ac:dyDescent="0.25">
      <c r="C75"/>
      <c r="D75"/>
      <c r="E75"/>
      <c r="F75"/>
      <c r="G75"/>
      <c r="H75"/>
    </row>
    <row r="76" spans="2:8" ht="15" x14ac:dyDescent="0.25">
      <c r="B76"/>
      <c r="C76"/>
      <c r="D76"/>
      <c r="E76"/>
      <c r="F76"/>
      <c r="G76"/>
      <c r="H76"/>
    </row>
    <row r="77" spans="2:8" ht="15" x14ac:dyDescent="0.25">
      <c r="C77"/>
      <c r="D77"/>
      <c r="E77"/>
      <c r="F77"/>
      <c r="G77"/>
      <c r="H77"/>
    </row>
    <row r="78" spans="2:8" ht="15" x14ac:dyDescent="0.25">
      <c r="C78"/>
      <c r="D78"/>
      <c r="E78"/>
      <c r="F78"/>
      <c r="G78"/>
      <c r="H78"/>
    </row>
    <row r="79" spans="2:8" ht="15" x14ac:dyDescent="0.25">
      <c r="C79"/>
      <c r="D79"/>
      <c r="E79"/>
      <c r="F79"/>
      <c r="G79"/>
      <c r="H79"/>
    </row>
    <row r="80" spans="2:8" ht="15" x14ac:dyDescent="0.25">
      <c r="C80"/>
      <c r="D80"/>
      <c r="E80"/>
      <c r="F80"/>
      <c r="G80"/>
      <c r="H80"/>
    </row>
    <row r="81" spans="2:8" ht="15" x14ac:dyDescent="0.25">
      <c r="B81"/>
      <c r="C81"/>
      <c r="D81"/>
      <c r="E81"/>
      <c r="F81"/>
      <c r="G81"/>
      <c r="H81"/>
    </row>
    <row r="82" spans="2:8" ht="15" x14ac:dyDescent="0.25">
      <c r="C82"/>
      <c r="D82"/>
      <c r="E82"/>
      <c r="F82"/>
      <c r="G82"/>
      <c r="H82"/>
    </row>
    <row r="83" spans="2:8" ht="15" x14ac:dyDescent="0.25">
      <c r="C83"/>
      <c r="D83"/>
      <c r="E83"/>
      <c r="F83"/>
      <c r="G83"/>
      <c r="H83"/>
    </row>
    <row r="84" spans="2:8" ht="15" x14ac:dyDescent="0.25">
      <c r="C84"/>
      <c r="D84"/>
      <c r="E84"/>
      <c r="F84"/>
      <c r="G84"/>
      <c r="H84"/>
    </row>
    <row r="85" spans="2:8" ht="15" x14ac:dyDescent="0.25">
      <c r="C85"/>
      <c r="D85"/>
      <c r="E85"/>
      <c r="F85"/>
      <c r="G85"/>
      <c r="H85"/>
    </row>
    <row r="86" spans="2:8" ht="15" x14ac:dyDescent="0.25">
      <c r="C86"/>
      <c r="D86"/>
      <c r="E86"/>
      <c r="F86"/>
      <c r="G86"/>
      <c r="H86"/>
    </row>
  </sheetData>
  <mergeCells count="6">
    <mergeCell ref="A33:F33"/>
    <mergeCell ref="A31:F31"/>
    <mergeCell ref="A30:F30"/>
    <mergeCell ref="A2:A4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sheetPr>
    <tabColor rgb="FF92D050"/>
  </sheetPr>
  <dimension ref="A1:L19"/>
  <sheetViews>
    <sheetView showGridLines="0" topLeftCell="A4" zoomScale="80" zoomScaleNormal="80" zoomScaleSheetLayoutView="95" workbookViewId="0">
      <selection activeCell="A12" sqref="A11:G12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49" t="s">
        <v>317</v>
      </c>
      <c r="B3" s="257"/>
      <c r="C3" s="257"/>
      <c r="D3" s="250"/>
      <c r="E3" s="250"/>
      <c r="F3" s="250"/>
      <c r="G3" s="250"/>
      <c r="H3" s="251"/>
      <c r="J3" s="79"/>
    </row>
    <row r="4" spans="1:12" ht="19.5" x14ac:dyDescent="0.25">
      <c r="A4" s="189" t="s">
        <v>184</v>
      </c>
      <c r="B4" s="195">
        <v>45457</v>
      </c>
      <c r="C4" s="193"/>
      <c r="D4" s="193"/>
      <c r="E4" s="193"/>
      <c r="F4" s="193"/>
      <c r="G4" s="193"/>
      <c r="H4" s="194"/>
      <c r="J4" s="79"/>
    </row>
    <row r="5" spans="1:12" ht="19.5" x14ac:dyDescent="0.25">
      <c r="A5" s="189" t="s">
        <v>290</v>
      </c>
      <c r="B5" s="196" t="s">
        <v>212</v>
      </c>
      <c r="C5" s="191"/>
      <c r="D5" s="191"/>
      <c r="E5" s="191"/>
      <c r="F5" s="191"/>
      <c r="G5" s="191"/>
      <c r="H5" s="192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182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253" t="s">
        <v>5</v>
      </c>
      <c r="C9" s="254"/>
      <c r="D9" s="253" t="s">
        <v>18</v>
      </c>
      <c r="E9" s="254"/>
      <c r="F9" s="65" t="s">
        <v>118</v>
      </c>
      <c r="G9" s="71" t="s">
        <v>16</v>
      </c>
      <c r="H9" s="90" t="s">
        <v>292</v>
      </c>
    </row>
    <row r="10" spans="1:12" ht="21.75" x14ac:dyDescent="0.25">
      <c r="A10" s="66" t="s">
        <v>459</v>
      </c>
      <c r="B10" s="62"/>
      <c r="C10" s="62" t="s">
        <v>169</v>
      </c>
      <c r="D10" s="67">
        <f>'Rev. Internos Piso e Parede'!B15</f>
        <v>4841.26</v>
      </c>
      <c r="E10" s="67" t="s">
        <v>2</v>
      </c>
      <c r="F10" s="88">
        <v>8</v>
      </c>
      <c r="G10" s="89">
        <f>F10*D10*1.1</f>
        <v>42603.088000000003</v>
      </c>
      <c r="H10" s="67"/>
    </row>
    <row r="11" spans="1:12" ht="21.75" x14ac:dyDescent="0.25">
      <c r="A11" s="210" t="s">
        <v>446</v>
      </c>
      <c r="B11" s="62">
        <v>15</v>
      </c>
      <c r="C11" s="62" t="s">
        <v>6</v>
      </c>
      <c r="D11" s="67">
        <f>'Rev. Internos Piso e Parede'!B20</f>
        <v>3382.4300000000003</v>
      </c>
      <c r="E11" s="67" t="s">
        <v>2</v>
      </c>
      <c r="F11" s="88">
        <f>0.9+6.8</f>
        <v>7.7</v>
      </c>
      <c r="G11" s="89">
        <f>F11*D11*1.1</f>
        <v>28649.182100000005</v>
      </c>
      <c r="H11" s="67"/>
    </row>
    <row r="12" spans="1:12" ht="21.75" x14ac:dyDescent="0.25">
      <c r="A12" s="78" t="s">
        <v>447</v>
      </c>
      <c r="B12" s="62">
        <v>15</v>
      </c>
      <c r="C12" s="62" t="s">
        <v>6</v>
      </c>
      <c r="D12" s="67">
        <f>TETO!D13+TETO!D12</f>
        <v>6989.232</v>
      </c>
      <c r="E12" s="67" t="s">
        <v>2</v>
      </c>
      <c r="F12" s="88">
        <f>1.25+6.8</f>
        <v>8.0500000000000007</v>
      </c>
      <c r="G12" s="89">
        <f>F12*D12*1.1</f>
        <v>61889.64936000001</v>
      </c>
      <c r="H12" s="67"/>
    </row>
    <row r="13" spans="1:12" ht="21.75" x14ac:dyDescent="0.25">
      <c r="A13" s="66" t="s">
        <v>448</v>
      </c>
      <c r="B13" s="62">
        <v>50</v>
      </c>
      <c r="C13" s="62" t="s">
        <v>6</v>
      </c>
      <c r="D13" s="67">
        <f>'Rev. Internos Piso e Parede'!B19-'Acabamentos de Piso e Parede'!B29-'Acabamentos de Piso e Parede'!B28</f>
        <v>21228.916000000001</v>
      </c>
      <c r="E13" s="67" t="s">
        <v>2</v>
      </c>
      <c r="F13" s="88">
        <f>0.9+2.5+12</f>
        <v>15.4</v>
      </c>
      <c r="G13" s="89">
        <f>F13*D13*1.05*1.1</f>
        <v>377598.72889200004</v>
      </c>
      <c r="H13" s="67"/>
    </row>
    <row r="14" spans="1:12" ht="21.75" x14ac:dyDescent="0.25">
      <c r="A14" s="66" t="s">
        <v>449</v>
      </c>
      <c r="B14" s="62">
        <v>50</v>
      </c>
      <c r="C14" s="62" t="s">
        <v>6</v>
      </c>
      <c r="D14" s="67">
        <f>TETO!D10</f>
        <v>6989.2320000000009</v>
      </c>
      <c r="E14" s="67" t="s">
        <v>2</v>
      </c>
      <c r="F14" s="88">
        <f>1.25+2.5+6.5</f>
        <v>10.25</v>
      </c>
      <c r="G14" s="89">
        <f>F14*D14*1.05*1.1</f>
        <v>82743.770340000017</v>
      </c>
      <c r="H14" s="67"/>
    </row>
    <row r="15" spans="1:12" ht="21.75" x14ac:dyDescent="0.25">
      <c r="A15" s="248" t="s">
        <v>17</v>
      </c>
      <c r="B15" s="248"/>
      <c r="C15" s="248"/>
      <c r="D15" s="248"/>
      <c r="E15" s="248"/>
      <c r="F15" s="248"/>
      <c r="G15" s="90">
        <f>SUM(G10:G14)</f>
        <v>593484.41869200009</v>
      </c>
      <c r="H15" s="90"/>
      <c r="K15" s="55">
        <f>4160+1440+1120+2880+4800+91680+4000</f>
        <v>110080</v>
      </c>
      <c r="L15" s="55">
        <f>K15/21</f>
        <v>5241.9047619047615</v>
      </c>
    </row>
    <row r="17" spans="1:8" ht="21.75" x14ac:dyDescent="0.25">
      <c r="A17" s="258" t="s">
        <v>218</v>
      </c>
      <c r="B17" s="259"/>
      <c r="C17" s="259"/>
      <c r="D17" s="259"/>
      <c r="E17" s="259"/>
      <c r="F17" s="260"/>
      <c r="G17" s="91">
        <f>G15</f>
        <v>593484.41869200009</v>
      </c>
      <c r="H17" s="91">
        <f>G17/DADOS_INICIAIS!E9</f>
        <v>33.96564421910734</v>
      </c>
    </row>
    <row r="19" spans="1:8" x14ac:dyDescent="0.25">
      <c r="H19" s="198">
        <f>H17/1.1</f>
        <v>30.877858381006671</v>
      </c>
    </row>
  </sheetData>
  <mergeCells count="5">
    <mergeCell ref="A3:H3"/>
    <mergeCell ref="B9:C9"/>
    <mergeCell ref="D9:E9"/>
    <mergeCell ref="A15:F15"/>
    <mergeCell ref="A17:F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sheetPr>
    <tabColor rgb="FF92D050"/>
  </sheetPr>
  <dimension ref="A1:L22"/>
  <sheetViews>
    <sheetView showGridLines="0" topLeftCell="A8" zoomScale="80" zoomScaleNormal="80" zoomScaleSheetLayoutView="95" workbookViewId="0">
      <selection activeCell="G17" sqref="G17:G19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49" t="s">
        <v>232</v>
      </c>
      <c r="B3" s="257"/>
      <c r="C3" s="257"/>
      <c r="D3" s="250"/>
      <c r="E3" s="250"/>
      <c r="F3" s="250"/>
      <c r="G3" s="250"/>
      <c r="H3" s="251"/>
      <c r="J3" s="79"/>
    </row>
    <row r="4" spans="1:10" ht="19.5" x14ac:dyDescent="0.25">
      <c r="A4" s="189" t="s">
        <v>184</v>
      </c>
      <c r="B4" s="195">
        <v>45460</v>
      </c>
      <c r="C4" s="193"/>
      <c r="D4" s="193"/>
      <c r="E4" s="193"/>
      <c r="F4" s="193"/>
      <c r="G4" s="193"/>
      <c r="H4" s="194"/>
      <c r="J4" s="79"/>
    </row>
    <row r="5" spans="1:10" ht="19.5" x14ac:dyDescent="0.25">
      <c r="A5" s="189" t="s">
        <v>290</v>
      </c>
      <c r="B5" s="196" t="s">
        <v>212</v>
      </c>
      <c r="C5" s="191"/>
      <c r="D5" s="191"/>
      <c r="E5" s="191"/>
      <c r="F5" s="191"/>
      <c r="G5" s="191"/>
      <c r="H5" s="192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232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53" t="s">
        <v>5</v>
      </c>
      <c r="C9" s="254"/>
      <c r="D9" s="253" t="s">
        <v>18</v>
      </c>
      <c r="E9" s="254"/>
      <c r="F9" s="65" t="s">
        <v>118</v>
      </c>
      <c r="G9" s="71" t="s">
        <v>16</v>
      </c>
      <c r="H9" s="90" t="s">
        <v>292</v>
      </c>
    </row>
    <row r="10" spans="1:10" ht="21.75" x14ac:dyDescent="0.25">
      <c r="A10" s="66" t="s">
        <v>454</v>
      </c>
      <c r="B10" s="62">
        <f>D10/DADOS_INICIAIS!E9</f>
        <v>0.10505646400062267</v>
      </c>
      <c r="C10" s="62" t="s">
        <v>319</v>
      </c>
      <c r="D10" s="201">
        <f>[8]Planilha1!$J$574</f>
        <v>1835.66</v>
      </c>
      <c r="E10" s="67" t="s">
        <v>2</v>
      </c>
      <c r="F10" s="88">
        <v>1500</v>
      </c>
      <c r="G10" s="89">
        <f>F10*D10*1.1</f>
        <v>3028839.0000000005</v>
      </c>
      <c r="H10" s="67">
        <f>G10/DADOS_INICIAIS!E9</f>
        <v>173.34316560102741</v>
      </c>
    </row>
    <row r="11" spans="1:10" ht="21.75" x14ac:dyDescent="0.25">
      <c r="A11" s="202" t="s">
        <v>450</v>
      </c>
      <c r="B11" s="62"/>
      <c r="C11" s="62"/>
      <c r="D11" s="201">
        <f>[8]Planilha1!$J$575</f>
        <v>135.94</v>
      </c>
      <c r="E11" s="67" t="s">
        <v>2</v>
      </c>
      <c r="F11" s="88">
        <v>950</v>
      </c>
      <c r="G11" s="89">
        <f>F11*D11*1.1</f>
        <v>142057.30000000002</v>
      </c>
      <c r="H11" s="67"/>
    </row>
    <row r="12" spans="1:10" ht="21.75" x14ac:dyDescent="0.25">
      <c r="A12" s="78" t="s">
        <v>229</v>
      </c>
      <c r="B12" s="62"/>
      <c r="C12" s="62"/>
      <c r="D12" s="67">
        <v>1</v>
      </c>
      <c r="E12" s="67" t="s">
        <v>3</v>
      </c>
      <c r="F12" s="88">
        <v>12000</v>
      </c>
      <c r="G12" s="89">
        <f>F12*D12*1.1</f>
        <v>13200.000000000002</v>
      </c>
      <c r="H12" s="67"/>
    </row>
    <row r="13" spans="1:10" ht="21.75" x14ac:dyDescent="0.25">
      <c r="A13" s="78" t="s">
        <v>451</v>
      </c>
      <c r="B13" s="62"/>
      <c r="C13" s="62"/>
      <c r="D13" s="67">
        <f>[8]Planilha1!$J$577+[8]Planilha1!$J$578*1</f>
        <v>280.44</v>
      </c>
      <c r="E13" s="67" t="s">
        <v>455</v>
      </c>
      <c r="F13" s="88">
        <v>1700</v>
      </c>
      <c r="G13" s="89">
        <f t="shared" ref="G13" si="0">F13*D13*1.1</f>
        <v>524422.80000000005</v>
      </c>
      <c r="H13" s="67"/>
    </row>
    <row r="14" spans="1:10" ht="21.75" x14ac:dyDescent="0.25">
      <c r="A14" s="210" t="s">
        <v>452</v>
      </c>
      <c r="B14" s="62"/>
      <c r="C14" s="62"/>
      <c r="D14" s="67">
        <f>[8]Planilha1!$J$579*0.4</f>
        <v>60.540000000000013</v>
      </c>
      <c r="E14" s="67" t="s">
        <v>455</v>
      </c>
      <c r="F14" s="88">
        <v>1700</v>
      </c>
      <c r="G14" s="89">
        <f t="shared" ref="G14" si="1">F14*D14*1.1</f>
        <v>113209.80000000005</v>
      </c>
      <c r="H14" s="67"/>
    </row>
    <row r="15" spans="1:10" ht="21.75" x14ac:dyDescent="0.25">
      <c r="A15" s="78" t="s">
        <v>230</v>
      </c>
      <c r="B15" s="62">
        <v>10</v>
      </c>
      <c r="C15" s="62" t="s">
        <v>6</v>
      </c>
      <c r="D15" s="67">
        <v>1</v>
      </c>
      <c r="E15" s="67" t="s">
        <v>27</v>
      </c>
      <c r="F15" s="88">
        <f>B15*DADOS_INICIAIS!$E$9</f>
        <v>174730.80000000002</v>
      </c>
      <c r="G15" s="89">
        <f t="shared" ref="G15:G19" si="2">F15*D15*1.1</f>
        <v>192203.88000000003</v>
      </c>
      <c r="H15" s="67"/>
    </row>
    <row r="16" spans="1:10" ht="28.5" customHeight="1" x14ac:dyDescent="0.25">
      <c r="A16" s="78" t="s">
        <v>231</v>
      </c>
      <c r="B16" s="62"/>
      <c r="C16" s="62"/>
      <c r="D16" s="67">
        <f>[8]Planilha1!$J$623</f>
        <v>34</v>
      </c>
      <c r="E16" s="67" t="s">
        <v>3</v>
      </c>
      <c r="F16" s="88">
        <v>1750</v>
      </c>
      <c r="G16" s="89">
        <f t="shared" si="2"/>
        <v>65450.000000000007</v>
      </c>
      <c r="H16" s="67"/>
    </row>
    <row r="17" spans="1:12" ht="21.75" x14ac:dyDescent="0.25">
      <c r="A17" s="78" t="s">
        <v>453</v>
      </c>
      <c r="B17" s="62"/>
      <c r="C17" s="62"/>
      <c r="D17" s="67">
        <f>[8]Planilha1!$K$580</f>
        <v>123.68399999999998</v>
      </c>
      <c r="E17" s="67" t="s">
        <v>4</v>
      </c>
      <c r="F17" s="88">
        <v>85.5</v>
      </c>
      <c r="G17" s="89">
        <f t="shared" si="2"/>
        <v>11632.480199999998</v>
      </c>
      <c r="H17" s="67"/>
    </row>
    <row r="18" spans="1:12" ht="21.75" x14ac:dyDescent="0.25">
      <c r="A18" s="78" t="s">
        <v>347</v>
      </c>
      <c r="B18" s="62"/>
      <c r="C18" s="62"/>
      <c r="D18" s="67">
        <f>DADOS_INICIAIS!E11</f>
        <v>176</v>
      </c>
      <c r="E18" s="67" t="s">
        <v>3</v>
      </c>
      <c r="F18" s="88">
        <v>1200</v>
      </c>
      <c r="G18" s="89">
        <f t="shared" si="2"/>
        <v>232320.00000000003</v>
      </c>
      <c r="H18" s="67"/>
    </row>
    <row r="19" spans="1:12" ht="21.75" x14ac:dyDescent="0.25">
      <c r="A19" s="66" t="s">
        <v>228</v>
      </c>
      <c r="B19" s="62"/>
      <c r="C19" s="62"/>
      <c r="D19" s="67">
        <f>[8]Planilha1!$J$624</f>
        <v>692</v>
      </c>
      <c r="E19" s="67" t="s">
        <v>3</v>
      </c>
      <c r="F19" s="88">
        <f>810+280</f>
        <v>1090</v>
      </c>
      <c r="G19" s="89">
        <f t="shared" si="2"/>
        <v>829708.00000000012</v>
      </c>
      <c r="H19" s="67"/>
    </row>
    <row r="20" spans="1:12" ht="21.75" x14ac:dyDescent="0.25">
      <c r="A20" s="248" t="s">
        <v>17</v>
      </c>
      <c r="B20" s="248"/>
      <c r="C20" s="248"/>
      <c r="D20" s="248"/>
      <c r="E20" s="248"/>
      <c r="F20" s="248"/>
      <c r="G20" s="90">
        <f>SUM(G10:G19)</f>
        <v>5153043.2602000004</v>
      </c>
      <c r="H20" s="90"/>
      <c r="K20" s="55">
        <f>4160+1440+1120+2880+4800+91680+4000</f>
        <v>110080</v>
      </c>
      <c r="L20" s="55">
        <f>K20/21</f>
        <v>5241.9047619047615</v>
      </c>
    </row>
    <row r="22" spans="1:12" ht="21.75" x14ac:dyDescent="0.25">
      <c r="A22" s="258" t="s">
        <v>330</v>
      </c>
      <c r="B22" s="259"/>
      <c r="C22" s="259"/>
      <c r="D22" s="259"/>
      <c r="E22" s="259"/>
      <c r="F22" s="260"/>
      <c r="G22" s="91">
        <f>G20</f>
        <v>5153043.2602000004</v>
      </c>
      <c r="H22" s="91">
        <f>G22/DADOS_INICIAIS!E9</f>
        <v>294.91327574760714</v>
      </c>
    </row>
  </sheetData>
  <mergeCells count="5">
    <mergeCell ref="A3:H3"/>
    <mergeCell ref="B9:C9"/>
    <mergeCell ref="D9:E9"/>
    <mergeCell ref="A20:F20"/>
    <mergeCell ref="A22:F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sheetPr>
    <tabColor rgb="FF92D050"/>
  </sheetPr>
  <dimension ref="A1:J14"/>
  <sheetViews>
    <sheetView showGridLines="0" topLeftCell="A4" zoomScale="85" zoomScaleNormal="85" zoomScaleSheetLayoutView="95" workbookViewId="0">
      <selection activeCell="D9" sqref="D9:E11"/>
    </sheetView>
  </sheetViews>
  <sheetFormatPr defaultColWidth="9.140625" defaultRowHeight="19.5" x14ac:dyDescent="0.25"/>
  <cols>
    <col min="1" max="1" width="53" style="45" bestFit="1" customWidth="1"/>
    <col min="2" max="7" width="27" style="45" customWidth="1"/>
    <col min="8" max="8" width="14" style="45" customWidth="1"/>
    <col min="9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H1" s="48"/>
      <c r="J1" s="2"/>
    </row>
    <row r="2" spans="1:10" ht="28.5" x14ac:dyDescent="0.25">
      <c r="A2" s="249" t="s">
        <v>199</v>
      </c>
      <c r="B2" s="250"/>
      <c r="C2" s="250"/>
      <c r="D2" s="250"/>
      <c r="E2" s="250"/>
      <c r="F2" s="250"/>
      <c r="G2" s="250"/>
      <c r="H2" s="251"/>
      <c r="J2" s="2"/>
    </row>
    <row r="3" spans="1:10" s="55" customFormat="1" x14ac:dyDescent="0.25">
      <c r="A3" s="189" t="s">
        <v>184</v>
      </c>
      <c r="B3" s="195">
        <v>45460</v>
      </c>
      <c r="C3" s="193"/>
      <c r="D3" s="193"/>
      <c r="E3" s="193"/>
      <c r="F3" s="193"/>
      <c r="G3" s="193"/>
      <c r="H3" s="194"/>
      <c r="J3" s="79"/>
    </row>
    <row r="4" spans="1:10" s="55" customFormat="1" x14ac:dyDescent="0.25">
      <c r="A4" s="189" t="s">
        <v>290</v>
      </c>
      <c r="B4" s="196" t="s">
        <v>212</v>
      </c>
      <c r="C4" s="191"/>
      <c r="D4" s="191"/>
      <c r="E4" s="191"/>
      <c r="F4" s="191"/>
      <c r="G4" s="191"/>
      <c r="H4" s="192"/>
      <c r="J4" s="79"/>
    </row>
    <row r="5" spans="1:10" x14ac:dyDescent="0.25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1.75" x14ac:dyDescent="0.25">
      <c r="A6" s="52" t="s">
        <v>322</v>
      </c>
      <c r="B6" s="53"/>
      <c r="C6" s="53"/>
      <c r="D6" s="53"/>
      <c r="E6" s="53"/>
      <c r="F6" s="53"/>
      <c r="G6" s="53"/>
      <c r="H6" s="53"/>
    </row>
    <row r="7" spans="1:10" s="55" customFormat="1" ht="21.75" x14ac:dyDescent="0.25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 x14ac:dyDescent="0.25">
      <c r="A8" s="63" t="s">
        <v>14</v>
      </c>
      <c r="B8" s="253" t="s">
        <v>5</v>
      </c>
      <c r="C8" s="254"/>
      <c r="D8" s="253" t="s">
        <v>18</v>
      </c>
      <c r="E8" s="254"/>
      <c r="F8" s="65" t="s">
        <v>118</v>
      </c>
      <c r="G8" s="71" t="s">
        <v>16</v>
      </c>
      <c r="H8" s="90" t="s">
        <v>292</v>
      </c>
    </row>
    <row r="9" spans="1:10" s="55" customFormat="1" ht="21.75" x14ac:dyDescent="0.25">
      <c r="A9" s="66" t="s">
        <v>320</v>
      </c>
      <c r="B9" s="62"/>
      <c r="C9" s="62"/>
      <c r="D9" s="67">
        <f>327.4-30</f>
        <v>297.39999999999998</v>
      </c>
      <c r="E9" s="67" t="s">
        <v>2</v>
      </c>
      <c r="F9" s="88">
        <v>79</v>
      </c>
      <c r="G9" s="89">
        <f>F9*D9*1.1</f>
        <v>25844.06</v>
      </c>
      <c r="H9" s="67"/>
    </row>
    <row r="10" spans="1:10" s="55" customFormat="1" ht="21.75" x14ac:dyDescent="0.25">
      <c r="A10" s="66" t="s">
        <v>170</v>
      </c>
      <c r="B10" s="62"/>
      <c r="C10" s="62"/>
      <c r="D10" s="67">
        <f>D9</f>
        <v>297.39999999999998</v>
      </c>
      <c r="E10" s="67" t="s">
        <v>2</v>
      </c>
      <c r="F10" s="188">
        <v>80</v>
      </c>
      <c r="G10" s="89">
        <f>F10*D10*1.1</f>
        <v>26171.200000000001</v>
      </c>
      <c r="H10" s="67"/>
    </row>
    <row r="11" spans="1:10" s="55" customFormat="1" ht="21.75" x14ac:dyDescent="0.25">
      <c r="A11" s="66" t="s">
        <v>321</v>
      </c>
      <c r="B11" s="62"/>
      <c r="C11" s="62"/>
      <c r="D11" s="67">
        <v>26.39</v>
      </c>
      <c r="E11" s="67" t="s">
        <v>2</v>
      </c>
      <c r="F11" s="188">
        <v>1100</v>
      </c>
      <c r="G11" s="89">
        <f t="shared" ref="G11" si="0">F11*D11*1.1</f>
        <v>31931.9</v>
      </c>
      <c r="H11" s="67"/>
    </row>
    <row r="12" spans="1:10" s="55" customFormat="1" ht="21.75" x14ac:dyDescent="0.25">
      <c r="A12" s="248" t="s">
        <v>17</v>
      </c>
      <c r="B12" s="248"/>
      <c r="C12" s="248"/>
      <c r="D12" s="110"/>
      <c r="E12" s="110"/>
      <c r="F12" s="110"/>
      <c r="G12" s="90">
        <f>SUM(G9:G11)</f>
        <v>83947.16</v>
      </c>
      <c r="H12" s="90"/>
    </row>
    <row r="13" spans="1:10" s="55" customFormat="1" ht="21.75" x14ac:dyDescent="0.25">
      <c r="A13" s="252"/>
      <c r="B13" s="252"/>
      <c r="C13" s="252"/>
      <c r="D13" s="111"/>
      <c r="E13" s="111"/>
      <c r="F13" s="111"/>
      <c r="G13" s="59"/>
      <c r="H13" s="59"/>
    </row>
    <row r="14" spans="1:10" ht="23.25" customHeight="1" x14ac:dyDescent="0.25">
      <c r="A14" s="245" t="s">
        <v>272</v>
      </c>
      <c r="B14" s="246"/>
      <c r="C14" s="247"/>
      <c r="D14" s="109"/>
      <c r="E14" s="109"/>
      <c r="F14" s="109"/>
      <c r="G14" s="108">
        <f>G12</f>
        <v>83947.16</v>
      </c>
      <c r="H14" s="108">
        <f>G14/DADOS_INICIAIS!$E$9</f>
        <v>4.8043710668067678</v>
      </c>
    </row>
  </sheetData>
  <mergeCells count="6">
    <mergeCell ref="A14:C14"/>
    <mergeCell ref="A2:H2"/>
    <mergeCell ref="B8:C8"/>
    <mergeCell ref="D8:E8"/>
    <mergeCell ref="A12:C12"/>
    <mergeCell ref="A13:C13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sheetPr>
    <tabColor rgb="FF92D050"/>
  </sheetPr>
  <dimension ref="A1:L40"/>
  <sheetViews>
    <sheetView showGridLines="0" topLeftCell="A24" zoomScale="130" zoomScaleNormal="130" zoomScaleSheetLayoutView="95" workbookViewId="0">
      <selection activeCell="G21" sqref="G21"/>
    </sheetView>
  </sheetViews>
  <sheetFormatPr defaultColWidth="9.140625" defaultRowHeight="12.75" x14ac:dyDescent="0.25"/>
  <cols>
    <col min="1" max="1" width="48.7109375" style="1" customWidth="1"/>
    <col min="2" max="2" width="15.85546875" style="114" customWidth="1"/>
    <col min="3" max="3" width="7.57031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1" width="9.140625" style="1"/>
    <col min="12" max="12" width="10.5703125" style="1" bestFit="1" customWidth="1"/>
    <col min="13" max="16384" width="9.140625" style="1"/>
  </cols>
  <sheetData>
    <row r="1" spans="1:12" x14ac:dyDescent="0.25">
      <c r="B1" s="2"/>
      <c r="C1" s="1"/>
      <c r="D1" s="1"/>
      <c r="G1" s="161"/>
      <c r="H1" s="161"/>
      <c r="I1" s="2"/>
    </row>
    <row r="2" spans="1:12" ht="12.75" customHeight="1" x14ac:dyDescent="0.25">
      <c r="A2" s="261" t="s">
        <v>188</v>
      </c>
      <c r="B2" s="2"/>
      <c r="C2" s="1"/>
      <c r="D2" s="1"/>
      <c r="G2" s="166"/>
      <c r="H2" s="166"/>
      <c r="I2" s="2"/>
    </row>
    <row r="3" spans="1:12" ht="12.75" customHeight="1" x14ac:dyDescent="0.25">
      <c r="A3" s="262"/>
      <c r="B3" s="2"/>
      <c r="C3" s="1"/>
      <c r="D3" s="1"/>
      <c r="G3" s="166"/>
      <c r="H3" s="166"/>
      <c r="I3" s="2"/>
    </row>
    <row r="4" spans="1:12" ht="12.75" customHeight="1" x14ac:dyDescent="0.25">
      <c r="A4" s="262"/>
      <c r="B4" s="2"/>
      <c r="C4" s="1"/>
      <c r="D4" s="1"/>
      <c r="G4" s="166"/>
      <c r="H4" s="166"/>
      <c r="I4" s="2"/>
    </row>
    <row r="5" spans="1:12" ht="13.5" thickBot="1" x14ac:dyDescent="0.3">
      <c r="A5" s="165"/>
      <c r="B5" s="164"/>
      <c r="C5" s="164"/>
      <c r="D5" s="164"/>
      <c r="E5" s="164"/>
      <c r="F5" s="164"/>
      <c r="G5" s="163"/>
      <c r="H5" s="163"/>
      <c r="I5" s="2"/>
    </row>
    <row r="6" spans="1:12" x14ac:dyDescent="0.25">
      <c r="A6" s="162"/>
      <c r="B6" s="2"/>
      <c r="C6" s="1"/>
      <c r="D6" s="1"/>
      <c r="G6" s="161"/>
      <c r="H6" s="161"/>
      <c r="I6" s="2"/>
    </row>
    <row r="7" spans="1:12" x14ac:dyDescent="0.25">
      <c r="A7" s="160" t="s">
        <v>187</v>
      </c>
      <c r="B7" s="159"/>
      <c r="C7" s="158"/>
      <c r="D7" s="158"/>
      <c r="E7" s="158"/>
      <c r="F7" s="158"/>
      <c r="G7" s="158"/>
      <c r="H7" s="157"/>
      <c r="I7" s="2"/>
    </row>
    <row r="8" spans="1:12" x14ac:dyDescent="0.25">
      <c r="A8" s="156" t="s">
        <v>0</v>
      </c>
      <c r="B8" s="155"/>
      <c r="C8" s="154"/>
      <c r="D8" s="154"/>
      <c r="E8" s="154"/>
      <c r="F8" s="154"/>
      <c r="G8" s="154"/>
      <c r="H8" s="153"/>
      <c r="I8" s="2"/>
    </row>
    <row r="9" spans="1:12" ht="15" customHeight="1" x14ac:dyDescent="0.25">
      <c r="A9" s="152" t="s">
        <v>184</v>
      </c>
      <c r="B9" s="151">
        <v>45460</v>
      </c>
      <c r="C9" s="150"/>
      <c r="D9" s="150"/>
      <c r="E9" s="150"/>
      <c r="F9" s="150"/>
      <c r="G9" s="150"/>
      <c r="H9" s="149"/>
    </row>
    <row r="10" spans="1:12" x14ac:dyDescent="0.25">
      <c r="A10" s="148" t="s">
        <v>1</v>
      </c>
      <c r="B10" s="147" t="s">
        <v>183</v>
      </c>
      <c r="C10" s="146"/>
      <c r="D10" s="146"/>
      <c r="E10" s="146"/>
      <c r="F10" s="146"/>
      <c r="G10" s="146"/>
      <c r="H10" s="145"/>
    </row>
    <row r="12" spans="1:12" ht="15.75" customHeight="1" x14ac:dyDescent="0.25">
      <c r="A12" s="144" t="s">
        <v>217</v>
      </c>
      <c r="B12" s="143"/>
      <c r="C12" s="142"/>
      <c r="D12" s="141"/>
      <c r="E12" s="140"/>
      <c r="F12" s="140"/>
      <c r="G12" s="140"/>
      <c r="H12" s="139"/>
    </row>
    <row r="13" spans="1:12" ht="15.75" customHeight="1" x14ac:dyDescent="0.25">
      <c r="A13" s="138"/>
      <c r="B13" s="137"/>
      <c r="C13" s="136"/>
      <c r="D13" s="135"/>
      <c r="E13" s="135"/>
      <c r="F13" s="135"/>
      <c r="H13" s="131"/>
    </row>
    <row r="14" spans="1:12" ht="15.75" customHeight="1" x14ac:dyDescent="0.25">
      <c r="A14" s="134" t="s">
        <v>14</v>
      </c>
      <c r="B14" s="268" t="s">
        <v>18</v>
      </c>
      <c r="C14" s="269"/>
      <c r="D14" s="270" t="s">
        <v>5</v>
      </c>
      <c r="E14" s="271"/>
      <c r="F14" s="133" t="s">
        <v>181</v>
      </c>
      <c r="G14" s="132" t="s">
        <v>16</v>
      </c>
      <c r="H14" s="131"/>
      <c r="L14" s="115"/>
    </row>
    <row r="15" spans="1:12" x14ac:dyDescent="0.25">
      <c r="A15" s="172" t="s">
        <v>196</v>
      </c>
      <c r="B15" s="175">
        <f>[9]Planilha1!$J$11</f>
        <v>7981.26</v>
      </c>
      <c r="C15" s="129" t="s">
        <v>2</v>
      </c>
      <c r="D15" s="124">
        <v>30</v>
      </c>
      <c r="E15" s="130" t="s">
        <v>169</v>
      </c>
      <c r="F15" s="126" t="s">
        <v>212</v>
      </c>
      <c r="G15" s="125">
        <f>B15*D15*1.1</f>
        <v>263381.58</v>
      </c>
      <c r="H15" s="131"/>
      <c r="K15" s="187"/>
      <c r="L15" s="115"/>
    </row>
    <row r="16" spans="1:12" x14ac:dyDescent="0.25">
      <c r="A16" s="266" t="s">
        <v>17</v>
      </c>
      <c r="B16" s="267"/>
      <c r="C16" s="267"/>
      <c r="D16" s="267"/>
      <c r="E16" s="267"/>
      <c r="F16" s="267"/>
      <c r="G16" s="122">
        <f>SUM(G15:G15)</f>
        <v>263381.58</v>
      </c>
      <c r="H16" s="121"/>
      <c r="K16" s="186"/>
    </row>
    <row r="17" spans="1:12" ht="15.75" customHeight="1" x14ac:dyDescent="0.25">
      <c r="A17" s="264"/>
      <c r="B17" s="265"/>
      <c r="C17" s="265"/>
      <c r="D17" s="265"/>
      <c r="E17" s="265"/>
      <c r="F17" s="265"/>
      <c r="G17" s="167"/>
      <c r="H17" s="118"/>
    </row>
    <row r="18" spans="1:12" ht="15.75" customHeight="1" x14ac:dyDescent="0.25">
      <c r="A18" s="144" t="s">
        <v>216</v>
      </c>
      <c r="B18" s="143"/>
      <c r="C18" s="142"/>
      <c r="D18" s="141"/>
      <c r="E18" s="140"/>
      <c r="F18" s="140"/>
      <c r="G18" s="140"/>
      <c r="H18" s="139"/>
      <c r="J18" s="1" t="s">
        <v>215</v>
      </c>
      <c r="K18" s="115">
        <f>DADOS_INICIAIS!E28</f>
        <v>156.03</v>
      </c>
    </row>
    <row r="19" spans="1:12" ht="15.75" customHeight="1" x14ac:dyDescent="0.25">
      <c r="A19" s="138"/>
      <c r="B19" s="185"/>
      <c r="C19" s="136"/>
      <c r="D19" s="135"/>
      <c r="E19" s="135"/>
      <c r="F19" s="135"/>
      <c r="H19" s="131"/>
      <c r="J19" s="1" t="s">
        <v>456</v>
      </c>
      <c r="K19" s="115">
        <f>DADOS_INICIAIS!E22</f>
        <v>161.37</v>
      </c>
    </row>
    <row r="20" spans="1:12" ht="15.75" customHeight="1" x14ac:dyDescent="0.25">
      <c r="A20" s="134" t="s">
        <v>14</v>
      </c>
      <c r="B20" s="268" t="s">
        <v>18</v>
      </c>
      <c r="C20" s="269"/>
      <c r="D20" s="270" t="s">
        <v>5</v>
      </c>
      <c r="E20" s="271"/>
      <c r="F20" s="133" t="s">
        <v>181</v>
      </c>
      <c r="G20" s="132" t="s">
        <v>16</v>
      </c>
      <c r="H20" s="131"/>
      <c r="J20" s="1" t="s">
        <v>312</v>
      </c>
    </row>
    <row r="21" spans="1:12" ht="15.75" customHeight="1" x14ac:dyDescent="0.25">
      <c r="A21" s="172" t="s">
        <v>324</v>
      </c>
      <c r="B21" s="175">
        <f>B15</f>
        <v>7981.26</v>
      </c>
      <c r="C21" s="129" t="s">
        <v>2</v>
      </c>
      <c r="D21" s="124">
        <v>25</v>
      </c>
      <c r="E21" s="130" t="s">
        <v>169</v>
      </c>
      <c r="F21" s="126" t="s">
        <v>212</v>
      </c>
      <c r="G21" s="125">
        <f>B21*D21*1.1</f>
        <v>219484.65000000002</v>
      </c>
      <c r="H21" s="131"/>
      <c r="J21" s="1" t="s">
        <v>214</v>
      </c>
    </row>
    <row r="22" spans="1:12" x14ac:dyDescent="0.25">
      <c r="A22" s="266" t="s">
        <v>17</v>
      </c>
      <c r="B22" s="267"/>
      <c r="C22" s="267"/>
      <c r="D22" s="267"/>
      <c r="E22" s="267"/>
      <c r="F22" s="267"/>
      <c r="G22" s="122">
        <f>SUM(G21:G21)</f>
        <v>219484.65000000002</v>
      </c>
      <c r="H22" s="121"/>
      <c r="L22" s="115">
        <f>K18*L18+K19*L19+K20*L20+K21*L21</f>
        <v>0</v>
      </c>
    </row>
    <row r="23" spans="1:12" x14ac:dyDescent="0.25">
      <c r="A23" s="275"/>
      <c r="B23" s="276"/>
      <c r="C23" s="276"/>
      <c r="D23" s="276"/>
      <c r="E23" s="276"/>
      <c r="F23" s="276"/>
      <c r="G23" s="167"/>
      <c r="H23" s="118"/>
    </row>
    <row r="24" spans="1:12" ht="15.75" customHeight="1" x14ac:dyDescent="0.25">
      <c r="A24" s="144" t="s">
        <v>213</v>
      </c>
      <c r="B24" s="143"/>
      <c r="C24" s="142"/>
      <c r="D24" s="141"/>
      <c r="E24" s="140"/>
      <c r="F24" s="140"/>
      <c r="G24" s="140"/>
      <c r="H24" s="139"/>
    </row>
    <row r="25" spans="1:12" ht="15.75" customHeight="1" x14ac:dyDescent="0.25">
      <c r="A25" s="138"/>
      <c r="B25" s="137"/>
      <c r="C25" s="136"/>
      <c r="D25" s="135"/>
      <c r="E25" s="135"/>
      <c r="F25" s="135"/>
      <c r="H25" s="131"/>
    </row>
    <row r="26" spans="1:12" ht="15.75" customHeight="1" x14ac:dyDescent="0.25">
      <c r="A26" s="134" t="s">
        <v>14</v>
      </c>
      <c r="B26" s="268" t="s">
        <v>18</v>
      </c>
      <c r="C26" s="269"/>
      <c r="D26" s="270" t="s">
        <v>5</v>
      </c>
      <c r="E26" s="271"/>
      <c r="F26" s="133" t="s">
        <v>181</v>
      </c>
      <c r="G26" s="132" t="s">
        <v>16</v>
      </c>
      <c r="H26" s="131"/>
    </row>
    <row r="27" spans="1:12" ht="15.75" customHeight="1" x14ac:dyDescent="0.25">
      <c r="A27" s="172" t="s">
        <v>323</v>
      </c>
      <c r="B27" s="175"/>
      <c r="C27" s="129" t="s">
        <v>331</v>
      </c>
      <c r="D27" s="124">
        <v>850</v>
      </c>
      <c r="E27" s="130" t="s">
        <v>169</v>
      </c>
      <c r="F27" s="126" t="s">
        <v>212</v>
      </c>
      <c r="G27" s="125">
        <f>B27*D27*1.1</f>
        <v>0</v>
      </c>
      <c r="H27" s="131"/>
    </row>
    <row r="28" spans="1:12" ht="15.75" customHeight="1" x14ac:dyDescent="0.25">
      <c r="A28" s="206" t="s">
        <v>348</v>
      </c>
      <c r="B28" s="175"/>
      <c r="C28" s="207" t="s">
        <v>119</v>
      </c>
      <c r="D28" s="208">
        <v>120</v>
      </c>
      <c r="E28" s="130" t="s">
        <v>349</v>
      </c>
      <c r="F28" s="205"/>
      <c r="G28" s="125">
        <f>B28*D28*1.1</f>
        <v>0</v>
      </c>
      <c r="H28" s="131"/>
    </row>
    <row r="29" spans="1:12" ht="15.75" customHeight="1" x14ac:dyDescent="0.25">
      <c r="A29" s="266"/>
      <c r="B29" s="267"/>
      <c r="C29" s="267"/>
      <c r="D29" s="267"/>
      <c r="E29" s="267"/>
      <c r="F29" s="267"/>
      <c r="G29" s="122">
        <f>SUM(G27:G28)</f>
        <v>0</v>
      </c>
      <c r="H29" s="121"/>
    </row>
    <row r="30" spans="1:12" x14ac:dyDescent="0.25">
      <c r="A30" s="264"/>
      <c r="B30" s="265"/>
      <c r="C30" s="265"/>
      <c r="D30" s="265"/>
      <c r="E30" s="265"/>
      <c r="F30" s="265"/>
      <c r="G30" s="167"/>
      <c r="H30" s="118"/>
      <c r="J30" s="1">
        <f>25.78*2</f>
        <v>51.56</v>
      </c>
    </row>
    <row r="31" spans="1:12" ht="15.75" customHeight="1" x14ac:dyDescent="0.25">
      <c r="G31" s="115"/>
    </row>
    <row r="32" spans="1:12" ht="15.75" customHeight="1" x14ac:dyDescent="0.25">
      <c r="A32" s="263" t="s">
        <v>211</v>
      </c>
      <c r="B32" s="263"/>
      <c r="C32" s="263"/>
      <c r="D32" s="263"/>
      <c r="E32" s="263"/>
      <c r="F32" s="263"/>
      <c r="G32" s="117">
        <f>G22+G16+G29</f>
        <v>482866.23000000004</v>
      </c>
      <c r="H32" s="116">
        <f>G32/DADOS_INICIAIS!E9</f>
        <v>27.63486632007637</v>
      </c>
    </row>
    <row r="33" spans="8:8" ht="15.75" customHeight="1" x14ac:dyDescent="0.25">
      <c r="H33" s="115">
        <f>H32/1.1</f>
        <v>25.12260574552397</v>
      </c>
    </row>
    <row r="34" spans="8:8" ht="15.75" customHeight="1" x14ac:dyDescent="0.25"/>
    <row r="35" spans="8:8" ht="15.75" customHeight="1" x14ac:dyDescent="0.25"/>
    <row r="36" spans="8:8" ht="15.75" customHeight="1" x14ac:dyDescent="0.25"/>
    <row r="37" spans="8:8" ht="15.75" customHeight="1" x14ac:dyDescent="0.25"/>
    <row r="38" spans="8:8" ht="15.75" customHeight="1" x14ac:dyDescent="0.25"/>
    <row r="39" spans="8:8" ht="15.75" customHeight="1" x14ac:dyDescent="0.25"/>
    <row r="40" spans="8:8" ht="15.75" customHeight="1" x14ac:dyDescent="0.25"/>
  </sheetData>
  <mergeCells count="14">
    <mergeCell ref="B20:C20"/>
    <mergeCell ref="D20:E20"/>
    <mergeCell ref="A32:F32"/>
    <mergeCell ref="A22:F22"/>
    <mergeCell ref="A23:F23"/>
    <mergeCell ref="A30:F30"/>
    <mergeCell ref="B26:C26"/>
    <mergeCell ref="D26:E26"/>
    <mergeCell ref="A29:F29"/>
    <mergeCell ref="B14:C14"/>
    <mergeCell ref="D14:E14"/>
    <mergeCell ref="A2:A4"/>
    <mergeCell ref="A16:F16"/>
    <mergeCell ref="A17:F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sheetPr>
    <tabColor rgb="FF92D050"/>
  </sheetPr>
  <dimension ref="A1:J18"/>
  <sheetViews>
    <sheetView showGridLines="0" topLeftCell="A4" zoomScale="85" zoomScaleNormal="85" zoomScaleSheetLayoutView="95" workbookViewId="0">
      <selection activeCell="F9" sqref="F9:F15"/>
    </sheetView>
  </sheetViews>
  <sheetFormatPr defaultColWidth="9.140625" defaultRowHeight="19.5" x14ac:dyDescent="0.25"/>
  <cols>
    <col min="1" max="1" width="53" style="45" bestFit="1" customWidth="1"/>
    <col min="2" max="6" width="27" style="45" customWidth="1"/>
    <col min="7" max="7" width="14" style="45" customWidth="1"/>
    <col min="8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I1" s="2"/>
    </row>
    <row r="2" spans="1:10" ht="28.5" x14ac:dyDescent="0.25">
      <c r="A2" s="249" t="s">
        <v>280</v>
      </c>
      <c r="B2" s="250"/>
      <c r="C2" s="250"/>
      <c r="D2" s="250"/>
      <c r="E2" s="250"/>
      <c r="F2" s="250"/>
      <c r="G2" s="251"/>
      <c r="I2" s="2"/>
    </row>
    <row r="3" spans="1:10" s="55" customFormat="1" x14ac:dyDescent="0.25">
      <c r="A3" s="189" t="s">
        <v>184</v>
      </c>
      <c r="B3" s="195">
        <v>45460</v>
      </c>
      <c r="C3" s="193"/>
      <c r="D3" s="193"/>
      <c r="E3" s="193"/>
      <c r="F3" s="193"/>
      <c r="G3" s="193"/>
      <c r="H3" s="194"/>
      <c r="J3" s="79"/>
    </row>
    <row r="4" spans="1:10" s="55" customFormat="1" x14ac:dyDescent="0.25">
      <c r="A4" s="189" t="s">
        <v>290</v>
      </c>
      <c r="B4" s="196" t="s">
        <v>212</v>
      </c>
      <c r="C4" s="191"/>
      <c r="D4" s="191"/>
      <c r="E4" s="191"/>
      <c r="F4" s="191"/>
      <c r="G4" s="191"/>
      <c r="H4" s="192"/>
      <c r="J4" s="79"/>
    </row>
    <row r="5" spans="1:10" x14ac:dyDescent="0.25">
      <c r="A5" s="50"/>
      <c r="B5" s="50"/>
      <c r="C5" s="50"/>
      <c r="D5" s="50"/>
      <c r="E5" s="50"/>
      <c r="F5" s="48"/>
      <c r="G5" s="48"/>
      <c r="I5" s="2"/>
    </row>
    <row r="6" spans="1:10" s="55" customFormat="1" ht="21.75" x14ac:dyDescent="0.25">
      <c r="A6" s="52" t="s">
        <v>279</v>
      </c>
      <c r="B6" s="53"/>
      <c r="C6" s="53"/>
      <c r="D6" s="53"/>
      <c r="E6" s="53"/>
      <c r="F6" s="53"/>
      <c r="G6" s="53"/>
    </row>
    <row r="7" spans="1:10" s="55" customFormat="1" ht="21.75" x14ac:dyDescent="0.25">
      <c r="A7" s="56"/>
      <c r="B7" s="57"/>
      <c r="C7" s="57"/>
      <c r="D7" s="57"/>
      <c r="E7" s="57"/>
      <c r="F7" s="59"/>
      <c r="G7" s="59"/>
    </row>
    <row r="8" spans="1:10" s="55" customFormat="1" ht="42" customHeight="1" x14ac:dyDescent="0.25">
      <c r="A8" s="63" t="s">
        <v>14</v>
      </c>
      <c r="B8" s="253" t="s">
        <v>5</v>
      </c>
      <c r="C8" s="254"/>
      <c r="D8" s="253" t="s">
        <v>18</v>
      </c>
      <c r="E8" s="254"/>
      <c r="F8" s="71" t="s">
        <v>16</v>
      </c>
      <c r="G8" s="59"/>
    </row>
    <row r="9" spans="1:10" s="55" customFormat="1" ht="21.75" x14ac:dyDescent="0.25">
      <c r="A9" s="66" t="s">
        <v>278</v>
      </c>
      <c r="B9" s="62">
        <v>50</v>
      </c>
      <c r="C9" s="62" t="s">
        <v>6</v>
      </c>
      <c r="D9" s="67">
        <f>B9*DADOS_INICIAIS!$E$9</f>
        <v>873654.00000000012</v>
      </c>
      <c r="E9" s="67" t="s">
        <v>346</v>
      </c>
      <c r="F9" s="89">
        <f>D9*1.1</f>
        <v>961019.40000000026</v>
      </c>
      <c r="G9" s="57"/>
    </row>
    <row r="10" spans="1:10" s="55" customFormat="1" ht="21.75" x14ac:dyDescent="0.25">
      <c r="A10" s="66" t="s">
        <v>277</v>
      </c>
      <c r="B10" s="62">
        <v>10</v>
      </c>
      <c r="C10" s="62" t="s">
        <v>6</v>
      </c>
      <c r="D10" s="67">
        <f>B10*DADOS_INICIAIS!$E$9</f>
        <v>174730.80000000002</v>
      </c>
      <c r="E10" s="67" t="s">
        <v>346</v>
      </c>
      <c r="F10" s="89">
        <f>D10*1.1</f>
        <v>192203.88000000003</v>
      </c>
      <c r="G10" s="57"/>
    </row>
    <row r="11" spans="1:10" s="55" customFormat="1" ht="21.75" x14ac:dyDescent="0.25">
      <c r="A11" s="66" t="s">
        <v>276</v>
      </c>
      <c r="B11" s="62">
        <v>15</v>
      </c>
      <c r="C11" s="62" t="s">
        <v>6</v>
      </c>
      <c r="D11" s="67">
        <f>B11*DADOS_INICIAIS!$E$9</f>
        <v>262096.2</v>
      </c>
      <c r="E11" s="67" t="s">
        <v>346</v>
      </c>
      <c r="F11" s="89">
        <f t="shared" ref="F11:F15" si="0">D11*1.1</f>
        <v>288305.82000000007</v>
      </c>
      <c r="G11" s="57"/>
    </row>
    <row r="12" spans="1:10" s="55" customFormat="1" ht="21.75" x14ac:dyDescent="0.25">
      <c r="A12" s="66" t="s">
        <v>457</v>
      </c>
      <c r="B12" s="62">
        <v>650</v>
      </c>
      <c r="C12" s="62" t="s">
        <v>458</v>
      </c>
      <c r="D12" s="67">
        <v>67.349999999999994</v>
      </c>
      <c r="E12" s="67" t="s">
        <v>2</v>
      </c>
      <c r="F12" s="89">
        <f>D12*B12*1.1</f>
        <v>48155.249999999993</v>
      </c>
      <c r="G12" s="57"/>
    </row>
    <row r="13" spans="1:10" s="55" customFormat="1" ht="21.75" x14ac:dyDescent="0.25">
      <c r="A13" s="66" t="s">
        <v>275</v>
      </c>
      <c r="B13" s="62">
        <v>4</v>
      </c>
      <c r="C13" s="62" t="s">
        <v>6</v>
      </c>
      <c r="D13" s="67">
        <f>B13*DADOS_INICIAIS!$E$9</f>
        <v>69892.320000000007</v>
      </c>
      <c r="E13" s="67" t="s">
        <v>346</v>
      </c>
      <c r="F13" s="89">
        <f t="shared" si="0"/>
        <v>76881.552000000011</v>
      </c>
      <c r="G13" s="57"/>
    </row>
    <row r="14" spans="1:10" s="55" customFormat="1" ht="21.75" x14ac:dyDescent="0.25">
      <c r="A14" s="66" t="s">
        <v>274</v>
      </c>
      <c r="B14" s="62">
        <v>2</v>
      </c>
      <c r="C14" s="62" t="s">
        <v>6</v>
      </c>
      <c r="D14" s="67">
        <f>B14*DADOS_INICIAIS!$E$9</f>
        <v>34946.160000000003</v>
      </c>
      <c r="E14" s="67" t="s">
        <v>346</v>
      </c>
      <c r="F14" s="89">
        <f t="shared" si="0"/>
        <v>38440.776000000005</v>
      </c>
      <c r="G14" s="57"/>
    </row>
    <row r="15" spans="1:10" s="55" customFormat="1" ht="21.75" x14ac:dyDescent="0.25">
      <c r="A15" s="66" t="s">
        <v>273</v>
      </c>
      <c r="B15" s="62">
        <v>12</v>
      </c>
      <c r="C15" s="62" t="s">
        <v>6</v>
      </c>
      <c r="D15" s="67">
        <f>B15*DADOS_INICIAIS!$E$9</f>
        <v>209676.96000000002</v>
      </c>
      <c r="E15" s="67" t="s">
        <v>346</v>
      </c>
      <c r="F15" s="89">
        <f t="shared" si="0"/>
        <v>230644.65600000005</v>
      </c>
      <c r="G15" s="57"/>
    </row>
    <row r="16" spans="1:10" s="55" customFormat="1" ht="21.75" x14ac:dyDescent="0.25">
      <c r="A16" s="248" t="s">
        <v>17</v>
      </c>
      <c r="B16" s="248"/>
      <c r="C16" s="248"/>
      <c r="D16" s="110"/>
      <c r="E16" s="110"/>
      <c r="F16" s="90">
        <f>SUM(F9:F15)</f>
        <v>1835651.3340000003</v>
      </c>
      <c r="G16" s="60"/>
    </row>
    <row r="17" spans="1:7" s="55" customFormat="1" ht="21.75" x14ac:dyDescent="0.25">
      <c r="A17" s="252"/>
      <c r="B17" s="252"/>
      <c r="C17" s="252"/>
      <c r="D17" s="111"/>
      <c r="E17" s="111"/>
      <c r="F17" s="59"/>
      <c r="G17" s="59"/>
    </row>
    <row r="18" spans="1:7" ht="23.25" customHeight="1" x14ac:dyDescent="0.25">
      <c r="A18" s="245" t="s">
        <v>272</v>
      </c>
      <c r="B18" s="246"/>
      <c r="C18" s="247"/>
      <c r="D18" s="109"/>
      <c r="E18" s="109"/>
      <c r="F18" s="108">
        <f>F16</f>
        <v>1835651.3340000003</v>
      </c>
      <c r="G18" s="108">
        <f>F18/DADOS_INICIAIS!$E$9</f>
        <v>105.05596803768998</v>
      </c>
    </row>
  </sheetData>
  <mergeCells count="6">
    <mergeCell ref="A18:C18"/>
    <mergeCell ref="B8:C8"/>
    <mergeCell ref="D8:E8"/>
    <mergeCell ref="A2:G2"/>
    <mergeCell ref="A16:C16"/>
    <mergeCell ref="A17:C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42</v>
      </c>
      <c r="B2">
        <v>2</v>
      </c>
      <c r="C2" t="s">
        <v>89</v>
      </c>
      <c r="D2" s="3">
        <v>18.399999999999999</v>
      </c>
    </row>
    <row r="3" spans="1:8" x14ac:dyDescent="0.25">
      <c r="A3" t="s">
        <v>43</v>
      </c>
      <c r="B3">
        <v>2</v>
      </c>
      <c r="C3" t="s">
        <v>90</v>
      </c>
    </row>
    <row r="4" spans="1:8" x14ac:dyDescent="0.25">
      <c r="A4" t="s">
        <v>44</v>
      </c>
      <c r="B4">
        <v>1</v>
      </c>
      <c r="C4" t="s">
        <v>91</v>
      </c>
      <c r="D4" s="3">
        <v>3.4649999999999999</v>
      </c>
    </row>
    <row r="5" spans="1:8" x14ac:dyDescent="0.25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25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25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25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25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25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25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25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25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25">
      <c r="A14" t="s">
        <v>54</v>
      </c>
      <c r="C14" t="s">
        <v>95</v>
      </c>
      <c r="D14" s="3">
        <v>20.8062</v>
      </c>
    </row>
    <row r="15" spans="1:8" x14ac:dyDescent="0.25">
      <c r="A15" t="s">
        <v>55</v>
      </c>
      <c r="B15">
        <v>8</v>
      </c>
      <c r="C15" t="s">
        <v>90</v>
      </c>
    </row>
    <row r="16" spans="1:8" x14ac:dyDescent="0.25">
      <c r="A16" t="s">
        <v>56</v>
      </c>
      <c r="C16" t="s">
        <v>96</v>
      </c>
      <c r="D16" s="3">
        <v>124.1564</v>
      </c>
    </row>
    <row r="17" spans="1:4" x14ac:dyDescent="0.25">
      <c r="A17" t="s">
        <v>57</v>
      </c>
      <c r="B17">
        <v>2</v>
      </c>
      <c r="C17" t="s">
        <v>90</v>
      </c>
    </row>
    <row r="18" spans="1:4" x14ac:dyDescent="0.25">
      <c r="A18" t="s">
        <v>58</v>
      </c>
      <c r="B18">
        <v>2</v>
      </c>
      <c r="C18" t="s">
        <v>92</v>
      </c>
      <c r="D18" s="3">
        <v>2.94</v>
      </c>
    </row>
    <row r="19" spans="1:4" x14ac:dyDescent="0.25">
      <c r="A19" t="s">
        <v>59</v>
      </c>
      <c r="B19">
        <v>2</v>
      </c>
      <c r="C19" t="s">
        <v>92</v>
      </c>
      <c r="D19" s="3">
        <v>3.78</v>
      </c>
    </row>
    <row r="20" spans="1:4" x14ac:dyDescent="0.25">
      <c r="A20" t="s">
        <v>60</v>
      </c>
      <c r="B20">
        <v>5</v>
      </c>
      <c r="C20" t="s">
        <v>93</v>
      </c>
    </row>
    <row r="21" spans="1:4" x14ac:dyDescent="0.25">
      <c r="A21" t="s">
        <v>61</v>
      </c>
      <c r="B21">
        <v>1</v>
      </c>
      <c r="C21" t="s">
        <v>96</v>
      </c>
      <c r="D21" s="3">
        <v>14.7348</v>
      </c>
    </row>
    <row r="22" spans="1:4" x14ac:dyDescent="0.25">
      <c r="A22" t="s">
        <v>62</v>
      </c>
      <c r="C22" t="s">
        <v>96</v>
      </c>
      <c r="D22" s="3">
        <v>45.024799999999999</v>
      </c>
    </row>
    <row r="23" spans="1:4" x14ac:dyDescent="0.25">
      <c r="A23" t="s">
        <v>63</v>
      </c>
      <c r="C23" t="s">
        <v>95</v>
      </c>
      <c r="D23" s="3">
        <v>19.8809</v>
      </c>
    </row>
    <row r="24" spans="1:4" x14ac:dyDescent="0.25">
      <c r="A24" t="s">
        <v>64</v>
      </c>
      <c r="B24">
        <v>38</v>
      </c>
      <c r="C24" t="s">
        <v>90</v>
      </c>
    </row>
    <row r="25" spans="1:4" x14ac:dyDescent="0.25">
      <c r="A25" t="s">
        <v>65</v>
      </c>
      <c r="B25">
        <v>171</v>
      </c>
      <c r="C25" t="s">
        <v>93</v>
      </c>
    </row>
    <row r="26" spans="1:4" x14ac:dyDescent="0.25">
      <c r="A26" t="s">
        <v>66</v>
      </c>
      <c r="B26">
        <v>19</v>
      </c>
      <c r="C26" t="s">
        <v>92</v>
      </c>
      <c r="D26" s="3">
        <v>23.94</v>
      </c>
    </row>
    <row r="27" spans="1:4" x14ac:dyDescent="0.25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25">
      <c r="A28" t="s">
        <v>68</v>
      </c>
      <c r="B28">
        <v>19</v>
      </c>
      <c r="C28" t="s">
        <v>96</v>
      </c>
      <c r="D28" s="3">
        <v>338.7396</v>
      </c>
    </row>
    <row r="29" spans="1:4" x14ac:dyDescent="0.25">
      <c r="A29" t="s">
        <v>69</v>
      </c>
      <c r="C29" t="s">
        <v>96</v>
      </c>
      <c r="D29" s="3">
        <v>530.63199999999995</v>
      </c>
    </row>
    <row r="30" spans="1:4" x14ac:dyDescent="0.25">
      <c r="A30" t="s">
        <v>70</v>
      </c>
      <c r="C30" t="s">
        <v>97</v>
      </c>
      <c r="D30" s="3">
        <v>90.155000000000001</v>
      </c>
    </row>
    <row r="31" spans="1:4" x14ac:dyDescent="0.25">
      <c r="A31" t="s">
        <v>71</v>
      </c>
      <c r="C31" t="s">
        <v>95</v>
      </c>
      <c r="D31" s="3">
        <v>297.255</v>
      </c>
    </row>
    <row r="32" spans="1:4" x14ac:dyDescent="0.25">
      <c r="A32" t="s">
        <v>57</v>
      </c>
      <c r="B32">
        <v>2</v>
      </c>
      <c r="C32" t="s">
        <v>90</v>
      </c>
    </row>
    <row r="33" spans="1:4" x14ac:dyDescent="0.25">
      <c r="A33" t="s">
        <v>72</v>
      </c>
      <c r="B33">
        <v>2</v>
      </c>
      <c r="C33" t="s">
        <v>93</v>
      </c>
    </row>
    <row r="34" spans="1:4" x14ac:dyDescent="0.25">
      <c r="A34" t="s">
        <v>73</v>
      </c>
      <c r="B34">
        <v>1</v>
      </c>
      <c r="C34" t="s">
        <v>92</v>
      </c>
      <c r="D34" s="3">
        <v>1.26</v>
      </c>
    </row>
    <row r="35" spans="1:4" x14ac:dyDescent="0.25">
      <c r="A35" t="s">
        <v>74</v>
      </c>
      <c r="B35">
        <v>1</v>
      </c>
      <c r="C35" t="s">
        <v>96</v>
      </c>
      <c r="D35" s="3">
        <v>15.21</v>
      </c>
    </row>
    <row r="36" spans="1:4" x14ac:dyDescent="0.25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25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25">
      <c r="A38" t="s">
        <v>77</v>
      </c>
      <c r="C38" t="s">
        <v>96</v>
      </c>
      <c r="D38" s="3">
        <v>27.928000000000001</v>
      </c>
    </row>
    <row r="39" spans="1:4" x14ac:dyDescent="0.25">
      <c r="A39" t="s">
        <v>78</v>
      </c>
      <c r="C39" t="s">
        <v>97</v>
      </c>
      <c r="D39" s="3">
        <v>4.7450000000000001</v>
      </c>
    </row>
    <row r="40" spans="1:4" x14ac:dyDescent="0.25">
      <c r="A40" t="s">
        <v>79</v>
      </c>
      <c r="C40" t="s">
        <v>95</v>
      </c>
      <c r="D40" s="3">
        <v>15.645</v>
      </c>
    </row>
    <row r="41" spans="1:4" x14ac:dyDescent="0.25">
      <c r="A41" t="s">
        <v>57</v>
      </c>
      <c r="B41">
        <v>2</v>
      </c>
      <c r="C41" t="s">
        <v>90</v>
      </c>
    </row>
    <row r="42" spans="1:4" x14ac:dyDescent="0.25">
      <c r="A42" t="s">
        <v>80</v>
      </c>
      <c r="B42">
        <v>7</v>
      </c>
      <c r="C42" t="s">
        <v>93</v>
      </c>
    </row>
    <row r="43" spans="1:4" x14ac:dyDescent="0.25">
      <c r="A43" t="s">
        <v>81</v>
      </c>
      <c r="B43">
        <v>2</v>
      </c>
      <c r="C43" t="s">
        <v>93</v>
      </c>
    </row>
    <row r="44" spans="1:4" x14ac:dyDescent="0.25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25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25">
      <c r="A46" t="s">
        <v>82</v>
      </c>
      <c r="C46" t="s">
        <v>96</v>
      </c>
      <c r="D46" s="3">
        <v>26.827999999999999</v>
      </c>
    </row>
    <row r="47" spans="1:4" x14ac:dyDescent="0.25">
      <c r="A47" t="s">
        <v>78</v>
      </c>
      <c r="C47" t="s">
        <v>97</v>
      </c>
      <c r="D47" s="3">
        <v>4.7450000000000001</v>
      </c>
    </row>
    <row r="48" spans="1:4" x14ac:dyDescent="0.25">
      <c r="A48" t="s">
        <v>79</v>
      </c>
      <c r="C48" t="s">
        <v>95</v>
      </c>
      <c r="D48" s="3">
        <v>15.645</v>
      </c>
    </row>
    <row r="49" spans="1:4" x14ac:dyDescent="0.25">
      <c r="A49" t="s">
        <v>57</v>
      </c>
      <c r="B49">
        <v>2</v>
      </c>
      <c r="C49" t="s">
        <v>90</v>
      </c>
    </row>
    <row r="50" spans="1:4" x14ac:dyDescent="0.25">
      <c r="A50" t="s">
        <v>83</v>
      </c>
      <c r="B50">
        <v>4</v>
      </c>
      <c r="C50" t="s">
        <v>93</v>
      </c>
    </row>
    <row r="51" spans="1:4" x14ac:dyDescent="0.25">
      <c r="A51" t="s">
        <v>73</v>
      </c>
      <c r="B51">
        <v>1</v>
      </c>
      <c r="C51" t="s">
        <v>92</v>
      </c>
      <c r="D51" s="3">
        <v>1.26</v>
      </c>
    </row>
    <row r="52" spans="1:4" x14ac:dyDescent="0.25">
      <c r="A52" t="s">
        <v>84</v>
      </c>
      <c r="B52">
        <v>1</v>
      </c>
      <c r="C52" t="s">
        <v>93</v>
      </c>
    </row>
    <row r="53" spans="1:4" x14ac:dyDescent="0.25">
      <c r="A53" t="s">
        <v>85</v>
      </c>
      <c r="B53">
        <v>1</v>
      </c>
      <c r="C53" t="s">
        <v>92</v>
      </c>
      <c r="D53" s="3">
        <v>10.5</v>
      </c>
    </row>
    <row r="54" spans="1:4" x14ac:dyDescent="0.25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25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25">
      <c r="A56" t="s">
        <v>77</v>
      </c>
      <c r="C56" t="s">
        <v>96</v>
      </c>
      <c r="D56" s="3">
        <v>27.928000000000001</v>
      </c>
    </row>
    <row r="57" spans="1:4" x14ac:dyDescent="0.25">
      <c r="A57" t="s">
        <v>78</v>
      </c>
      <c r="C57" t="s">
        <v>97</v>
      </c>
      <c r="D57" s="3">
        <v>4.7450000000000001</v>
      </c>
    </row>
    <row r="58" spans="1:4" x14ac:dyDescent="0.25">
      <c r="A58" t="s">
        <v>79</v>
      </c>
      <c r="C58" t="s">
        <v>95</v>
      </c>
      <c r="D58" s="3">
        <v>15.645</v>
      </c>
    </row>
    <row r="59" spans="1:4" x14ac:dyDescent="0.25">
      <c r="A59" t="s">
        <v>57</v>
      </c>
      <c r="B59">
        <v>2</v>
      </c>
      <c r="C59" t="s">
        <v>90</v>
      </c>
    </row>
    <row r="60" spans="1:4" x14ac:dyDescent="0.25">
      <c r="A60" t="s">
        <v>80</v>
      </c>
      <c r="B60">
        <v>7</v>
      </c>
      <c r="C60" t="s">
        <v>93</v>
      </c>
    </row>
    <row r="61" spans="1:4" x14ac:dyDescent="0.25">
      <c r="A61" t="s">
        <v>86</v>
      </c>
      <c r="B61">
        <v>1</v>
      </c>
      <c r="C61" t="s">
        <v>96</v>
      </c>
      <c r="D61" s="3">
        <v>5.61</v>
      </c>
    </row>
    <row r="62" spans="1:4" x14ac:dyDescent="0.25">
      <c r="A62" t="s">
        <v>87</v>
      </c>
      <c r="C62" t="s">
        <v>96</v>
      </c>
      <c r="D62" s="3">
        <v>69.707599999999999</v>
      </c>
    </row>
    <row r="63" spans="1:4" x14ac:dyDescent="0.25">
      <c r="A63" t="s">
        <v>78</v>
      </c>
      <c r="C63" t="s">
        <v>97</v>
      </c>
      <c r="D63" s="3">
        <v>4.7450000000000001</v>
      </c>
    </row>
    <row r="64" spans="1:4" x14ac:dyDescent="0.25">
      <c r="A64" t="s">
        <v>79</v>
      </c>
      <c r="C64" t="s">
        <v>95</v>
      </c>
      <c r="D64" s="3">
        <v>15.645</v>
      </c>
    </row>
    <row r="65" spans="1:4" x14ac:dyDescent="0.25">
      <c r="A65" t="s">
        <v>57</v>
      </c>
      <c r="B65">
        <v>2</v>
      </c>
      <c r="C65" t="s">
        <v>90</v>
      </c>
    </row>
    <row r="66" spans="1:4" x14ac:dyDescent="0.25">
      <c r="A66" t="s">
        <v>58</v>
      </c>
      <c r="B66">
        <v>2</v>
      </c>
      <c r="C66" t="s">
        <v>92</v>
      </c>
      <c r="D66" s="3">
        <v>2.94</v>
      </c>
    </row>
    <row r="67" spans="1:4" x14ac:dyDescent="0.25">
      <c r="A67" t="s">
        <v>88</v>
      </c>
      <c r="C67" t="s">
        <v>96</v>
      </c>
      <c r="D67" s="3">
        <v>32.372</v>
      </c>
    </row>
    <row r="68" spans="1:4" x14ac:dyDescent="0.25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32</vt:i4>
      </vt:variant>
    </vt:vector>
  </HeadingPairs>
  <TitlesOfParts>
    <vt:vector size="52" baseType="lpstr">
      <vt:lpstr>DADOS_INICIAIS</vt:lpstr>
      <vt:lpstr>MÃO DE OBRA</vt:lpstr>
      <vt:lpstr>MOVIMENTAÇÃO_DE_TERRA</vt:lpstr>
      <vt:lpstr>CONTENÇÕES</vt:lpstr>
      <vt:lpstr>INFRAESTRUTURA</vt:lpstr>
      <vt:lpstr>CONTENÇÃO</vt:lpstr>
      <vt:lpstr>SUPRAESTRUTURA</vt:lpstr>
      <vt:lpstr>ALVENARIA</vt:lpstr>
      <vt:lpstr>INSTALAÇÕES</vt:lpstr>
      <vt:lpstr>SISTEMAS ESPECIAIS</vt:lpstr>
      <vt:lpstr>IMPERMEABILIZAÇÃO</vt:lpstr>
      <vt:lpstr>Rev. Internos Piso e Parede</vt:lpstr>
      <vt:lpstr>TETO</vt:lpstr>
      <vt:lpstr>Acabamentos de Piso e Parede</vt:lpstr>
      <vt:lpstr>PINTURA INTERNA</vt:lpstr>
      <vt:lpstr>ESQUADRIAS</vt:lpstr>
      <vt:lpstr>COBERTURA</vt:lpstr>
      <vt:lpstr>Rev. Fachada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CONTENÇÃO!Area_de_impressao</vt:lpstr>
      <vt:lpstr>CONTENÇÕES!Area_de_impressao</vt:lpstr>
      <vt:lpstr>DADOS_INICIAIS!Area_de_impressao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'MÃO DE OBRA'!Area_de_impressao</vt:lpstr>
      <vt:lpstr>MOVIMENTAÇÃO_DE_TERRA!Area_de_impressao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CONTENÇÃO!Titulos_de_impressao</vt:lpstr>
      <vt:lpstr>CONTENÇÕES!Titulos_de_impressao</vt:lpstr>
      <vt:lpstr>DADOS_INICIAIS!Titulos_de_impressao</vt:lpstr>
      <vt:lpstr>ESQUADRIAS!Titulos_de_impressao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Patricia Bragatto</cp:lastModifiedBy>
  <cp:lastPrinted>2020-09-28T02:21:03Z</cp:lastPrinted>
  <dcterms:created xsi:type="dcterms:W3CDTF">2013-07-31T19:52:57Z</dcterms:created>
  <dcterms:modified xsi:type="dcterms:W3CDTF">2024-10-15T10:31:42Z</dcterms:modified>
</cp:coreProperties>
</file>