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errazzo Correa Incorporadora\04. Custo\04.1 Custo - Paramétrico\03 - Indiretos\"/>
    </mc:Choice>
  </mc:AlternateContent>
  <xr:revisionPtr revIDLastSave="0" documentId="13_ncr:1_{EEBB5342-1972-4DEB-B49D-293E932099E4}" xr6:coauthVersionLast="47" xr6:coauthVersionMax="47" xr10:uidLastSave="{00000000-0000-0000-0000-000000000000}"/>
  <bookViews>
    <workbookView xWindow="-23148" yWindow="-48" windowWidth="23256" windowHeight="12456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D37" i="5" l="1"/>
  <c r="E45" i="5"/>
  <c r="H34" i="3"/>
  <c r="J6" i="3"/>
  <c r="P39" i="3" s="1"/>
  <c r="P27" i="3" l="1"/>
  <c r="P12" i="3"/>
  <c r="P28" i="3"/>
  <c r="P13" i="3"/>
  <c r="P29" i="3"/>
  <c r="P14" i="3"/>
  <c r="P30" i="3"/>
  <c r="P15" i="3"/>
  <c r="P31" i="3"/>
  <c r="P16" i="3"/>
  <c r="P32" i="3"/>
  <c r="P17" i="3"/>
  <c r="P33" i="3"/>
  <c r="P41" i="3"/>
  <c r="P18" i="3"/>
  <c r="P19" i="3"/>
  <c r="P36" i="3"/>
  <c r="P24" i="3"/>
  <c r="P40" i="3"/>
  <c r="P25" i="3"/>
  <c r="P26" i="3"/>
  <c r="P34" i="3"/>
  <c r="P35" i="3"/>
  <c r="P20" i="3"/>
  <c r="P21" i="3"/>
  <c r="P37" i="3"/>
  <c r="P22" i="3"/>
  <c r="P38" i="3"/>
  <c r="P23" i="3"/>
  <c r="H23" i="3" s="1"/>
  <c r="R10" i="3"/>
  <c r="Q10" i="3"/>
  <c r="J7" i="3"/>
  <c r="R41" i="3" l="1"/>
  <c r="H41" i="3" s="1"/>
  <c r="R25" i="3"/>
  <c r="R40" i="3"/>
  <c r="R24" i="3"/>
  <c r="R39" i="3"/>
  <c r="H39" i="3" s="1"/>
  <c r="R23" i="3"/>
  <c r="R22" i="3"/>
  <c r="H22" i="3" s="1"/>
  <c r="R36" i="3"/>
  <c r="R26" i="3"/>
  <c r="R38" i="3"/>
  <c r="R37" i="3"/>
  <c r="H37" i="3" s="1"/>
  <c r="R21" i="3"/>
  <c r="R20" i="3"/>
  <c r="R28" i="3"/>
  <c r="R12" i="3"/>
  <c r="H12" i="3" s="1"/>
  <c r="R27" i="3"/>
  <c r="R35" i="3"/>
  <c r="R19" i="3"/>
  <c r="H19" i="3" s="1"/>
  <c r="R34" i="3"/>
  <c r="R18" i="3"/>
  <c r="H18" i="3" s="1"/>
  <c r="R33" i="3"/>
  <c r="R17" i="3"/>
  <c r="H17" i="3" s="1"/>
  <c r="R32" i="3"/>
  <c r="R16" i="3"/>
  <c r="R31" i="3"/>
  <c r="R15" i="3"/>
  <c r="H15" i="3" s="1"/>
  <c r="R30" i="3"/>
  <c r="R14" i="3"/>
  <c r="H14" i="3" s="1"/>
  <c r="R29" i="3"/>
  <c r="R13" i="3"/>
  <c r="H13" i="3" s="1"/>
  <c r="H38" i="3"/>
  <c r="H40" i="3"/>
  <c r="D35" i="4"/>
  <c r="D33" i="4"/>
  <c r="D27" i="4"/>
  <c r="D12" i="4"/>
  <c r="D19" i="4" s="1"/>
  <c r="D11" i="4"/>
  <c r="D13" i="4" s="1"/>
  <c r="D16" i="2"/>
  <c r="D13" i="2"/>
  <c r="D18" i="2" s="1"/>
  <c r="D17" i="2" l="1"/>
  <c r="D15" i="2"/>
  <c r="D51" i="5"/>
  <c r="F51" i="5" s="1"/>
  <c r="D44" i="5"/>
  <c r="P10" i="3"/>
  <c r="O10" i="3"/>
  <c r="B2" i="4" l="1"/>
  <c r="B1" i="4"/>
  <c r="B2" i="2"/>
  <c r="B1" i="2"/>
  <c r="E36" i="5"/>
  <c r="F70" i="5"/>
  <c r="F62" i="5"/>
  <c r="F63" i="5"/>
  <c r="F64" i="5"/>
  <c r="F65" i="5"/>
  <c r="F66" i="5"/>
  <c r="F61" i="5"/>
  <c r="F37" i="5"/>
  <c r="D24" i="2"/>
  <c r="D69" i="5" l="1"/>
  <c r="F69" i="5" s="1"/>
  <c r="E68" i="5"/>
  <c r="F68" i="5" s="1"/>
  <c r="F67" i="5" l="1"/>
  <c r="D26" i="4"/>
  <c r="D28" i="4" s="1"/>
  <c r="D14" i="4"/>
  <c r="M18" i="3" l="1"/>
  <c r="K18" i="3" l="1"/>
  <c r="I18" i="3" l="1"/>
  <c r="F49" i="5" l="1"/>
  <c r="D47" i="5"/>
  <c r="F47" i="5" s="1"/>
  <c r="F46" i="5" s="1"/>
  <c r="D45" i="5"/>
  <c r="E44" i="5"/>
  <c r="D43" i="5"/>
  <c r="D42" i="5"/>
  <c r="D41" i="5"/>
  <c r="E27" i="5"/>
  <c r="D27" i="5"/>
  <c r="B10" i="5"/>
  <c r="B8" i="5"/>
  <c r="B7" i="5"/>
  <c r="D43" i="4"/>
  <c r="D56" i="5" s="1"/>
  <c r="F56" i="5" s="1"/>
  <c r="D36" i="4"/>
  <c r="D32" i="5" s="1"/>
  <c r="F32" i="5" s="1"/>
  <c r="D34" i="5"/>
  <c r="F34" i="5" s="1"/>
  <c r="D30" i="5"/>
  <c r="F30" i="5" s="1"/>
  <c r="D29" i="5"/>
  <c r="F29" i="5" s="1"/>
  <c r="B3" i="4"/>
  <c r="N41" i="3"/>
  <c r="L41" i="3"/>
  <c r="J41" i="3"/>
  <c r="N40" i="3"/>
  <c r="L40" i="3"/>
  <c r="J40" i="3"/>
  <c r="N39" i="3"/>
  <c r="L39" i="3"/>
  <c r="J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2" i="3"/>
  <c r="L32" i="3"/>
  <c r="J32" i="3"/>
  <c r="N23" i="3"/>
  <c r="L23" i="3"/>
  <c r="J23" i="3"/>
  <c r="N22" i="3"/>
  <c r="L22" i="3"/>
  <c r="J22" i="3"/>
  <c r="N21" i="3"/>
  <c r="L21" i="3"/>
  <c r="J21" i="3"/>
  <c r="N19" i="3"/>
  <c r="L19" i="3"/>
  <c r="J19" i="3"/>
  <c r="N18" i="3"/>
  <c r="L18" i="3"/>
  <c r="J18" i="3"/>
  <c r="N17" i="3"/>
  <c r="L17" i="3"/>
  <c r="J17" i="3"/>
  <c r="N15" i="3"/>
  <c r="L15" i="3"/>
  <c r="J15" i="3"/>
  <c r="N14" i="3"/>
  <c r="L14" i="3"/>
  <c r="J14" i="3"/>
  <c r="N13" i="3"/>
  <c r="L13" i="3"/>
  <c r="J13" i="3"/>
  <c r="N12" i="3"/>
  <c r="L12" i="3"/>
  <c r="J12" i="3"/>
  <c r="N10" i="3"/>
  <c r="M10" i="3"/>
  <c r="L10" i="3"/>
  <c r="K10" i="3"/>
  <c r="J10" i="3"/>
  <c r="I10" i="3"/>
  <c r="D4" i="3"/>
  <c r="C4" i="3"/>
  <c r="B4" i="3"/>
  <c r="A4" i="3"/>
  <c r="F33" i="2"/>
  <c r="F32" i="2"/>
  <c r="F31" i="2"/>
  <c r="D28" i="2"/>
  <c r="F28" i="2" s="1"/>
  <c r="F27" i="2"/>
  <c r="F26" i="2"/>
  <c r="F25" i="2"/>
  <c r="F24" i="2"/>
  <c r="F36" i="5"/>
  <c r="D11" i="2"/>
  <c r="B3" i="2"/>
  <c r="D21" i="4" l="1"/>
  <c r="D31" i="5" s="1"/>
  <c r="F34" i="2"/>
  <c r="E55" i="5" s="1"/>
  <c r="F55" i="5" s="1"/>
  <c r="F17" i="5"/>
  <c r="F57" i="5"/>
  <c r="H57" i="5" s="1"/>
  <c r="H58" i="5" s="1"/>
  <c r="E50" i="5"/>
  <c r="F50" i="5" s="1"/>
  <c r="E52" i="5"/>
  <c r="F52" i="5" s="1"/>
  <c r="F23" i="5"/>
  <c r="F21" i="5"/>
  <c r="F16" i="5"/>
  <c r="E53" i="5"/>
  <c r="F53" i="5" s="1"/>
  <c r="F38" i="5"/>
  <c r="F22" i="5"/>
  <c r="F19" i="5"/>
  <c r="F18" i="5"/>
  <c r="E35" i="5"/>
  <c r="F35" i="5" s="1"/>
  <c r="F45" i="5"/>
  <c r="F41" i="5"/>
  <c r="F42" i="5"/>
  <c r="F27" i="5"/>
  <c r="F26" i="5" s="1"/>
  <c r="F43" i="5"/>
  <c r="F29" i="2"/>
  <c r="E54" i="5" s="1"/>
  <c r="F54" i="5" s="1"/>
  <c r="F44" i="5"/>
  <c r="K4" i="3"/>
  <c r="D19" i="2"/>
  <c r="F31" i="5"/>
  <c r="D33" i="5"/>
  <c r="F33" i="5" s="1"/>
  <c r="E60" i="5"/>
  <c r="F60" i="5" s="1"/>
  <c r="F40" i="5" l="1"/>
  <c r="F28" i="5"/>
  <c r="F25" i="5" s="1"/>
  <c r="F59" i="5"/>
  <c r="F58" i="5" s="1"/>
  <c r="F20" i="5"/>
  <c r="F48" i="5"/>
  <c r="F15" i="5"/>
  <c r="F14" i="5" l="1"/>
  <c r="F39" i="5"/>
  <c r="F24" i="5" s="1"/>
  <c r="F71" i="5" s="1"/>
</calcChain>
</file>

<file path=xl/sharedStrings.xml><?xml version="1.0" encoding="utf-8"?>
<sst xmlns="http://schemas.openxmlformats.org/spreadsheetml/2006/main" count="380" uniqueCount="236">
  <si>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</si>
  <si>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</si>
  <si>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</si>
  <si>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</si>
  <si>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</si>
  <si>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</si>
  <si>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</si>
  <si>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</si>
  <si>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</si>
  <si>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</si>
  <si>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</si>
  <si>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</si>
  <si>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</si>
  <si>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</si>
  <si>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</si>
  <si>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</si>
  <si>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</si>
  <si>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</si>
  <si>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</si>
  <si>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</si>
  <si>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</si>
  <si>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</si>
  <si>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</si>
  <si>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</si>
  <si>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</si>
  <si>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</si>
  <si>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</si>
  <si>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</si>
  <si>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</si>
  <si>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</si>
  <si>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</si>
  <si>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</si>
  <si>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</si>
  <si>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</si>
  <si>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</si>
  <si>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</si>
  <si>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</si>
  <si>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</si>
  <si>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</si>
  <si>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</si>
  <si>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</si>
  <si>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</si>
  <si>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</si>
  <si>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</si>
  <si>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</si>
  <si>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</si>
  <si>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</si>
  <si>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</si>
  <si>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</si>
  <si>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</si>
  <si>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</si>
  <si>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</si>
  <si>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</si>
  <si>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</si>
  <si>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</si>
  <si>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</si>
  <si>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</si>
  <si>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</si>
  <si>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</si>
  <si>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</si>
  <si>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</si>
  <si>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</si>
  <si>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</si>
  <si>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</si>
  <si>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</si>
  <si>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</si>
  <si>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</si>
  <si>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</si>
  <si>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</si>
  <si>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</si>
  <si>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</si>
  <si>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</si>
  <si>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</si>
  <si>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</si>
  <si>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</si>
  <si>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</si>
  <si>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</si>
  <si>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</si>
  <si>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</si>
  <si>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</si>
  <si>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</si>
  <si>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</si>
  <si>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</si>
  <si>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</si>
  <si>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</si>
  <si>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</si>
  <si>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</si>
  <si>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</si>
  <si>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</si>
  <si>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</si>
  <si>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</si>
  <si>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</si>
  <si>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</si>
  <si>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</si>
  <si>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</si>
  <si>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</si>
  <si>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</si>
  <si>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</si>
  <si>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</si>
  <si>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</si>
  <si>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</si>
  <si>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</si>
  <si>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</si>
  <si>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</si>
  <si>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</si>
  <si>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</si>
  <si>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</si>
  <si>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</si>
  <si>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</si>
  <si>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</si>
  <si>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</si>
  <si>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</si>
  <si>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</si>
  <si>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</si>
  <si>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</si>
  <si>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</si>
  <si>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</si>
  <si>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</si>
  <si>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</si>
  <si>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</si>
  <si>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</si>
  <si>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</si>
  <si>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</si>
  <si>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</si>
  <si>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</si>
  <si>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</si>
  <si>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</si>
  <si>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</si>
  <si>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</si>
  <si>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</si>
  <si>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</si>
  <si>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</si>
  <si>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</si>
  <si>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</si>
  <si>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</si>
  <si>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</si>
  <si>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</si>
  <si>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</si>
  <si>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</si>
  <si>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</si>
  <si>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</si>
  <si>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</si>
  <si>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</si>
  <si>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</si>
  <si>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</si>
  <si>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</si>
  <si>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</si>
  <si>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</si>
  <si>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</si>
  <si>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</si>
  <si>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</si>
  <si>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</si>
  <si>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</si>
  <si>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</si>
  <si>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</si>
  <si>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</si>
  <si>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</si>
  <si>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</si>
  <si>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</si>
  <si>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</si>
  <si>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</si>
  <si>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</si>
  <si>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</si>
  <si>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</si>
  <si>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</si>
  <si>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</si>
  <si>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</si>
  <si>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</si>
  <si>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02.002.001.005</t>
  </si>
  <si>
    <t>02.002.001.006</t>
  </si>
  <si>
    <t>02.002.001.007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</si>
  <si>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</si>
  <si>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</si>
  <si>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</si>
  <si>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</si>
  <si>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</si>
  <si>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</si>
  <si>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</si>
  <si>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</si>
  <si>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</si>
  <si>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</si>
  <si>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</si>
  <si>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</si>
  <si>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</si>
  <si>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</si>
  <si>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</si>
  <si>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</si>
  <si>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</si>
  <si>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</si>
  <si>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</si>
  <si>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</si>
  <si>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</si>
  <si>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</si>
  <si>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</si>
  <si>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</si>
  <si>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</si>
  <si>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</si>
  <si>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</si>
  <si>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</si>
  <si>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</si>
  <si>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</si>
  <si>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</si>
  <si>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</si>
  <si>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</si>
  <si>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</si>
  <si>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</si>
  <si>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</si>
  <si>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</si>
  <si>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</si>
  <si>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</si>
  <si>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</si>
  <si>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</si>
  <si>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One Palace</t>
  </si>
  <si>
    <t>index</t>
  </si>
  <si>
    <t>Gran Torino</t>
  </si>
  <si>
    <t>Mirador de alicante</t>
  </si>
  <si>
    <t>Equipe de apoio</t>
  </si>
  <si>
    <t>Perimetro da torre</t>
  </si>
  <si>
    <t>Altura da torre</t>
  </si>
  <si>
    <t>Mobilização e desmobilização de elevador cremalheira</t>
  </si>
  <si>
    <t>02.003.001.004</t>
  </si>
  <si>
    <t>02.003.001.008</t>
  </si>
  <si>
    <t>02.001.002.006</t>
  </si>
  <si>
    <t>02.001.002.008</t>
  </si>
  <si>
    <t>02.001.002.009</t>
  </si>
  <si>
    <t>Gurada-corpo de vãos com régua de pinus 2,5x15cm</t>
  </si>
  <si>
    <t>Período da fundação</t>
  </si>
  <si>
    <t>Locação de elevador cremalheira</t>
  </si>
  <si>
    <t>Locação de Mini-grua</t>
  </si>
  <si>
    <t>2 seventes (84% de encargos)</t>
  </si>
  <si>
    <t>Locação de Conteiner</t>
  </si>
  <si>
    <t>Viva Perequê Residencial</t>
  </si>
  <si>
    <t>Ferazzo e Correa Incorporadora</t>
  </si>
  <si>
    <t>Marine</t>
  </si>
  <si>
    <t>Perímetro de projeção da torre + vão do elevador</t>
  </si>
  <si>
    <t>For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</si>
</sst>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2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31" fillId="0" borderId="0" applyFont="0" applyFill="0" applyBorder="0" applyAlignment="0" applyProtection="0"/>
  </cellStyleXfs>
  <cellXfs count="23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0" fontId="7" fillId="3" borderId="49" xfId="0" applyFont="1" applyFill="1" applyBorder="1"/>
    <xf numFmtId="43" fontId="23" fillId="0" borderId="0" xfId="0" applyNumberFormat="1" applyFont="1" applyAlignment="1">
      <alignment vertical="center"/>
    </xf>
    <xf numFmtId="43" fontId="8" fillId="13" borderId="100" xfId="1" applyFont="1" applyFill="1" applyBorder="1" applyAlignment="1">
      <alignment vertical="center" wrapText="1"/>
    </xf>
    <xf numFmtId="43" fontId="8" fillId="13" borderId="101" xfId="1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  <xf numFmtId="164" fontId="24" fillId="0" borderId="91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944880</xdr:colOff>
      <xdr:row>1</xdr:row>
      <xdr:rowOff>22860</xdr:rowOff>
    </xdr:from>
    <xdr:ext cx="4200525" cy="376428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0" y="297180"/>
          <a:ext cx="4200525" cy="376428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Ferrazzo%20Correa%20Incorporadora\04.%20Custo\04.1%20Custo%20-%20Param&#233;trico\04%20-%20Apresenta&#231;&#227;o\CTN-FCR-VIV%20-%20Apresenta&#231;&#227;o%20Or&#231;amento_R00.xlsx" TargetMode="External"/><Relationship Id="rId1" Type="http://schemas.openxmlformats.org/officeDocument/2006/relationships/externalLinkPath" Target="/.shortcut-targets-by-id/16oaQUYgx8kiowDwLhg-oO1zGZ777DJUb/2.%20Projetos%20em%20Andamento/Ferrazzo%20Correa%20Incorporadora/04.%20Custo/04.1%20Custo%20-%20Param&#233;trico/04%20-%20Apresenta&#231;&#227;o/CTN-FCR-VIV%20-%20Apresenta&#231;&#227;o%20Or&#231;amento_R00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rine\03.%20Custo\03.5%20Custo%20-%20Determina&#231;&#227;o%20do%20or&#231;amento\R01\Apresenta&#231;&#227;o\CTN-ALF-MRN%20-%20Apresenta&#231;&#227;o%20Or&#231;amento%20-%20R01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Apresenta&#231;&#227;o/CTN-ALF-MRN%20-%20Apresenta&#231;&#227;o%20Or&#231;amento%20-%20R01.xlsx?90A44113" TargetMode="External"/><Relationship Id="rId1" Type="http://schemas.openxmlformats.org/officeDocument/2006/relationships/externalLinkPath" Target="file:///\\90A44113\CTN-ALF-MRN%20-%20Apresenta&#231;&#227;o%20Or&#231;amento%20-%20R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By%20Seasons\04.%20Custo\03.5%20Custo%20-%20Determina&#231;&#227;o%20do%20or&#231;amento\CTN-BSN-FSN%20%20-%20Or&#231;amento_R00.xlsb" TargetMode="External"/><Relationship Id="rId1" Type="http://schemas.openxmlformats.org/officeDocument/2006/relationships/externalLinkPath" Target="/.shortcut-targets-by-id/16oaQUYgx8kiowDwLhg-oO1zGZ777DJUb/2.%20Projetos%20em%20Andamento/By%20Seasons/04.%20Custo/03.5%20Custo%20-%20Determina&#231;&#227;o%20do%20or&#231;amento/CTN-BSN-FSN%20%20-%20Or&#231;amento_R00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Ferrazzo%20Correa%20Incorporadora\04.%20Custo\04.1%20Custo%20-%20Param&#233;trico\02%20-%20Diretos\CTN-FCR-VIV-Gerenciamento%20Executivo.xlsx" TargetMode="External"/><Relationship Id="rId1" Type="http://schemas.openxmlformats.org/officeDocument/2006/relationships/externalLinkPath" Target="/.shortcut-targets-by-id/16oaQUYgx8kiowDwLhg-oO1zGZ777DJUb/2.%20Projetos%20em%20Andamento/Ferrazzo%20Correa%20Incorporadora/04.%20Custo/04.1%20Custo%20-%20Param&#233;trico/02%20-%20Diretos/CTN-FCR-VIV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_EXECUTIVO"/>
      <sheetName val="ANÁLISE_CUSTOS"/>
      <sheetName val="CÁLCULO_MÉDIAS"/>
      <sheetName val="AREAS PRIVATIVAS"/>
    </sheetNames>
    <sheetDataSet>
      <sheetData sheetId="0">
        <row r="20">
          <cell r="B20">
            <v>2965.54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_EXECUTIVO"/>
      <sheetName val="AREAS PRIVATIVAS"/>
      <sheetName val="ANÁLISE_CUSTOS"/>
      <sheetName val="CÁLCULO_MÉDIAS"/>
      <sheetName val="COMPARAÇÕES"/>
      <sheetName val="Amalfi"/>
    </sheetNames>
    <sheetDataSet>
      <sheetData sheetId="0">
        <row r="20">
          <cell r="B20">
            <v>2750.52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EPC's"/>
      <sheetName val="Canteiro"/>
      <sheetName val="Controle Tecnologico"/>
      <sheetName val="Ger_Tec e Adm"/>
      <sheetName val="Ger_Executivo"/>
      <sheetName val="MO Infra"/>
      <sheetName val="Composição forma blocos"/>
      <sheetName val="Cotações"/>
      <sheetName val="Sapatas"/>
      <sheetName val="Blocos"/>
      <sheetName val="Vigas Fundação"/>
      <sheetName val="Arm. Cortina"/>
      <sheetName val="Cortina"/>
      <sheetName val="Tabela de Aço"/>
      <sheetName val="Lajes Fundação"/>
      <sheetName val="Duto e cisterna"/>
      <sheetName val="Estacas"/>
      <sheetName val="Movimentação de terra"/>
      <sheetName val="Infraestrutura"/>
      <sheetName val="Escoramento"/>
      <sheetName val="Cubetas"/>
      <sheetName val="Estrutura"/>
      <sheetName val="ESCADAS"/>
      <sheetName val="RAMPA"/>
      <sheetName val="Tijolos refratários"/>
      <sheetName val="ARQUITETURA"/>
      <sheetName val="ESQUADRIAS DE ALUMINIO"/>
      <sheetName val="GC-CORRIMÃO"/>
      <sheetName val="PORTAS"/>
      <sheetName val="MOBILIARIO"/>
      <sheetName val="INSTALAÇÕES"/>
      <sheetName val="INTERFONIA"/>
      <sheetName val="PISCINA"/>
      <sheetName val="PORTÕES"/>
      <sheetName val="Louças e metais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48">
          <cell r="C48">
            <v>2841.51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0">
          <cell r="E20">
            <v>73.290000000000006</v>
          </cell>
        </row>
        <row r="26">
          <cell r="E26">
            <v>93.06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32.548999999999999</v>
          </cell>
        </row>
        <row r="15">
          <cell r="D15">
            <v>115.19999999999999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D14" sqref="D14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231</v>
      </c>
      <c r="C1" s="3"/>
      <c r="D1" s="4"/>
      <c r="E1" s="5"/>
    </row>
    <row r="2" spans="1:5" ht="18" customHeight="1" x14ac:dyDescent="0.6">
      <c r="A2" s="6" t="s">
        <v>1</v>
      </c>
      <c r="B2" s="7" t="s">
        <v>232</v>
      </c>
      <c r="C2" s="8"/>
      <c r="D2" s="9"/>
      <c r="E2" s="10"/>
    </row>
    <row r="3" spans="1:5" ht="18" customHeight="1" x14ac:dyDescent="0.6">
      <c r="A3" s="6" t="s">
        <v>2</v>
      </c>
      <c r="B3" s="7" t="s">
        <v>211</v>
      </c>
      <c r="C3" s="8"/>
      <c r="D3" s="9"/>
      <c r="E3" s="10"/>
    </row>
    <row r="4" spans="1:5" ht="24.75" customHeight="1" x14ac:dyDescent="0.25">
      <c r="A4" s="197" t="s">
        <v>3</v>
      </c>
      <c r="B4" s="198"/>
      <c r="C4" s="198"/>
      <c r="D4" s="198"/>
      <c r="E4" s="199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200" t="s">
        <v>4</v>
      </c>
      <c r="B6" s="198"/>
      <c r="C6" s="198"/>
      <c r="D6" s="198"/>
      <c r="E6" s="199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600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5576.17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34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30">
        <v>35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15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9" workbookViewId="0">
      <selection activeCell="D24" sqref="D24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>Viva Perequê Residencial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>Ferazzo e Correa Incorporadora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197" t="s">
        <v>16</v>
      </c>
      <c r="B4" s="198"/>
      <c r="C4" s="198"/>
      <c r="D4" s="198"/>
      <c r="E4" s="198"/>
      <c r="F4" s="198"/>
      <c r="G4" s="199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200" t="s">
        <v>19</v>
      </c>
      <c r="B6" s="198"/>
      <c r="C6" s="198"/>
      <c r="D6" s="198"/>
      <c r="E6" s="198"/>
      <c r="F6" s="198"/>
      <c r="G6" s="199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159.31914285714285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44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5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3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3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35200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24500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3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ROUNDUP(D14*1.5,0)</f>
        <v>8</v>
      </c>
      <c r="E24" s="64">
        <v>200</v>
      </c>
      <c r="F24" s="65">
        <f>D24*E24</f>
        <v>1600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v>4</v>
      </c>
      <c r="E27" s="64">
        <v>900</v>
      </c>
      <c r="F27" s="65">
        <f t="shared" si="0"/>
        <v>3600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5</v>
      </c>
      <c r="E28" s="73">
        <v>800</v>
      </c>
      <c r="F28" s="74">
        <f t="shared" si="0"/>
        <v>4000</v>
      </c>
      <c r="G28" s="71"/>
    </row>
    <row r="29" spans="1:7" ht="15.75" customHeight="1" x14ac:dyDescent="0.25">
      <c r="A29" s="70"/>
      <c r="B29" s="201" t="s">
        <v>45</v>
      </c>
      <c r="C29" s="202"/>
      <c r="D29" s="202"/>
      <c r="E29" s="203"/>
      <c r="F29" s="77">
        <f>F26+F27+F28+F25+F24</f>
        <v>15200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v>1</v>
      </c>
      <c r="E31" s="64">
        <v>6000</v>
      </c>
      <c r="F31" s="65">
        <f>D31*E31</f>
        <v>6000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2</v>
      </c>
      <c r="E33" s="79">
        <v>500</v>
      </c>
      <c r="F33" s="80">
        <f t="shared" si="1"/>
        <v>1000</v>
      </c>
      <c r="G33" s="71"/>
    </row>
    <row r="34" spans="1:7" ht="15.75" customHeight="1" x14ac:dyDescent="0.25">
      <c r="A34" s="81"/>
      <c r="B34" s="201" t="s">
        <v>45</v>
      </c>
      <c r="C34" s="202"/>
      <c r="D34" s="202"/>
      <c r="E34" s="203"/>
      <c r="F34" s="77">
        <f>+F31+F32+F33</f>
        <v>9000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1"/>
  <sheetViews>
    <sheetView showGridLines="0" workbookViewId="0">
      <pane ySplit="8" topLeftCell="A33" activePane="bottomLeft" state="frozen"/>
      <selection pane="bottomLeft" activeCell="H38" sqref="H38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3.57031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4" width="17" hidden="1" customWidth="1"/>
    <col min="15" max="18" width="17" customWidth="1"/>
  </cols>
  <sheetData>
    <row r="1" spans="1:28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88"/>
      <c r="R1" s="88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spans="1:28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88"/>
      <c r="R2" s="88"/>
      <c r="S2" s="90"/>
      <c r="T2" s="90"/>
      <c r="U2" s="90"/>
      <c r="V2" s="90"/>
      <c r="W2" s="90"/>
      <c r="X2" s="90"/>
      <c r="Y2" s="90"/>
      <c r="Z2" s="90"/>
      <c r="AA2" s="90"/>
      <c r="AB2" s="90"/>
    </row>
    <row r="3" spans="1:28" ht="15.75" x14ac:dyDescent="0.25">
      <c r="A3" s="87"/>
      <c r="B3" s="91" t="s">
        <v>51</v>
      </c>
      <c r="C3" s="91" t="s">
        <v>52</v>
      </c>
      <c r="D3" s="209" t="s">
        <v>53</v>
      </c>
      <c r="E3" s="210"/>
      <c r="F3" s="88"/>
      <c r="G3" s="92" t="s">
        <v>54</v>
      </c>
      <c r="H3" s="93" t="s">
        <v>51</v>
      </c>
      <c r="I3" s="93" t="s">
        <v>52</v>
      </c>
      <c r="J3" s="93" t="s">
        <v>213</v>
      </c>
      <c r="K3" s="88"/>
      <c r="L3" s="88"/>
      <c r="M3" s="88"/>
      <c r="N3" s="88"/>
      <c r="O3" s="88"/>
      <c r="P3" s="88"/>
      <c r="Q3" s="88"/>
      <c r="R3" s="88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1:28" ht="15" customHeight="1" x14ac:dyDescent="0.25">
      <c r="A4" s="94" t="str">
        <f>OBRA!B1</f>
        <v>Viva Perequê Residencial</v>
      </c>
      <c r="B4" s="95">
        <f>OBRA!D9</f>
        <v>600</v>
      </c>
      <c r="C4" s="95">
        <f>OBRA!D10</f>
        <v>5576.17</v>
      </c>
      <c r="D4" s="211">
        <f>OBRA!D13</f>
        <v>15</v>
      </c>
      <c r="E4" s="210"/>
      <c r="F4" s="88"/>
      <c r="G4" s="96" t="s">
        <v>212</v>
      </c>
      <c r="H4" s="97">
        <v>0</v>
      </c>
      <c r="I4" s="97">
        <v>11653.22</v>
      </c>
      <c r="J4" s="97">
        <v>1.1207101793731082</v>
      </c>
      <c r="K4" s="88">
        <f>C4/I4</f>
        <v>0.47850894430895496</v>
      </c>
      <c r="L4" s="88"/>
      <c r="M4" s="88"/>
      <c r="N4" s="88"/>
      <c r="O4" s="88"/>
      <c r="P4" s="88"/>
      <c r="Q4" s="88"/>
      <c r="R4" s="88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 spans="1:28" ht="15" customHeight="1" x14ac:dyDescent="0.25">
      <c r="A5" s="87"/>
      <c r="B5" s="87"/>
      <c r="C5" s="87"/>
      <c r="D5" s="87"/>
      <c r="E5" s="90"/>
      <c r="F5" s="88"/>
      <c r="G5" s="96" t="s">
        <v>214</v>
      </c>
      <c r="H5" s="97">
        <v>0</v>
      </c>
      <c r="I5" s="97">
        <v>12518.96</v>
      </c>
      <c r="J5" s="97">
        <v>1.0003263754913765</v>
      </c>
      <c r="K5" s="88"/>
      <c r="L5" s="88"/>
      <c r="M5" s="88"/>
      <c r="N5" s="88"/>
      <c r="O5" s="88"/>
      <c r="P5" s="88"/>
      <c r="Q5" s="88"/>
      <c r="R5" s="88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1:28" ht="15" customHeight="1" x14ac:dyDescent="0.25">
      <c r="A6" s="87"/>
      <c r="B6" s="87"/>
      <c r="C6" s="87"/>
      <c r="D6" s="87"/>
      <c r="E6" s="90"/>
      <c r="F6" s="88"/>
      <c r="G6" s="96" t="s">
        <v>233</v>
      </c>
      <c r="H6" s="97"/>
      <c r="I6" s="97">
        <v>4498.68</v>
      </c>
      <c r="J6" s="97">
        <f>[4]ORÇAMENTO_EXECUTIVO!$B$20/[5]ORÇAMENTO_EXECUTIVO!$B$20</f>
        <v>1.0781743088579614</v>
      </c>
      <c r="K6" s="88"/>
      <c r="L6" s="88"/>
      <c r="M6" s="88"/>
      <c r="N6" s="88"/>
      <c r="O6" s="88"/>
      <c r="P6" s="88"/>
      <c r="Q6" s="88"/>
      <c r="R6" s="88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spans="1:28" ht="15" customHeight="1" x14ac:dyDescent="0.25">
      <c r="A7" s="87"/>
      <c r="B7" s="87"/>
      <c r="C7" s="87"/>
      <c r="D7" s="87"/>
      <c r="E7" s="90"/>
      <c r="F7" s="88"/>
      <c r="G7" s="96" t="s">
        <v>235</v>
      </c>
      <c r="H7" s="97">
        <v>0</v>
      </c>
      <c r="I7" s="97">
        <v>6348.51</v>
      </c>
      <c r="J7" s="97">
        <f>[4]ORÇAMENTO_EXECUTIVO!$B$20/[6]Obra!$C$48</f>
        <v>1.0436493272942906</v>
      </c>
      <c r="K7" s="88"/>
      <c r="L7" s="88"/>
      <c r="M7" s="88"/>
      <c r="N7" s="88"/>
      <c r="O7" s="88"/>
      <c r="P7" s="88"/>
      <c r="Q7" s="88"/>
      <c r="R7" s="88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 spans="1:28" ht="15" customHeight="1" x14ac:dyDescent="0.25">
      <c r="A8" s="87"/>
      <c r="B8" s="87"/>
      <c r="C8" s="87"/>
      <c r="D8" s="87"/>
      <c r="E8" s="90"/>
      <c r="F8" s="88"/>
      <c r="G8" s="96" t="s">
        <v>215</v>
      </c>
      <c r="H8" s="97">
        <v>0</v>
      </c>
      <c r="I8" s="97">
        <v>10661.12</v>
      </c>
      <c r="J8" s="97">
        <v>0</v>
      </c>
      <c r="K8" s="88"/>
      <c r="L8" s="88"/>
      <c r="M8" s="88"/>
      <c r="N8" s="88"/>
      <c r="O8" s="88"/>
      <c r="P8" s="88"/>
      <c r="Q8" s="88"/>
      <c r="R8" s="88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spans="1:28" ht="15.75" x14ac:dyDescent="0.25">
      <c r="A9" s="87" t="s">
        <v>55</v>
      </c>
      <c r="B9" s="87"/>
      <c r="C9" s="87"/>
      <c r="D9" s="87"/>
      <c r="E9" s="87"/>
      <c r="F9" s="88"/>
      <c r="G9" s="87"/>
      <c r="H9" s="88"/>
      <c r="I9" s="89"/>
      <c r="J9" s="89"/>
      <c r="K9" s="88"/>
      <c r="L9" s="88"/>
      <c r="M9" s="88"/>
      <c r="N9" s="88"/>
      <c r="O9" s="88"/>
      <c r="P9" s="88"/>
      <c r="Q9" s="88"/>
      <c r="R9" s="88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 spans="1:28" ht="15.75" x14ac:dyDescent="0.25">
      <c r="A10" s="87"/>
      <c r="B10" s="87"/>
      <c r="C10" s="87"/>
      <c r="D10" s="87"/>
      <c r="E10" s="87"/>
      <c r="F10" s="88"/>
      <c r="G10" s="87"/>
      <c r="H10" s="88"/>
      <c r="I10" s="98" t="str">
        <f>G4</f>
        <v>One Palace</v>
      </c>
      <c r="J10" s="98" t="str">
        <f>G4</f>
        <v>One Palace</v>
      </c>
      <c r="K10" s="98" t="str">
        <f t="shared" ref="K10:L10" si="0">$G$5</f>
        <v>Gran Torino</v>
      </c>
      <c r="L10" s="98" t="str">
        <f t="shared" si="0"/>
        <v>Gran Torino</v>
      </c>
      <c r="M10" s="98" t="str">
        <f>G8</f>
        <v>Mirador de alicante</v>
      </c>
      <c r="N10" s="98" t="str">
        <f>G8</f>
        <v>Mirador de alicante</v>
      </c>
      <c r="O10" s="98" t="str">
        <f>G6</f>
        <v>Marine</v>
      </c>
      <c r="P10" s="98" t="str">
        <f>G6</f>
        <v>Marine</v>
      </c>
      <c r="Q10" s="98" t="str">
        <f>G7</f>
        <v>For Season</v>
      </c>
      <c r="R10" s="98" t="str">
        <f>G7</f>
        <v>For Season</v>
      </c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28" ht="15.75" x14ac:dyDescent="0.25">
      <c r="A11" s="212" t="s">
        <v>5</v>
      </c>
      <c r="B11" s="198"/>
      <c r="C11" s="198"/>
      <c r="D11" s="198"/>
      <c r="E11" s="210"/>
      <c r="F11" s="99" t="s">
        <v>6</v>
      </c>
      <c r="G11" s="99" t="s">
        <v>7</v>
      </c>
      <c r="H11" s="99" t="s">
        <v>56</v>
      </c>
      <c r="I11" s="99" t="s">
        <v>57</v>
      </c>
      <c r="J11" s="99" t="s">
        <v>58</v>
      </c>
      <c r="K11" s="99" t="s">
        <v>57</v>
      </c>
      <c r="L11" s="99" t="s">
        <v>58</v>
      </c>
      <c r="M11" s="99" t="s">
        <v>57</v>
      </c>
      <c r="N11" s="99" t="s">
        <v>58</v>
      </c>
      <c r="O11" s="99"/>
      <c r="P11" s="99" t="s">
        <v>58</v>
      </c>
      <c r="Q11" s="99"/>
      <c r="R11" s="99" t="s">
        <v>58</v>
      </c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 spans="1:28" ht="15.75" x14ac:dyDescent="0.25">
      <c r="A12" s="100" t="s">
        <v>59</v>
      </c>
      <c r="B12" s="101"/>
      <c r="C12" s="101"/>
      <c r="D12" s="101"/>
      <c r="E12" s="101"/>
      <c r="F12" s="101"/>
      <c r="G12" s="101"/>
      <c r="H12" s="101">
        <f>$C$4*MEDIAN(P12,R12)</f>
        <v>41032.303921578699</v>
      </c>
      <c r="I12" s="188">
        <v>18555</v>
      </c>
      <c r="J12" s="102">
        <f t="shared" ref="J12:J15" si="1">I12/$I$4</f>
        <v>1.5922637691556498</v>
      </c>
      <c r="K12" s="188">
        <v>155511.79</v>
      </c>
      <c r="L12" s="102">
        <f t="shared" ref="L12:L15" si="2">K12/$I$5</f>
        <v>12.422101356662216</v>
      </c>
      <c r="M12" s="102">
        <v>14588.85</v>
      </c>
      <c r="N12" s="102">
        <f t="shared" ref="N12:N15" si="3">M12/$I$8</f>
        <v>1.3684162639572577</v>
      </c>
      <c r="O12" s="102">
        <v>40433.9</v>
      </c>
      <c r="P12" s="102">
        <f>O12/$I$6*$J$6</f>
        <v>9.6905741655178677</v>
      </c>
      <c r="Q12" s="102">
        <v>30575.829999999998</v>
      </c>
      <c r="R12" s="102">
        <f>Q12/$I$7*$J$7</f>
        <v>5.0264462702216086</v>
      </c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 spans="1:28" ht="15.75" x14ac:dyDescent="0.25">
      <c r="A13" s="100" t="s">
        <v>60</v>
      </c>
      <c r="B13" s="101"/>
      <c r="C13" s="101"/>
      <c r="D13" s="101"/>
      <c r="E13" s="101"/>
      <c r="F13" s="101"/>
      <c r="G13" s="101"/>
      <c r="H13" s="101">
        <f t="shared" ref="H13:H15" si="4">$C$4*MEDIAN(P13,R13)</f>
        <v>233264.67795715597</v>
      </c>
      <c r="I13" s="188">
        <v>303558.38</v>
      </c>
      <c r="J13" s="102">
        <f t="shared" si="1"/>
        <v>26.049313408654434</v>
      </c>
      <c r="K13" s="188">
        <v>380354.48</v>
      </c>
      <c r="L13" s="102">
        <f t="shared" si="2"/>
        <v>30.382274565938385</v>
      </c>
      <c r="M13" s="102">
        <v>559472</v>
      </c>
      <c r="N13" s="102">
        <f t="shared" si="3"/>
        <v>52.477788449993994</v>
      </c>
      <c r="O13" s="102">
        <v>166779.75</v>
      </c>
      <c r="P13" s="102">
        <f t="shared" ref="P13:P41" si="5">O13/$I$6*$J$6</f>
        <v>39.971200816184655</v>
      </c>
      <c r="Q13" s="102">
        <v>265788.02</v>
      </c>
      <c r="R13" s="102">
        <f t="shared" ref="R13:R41" si="6">Q13/$I$7*$J$7</f>
        <v>43.693636503034803</v>
      </c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 spans="1:28" ht="15" customHeight="1" x14ac:dyDescent="0.25">
      <c r="A14" s="100" t="s">
        <v>61</v>
      </c>
      <c r="B14" s="101"/>
      <c r="C14" s="101"/>
      <c r="D14" s="101"/>
      <c r="E14" s="101"/>
      <c r="F14" s="101"/>
      <c r="G14" s="101"/>
      <c r="H14" s="101">
        <f t="shared" si="4"/>
        <v>95590.31871605826</v>
      </c>
      <c r="I14" s="188">
        <v>176584.42</v>
      </c>
      <c r="J14" s="102">
        <f t="shared" si="1"/>
        <v>15.153272657686031</v>
      </c>
      <c r="K14" s="188">
        <v>121532.68</v>
      </c>
      <c r="L14" s="102">
        <f t="shared" si="2"/>
        <v>9.7078894732469792</v>
      </c>
      <c r="M14" s="102">
        <v>92050.41</v>
      </c>
      <c r="N14" s="102">
        <f t="shared" si="3"/>
        <v>8.6342157296794326</v>
      </c>
      <c r="O14" s="102">
        <v>73726.05</v>
      </c>
      <c r="P14" s="102">
        <f t="shared" si="5"/>
        <v>17.669523727755141</v>
      </c>
      <c r="Q14" s="102">
        <v>101073.59999999999</v>
      </c>
      <c r="R14" s="102">
        <f t="shared" si="6"/>
        <v>16.615771991729115</v>
      </c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 spans="1:28" ht="15.75" x14ac:dyDescent="0.25">
      <c r="A15" s="100" t="s">
        <v>62</v>
      </c>
      <c r="B15" s="101"/>
      <c r="C15" s="101"/>
      <c r="D15" s="101"/>
      <c r="E15" s="101"/>
      <c r="F15" s="101"/>
      <c r="G15" s="101"/>
      <c r="H15" s="101">
        <f t="shared" si="4"/>
        <v>28743.232002031265</v>
      </c>
      <c r="I15" s="188">
        <v>169172.85</v>
      </c>
      <c r="J15" s="102">
        <f t="shared" si="1"/>
        <v>14.517262181611608</v>
      </c>
      <c r="K15" s="188">
        <v>146367.54</v>
      </c>
      <c r="L15" s="102">
        <f t="shared" si="2"/>
        <v>11.6916692760421</v>
      </c>
      <c r="M15" s="102">
        <v>64357.54</v>
      </c>
      <c r="N15" s="102">
        <f t="shared" si="3"/>
        <v>6.036658437387441</v>
      </c>
      <c r="O15" s="102">
        <v>23350.000080000002</v>
      </c>
      <c r="P15" s="102">
        <f t="shared" si="5"/>
        <v>5.5961682533737322</v>
      </c>
      <c r="Q15" s="102">
        <v>28670</v>
      </c>
      <c r="R15" s="102">
        <f t="shared" si="6"/>
        <v>4.7131415424292173</v>
      </c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spans="1:28" ht="15.75" x14ac:dyDescent="0.25">
      <c r="A16" s="100" t="s">
        <v>63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89"/>
      <c r="L16" s="101"/>
      <c r="M16" s="101"/>
      <c r="N16" s="101"/>
      <c r="O16" s="101"/>
      <c r="P16" s="101">
        <f t="shared" si="5"/>
        <v>0</v>
      </c>
      <c r="Q16" s="101"/>
      <c r="R16" s="101">
        <f t="shared" si="6"/>
        <v>0</v>
      </c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spans="1:28" ht="15.75" x14ac:dyDescent="0.25">
      <c r="A17" s="213" t="s">
        <v>64</v>
      </c>
      <c r="B17" s="207"/>
      <c r="C17" s="207"/>
      <c r="D17" s="207"/>
      <c r="E17" s="208"/>
      <c r="F17" s="103" t="s">
        <v>65</v>
      </c>
      <c r="G17" s="104"/>
      <c r="H17" s="104">
        <f>$C$4*MEDIAN(P17,R17)</f>
        <v>13876.594976910561</v>
      </c>
      <c r="I17" s="104">
        <v>25000</v>
      </c>
      <c r="J17" s="104">
        <f t="shared" ref="J17:J19" si="7">I17/$I$4</f>
        <v>2.1453297886764346</v>
      </c>
      <c r="K17" s="104">
        <v>21531.34</v>
      </c>
      <c r="L17" s="104">
        <f t="shared" ref="L17:L19" si="8">K17/$I$5</f>
        <v>1.7198984580188772</v>
      </c>
      <c r="M17" s="104">
        <v>20000</v>
      </c>
      <c r="N17" s="104">
        <f t="shared" ref="N17:N19" si="9">M17/$I$8</f>
        <v>1.8759755072637769</v>
      </c>
      <c r="O17" s="104">
        <v>13004.64</v>
      </c>
      <c r="P17" s="104">
        <f t="shared" si="5"/>
        <v>3.1167517458335774</v>
      </c>
      <c r="Q17" s="104">
        <v>11316.52</v>
      </c>
      <c r="R17" s="104">
        <f t="shared" si="6"/>
        <v>1.8603543958050606</v>
      </c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spans="1:28" ht="15.75" x14ac:dyDescent="0.25">
      <c r="A18" s="105" t="s">
        <v>66</v>
      </c>
      <c r="B18" s="106"/>
      <c r="C18" s="106"/>
      <c r="D18" s="106"/>
      <c r="E18" s="107" t="s">
        <v>67</v>
      </c>
      <c r="F18" s="103" t="s">
        <v>65</v>
      </c>
      <c r="G18" s="104"/>
      <c r="H18" s="104">
        <f>$C$4*MEDIAN(P18,R18)</f>
        <v>80829.993288741709</v>
      </c>
      <c r="I18" s="104">
        <f>163905-I17</f>
        <v>138905</v>
      </c>
      <c r="J18" s="104">
        <f t="shared" si="7"/>
        <v>11.919881371844006</v>
      </c>
      <c r="K18" s="104">
        <f>97233.83-K17</f>
        <v>75702.490000000005</v>
      </c>
      <c r="L18" s="104">
        <f t="shared" si="8"/>
        <v>6.0470270693412242</v>
      </c>
      <c r="M18" s="104">
        <f>369811.66-M17</f>
        <v>349811.66</v>
      </c>
      <c r="N18" s="104">
        <f t="shared" si="9"/>
        <v>32.811905315764193</v>
      </c>
      <c r="O18" s="104">
        <v>62028.71</v>
      </c>
      <c r="P18" s="104">
        <f t="shared" si="5"/>
        <v>14.866085503659054</v>
      </c>
      <c r="Q18" s="104">
        <v>85923.09</v>
      </c>
      <c r="R18" s="104">
        <f t="shared" si="6"/>
        <v>14.125137249141417</v>
      </c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 spans="1:28" ht="15.75" x14ac:dyDescent="0.25">
      <c r="A19" s="100" t="s">
        <v>68</v>
      </c>
      <c r="B19" s="101"/>
      <c r="C19" s="101"/>
      <c r="D19" s="101"/>
      <c r="E19" s="101"/>
      <c r="F19" s="101"/>
      <c r="G19" s="101"/>
      <c r="H19" s="101">
        <f>R19*$C$4</f>
        <v>49979.658201235223</v>
      </c>
      <c r="I19" s="101">
        <v>0</v>
      </c>
      <c r="J19" s="102">
        <f t="shared" si="7"/>
        <v>0</v>
      </c>
      <c r="K19" s="188"/>
      <c r="L19" s="102">
        <f t="shared" si="8"/>
        <v>0</v>
      </c>
      <c r="M19" s="102">
        <v>54564.35</v>
      </c>
      <c r="N19" s="102">
        <f t="shared" si="9"/>
        <v>5.1180692084884134</v>
      </c>
      <c r="O19" s="102">
        <v>8250</v>
      </c>
      <c r="P19" s="102">
        <f t="shared" si="5"/>
        <v>1.9772328878867091</v>
      </c>
      <c r="Q19" s="102">
        <v>54522.34</v>
      </c>
      <c r="R19" s="102">
        <f t="shared" si="6"/>
        <v>8.9630800713097383</v>
      </c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1:28" ht="15.75" x14ac:dyDescent="0.25">
      <c r="A20" s="204" t="s">
        <v>69</v>
      </c>
      <c r="B20" s="198"/>
      <c r="C20" s="198"/>
      <c r="D20" s="198"/>
      <c r="E20" s="198"/>
      <c r="F20" s="198"/>
      <c r="G20" s="198"/>
      <c r="H20" s="198"/>
      <c r="I20" s="198"/>
      <c r="J20" s="205"/>
      <c r="K20" s="188"/>
      <c r="L20" s="102"/>
      <c r="M20" s="102"/>
      <c r="N20" s="102"/>
      <c r="O20" s="102"/>
      <c r="P20" s="102">
        <f t="shared" si="5"/>
        <v>0</v>
      </c>
      <c r="Q20" s="102"/>
      <c r="R20" s="102">
        <f t="shared" si="6"/>
        <v>0</v>
      </c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28" ht="15.75" x14ac:dyDescent="0.25">
      <c r="A21" s="213" t="s">
        <v>70</v>
      </c>
      <c r="B21" s="207"/>
      <c r="C21" s="207"/>
      <c r="D21" s="207"/>
      <c r="E21" s="208"/>
      <c r="F21" s="103" t="s">
        <v>71</v>
      </c>
      <c r="G21" s="104"/>
      <c r="H21" s="104">
        <v>2500</v>
      </c>
      <c r="I21" s="104">
        <v>651.72</v>
      </c>
      <c r="J21" s="104">
        <f t="shared" ref="J21:J23" si="10">I21/$I$4</f>
        <v>5.5926173195048244E-2</v>
      </c>
      <c r="K21" s="104">
        <v>1500</v>
      </c>
      <c r="L21" s="104">
        <f t="shared" ref="L21:L23" si="11">K21/$I$5</f>
        <v>0.11981825966374204</v>
      </c>
      <c r="M21" s="104">
        <v>3590.2439024390242</v>
      </c>
      <c r="N21" s="104">
        <f t="shared" ref="N21:N23" si="12">M21/$I$8</f>
        <v>0.33676048130393654</v>
      </c>
      <c r="O21" s="104">
        <v>1000</v>
      </c>
      <c r="P21" s="104">
        <f t="shared" si="5"/>
        <v>0.23966459247111627</v>
      </c>
      <c r="Q21" s="104">
        <v>660</v>
      </c>
      <c r="R21" s="104">
        <f t="shared" si="6"/>
        <v>0.10849924722718114</v>
      </c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ht="15.75" x14ac:dyDescent="0.25">
      <c r="A22" s="213" t="s">
        <v>72</v>
      </c>
      <c r="B22" s="207"/>
      <c r="C22" s="207"/>
      <c r="D22" s="207"/>
      <c r="E22" s="208"/>
      <c r="F22" s="103" t="s">
        <v>65</v>
      </c>
      <c r="G22" s="104"/>
      <c r="H22" s="104">
        <f>R22*$C$4</f>
        <v>3361.8402747792938</v>
      </c>
      <c r="I22" s="104">
        <v>6000</v>
      </c>
      <c r="J22" s="104">
        <f t="shared" si="10"/>
        <v>0.51487914928234435</v>
      </c>
      <c r="K22" s="104">
        <v>2630</v>
      </c>
      <c r="L22" s="104">
        <f t="shared" si="11"/>
        <v>0.21008134861042771</v>
      </c>
      <c r="M22" s="104">
        <v>2665.18</v>
      </c>
      <c r="N22" s="104">
        <f t="shared" si="12"/>
        <v>0.24999062012246365</v>
      </c>
      <c r="O22" s="104"/>
      <c r="P22" s="104">
        <f t="shared" si="5"/>
        <v>0</v>
      </c>
      <c r="Q22" s="104">
        <v>3667.4</v>
      </c>
      <c r="R22" s="104">
        <f t="shared" si="6"/>
        <v>0.60289415042570327</v>
      </c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1:28" ht="15.75" customHeight="1" x14ac:dyDescent="0.25">
      <c r="A23" s="100" t="s">
        <v>73</v>
      </c>
      <c r="B23" s="101"/>
      <c r="C23" s="101"/>
      <c r="D23" s="101"/>
      <c r="E23" s="101"/>
      <c r="F23" s="101"/>
      <c r="G23" s="101"/>
      <c r="H23" s="101">
        <f>P23*C4</f>
        <v>69760.628653302483</v>
      </c>
      <c r="I23" s="188">
        <v>37750</v>
      </c>
      <c r="J23" s="102">
        <f t="shared" si="10"/>
        <v>3.2394479809014163</v>
      </c>
      <c r="K23" s="102">
        <v>0</v>
      </c>
      <c r="L23" s="102">
        <f t="shared" si="11"/>
        <v>0</v>
      </c>
      <c r="M23" s="102">
        <v>80563.98</v>
      </c>
      <c r="N23" s="102">
        <f t="shared" si="12"/>
        <v>7.5568026623844391</v>
      </c>
      <c r="O23" s="102">
        <v>52200</v>
      </c>
      <c r="P23" s="102">
        <f t="shared" si="5"/>
        <v>12.510491726992269</v>
      </c>
      <c r="Q23" s="102">
        <v>162569.88</v>
      </c>
      <c r="R23" s="102">
        <f t="shared" si="6"/>
        <v>26.725317578504807</v>
      </c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ht="15.75" customHeight="1" x14ac:dyDescent="0.25">
      <c r="A24" s="204" t="s">
        <v>74</v>
      </c>
      <c r="B24" s="198"/>
      <c r="C24" s="198"/>
      <c r="D24" s="198"/>
      <c r="E24" s="198"/>
      <c r="F24" s="198"/>
      <c r="G24" s="198"/>
      <c r="H24" s="198"/>
      <c r="I24" s="198"/>
      <c r="J24" s="205"/>
      <c r="K24" s="102"/>
      <c r="L24" s="102"/>
      <c r="M24" s="102"/>
      <c r="N24" s="102"/>
      <c r="O24" s="102"/>
      <c r="P24" s="102">
        <f t="shared" si="5"/>
        <v>0</v>
      </c>
      <c r="Q24" s="102"/>
      <c r="R24" s="102">
        <f t="shared" si="6"/>
        <v>0</v>
      </c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ht="15.75" customHeight="1" x14ac:dyDescent="0.25">
      <c r="A25" s="108" t="s">
        <v>75</v>
      </c>
      <c r="B25" s="109"/>
      <c r="C25" s="109"/>
      <c r="D25" s="109"/>
      <c r="E25" s="110"/>
      <c r="F25" s="103" t="s">
        <v>71</v>
      </c>
      <c r="G25" s="104"/>
      <c r="H25" s="104">
        <v>8000</v>
      </c>
      <c r="I25" s="104">
        <v>5000</v>
      </c>
      <c r="J25" s="104"/>
      <c r="K25" s="104">
        <v>8000</v>
      </c>
      <c r="L25" s="104"/>
      <c r="M25" s="104">
        <v>7000</v>
      </c>
      <c r="N25" s="104"/>
      <c r="O25" s="104"/>
      <c r="P25" s="104">
        <f t="shared" si="5"/>
        <v>0</v>
      </c>
      <c r="Q25" s="104"/>
      <c r="R25" s="104">
        <f t="shared" si="6"/>
        <v>0</v>
      </c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28" ht="15.75" customHeight="1" x14ac:dyDescent="0.25">
      <c r="A26" s="111" t="s">
        <v>76</v>
      </c>
      <c r="B26" s="112"/>
      <c r="C26" s="112"/>
      <c r="D26" s="112"/>
      <c r="E26" s="113"/>
      <c r="F26" s="103" t="s">
        <v>71</v>
      </c>
      <c r="G26" s="104"/>
      <c r="H26" s="104">
        <v>6500</v>
      </c>
      <c r="I26" s="104"/>
      <c r="J26" s="104"/>
      <c r="K26" s="104"/>
      <c r="L26" s="104"/>
      <c r="M26" s="104">
        <v>6500</v>
      </c>
      <c r="N26" s="104"/>
      <c r="O26" s="104"/>
      <c r="P26" s="104">
        <f t="shared" si="5"/>
        <v>0</v>
      </c>
      <c r="Q26" s="104"/>
      <c r="R26" s="104">
        <f t="shared" si="6"/>
        <v>0</v>
      </c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spans="1:28" ht="15.75" customHeight="1" x14ac:dyDescent="0.25">
      <c r="A27" s="111" t="s">
        <v>77</v>
      </c>
      <c r="B27" s="112"/>
      <c r="C27" s="112"/>
      <c r="D27" s="112"/>
      <c r="E27" s="113"/>
      <c r="F27" s="103" t="s">
        <v>71</v>
      </c>
      <c r="G27" s="104"/>
      <c r="H27" s="104">
        <v>3000</v>
      </c>
      <c r="I27" s="104">
        <v>3000</v>
      </c>
      <c r="J27" s="104"/>
      <c r="K27" s="104">
        <v>2500</v>
      </c>
      <c r="L27" s="104"/>
      <c r="M27" s="104">
        <v>3000</v>
      </c>
      <c r="N27" s="104"/>
      <c r="O27" s="104"/>
      <c r="P27" s="104">
        <f t="shared" si="5"/>
        <v>0</v>
      </c>
      <c r="Q27" s="104"/>
      <c r="R27" s="104">
        <f t="shared" si="6"/>
        <v>0</v>
      </c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spans="1:28" ht="15.75" customHeight="1" x14ac:dyDescent="0.25">
      <c r="A28" s="111" t="s">
        <v>78</v>
      </c>
      <c r="B28" s="112"/>
      <c r="C28" s="112"/>
      <c r="D28" s="112"/>
      <c r="E28" s="113"/>
      <c r="F28" s="103" t="s">
        <v>71</v>
      </c>
      <c r="G28" s="104"/>
      <c r="H28" s="104">
        <v>2500</v>
      </c>
      <c r="I28" s="104">
        <v>3000</v>
      </c>
      <c r="J28" s="104"/>
      <c r="K28" s="104">
        <v>5200</v>
      </c>
      <c r="L28" s="104"/>
      <c r="M28" s="104"/>
      <c r="N28" s="104"/>
      <c r="O28" s="104"/>
      <c r="P28" s="104">
        <f t="shared" si="5"/>
        <v>0</v>
      </c>
      <c r="Q28" s="104"/>
      <c r="R28" s="104">
        <f t="shared" si="6"/>
        <v>0</v>
      </c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spans="1:28" ht="15.75" customHeight="1" x14ac:dyDescent="0.25">
      <c r="A29" s="105" t="s">
        <v>79</v>
      </c>
      <c r="B29" s="114"/>
      <c r="C29" s="114"/>
      <c r="D29" s="114"/>
      <c r="E29" s="115"/>
      <c r="F29" s="103" t="s">
        <v>71</v>
      </c>
      <c r="G29" s="104"/>
      <c r="H29" s="104">
        <v>1500</v>
      </c>
      <c r="I29" s="104">
        <v>700</v>
      </c>
      <c r="J29" s="104"/>
      <c r="K29" s="104">
        <v>2000</v>
      </c>
      <c r="L29" s="104"/>
      <c r="M29" s="104"/>
      <c r="N29" s="104"/>
      <c r="O29" s="104"/>
      <c r="P29" s="104">
        <f t="shared" si="5"/>
        <v>0</v>
      </c>
      <c r="Q29" s="104"/>
      <c r="R29" s="104">
        <f t="shared" si="6"/>
        <v>0</v>
      </c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 spans="1:28" ht="15.75" customHeight="1" x14ac:dyDescent="0.25">
      <c r="A30" s="105" t="s">
        <v>80</v>
      </c>
      <c r="B30" s="114"/>
      <c r="C30" s="114"/>
      <c r="D30" s="114"/>
      <c r="E30" s="115"/>
      <c r="F30" s="103" t="s">
        <v>71</v>
      </c>
      <c r="G30" s="104"/>
      <c r="H30" s="104">
        <v>4500</v>
      </c>
      <c r="I30" s="104"/>
      <c r="J30" s="104"/>
      <c r="K30" s="104">
        <v>3500</v>
      </c>
      <c r="L30" s="104"/>
      <c r="M30" s="104">
        <v>3500</v>
      </c>
      <c r="N30" s="104"/>
      <c r="O30" s="104"/>
      <c r="P30" s="104">
        <f t="shared" si="5"/>
        <v>0</v>
      </c>
      <c r="Q30" s="104"/>
      <c r="R30" s="104">
        <f t="shared" si="6"/>
        <v>0</v>
      </c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1:28" ht="15.75" customHeight="1" x14ac:dyDescent="0.25">
      <c r="A31" s="105" t="s">
        <v>216</v>
      </c>
      <c r="B31" s="114"/>
      <c r="C31" s="114"/>
      <c r="D31" s="114"/>
      <c r="E31" s="115"/>
      <c r="F31" s="103" t="s">
        <v>71</v>
      </c>
      <c r="G31" s="104"/>
      <c r="H31" s="104">
        <v>10500</v>
      </c>
      <c r="I31" s="104"/>
      <c r="J31" s="104"/>
      <c r="K31" s="104">
        <v>10500</v>
      </c>
      <c r="L31" s="104"/>
      <c r="M31" s="104">
        <v>21073.49</v>
      </c>
      <c r="N31" s="104"/>
      <c r="O31" s="104"/>
      <c r="P31" s="104">
        <f t="shared" si="5"/>
        <v>0</v>
      </c>
      <c r="Q31" s="104"/>
      <c r="R31" s="104">
        <f t="shared" si="6"/>
        <v>0</v>
      </c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1:28" ht="15.75" customHeight="1" x14ac:dyDescent="0.25">
      <c r="A32" s="105" t="s">
        <v>81</v>
      </c>
      <c r="B32" s="114"/>
      <c r="C32" s="114"/>
      <c r="D32" s="114"/>
      <c r="E32" s="115"/>
      <c r="F32" s="103" t="s">
        <v>65</v>
      </c>
      <c r="G32" s="104"/>
      <c r="H32" s="104">
        <v>2500</v>
      </c>
      <c r="I32" s="104">
        <v>1700</v>
      </c>
      <c r="J32" s="104">
        <f>I32/$I$4</f>
        <v>0.14588242562999756</v>
      </c>
      <c r="K32" s="104"/>
      <c r="L32" s="104">
        <f>K32/$I$5</f>
        <v>0</v>
      </c>
      <c r="M32" s="104"/>
      <c r="N32" s="104">
        <f>M32/$I$8</f>
        <v>0</v>
      </c>
      <c r="O32" s="104"/>
      <c r="P32" s="104">
        <f t="shared" si="5"/>
        <v>0</v>
      </c>
      <c r="Q32" s="104"/>
      <c r="R32" s="104">
        <f t="shared" si="6"/>
        <v>0</v>
      </c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spans="1:28" ht="15.75" customHeight="1" x14ac:dyDescent="0.25">
      <c r="A33" s="204" t="s">
        <v>82</v>
      </c>
      <c r="B33" s="198"/>
      <c r="C33" s="198"/>
      <c r="D33" s="198"/>
      <c r="E33" s="198"/>
      <c r="F33" s="198"/>
      <c r="G33" s="198"/>
      <c r="H33" s="198"/>
      <c r="I33" s="198"/>
      <c r="J33" s="205"/>
      <c r="K33" s="102"/>
      <c r="L33" s="102"/>
      <c r="M33" s="102"/>
      <c r="N33" s="102"/>
      <c r="O33" s="102"/>
      <c r="P33" s="102">
        <f t="shared" si="5"/>
        <v>0</v>
      </c>
      <c r="Q33" s="102"/>
      <c r="R33" s="102">
        <f t="shared" si="6"/>
        <v>0</v>
      </c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spans="1:28" ht="15.75" customHeight="1" x14ac:dyDescent="0.25">
      <c r="A34" s="116" t="s">
        <v>83</v>
      </c>
      <c r="B34" s="117"/>
      <c r="C34" s="117"/>
      <c r="D34" s="117"/>
      <c r="E34" s="118"/>
      <c r="F34" s="103" t="s">
        <v>49</v>
      </c>
      <c r="G34" s="119"/>
      <c r="H34" s="104">
        <f>3.5*B4</f>
        <v>2100</v>
      </c>
      <c r="I34" s="119">
        <v>3.5</v>
      </c>
      <c r="J34" s="104">
        <f t="shared" ref="J34:J41" si="13">I34/$I$4</f>
        <v>3.0034617041470085E-4</v>
      </c>
      <c r="K34" s="119">
        <v>2808.43</v>
      </c>
      <c r="L34" s="104">
        <f t="shared" ref="L34:L41" si="14">K34/$I$5</f>
        <v>0.22433412999162869</v>
      </c>
      <c r="M34" s="119">
        <v>1782.45</v>
      </c>
      <c r="N34" s="104">
        <f t="shared" ref="N34:N41" si="15">M34/$I$8</f>
        <v>0.16719162714611596</v>
      </c>
      <c r="O34" s="119"/>
      <c r="P34" s="104">
        <f t="shared" si="5"/>
        <v>0</v>
      </c>
      <c r="Q34" s="119"/>
      <c r="R34" s="104">
        <f t="shared" si="6"/>
        <v>0</v>
      </c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1:28" ht="15.75" customHeight="1" x14ac:dyDescent="0.25">
      <c r="A35" s="116" t="s">
        <v>84</v>
      </c>
      <c r="B35" s="117"/>
      <c r="C35" s="117"/>
      <c r="D35" s="117"/>
      <c r="E35" s="118"/>
      <c r="F35" s="103"/>
      <c r="G35" s="119"/>
      <c r="H35" s="104"/>
      <c r="I35" s="119">
        <v>13820</v>
      </c>
      <c r="J35" s="104">
        <f t="shared" si="13"/>
        <v>1.1859383071803331</v>
      </c>
      <c r="K35" s="119">
        <v>30701.25</v>
      </c>
      <c r="L35" s="104">
        <f t="shared" si="14"/>
        <v>2.4523802296676402</v>
      </c>
      <c r="M35" s="119">
        <v>26145</v>
      </c>
      <c r="N35" s="104">
        <f t="shared" si="15"/>
        <v>2.4523689818705727</v>
      </c>
      <c r="O35" s="119"/>
      <c r="P35" s="104">
        <f t="shared" si="5"/>
        <v>0</v>
      </c>
      <c r="Q35" s="119"/>
      <c r="R35" s="104">
        <f t="shared" si="6"/>
        <v>0</v>
      </c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 spans="1:28" ht="15.75" customHeight="1" x14ac:dyDescent="0.25">
      <c r="A36" s="116" t="s">
        <v>85</v>
      </c>
      <c r="B36" s="117"/>
      <c r="C36" s="117"/>
      <c r="D36" s="117"/>
      <c r="E36" s="118"/>
      <c r="F36" s="103" t="s">
        <v>43</v>
      </c>
      <c r="G36" s="119"/>
      <c r="H36" s="120"/>
      <c r="I36" s="119"/>
      <c r="J36" s="104">
        <f t="shared" si="13"/>
        <v>0</v>
      </c>
      <c r="K36" s="119"/>
      <c r="L36" s="104">
        <f t="shared" si="14"/>
        <v>0</v>
      </c>
      <c r="M36" s="119"/>
      <c r="N36" s="104">
        <f t="shared" si="15"/>
        <v>0</v>
      </c>
      <c r="O36" s="119"/>
      <c r="P36" s="104">
        <f t="shared" si="5"/>
        <v>0</v>
      </c>
      <c r="Q36" s="119"/>
      <c r="R36" s="104">
        <f t="shared" si="6"/>
        <v>0</v>
      </c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spans="1:28" ht="15.75" customHeight="1" x14ac:dyDescent="0.25">
      <c r="A37" s="116" t="s">
        <v>86</v>
      </c>
      <c r="B37" s="117"/>
      <c r="C37" s="117"/>
      <c r="D37" s="117"/>
      <c r="E37" s="118"/>
      <c r="F37" s="103" t="s">
        <v>65</v>
      </c>
      <c r="G37" s="104"/>
      <c r="H37" s="104">
        <f t="shared" ref="H37:H39" si="16">$C$4*MEDIAN(P37,R37)</f>
        <v>5904.7026906531582</v>
      </c>
      <c r="I37" s="104">
        <v>11000</v>
      </c>
      <c r="J37" s="104">
        <f t="shared" si="13"/>
        <v>0.94394510701763124</v>
      </c>
      <c r="K37" s="104">
        <v>15023.39</v>
      </c>
      <c r="L37" s="104">
        <f t="shared" si="14"/>
        <v>1.2000509626997771</v>
      </c>
      <c r="M37" s="104">
        <v>12793.88</v>
      </c>
      <c r="N37" s="104">
        <f t="shared" si="15"/>
        <v>1.2000502761435945</v>
      </c>
      <c r="O37" s="104">
        <v>5400</v>
      </c>
      <c r="P37" s="104">
        <f t="shared" si="5"/>
        <v>1.2941887993440278</v>
      </c>
      <c r="Q37" s="104">
        <v>5010.2299999999996</v>
      </c>
      <c r="R37" s="104">
        <f t="shared" si="6"/>
        <v>0.82364573247733297</v>
      </c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spans="1:28" ht="15.75" customHeight="1" x14ac:dyDescent="0.25">
      <c r="A38" s="116" t="s">
        <v>87</v>
      </c>
      <c r="B38" s="117"/>
      <c r="C38" s="117"/>
      <c r="D38" s="117"/>
      <c r="E38" s="118"/>
      <c r="F38" s="121" t="s">
        <v>65</v>
      </c>
      <c r="G38" s="119"/>
      <c r="H38" s="104">
        <f t="shared" si="16"/>
        <v>5665.2432799857143</v>
      </c>
      <c r="I38" s="119">
        <v>15000</v>
      </c>
      <c r="J38" s="104">
        <f t="shared" si="13"/>
        <v>1.2871978732058609</v>
      </c>
      <c r="K38" s="119">
        <v>13149.18</v>
      </c>
      <c r="L38" s="104">
        <f t="shared" si="14"/>
        <v>1.0503412424035223</v>
      </c>
      <c r="M38" s="119">
        <v>11197.81</v>
      </c>
      <c r="N38" s="104">
        <f t="shared" si="15"/>
        <v>1.0503408647496697</v>
      </c>
      <c r="O38" s="119">
        <v>4730</v>
      </c>
      <c r="P38" s="104">
        <f t="shared" si="5"/>
        <v>1.1336135223883799</v>
      </c>
      <c r="Q38" s="119">
        <v>5464.56</v>
      </c>
      <c r="R38" s="104">
        <f t="shared" si="6"/>
        <v>0.89833431276934095</v>
      </c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spans="1:28" ht="15.75" customHeight="1" x14ac:dyDescent="0.25">
      <c r="A39" s="116" t="s">
        <v>88</v>
      </c>
      <c r="B39" s="117"/>
      <c r="C39" s="117"/>
      <c r="D39" s="117"/>
      <c r="E39" s="118"/>
      <c r="F39" s="121" t="s">
        <v>71</v>
      </c>
      <c r="G39" s="119"/>
      <c r="H39" s="104">
        <f t="shared" si="16"/>
        <v>0</v>
      </c>
      <c r="I39" s="119">
        <v>600</v>
      </c>
      <c r="J39" s="104">
        <f t="shared" si="13"/>
        <v>5.148791492823443E-2</v>
      </c>
      <c r="K39" s="119">
        <v>900</v>
      </c>
      <c r="L39" s="104">
        <f t="shared" si="14"/>
        <v>7.1890955798245226E-2</v>
      </c>
      <c r="M39" s="119">
        <v>950</v>
      </c>
      <c r="N39" s="104">
        <f t="shared" si="15"/>
        <v>8.9108836595029411E-2</v>
      </c>
      <c r="O39" s="119"/>
      <c r="P39" s="104">
        <f t="shared" si="5"/>
        <v>0</v>
      </c>
      <c r="Q39" s="119"/>
      <c r="R39" s="104">
        <f t="shared" si="6"/>
        <v>0</v>
      </c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1:28" ht="15.75" customHeight="1" x14ac:dyDescent="0.25">
      <c r="A40" s="116" t="s">
        <v>89</v>
      </c>
      <c r="B40" s="117"/>
      <c r="C40" s="117"/>
      <c r="D40" s="117"/>
      <c r="E40" s="118"/>
      <c r="F40" s="103" t="s">
        <v>65</v>
      </c>
      <c r="G40" s="104"/>
      <c r="H40" s="104">
        <f>$C$4*MEDIAN(P40,R40)</f>
        <v>112431.9331365807</v>
      </c>
      <c r="I40" s="119">
        <v>20000</v>
      </c>
      <c r="J40" s="104">
        <f t="shared" si="13"/>
        <v>1.7162638309411478</v>
      </c>
      <c r="K40" s="119">
        <v>70106.179999999993</v>
      </c>
      <c r="L40" s="104">
        <f t="shared" si="14"/>
        <v>5.6000003195153587</v>
      </c>
      <c r="M40" s="119">
        <v>142198.69</v>
      </c>
      <c r="N40" s="104">
        <f t="shared" si="15"/>
        <v>13.338062980249729</v>
      </c>
      <c r="O40" s="119">
        <v>58511</v>
      </c>
      <c r="P40" s="104">
        <f t="shared" si="5"/>
        <v>14.023014970077485</v>
      </c>
      <c r="Q40" s="119">
        <v>160000</v>
      </c>
      <c r="R40" s="104">
        <f t="shared" si="6"/>
        <v>26.302847812649976</v>
      </c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spans="1:28" ht="15.75" customHeight="1" x14ac:dyDescent="0.25">
      <c r="A41" s="206" t="s">
        <v>90</v>
      </c>
      <c r="B41" s="207"/>
      <c r="C41" s="207"/>
      <c r="D41" s="207"/>
      <c r="E41" s="208"/>
      <c r="F41" s="103" t="s">
        <v>65</v>
      </c>
      <c r="G41" s="104"/>
      <c r="H41" s="104">
        <f>$C$4*MEDIAN(P41,R41)</f>
        <v>276101.50793532521</v>
      </c>
      <c r="I41" s="119">
        <v>314850</v>
      </c>
      <c r="J41" s="104">
        <f t="shared" si="13"/>
        <v>27.018283358591017</v>
      </c>
      <c r="K41" s="119">
        <v>277199.2</v>
      </c>
      <c r="L41" s="104">
        <f t="shared" si="14"/>
        <v>22.142350482787709</v>
      </c>
      <c r="M41" s="119">
        <v>279687.37</v>
      </c>
      <c r="N41" s="104">
        <f t="shared" si="15"/>
        <v>26.234332790551083</v>
      </c>
      <c r="O41" s="119">
        <v>250022.86</v>
      </c>
      <c r="P41" s="104">
        <f t="shared" si="5"/>
        <v>59.921626850362955</v>
      </c>
      <c r="Q41" s="119">
        <v>237890.3392370838</v>
      </c>
      <c r="R41" s="104">
        <f t="shared" si="6"/>
        <v>39.10745868157931</v>
      </c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spans="1:28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88"/>
      <c r="R42" s="88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 spans="1:28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88"/>
      <c r="R43" s="88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 spans="1:28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88"/>
      <c r="R44" s="88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 spans="1:28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88"/>
      <c r="R45" s="88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 spans="1:28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88"/>
      <c r="R46" s="88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spans="1:28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88"/>
      <c r="R47" s="88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spans="1:28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88"/>
      <c r="R48" s="88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spans="1:28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88"/>
      <c r="R49" s="88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spans="1:28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88"/>
      <c r="R50" s="88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spans="1:28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88"/>
      <c r="R51" s="88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spans="1:28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88"/>
      <c r="R52" s="88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88"/>
      <c r="R53" s="88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spans="1:28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88"/>
      <c r="R54" s="88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spans="1:28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88"/>
      <c r="R55" s="88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spans="1:28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88"/>
      <c r="R56" s="88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spans="1:28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88"/>
      <c r="R57" s="88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spans="1:28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88"/>
      <c r="R58" s="88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spans="1:28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88"/>
      <c r="R59" s="88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spans="1:28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88"/>
      <c r="R60" s="88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spans="1:28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88"/>
      <c r="R61" s="88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spans="1:28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88"/>
      <c r="R62" s="88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spans="1:28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88"/>
      <c r="R63" s="88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spans="1:28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88"/>
      <c r="R64" s="88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spans="1:28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88"/>
      <c r="R65" s="88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spans="1:28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88"/>
      <c r="R66" s="88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 spans="1:28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88"/>
      <c r="R67" s="88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 spans="1:28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88"/>
      <c r="R68" s="88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 spans="1:28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88"/>
      <c r="R69" s="88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 spans="1:28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88"/>
      <c r="R70" s="88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spans="1:28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88"/>
      <c r="R71" s="88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spans="1:28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88"/>
      <c r="R72" s="88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 spans="1:28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88"/>
      <c r="R73" s="88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spans="1:28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88"/>
      <c r="R74" s="88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spans="1:28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88"/>
      <c r="R75" s="88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 spans="1:28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88"/>
      <c r="R76" s="88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spans="1:28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88"/>
      <c r="R77" s="88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spans="1:28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88"/>
      <c r="R78" s="88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spans="1:28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88"/>
      <c r="R79" s="88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spans="1:28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88"/>
      <c r="R80" s="88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 spans="1:28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88"/>
      <c r="R81" s="88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 spans="1:28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88"/>
      <c r="R82" s="88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 spans="1:28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88"/>
      <c r="R83" s="88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 spans="1:28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88"/>
      <c r="R84" s="88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 spans="1:28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88"/>
      <c r="R85" s="88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 spans="1:28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88"/>
      <c r="R86" s="88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 spans="1:28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88"/>
      <c r="R87" s="88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 spans="1:28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88"/>
      <c r="R88" s="88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 spans="1:28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88"/>
      <c r="R89" s="88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 spans="1:28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88"/>
      <c r="R90" s="88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 spans="1:28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88"/>
      <c r="R91" s="88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 spans="1:28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88"/>
      <c r="R92" s="88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 spans="1:28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88"/>
      <c r="R93" s="88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 spans="1:28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88"/>
      <c r="R94" s="88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 spans="1:28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88"/>
      <c r="R95" s="88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 spans="1:28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88"/>
      <c r="R96" s="88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spans="1:28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88"/>
      <c r="R97" s="88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spans="1:28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88"/>
      <c r="R98" s="88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spans="1:28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88"/>
      <c r="R99" s="88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spans="1:28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88"/>
      <c r="R100" s="88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spans="1:28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88"/>
      <c r="R101" s="88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spans="1:28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88"/>
      <c r="R102" s="88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spans="1:28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88"/>
      <c r="R103" s="88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 spans="1:28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88"/>
      <c r="R104" s="88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 spans="1:28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88"/>
      <c r="R105" s="88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 spans="1:28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88"/>
      <c r="R106" s="88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 spans="1:28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88"/>
      <c r="R107" s="88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 spans="1:28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88"/>
      <c r="R108" s="88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 spans="1:28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88"/>
      <c r="R109" s="88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 spans="1:28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88"/>
      <c r="R110" s="88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spans="1:28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88"/>
      <c r="R111" s="88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 spans="1:28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88"/>
      <c r="R112" s="88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 spans="1:28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88"/>
      <c r="R113" s="88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 spans="1:28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88"/>
      <c r="R114" s="88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 spans="1:28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88"/>
      <c r="R115" s="88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 spans="1:28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88"/>
      <c r="R116" s="88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 spans="1:28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88"/>
      <c r="R117" s="88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 spans="1:28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88"/>
      <c r="R118" s="88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 spans="1:28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88"/>
      <c r="R119" s="88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 spans="1:28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88"/>
      <c r="R120" s="88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 spans="1:28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88"/>
      <c r="R121" s="88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 spans="1:28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88"/>
      <c r="R122" s="88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 spans="1:28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88"/>
      <c r="R123" s="88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 spans="1:28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88"/>
      <c r="R124" s="88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 spans="1:28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88"/>
      <c r="R125" s="88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 spans="1:28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88"/>
      <c r="R126" s="88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 spans="1:28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88"/>
      <c r="R127" s="88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 spans="1:28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88"/>
      <c r="R128" s="88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 spans="1:28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88"/>
      <c r="R129" s="88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 spans="1:28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88"/>
      <c r="R130" s="88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 spans="1:28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88"/>
      <c r="R131" s="88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 spans="1:28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88"/>
      <c r="R132" s="88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 spans="1:28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88"/>
      <c r="R133" s="88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 spans="1:28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88"/>
      <c r="R134" s="88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 spans="1:28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88"/>
      <c r="R135" s="88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 spans="1:28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88"/>
      <c r="R136" s="88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 spans="1:28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88"/>
      <c r="R137" s="88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 spans="1:28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88"/>
      <c r="R138" s="88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spans="1:28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88"/>
      <c r="R139" s="88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 spans="1:28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88"/>
      <c r="R140" s="88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 spans="1:28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88"/>
      <c r="R141" s="88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 spans="1:28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88"/>
      <c r="R142" s="88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 spans="1:28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88"/>
      <c r="R143" s="88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 spans="1:28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88"/>
      <c r="R144" s="88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 spans="1:28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88"/>
      <c r="R145" s="88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 spans="1:28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88"/>
      <c r="R146" s="88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 spans="1:28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88"/>
      <c r="R147" s="88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 spans="1:28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88"/>
      <c r="R148" s="88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 spans="1:28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88"/>
      <c r="R149" s="88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 spans="1:28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88"/>
      <c r="R150" s="88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 spans="1:28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88"/>
      <c r="R151" s="88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 spans="1:28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88"/>
      <c r="R152" s="88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 spans="1:28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88"/>
      <c r="R153" s="88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 spans="1:28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88"/>
      <c r="R154" s="88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 spans="1:28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88"/>
      <c r="R155" s="88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 spans="1:28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88"/>
      <c r="R156" s="88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 spans="1:28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88"/>
      <c r="R157" s="88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 spans="1:28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88"/>
      <c r="R158" s="88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 spans="1:28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88"/>
      <c r="R159" s="88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 spans="1:28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88"/>
      <c r="R160" s="88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 spans="1:28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88"/>
      <c r="R161" s="88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 spans="1:28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88"/>
      <c r="R162" s="88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 spans="1:28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88"/>
      <c r="R163" s="88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 spans="1:28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88"/>
      <c r="R164" s="88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 spans="1:28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88"/>
      <c r="R165" s="88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 spans="1:28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88"/>
      <c r="R166" s="88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 spans="1:28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88"/>
      <c r="R167" s="88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 spans="1:28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88"/>
      <c r="R168" s="88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 spans="1:28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88"/>
      <c r="R169" s="88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 spans="1:28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88"/>
      <c r="R170" s="88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 spans="1:28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88"/>
      <c r="R171" s="88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 spans="1:28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88"/>
      <c r="R172" s="88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 spans="1:28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88"/>
      <c r="R173" s="88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 spans="1:28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88"/>
      <c r="R174" s="88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 spans="1:28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88"/>
      <c r="R175" s="88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 spans="1:28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88"/>
      <c r="R176" s="88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 spans="1:28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88"/>
      <c r="R177" s="88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 spans="1:28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88"/>
      <c r="R178" s="88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 spans="1:28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88"/>
      <c r="R179" s="88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spans="1:28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88"/>
      <c r="R180" s="88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 spans="1:28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88"/>
      <c r="R181" s="88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 spans="1:28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88"/>
      <c r="R182" s="88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 spans="1:28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88"/>
      <c r="R183" s="88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 spans="1:28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88"/>
      <c r="R184" s="88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 spans="1:28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88"/>
      <c r="R185" s="88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 spans="1:28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88"/>
      <c r="R186" s="88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 spans="1:28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88"/>
      <c r="R187" s="88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 spans="1:28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88"/>
      <c r="R188" s="88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 spans="1:28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88"/>
      <c r="R189" s="88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 spans="1:28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88"/>
      <c r="R190" s="88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 spans="1:28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88"/>
      <c r="R191" s="88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 spans="1:28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88"/>
      <c r="R192" s="88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 spans="1:28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88"/>
      <c r="R193" s="88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 spans="1:28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88"/>
      <c r="R194" s="88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 spans="1:28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88"/>
      <c r="R195" s="88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 spans="1:28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88"/>
      <c r="R196" s="88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 spans="1:28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88"/>
      <c r="R197" s="88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 spans="1:28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88"/>
      <c r="R198" s="88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 spans="1:28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88"/>
      <c r="R199" s="88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 spans="1:28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88"/>
      <c r="R200" s="88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 spans="1:28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88"/>
      <c r="R201" s="88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 spans="1:28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88"/>
      <c r="R202" s="88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 spans="1:28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88"/>
      <c r="R203" s="88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 spans="1:28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88"/>
      <c r="R204" s="88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 spans="1:28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88"/>
      <c r="R205" s="88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 spans="1:28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88"/>
      <c r="R206" s="88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spans="1:28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88"/>
      <c r="R207" s="88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 spans="1:28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88"/>
      <c r="R208" s="88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 spans="1:28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88"/>
      <c r="R209" s="88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 spans="1:28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88"/>
      <c r="R210" s="88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 spans="1:28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88"/>
      <c r="R211" s="88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 spans="1:28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88"/>
      <c r="R212" s="88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spans="1:28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88"/>
      <c r="R213" s="88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 spans="1:28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88"/>
      <c r="R214" s="88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 spans="1:28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88"/>
      <c r="R215" s="88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 spans="1:28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88"/>
      <c r="R216" s="88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spans="1:28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88"/>
      <c r="R217" s="88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 spans="1:28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88"/>
      <c r="R218" s="88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 spans="1:28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88"/>
      <c r="R219" s="88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 spans="1:28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88"/>
      <c r="R220" s="88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 spans="1:28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88"/>
      <c r="R221" s="88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 spans="1:28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88"/>
      <c r="R222" s="88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 spans="1:28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88"/>
      <c r="R223" s="88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 spans="1:28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88"/>
      <c r="R224" s="88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 spans="1:28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88"/>
      <c r="R225" s="88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 spans="1:28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88"/>
      <c r="R226" s="88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 spans="1:28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88"/>
      <c r="R227" s="88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 spans="1:28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88"/>
      <c r="R228" s="88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 spans="1:28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88"/>
      <c r="R229" s="88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 spans="1:28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88"/>
      <c r="R230" s="88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 spans="1:28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88"/>
      <c r="R231" s="88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 spans="1:28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88"/>
      <c r="R232" s="88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 spans="1:28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88"/>
      <c r="R233" s="88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 spans="1:28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88"/>
      <c r="R234" s="88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 spans="1:28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88"/>
      <c r="R235" s="88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 spans="1:28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88"/>
      <c r="R236" s="88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 spans="1:28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88"/>
      <c r="R237" s="88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 spans="1:28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88"/>
      <c r="R238" s="88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 spans="1:28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88"/>
      <c r="R239" s="88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 spans="1:28" ht="15.75" customHeight="1" x14ac:dyDescent="0.25">
      <c r="A240" s="87"/>
      <c r="B240" s="87"/>
      <c r="C240" s="87"/>
      <c r="D240" s="87"/>
      <c r="E240" s="87"/>
      <c r="F240" s="88"/>
      <c r="G240" s="87"/>
      <c r="H240" s="88"/>
      <c r="I240" s="89"/>
      <c r="J240" s="89"/>
      <c r="K240" s="88"/>
      <c r="L240" s="88"/>
      <c r="M240" s="88"/>
      <c r="N240" s="88"/>
      <c r="O240" s="88"/>
      <c r="P240" s="88"/>
      <c r="Q240" s="88"/>
      <c r="R240" s="88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 spans="1:28" ht="15.75" customHeight="1" x14ac:dyDescent="0.25">
      <c r="A241" s="87"/>
      <c r="B241" s="87"/>
      <c r="C241" s="87"/>
      <c r="D241" s="87"/>
      <c r="E241" s="87"/>
      <c r="F241" s="88"/>
      <c r="G241" s="87"/>
      <c r="H241" s="88"/>
      <c r="I241" s="89"/>
      <c r="J241" s="89"/>
      <c r="K241" s="88"/>
      <c r="L241" s="88"/>
      <c r="M241" s="88"/>
      <c r="N241" s="88"/>
      <c r="O241" s="88"/>
      <c r="P241" s="88"/>
      <c r="Q241" s="88"/>
      <c r="R241" s="88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 spans="1:28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 spans="1:28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 spans="1:28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 spans="1:28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 spans="1:28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 spans="1:28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 spans="1:28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 spans="1:28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 spans="1:28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 spans="1:28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 spans="1:28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 spans="1:28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 spans="1:28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 spans="1:28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 spans="1:28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 spans="1:28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 spans="1:28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 spans="1:28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 spans="1:28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 spans="1:28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 spans="1:28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 spans="1:28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 spans="1:28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 spans="1:28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 spans="1:28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 spans="1:28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 spans="1:28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 spans="1:28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 spans="1:28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 spans="1:28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 spans="1:28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 spans="1:28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 spans="1:28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 spans="1:28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 spans="1:28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 spans="1:28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 spans="1:28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 spans="1:28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 spans="1:28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 spans="1:28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 spans="1:28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 spans="1:28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 spans="1:28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 spans="1:28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 spans="1:28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 spans="1:28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 spans="1:28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 spans="1:28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 spans="1:28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 spans="1:28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 spans="1:28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 spans="1:28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 spans="1:28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 spans="1:28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 spans="1:28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 spans="1:28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 spans="1:28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 spans="1:28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 spans="1:28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 spans="1:28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 spans="1:28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 spans="1:28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 spans="1:28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 spans="1:28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 spans="1:28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 spans="1:28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 spans="1:28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 spans="1:28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 spans="1:28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 spans="1:28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 spans="1:28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 spans="1:28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 spans="1:28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 spans="1:28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 spans="1:28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 spans="1:28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 spans="1:28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 spans="1:28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 spans="1:28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 spans="1:28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 spans="1:28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 spans="1:28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 spans="1:28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 spans="1:28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 spans="1:28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 spans="1:28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 spans="1:28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 spans="1:28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 spans="1:28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 spans="1:28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 spans="1:28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 spans="1:28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 spans="1:28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 spans="1:28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 spans="1:28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 spans="1:28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 spans="1:28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 spans="1:28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 spans="1:28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 spans="1:28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 spans="1:28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 spans="1:28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 spans="1:28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 spans="1:28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 spans="1:28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 spans="1:28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 spans="1:28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 spans="1:28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 spans="1:28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 spans="1:28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 spans="1:28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 spans="1:28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 spans="1:28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 spans="1:28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 spans="1:28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 spans="1:28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 spans="1:28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 spans="1:28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 spans="1:28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 spans="1:28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 spans="1:28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 spans="1:28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 spans="1:28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 spans="1:28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 spans="1:28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 spans="1:28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 spans="1:28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 spans="1:28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 spans="1:28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 spans="1:28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 spans="1:28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 spans="1:28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 spans="1:28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 spans="1:28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 spans="1:28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 spans="1:28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 spans="1:28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 spans="1:28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 spans="1:28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 spans="1:28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 spans="1:28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 spans="1:28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 spans="1:28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 spans="1:28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 spans="1:28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 spans="1:28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 spans="1:28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 spans="1:28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 spans="1:28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 spans="1:28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 spans="1:28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 spans="1:28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 spans="1:28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 spans="1:28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 spans="1:28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 spans="1:28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 spans="1:28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 spans="1:28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 spans="1:28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 spans="1:28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 spans="1:28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 spans="1:28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 spans="1:28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 spans="1:28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 spans="1:28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 spans="1:28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 spans="1:28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 spans="1:28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 spans="1:28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 spans="1:28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 spans="1:28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 spans="1:28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 spans="1:28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 spans="1:28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 spans="1:28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 spans="1:28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 spans="1:28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 spans="1:28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 spans="1:28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 spans="1:28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 spans="1:28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 spans="1:28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 spans="1:28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 spans="1:28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 spans="1:28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 spans="1:28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 spans="1:28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 spans="1:28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 spans="1:28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 spans="1:28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 spans="1:28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 spans="1:28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 spans="1:28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 spans="1:28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 spans="1:28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 spans="1:28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 spans="1:28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 spans="1:28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 spans="1:28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 spans="1:28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 spans="1:28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 spans="1:28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 spans="1:28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 spans="1:28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 spans="1:28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 spans="1:28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 spans="1:28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 spans="1:28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 spans="1:28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 spans="1:28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 spans="1:28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 spans="1:28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 spans="1:28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 spans="1:28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 spans="1:28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 spans="1:28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 spans="1:28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 spans="1:28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 spans="1:28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 spans="1:28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 spans="1:28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 spans="1:28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 spans="1:28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 spans="1:28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 spans="1:28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 spans="1:28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 spans="1:28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 spans="1:28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 spans="1:28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 spans="1:28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 spans="1:28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 spans="1:28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 spans="1:28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 spans="1:28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 spans="1:28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 spans="1:28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 spans="1:28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 spans="1:28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 spans="1:28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 spans="1:28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 spans="1:28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 spans="1:28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 spans="1:28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 spans="1:28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 spans="1:28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 spans="1:28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 spans="1:28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 spans="1:28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 spans="1:28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 spans="1:28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 spans="1:28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 spans="1:28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 spans="1:28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 spans="1:28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 spans="1:28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 spans="1:28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 spans="1:28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 spans="1:28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 spans="1:28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 spans="1:28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 spans="1:28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 spans="1:28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 spans="1:28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 spans="1:28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 spans="1:28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 spans="1:28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 spans="1:28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 spans="1:28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 spans="1:28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 spans="1:28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 spans="1:28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 spans="1:28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 spans="1:28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 spans="1:28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 spans="1:28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 spans="1:28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 spans="1:28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 spans="1:28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 spans="1:28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 spans="1:28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 spans="1:28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 spans="1:28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 spans="1:28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 spans="1:28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 spans="1:28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 spans="1:28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 spans="1:28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 spans="1:28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 spans="1:28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 spans="1:28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 spans="1:28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 spans="1:28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 spans="1:28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 spans="1:28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 spans="1:28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 spans="1:28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 spans="1:28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 spans="1:28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 spans="1:28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 spans="1:28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 spans="1:28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 spans="1:28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 spans="1:28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 spans="1:28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 spans="1:28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 spans="1:28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 spans="1:28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 spans="1:28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 spans="1:28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 spans="1:28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 spans="1:28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 spans="1:28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 spans="1:28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 spans="1:28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 spans="1:28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 spans="1:28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 spans="1:28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 spans="1:28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 spans="1:28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 spans="1:28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 spans="1:28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 spans="1:28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 spans="1:28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 spans="1:28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 spans="1:28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 spans="1:28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 spans="1:28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 spans="1:28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 spans="1:28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 spans="1:28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 spans="1:28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 spans="1:28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 spans="1:28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 spans="1:28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 spans="1:28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 spans="1:28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 spans="1:28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 spans="1:28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 spans="1:28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 spans="1:28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 spans="1:28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 spans="1:28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 spans="1:28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 spans="1:28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 spans="1:28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 spans="1:28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 spans="1:28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 spans="1:28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 spans="1:28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 spans="1:28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 spans="1:28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 spans="1:28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 spans="1:28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 spans="1:28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 spans="1:28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 spans="1:28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 spans="1:28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 spans="1:28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 spans="1:28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 spans="1:28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 spans="1:28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 spans="1:28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 spans="1:28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 spans="1:28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 spans="1:28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 spans="1:28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 spans="1:28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 spans="1:28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 spans="1:28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 spans="1:28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 spans="1:28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 spans="1:28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 spans="1:28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 spans="1:28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 spans="1:28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 spans="1:28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 spans="1:28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 spans="1:28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 spans="1:28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 spans="1:28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 spans="1:28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 spans="1:28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 spans="1:28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 spans="1:28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 spans="1:28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 spans="1:28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 spans="1:28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 spans="1:28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 spans="1:28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 spans="1:28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 spans="1:28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 spans="1:28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 spans="1:28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 spans="1:28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 spans="1:28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 spans="1:28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 spans="1:28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 spans="1:28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 spans="1:28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 spans="1:28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 spans="1:28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 spans="1:28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 spans="1:28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 spans="1:28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 spans="1:28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 spans="1:28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 spans="1:28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 spans="1:28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 spans="1:28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 spans="1:28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 spans="1:28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 spans="1:28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 spans="1:28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 spans="1:28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 spans="1:28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 spans="1:28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 spans="1:28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 spans="1:28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 spans="1:28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 spans="1:28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 spans="1:28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 spans="1:28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 spans="1:28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 spans="1:28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 spans="1:28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 spans="1:28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 spans="1:28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 spans="1:28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 spans="1:28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 spans="1:28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 spans="1:28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 spans="1:28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 spans="1:28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 spans="1:28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 spans="1:28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 spans="1:28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 spans="1:28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 spans="1:28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 spans="1:28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 spans="1:28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 spans="1:28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 spans="1:28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 spans="1:28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 spans="1:28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 spans="1:28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 spans="1:28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 spans="1:28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 spans="1:28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 spans="1:28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 spans="1:28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 spans="1:28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 spans="1:28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 spans="1:28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 spans="1:28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 spans="1:28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 spans="1:28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 spans="1:28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 spans="1:28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 spans="1:28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 spans="1:28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 spans="1:28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 spans="1:28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 spans="1:28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 spans="1:28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 spans="1:28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 spans="1:28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 spans="1:28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 spans="1:28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 spans="1:28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 spans="1:28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 spans="1:28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 spans="1:28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 spans="1:28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 spans="1:28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 spans="1:28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 spans="1:28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 spans="1:28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 spans="1:28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 spans="1:28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 spans="1:28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 spans="1:28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 spans="1:28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 spans="1:28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 spans="1:28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 spans="1:28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 spans="1:28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 spans="1:28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 spans="1:28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 spans="1:28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 spans="1:28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 spans="1:28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 spans="1:28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 spans="1:28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 spans="1:28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 spans="1:28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 spans="1:28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 spans="1:28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 spans="1:28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 spans="1:28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 spans="1:28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 spans="1:28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 spans="1:28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 spans="1:28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 spans="1:28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 spans="1:28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 spans="1:28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 spans="1:28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 spans="1:28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 spans="1:28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 spans="1:28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 spans="1:28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 spans="1:28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 spans="1:28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 spans="1:28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 spans="1:28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 spans="1:28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 spans="1:28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 spans="1:28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 spans="1:28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 spans="1:28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 spans="1:28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 spans="1:28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 spans="1:28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 spans="1:28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 spans="1:28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 spans="1:28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 spans="1:28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 spans="1:28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 spans="1:28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 spans="1:28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 spans="1:28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 spans="1:28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 spans="1:28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 spans="1:28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 spans="1:28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 spans="1:28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 spans="1:28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 spans="1:28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 spans="1:28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 spans="1:28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 spans="1:28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 spans="1:28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 spans="1:28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 spans="1:28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 spans="1:28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 spans="1:28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 spans="1:28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 spans="1:28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 spans="1:28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 spans="1:28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 spans="1:28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 spans="1:28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 spans="1:28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 spans="1:28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 spans="1:28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 spans="1:28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 spans="1:28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 spans="1:28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 spans="1:28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 spans="1:28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 spans="1:28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 spans="1:28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 spans="1:28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 spans="1:28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 spans="1:28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 spans="1:28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 spans="1:28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 spans="1:28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 spans="1:28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 spans="1:28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 spans="1:28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 spans="1:28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 spans="1:28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 spans="1:28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 spans="1:28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 spans="1:28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 spans="1:28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 spans="1:28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 spans="1:28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 spans="1:28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 spans="1:28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 spans="1:28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 spans="1:28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 spans="1:28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 spans="1:28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 spans="1:28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 spans="1:28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 spans="1:28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 spans="1:28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 spans="1:28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 spans="1:28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 spans="1:28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 spans="1:28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 spans="1:28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 spans="1:28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 spans="1:28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 spans="1:28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 spans="1:28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 spans="1:28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 spans="1:28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 spans="1:28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 spans="1:28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 spans="1:28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 spans="1:28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 spans="1:28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 spans="1:28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 spans="1:28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 spans="1:28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 spans="1:28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 spans="1:28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 spans="1:28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 spans="1:28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 spans="1:28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 spans="1:28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 spans="1:28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 spans="1:28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 spans="1:28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 spans="1:28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 spans="1:28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 spans="1:28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 spans="1:28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 spans="1:28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 spans="1:28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 spans="1:28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 spans="1:28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 spans="1:28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 spans="1:28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 spans="1:28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 spans="1:28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 spans="1:28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 spans="1:28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 spans="1:28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 spans="1:28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 spans="1:28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 spans="1:28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 spans="1:28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 spans="1:28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 spans="1:28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 spans="1:28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 spans="1:28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 spans="1:28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 spans="1:28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 spans="1:28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 spans="1:28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 spans="1:28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 spans="1:28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 spans="1:28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 spans="1:28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 spans="1:28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 spans="1:28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 spans="1:28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 spans="1:28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 spans="1:28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 spans="1:28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 spans="1:28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 spans="1:28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 spans="1:28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 spans="1:28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 spans="1:28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 spans="1:28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 spans="1:28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 spans="1:28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 spans="1:28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 spans="1:28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 spans="1:28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 spans="1:28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 spans="1:28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 spans="1:28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 spans="1:28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 spans="1:28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 spans="1:28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 spans="1:28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 spans="1:28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 spans="1:28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 spans="1:28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 spans="1:28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 spans="1:28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 spans="1:28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 spans="1:28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 spans="1:28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 spans="1:28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 spans="1:28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 spans="1:28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 spans="1:28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 spans="1:28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 spans="1:28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 spans="1:28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 spans="1:28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 spans="1:28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 spans="1:28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 spans="1:28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 spans="1:28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 spans="1:28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 spans="1:28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 spans="1:28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 spans="1:28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 spans="1:28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 spans="1:28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 spans="1:28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 spans="1:28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 spans="1:28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 spans="1:28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 spans="1:28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 spans="1:28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 spans="1:28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 spans="1:28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 spans="1:28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 spans="1:28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 spans="1:28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 spans="1:28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 spans="1:28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 spans="1:28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 spans="1:28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 spans="1:28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 spans="1:28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 spans="1:28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 spans="1:28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 spans="1:28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 spans="1:28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 spans="1:28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 spans="1:28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 spans="1:28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 spans="1:28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  <row r="965" spans="1:28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</row>
    <row r="966" spans="1:28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</row>
    <row r="967" spans="1:28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</row>
    <row r="968" spans="1:28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</row>
    <row r="969" spans="1:28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</row>
    <row r="970" spans="1:28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</row>
    <row r="971" spans="1:28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</row>
    <row r="972" spans="1:28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</row>
    <row r="973" spans="1:28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</row>
    <row r="974" spans="1:28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</row>
    <row r="975" spans="1:28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</row>
    <row r="976" spans="1:28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</row>
    <row r="977" spans="1:28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</row>
    <row r="978" spans="1:28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</row>
    <row r="979" spans="1:28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</row>
    <row r="980" spans="1:28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</row>
    <row r="981" spans="1:28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</row>
    <row r="982" spans="1:28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</row>
    <row r="983" spans="1:28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</row>
    <row r="984" spans="1:28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</row>
    <row r="985" spans="1:28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</row>
    <row r="986" spans="1:28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</row>
    <row r="987" spans="1:28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</row>
    <row r="988" spans="1:28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</row>
    <row r="989" spans="1:28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</row>
    <row r="990" spans="1:28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</row>
    <row r="991" spans="1:28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</row>
    <row r="992" spans="1:28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</row>
    <row r="993" spans="1:28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</row>
    <row r="994" spans="1:28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</row>
    <row r="995" spans="1:28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</row>
    <row r="996" spans="1:28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</row>
    <row r="997" spans="1:28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</row>
    <row r="998" spans="1:28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</row>
    <row r="999" spans="1:28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</row>
    <row r="1000" spans="1:28" ht="15.75" customHeight="1" x14ac:dyDescent="0.25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</row>
    <row r="1001" spans="1:28" ht="15.75" customHeight="1" x14ac:dyDescent="0.25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</row>
  </sheetData>
  <mergeCells count="10">
    <mergeCell ref="A24:J24"/>
    <mergeCell ref="A33:J33"/>
    <mergeCell ref="A41:E41"/>
    <mergeCell ref="D3:E3"/>
    <mergeCell ref="D4:E4"/>
    <mergeCell ref="A11:E11"/>
    <mergeCell ref="A17:E17"/>
    <mergeCell ref="A20:J20"/>
    <mergeCell ref="A21:E21"/>
    <mergeCell ref="A22:E22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workbookViewId="0">
      <selection activeCell="D42" sqref="D42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>Viva Perequê Residencial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>Ferazzo e Correa Incorporadora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197" t="s">
        <v>16</v>
      </c>
      <c r="B4" s="198"/>
      <c r="C4" s="198"/>
      <c r="D4" s="198"/>
      <c r="E4" s="198"/>
      <c r="F4" s="199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200" t="s">
        <v>91</v>
      </c>
      <c r="B6" s="198"/>
      <c r="C6" s="198"/>
      <c r="D6" s="198"/>
      <c r="E6" s="198"/>
      <c r="F6" s="199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f>[7]DADOS_INICIAIS!$E$26</f>
        <v>93.06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f>[7]DADOS_INICIAIS!$E$20</f>
        <v>73.290000000000006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D11+(25-3.7)*2+(24-3.7*2)</f>
        <v>152.26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73.290000000000006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234</v>
      </c>
      <c r="C19" s="25" t="s">
        <v>43</v>
      </c>
      <c r="D19" s="26">
        <f>D12+4.15</f>
        <v>77.440000000000012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98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99</v>
      </c>
      <c r="C21" s="127" t="s">
        <v>43</v>
      </c>
      <c r="D21" s="128">
        <f>(D19*D20)</f>
        <v>309.76000000000005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100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217</v>
      </c>
      <c r="C26" s="25" t="s">
        <v>43</v>
      </c>
      <c r="D26" s="125">
        <f>D12</f>
        <v>73.290000000000006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218</v>
      </c>
      <c r="C27" s="192" t="s">
        <v>43</v>
      </c>
      <c r="D27" s="195">
        <f>45.9-4.14</f>
        <v>41.76</v>
      </c>
      <c r="E27" s="52"/>
      <c r="F27" s="193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100</v>
      </c>
      <c r="C28" s="127" t="s">
        <v>49</v>
      </c>
      <c r="D28" s="128">
        <f>D26*D27</f>
        <v>3060.5904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101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102</v>
      </c>
      <c r="C33" s="28" t="s">
        <v>49</v>
      </c>
      <c r="D33" s="196">
        <f>1*2.2</f>
        <v>2.2000000000000002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103</v>
      </c>
      <c r="C34" s="28" t="s">
        <v>24</v>
      </c>
      <c r="D34" s="196">
        <v>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104</v>
      </c>
      <c r="C35" s="28" t="s">
        <v>24</v>
      </c>
      <c r="D35" s="196">
        <f>D34*OBRA!D13</f>
        <v>30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101</v>
      </c>
      <c r="C36" s="136" t="s">
        <v>49</v>
      </c>
      <c r="D36" s="137">
        <f>D33*D35</f>
        <v>66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105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106</v>
      </c>
      <c r="C41" s="25" t="s">
        <v>43</v>
      </c>
      <c r="D41" s="26">
        <v>24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107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108</v>
      </c>
      <c r="C43" s="127" t="s">
        <v>49</v>
      </c>
      <c r="D43" s="128">
        <f>D42*D41</f>
        <v>57.599999999999994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showGridLines="0" tabSelected="1" workbookViewId="0">
      <selection activeCell="D61" sqref="D61:D66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12.140625" bestFit="1" customWidth="1"/>
    <col min="9" max="9" width="11.7109375" customWidth="1"/>
    <col min="10" max="26" width="9.140625" customWidth="1"/>
  </cols>
  <sheetData>
    <row r="1" spans="1:26" ht="12.75" customHeight="1" x14ac:dyDescent="0.25">
      <c r="A1" s="219" t="s">
        <v>109</v>
      </c>
      <c r="B1" s="220"/>
      <c r="C1" s="220"/>
      <c r="D1" s="220"/>
      <c r="E1" s="220"/>
      <c r="F1" s="221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22"/>
      <c r="B2" s="223"/>
      <c r="C2" s="223"/>
      <c r="D2" s="223"/>
      <c r="E2" s="223"/>
      <c r="F2" s="22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22"/>
      <c r="B3" s="223"/>
      <c r="C3" s="223"/>
      <c r="D3" s="223"/>
      <c r="E3" s="223"/>
      <c r="F3" s="22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22"/>
      <c r="B4" s="223"/>
      <c r="C4" s="223"/>
      <c r="D4" s="223"/>
      <c r="E4" s="223"/>
      <c r="F4" s="22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25"/>
      <c r="B5" s="226"/>
      <c r="C5" s="226"/>
      <c r="D5" s="226"/>
      <c r="E5" s="226"/>
      <c r="F5" s="227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110</v>
      </c>
      <c r="B7" s="228" t="str">
        <f>OBRA!B2</f>
        <v>Ferazzo e Correa Incorporadora</v>
      </c>
      <c r="C7" s="229"/>
      <c r="D7" s="229"/>
      <c r="E7" s="229"/>
      <c r="F7" s="230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31" t="str">
        <f>OBRA!B1</f>
        <v>Viva Perequê Residencial</v>
      </c>
      <c r="C8" s="198"/>
      <c r="D8" s="198"/>
      <c r="E8" s="198"/>
      <c r="F8" s="199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111</v>
      </c>
      <c r="B9" s="232">
        <v>45741</v>
      </c>
      <c r="C9" s="198"/>
      <c r="D9" s="198"/>
      <c r="E9" s="198"/>
      <c r="F9" s="199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112</v>
      </c>
      <c r="B10" s="233" t="str">
        <f>OBRA!B3</f>
        <v>R00</v>
      </c>
      <c r="C10" s="234"/>
      <c r="D10" s="234"/>
      <c r="E10" s="234"/>
      <c r="F10" s="23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14" t="s">
        <v>113</v>
      </c>
      <c r="B12" s="202"/>
      <c r="C12" s="202"/>
      <c r="D12" s="202"/>
      <c r="E12" s="202"/>
      <c r="F12" s="21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114</v>
      </c>
      <c r="B13" s="155" t="s">
        <v>5</v>
      </c>
      <c r="C13" s="155" t="s">
        <v>115</v>
      </c>
      <c r="D13" s="156" t="s">
        <v>116</v>
      </c>
      <c r="E13" s="156" t="s">
        <v>117</v>
      </c>
      <c r="F13" s="156" t="s">
        <v>118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119</v>
      </c>
      <c r="B14" s="159" t="s">
        <v>113</v>
      </c>
      <c r="C14" s="159"/>
      <c r="D14" s="160"/>
      <c r="E14" s="160"/>
      <c r="F14" s="161">
        <f>F15+F20</f>
        <v>597648.45697008295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120</v>
      </c>
      <c r="B15" s="164" t="s">
        <v>121</v>
      </c>
      <c r="C15" s="164"/>
      <c r="D15" s="165"/>
      <c r="E15" s="165"/>
      <c r="F15" s="166">
        <f>SUM(F16:F19)</f>
        <v>438493.58585650666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122</v>
      </c>
      <c r="B16" s="168" t="s">
        <v>123</v>
      </c>
      <c r="C16" s="168"/>
      <c r="D16" s="169"/>
      <c r="E16" s="169"/>
      <c r="F16" s="170">
        <f>BASES!H12*1.1</f>
        <v>45135.534313736571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124</v>
      </c>
      <c r="B17" s="168" t="s">
        <v>125</v>
      </c>
      <c r="C17" s="168"/>
      <c r="D17" s="169"/>
      <c r="E17" s="169"/>
      <c r="F17" s="170">
        <f>BASES!H13*1.1</f>
        <v>256591.14575287158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126</v>
      </c>
      <c r="B18" s="168" t="s">
        <v>127</v>
      </c>
      <c r="C18" s="168"/>
      <c r="D18" s="169"/>
      <c r="E18" s="169"/>
      <c r="F18" s="170">
        <f>BASES!H14*1.1</f>
        <v>105149.3505876641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128</v>
      </c>
      <c r="B19" s="168" t="s">
        <v>129</v>
      </c>
      <c r="C19" s="168"/>
      <c r="D19" s="169"/>
      <c r="E19" s="169"/>
      <c r="F19" s="170">
        <f>BASES!H15*1.1</f>
        <v>31617.555202234395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130</v>
      </c>
      <c r="B20" s="164" t="s">
        <v>131</v>
      </c>
      <c r="C20" s="164"/>
      <c r="D20" s="165"/>
      <c r="E20" s="165"/>
      <c r="F20" s="166">
        <f>SUM(F21:F23)</f>
        <v>159154.87111357626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132</v>
      </c>
      <c r="B21" s="168" t="s">
        <v>133</v>
      </c>
      <c r="C21" s="168"/>
      <c r="D21" s="169"/>
      <c r="E21" s="169"/>
      <c r="F21" s="170">
        <f>BASES!H17*1.1</f>
        <v>15264.254474601617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134</v>
      </c>
      <c r="B22" s="168" t="s">
        <v>66</v>
      </c>
      <c r="C22" s="168"/>
      <c r="D22" s="169"/>
      <c r="E22" s="169"/>
      <c r="F22" s="170">
        <f>BASES!H18*1.1</f>
        <v>88912.992617615892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67" t="s">
        <v>135</v>
      </c>
      <c r="B23" s="168" t="s">
        <v>136</v>
      </c>
      <c r="C23" s="168"/>
      <c r="D23" s="169"/>
      <c r="E23" s="169"/>
      <c r="F23" s="170">
        <f>BASES!H19*1.1</f>
        <v>54977.624021358752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2" t="s">
        <v>137</v>
      </c>
      <c r="B24" s="173" t="s">
        <v>138</v>
      </c>
      <c r="C24" s="173"/>
      <c r="D24" s="174"/>
      <c r="E24" s="174"/>
      <c r="F24" s="175">
        <f>F25+F39+F58</f>
        <v>2256611.7036526501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6" t="s">
        <v>139</v>
      </c>
      <c r="B25" s="164" t="s">
        <v>140</v>
      </c>
      <c r="C25" s="164"/>
      <c r="D25" s="165"/>
      <c r="E25" s="165"/>
      <c r="F25" s="166">
        <f>F26+F28+F38</f>
        <v>357994.30061010522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1" t="s">
        <v>141</v>
      </c>
      <c r="B26" s="168" t="s">
        <v>142</v>
      </c>
      <c r="C26" s="168"/>
      <c r="D26" s="169"/>
      <c r="E26" s="169"/>
      <c r="F26" s="170">
        <f>F27</f>
        <v>87500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7" t="s">
        <v>143</v>
      </c>
      <c r="B27" s="178" t="s">
        <v>144</v>
      </c>
      <c r="C27" s="178" t="s">
        <v>145</v>
      </c>
      <c r="D27" s="179">
        <f>OBRA!D12</f>
        <v>35</v>
      </c>
      <c r="E27" s="180">
        <f>BASES!H21</f>
        <v>2500</v>
      </c>
      <c r="F27" s="181">
        <f>E27*D27</f>
        <v>87500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1" t="s">
        <v>146</v>
      </c>
      <c r="B28" s="168" t="s">
        <v>147</v>
      </c>
      <c r="C28" s="168"/>
      <c r="D28" s="169"/>
      <c r="E28" s="169"/>
      <c r="F28" s="170">
        <f>SUM(F29:F37)</f>
        <v>200733.67195680269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148</v>
      </c>
      <c r="B29" s="178" t="s">
        <v>95</v>
      </c>
      <c r="C29" s="178" t="s">
        <v>43</v>
      </c>
      <c r="D29" s="179">
        <f>EPCs!D13</f>
        <v>152.26</v>
      </c>
      <c r="E29" s="179">
        <v>294.33</v>
      </c>
      <c r="F29" s="181">
        <f t="shared" ref="F29:F37" si="0">E29*D29</f>
        <v>44814.685799999992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177" t="s">
        <v>149</v>
      </c>
      <c r="B30" s="178" t="s">
        <v>96</v>
      </c>
      <c r="C30" s="178" t="s">
        <v>43</v>
      </c>
      <c r="D30" s="179">
        <f>EPCs!D14</f>
        <v>73.290000000000006</v>
      </c>
      <c r="E30" s="179">
        <v>210.06</v>
      </c>
      <c r="F30" s="181">
        <f t="shared" si="0"/>
        <v>15395.297400000001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151</v>
      </c>
      <c r="B31" s="178" t="s">
        <v>150</v>
      </c>
      <c r="C31" s="178" t="s">
        <v>43</v>
      </c>
      <c r="D31" s="179">
        <f>EPCs!D21</f>
        <v>309.76000000000005</v>
      </c>
      <c r="E31" s="179">
        <v>17.89</v>
      </c>
      <c r="F31" s="181">
        <f t="shared" si="0"/>
        <v>5541.6064000000006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9.5" customHeight="1" x14ac:dyDescent="0.25">
      <c r="A32" s="177" t="s">
        <v>153</v>
      </c>
      <c r="B32" s="178" t="s">
        <v>152</v>
      </c>
      <c r="C32" s="178" t="s">
        <v>49</v>
      </c>
      <c r="D32" s="179">
        <f>EPCs!D36</f>
        <v>66</v>
      </c>
      <c r="E32" s="179">
        <v>47.3</v>
      </c>
      <c r="F32" s="181">
        <f t="shared" si="0"/>
        <v>3121.7999999999997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7.25" customHeight="1" x14ac:dyDescent="0.25">
      <c r="A33" s="177" t="s">
        <v>156</v>
      </c>
      <c r="B33" s="178" t="s">
        <v>154</v>
      </c>
      <c r="C33" s="178" t="s">
        <v>43</v>
      </c>
      <c r="D33" s="179">
        <f>D31</f>
        <v>309.76000000000005</v>
      </c>
      <c r="E33" s="179">
        <v>244</v>
      </c>
      <c r="F33" s="181">
        <f t="shared" si="0"/>
        <v>75581.440000000017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7.25" customHeight="1" x14ac:dyDescent="0.25">
      <c r="A34" s="177" t="s">
        <v>222</v>
      </c>
      <c r="B34" s="178" t="s">
        <v>155</v>
      </c>
      <c r="C34" s="178" t="s">
        <v>49</v>
      </c>
      <c r="D34" s="179">
        <f>EPCs!D28</f>
        <v>3060.5904</v>
      </c>
      <c r="E34" s="179">
        <v>8.5</v>
      </c>
      <c r="F34" s="181">
        <f t="shared" si="0"/>
        <v>26015.018400000001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5.75" customHeight="1" x14ac:dyDescent="0.25">
      <c r="A35" s="177" t="s">
        <v>158</v>
      </c>
      <c r="B35" s="178" t="s">
        <v>157</v>
      </c>
      <c r="C35" s="178" t="s">
        <v>65</v>
      </c>
      <c r="D35" s="179">
        <v>1</v>
      </c>
      <c r="E35" s="179">
        <f>BASES!H22*1.1</f>
        <v>3698.0243022572236</v>
      </c>
      <c r="F35" s="181">
        <f t="shared" si="0"/>
        <v>3698.0243022572236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223</v>
      </c>
      <c r="B36" s="178" t="s">
        <v>159</v>
      </c>
      <c r="C36" s="178" t="s">
        <v>65</v>
      </c>
      <c r="D36" s="179">
        <v>1</v>
      </c>
      <c r="E36" s="179">
        <f>CANTEIRO!D18</f>
        <v>24500</v>
      </c>
      <c r="F36" s="181">
        <f t="shared" si="0"/>
        <v>24500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7" t="s">
        <v>224</v>
      </c>
      <c r="B37" s="178" t="s">
        <v>225</v>
      </c>
      <c r="C37" s="178" t="s">
        <v>43</v>
      </c>
      <c r="D37" s="236">
        <f>[7]ESQUADRIAS!$D$14/1.1+[7]ESQUADRIAS!$D$15/1.1</f>
        <v>134.31727272727269</v>
      </c>
      <c r="E37" s="179">
        <v>15.38</v>
      </c>
      <c r="F37" s="181">
        <f t="shared" si="0"/>
        <v>2065.7996545454544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1" t="s">
        <v>160</v>
      </c>
      <c r="B38" s="168" t="s">
        <v>161</v>
      </c>
      <c r="C38" s="168"/>
      <c r="D38" s="169"/>
      <c r="E38" s="169"/>
      <c r="F38" s="170">
        <f>BASES!H23</f>
        <v>69760.628653302483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6" t="s">
        <v>162</v>
      </c>
      <c r="B39" s="164" t="s">
        <v>163</v>
      </c>
      <c r="C39" s="164"/>
      <c r="D39" s="165"/>
      <c r="E39" s="165"/>
      <c r="F39" s="166">
        <f>F40+F46+F48+F57</f>
        <v>1512161.4030425446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1" t="s">
        <v>164</v>
      </c>
      <c r="B40" s="168" t="s">
        <v>165</v>
      </c>
      <c r="C40" s="168"/>
      <c r="D40" s="169"/>
      <c r="E40" s="169"/>
      <c r="F40" s="170">
        <f>SUM(F41:F45)</f>
        <v>992480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7" t="s">
        <v>166</v>
      </c>
      <c r="B41" s="178" t="s">
        <v>75</v>
      </c>
      <c r="C41" s="178" t="s">
        <v>145</v>
      </c>
      <c r="D41" s="179">
        <f>OBRA!$D$12</f>
        <v>35</v>
      </c>
      <c r="E41" s="180">
        <v>8500</v>
      </c>
      <c r="F41" s="181">
        <f t="shared" ref="F41:F45" si="1">E41*D41</f>
        <v>297500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167</v>
      </c>
      <c r="B42" s="178" t="s">
        <v>76</v>
      </c>
      <c r="C42" s="178" t="s">
        <v>145</v>
      </c>
      <c r="D42" s="179">
        <f>OBRA!$D$12</f>
        <v>35</v>
      </c>
      <c r="E42" s="180">
        <v>8000</v>
      </c>
      <c r="F42" s="181">
        <f t="shared" si="1"/>
        <v>280000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168</v>
      </c>
      <c r="B43" s="178" t="s">
        <v>79</v>
      </c>
      <c r="C43" s="178" t="s">
        <v>145</v>
      </c>
      <c r="D43" s="179">
        <f>OBRA!$D$12</f>
        <v>35</v>
      </c>
      <c r="E43" s="180">
        <v>2200</v>
      </c>
      <c r="F43" s="181">
        <f t="shared" si="1"/>
        <v>77000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169</v>
      </c>
      <c r="B44" s="178" t="s">
        <v>80</v>
      </c>
      <c r="C44" s="178" t="s">
        <v>145</v>
      </c>
      <c r="D44" s="179">
        <f>D61</f>
        <v>15</v>
      </c>
      <c r="E44" s="180">
        <f>BASES!H30</f>
        <v>4500</v>
      </c>
      <c r="F44" s="181">
        <f t="shared" si="1"/>
        <v>67500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77" t="s">
        <v>170</v>
      </c>
      <c r="B45" s="178" t="s">
        <v>216</v>
      </c>
      <c r="C45" s="178" t="s">
        <v>145</v>
      </c>
      <c r="D45" s="179">
        <f>OBRA!$D$12</f>
        <v>35</v>
      </c>
      <c r="E45" s="180">
        <f>2100*1.84*2</f>
        <v>7728</v>
      </c>
      <c r="F45" s="181">
        <f t="shared" si="1"/>
        <v>270480</v>
      </c>
      <c r="G45" s="145" t="s">
        <v>229</v>
      </c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71" t="s">
        <v>171</v>
      </c>
      <c r="B46" s="168" t="s">
        <v>172</v>
      </c>
      <c r="C46" s="168"/>
      <c r="D46" s="169"/>
      <c r="E46" s="169"/>
      <c r="F46" s="170">
        <f>SUM(F47)</f>
        <v>7500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7" t="s">
        <v>173</v>
      </c>
      <c r="B47" s="178" t="s">
        <v>174</v>
      </c>
      <c r="C47" s="178" t="s">
        <v>49</v>
      </c>
      <c r="D47" s="179">
        <f>OBRA!D9</f>
        <v>600</v>
      </c>
      <c r="E47" s="180">
        <v>12.5</v>
      </c>
      <c r="F47" s="181">
        <f>E47*D47</f>
        <v>7500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1" t="s">
        <v>175</v>
      </c>
      <c r="B48" s="168" t="s">
        <v>176</v>
      </c>
      <c r="C48" s="168"/>
      <c r="D48" s="169"/>
      <c r="E48" s="169"/>
      <c r="F48" s="170">
        <f>SUM(F49:F56)</f>
        <v>236079.89510721955</v>
      </c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7" t="s">
        <v>177</v>
      </c>
      <c r="B49" s="178" t="s">
        <v>88</v>
      </c>
      <c r="C49" s="182" t="s">
        <v>145</v>
      </c>
      <c r="D49" s="179">
        <v>10</v>
      </c>
      <c r="E49" s="179">
        <v>2850</v>
      </c>
      <c r="F49" s="181">
        <f t="shared" ref="F49:F55" si="2">E49*D49</f>
        <v>28500</v>
      </c>
      <c r="G49" s="145" t="s">
        <v>226</v>
      </c>
      <c r="H49" s="145"/>
      <c r="I49" s="162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7" t="s">
        <v>178</v>
      </c>
      <c r="B50" s="178" t="s">
        <v>19</v>
      </c>
      <c r="C50" s="178" t="s">
        <v>65</v>
      </c>
      <c r="D50" s="180">
        <v>1</v>
      </c>
      <c r="E50" s="180">
        <f>BASES!H40</f>
        <v>112431.9331365807</v>
      </c>
      <c r="F50" s="183">
        <f t="shared" si="2"/>
        <v>112431.9331365807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178</v>
      </c>
      <c r="B51" s="178" t="s">
        <v>230</v>
      </c>
      <c r="C51" s="182" t="s">
        <v>145</v>
      </c>
      <c r="D51" s="180">
        <f>OBRA!D12</f>
        <v>35</v>
      </c>
      <c r="E51" s="180">
        <v>1500</v>
      </c>
      <c r="F51" s="183">
        <f t="shared" ref="F51" si="3">E51*D51</f>
        <v>52500</v>
      </c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77" t="s">
        <v>179</v>
      </c>
      <c r="B52" s="178" t="s">
        <v>86</v>
      </c>
      <c r="C52" s="178" t="s">
        <v>65</v>
      </c>
      <c r="D52" s="180">
        <v>1</v>
      </c>
      <c r="E52" s="180">
        <f>BASES!H37</f>
        <v>5904.7026906531582</v>
      </c>
      <c r="F52" s="183">
        <f t="shared" si="2"/>
        <v>5904.7026906531582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7" t="s">
        <v>180</v>
      </c>
      <c r="B53" s="178" t="s">
        <v>87</v>
      </c>
      <c r="C53" s="178" t="s">
        <v>65</v>
      </c>
      <c r="D53" s="180">
        <v>1</v>
      </c>
      <c r="E53" s="180">
        <f>BASES!H38</f>
        <v>5665.2432799857143</v>
      </c>
      <c r="F53" s="183">
        <f t="shared" si="2"/>
        <v>5665.2432799857143</v>
      </c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181</v>
      </c>
      <c r="B54" s="178" t="s">
        <v>182</v>
      </c>
      <c r="C54" s="178" t="s">
        <v>65</v>
      </c>
      <c r="D54" s="180">
        <v>1</v>
      </c>
      <c r="E54" s="180">
        <f>CANTEIRO!F29</f>
        <v>15200</v>
      </c>
      <c r="F54" s="183">
        <f t="shared" si="2"/>
        <v>15200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7" t="s">
        <v>183</v>
      </c>
      <c r="B55" s="178" t="s">
        <v>184</v>
      </c>
      <c r="C55" s="182" t="s">
        <v>65</v>
      </c>
      <c r="D55" s="180">
        <v>1</v>
      </c>
      <c r="E55" s="180">
        <f>CANTEIRO!F34</f>
        <v>9000</v>
      </c>
      <c r="F55" s="183">
        <f t="shared" si="2"/>
        <v>9000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7" t="s">
        <v>185</v>
      </c>
      <c r="B56" s="178" t="s">
        <v>186</v>
      </c>
      <c r="C56" s="178" t="s">
        <v>49</v>
      </c>
      <c r="D56" s="179">
        <f>EPCs!D43</f>
        <v>57.599999999999994</v>
      </c>
      <c r="E56" s="180">
        <v>119.41</v>
      </c>
      <c r="F56" s="181">
        <f>E56*D56</f>
        <v>6878.0159999999987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1" t="s">
        <v>187</v>
      </c>
      <c r="B57" s="168" t="s">
        <v>188</v>
      </c>
      <c r="C57" s="168"/>
      <c r="D57" s="169"/>
      <c r="E57" s="169"/>
      <c r="F57" s="170">
        <f>BASES!H41</f>
        <v>276101.50793532521</v>
      </c>
      <c r="G57" s="145"/>
      <c r="H57" s="194">
        <f>F57/46</f>
        <v>6002.2066942461997</v>
      </c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6" t="s">
        <v>189</v>
      </c>
      <c r="B58" s="164" t="s">
        <v>190</v>
      </c>
      <c r="C58" s="164"/>
      <c r="D58" s="165"/>
      <c r="E58" s="165"/>
      <c r="F58" s="166">
        <f>F59+F67</f>
        <v>386456</v>
      </c>
      <c r="G58" s="145"/>
      <c r="H58" s="194">
        <f>H57*36</f>
        <v>216079.44099286318</v>
      </c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1" t="s">
        <v>191</v>
      </c>
      <c r="B59" s="168" t="s">
        <v>192</v>
      </c>
      <c r="C59" s="168"/>
      <c r="D59" s="169"/>
      <c r="E59" s="169"/>
      <c r="F59" s="170">
        <f>SUM(F60:F66)</f>
        <v>309956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7" t="s">
        <v>193</v>
      </c>
      <c r="B60" s="178" t="s">
        <v>194</v>
      </c>
      <c r="C60" s="178" t="s">
        <v>65</v>
      </c>
      <c r="D60" s="179">
        <v>1</v>
      </c>
      <c r="E60" s="179">
        <f>CANTEIRO!D17</f>
        <v>35200</v>
      </c>
      <c r="F60" s="183">
        <f>E60*D60</f>
        <v>35200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7" t="s">
        <v>195</v>
      </c>
      <c r="B61" s="178" t="s">
        <v>227</v>
      </c>
      <c r="C61" s="178" t="s">
        <v>145</v>
      </c>
      <c r="D61" s="179">
        <v>15</v>
      </c>
      <c r="E61" s="179">
        <v>12000</v>
      </c>
      <c r="F61" s="183">
        <f>E61*D61</f>
        <v>180000</v>
      </c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7" t="s">
        <v>220</v>
      </c>
      <c r="B62" s="178" t="s">
        <v>199</v>
      </c>
      <c r="C62" s="178" t="s">
        <v>115</v>
      </c>
      <c r="D62" s="179">
        <v>1</v>
      </c>
      <c r="E62" s="179">
        <v>17600</v>
      </c>
      <c r="F62" s="183">
        <f t="shared" ref="F62:F66" si="4">E62*D62</f>
        <v>17600</v>
      </c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7" t="s">
        <v>196</v>
      </c>
      <c r="B63" s="178" t="s">
        <v>219</v>
      </c>
      <c r="C63" s="178" t="s">
        <v>115</v>
      </c>
      <c r="D63" s="179">
        <v>1</v>
      </c>
      <c r="E63" s="179">
        <v>13000</v>
      </c>
      <c r="F63" s="183">
        <f t="shared" si="4"/>
        <v>13000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197</v>
      </c>
      <c r="B64" s="178" t="s">
        <v>228</v>
      </c>
      <c r="C64" s="178" t="s">
        <v>145</v>
      </c>
      <c r="D64" s="179">
        <v>12</v>
      </c>
      <c r="E64" s="179">
        <v>3950</v>
      </c>
      <c r="F64" s="183">
        <f t="shared" si="4"/>
        <v>47400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77" t="s">
        <v>198</v>
      </c>
      <c r="B65" s="178" t="s">
        <v>200</v>
      </c>
      <c r="C65" s="178" t="s">
        <v>115</v>
      </c>
      <c r="D65" s="179">
        <v>1</v>
      </c>
      <c r="E65" s="179">
        <v>7000</v>
      </c>
      <c r="F65" s="183">
        <f t="shared" si="4"/>
        <v>7000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221</v>
      </c>
      <c r="B66" s="178" t="s">
        <v>201</v>
      </c>
      <c r="C66" s="178" t="s">
        <v>145</v>
      </c>
      <c r="D66" s="179">
        <v>1</v>
      </c>
      <c r="E66" s="179">
        <v>9756</v>
      </c>
      <c r="F66" s="183">
        <f t="shared" si="4"/>
        <v>9756</v>
      </c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1" t="s">
        <v>202</v>
      </c>
      <c r="B67" s="168" t="s">
        <v>203</v>
      </c>
      <c r="C67" s="168"/>
      <c r="D67" s="184"/>
      <c r="E67" s="184"/>
      <c r="F67" s="170">
        <f>SUM(F68:F70)</f>
        <v>76500</v>
      </c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7" t="s">
        <v>204</v>
      </c>
      <c r="B68" s="178" t="s">
        <v>205</v>
      </c>
      <c r="C68" s="178" t="s">
        <v>145</v>
      </c>
      <c r="D68" s="179">
        <v>8</v>
      </c>
      <c r="E68" s="179">
        <f>1800*2</f>
        <v>3600</v>
      </c>
      <c r="F68" s="183">
        <f>E68*D68</f>
        <v>28800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206</v>
      </c>
      <c r="B69" s="178" t="s">
        <v>207</v>
      </c>
      <c r="C69" s="178" t="s">
        <v>115</v>
      </c>
      <c r="D69" s="179">
        <f>ROUNDUP(EPCs!$D$12/4,0)*2+ROUNDUP(EPCs!$D$11/4,0)*2</f>
        <v>86</v>
      </c>
      <c r="E69" s="179">
        <v>450</v>
      </c>
      <c r="F69" s="183">
        <f t="shared" ref="F69:F70" si="5">E69*D69</f>
        <v>38700</v>
      </c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208</v>
      </c>
      <c r="B70" s="185" t="s">
        <v>209</v>
      </c>
      <c r="C70" s="178" t="s">
        <v>145</v>
      </c>
      <c r="D70" s="186">
        <v>6</v>
      </c>
      <c r="E70" s="186">
        <v>1500</v>
      </c>
      <c r="F70" s="183">
        <f t="shared" si="5"/>
        <v>9000</v>
      </c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9.5" customHeight="1" x14ac:dyDescent="0.25">
      <c r="A71" s="216" t="s">
        <v>210</v>
      </c>
      <c r="B71" s="217"/>
      <c r="C71" s="217"/>
      <c r="D71" s="217"/>
      <c r="E71" s="218"/>
      <c r="F71" s="187">
        <f>F24+F14</f>
        <v>2854260.1606227332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9.5" customHeight="1" x14ac:dyDescent="0.25">
      <c r="A72" s="153"/>
      <c r="B72" s="153"/>
      <c r="C72" s="153"/>
      <c r="D72" s="154"/>
      <c r="E72" s="154"/>
      <c r="F72" s="154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9.5" customHeight="1" x14ac:dyDescent="0.25">
      <c r="A73" s="153"/>
      <c r="B73" s="153"/>
      <c r="C73" s="153"/>
      <c r="D73" s="154"/>
      <c r="E73" s="154"/>
      <c r="F73" s="15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9.5" customHeight="1" x14ac:dyDescent="0.25">
      <c r="A75" s="153"/>
      <c r="B75" s="153"/>
      <c r="C75" s="153"/>
      <c r="D75" s="154"/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</sheetData>
  <mergeCells count="7">
    <mergeCell ref="A12:F12"/>
    <mergeCell ref="A71:E71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dcterms:created xsi:type="dcterms:W3CDTF">2011-05-06T12:13:22Z</dcterms:created>
  <dcterms:modified xsi:type="dcterms:W3CDTF">2025-07-17T16:41:55Z</dcterms:modified>
</cp:coreProperties>
</file>