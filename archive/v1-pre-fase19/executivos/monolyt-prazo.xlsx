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Blue Heaven\2024.03 - Monolyt\04. Custo\03.0 Custo - Orçamento Parametrico\Custos indiretos\"/>
    </mc:Choice>
  </mc:AlternateContent>
  <xr:revisionPtr revIDLastSave="0" documentId="8_{44AC0479-8D8D-4F75-80CE-E9B114B09D81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a. COMPARATIVOS OBRAS" sheetId="1" r:id="rId1"/>
    <sheet name="b. Fundação" sheetId="2" r:id="rId2"/>
    <sheet name="c. Supraestrutura" sheetId="3" r:id="rId3"/>
    <sheet name="d. Fachada" sheetId="4" r:id="rId4"/>
    <sheet name="e. ESTIMATIVA PRAZO" sheetId="5" r:id="rId5"/>
    <sheet name="f. DISTRIBUIÇÃO DO CUSTO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Fhjvcmofzwoce+/jnzGIlyvsyChDav/KbJyQcqYgtgM="/>
    </ext>
  </extLst>
</workbook>
</file>

<file path=xl/calcChain.xml><?xml version="1.0" encoding="utf-8"?>
<calcChain xmlns="http://schemas.openxmlformats.org/spreadsheetml/2006/main">
  <c r="E24" i="2" l="1"/>
  <c r="G20" i="6"/>
  <c r="N6" i="6" l="1"/>
  <c r="H4" i="6"/>
  <c r="E19" i="6"/>
  <c r="E18" i="6"/>
  <c r="E17" i="6"/>
  <c r="E15" i="6"/>
  <c r="E14" i="6"/>
  <c r="E13" i="6"/>
  <c r="E12" i="6"/>
  <c r="E10" i="6"/>
  <c r="E9" i="6"/>
  <c r="E8" i="6"/>
  <c r="E7" i="6"/>
  <c r="E6" i="6"/>
  <c r="BY16" i="6"/>
  <c r="BZ16" i="6" s="1"/>
  <c r="BW16" i="6"/>
  <c r="BX16" i="6" s="1"/>
  <c r="BU16" i="6"/>
  <c r="BV16" i="6" s="1"/>
  <c r="BS16" i="6"/>
  <c r="BT16" i="6" s="1"/>
  <c r="BQ16" i="6"/>
  <c r="BR16" i="6" s="1"/>
  <c r="BO16" i="6"/>
  <c r="BP16" i="6" s="1"/>
  <c r="BM16" i="6"/>
  <c r="BN16" i="6" s="1"/>
  <c r="BK16" i="6"/>
  <c r="BL16" i="6" s="1"/>
  <c r="BI16" i="6"/>
  <c r="BJ16" i="6" s="1"/>
  <c r="BH16" i="6"/>
  <c r="BG16" i="6"/>
  <c r="BF16" i="6"/>
  <c r="BE16" i="6"/>
  <c r="BC16" i="6"/>
  <c r="BD16" i="6" s="1"/>
  <c r="BA16" i="6"/>
  <c r="BB16" i="6" s="1"/>
  <c r="AY16" i="6"/>
  <c r="AZ16" i="6" s="1"/>
  <c r="AW16" i="6"/>
  <c r="AX16" i="6" s="1"/>
  <c r="AU16" i="6"/>
  <c r="AV16" i="6" s="1"/>
  <c r="AS16" i="6"/>
  <c r="AT16" i="6" s="1"/>
  <c r="AQ16" i="6"/>
  <c r="AR16" i="6" s="1"/>
  <c r="AO16" i="6"/>
  <c r="E16" i="6" s="1"/>
  <c r="BW11" i="6"/>
  <c r="BX11" i="6" s="1"/>
  <c r="BU11" i="6"/>
  <c r="BV11" i="6" s="1"/>
  <c r="BS11" i="6"/>
  <c r="BT11" i="6" s="1"/>
  <c r="BQ11" i="6"/>
  <c r="BR11" i="6" s="1"/>
  <c r="BP11" i="6"/>
  <c r="BO11" i="6"/>
  <c r="BN11" i="6"/>
  <c r="BM11" i="6"/>
  <c r="BK11" i="6"/>
  <c r="BL11" i="6" s="1"/>
  <c r="BI11" i="6"/>
  <c r="BJ11" i="6" s="1"/>
  <c r="BG11" i="6"/>
  <c r="BH11" i="6" s="1"/>
  <c r="BE11" i="6"/>
  <c r="BF11" i="6" s="1"/>
  <c r="BC11" i="6"/>
  <c r="BD11" i="6" s="1"/>
  <c r="BA11" i="6"/>
  <c r="BB11" i="6" s="1"/>
  <c r="AY11" i="6"/>
  <c r="AZ11" i="6" s="1"/>
  <c r="AX11" i="6"/>
  <c r="AW11" i="6"/>
  <c r="AU11" i="6"/>
  <c r="AV11" i="6" s="1"/>
  <c r="AS11" i="6"/>
  <c r="E11" i="6" s="1"/>
  <c r="BZ11" i="6"/>
  <c r="M5" i="6"/>
  <c r="K5" i="6"/>
  <c r="I5" i="6"/>
  <c r="G5" i="6"/>
  <c r="E5" i="6" s="1"/>
  <c r="BY4" i="6" l="1"/>
  <c r="BZ4" i="6" s="1"/>
  <c r="BW4" i="6"/>
  <c r="BX4" i="6" s="1"/>
  <c r="BU4" i="6"/>
  <c r="BV4" i="6" s="1"/>
  <c r="BS4" i="6"/>
  <c r="BT4" i="6" s="1"/>
  <c r="BQ4" i="6"/>
  <c r="BR4" i="6" s="1"/>
  <c r="BO4" i="6"/>
  <c r="BP4" i="6" s="1"/>
  <c r="BM4" i="6"/>
  <c r="BN4" i="6" s="1"/>
  <c r="BK4" i="6"/>
  <c r="BL4" i="6" s="1"/>
  <c r="BI4" i="6"/>
  <c r="BJ4" i="6" s="1"/>
  <c r="BG4" i="6"/>
  <c r="BH4" i="6" s="1"/>
  <c r="BE4" i="6"/>
  <c r="BF4" i="6" s="1"/>
  <c r="BC4" i="6"/>
  <c r="BD4" i="6" s="1"/>
  <c r="BA4" i="6"/>
  <c r="BB4" i="6" s="1"/>
  <c r="AY4" i="6"/>
  <c r="AZ4" i="6" s="1"/>
  <c r="AW4" i="6"/>
  <c r="AX4" i="6" s="1"/>
  <c r="AU4" i="6"/>
  <c r="AV4" i="6" s="1"/>
  <c r="AS4" i="6"/>
  <c r="AT4" i="6" s="1"/>
  <c r="AQ4" i="6"/>
  <c r="AR4" i="6" s="1"/>
  <c r="AO4" i="6"/>
  <c r="AP4" i="6" s="1"/>
  <c r="AM4" i="6"/>
  <c r="AN4" i="6" s="1"/>
  <c r="AK4" i="6"/>
  <c r="AL4" i="6" s="1"/>
  <c r="AI4" i="6"/>
  <c r="AJ4" i="6" s="1"/>
  <c r="AG4" i="6"/>
  <c r="AH4" i="6" s="1"/>
  <c r="AE4" i="6"/>
  <c r="AF4" i="6" s="1"/>
  <c r="AC4" i="6"/>
  <c r="AD4" i="6" s="1"/>
  <c r="AA4" i="6"/>
  <c r="AB4" i="6" s="1"/>
  <c r="Y4" i="6"/>
  <c r="Z4" i="6" s="1"/>
  <c r="W4" i="6"/>
  <c r="X4" i="6" s="1"/>
  <c r="U4" i="6"/>
  <c r="V4" i="6" s="1"/>
  <c r="S4" i="6"/>
  <c r="T4" i="6" s="1"/>
  <c r="Q4" i="6"/>
  <c r="R4" i="6" s="1"/>
  <c r="O4" i="6"/>
  <c r="P4" i="6" s="1"/>
  <c r="M4" i="6"/>
  <c r="N4" i="6" s="1"/>
  <c r="K4" i="6"/>
  <c r="L4" i="6" s="1"/>
  <c r="I4" i="6"/>
  <c r="J4" i="6" l="1"/>
  <c r="F4" i="6" s="1"/>
  <c r="E4" i="6"/>
  <c r="BZ10" i="6"/>
  <c r="BX10" i="6"/>
  <c r="BV10" i="6"/>
  <c r="BT10" i="6"/>
  <c r="BR10" i="6"/>
  <c r="BP10" i="6"/>
  <c r="BN10" i="6"/>
  <c r="BZ19" i="6"/>
  <c r="BX19" i="6"/>
  <c r="BV19" i="6"/>
  <c r="BT19" i="6"/>
  <c r="BR19" i="6"/>
  <c r="BP19" i="6"/>
  <c r="BN19" i="6"/>
  <c r="BL18" i="6"/>
  <c r="BJ18" i="6"/>
  <c r="BH18" i="6"/>
  <c r="BF18" i="6"/>
  <c r="BD18" i="6"/>
  <c r="BB18" i="6"/>
  <c r="BX17" i="6"/>
  <c r="BV17" i="6"/>
  <c r="BT17" i="6"/>
  <c r="BR17" i="6"/>
  <c r="BP17" i="6"/>
  <c r="BN17" i="6"/>
  <c r="BL17" i="6"/>
  <c r="BY20" i="6"/>
  <c r="BZ20" i="6" s="1"/>
  <c r="BW20" i="6"/>
  <c r="BX20" i="6" s="1"/>
  <c r="BV20" i="6"/>
  <c r="BU20" i="6"/>
  <c r="BS20" i="6"/>
  <c r="BT20" i="6" s="1"/>
  <c r="BR20" i="6"/>
  <c r="BQ20" i="6"/>
  <c r="BO20" i="6"/>
  <c r="BP20" i="6" s="1"/>
  <c r="BN20" i="6"/>
  <c r="BM20" i="6"/>
  <c r="BK20" i="6"/>
  <c r="BL20" i="6" s="1"/>
  <c r="BI20" i="6"/>
  <c r="BJ20" i="6" s="1"/>
  <c r="BG20" i="6"/>
  <c r="BH20" i="6" s="1"/>
  <c r="BE20" i="6"/>
  <c r="BF20" i="6" s="1"/>
  <c r="BC20" i="6"/>
  <c r="BD20" i="6" s="1"/>
  <c r="BA20" i="6"/>
  <c r="BB20" i="6" s="1"/>
  <c r="AZ20" i="6"/>
  <c r="AY20" i="6"/>
  <c r="AW20" i="6"/>
  <c r="AX20" i="6" s="1"/>
  <c r="AU20" i="6"/>
  <c r="AV20" i="6" s="1"/>
  <c r="AS20" i="6"/>
  <c r="AT20" i="6" s="1"/>
  <c r="AQ20" i="6"/>
  <c r="AR20" i="6" s="1"/>
  <c r="AO20" i="6"/>
  <c r="AP20" i="6" s="1"/>
  <c r="AM20" i="6"/>
  <c r="AN20" i="6" s="1"/>
  <c r="AK20" i="6"/>
  <c r="AL20" i="6" s="1"/>
  <c r="AI20" i="6"/>
  <c r="AJ20" i="6" s="1"/>
  <c r="AH20" i="6"/>
  <c r="AG20" i="6"/>
  <c r="AE20" i="6"/>
  <c r="AF20" i="6" s="1"/>
  <c r="AC20" i="6"/>
  <c r="AD20" i="6" s="1"/>
  <c r="AA20" i="6"/>
  <c r="AB20" i="6" s="1"/>
  <c r="Y20" i="6"/>
  <c r="Z20" i="6" s="1"/>
  <c r="W20" i="6"/>
  <c r="X20" i="6" s="1"/>
  <c r="U20" i="6"/>
  <c r="V20" i="6" s="1"/>
  <c r="S20" i="6"/>
  <c r="T20" i="6" s="1"/>
  <c r="Q20" i="6"/>
  <c r="R20" i="6" s="1"/>
  <c r="O20" i="6"/>
  <c r="P20" i="6" s="1"/>
  <c r="M20" i="6"/>
  <c r="N20" i="6" s="1"/>
  <c r="K20" i="6"/>
  <c r="L20" i="6" s="1"/>
  <c r="I20" i="6"/>
  <c r="BL15" i="6"/>
  <c r="BJ15" i="6"/>
  <c r="BH15" i="6"/>
  <c r="BF15" i="6"/>
  <c r="BD15" i="6"/>
  <c r="BB15" i="6"/>
  <c r="AZ15" i="6"/>
  <c r="AX15" i="6"/>
  <c r="AV15" i="6"/>
  <c r="AT15" i="6"/>
  <c r="AR15" i="6"/>
  <c r="AP15" i="6"/>
  <c r="BN14" i="6"/>
  <c r="BL14" i="6"/>
  <c r="BJ14" i="6"/>
  <c r="BH14" i="6"/>
  <c r="BF14" i="6"/>
  <c r="BD14" i="6"/>
  <c r="BB14" i="6"/>
  <c r="AZ14" i="6"/>
  <c r="AX14" i="6"/>
  <c r="AV14" i="6"/>
  <c r="AT14" i="6"/>
  <c r="AR14" i="6"/>
  <c r="AN15" i="6"/>
  <c r="AL15" i="6"/>
  <c r="BF13" i="6"/>
  <c r="BD13" i="6"/>
  <c r="BB13" i="6"/>
  <c r="AZ13" i="6"/>
  <c r="AX13" i="6"/>
  <c r="AV13" i="6"/>
  <c r="AT13" i="6"/>
  <c r="AR13" i="6"/>
  <c r="AP13" i="6"/>
  <c r="AN13" i="6"/>
  <c r="AL13" i="6"/>
  <c r="BJ12" i="6"/>
  <c r="BH12" i="6"/>
  <c r="BF12" i="6"/>
  <c r="BD12" i="6"/>
  <c r="BB12" i="6"/>
  <c r="AZ12" i="6"/>
  <c r="AX12" i="6"/>
  <c r="AV12" i="6"/>
  <c r="AT12" i="6"/>
  <c r="AR12" i="6"/>
  <c r="AP12" i="6"/>
  <c r="AN12" i="6"/>
  <c r="BL10" i="6"/>
  <c r="BJ10" i="6"/>
  <c r="BH10" i="6"/>
  <c r="BF10" i="6"/>
  <c r="BD10" i="6"/>
  <c r="BB10" i="6"/>
  <c r="AZ10" i="6"/>
  <c r="AX10" i="6"/>
  <c r="AV10" i="6"/>
  <c r="AT10" i="6"/>
  <c r="AR10" i="6"/>
  <c r="AP10" i="6"/>
  <c r="AN10" i="6"/>
  <c r="AL10" i="6"/>
  <c r="AJ10" i="6"/>
  <c r="AH10" i="6"/>
  <c r="BH9" i="6"/>
  <c r="BF9" i="6"/>
  <c r="BD9" i="6"/>
  <c r="BB9" i="6"/>
  <c r="AZ9" i="6"/>
  <c r="AX9" i="6"/>
  <c r="AV9" i="6"/>
  <c r="AT9" i="6"/>
  <c r="AR9" i="6"/>
  <c r="AP9" i="6"/>
  <c r="AN9" i="6"/>
  <c r="AL9" i="6"/>
  <c r="AJ9" i="6"/>
  <c r="AH9" i="6"/>
  <c r="AF9" i="6"/>
  <c r="AR8" i="6"/>
  <c r="AP8" i="6"/>
  <c r="AN8" i="6"/>
  <c r="AL8" i="6"/>
  <c r="AJ8" i="6"/>
  <c r="AH8" i="6"/>
  <c r="AF8" i="6"/>
  <c r="AD8" i="6"/>
  <c r="AB8" i="6"/>
  <c r="Z8" i="6"/>
  <c r="T7" i="6"/>
  <c r="R7" i="6"/>
  <c r="P7" i="6"/>
  <c r="H5" i="6"/>
  <c r="J5" i="6"/>
  <c r="L5" i="6"/>
  <c r="H6" i="6"/>
  <c r="J6" i="6"/>
  <c r="L6" i="6"/>
  <c r="N5" i="6"/>
  <c r="AI127" i="5"/>
  <c r="AH127" i="5"/>
  <c r="AG127" i="5"/>
  <c r="AF127" i="5"/>
  <c r="AE127" i="5"/>
  <c r="AD127" i="5"/>
  <c r="AC127" i="5"/>
  <c r="AB127" i="5"/>
  <c r="AA127" i="5"/>
  <c r="Z127" i="5"/>
  <c r="Y127" i="5"/>
  <c r="X127" i="5"/>
  <c r="W127" i="5"/>
  <c r="V127" i="5"/>
  <c r="U127" i="5"/>
  <c r="T127" i="5"/>
  <c r="S127" i="5"/>
  <c r="R127" i="5"/>
  <c r="Q127" i="5"/>
  <c r="P127" i="5"/>
  <c r="O127" i="5"/>
  <c r="N127" i="5"/>
  <c r="M127" i="5"/>
  <c r="L127" i="5"/>
  <c r="K127" i="5"/>
  <c r="J127" i="5"/>
  <c r="I127" i="5"/>
  <c r="H127" i="5"/>
  <c r="AQ126" i="5"/>
  <c r="AP126" i="5"/>
  <c r="AO126" i="5"/>
  <c r="AN126" i="5"/>
  <c r="AM126" i="5"/>
  <c r="AL126" i="5"/>
  <c r="AK126" i="5"/>
  <c r="AC126" i="5"/>
  <c r="AB126" i="5"/>
  <c r="AA126" i="5"/>
  <c r="Z126" i="5"/>
  <c r="Y126" i="5"/>
  <c r="X126" i="5"/>
  <c r="W126" i="5"/>
  <c r="V126" i="5"/>
  <c r="U126" i="5"/>
  <c r="T126" i="5"/>
  <c r="S126" i="5"/>
  <c r="R126" i="5"/>
  <c r="Q126" i="5"/>
  <c r="P126" i="5"/>
  <c r="O126" i="5"/>
  <c r="N126" i="5"/>
  <c r="M126" i="5"/>
  <c r="L126" i="5"/>
  <c r="K126" i="5"/>
  <c r="J126" i="5"/>
  <c r="I126" i="5"/>
  <c r="H126" i="5"/>
  <c r="AQ125" i="5"/>
  <c r="AH125" i="5"/>
  <c r="AG125" i="5"/>
  <c r="AF125" i="5"/>
  <c r="AE125" i="5"/>
  <c r="AD125" i="5"/>
  <c r="AC125" i="5"/>
  <c r="AB125" i="5"/>
  <c r="AA125" i="5"/>
  <c r="Z125" i="5"/>
  <c r="Y125" i="5"/>
  <c r="X125" i="5"/>
  <c r="W125" i="5"/>
  <c r="V125" i="5"/>
  <c r="U125" i="5"/>
  <c r="T125" i="5"/>
  <c r="S125" i="5"/>
  <c r="R125" i="5"/>
  <c r="Q125" i="5"/>
  <c r="P125" i="5"/>
  <c r="O125" i="5"/>
  <c r="N125" i="5"/>
  <c r="M125" i="5"/>
  <c r="L125" i="5"/>
  <c r="K125" i="5"/>
  <c r="J125" i="5"/>
  <c r="I125" i="5"/>
  <c r="H125" i="5"/>
  <c r="AQ124" i="5"/>
  <c r="X124" i="5"/>
  <c r="W124" i="5"/>
  <c r="V124" i="5"/>
  <c r="U124" i="5"/>
  <c r="T124" i="5"/>
  <c r="S124" i="5"/>
  <c r="R124" i="5"/>
  <c r="Q124" i="5"/>
  <c r="P124" i="5"/>
  <c r="O124" i="5"/>
  <c r="N124" i="5"/>
  <c r="M124" i="5"/>
  <c r="L124" i="5"/>
  <c r="K124" i="5"/>
  <c r="J124" i="5"/>
  <c r="I124" i="5"/>
  <c r="H124" i="5"/>
  <c r="AQ123" i="5"/>
  <c r="AP123" i="5"/>
  <c r="AO123" i="5"/>
  <c r="AN123" i="5"/>
  <c r="AM123" i="5"/>
  <c r="AL123" i="5"/>
  <c r="AK123" i="5"/>
  <c r="AB123" i="5"/>
  <c r="V123" i="5"/>
  <c r="U123" i="5"/>
  <c r="T123" i="5"/>
  <c r="S123" i="5"/>
  <c r="R123" i="5"/>
  <c r="Q123" i="5"/>
  <c r="P123" i="5"/>
  <c r="O123" i="5"/>
  <c r="N123" i="5"/>
  <c r="M123" i="5"/>
  <c r="L123" i="5"/>
  <c r="K123" i="5"/>
  <c r="J123" i="5"/>
  <c r="I123" i="5"/>
  <c r="H123" i="5"/>
  <c r="AQ122" i="5"/>
  <c r="AP122" i="5"/>
  <c r="AO122" i="5"/>
  <c r="AN122" i="5"/>
  <c r="AM122" i="5"/>
  <c r="AL122" i="5"/>
  <c r="X122" i="5"/>
  <c r="W122" i="5"/>
  <c r="V122" i="5"/>
  <c r="U122" i="5"/>
  <c r="T122" i="5"/>
  <c r="S122" i="5"/>
  <c r="R122" i="5"/>
  <c r="Q122" i="5"/>
  <c r="P122" i="5"/>
  <c r="O122" i="5"/>
  <c r="N122" i="5"/>
  <c r="M122" i="5"/>
  <c r="L122" i="5"/>
  <c r="K122" i="5"/>
  <c r="J122" i="5"/>
  <c r="I122" i="5"/>
  <c r="H122" i="5"/>
  <c r="AQ121" i="5"/>
  <c r="AP121" i="5"/>
  <c r="AO121" i="5"/>
  <c r="AN121" i="5"/>
  <c r="AM121" i="5"/>
  <c r="AL121" i="5"/>
  <c r="AK121" i="5"/>
  <c r="AJ121" i="5"/>
  <c r="AI121" i="5"/>
  <c r="AH121" i="5"/>
  <c r="T121" i="5"/>
  <c r="S121" i="5"/>
  <c r="R121" i="5"/>
  <c r="Q121" i="5"/>
  <c r="P121" i="5"/>
  <c r="O121" i="5"/>
  <c r="N121" i="5"/>
  <c r="M121" i="5"/>
  <c r="L121" i="5"/>
  <c r="K121" i="5"/>
  <c r="J121" i="5"/>
  <c r="I121" i="5"/>
  <c r="H121" i="5"/>
  <c r="AQ120" i="5"/>
  <c r="AP120" i="5"/>
  <c r="AO120" i="5"/>
  <c r="AN120" i="5"/>
  <c r="AM120" i="5"/>
  <c r="AL120" i="5"/>
  <c r="AK120" i="5"/>
  <c r="AJ120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J120" i="5"/>
  <c r="I120" i="5"/>
  <c r="H120" i="5"/>
  <c r="AC119" i="5"/>
  <c r="AB119" i="5"/>
  <c r="AA119" i="5"/>
  <c r="Z119" i="5"/>
  <c r="Y119" i="5"/>
  <c r="X119" i="5"/>
  <c r="W119" i="5"/>
  <c r="V119" i="5"/>
  <c r="U119" i="5"/>
  <c r="T119" i="5"/>
  <c r="S119" i="5"/>
  <c r="R119" i="5"/>
  <c r="Q119" i="5"/>
  <c r="P119" i="5"/>
  <c r="O119" i="5"/>
  <c r="N119" i="5"/>
  <c r="M119" i="5"/>
  <c r="L119" i="5"/>
  <c r="K119" i="5"/>
  <c r="J119" i="5"/>
  <c r="I119" i="5"/>
  <c r="H119" i="5"/>
  <c r="AQ118" i="5"/>
  <c r="AP118" i="5"/>
  <c r="AO118" i="5"/>
  <c r="AN118" i="5"/>
  <c r="AM118" i="5"/>
  <c r="AL118" i="5"/>
  <c r="AK118" i="5"/>
  <c r="AJ118" i="5"/>
  <c r="AI118" i="5"/>
  <c r="AH118" i="5"/>
  <c r="S118" i="5"/>
  <c r="R118" i="5"/>
  <c r="Q118" i="5"/>
  <c r="P118" i="5"/>
  <c r="O118" i="5"/>
  <c r="N118" i="5"/>
  <c r="M118" i="5"/>
  <c r="L118" i="5"/>
  <c r="K118" i="5"/>
  <c r="J118" i="5"/>
  <c r="I118" i="5"/>
  <c r="H118" i="5"/>
  <c r="AQ117" i="5"/>
  <c r="AP117" i="5"/>
  <c r="AO117" i="5"/>
  <c r="AN117" i="5"/>
  <c r="AM117" i="5"/>
  <c r="AL117" i="5"/>
  <c r="AK117" i="5"/>
  <c r="AJ117" i="5"/>
  <c r="AI117" i="5"/>
  <c r="Q117" i="5"/>
  <c r="P117" i="5"/>
  <c r="O117" i="5"/>
  <c r="N117" i="5"/>
  <c r="M117" i="5"/>
  <c r="L117" i="5"/>
  <c r="K117" i="5"/>
  <c r="J117" i="5"/>
  <c r="I117" i="5"/>
  <c r="H117" i="5"/>
  <c r="AQ116" i="5"/>
  <c r="AP116" i="5"/>
  <c r="AO116" i="5"/>
  <c r="AN116" i="5"/>
  <c r="AM116" i="5"/>
  <c r="AL116" i="5"/>
  <c r="AK116" i="5"/>
  <c r="AJ116" i="5"/>
  <c r="AI116" i="5"/>
  <c r="AH116" i="5"/>
  <c r="AG116" i="5"/>
  <c r="AF116" i="5"/>
  <c r="AE116" i="5"/>
  <c r="AD116" i="5"/>
  <c r="AC116" i="5"/>
  <c r="AB116" i="5"/>
  <c r="AA116" i="5"/>
  <c r="N116" i="5"/>
  <c r="M116" i="5"/>
  <c r="L116" i="5"/>
  <c r="K116" i="5"/>
  <c r="J116" i="5"/>
  <c r="I116" i="5"/>
  <c r="H116" i="5"/>
  <c r="N115" i="5"/>
  <c r="M115" i="5"/>
  <c r="L115" i="5"/>
  <c r="K115" i="5"/>
  <c r="K114" i="5"/>
  <c r="J114" i="5"/>
  <c r="I114" i="5"/>
  <c r="I113" i="5"/>
  <c r="H113" i="5"/>
  <c r="AK111" i="5"/>
  <c r="AL111" i="5"/>
  <c r="AM111" i="5"/>
  <c r="AN111" i="5"/>
  <c r="AO111" i="5"/>
  <c r="AP111" i="5"/>
  <c r="AQ111" i="5"/>
  <c r="AJ111" i="5"/>
  <c r="AE110" i="5"/>
  <c r="AF110" i="5"/>
  <c r="AG110" i="5"/>
  <c r="AH110" i="5"/>
  <c r="AI110" i="5"/>
  <c r="AJ110" i="5"/>
  <c r="AD110" i="5"/>
  <c r="AJ109" i="5"/>
  <c r="AK109" i="5"/>
  <c r="AL109" i="5"/>
  <c r="AM109" i="5"/>
  <c r="AN109" i="5"/>
  <c r="AO109" i="5"/>
  <c r="AP109" i="5"/>
  <c r="AI109" i="5"/>
  <c r="AA108" i="5"/>
  <c r="AB108" i="5"/>
  <c r="AC108" i="5"/>
  <c r="AD108" i="5"/>
  <c r="AE108" i="5"/>
  <c r="AF108" i="5"/>
  <c r="AG108" i="5"/>
  <c r="AH108" i="5"/>
  <c r="AI108" i="5"/>
  <c r="AJ108" i="5"/>
  <c r="AK108" i="5"/>
  <c r="AL108" i="5"/>
  <c r="AM108" i="5"/>
  <c r="AN108" i="5"/>
  <c r="AO108" i="5"/>
  <c r="AP108" i="5"/>
  <c r="Z108" i="5"/>
  <c r="Y107" i="5"/>
  <c r="Z107" i="5"/>
  <c r="AA107" i="5"/>
  <c r="AB107" i="5"/>
  <c r="AC107" i="5"/>
  <c r="AD107" i="5"/>
  <c r="AE107" i="5"/>
  <c r="AF107" i="5"/>
  <c r="AG107" i="5"/>
  <c r="AH107" i="5"/>
  <c r="AI107" i="5"/>
  <c r="AJ107" i="5"/>
  <c r="X107" i="5"/>
  <c r="Z106" i="5"/>
  <c r="AA106" i="5"/>
  <c r="AB106" i="5"/>
  <c r="AC106" i="5"/>
  <c r="AD106" i="5"/>
  <c r="AE106" i="5"/>
  <c r="AF106" i="5"/>
  <c r="AG106" i="5"/>
  <c r="AH106" i="5"/>
  <c r="AI106" i="5"/>
  <c r="AJ106" i="5"/>
  <c r="AK106" i="5"/>
  <c r="Y106" i="5"/>
  <c r="W105" i="5"/>
  <c r="X105" i="5"/>
  <c r="Y105" i="5"/>
  <c r="Z105" i="5"/>
  <c r="AA105" i="5"/>
  <c r="AB105" i="5"/>
  <c r="AC105" i="5"/>
  <c r="AD105" i="5"/>
  <c r="AE105" i="5"/>
  <c r="AF105" i="5"/>
  <c r="AG105" i="5"/>
  <c r="V105" i="5"/>
  <c r="X104" i="5"/>
  <c r="Y104" i="5"/>
  <c r="Z104" i="5"/>
  <c r="AA104" i="5"/>
  <c r="AB104" i="5"/>
  <c r="AC104" i="5"/>
  <c r="AD104" i="5"/>
  <c r="AE104" i="5"/>
  <c r="AF104" i="5"/>
  <c r="AG104" i="5"/>
  <c r="AH104" i="5"/>
  <c r="AI104" i="5"/>
  <c r="W104" i="5"/>
  <c r="AE103" i="5"/>
  <c r="AF103" i="5"/>
  <c r="AG103" i="5"/>
  <c r="AH103" i="5"/>
  <c r="AI103" i="5"/>
  <c r="AJ103" i="5"/>
  <c r="AK103" i="5"/>
  <c r="AL103" i="5"/>
  <c r="AM103" i="5"/>
  <c r="AN103" i="5"/>
  <c r="AO103" i="5"/>
  <c r="AP103" i="5"/>
  <c r="AQ103" i="5"/>
  <c r="AD103" i="5"/>
  <c r="V102" i="5"/>
  <c r="W102" i="5"/>
  <c r="X102" i="5"/>
  <c r="Y102" i="5"/>
  <c r="Z102" i="5"/>
  <c r="AA102" i="5"/>
  <c r="AB102" i="5"/>
  <c r="AC102" i="5"/>
  <c r="AD102" i="5"/>
  <c r="AE102" i="5"/>
  <c r="AF102" i="5"/>
  <c r="AG102" i="5"/>
  <c r="T102" i="5"/>
  <c r="U102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AG101" i="5"/>
  <c r="AH101" i="5"/>
  <c r="S101" i="5"/>
  <c r="Q100" i="5"/>
  <c r="R100" i="5"/>
  <c r="S100" i="5"/>
  <c r="T100" i="5"/>
  <c r="U100" i="5"/>
  <c r="V100" i="5"/>
  <c r="W100" i="5"/>
  <c r="X100" i="5"/>
  <c r="Y100" i="5"/>
  <c r="Z100" i="5"/>
  <c r="P100" i="5"/>
  <c r="AK98" i="5"/>
  <c r="AL98" i="5"/>
  <c r="AM98" i="5"/>
  <c r="AM127" i="5" s="1"/>
  <c r="AN98" i="5"/>
  <c r="AO98" i="5"/>
  <c r="AP98" i="5"/>
  <c r="AQ98" i="5"/>
  <c r="AQ127" i="5" s="1"/>
  <c r="AE97" i="5"/>
  <c r="AF97" i="5"/>
  <c r="AG97" i="5"/>
  <c r="AG126" i="5" s="1"/>
  <c r="AH97" i="5"/>
  <c r="AI97" i="5"/>
  <c r="AI126" i="5" s="1"/>
  <c r="AJ97" i="5"/>
  <c r="AJ96" i="5"/>
  <c r="AK96" i="5"/>
  <c r="AK125" i="5" s="1"/>
  <c r="AL96" i="5"/>
  <c r="AM96" i="5"/>
  <c r="AM125" i="5" s="1"/>
  <c r="AN96" i="5"/>
  <c r="AN125" i="5" s="1"/>
  <c r="AO96" i="5"/>
  <c r="AP96" i="5"/>
  <c r="AP125" i="5" s="1"/>
  <c r="Z95" i="5"/>
  <c r="AA95" i="5"/>
  <c r="AA124" i="5" s="1"/>
  <c r="AB95" i="5"/>
  <c r="AB124" i="5" s="1"/>
  <c r="AC95" i="5"/>
  <c r="AC124" i="5" s="1"/>
  <c r="AD95" i="5"/>
  <c r="AD124" i="5" s="1"/>
  <c r="AE95" i="5"/>
  <c r="AF95" i="5"/>
  <c r="AF124" i="5" s="1"/>
  <c r="AG95" i="5"/>
  <c r="AG124" i="5" s="1"/>
  <c r="AH95" i="5"/>
  <c r="AH124" i="5" s="1"/>
  <c r="AI95" i="5"/>
  <c r="AI124" i="5" s="1"/>
  <c r="AJ95" i="5"/>
  <c r="AJ124" i="5" s="1"/>
  <c r="AK95" i="5"/>
  <c r="AK124" i="5" s="1"/>
  <c r="AL95" i="5"/>
  <c r="AL124" i="5" s="1"/>
  <c r="AM95" i="5"/>
  <c r="AM124" i="5" s="1"/>
  <c r="AN95" i="5"/>
  <c r="AN124" i="5" s="1"/>
  <c r="AO95" i="5"/>
  <c r="AO124" i="5" s="1"/>
  <c r="AP95" i="5"/>
  <c r="AP124" i="5" s="1"/>
  <c r="X94" i="5"/>
  <c r="Y94" i="5"/>
  <c r="Y123" i="5" s="1"/>
  <c r="Z94" i="5"/>
  <c r="Z123" i="5" s="1"/>
  <c r="AA94" i="5"/>
  <c r="AB94" i="5"/>
  <c r="AC94" i="5"/>
  <c r="AC123" i="5" s="1"/>
  <c r="AD94" i="5"/>
  <c r="AD123" i="5" s="1"/>
  <c r="AE94" i="5"/>
  <c r="AE123" i="5" s="1"/>
  <c r="AF94" i="5"/>
  <c r="AF123" i="5" s="1"/>
  <c r="AG94" i="5"/>
  <c r="AG123" i="5" s="1"/>
  <c r="AH94" i="5"/>
  <c r="AH123" i="5" s="1"/>
  <c r="AI94" i="5"/>
  <c r="AI123" i="5" s="1"/>
  <c r="AJ94" i="5"/>
  <c r="AJ123" i="5" s="1"/>
  <c r="Y93" i="5"/>
  <c r="Z93" i="5"/>
  <c r="Z122" i="5" s="1"/>
  <c r="AA93" i="5"/>
  <c r="AA122" i="5" s="1"/>
  <c r="AB93" i="5"/>
  <c r="AB122" i="5" s="1"/>
  <c r="AC93" i="5"/>
  <c r="AC122" i="5" s="1"/>
  <c r="AD93" i="5"/>
  <c r="AD122" i="5" s="1"/>
  <c r="AE93" i="5"/>
  <c r="AE122" i="5" s="1"/>
  <c r="AF93" i="5"/>
  <c r="AF122" i="5" s="1"/>
  <c r="AG93" i="5"/>
  <c r="AG122" i="5" s="1"/>
  <c r="AH93" i="5"/>
  <c r="AH122" i="5" s="1"/>
  <c r="AI93" i="5"/>
  <c r="AI122" i="5" s="1"/>
  <c r="AJ93" i="5"/>
  <c r="AJ122" i="5" s="1"/>
  <c r="AK93" i="5"/>
  <c r="AK122" i="5" s="1"/>
  <c r="V92" i="5"/>
  <c r="V121" i="5" s="1"/>
  <c r="W92" i="5"/>
  <c r="W121" i="5" s="1"/>
  <c r="X92" i="5"/>
  <c r="X121" i="5" s="1"/>
  <c r="Y92" i="5"/>
  <c r="Z92" i="5"/>
  <c r="Z121" i="5" s="1"/>
  <c r="AA92" i="5"/>
  <c r="AA121" i="5" s="1"/>
  <c r="AB92" i="5"/>
  <c r="AB121" i="5" s="1"/>
  <c r="AC92" i="5"/>
  <c r="AC121" i="5" s="1"/>
  <c r="AD92" i="5"/>
  <c r="AD121" i="5" s="1"/>
  <c r="AE92" i="5"/>
  <c r="AE121" i="5" s="1"/>
  <c r="AF92" i="5"/>
  <c r="AF121" i="5" s="1"/>
  <c r="AG92" i="5"/>
  <c r="AG121" i="5" s="1"/>
  <c r="X91" i="5"/>
  <c r="Y91" i="5"/>
  <c r="Z91" i="5"/>
  <c r="AA91" i="5"/>
  <c r="AB91" i="5"/>
  <c r="AC91" i="5"/>
  <c r="AD91" i="5"/>
  <c r="AE91" i="5"/>
  <c r="AF91" i="5"/>
  <c r="AG91" i="5"/>
  <c r="AH91" i="5"/>
  <c r="AI91" i="5"/>
  <c r="AJ98" i="5"/>
  <c r="AD97" i="5"/>
  <c r="AD126" i="5" s="1"/>
  <c r="AI96" i="5"/>
  <c r="AI125" i="5" s="1"/>
  <c r="Y95" i="5"/>
  <c r="W94" i="5"/>
  <c r="X93" i="5"/>
  <c r="U92" i="5"/>
  <c r="W91" i="5"/>
  <c r="AE90" i="5"/>
  <c r="AF90" i="5"/>
  <c r="AF119" i="5" s="1"/>
  <c r="AG90" i="5"/>
  <c r="AH90" i="5"/>
  <c r="AH119" i="5" s="1"/>
  <c r="AI90" i="5"/>
  <c r="AJ90" i="5"/>
  <c r="AJ119" i="5" s="1"/>
  <c r="AK90" i="5"/>
  <c r="AL90" i="5"/>
  <c r="AM90" i="5"/>
  <c r="AN90" i="5"/>
  <c r="AO90" i="5"/>
  <c r="AP90" i="5"/>
  <c r="AQ90" i="5"/>
  <c r="AD90" i="5"/>
  <c r="U89" i="5"/>
  <c r="U118" i="5" s="1"/>
  <c r="V89" i="5"/>
  <c r="V118" i="5" s="1"/>
  <c r="W89" i="5"/>
  <c r="W118" i="5" s="1"/>
  <c r="X89" i="5"/>
  <c r="X118" i="5" s="1"/>
  <c r="Y89" i="5"/>
  <c r="Y118" i="5" s="1"/>
  <c r="Z89" i="5"/>
  <c r="AA89" i="5"/>
  <c r="AA118" i="5" s="1"/>
  <c r="AB89" i="5"/>
  <c r="AC89" i="5"/>
  <c r="AD89" i="5"/>
  <c r="AE89" i="5"/>
  <c r="AF89" i="5"/>
  <c r="AG89" i="5"/>
  <c r="T89" i="5"/>
  <c r="S88" i="5"/>
  <c r="S117" i="5" s="1"/>
  <c r="T88" i="5"/>
  <c r="T117" i="5" s="1"/>
  <c r="U88" i="5"/>
  <c r="V88" i="5"/>
  <c r="V117" i="5" s="1"/>
  <c r="W88" i="5"/>
  <c r="W117" i="5" s="1"/>
  <c r="X88" i="5"/>
  <c r="Y88" i="5"/>
  <c r="Z88" i="5"/>
  <c r="AA88" i="5"/>
  <c r="AA117" i="5" s="1"/>
  <c r="AB88" i="5"/>
  <c r="AB117" i="5" s="1"/>
  <c r="AC88" i="5"/>
  <c r="AD88" i="5"/>
  <c r="AE88" i="5"/>
  <c r="AF88" i="5"/>
  <c r="AG88" i="5"/>
  <c r="AH88" i="5"/>
  <c r="R88" i="5"/>
  <c r="R117" i="5" s="1"/>
  <c r="U117" i="5" l="1"/>
  <c r="AB118" i="5"/>
  <c r="AD119" i="5"/>
  <c r="AG120" i="5"/>
  <c r="Y120" i="5"/>
  <c r="Z124" i="5"/>
  <c r="AJ126" i="5"/>
  <c r="Z120" i="5"/>
  <c r="AQ119" i="5"/>
  <c r="AI119" i="5"/>
  <c r="Z117" i="5"/>
  <c r="Z118" i="5"/>
  <c r="AE120" i="5"/>
  <c r="Y122" i="5"/>
  <c r="AG117" i="5"/>
  <c r="J20" i="6"/>
  <c r="E20" i="6"/>
  <c r="AH120" i="5"/>
  <c r="AO119" i="5"/>
  <c r="AG119" i="5"/>
  <c r="AL127" i="5"/>
  <c r="AF118" i="5"/>
  <c r="AF126" i="5"/>
  <c r="AK127" i="5"/>
  <c r="AL119" i="5"/>
  <c r="AE126" i="5"/>
  <c r="AD117" i="5"/>
  <c r="F6" i="6"/>
  <c r="Y121" i="5"/>
  <c r="AA120" i="5"/>
  <c r="W120" i="5"/>
  <c r="AR92" i="5"/>
  <c r="AR96" i="5"/>
  <c r="AC120" i="5"/>
  <c r="AE119" i="5"/>
  <c r="AR93" i="5"/>
  <c r="AR104" i="5"/>
  <c r="X117" i="5"/>
  <c r="AR91" i="5"/>
  <c r="AR94" i="5"/>
  <c r="AL125" i="5"/>
  <c r="AH117" i="5"/>
  <c r="T118" i="5"/>
  <c r="AP119" i="5"/>
  <c r="AR95" i="5"/>
  <c r="AH126" i="5"/>
  <c r="Y117" i="5"/>
  <c r="AG118" i="5"/>
  <c r="AE117" i="5"/>
  <c r="AD120" i="5"/>
  <c r="AF117" i="5"/>
  <c r="AR98" i="5"/>
  <c r="AD118" i="5"/>
  <c r="AE124" i="5"/>
  <c r="AN119" i="5"/>
  <c r="AA123" i="5"/>
  <c r="AM119" i="5"/>
  <c r="AI120" i="5"/>
  <c r="AC117" i="5"/>
  <c r="AC118" i="5"/>
  <c r="AK119" i="5"/>
  <c r="X123" i="5"/>
  <c r="AP127" i="5"/>
  <c r="AO125" i="5"/>
  <c r="AE118" i="5"/>
  <c r="AO127" i="5"/>
  <c r="AR101" i="5"/>
  <c r="AF120" i="5"/>
  <c r="AR109" i="5"/>
  <c r="AN127" i="5"/>
  <c r="AJ127" i="5"/>
  <c r="AJ125" i="5"/>
  <c r="AR90" i="5"/>
  <c r="U121" i="5"/>
  <c r="Y124" i="5"/>
  <c r="AR97" i="5"/>
  <c r="AR110" i="5"/>
  <c r="AR89" i="5"/>
  <c r="AR88" i="5"/>
  <c r="AR103" i="5"/>
  <c r="W123" i="5"/>
  <c r="AB120" i="5"/>
  <c r="AR107" i="5"/>
  <c r="X120" i="5"/>
  <c r="AR102" i="5"/>
  <c r="AR111" i="5"/>
  <c r="AR108" i="5"/>
  <c r="AR106" i="5"/>
  <c r="AR105" i="5"/>
  <c r="AR100" i="5"/>
  <c r="P87" i="5"/>
  <c r="P116" i="5" s="1"/>
  <c r="Q87" i="5"/>
  <c r="Q116" i="5" s="1"/>
  <c r="R87" i="5"/>
  <c r="R116" i="5" s="1"/>
  <c r="S87" i="5"/>
  <c r="S116" i="5" s="1"/>
  <c r="T87" i="5"/>
  <c r="T116" i="5" s="1"/>
  <c r="U87" i="5"/>
  <c r="U116" i="5" s="1"/>
  <c r="V87" i="5"/>
  <c r="V116" i="5" s="1"/>
  <c r="W87" i="5"/>
  <c r="W116" i="5" s="1"/>
  <c r="X87" i="5"/>
  <c r="X116" i="5" s="1"/>
  <c r="Y87" i="5"/>
  <c r="Y116" i="5" s="1"/>
  <c r="Z87" i="5"/>
  <c r="Z116" i="5" s="1"/>
  <c r="O87" i="5"/>
  <c r="L85" i="5"/>
  <c r="M85" i="5"/>
  <c r="N85" i="5"/>
  <c r="K85" i="5"/>
  <c r="K84" i="5"/>
  <c r="J84" i="5"/>
  <c r="I84" i="5"/>
  <c r="I83" i="5"/>
  <c r="H83" i="5"/>
  <c r="O116" i="5" l="1"/>
  <c r="AR87" i="5"/>
  <c r="C23" i="4"/>
  <c r="C18" i="4"/>
  <c r="G18" i="4" s="1"/>
  <c r="H18" i="4" s="1"/>
  <c r="F25" i="4"/>
  <c r="F24" i="4"/>
  <c r="G23" i="4"/>
  <c r="H23" i="4" s="1"/>
  <c r="E23" i="4"/>
  <c r="E22" i="4"/>
  <c r="E21" i="4"/>
  <c r="E20" i="4"/>
  <c r="E19" i="4"/>
  <c r="E18" i="4"/>
  <c r="G31" i="3"/>
  <c r="I31" i="3" s="1"/>
  <c r="C24" i="5" s="1"/>
  <c r="G23" i="3"/>
  <c r="I23" i="3" s="1"/>
  <c r="C23" i="5" s="1"/>
  <c r="F19" i="3"/>
  <c r="C28" i="3"/>
  <c r="C29" i="3"/>
  <c r="D29" i="3" s="1"/>
  <c r="H29" i="3" s="1"/>
  <c r="C18" i="3"/>
  <c r="D18" i="3" s="1"/>
  <c r="H18" i="3" s="1"/>
  <c r="C30" i="3"/>
  <c r="D30" i="3" s="1"/>
  <c r="H30" i="3" s="1"/>
  <c r="F30" i="3"/>
  <c r="F29" i="3"/>
  <c r="F28" i="3"/>
  <c r="F27" i="3"/>
  <c r="F26" i="3"/>
  <c r="F22" i="3"/>
  <c r="F21" i="3"/>
  <c r="F20" i="3"/>
  <c r="F18" i="3"/>
  <c r="O21" i="3"/>
  <c r="C22" i="3" s="1"/>
  <c r="O20" i="3"/>
  <c r="C21" i="3" s="1"/>
  <c r="D21" i="3" s="1"/>
  <c r="H21" i="3" s="1"/>
  <c r="I21" i="3" s="1"/>
  <c r="O19" i="3"/>
  <c r="C20" i="3" s="1"/>
  <c r="P18" i="3"/>
  <c r="O18" i="3" s="1"/>
  <c r="F26" i="4" l="1"/>
  <c r="H26" i="4" s="1"/>
  <c r="C19" i="3"/>
  <c r="D19" i="3" s="1"/>
  <c r="H19" i="3" s="1"/>
  <c r="I19" i="3" s="1"/>
  <c r="O22" i="3"/>
  <c r="O23" i="3" s="1"/>
  <c r="C27" i="3"/>
  <c r="D22" i="3"/>
  <c r="H22" i="3" s="1"/>
  <c r="J22" i="3" s="1"/>
  <c r="D20" i="3"/>
  <c r="H20" i="3" s="1"/>
  <c r="I20" i="3" s="1"/>
  <c r="D28" i="3"/>
  <c r="H28" i="3" s="1"/>
  <c r="I28" i="3" s="1"/>
  <c r="J30" i="3"/>
  <c r="I30" i="3"/>
  <c r="J29" i="3"/>
  <c r="I29" i="3"/>
  <c r="J18" i="3"/>
  <c r="I18" i="3"/>
  <c r="J21" i="3"/>
  <c r="K21" i="3" s="1"/>
  <c r="P17" i="3"/>
  <c r="J19" i="3" l="1"/>
  <c r="C26" i="3"/>
  <c r="D26" i="3" s="1"/>
  <c r="H26" i="3" s="1"/>
  <c r="J26" i="3" s="1"/>
  <c r="P22" i="3"/>
  <c r="P23" i="3" s="1"/>
  <c r="I22" i="3"/>
  <c r="K22" i="3" s="1"/>
  <c r="J20" i="3"/>
  <c r="K20" i="3" s="1"/>
  <c r="Q17" i="3"/>
  <c r="Q22" i="3" s="1"/>
  <c r="D27" i="3"/>
  <c r="H27" i="3" s="1"/>
  <c r="J28" i="3"/>
  <c r="K28" i="3" s="1"/>
  <c r="K29" i="3"/>
  <c r="K30" i="3"/>
  <c r="K18" i="3"/>
  <c r="K19" i="3"/>
  <c r="I26" i="3" l="1"/>
  <c r="K26" i="3" s="1"/>
  <c r="I27" i="3"/>
  <c r="J27" i="3"/>
  <c r="K27" i="3" l="1"/>
  <c r="F23" i="2" l="1"/>
  <c r="E23" i="2"/>
  <c r="E22" i="2"/>
  <c r="J20" i="2"/>
  <c r="H20" i="2"/>
  <c r="E12" i="4"/>
  <c r="E9" i="4"/>
  <c r="E11" i="4"/>
  <c r="E10" i="4"/>
  <c r="E8" i="4"/>
  <c r="E7" i="4"/>
  <c r="F22" i="2" l="1"/>
  <c r="E20" i="2" s="1"/>
  <c r="I20" i="2" s="1"/>
  <c r="K20" i="2" s="1"/>
  <c r="K21" i="2" l="1"/>
  <c r="L21" i="2" s="1"/>
  <c r="L20" i="2"/>
  <c r="C8" i="4" l="1"/>
  <c r="C9" i="4"/>
  <c r="C11" i="3"/>
  <c r="C8" i="3" s="1"/>
  <c r="T10" i="3"/>
  <c r="S12" i="3"/>
  <c r="Q7" i="3"/>
  <c r="R7" i="3" s="1"/>
  <c r="Q8" i="3"/>
  <c r="P8" i="3"/>
  <c r="Q9" i="3"/>
  <c r="P9" i="3"/>
  <c r="G9" i="4" l="1"/>
  <c r="H9" i="4" s="1"/>
  <c r="C20" i="4"/>
  <c r="G20" i="4" s="1"/>
  <c r="H20" i="4" s="1"/>
  <c r="C10" i="4"/>
  <c r="C19" i="4"/>
  <c r="G19" i="4" s="1"/>
  <c r="H19" i="4" s="1"/>
  <c r="R8" i="3"/>
  <c r="R9" i="3"/>
  <c r="T7" i="3"/>
  <c r="C11" i="4" l="1"/>
  <c r="C22" i="4" s="1"/>
  <c r="G22" i="4" s="1"/>
  <c r="H22" i="4" s="1"/>
  <c r="C21" i="4"/>
  <c r="G21" i="4" s="1"/>
  <c r="H21" i="4" s="1"/>
  <c r="R12" i="3"/>
  <c r="CH20" i="6"/>
  <c r="CF20" i="6"/>
  <c r="CD20" i="6"/>
  <c r="CB20" i="6"/>
  <c r="H20" i="6"/>
  <c r="F20" i="6" s="1"/>
  <c r="CH19" i="6"/>
  <c r="CF19" i="6"/>
  <c r="CD19" i="6"/>
  <c r="CB19" i="6"/>
  <c r="BL19" i="6"/>
  <c r="BJ19" i="6"/>
  <c r="BH19" i="6"/>
  <c r="BF19" i="6"/>
  <c r="BD19" i="6"/>
  <c r="BB19" i="6"/>
  <c r="AZ19" i="6"/>
  <c r="AX19" i="6"/>
  <c r="AV19" i="6"/>
  <c r="AT19" i="6"/>
  <c r="AR19" i="6"/>
  <c r="AP19" i="6"/>
  <c r="AN19" i="6"/>
  <c r="AL19" i="6"/>
  <c r="AJ19" i="6"/>
  <c r="AH19" i="6"/>
  <c r="AF19" i="6"/>
  <c r="AD19" i="6"/>
  <c r="AB19" i="6"/>
  <c r="Z19" i="6"/>
  <c r="X19" i="6"/>
  <c r="V19" i="6"/>
  <c r="T19" i="6"/>
  <c r="R19" i="6"/>
  <c r="P19" i="6"/>
  <c r="N19" i="6"/>
  <c r="L19" i="6"/>
  <c r="J19" i="6"/>
  <c r="H19" i="6"/>
  <c r="CH18" i="6"/>
  <c r="CF18" i="6"/>
  <c r="CD18" i="6"/>
  <c r="CB18" i="6"/>
  <c r="BZ18" i="6"/>
  <c r="BX18" i="6"/>
  <c r="BV18" i="6"/>
  <c r="BT18" i="6"/>
  <c r="BR18" i="6"/>
  <c r="BP18" i="6"/>
  <c r="BN18" i="6"/>
  <c r="AZ18" i="6"/>
  <c r="AX18" i="6"/>
  <c r="AV18" i="6"/>
  <c r="AT18" i="6"/>
  <c r="AR18" i="6"/>
  <c r="AP18" i="6"/>
  <c r="AN18" i="6"/>
  <c r="AL18" i="6"/>
  <c r="AJ18" i="6"/>
  <c r="AH18" i="6"/>
  <c r="AF18" i="6"/>
  <c r="AD18" i="6"/>
  <c r="AB18" i="6"/>
  <c r="Z18" i="6"/>
  <c r="X18" i="6"/>
  <c r="V18" i="6"/>
  <c r="T18" i="6"/>
  <c r="R18" i="6"/>
  <c r="P18" i="6"/>
  <c r="N18" i="6"/>
  <c r="L18" i="6"/>
  <c r="J18" i="6"/>
  <c r="H18" i="6"/>
  <c r="CH17" i="6"/>
  <c r="CF17" i="6"/>
  <c r="CD17" i="6"/>
  <c r="CB17" i="6"/>
  <c r="BZ17" i="6"/>
  <c r="BJ17" i="6"/>
  <c r="BH17" i="6"/>
  <c r="BF17" i="6"/>
  <c r="BD17" i="6"/>
  <c r="BB17" i="6"/>
  <c r="AZ17" i="6"/>
  <c r="AX17" i="6"/>
  <c r="AV17" i="6"/>
  <c r="AT17" i="6"/>
  <c r="AR17" i="6"/>
  <c r="AP17" i="6"/>
  <c r="AN17" i="6"/>
  <c r="AL17" i="6"/>
  <c r="AJ17" i="6"/>
  <c r="AH17" i="6"/>
  <c r="AF17" i="6"/>
  <c r="AD17" i="6"/>
  <c r="AB17" i="6"/>
  <c r="Z17" i="6"/>
  <c r="X17" i="6"/>
  <c r="V17" i="6"/>
  <c r="T17" i="6"/>
  <c r="R17" i="6"/>
  <c r="P17" i="6"/>
  <c r="N17" i="6"/>
  <c r="L17" i="6"/>
  <c r="J17" i="6"/>
  <c r="H17" i="6"/>
  <c r="CH16" i="6"/>
  <c r="CF16" i="6"/>
  <c r="CD16" i="6"/>
  <c r="CB16" i="6"/>
  <c r="AP16" i="6"/>
  <c r="AN16" i="6"/>
  <c r="AL16" i="6"/>
  <c r="AJ16" i="6"/>
  <c r="AH16" i="6"/>
  <c r="AF16" i="6"/>
  <c r="AD16" i="6"/>
  <c r="AB16" i="6"/>
  <c r="Z16" i="6"/>
  <c r="X16" i="6"/>
  <c r="V16" i="6"/>
  <c r="T16" i="6"/>
  <c r="R16" i="6"/>
  <c r="P16" i="6"/>
  <c r="N16" i="6"/>
  <c r="L16" i="6"/>
  <c r="J16" i="6"/>
  <c r="H16" i="6"/>
  <c r="CH15" i="6"/>
  <c r="CF15" i="6"/>
  <c r="CD15" i="6"/>
  <c r="CB15" i="6"/>
  <c r="BZ15" i="6"/>
  <c r="BX15" i="6"/>
  <c r="BV15" i="6"/>
  <c r="BT15" i="6"/>
  <c r="BR15" i="6"/>
  <c r="BP15" i="6"/>
  <c r="BN15" i="6"/>
  <c r="AJ15" i="6"/>
  <c r="AH15" i="6"/>
  <c r="AF15" i="6"/>
  <c r="AD15" i="6"/>
  <c r="AB15" i="6"/>
  <c r="Z15" i="6"/>
  <c r="X15" i="6"/>
  <c r="V15" i="6"/>
  <c r="T15" i="6"/>
  <c r="R15" i="6"/>
  <c r="P15" i="6"/>
  <c r="N15" i="6"/>
  <c r="L15" i="6"/>
  <c r="J15" i="6"/>
  <c r="H15" i="6"/>
  <c r="CH14" i="6"/>
  <c r="CF14" i="6"/>
  <c r="CD14" i="6"/>
  <c r="CB14" i="6"/>
  <c r="BZ14" i="6"/>
  <c r="BX14" i="6"/>
  <c r="BV14" i="6"/>
  <c r="BT14" i="6"/>
  <c r="BR14" i="6"/>
  <c r="BP14" i="6"/>
  <c r="AP14" i="6"/>
  <c r="AN14" i="6"/>
  <c r="AL14" i="6"/>
  <c r="AJ14" i="6"/>
  <c r="AH14" i="6"/>
  <c r="AF14" i="6"/>
  <c r="AD14" i="6"/>
  <c r="AB14" i="6"/>
  <c r="Z14" i="6"/>
  <c r="X14" i="6"/>
  <c r="V14" i="6"/>
  <c r="T14" i="6"/>
  <c r="R14" i="6"/>
  <c r="P14" i="6"/>
  <c r="N14" i="6"/>
  <c r="L14" i="6"/>
  <c r="J14" i="6"/>
  <c r="H14" i="6"/>
  <c r="CH13" i="6"/>
  <c r="CF13" i="6"/>
  <c r="CD13" i="6"/>
  <c r="CB13" i="6"/>
  <c r="BZ13" i="6"/>
  <c r="BX13" i="6"/>
  <c r="BV13" i="6"/>
  <c r="BT13" i="6"/>
  <c r="BR13" i="6"/>
  <c r="BP13" i="6"/>
  <c r="BN13" i="6"/>
  <c r="BL13" i="6"/>
  <c r="BJ13" i="6"/>
  <c r="BH13" i="6"/>
  <c r="AJ13" i="6"/>
  <c r="AH13" i="6"/>
  <c r="AF13" i="6"/>
  <c r="AD13" i="6"/>
  <c r="AB13" i="6"/>
  <c r="Z13" i="6"/>
  <c r="X13" i="6"/>
  <c r="V13" i="6"/>
  <c r="T13" i="6"/>
  <c r="R13" i="6"/>
  <c r="P13" i="6"/>
  <c r="N13" i="6"/>
  <c r="L13" i="6"/>
  <c r="J13" i="6"/>
  <c r="H13" i="6"/>
  <c r="CH12" i="6"/>
  <c r="CF12" i="6"/>
  <c r="CD12" i="6"/>
  <c r="CB12" i="6"/>
  <c r="BZ12" i="6"/>
  <c r="BX12" i="6"/>
  <c r="BV12" i="6"/>
  <c r="BT12" i="6"/>
  <c r="BR12" i="6"/>
  <c r="BP12" i="6"/>
  <c r="BN12" i="6"/>
  <c r="BL12" i="6"/>
  <c r="AL12" i="6"/>
  <c r="AJ12" i="6"/>
  <c r="AH12" i="6"/>
  <c r="AF12" i="6"/>
  <c r="AD12" i="6"/>
  <c r="AB12" i="6"/>
  <c r="Z12" i="6"/>
  <c r="X12" i="6"/>
  <c r="V12" i="6"/>
  <c r="T12" i="6"/>
  <c r="R12" i="6"/>
  <c r="P12" i="6"/>
  <c r="N12" i="6"/>
  <c r="L12" i="6"/>
  <c r="J12" i="6"/>
  <c r="H12" i="6"/>
  <c r="CH11" i="6"/>
  <c r="CF11" i="6"/>
  <c r="CD11" i="6"/>
  <c r="CB11" i="6"/>
  <c r="AT11" i="6"/>
  <c r="AR11" i="6"/>
  <c r="AP11" i="6"/>
  <c r="AN11" i="6"/>
  <c r="AL11" i="6"/>
  <c r="AJ11" i="6"/>
  <c r="AH11" i="6"/>
  <c r="AF11" i="6"/>
  <c r="AD11" i="6"/>
  <c r="AB11" i="6"/>
  <c r="Z11" i="6"/>
  <c r="X11" i="6"/>
  <c r="V11" i="6"/>
  <c r="T11" i="6"/>
  <c r="R11" i="6"/>
  <c r="P11" i="6"/>
  <c r="N11" i="6"/>
  <c r="L11" i="6"/>
  <c r="J11" i="6"/>
  <c r="H11" i="6"/>
  <c r="CH10" i="6"/>
  <c r="CF10" i="6"/>
  <c r="CD10" i="6"/>
  <c r="CB10" i="6"/>
  <c r="AF10" i="6"/>
  <c r="AD10" i="6"/>
  <c r="AB10" i="6"/>
  <c r="Z10" i="6"/>
  <c r="X10" i="6"/>
  <c r="V10" i="6"/>
  <c r="T10" i="6"/>
  <c r="R10" i="6"/>
  <c r="P10" i="6"/>
  <c r="N10" i="6"/>
  <c r="L10" i="6"/>
  <c r="J10" i="6"/>
  <c r="H10" i="6"/>
  <c r="CH9" i="6"/>
  <c r="CF9" i="6"/>
  <c r="CD9" i="6"/>
  <c r="CB9" i="6"/>
  <c r="BZ9" i="6"/>
  <c r="BX9" i="6"/>
  <c r="BV9" i="6"/>
  <c r="BT9" i="6"/>
  <c r="BR9" i="6"/>
  <c r="BP9" i="6"/>
  <c r="BN9" i="6"/>
  <c r="BL9" i="6"/>
  <c r="BJ9" i="6"/>
  <c r="AD9" i="6"/>
  <c r="AB9" i="6"/>
  <c r="Z9" i="6"/>
  <c r="X9" i="6"/>
  <c r="V9" i="6"/>
  <c r="T9" i="6"/>
  <c r="R9" i="6"/>
  <c r="P9" i="6"/>
  <c r="N9" i="6"/>
  <c r="L9" i="6"/>
  <c r="J9" i="6"/>
  <c r="H9" i="6"/>
  <c r="CH8" i="6"/>
  <c r="CF8" i="6"/>
  <c r="CD8" i="6"/>
  <c r="CB8" i="6"/>
  <c r="BZ8" i="6"/>
  <c r="BX8" i="6"/>
  <c r="BV8" i="6"/>
  <c r="BT8" i="6"/>
  <c r="BR8" i="6"/>
  <c r="BP8" i="6"/>
  <c r="BN8" i="6"/>
  <c r="BL8" i="6"/>
  <c r="BJ8" i="6"/>
  <c r="BH8" i="6"/>
  <c r="BF8" i="6"/>
  <c r="BD8" i="6"/>
  <c r="BB8" i="6"/>
  <c r="AZ8" i="6"/>
  <c r="AX8" i="6"/>
  <c r="AV8" i="6"/>
  <c r="AT8" i="6"/>
  <c r="X8" i="6"/>
  <c r="V8" i="6"/>
  <c r="T8" i="6"/>
  <c r="R8" i="6"/>
  <c r="P8" i="6"/>
  <c r="N8" i="6"/>
  <c r="L8" i="6"/>
  <c r="J8" i="6"/>
  <c r="H8" i="6"/>
  <c r="CH7" i="6"/>
  <c r="CF7" i="6"/>
  <c r="CD7" i="6"/>
  <c r="CB7" i="6"/>
  <c r="BZ7" i="6"/>
  <c r="BX7" i="6"/>
  <c r="BV7" i="6"/>
  <c r="BT7" i="6"/>
  <c r="BR7" i="6"/>
  <c r="BP7" i="6"/>
  <c r="BN7" i="6"/>
  <c r="BL7" i="6"/>
  <c r="BJ7" i="6"/>
  <c r="BH7" i="6"/>
  <c r="BF7" i="6"/>
  <c r="BD7" i="6"/>
  <c r="BB7" i="6"/>
  <c r="AZ7" i="6"/>
  <c r="AX7" i="6"/>
  <c r="AV7" i="6"/>
  <c r="AT7" i="6"/>
  <c r="AR7" i="6"/>
  <c r="AP7" i="6"/>
  <c r="AN7" i="6"/>
  <c r="AL7" i="6"/>
  <c r="AJ7" i="6"/>
  <c r="AH7" i="6"/>
  <c r="AF7" i="6"/>
  <c r="AD7" i="6"/>
  <c r="AB7" i="6"/>
  <c r="Z7" i="6"/>
  <c r="X7" i="6"/>
  <c r="V7" i="6"/>
  <c r="N7" i="6"/>
  <c r="L7" i="6"/>
  <c r="J7" i="6"/>
  <c r="H7" i="6"/>
  <c r="CH5" i="6"/>
  <c r="CF5" i="6"/>
  <c r="CD5" i="6"/>
  <c r="CB5" i="6"/>
  <c r="BZ5" i="6"/>
  <c r="BX5" i="6"/>
  <c r="BV5" i="6"/>
  <c r="BT5" i="6"/>
  <c r="BR5" i="6"/>
  <c r="BP5" i="6"/>
  <c r="BN5" i="6"/>
  <c r="BL5" i="6"/>
  <c r="BJ5" i="6"/>
  <c r="BH5" i="6"/>
  <c r="BF5" i="6"/>
  <c r="BD5" i="6"/>
  <c r="BB5" i="6"/>
  <c r="AZ5" i="6"/>
  <c r="AX5" i="6"/>
  <c r="AV5" i="6"/>
  <c r="AT5" i="6"/>
  <c r="AR5" i="6"/>
  <c r="AP5" i="6"/>
  <c r="AN5" i="6"/>
  <c r="AL5" i="6"/>
  <c r="AJ5" i="6"/>
  <c r="AH5" i="6"/>
  <c r="AF5" i="6"/>
  <c r="AD5" i="6"/>
  <c r="AB5" i="6"/>
  <c r="Z5" i="6"/>
  <c r="X5" i="6"/>
  <c r="V5" i="6"/>
  <c r="T5" i="6"/>
  <c r="R5" i="6"/>
  <c r="P5" i="6"/>
  <c r="CH4" i="6"/>
  <c r="CF4" i="6"/>
  <c r="CD4" i="6"/>
  <c r="CB4" i="6"/>
  <c r="C21" i="5"/>
  <c r="B21" i="5" s="1"/>
  <c r="D13" i="5"/>
  <c r="D12" i="5"/>
  <c r="D10" i="5"/>
  <c r="D7" i="5"/>
  <c r="F14" i="4"/>
  <c r="F13" i="4"/>
  <c r="G12" i="4"/>
  <c r="H12" i="4" s="1"/>
  <c r="G11" i="4"/>
  <c r="H11" i="4" s="1"/>
  <c r="G10" i="4"/>
  <c r="H10" i="4" s="1"/>
  <c r="G8" i="4"/>
  <c r="H8" i="4" s="1"/>
  <c r="G7" i="4"/>
  <c r="H7" i="4" s="1"/>
  <c r="G15" i="3"/>
  <c r="I15" i="3" s="1"/>
  <c r="C9" i="5" s="1"/>
  <c r="C14" i="3"/>
  <c r="F13" i="3"/>
  <c r="D13" i="3"/>
  <c r="H13" i="3" s="1"/>
  <c r="J13" i="3" s="1"/>
  <c r="F12" i="3"/>
  <c r="D12" i="3"/>
  <c r="H12" i="3" s="1"/>
  <c r="F11" i="3"/>
  <c r="D11" i="3"/>
  <c r="H11" i="3" s="1"/>
  <c r="I11" i="3" s="1"/>
  <c r="F10" i="3"/>
  <c r="D10" i="3"/>
  <c r="H10" i="3" s="1"/>
  <c r="F9" i="3"/>
  <c r="D9" i="3"/>
  <c r="H9" i="3" s="1"/>
  <c r="J9" i="3" s="1"/>
  <c r="F8" i="3"/>
  <c r="D8" i="3"/>
  <c r="H8" i="3" s="1"/>
  <c r="J17" i="2"/>
  <c r="I17" i="2"/>
  <c r="H17" i="2"/>
  <c r="E10" i="2"/>
  <c r="F10" i="2" s="1"/>
  <c r="G10" i="2" s="1"/>
  <c r="H10" i="2" s="1"/>
  <c r="F13" i="6" l="1"/>
  <c r="F7" i="6"/>
  <c r="F15" i="6"/>
  <c r="F17" i="6"/>
  <c r="F9" i="6"/>
  <c r="F18" i="6"/>
  <c r="F10" i="6"/>
  <c r="F16" i="6"/>
  <c r="F5" i="6"/>
  <c r="F8" i="6"/>
  <c r="F11" i="6"/>
  <c r="F12" i="6"/>
  <c r="F19" i="6"/>
  <c r="F14" i="6"/>
  <c r="C26" i="5"/>
  <c r="C25" i="5"/>
  <c r="C17" i="5"/>
  <c r="F15" i="4"/>
  <c r="H15" i="4" s="1"/>
  <c r="C11" i="5" s="1"/>
  <c r="C16" i="5" s="1"/>
  <c r="K17" i="2"/>
  <c r="K18" i="2" s="1"/>
  <c r="L18" i="2" s="1"/>
  <c r="C8" i="5" s="1"/>
  <c r="AF21" i="6"/>
  <c r="AX21" i="6"/>
  <c r="R21" i="6"/>
  <c r="BL21" i="6"/>
  <c r="BN21" i="6"/>
  <c r="AV21" i="6"/>
  <c r="CD21" i="6"/>
  <c r="P21" i="6"/>
  <c r="CB21" i="6"/>
  <c r="AH21" i="6"/>
  <c r="BP21" i="6"/>
  <c r="AZ21" i="6"/>
  <c r="V21" i="6"/>
  <c r="AL21" i="6"/>
  <c r="BB21" i="6"/>
  <c r="BR21" i="6"/>
  <c r="CH21" i="6"/>
  <c r="T21" i="6"/>
  <c r="H21" i="6"/>
  <c r="X21" i="6"/>
  <c r="AN21" i="6"/>
  <c r="BD21" i="6"/>
  <c r="BT21" i="6"/>
  <c r="J21" i="6"/>
  <c r="AJ21" i="6"/>
  <c r="Z21" i="6"/>
  <c r="BF21" i="6"/>
  <c r="L21" i="6"/>
  <c r="AB21" i="6"/>
  <c r="AR21" i="6"/>
  <c r="BH21" i="6"/>
  <c r="BX21" i="6"/>
  <c r="CF21" i="6"/>
  <c r="AP21" i="6"/>
  <c r="BV21" i="6"/>
  <c r="N21" i="6"/>
  <c r="AD21" i="6"/>
  <c r="AT21" i="6"/>
  <c r="BJ21" i="6"/>
  <c r="BZ21" i="6"/>
  <c r="I12" i="3"/>
  <c r="J12" i="3"/>
  <c r="J10" i="3"/>
  <c r="I10" i="3"/>
  <c r="I8" i="3"/>
  <c r="J8" i="3"/>
  <c r="C15" i="5"/>
  <c r="J11" i="3"/>
  <c r="K11" i="3" s="1"/>
  <c r="CI21" i="6"/>
  <c r="I9" i="3"/>
  <c r="K9" i="3" s="1"/>
  <c r="I13" i="3"/>
  <c r="K13" i="3" s="1"/>
  <c r="CJ21" i="6" l="1"/>
  <c r="CK21" i="6" s="1"/>
  <c r="C28" i="5"/>
  <c r="C27" i="5"/>
  <c r="BB22" i="6"/>
  <c r="D50" i="6" s="1"/>
  <c r="AH22" i="6"/>
  <c r="D40" i="6" s="1"/>
  <c r="BV22" i="6"/>
  <c r="D60" i="6" s="1"/>
  <c r="L17" i="2"/>
  <c r="K10" i="3"/>
  <c r="E21" i="6"/>
  <c r="N22" i="6"/>
  <c r="D30" i="6" s="1"/>
  <c r="CD22" i="6"/>
  <c r="D64" i="6" s="1"/>
  <c r="P22" i="6"/>
  <c r="D31" i="6" s="1"/>
  <c r="K8" i="3"/>
  <c r="BR22" i="6"/>
  <c r="D58" i="6" s="1"/>
  <c r="BJ22" i="6"/>
  <c r="D54" i="6" s="1"/>
  <c r="AF22" i="6"/>
  <c r="D39" i="6" s="1"/>
  <c r="BH22" i="6"/>
  <c r="D53" i="6" s="1"/>
  <c r="BF22" i="6"/>
  <c r="D52" i="6" s="1"/>
  <c r="H22" i="6"/>
  <c r="AL22" i="6"/>
  <c r="D42" i="6" s="1"/>
  <c r="CF22" i="6"/>
  <c r="D65" i="6" s="1"/>
  <c r="BZ22" i="6"/>
  <c r="D62" i="6" s="1"/>
  <c r="AB22" i="6"/>
  <c r="D37" i="6" s="1"/>
  <c r="AP22" i="6"/>
  <c r="D44" i="6" s="1"/>
  <c r="BN22" i="6"/>
  <c r="D56" i="6" s="1"/>
  <c r="V22" i="6"/>
  <c r="D34" i="6" s="1"/>
  <c r="BP22" i="6"/>
  <c r="D57" i="6" s="1"/>
  <c r="AD22" i="6"/>
  <c r="D38" i="6" s="1"/>
  <c r="L22" i="6"/>
  <c r="D29" i="6" s="1"/>
  <c r="Z22" i="6"/>
  <c r="D36" i="6" s="1"/>
  <c r="BT22" i="6"/>
  <c r="D59" i="6" s="1"/>
  <c r="AZ22" i="6"/>
  <c r="D49" i="6" s="1"/>
  <c r="R22" i="6"/>
  <c r="D32" i="6" s="1"/>
  <c r="AT22" i="6"/>
  <c r="D46" i="6" s="1"/>
  <c r="AR22" i="6"/>
  <c r="D45" i="6" s="1"/>
  <c r="J22" i="6"/>
  <c r="D28" i="6" s="1"/>
  <c r="BD22" i="6"/>
  <c r="D51" i="6" s="1"/>
  <c r="AJ22" i="6"/>
  <c r="D41" i="6" s="1"/>
  <c r="CB22" i="6"/>
  <c r="D63" i="6" s="1"/>
  <c r="K12" i="3"/>
  <c r="AN22" i="6"/>
  <c r="D43" i="6" s="1"/>
  <c r="AX22" i="6"/>
  <c r="D48" i="6" s="1"/>
  <c r="T22" i="6"/>
  <c r="D33" i="6" s="1"/>
  <c r="BL22" i="6"/>
  <c r="D55" i="6" s="1"/>
  <c r="X22" i="6"/>
  <c r="D35" i="6" s="1"/>
  <c r="CH22" i="6"/>
  <c r="D66" i="6" s="1"/>
  <c r="AV22" i="6"/>
  <c r="D47" i="6" s="1"/>
  <c r="BX22" i="6"/>
  <c r="D61" i="6" s="1"/>
  <c r="D27" i="6" l="1"/>
  <c r="CJ22" i="6"/>
  <c r="E22" i="6"/>
</calcChain>
</file>

<file path=xl/sharedStrings.xml><?xml version="1.0" encoding="utf-8"?>
<sst xmlns="http://schemas.openxmlformats.org/spreadsheetml/2006/main" count="833" uniqueCount="206">
  <si>
    <t>COMPARATIVO DE PRAZO DE OBRAS SEMELHANTES</t>
  </si>
  <si>
    <t>OBRA 1</t>
  </si>
  <si>
    <t>OBRA 2</t>
  </si>
  <si>
    <t>OBRA 3</t>
  </si>
  <si>
    <t>OBRA PARAMÉTRICO</t>
  </si>
  <si>
    <t>DURAÇÃO</t>
  </si>
  <si>
    <t xml:space="preserve">Linha de base: </t>
  </si>
  <si>
    <t>-- meses</t>
  </si>
  <si>
    <t>Meta:</t>
  </si>
  <si>
    <t>ESPECIFICAÇÕES DE PROJETO</t>
  </si>
  <si>
    <t>Área Total</t>
  </si>
  <si>
    <t xml:space="preserve">área/pav embasamento = </t>
  </si>
  <si>
    <t>aprox --- m²</t>
  </si>
  <si>
    <t xml:space="preserve">área/pav tipo = </t>
  </si>
  <si>
    <t xml:space="preserve"> Nº PAVIMENTOS</t>
  </si>
  <si>
    <t>--</t>
  </si>
  <si>
    <t>ESPECIFICAÇÕES DE PAVIMENTOS</t>
  </si>
  <si>
    <t>1º - térreo</t>
  </si>
  <si>
    <t>2º ao 4º - 3 pavs garagem</t>
  </si>
  <si>
    <t>5º Lazer</t>
  </si>
  <si>
    <t xml:space="preserve">6º  - Tipo Dif </t>
  </si>
  <si>
    <t>7º ao 20º - Tipo</t>
  </si>
  <si>
    <t>Técnicos</t>
  </si>
  <si>
    <t>DIMENSIONAMENTO DE PRAZO - FUNDAÇÃO PROFUNDA, BLOCOS E BALDRAMES</t>
  </si>
  <si>
    <t>Estacas Hélice Contínua</t>
  </si>
  <si>
    <t>Estacas</t>
  </si>
  <si>
    <t>Etapa</t>
  </si>
  <si>
    <t>Quantidade</t>
  </si>
  <si>
    <t>Profundidade (m)</t>
  </si>
  <si>
    <t>Total (m)</t>
  </si>
  <si>
    <t>Duração (Dias)</t>
  </si>
  <si>
    <t>Total (dias)</t>
  </si>
  <si>
    <t>Meses</t>
  </si>
  <si>
    <t>Fase 1</t>
  </si>
  <si>
    <t>Índice (m/dia)</t>
  </si>
  <si>
    <t>Coeficiente de chuva</t>
  </si>
  <si>
    <t>Forma (m²)</t>
  </si>
  <si>
    <t>Concreto (m³)</t>
  </si>
  <si>
    <t>Aço (Kg)</t>
  </si>
  <si>
    <t>Armador</t>
  </si>
  <si>
    <t>Carpinteiro</t>
  </si>
  <si>
    <t>Formas (Dias)</t>
  </si>
  <si>
    <t>Armação (dias)</t>
  </si>
  <si>
    <t>Concreto (dias)</t>
  </si>
  <si>
    <t>Duração Total</t>
  </si>
  <si>
    <t>Blocos e Baldrames</t>
  </si>
  <si>
    <t>Montagem de formas (Hh/m²):</t>
  </si>
  <si>
    <t>Concretagem (h/m³):</t>
  </si>
  <si>
    <t>RUP Armação (Hh/kg)</t>
  </si>
  <si>
    <t>DIMENSIONAMENTO DE PRAZO - SUPRAESTRUTURA</t>
  </si>
  <si>
    <t>Pavimento</t>
  </si>
  <si>
    <t>Área do Pavimento</t>
  </si>
  <si>
    <t>RUP (Hh/m²)</t>
  </si>
  <si>
    <t>RUP (m²/dia)</t>
  </si>
  <si>
    <t>Duração</t>
  </si>
  <si>
    <t>Servente</t>
  </si>
  <si>
    <t>Total Equipe</t>
  </si>
  <si>
    <t>FATOR MULT (X)</t>
  </si>
  <si>
    <t>Total Dias</t>
  </si>
  <si>
    <t>Total Meses</t>
  </si>
  <si>
    <t>RUP</t>
  </si>
  <si>
    <t>Garagens</t>
  </si>
  <si>
    <t>Lazer</t>
  </si>
  <si>
    <t>Tipo Dif</t>
  </si>
  <si>
    <t>Tipo</t>
  </si>
  <si>
    <t>DIMENSIONAMENTO DE PRAZO - FACHADA</t>
  </si>
  <si>
    <t>Serviço</t>
  </si>
  <si>
    <t>Quant (m²)</t>
  </si>
  <si>
    <t>Dias</t>
  </si>
  <si>
    <t>Profissional</t>
  </si>
  <si>
    <t>Chapisco</t>
  </si>
  <si>
    <t>Reboco</t>
  </si>
  <si>
    <t>Selador</t>
  </si>
  <si>
    <t>Textura</t>
  </si>
  <si>
    <t>Preparação</t>
  </si>
  <si>
    <t>-</t>
  </si>
  <si>
    <t>Balancim</t>
  </si>
  <si>
    <t>ESTIMATIVA DE PRAZO</t>
  </si>
  <si>
    <t>DIVISÃO DE CUSTOS PARA CURVAS</t>
  </si>
  <si>
    <t>Prazo</t>
  </si>
  <si>
    <t>SERVIÇOS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</si>
  <si>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</si>
  <si>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</si>
  <si>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</si>
  <si>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</si>
  <si>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</si>
  <si>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</si>
  <si>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</si>
  <si>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</si>
  <si>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</si>
  <si>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</si>
  <si>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</si>
  <si>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</si>
  <si>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</si>
  <si>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</si>
  <si>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</si>
  <si>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</si>
  <si>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</si>
  <si>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</si>
  <si>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</si>
  <si>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</si>
  <si>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</si>
  <si>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</si>
  <si>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</si>
  <si>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</si>
  <si>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</si>
  <si>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</si>
  <si>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</si>
  <si>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</si>
  <si>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</si>
  <si>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</si>
  <si>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</si>
  <si>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</si>
  <si>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</si>
  <si>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</si>
  <si>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</si>
  <si>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</si>
  <si>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</si>
  <si>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</si>
  <si>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</si>
  <si>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</si>
  <si>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SERVIÇOS ORÇAMENTO</t>
  </si>
  <si>
    <t>SERVIÇO PLANEJAMENTO</t>
  </si>
  <si>
    <t>Iniciais</t>
  </si>
  <si>
    <t>MOVIMENTAÇÃO DE TERRA</t>
  </si>
  <si>
    <t>Infra</t>
  </si>
  <si>
    <t>Dimensionamento de Fundações</t>
  </si>
  <si>
    <t>INFRAESTRUTURA</t>
  </si>
  <si>
    <t>Supra</t>
  </si>
  <si>
    <t>Dimensionamento de Supraestrutura</t>
  </si>
  <si>
    <t>SUPRAESTRUTURA</t>
  </si>
  <si>
    <t>Alvenaria</t>
  </si>
  <si>
    <t>ALVENARIA</t>
  </si>
  <si>
    <t>Fachada</t>
  </si>
  <si>
    <t>Dimensionamento de fachada</t>
  </si>
  <si>
    <t>INSTALAÇÕES ELÉTRICAS, HIDRÁULICAS, GLP E PREVENTIVAS</t>
  </si>
  <si>
    <t>Acabamentos</t>
  </si>
  <si>
    <t>EQUIPAMENTOS E SISTEMAS ESPECIAIS</t>
  </si>
  <si>
    <t>Serviços Finais</t>
  </si>
  <si>
    <t>IMPERMEABILIZAÇÃO</t>
  </si>
  <si>
    <t>REVESTIMENTOS INTERNOS EM PISO E PAREDE</t>
  </si>
  <si>
    <t>Grua</t>
  </si>
  <si>
    <t>Prazo de supra + 1 mês</t>
  </si>
  <si>
    <t>REVESTIMENTOS E ACABAMENTOS INTERNOS EM TETO</t>
  </si>
  <si>
    <t>Prazo de Fachada + 1 mês</t>
  </si>
  <si>
    <t>Cremalheira</t>
  </si>
  <si>
    <t>Montada no 3º pavimento de supraestrutura, desmontada após a instalação do elevador da obra</t>
  </si>
  <si>
    <t>ACABAMENTOS EM PISO E PAREDE</t>
  </si>
  <si>
    <t>PINTURA INTERNA</t>
  </si>
  <si>
    <t>Preparação do Fosso do elevador</t>
  </si>
  <si>
    <t>ESQUADRIAS, VIDROS E FERRAGENS</t>
  </si>
  <si>
    <t>Montagem Elevador</t>
  </si>
  <si>
    <t>COBERTURA</t>
  </si>
  <si>
    <t>REVESTIMENTOS E ACABAMENTOS DE FACHADA</t>
  </si>
  <si>
    <t>SERVIÇOS COMPLEMENTARES</t>
  </si>
  <si>
    <t>ETAPA</t>
  </si>
  <si>
    <t>VALOR ORÇADO</t>
  </si>
  <si>
    <t>%</t>
  </si>
  <si>
    <t>R$</t>
  </si>
  <si>
    <t>GERENCIAMENTO TÉCNICO E ADMINISTRATIVO</t>
  </si>
  <si>
    <t>IMPREVISTOS E CONTINGENCIAS</t>
  </si>
  <si>
    <t>TOTAL OBRA</t>
  </si>
  <si>
    <t>SOMA TOTAL</t>
  </si>
  <si>
    <t>VERIFICAÇÃO</t>
  </si>
  <si>
    <t>TOTAL</t>
  </si>
  <si>
    <t>CUB/SC</t>
  </si>
  <si>
    <t>ÁREA CONSTRUÍDA</t>
  </si>
  <si>
    <t>Prazo de obra</t>
  </si>
  <si>
    <t>Mês</t>
  </si>
  <si>
    <t>Total</t>
  </si>
  <si>
    <t>SEM ESTACA -&gt; SAPATAS</t>
  </si>
  <si>
    <t>Subsolo</t>
  </si>
  <si>
    <t>Pavimento 1</t>
  </si>
  <si>
    <t>Pavimento 2</t>
  </si>
  <si>
    <t>Cobertura</t>
  </si>
  <si>
    <t>sub</t>
  </si>
  <si>
    <t>terreo</t>
  </si>
  <si>
    <t>pav1</t>
  </si>
  <si>
    <t>pav2</t>
  </si>
  <si>
    <t>cob</t>
  </si>
  <si>
    <t>Terreo - garagem</t>
  </si>
  <si>
    <t>Terreo - residencial</t>
  </si>
  <si>
    <t>Pastilha Cerâmica (pedra natural)</t>
  </si>
  <si>
    <t>Concreto aparente (estucamento)</t>
  </si>
  <si>
    <t>CONTENÇÃO PAREDE DE CONCRETO</t>
  </si>
  <si>
    <t>Contenção + Sapatas</t>
  </si>
  <si>
    <t>Iniciais (escavação)</t>
  </si>
  <si>
    <t>Alvenaria (3 meses após supra) + drywall</t>
  </si>
  <si>
    <t>TORRE B</t>
  </si>
  <si>
    <t>TORRE A</t>
  </si>
  <si>
    <t>POR TORRE</t>
  </si>
  <si>
    <t>Alvenaria + DRYWALL</t>
  </si>
  <si>
    <t xml:space="preserve">TORRE A </t>
  </si>
  <si>
    <t>CONTENÇÃO</t>
  </si>
  <si>
    <t>ALVENARIA + Drywall</t>
  </si>
  <si>
    <t>INFRA</t>
  </si>
  <si>
    <t>X</t>
  </si>
  <si>
    <t>GERAL</t>
  </si>
  <si>
    <t>Grua 1</t>
  </si>
  <si>
    <t>Grua 2</t>
  </si>
  <si>
    <t>Cremalheira 1</t>
  </si>
  <si>
    <t>Cremalheira 2</t>
  </si>
  <si>
    <t>Balancim 1</t>
  </si>
  <si>
    <t>Balancim 2</t>
  </si>
  <si>
    <t>Montagem após a supra do térreo, desmontagem no término do elevador</t>
  </si>
  <si>
    <t>INDIRETOS MONOLITY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</si>
</sst>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_-* #,##0.00_-;\-* #,##0.00_-;_-* &quot;-&quot;??_-;_-@"/>
    <numFmt numFmtId="165" formatCode="_-&quot;R$&quot;\ * #,##0.00_-;\-&quot;R$&quot;\ * #,##0.00_-;_-&quot;R$&quot;\ * &quot;-&quot;??_-;_-@"/>
    <numFmt numFmtId="166" formatCode="0.000"/>
    <numFmt numFmtId="167" formatCode="0.000%"/>
  </numFmts>
  <fonts count="28">
    <font>
      <sz val="11"/>
      <color theme="1"/>
      <name val="Calibri"/>
      <scheme val="minor"/>
    </font>
    <font>
      <b/>
      <sz val="14"/>
      <color rgb="FFFFFFFF"/>
      <name val="Poppins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Poppins"/>
    </font>
    <font>
      <b/>
      <sz val="10"/>
      <color rgb="FFFFFFFF"/>
      <name val="Poppins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Poppins"/>
    </font>
    <font>
      <sz val="11"/>
      <color theme="1"/>
      <name val="Arial"/>
      <family val="2"/>
    </font>
    <font>
      <sz val="12"/>
      <color theme="1"/>
      <name val="Poppins"/>
    </font>
    <font>
      <sz val="9"/>
      <color theme="1"/>
      <name val="Poppins"/>
    </font>
    <font>
      <b/>
      <sz val="9"/>
      <color theme="1"/>
      <name val="Poppins"/>
    </font>
    <font>
      <b/>
      <sz val="11"/>
      <color theme="1"/>
      <name val="Poppins"/>
    </font>
    <font>
      <sz val="9"/>
      <color rgb="FF000000"/>
      <name val="Poppins"/>
    </font>
    <font>
      <sz val="10"/>
      <color theme="1"/>
      <name val="Poppins"/>
    </font>
    <font>
      <b/>
      <sz val="11"/>
      <color theme="0"/>
      <name val="Poppins"/>
    </font>
    <font>
      <b/>
      <sz val="11"/>
      <color theme="0"/>
      <name val="Calibri"/>
      <family val="2"/>
    </font>
    <font>
      <sz val="12"/>
      <color rgb="FFFF0000"/>
      <name val="Poppins"/>
    </font>
    <font>
      <sz val="11"/>
      <color theme="0" tint="-0.14999847407452621"/>
      <name val="Poppins"/>
    </font>
    <font>
      <b/>
      <sz val="11"/>
      <color theme="0" tint="-0.14999847407452621"/>
      <name val="Poppins"/>
    </font>
    <font>
      <sz val="11"/>
      <color theme="1"/>
      <name val="Calibri"/>
      <family val="2"/>
      <scheme val="minor"/>
    </font>
    <font>
      <sz val="11"/>
      <name val="Poppins"/>
    </font>
    <font>
      <b/>
      <sz val="11"/>
      <name val="Poppins"/>
    </font>
    <font>
      <sz val="9"/>
      <color rgb="FFFF0000"/>
      <name val="Poppins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C3400"/>
        <bgColor rgb="FFFC3400"/>
      </patternFill>
    </fill>
    <fill>
      <patternFill patternType="solid">
        <fgColor theme="1"/>
        <bgColor theme="1"/>
      </patternFill>
    </fill>
    <fill>
      <patternFill patternType="solid">
        <fgColor rgb="FF255AE5"/>
        <bgColor rgb="FF255AE5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B4C6E7"/>
        <bgColor rgb="FFB4C6E7"/>
      </patternFill>
    </fill>
    <fill>
      <patternFill patternType="solid">
        <fgColor rgb="FFF7CAAC"/>
        <bgColor rgb="FFF7CAAC"/>
      </patternFill>
    </fill>
    <fill>
      <patternFill patternType="solid">
        <fgColor rgb="FFD6DCE4"/>
        <bgColor rgb="FFD6DCE4"/>
      </patternFill>
    </fill>
    <fill>
      <patternFill patternType="solid">
        <fgColor rgb="FF0070C0"/>
        <bgColor rgb="FFB4C6E7"/>
      </patternFill>
    </fill>
    <fill>
      <patternFill patternType="solid">
        <fgColor rgb="FF0070C0"/>
        <bgColor rgb="FFF7CAAC"/>
      </patternFill>
    </fill>
    <fill>
      <patternFill patternType="solid">
        <fgColor theme="7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AEABAB"/>
      </left>
      <right/>
      <top style="thin">
        <color rgb="FFBFBFBF"/>
      </top>
      <bottom/>
      <diagonal/>
    </border>
    <border>
      <left style="thin">
        <color rgb="FFAEABAB"/>
      </left>
      <right/>
      <top/>
      <bottom/>
      <diagonal/>
    </border>
    <border>
      <left style="thin">
        <color rgb="FFAEABAB"/>
      </left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AEABAB"/>
      </left>
      <right/>
      <top style="medium">
        <color rgb="FFAEABAB"/>
      </top>
      <bottom style="thin">
        <color rgb="FFAEABAB"/>
      </bottom>
      <diagonal/>
    </border>
    <border>
      <left/>
      <right style="medium">
        <color rgb="FFAEABAB"/>
      </right>
      <top style="medium">
        <color rgb="FFAEABAB"/>
      </top>
      <bottom style="thin">
        <color rgb="FFAEABAB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medium">
        <color rgb="FFAEABAB"/>
      </right>
      <top style="thin">
        <color rgb="FFAEABAB"/>
      </top>
      <bottom style="thin">
        <color rgb="FFAEABAB"/>
      </bottom>
      <diagonal/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AEABAB"/>
      </left>
      <right style="thin">
        <color rgb="FFAEABAB"/>
      </right>
      <top style="thin">
        <color rgb="FFAEABAB"/>
      </top>
      <bottom style="medium">
        <color rgb="FFAEABAB"/>
      </bottom>
      <diagonal/>
    </border>
    <border>
      <left style="thin">
        <color rgb="FFAEABAB"/>
      </left>
      <right style="medium">
        <color rgb="FFAEABAB"/>
      </right>
      <top style="thin">
        <color rgb="FFAEABAB"/>
      </top>
      <bottom style="medium">
        <color rgb="FFAEABAB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AEABAB"/>
      </left>
      <right style="medium">
        <color rgb="FFAEABAB"/>
      </right>
      <top style="medium">
        <color rgb="FFAEABAB"/>
      </top>
      <bottom style="medium">
        <color rgb="FFAEABAB"/>
      </bottom>
      <diagonal/>
    </border>
    <border>
      <left style="medium">
        <color rgb="FFAEABAB"/>
      </left>
      <right style="thin">
        <color rgb="FFAEABAB"/>
      </right>
      <top style="medium">
        <color rgb="FFAEABAB"/>
      </top>
      <bottom style="thin">
        <color rgb="FFAEABAB"/>
      </bottom>
      <diagonal/>
    </border>
    <border>
      <left style="thin">
        <color rgb="FFAEABAB"/>
      </left>
      <right style="medium">
        <color rgb="FFAEABAB"/>
      </right>
      <top style="medium">
        <color rgb="FFAEABAB"/>
      </top>
      <bottom style="thin">
        <color rgb="FFAEABAB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/>
      <diagonal/>
    </border>
    <border>
      <left/>
      <right/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indexed="64"/>
      </right>
      <top/>
      <bottom style="thin">
        <color rgb="FFB7B7B7"/>
      </bottom>
      <diagonal/>
    </border>
    <border>
      <left style="thin">
        <color rgb="FFB7B7B7"/>
      </left>
      <right style="thin">
        <color indexed="64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indexed="64"/>
      </right>
      <top style="thin">
        <color rgb="FFB7B7B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7B7B7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21" fillId="0" borderId="0" applyFont="0" applyFill="0" applyBorder="0" applyAlignment="0" applyProtection="0"/>
    <xf numFmtId="44" fontId="27" fillId="0" borderId="0" applyFont="0" applyFill="0" applyBorder="0" applyAlignment="0" applyProtection="0"/>
  </cellStyleXfs>
  <cellXfs count="220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4" xfId="0" applyFont="1" applyBorder="1" applyAlignment="1">
      <alignment horizontal="left"/>
    </xf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right"/>
    </xf>
    <xf numFmtId="0" fontId="5" fillId="4" borderId="4" xfId="0" applyFont="1" applyFill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9" xfId="0" applyFont="1" applyBorder="1"/>
    <xf numFmtId="0" fontId="8" fillId="0" borderId="10" xfId="0" applyFont="1" applyBorder="1"/>
    <xf numFmtId="0" fontId="8" fillId="0" borderId="11" xfId="0" applyFont="1" applyBorder="1"/>
    <xf numFmtId="0" fontId="8" fillId="0" borderId="12" xfId="0" applyFont="1" applyBorder="1"/>
    <xf numFmtId="0" fontId="11" fillId="0" borderId="0" xfId="0" applyFont="1"/>
    <xf numFmtId="0" fontId="12" fillId="0" borderId="0" xfId="0" applyFont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1" fillId="0" borderId="11" xfId="0" applyFont="1" applyBorder="1"/>
    <xf numFmtId="0" fontId="11" fillId="5" borderId="11" xfId="0" applyFont="1" applyFill="1" applyBorder="1" applyAlignment="1">
      <alignment horizontal="center"/>
    </xf>
    <xf numFmtId="0" fontId="12" fillId="0" borderId="11" xfId="0" applyFont="1" applyBorder="1" applyAlignment="1">
      <alignment horizontal="center"/>
    </xf>
    <xf numFmtId="2" fontId="12" fillId="6" borderId="16" xfId="0" applyNumberFormat="1" applyFont="1" applyFill="1" applyBorder="1" applyAlignment="1">
      <alignment horizontal="center"/>
    </xf>
    <xf numFmtId="0" fontId="11" fillId="0" borderId="14" xfId="0" applyFont="1" applyBorder="1" applyAlignment="1">
      <alignment horizontal="center" vertical="center"/>
    </xf>
    <xf numFmtId="2" fontId="11" fillId="0" borderId="14" xfId="0" applyNumberFormat="1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10" xfId="0" applyFont="1" applyBorder="1"/>
    <xf numFmtId="0" fontId="11" fillId="5" borderId="11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2" fontId="12" fillId="6" borderId="17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2" fontId="12" fillId="6" borderId="18" xfId="0" applyNumberFormat="1" applyFont="1" applyFill="1" applyBorder="1" applyAlignment="1">
      <alignment horizontal="center" vertical="center"/>
    </xf>
    <xf numFmtId="0" fontId="12" fillId="0" borderId="13" xfId="0" applyFont="1" applyBorder="1"/>
    <xf numFmtId="2" fontId="11" fillId="0" borderId="15" xfId="0" applyNumberFormat="1" applyFont="1" applyBorder="1" applyAlignment="1">
      <alignment horizontal="center"/>
    </xf>
    <xf numFmtId="2" fontId="11" fillId="0" borderId="11" xfId="0" applyNumberFormat="1" applyFont="1" applyBorder="1" applyAlignment="1">
      <alignment horizontal="center"/>
    </xf>
    <xf numFmtId="2" fontId="11" fillId="0" borderId="12" xfId="0" applyNumberFormat="1" applyFont="1" applyBorder="1" applyAlignment="1">
      <alignment horizontal="center"/>
    </xf>
    <xf numFmtId="10" fontId="11" fillId="0" borderId="0" xfId="0" applyNumberFormat="1" applyFont="1"/>
    <xf numFmtId="0" fontId="8" fillId="0" borderId="0" xfId="0" applyFont="1" applyAlignment="1">
      <alignment vertical="center"/>
    </xf>
    <xf numFmtId="0" fontId="13" fillId="0" borderId="0" xfId="0" applyFont="1"/>
    <xf numFmtId="0" fontId="8" fillId="0" borderId="19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13" fillId="0" borderId="6" xfId="0" applyFont="1" applyBorder="1"/>
    <xf numFmtId="0" fontId="8" fillId="0" borderId="20" xfId="0" applyFont="1" applyBorder="1" applyAlignment="1">
      <alignment vertical="center"/>
    </xf>
    <xf numFmtId="0" fontId="8" fillId="0" borderId="21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13" fillId="0" borderId="11" xfId="0" applyFont="1" applyBorder="1"/>
    <xf numFmtId="0" fontId="11" fillId="0" borderId="0" xfId="0" applyFont="1" applyAlignment="1">
      <alignment vertical="center"/>
    </xf>
    <xf numFmtId="0" fontId="12" fillId="0" borderId="0" xfId="0" applyFont="1"/>
    <xf numFmtId="0" fontId="14" fillId="0" borderId="15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2" fontId="11" fillId="0" borderId="11" xfId="0" applyNumberFormat="1" applyFont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/>
    </xf>
    <xf numFmtId="164" fontId="12" fillId="0" borderId="22" xfId="0" applyNumberFormat="1" applyFont="1" applyBorder="1" applyAlignment="1">
      <alignment horizontal="center"/>
    </xf>
    <xf numFmtId="2" fontId="12" fillId="6" borderId="23" xfId="0" applyNumberFormat="1" applyFont="1" applyFill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11" fillId="0" borderId="10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/>
    </xf>
    <xf numFmtId="2" fontId="12" fillId="0" borderId="15" xfId="0" applyNumberFormat="1" applyFont="1" applyBorder="1" applyAlignment="1">
      <alignment horizontal="center"/>
    </xf>
    <xf numFmtId="2" fontId="12" fillId="6" borderId="24" xfId="0" applyNumberFormat="1" applyFont="1" applyFill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2" fillId="7" borderId="26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8" borderId="26" xfId="0" applyFont="1" applyFill="1" applyBorder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  <xf numFmtId="0" fontId="12" fillId="9" borderId="26" xfId="0" applyFont="1" applyFill="1" applyBorder="1" applyAlignment="1">
      <alignment horizontal="center" vertical="center"/>
    </xf>
    <xf numFmtId="0" fontId="11" fillId="9" borderId="26" xfId="0" applyFont="1" applyFill="1" applyBorder="1" applyAlignment="1">
      <alignment horizontal="center" vertical="center"/>
    </xf>
    <xf numFmtId="0" fontId="12" fillId="10" borderId="26" xfId="0" applyFont="1" applyFill="1" applyBorder="1" applyAlignment="1">
      <alignment horizontal="center" vertical="center"/>
    </xf>
    <xf numFmtId="0" fontId="11" fillId="10" borderId="26" xfId="0" applyFont="1" applyFill="1" applyBorder="1" applyAlignment="1">
      <alignment horizontal="center" vertical="center"/>
    </xf>
    <xf numFmtId="2" fontId="11" fillId="5" borderId="11" xfId="0" applyNumberFormat="1" applyFont="1" applyFill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2" fontId="11" fillId="0" borderId="6" xfId="0" applyNumberFormat="1" applyFont="1" applyBorder="1" applyAlignment="1">
      <alignment horizontal="center"/>
    </xf>
    <xf numFmtId="2" fontId="12" fillId="0" borderId="6" xfId="0" applyNumberFormat="1" applyFont="1" applyBorder="1" applyAlignment="1">
      <alignment horizontal="center"/>
    </xf>
    <xf numFmtId="164" fontId="12" fillId="0" borderId="4" xfId="0" applyNumberFormat="1" applyFont="1" applyBorder="1" applyAlignment="1">
      <alignment horizontal="center" vertical="center"/>
    </xf>
    <xf numFmtId="2" fontId="12" fillId="0" borderId="4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/>
    </xf>
    <xf numFmtId="0" fontId="11" fillId="5" borderId="26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15" fillId="0" borderId="0" xfId="0" applyFont="1" applyAlignment="1">
      <alignment vertical="center"/>
    </xf>
    <xf numFmtId="0" fontId="16" fillId="4" borderId="27" xfId="0" applyFont="1" applyFill="1" applyBorder="1" applyAlignment="1">
      <alignment horizontal="left" vertical="center"/>
    </xf>
    <xf numFmtId="0" fontId="16" fillId="4" borderId="28" xfId="0" applyFont="1" applyFill="1" applyBorder="1" applyAlignment="1">
      <alignment horizontal="left" vertical="center"/>
    </xf>
    <xf numFmtId="0" fontId="16" fillId="4" borderId="28" xfId="0" applyFont="1" applyFill="1" applyBorder="1" applyAlignment="1">
      <alignment horizontal="center" vertical="center"/>
    </xf>
    <xf numFmtId="0" fontId="16" fillId="4" borderId="31" xfId="0" applyFont="1" applyFill="1" applyBorder="1" applyAlignment="1">
      <alignment horizontal="left" vertical="center"/>
    </xf>
    <xf numFmtId="0" fontId="16" fillId="4" borderId="32" xfId="0" applyFont="1" applyFill="1" applyBorder="1" applyAlignment="1">
      <alignment horizontal="left" vertical="center"/>
    </xf>
    <xf numFmtId="0" fontId="16" fillId="4" borderId="32" xfId="0" applyFont="1" applyFill="1" applyBorder="1" applyAlignment="1">
      <alignment horizontal="center" vertical="center"/>
    </xf>
    <xf numFmtId="0" fontId="12" fillId="7" borderId="33" xfId="0" applyFont="1" applyFill="1" applyBorder="1" applyAlignment="1">
      <alignment horizontal="center" vertical="center"/>
    </xf>
    <xf numFmtId="0" fontId="12" fillId="7" borderId="34" xfId="0" applyFont="1" applyFill="1" applyBorder="1" applyAlignment="1">
      <alignment horizontal="center" vertical="center"/>
    </xf>
    <xf numFmtId="0" fontId="8" fillId="11" borderId="35" xfId="0" applyFont="1" applyFill="1" applyBorder="1" applyAlignment="1">
      <alignment horizontal="left" vertical="center"/>
    </xf>
    <xf numFmtId="164" fontId="8" fillId="11" borderId="36" xfId="0" applyNumberFormat="1" applyFont="1" applyFill="1" applyBorder="1" applyAlignment="1">
      <alignment horizontal="left" vertical="center"/>
    </xf>
    <xf numFmtId="10" fontId="8" fillId="11" borderId="36" xfId="0" applyNumberFormat="1" applyFont="1" applyFill="1" applyBorder="1" applyAlignment="1">
      <alignment horizontal="center" vertical="center"/>
    </xf>
    <xf numFmtId="10" fontId="11" fillId="5" borderId="33" xfId="0" applyNumberFormat="1" applyFont="1" applyFill="1" applyBorder="1" applyAlignment="1">
      <alignment horizontal="center" vertical="center"/>
    </xf>
    <xf numFmtId="165" fontId="11" fillId="11" borderId="34" xfId="0" applyNumberFormat="1" applyFont="1" applyFill="1" applyBorder="1" applyAlignment="1">
      <alignment horizontal="center" vertical="center"/>
    </xf>
    <xf numFmtId="0" fontId="6" fillId="11" borderId="32" xfId="0" applyFont="1" applyFill="1" applyBorder="1"/>
    <xf numFmtId="0" fontId="8" fillId="7" borderId="35" xfId="0" applyFont="1" applyFill="1" applyBorder="1" applyAlignment="1">
      <alignment horizontal="left" vertical="center"/>
    </xf>
    <xf numFmtId="164" fontId="8" fillId="7" borderId="36" xfId="0" applyNumberFormat="1" applyFont="1" applyFill="1" applyBorder="1" applyAlignment="1">
      <alignment horizontal="left" vertical="center"/>
    </xf>
    <xf numFmtId="10" fontId="8" fillId="7" borderId="36" xfId="0" applyNumberFormat="1" applyFont="1" applyFill="1" applyBorder="1" applyAlignment="1">
      <alignment horizontal="center" vertical="center"/>
    </xf>
    <xf numFmtId="165" fontId="11" fillId="0" borderId="34" xfId="0" applyNumberFormat="1" applyFont="1" applyBorder="1" applyAlignment="1">
      <alignment horizontal="center" vertical="center"/>
    </xf>
    <xf numFmtId="0" fontId="16" fillId="4" borderId="37" xfId="0" applyFont="1" applyFill="1" applyBorder="1" applyAlignment="1">
      <alignment horizontal="left" vertical="center"/>
    </xf>
    <xf numFmtId="164" fontId="16" fillId="4" borderId="38" xfId="0" applyNumberFormat="1" applyFont="1" applyFill="1" applyBorder="1" applyAlignment="1">
      <alignment horizontal="left" vertical="center"/>
    </xf>
    <xf numFmtId="9" fontId="16" fillId="4" borderId="38" xfId="0" applyNumberFormat="1" applyFont="1" applyFill="1" applyBorder="1" applyAlignment="1">
      <alignment horizontal="center" vertical="center"/>
    </xf>
    <xf numFmtId="165" fontId="17" fillId="4" borderId="32" xfId="0" applyNumberFormat="1" applyFont="1" applyFill="1" applyBorder="1"/>
    <xf numFmtId="0" fontId="16" fillId="4" borderId="32" xfId="0" applyFont="1" applyFill="1" applyBorder="1" applyAlignment="1">
      <alignment vertical="center"/>
    </xf>
    <xf numFmtId="165" fontId="16" fillId="4" borderId="32" xfId="0" applyNumberFormat="1" applyFont="1" applyFill="1" applyBorder="1" applyAlignment="1">
      <alignment vertical="center"/>
    </xf>
    <xf numFmtId="165" fontId="16" fillId="4" borderId="32" xfId="0" applyNumberFormat="1" applyFont="1" applyFill="1" applyBorder="1" applyAlignment="1">
      <alignment horizontal="center" vertical="center"/>
    </xf>
    <xf numFmtId="165" fontId="6" fillId="0" borderId="39" xfId="0" applyNumberFormat="1" applyFont="1" applyBorder="1" applyAlignment="1">
      <alignment horizontal="center"/>
    </xf>
    <xf numFmtId="165" fontId="6" fillId="0" borderId="0" xfId="0" applyNumberFormat="1" applyFont="1"/>
    <xf numFmtId="0" fontId="6" fillId="0" borderId="40" xfId="0" applyFont="1" applyBorder="1" applyAlignment="1">
      <alignment horizontal="center"/>
    </xf>
    <xf numFmtId="0" fontId="16" fillId="4" borderId="41" xfId="0" applyFont="1" applyFill="1" applyBorder="1" applyAlignment="1">
      <alignment horizontal="left" vertical="center"/>
    </xf>
    <xf numFmtId="164" fontId="16" fillId="4" borderId="42" xfId="0" applyNumberFormat="1" applyFont="1" applyFill="1" applyBorder="1" applyAlignment="1">
      <alignment horizontal="center" vertical="center"/>
    </xf>
    <xf numFmtId="17" fontId="16" fillId="4" borderId="42" xfId="0" applyNumberFormat="1" applyFont="1" applyFill="1" applyBorder="1" applyAlignment="1">
      <alignment horizontal="center" vertical="center"/>
    </xf>
    <xf numFmtId="10" fontId="17" fillId="4" borderId="32" xfId="0" applyNumberFormat="1" applyFont="1" applyFill="1" applyBorder="1"/>
    <xf numFmtId="164" fontId="16" fillId="4" borderId="32" xfId="0" applyNumberFormat="1" applyFont="1" applyFill="1" applyBorder="1" applyAlignment="1">
      <alignment vertical="center"/>
    </xf>
    <xf numFmtId="10" fontId="16" fillId="4" borderId="32" xfId="0" applyNumberFormat="1" applyFont="1" applyFill="1" applyBorder="1" applyAlignment="1">
      <alignment vertical="center"/>
    </xf>
    <xf numFmtId="0" fontId="17" fillId="4" borderId="32" xfId="0" applyFont="1" applyFill="1" applyBorder="1"/>
    <xf numFmtId="10" fontId="16" fillId="4" borderId="32" xfId="0" applyNumberFormat="1" applyFont="1" applyFill="1" applyBorder="1" applyAlignment="1">
      <alignment horizontal="center" vertical="center"/>
    </xf>
    <xf numFmtId="0" fontId="17" fillId="4" borderId="32" xfId="0" applyFont="1" applyFill="1" applyBorder="1" applyAlignment="1">
      <alignment horizontal="center"/>
    </xf>
    <xf numFmtId="10" fontId="6" fillId="0" borderId="43" xfId="0" applyNumberFormat="1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164" fontId="15" fillId="0" borderId="0" xfId="0" applyNumberFormat="1" applyFont="1" applyAlignment="1">
      <alignment vertical="center"/>
    </xf>
    <xf numFmtId="164" fontId="15" fillId="0" borderId="0" xfId="0" applyNumberFormat="1" applyFont="1" applyAlignment="1">
      <alignment horizontal="center" vertical="center"/>
    </xf>
    <xf numFmtId="164" fontId="16" fillId="4" borderId="44" xfId="0" applyNumberFormat="1" applyFont="1" applyFill="1" applyBorder="1" applyAlignment="1">
      <alignment horizontal="center" vertical="center"/>
    </xf>
    <xf numFmtId="164" fontId="16" fillId="4" borderId="45" xfId="0" applyNumberFormat="1" applyFont="1" applyFill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10" fontId="15" fillId="0" borderId="34" xfId="0" applyNumberFormat="1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10" fontId="15" fillId="0" borderId="40" xfId="0" applyNumberFormat="1" applyFont="1" applyBorder="1" applyAlignment="1">
      <alignment horizontal="center" vertical="center"/>
    </xf>
    <xf numFmtId="165" fontId="17" fillId="0" borderId="47" xfId="0" applyNumberFormat="1" applyFont="1" applyBorder="1"/>
    <xf numFmtId="10" fontId="17" fillId="0" borderId="47" xfId="0" applyNumberFormat="1" applyFont="1" applyBorder="1"/>
    <xf numFmtId="0" fontId="12" fillId="0" borderId="13" xfId="0" applyFont="1" applyBorder="1" applyAlignment="1">
      <alignment horizontal="center"/>
    </xf>
    <xf numFmtId="0" fontId="18" fillId="0" borderId="0" xfId="0" applyFont="1"/>
    <xf numFmtId="4" fontId="11" fillId="5" borderId="11" xfId="0" applyNumberFormat="1" applyFont="1" applyFill="1" applyBorder="1" applyAlignment="1">
      <alignment horizontal="center" vertical="center"/>
    </xf>
    <xf numFmtId="0" fontId="19" fillId="0" borderId="0" xfId="0" applyFont="1"/>
    <xf numFmtId="0" fontId="20" fillId="0" borderId="0" xfId="0" applyFont="1"/>
    <xf numFmtId="0" fontId="19" fillId="0" borderId="0" xfId="0" applyFont="1" applyAlignment="1">
      <alignment horizontal="right"/>
    </xf>
    <xf numFmtId="0" fontId="11" fillId="5" borderId="46" xfId="0" applyFont="1" applyFill="1" applyBorder="1" applyAlignment="1">
      <alignment horizontal="center" vertical="center"/>
    </xf>
    <xf numFmtId="2" fontId="11" fillId="0" borderId="46" xfId="0" applyNumberFormat="1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2" fontId="11" fillId="0" borderId="23" xfId="0" applyNumberFormat="1" applyFont="1" applyBorder="1" applyAlignment="1">
      <alignment horizontal="center"/>
    </xf>
    <xf numFmtId="4" fontId="11" fillId="0" borderId="0" xfId="0" applyNumberFormat="1" applyFont="1"/>
    <xf numFmtId="4" fontId="8" fillId="0" borderId="0" xfId="0" applyNumberFormat="1" applyFont="1"/>
    <xf numFmtId="0" fontId="22" fillId="0" borderId="0" xfId="0" applyFont="1"/>
    <xf numFmtId="0" fontId="23" fillId="0" borderId="0" xfId="0" applyFont="1" applyAlignment="1">
      <alignment horizontal="right"/>
    </xf>
    <xf numFmtId="2" fontId="22" fillId="0" borderId="0" xfId="0" applyNumberFormat="1" applyFont="1"/>
    <xf numFmtId="2" fontId="23" fillId="0" borderId="0" xfId="0" applyNumberFormat="1" applyFont="1"/>
    <xf numFmtId="0" fontId="23" fillId="0" borderId="0" xfId="0" applyFont="1"/>
    <xf numFmtId="0" fontId="12" fillId="0" borderId="24" xfId="0" applyFont="1" applyBorder="1" applyAlignment="1">
      <alignment horizontal="center"/>
    </xf>
    <xf numFmtId="0" fontId="24" fillId="9" borderId="26" xfId="0" applyFont="1" applyFill="1" applyBorder="1" applyAlignment="1">
      <alignment horizontal="center" vertical="center"/>
    </xf>
    <xf numFmtId="9" fontId="11" fillId="12" borderId="26" xfId="1" applyFont="1" applyFill="1" applyBorder="1" applyAlignment="1">
      <alignment horizontal="center" vertical="center"/>
    </xf>
    <xf numFmtId="10" fontId="22" fillId="0" borderId="0" xfId="1" applyNumberFormat="1" applyFont="1"/>
    <xf numFmtId="10" fontId="11" fillId="13" borderId="26" xfId="1" applyNumberFormat="1" applyFont="1" applyFill="1" applyBorder="1" applyAlignment="1">
      <alignment horizontal="center" vertical="center"/>
    </xf>
    <xf numFmtId="10" fontId="11" fillId="0" borderId="26" xfId="1" applyNumberFormat="1" applyFont="1" applyFill="1" applyBorder="1" applyAlignment="1">
      <alignment horizontal="center" vertical="center"/>
    </xf>
    <xf numFmtId="9" fontId="11" fillId="0" borderId="26" xfId="1" applyFont="1" applyFill="1" applyBorder="1" applyAlignment="1">
      <alignment horizontal="center" vertical="center"/>
    </xf>
    <xf numFmtId="2" fontId="12" fillId="0" borderId="49" xfId="0" applyNumberFormat="1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0" fillId="0" borderId="47" xfId="0" applyBorder="1"/>
    <xf numFmtId="0" fontId="11" fillId="14" borderId="53" xfId="0" applyFont="1" applyFill="1" applyBorder="1" applyAlignment="1">
      <alignment horizontal="center" vertical="center" wrapText="1"/>
    </xf>
    <xf numFmtId="166" fontId="11" fillId="14" borderId="53" xfId="0" applyNumberFormat="1" applyFont="1" applyFill="1" applyBorder="1" applyAlignment="1">
      <alignment horizontal="center" vertical="center" wrapText="1"/>
    </xf>
    <xf numFmtId="0" fontId="11" fillId="14" borderId="54" xfId="0" applyFont="1" applyFill="1" applyBorder="1" applyAlignment="1">
      <alignment horizontal="center" vertical="center" wrapText="1"/>
    </xf>
    <xf numFmtId="0" fontId="11" fillId="14" borderId="54" xfId="0" applyFont="1" applyFill="1" applyBorder="1" applyAlignment="1">
      <alignment horizontal="center" vertical="top" wrapText="1"/>
    </xf>
    <xf numFmtId="0" fontId="11" fillId="14" borderId="55" xfId="0" applyFont="1" applyFill="1" applyBorder="1" applyAlignment="1">
      <alignment horizontal="center" vertical="center" wrapText="1"/>
    </xf>
    <xf numFmtId="0" fontId="11" fillId="14" borderId="56" xfId="0" applyFont="1" applyFill="1" applyBorder="1" applyAlignment="1">
      <alignment horizontal="center" vertical="center" wrapText="1"/>
    </xf>
    <xf numFmtId="0" fontId="11" fillId="14" borderId="57" xfId="0" applyFont="1" applyFill="1" applyBorder="1" applyAlignment="1">
      <alignment horizontal="center" vertical="center" wrapText="1"/>
    </xf>
    <xf numFmtId="166" fontId="11" fillId="14" borderId="58" xfId="0" applyNumberFormat="1" applyFont="1" applyFill="1" applyBorder="1" applyAlignment="1">
      <alignment horizontal="center" vertical="center" wrapText="1"/>
    </xf>
    <xf numFmtId="167" fontId="6" fillId="11" borderId="32" xfId="0" applyNumberFormat="1" applyFont="1" applyFill="1" applyBorder="1" applyAlignment="1">
      <alignment horizontal="center"/>
    </xf>
    <xf numFmtId="167" fontId="6" fillId="0" borderId="0" xfId="0" applyNumberFormat="1" applyFont="1" applyAlignment="1">
      <alignment horizontal="center"/>
    </xf>
    <xf numFmtId="44" fontId="6" fillId="0" borderId="47" xfId="2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/>
    <xf numFmtId="0" fontId="7" fillId="0" borderId="1" xfId="0" applyFont="1" applyBorder="1"/>
    <xf numFmtId="0" fontId="5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4" fillId="3" borderId="0" xfId="0" applyFont="1" applyFill="1" applyAlignment="1">
      <alignment horizontal="center"/>
    </xf>
    <xf numFmtId="0" fontId="0" fillId="0" borderId="0" xfId="0"/>
    <xf numFmtId="0" fontId="12" fillId="0" borderId="13" xfId="0" applyFont="1" applyBorder="1" applyAlignment="1">
      <alignment horizontal="left"/>
    </xf>
    <xf numFmtId="0" fontId="2" fillId="0" borderId="15" xfId="0" applyFont="1" applyBorder="1"/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1" fillId="0" borderId="13" xfId="0" applyFont="1" applyBorder="1" applyAlignment="1">
      <alignment horizontal="center"/>
    </xf>
    <xf numFmtId="0" fontId="2" fillId="0" borderId="14" xfId="0" applyFont="1" applyBorder="1"/>
    <xf numFmtId="0" fontId="12" fillId="0" borderId="13" xfId="0" applyFont="1" applyBorder="1" applyAlignment="1">
      <alignment horizontal="center"/>
    </xf>
    <xf numFmtId="164" fontId="12" fillId="0" borderId="13" xfId="0" applyNumberFormat="1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2" fillId="0" borderId="9" xfId="0" applyFont="1" applyBorder="1"/>
    <xf numFmtId="0" fontId="2" fillId="0" borderId="21" xfId="0" applyFont="1" applyBorder="1"/>
    <xf numFmtId="0" fontId="2" fillId="0" borderId="11" xfId="0" applyFont="1" applyBorder="1"/>
    <xf numFmtId="0" fontId="2" fillId="0" borderId="46" xfId="0" applyFont="1" applyBorder="1"/>
    <xf numFmtId="0" fontId="2" fillId="0" borderId="12" xfId="0" applyFont="1" applyBorder="1"/>
    <xf numFmtId="164" fontId="12" fillId="0" borderId="46" xfId="0" applyNumberFormat="1" applyFont="1" applyBorder="1" applyAlignment="1">
      <alignment horizontal="center"/>
    </xf>
    <xf numFmtId="0" fontId="12" fillId="14" borderId="50" xfId="0" applyFont="1" applyFill="1" applyBorder="1" applyAlignment="1">
      <alignment horizontal="center" vertical="center"/>
    </xf>
    <xf numFmtId="0" fontId="12" fillId="14" borderId="51" xfId="0" applyFont="1" applyFill="1" applyBorder="1" applyAlignment="1">
      <alignment horizontal="center" vertical="center"/>
    </xf>
    <xf numFmtId="0" fontId="12" fillId="14" borderId="52" xfId="0" applyFont="1" applyFill="1" applyBorder="1" applyAlignment="1">
      <alignment horizontal="center" vertical="center"/>
    </xf>
    <xf numFmtId="0" fontId="8" fillId="0" borderId="25" xfId="0" applyFont="1" applyBorder="1" applyAlignment="1">
      <alignment horizontal="center"/>
    </xf>
    <xf numFmtId="0" fontId="2" fillId="0" borderId="25" xfId="0" applyFont="1" applyBorder="1"/>
    <xf numFmtId="0" fontId="7" fillId="0" borderId="0" xfId="0" applyFont="1"/>
    <xf numFmtId="0" fontId="9" fillId="0" borderId="48" xfId="0" applyFont="1" applyBorder="1" applyAlignment="1">
      <alignment horizontal="center"/>
    </xf>
    <xf numFmtId="0" fontId="26" fillId="0" borderId="25" xfId="0" applyFont="1" applyBorder="1" applyAlignment="1">
      <alignment horizontal="center"/>
    </xf>
    <xf numFmtId="0" fontId="26" fillId="0" borderId="25" xfId="0" applyFont="1" applyBorder="1" applyAlignment="1">
      <alignment horizontal="center" vertical="center"/>
    </xf>
    <xf numFmtId="166" fontId="8" fillId="0" borderId="48" xfId="0" applyNumberFormat="1" applyFont="1" applyBorder="1" applyAlignment="1">
      <alignment horizontal="center"/>
    </xf>
    <xf numFmtId="0" fontId="12" fillId="7" borderId="29" xfId="0" applyFont="1" applyFill="1" applyBorder="1" applyAlignment="1">
      <alignment horizontal="center" vertical="center"/>
    </xf>
    <xf numFmtId="0" fontId="2" fillId="0" borderId="30" xfId="0" applyFont="1" applyBorder="1"/>
  </cellXfs>
  <cellStyles count="3">
    <cellStyle name="Moeda" xfId="2" builtinId="4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114300</xdr:rowOff>
    </xdr:from>
    <xdr:ext cx="1838325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114300</xdr:rowOff>
    </xdr:from>
    <xdr:ext cx="1838325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47625</xdr:rowOff>
    </xdr:from>
    <xdr:ext cx="1181100" cy="190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47625</xdr:rowOff>
    </xdr:from>
    <xdr:ext cx="1181100" cy="190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Blue%20Heaven\04.%20Custo\03.4%20Custo%20-%20Estimativa%20de%20custos\1.%20Param&#233;trico\CTN-BHV-%20MONOLYT%20-%20LEVANTAMENTOS_R00%20(version%201).xlsx" TargetMode="External"/><Relationship Id="rId1" Type="http://schemas.openxmlformats.org/officeDocument/2006/relationships/externalLinkPath" Target="/.shortcut-targets-by-id/16oaQUYgx8kiowDwLhg-oO1zGZ777DJUb/2.%20Projetos%20em%20Andamento/Blue%20Heaven/04.%20Custo/03.4%20Custo%20-%20Estimativa%20de%20custos/1.%20Param&#233;trico/CTN-BHV-%20MONOLYT%20-%20LEVANTAMENTOS_R00%20(version%20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_INICIAIS"/>
      <sheetName val="Corte"/>
      <sheetName val="MOVIMENTAÇÃO_DE_TERRA"/>
      <sheetName val="CONTENÇÕES"/>
      <sheetName val="INFRAESTRUTURA"/>
      <sheetName val="Alvenaria"/>
      <sheetName val="SUPRAESTRUTURA"/>
      <sheetName val="REVESTIMENTO PISO"/>
      <sheetName val="REVESTIMENTO PAREDE"/>
      <sheetName val="REVESTIMENTO TETO"/>
      <sheetName val="Acabamentos de Piso"/>
      <sheetName val="Rev. Internos de Parede"/>
      <sheetName val="Acabamentos de Teto"/>
      <sheetName val="Ambientes"/>
      <sheetName val="Pintura Interna"/>
      <sheetName val="Impermeabilização"/>
      <sheetName val="Instalações"/>
      <sheetName val="Instalações Lumis"/>
      <sheetName val="Sistemas Especiais"/>
      <sheetName val="Complementares"/>
      <sheetName val="Canteiro"/>
      <sheetName val="Bases"/>
      <sheetName val="EPCs"/>
      <sheetName val="CUSTOS_INDIRETOS"/>
      <sheetName val="Esquadrias"/>
      <sheetName val="ESQUADRIAS_MADEIRA"/>
      <sheetName val="PORTA_CORTA_FOGO"/>
      <sheetName val="ESQUADRIAS_DE_ALUMÍNIO"/>
      <sheetName val="GUARDA_CORPO"/>
      <sheetName val="BRISES"/>
      <sheetName val="Rev. Fachada"/>
      <sheetName val="FACHADA"/>
      <sheetName val="ORÇAMENTO_EXECUTIVO"/>
      <sheetName val="ANÁLISE_CUSTOS"/>
      <sheetName val="CÁLCULO_MÉDIAS"/>
      <sheetName val="ATALAIA"/>
      <sheetName val="Spotico"/>
      <sheetName val="Índices"/>
      <sheetName val="Auxili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>
        <row r="11">
          <cell r="I11">
            <v>9921.8457826000013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workbookViewId="0">
      <selection sqref="A1:K1"/>
    </sheetView>
  </sheetViews>
  <sheetFormatPr defaultColWidth="14.44140625" defaultRowHeight="15" customHeight="1"/>
  <cols>
    <col min="1" max="1" width="24.33203125" customWidth="1"/>
    <col min="2" max="2" width="15.5546875" customWidth="1"/>
    <col min="3" max="3" width="8.6640625" customWidth="1"/>
    <col min="4" max="4" width="24.33203125" customWidth="1"/>
    <col min="5" max="5" width="15.5546875" customWidth="1"/>
    <col min="6" max="6" width="8.6640625" customWidth="1"/>
    <col min="7" max="7" width="24.33203125" customWidth="1"/>
    <col min="8" max="8" width="14.5546875" customWidth="1"/>
    <col min="9" max="9" width="8.6640625" customWidth="1"/>
    <col min="10" max="10" width="33" customWidth="1"/>
    <col min="11" max="11" width="11.109375" customWidth="1"/>
    <col min="12" max="26" width="8.6640625" customWidth="1"/>
  </cols>
  <sheetData>
    <row r="1" spans="1:13" ht="14.4">
      <c r="A1" s="188" t="s">
        <v>0</v>
      </c>
      <c r="B1" s="189"/>
      <c r="C1" s="189"/>
      <c r="D1" s="189"/>
      <c r="E1" s="189"/>
      <c r="F1" s="189"/>
      <c r="G1" s="189"/>
      <c r="H1" s="189"/>
      <c r="I1" s="189"/>
      <c r="J1" s="189"/>
      <c r="K1" s="184"/>
      <c r="L1" s="1"/>
      <c r="M1" s="1"/>
    </row>
    <row r="2" spans="1:13" ht="20.399999999999999">
      <c r="A2" s="190" t="s">
        <v>1</v>
      </c>
      <c r="B2" s="191"/>
      <c r="C2" s="2"/>
      <c r="D2" s="187" t="s">
        <v>2</v>
      </c>
      <c r="E2" s="184"/>
      <c r="F2" s="2"/>
      <c r="G2" s="187" t="s">
        <v>3</v>
      </c>
      <c r="H2" s="184"/>
      <c r="J2" s="187" t="s">
        <v>4</v>
      </c>
      <c r="K2" s="184"/>
    </row>
    <row r="3" spans="1:13" ht="19.8">
      <c r="A3" s="186" t="s">
        <v>5</v>
      </c>
      <c r="B3" s="184"/>
      <c r="D3" s="186" t="s">
        <v>5</v>
      </c>
      <c r="E3" s="184"/>
      <c r="G3" s="186" t="s">
        <v>5</v>
      </c>
      <c r="H3" s="184"/>
      <c r="J3" s="186" t="s">
        <v>5</v>
      </c>
      <c r="K3" s="184"/>
    </row>
    <row r="4" spans="1:13" ht="14.4">
      <c r="A4" s="3" t="s">
        <v>6</v>
      </c>
      <c r="B4" s="4" t="s">
        <v>7</v>
      </c>
      <c r="D4" s="3" t="s">
        <v>6</v>
      </c>
      <c r="E4" s="4" t="s">
        <v>7</v>
      </c>
      <c r="G4" s="3" t="s">
        <v>6</v>
      </c>
      <c r="H4" s="4" t="s">
        <v>7</v>
      </c>
      <c r="J4" s="3" t="s">
        <v>6</v>
      </c>
      <c r="K4" s="4" t="s">
        <v>7</v>
      </c>
    </row>
    <row r="5" spans="1:13" ht="14.4">
      <c r="A5" s="3" t="s">
        <v>8</v>
      </c>
      <c r="B5" s="4" t="s">
        <v>7</v>
      </c>
      <c r="D5" s="3" t="s">
        <v>8</v>
      </c>
      <c r="E5" s="4" t="s">
        <v>7</v>
      </c>
      <c r="G5" s="3" t="s">
        <v>8</v>
      </c>
      <c r="H5" s="4" t="s">
        <v>7</v>
      </c>
      <c r="J5" s="3" t="s">
        <v>8</v>
      </c>
      <c r="K5" s="4" t="s">
        <v>7</v>
      </c>
    </row>
    <row r="6" spans="1:13" ht="19.8">
      <c r="A6" s="186" t="s">
        <v>9</v>
      </c>
      <c r="B6" s="184"/>
      <c r="D6" s="186" t="s">
        <v>9</v>
      </c>
      <c r="E6" s="184"/>
      <c r="G6" s="186" t="s">
        <v>9</v>
      </c>
      <c r="H6" s="184"/>
      <c r="J6" s="186" t="s">
        <v>9</v>
      </c>
      <c r="K6" s="184"/>
    </row>
    <row r="7" spans="1:13" ht="14.4">
      <c r="A7" s="4" t="s">
        <v>10</v>
      </c>
      <c r="B7" s="4"/>
      <c r="D7" s="4" t="s">
        <v>10</v>
      </c>
      <c r="E7" s="4"/>
      <c r="G7" s="4" t="s">
        <v>10</v>
      </c>
      <c r="H7" s="4"/>
      <c r="J7" s="4" t="s">
        <v>10</v>
      </c>
      <c r="K7" s="4"/>
    </row>
    <row r="8" spans="1:13" ht="14.4">
      <c r="A8" s="5" t="s">
        <v>11</v>
      </c>
      <c r="B8" s="4" t="s">
        <v>12</v>
      </c>
      <c r="D8" s="5" t="s">
        <v>11</v>
      </c>
      <c r="E8" s="4" t="s">
        <v>12</v>
      </c>
      <c r="G8" s="5" t="s">
        <v>11</v>
      </c>
      <c r="H8" s="4" t="s">
        <v>12</v>
      </c>
      <c r="J8" s="5" t="s">
        <v>11</v>
      </c>
      <c r="K8" s="4" t="s">
        <v>12</v>
      </c>
    </row>
    <row r="9" spans="1:13" ht="14.4">
      <c r="A9" s="5" t="s">
        <v>13</v>
      </c>
      <c r="B9" s="4" t="s">
        <v>12</v>
      </c>
      <c r="D9" s="5" t="s">
        <v>13</v>
      </c>
      <c r="E9" s="4" t="s">
        <v>12</v>
      </c>
      <c r="G9" s="5" t="s">
        <v>13</v>
      </c>
      <c r="H9" s="4" t="s">
        <v>12</v>
      </c>
      <c r="J9" s="5" t="s">
        <v>13</v>
      </c>
      <c r="K9" s="4" t="s">
        <v>12</v>
      </c>
    </row>
    <row r="10" spans="1:13" ht="19.8">
      <c r="A10" s="6" t="s">
        <v>14</v>
      </c>
      <c r="B10" s="4" t="s">
        <v>15</v>
      </c>
      <c r="D10" s="6" t="s">
        <v>14</v>
      </c>
      <c r="E10" s="4" t="s">
        <v>15</v>
      </c>
      <c r="G10" s="6" t="s">
        <v>14</v>
      </c>
      <c r="H10" s="4" t="s">
        <v>15</v>
      </c>
      <c r="J10" s="6" t="s">
        <v>14</v>
      </c>
      <c r="K10" s="4" t="s">
        <v>15</v>
      </c>
    </row>
    <row r="11" spans="1:13" ht="19.8">
      <c r="A11" s="186" t="s">
        <v>16</v>
      </c>
      <c r="B11" s="184"/>
      <c r="D11" s="186" t="s">
        <v>16</v>
      </c>
      <c r="E11" s="184"/>
      <c r="G11" s="186" t="s">
        <v>16</v>
      </c>
      <c r="H11" s="184"/>
      <c r="J11" s="186" t="s">
        <v>16</v>
      </c>
      <c r="K11" s="184"/>
    </row>
    <row r="12" spans="1:13" ht="14.4">
      <c r="A12" s="183" t="s">
        <v>17</v>
      </c>
      <c r="B12" s="184"/>
      <c r="D12" s="183"/>
      <c r="E12" s="184"/>
      <c r="G12" s="183"/>
      <c r="H12" s="184"/>
      <c r="J12" s="185"/>
      <c r="K12" s="184"/>
    </row>
    <row r="13" spans="1:13" ht="14.4">
      <c r="A13" s="183" t="s">
        <v>18</v>
      </c>
      <c r="B13" s="184"/>
      <c r="D13" s="183"/>
      <c r="E13" s="184"/>
      <c r="G13" s="183"/>
      <c r="H13" s="184"/>
      <c r="J13" s="185"/>
      <c r="K13" s="184"/>
    </row>
    <row r="14" spans="1:13" ht="14.4">
      <c r="A14" s="183" t="s">
        <v>19</v>
      </c>
      <c r="B14" s="184"/>
      <c r="D14" s="183"/>
      <c r="E14" s="184"/>
      <c r="G14" s="183"/>
      <c r="H14" s="184"/>
      <c r="J14" s="185"/>
      <c r="K14" s="184"/>
    </row>
    <row r="15" spans="1:13" ht="14.4">
      <c r="A15" s="183" t="s">
        <v>20</v>
      </c>
      <c r="B15" s="184"/>
      <c r="D15" s="183"/>
      <c r="E15" s="184"/>
      <c r="G15" s="183"/>
      <c r="H15" s="184"/>
      <c r="J15" s="185"/>
      <c r="K15" s="184"/>
    </row>
    <row r="16" spans="1:13" ht="14.4">
      <c r="A16" s="183" t="s">
        <v>21</v>
      </c>
      <c r="B16" s="184"/>
      <c r="D16" s="183"/>
      <c r="E16" s="184"/>
      <c r="G16" s="183"/>
      <c r="H16" s="184"/>
      <c r="J16" s="185"/>
      <c r="K16" s="184"/>
    </row>
    <row r="17" spans="1:11" ht="14.4">
      <c r="A17" s="183" t="s">
        <v>22</v>
      </c>
      <c r="B17" s="184"/>
      <c r="D17" s="183"/>
      <c r="E17" s="184"/>
      <c r="G17" s="183"/>
      <c r="H17" s="184"/>
      <c r="J17" s="185"/>
      <c r="K17" s="184"/>
    </row>
    <row r="18" spans="1:11" ht="14.4">
      <c r="A18" s="183"/>
      <c r="B18" s="184"/>
      <c r="D18" s="183"/>
      <c r="E18" s="184"/>
      <c r="G18" s="183"/>
      <c r="H18" s="184"/>
      <c r="J18" s="185"/>
      <c r="K18" s="184"/>
    </row>
    <row r="19" spans="1:11" ht="14.4">
      <c r="A19" s="183"/>
      <c r="B19" s="184"/>
      <c r="D19" s="183"/>
      <c r="E19" s="184"/>
      <c r="G19" s="183"/>
      <c r="H19" s="184"/>
      <c r="J19" s="185"/>
      <c r="K19" s="184"/>
    </row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9">
    <mergeCell ref="G6:H6"/>
    <mergeCell ref="J2:K2"/>
    <mergeCell ref="J3:K3"/>
    <mergeCell ref="G2:H2"/>
    <mergeCell ref="G3:H3"/>
    <mergeCell ref="J6:K6"/>
    <mergeCell ref="D3:E3"/>
    <mergeCell ref="D2:E2"/>
    <mergeCell ref="A3:B3"/>
    <mergeCell ref="A1:K1"/>
    <mergeCell ref="A2:B2"/>
    <mergeCell ref="D6:E6"/>
    <mergeCell ref="A6:B6"/>
    <mergeCell ref="A15:B15"/>
    <mergeCell ref="A14:B14"/>
    <mergeCell ref="A12:B12"/>
    <mergeCell ref="D12:E12"/>
    <mergeCell ref="A13:B13"/>
    <mergeCell ref="D13:E13"/>
    <mergeCell ref="D16:E16"/>
    <mergeCell ref="D15:E15"/>
    <mergeCell ref="D14:E14"/>
    <mergeCell ref="A16:B16"/>
    <mergeCell ref="G16:H16"/>
    <mergeCell ref="G12:H12"/>
    <mergeCell ref="G15:H15"/>
    <mergeCell ref="J15:K15"/>
    <mergeCell ref="G11:H11"/>
    <mergeCell ref="A11:B11"/>
    <mergeCell ref="D11:E11"/>
    <mergeCell ref="J11:K11"/>
    <mergeCell ref="J12:K12"/>
    <mergeCell ref="G14:H14"/>
    <mergeCell ref="A18:B18"/>
    <mergeCell ref="A19:B19"/>
    <mergeCell ref="G18:H18"/>
    <mergeCell ref="G19:H19"/>
    <mergeCell ref="J13:K13"/>
    <mergeCell ref="J14:K14"/>
    <mergeCell ref="G13:H13"/>
    <mergeCell ref="J16:K16"/>
    <mergeCell ref="J17:K17"/>
    <mergeCell ref="J18:K18"/>
    <mergeCell ref="J19:K19"/>
    <mergeCell ref="D17:E17"/>
    <mergeCell ref="D18:E18"/>
    <mergeCell ref="D19:E19"/>
    <mergeCell ref="A17:B17"/>
    <mergeCell ref="G17:H17"/>
  </mergeCell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3"/>
  <sheetViews>
    <sheetView showGridLines="0" zoomScale="85" zoomScaleNormal="85" workbookViewId="0">
      <selection activeCell="E24" sqref="E24"/>
    </sheetView>
  </sheetViews>
  <sheetFormatPr defaultColWidth="14.44140625" defaultRowHeight="15" customHeight="1"/>
  <cols>
    <col min="1" max="1" width="2.33203125" customWidth="1"/>
    <col min="2" max="2" width="29.44140625" customWidth="1"/>
    <col min="3" max="3" width="15.6640625" customWidth="1"/>
    <col min="4" max="5" width="15.33203125" customWidth="1"/>
    <col min="6" max="6" width="18.33203125" customWidth="1"/>
    <col min="7" max="7" width="10.44140625" customWidth="1"/>
    <col min="8" max="12" width="14.88671875" customWidth="1"/>
    <col min="13" max="13" width="12.88671875" customWidth="1"/>
    <col min="14" max="14" width="8.5546875" customWidth="1"/>
    <col min="15" max="25" width="8.6640625" customWidth="1"/>
  </cols>
  <sheetData>
    <row r="1" spans="1:26" ht="7.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8"/>
    </row>
    <row r="2" spans="1:26" ht="12.75" customHeight="1">
      <c r="A2" s="7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1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8"/>
    </row>
    <row r="3" spans="1:26" ht="12.75" customHeight="1">
      <c r="A3" s="7"/>
      <c r="B3" s="12"/>
      <c r="C3" s="7"/>
      <c r="D3" s="194" t="s">
        <v>23</v>
      </c>
      <c r="E3" s="191"/>
      <c r="F3" s="191"/>
      <c r="G3" s="191"/>
      <c r="H3" s="191"/>
      <c r="I3" s="191"/>
      <c r="J3" s="191"/>
      <c r="K3" s="191"/>
      <c r="L3" s="191"/>
      <c r="M3" s="7"/>
      <c r="N3" s="13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/>
    </row>
    <row r="4" spans="1:26" ht="12.75" customHeight="1">
      <c r="A4" s="7"/>
      <c r="B4" s="12"/>
      <c r="C4" s="7"/>
      <c r="D4" s="191"/>
      <c r="E4" s="191"/>
      <c r="F4" s="191"/>
      <c r="G4" s="191"/>
      <c r="H4" s="191"/>
      <c r="I4" s="191"/>
      <c r="J4" s="191"/>
      <c r="K4" s="191"/>
      <c r="L4" s="191"/>
      <c r="M4" s="7"/>
      <c r="N4" s="13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8"/>
    </row>
    <row r="5" spans="1:26" ht="12.75" customHeight="1">
      <c r="A5" s="7"/>
      <c r="B5" s="14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8"/>
    </row>
    <row r="6" spans="1:26" ht="21.75" customHeight="1">
      <c r="A6" s="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8"/>
    </row>
    <row r="7" spans="1:26" ht="21.75" customHeight="1">
      <c r="A7" s="7"/>
      <c r="B7" s="195" t="s">
        <v>24</v>
      </c>
      <c r="C7" s="191"/>
      <c r="D7" s="191"/>
      <c r="E7" s="191"/>
      <c r="F7" s="191"/>
      <c r="G7" s="191"/>
      <c r="H7" s="191"/>
      <c r="I7" s="17"/>
      <c r="J7" s="146" t="s">
        <v>170</v>
      </c>
      <c r="K7" s="17"/>
      <c r="L7" s="1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8"/>
    </row>
    <row r="8" spans="1:26" ht="21.75" customHeight="1">
      <c r="A8" s="7"/>
      <c r="B8" s="18"/>
      <c r="C8" s="196" t="s">
        <v>25</v>
      </c>
      <c r="D8" s="197"/>
      <c r="E8" s="18"/>
      <c r="F8" s="18"/>
      <c r="G8" s="18"/>
      <c r="H8" s="18"/>
      <c r="I8" s="17"/>
      <c r="J8" s="17"/>
      <c r="K8" s="17"/>
      <c r="L8" s="1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8"/>
    </row>
    <row r="9" spans="1:26" ht="21.75" customHeight="1">
      <c r="A9" s="7"/>
      <c r="B9" s="20" t="s">
        <v>26</v>
      </c>
      <c r="C9" s="19" t="s">
        <v>27</v>
      </c>
      <c r="D9" s="21" t="s">
        <v>28</v>
      </c>
      <c r="E9" s="19" t="s">
        <v>29</v>
      </c>
      <c r="F9" s="22" t="s">
        <v>30</v>
      </c>
      <c r="G9" s="23" t="s">
        <v>31</v>
      </c>
      <c r="H9" s="24" t="s">
        <v>32</v>
      </c>
      <c r="I9" s="17"/>
      <c r="J9" s="17"/>
      <c r="K9" s="17"/>
      <c r="L9" s="1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8"/>
    </row>
    <row r="10" spans="1:26" ht="21.75" customHeight="1">
      <c r="A10" s="7"/>
      <c r="B10" s="25" t="s">
        <v>33</v>
      </c>
      <c r="C10" s="26"/>
      <c r="D10" s="26"/>
      <c r="E10" s="20">
        <f>C10*D10</f>
        <v>0</v>
      </c>
      <c r="F10" s="20">
        <f>ROUNDUP((E10/$D$12),0)</f>
        <v>0</v>
      </c>
      <c r="G10" s="27">
        <f>F10*D13</f>
        <v>0</v>
      </c>
      <c r="H10" s="28">
        <f>G10/22</f>
        <v>0</v>
      </c>
      <c r="I10" s="17"/>
      <c r="J10" s="17"/>
      <c r="K10" s="17"/>
      <c r="L10" s="1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8"/>
    </row>
    <row r="11" spans="1:26" ht="21.75" customHeight="1">
      <c r="A11" s="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8"/>
    </row>
    <row r="12" spans="1:26" ht="21.75" customHeight="1">
      <c r="A12" s="7"/>
      <c r="B12" s="198" t="s">
        <v>34</v>
      </c>
      <c r="C12" s="193"/>
      <c r="D12" s="29">
        <v>120</v>
      </c>
      <c r="E12" s="17"/>
      <c r="F12" s="17"/>
      <c r="G12" s="17"/>
      <c r="H12" s="17"/>
      <c r="I12" s="17"/>
      <c r="J12" s="17"/>
      <c r="K12" s="17"/>
      <c r="L12" s="1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8"/>
    </row>
    <row r="13" spans="1:26" ht="21.75" customHeight="1">
      <c r="A13" s="7"/>
      <c r="B13" s="198" t="s">
        <v>35</v>
      </c>
      <c r="C13" s="193"/>
      <c r="D13" s="30">
        <v>1.2</v>
      </c>
      <c r="E13" s="17"/>
      <c r="F13" s="17"/>
      <c r="G13" s="17"/>
      <c r="H13" s="17"/>
      <c r="I13" s="17"/>
      <c r="J13" s="17"/>
      <c r="K13" s="17"/>
      <c r="L13" s="1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8"/>
    </row>
    <row r="14" spans="1:26" ht="21.75" customHeight="1">
      <c r="A14" s="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8"/>
    </row>
    <row r="15" spans="1:26" ht="21.75" customHeight="1">
      <c r="A15" s="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8"/>
    </row>
    <row r="16" spans="1:26" ht="21.75" customHeight="1">
      <c r="A16" s="31"/>
      <c r="B16" s="32" t="s">
        <v>26</v>
      </c>
      <c r="C16" s="33" t="s">
        <v>36</v>
      </c>
      <c r="D16" s="33" t="s">
        <v>37</v>
      </c>
      <c r="E16" s="33" t="s">
        <v>38</v>
      </c>
      <c r="F16" s="33" t="s">
        <v>39</v>
      </c>
      <c r="G16" s="33" t="s">
        <v>40</v>
      </c>
      <c r="H16" s="33" t="s">
        <v>41</v>
      </c>
      <c r="I16" s="33" t="s">
        <v>42</v>
      </c>
      <c r="J16" s="33" t="s">
        <v>43</v>
      </c>
      <c r="K16" s="33" t="s">
        <v>44</v>
      </c>
      <c r="L16" s="34" t="s">
        <v>32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5"/>
      <c r="Y16" s="35"/>
      <c r="Z16" s="35"/>
    </row>
    <row r="17" spans="1:26" ht="21.75" customHeight="1">
      <c r="A17" s="31"/>
      <c r="B17" s="36" t="s">
        <v>45</v>
      </c>
      <c r="C17" s="147">
        <v>1703.95</v>
      </c>
      <c r="D17" s="37">
        <v>721.67</v>
      </c>
      <c r="E17" s="147">
        <v>53223.46</v>
      </c>
      <c r="F17" s="37">
        <v>12</v>
      </c>
      <c r="G17" s="37">
        <v>12</v>
      </c>
      <c r="H17" s="38">
        <f>ROUNDUP((C17*$D$22)/(8.8*G17),0)</f>
        <v>34</v>
      </c>
      <c r="I17" s="38">
        <f>ROUNDUP((E17*$D$24)/(8.8*F17),0)</f>
        <v>23</v>
      </c>
      <c r="J17" s="38">
        <f>ROUNDUP((D17*$D$23)/8.8,0)</f>
        <v>2</v>
      </c>
      <c r="K17" s="39">
        <f>I17+J17+H17</f>
        <v>59</v>
      </c>
      <c r="L17" s="40">
        <f t="shared" ref="L17:L18" si="0">K17/22</f>
        <v>2.6818181818181817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5"/>
      <c r="Y17" s="35"/>
      <c r="Z17" s="35"/>
    </row>
    <row r="18" spans="1:26" ht="21.75" customHeight="1">
      <c r="A18" s="7"/>
      <c r="B18" s="17"/>
      <c r="C18" s="17"/>
      <c r="D18" s="17"/>
      <c r="E18" s="17"/>
      <c r="F18" s="17"/>
      <c r="G18" s="17"/>
      <c r="H18" s="17"/>
      <c r="I18" s="41"/>
      <c r="J18" s="41"/>
      <c r="K18" s="42">
        <f>K17*D25</f>
        <v>70.8</v>
      </c>
      <c r="L18" s="43">
        <f t="shared" si="0"/>
        <v>3.2181818181818183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8"/>
    </row>
    <row r="19" spans="1:26" ht="21.75" customHeight="1">
      <c r="A19" s="7"/>
      <c r="B19" s="32" t="s">
        <v>26</v>
      </c>
      <c r="C19" s="33" t="s">
        <v>36</v>
      </c>
      <c r="D19" s="33" t="s">
        <v>37</v>
      </c>
      <c r="E19" s="33" t="s">
        <v>38</v>
      </c>
      <c r="F19" s="33" t="s">
        <v>39</v>
      </c>
      <c r="G19" s="33" t="s">
        <v>40</v>
      </c>
      <c r="H19" s="33" t="s">
        <v>41</v>
      </c>
      <c r="I19" s="33" t="s">
        <v>42</v>
      </c>
      <c r="J19" s="33" t="s">
        <v>43</v>
      </c>
      <c r="K19" s="33" t="s">
        <v>44</v>
      </c>
      <c r="L19" s="34" t="s">
        <v>32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8"/>
    </row>
    <row r="20" spans="1:26" ht="21.75" customHeight="1">
      <c r="A20" s="7"/>
      <c r="B20" s="36" t="s">
        <v>184</v>
      </c>
      <c r="C20" s="147">
        <v>1163.48</v>
      </c>
      <c r="D20" s="37"/>
      <c r="E20" s="147">
        <f>F22</f>
        <v>36341.695026732006</v>
      </c>
      <c r="F20" s="37">
        <v>10</v>
      </c>
      <c r="G20" s="37">
        <v>10</v>
      </c>
      <c r="H20" s="38">
        <f>ROUNDUP((C20*$D$22)/(8.8*G20),0)</f>
        <v>28</v>
      </c>
      <c r="I20" s="38">
        <f>ROUNDUP((E20*$D$24)/(8.8*F20),0)</f>
        <v>19</v>
      </c>
      <c r="J20" s="38">
        <f>ROUNDUP((D20*$D$23)/8.8,0)</f>
        <v>0</v>
      </c>
      <c r="K20" s="39">
        <f>I20+J20+H20</f>
        <v>47</v>
      </c>
      <c r="L20" s="40">
        <f t="shared" ref="L20:L21" si="1">K20/22</f>
        <v>2.1363636363636362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8"/>
    </row>
    <row r="21" spans="1:26" ht="21.75" customHeight="1">
      <c r="A21" s="7"/>
      <c r="B21" s="17"/>
      <c r="C21" s="17"/>
      <c r="D21" s="17"/>
      <c r="E21" s="17"/>
      <c r="F21" s="17"/>
      <c r="G21" s="17"/>
      <c r="H21" s="17"/>
      <c r="I21" s="41"/>
      <c r="J21" s="41"/>
      <c r="K21" s="42">
        <f>K20*D25</f>
        <v>56.4</v>
      </c>
      <c r="L21" s="43">
        <f t="shared" si="1"/>
        <v>2.5636363636363635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8"/>
    </row>
    <row r="22" spans="1:26" ht="21.75" customHeight="1">
      <c r="A22" s="7"/>
      <c r="B22" s="44" t="s">
        <v>46</v>
      </c>
      <c r="C22" s="45"/>
      <c r="D22" s="30">
        <v>2.08</v>
      </c>
      <c r="E22" s="155">
        <f>C20</f>
        <v>1163.48</v>
      </c>
      <c r="F22" s="17">
        <f>F23*E22/E23</f>
        <v>36341.695026732006</v>
      </c>
      <c r="G22" s="17"/>
      <c r="H22" s="17"/>
      <c r="I22" s="17"/>
      <c r="J22" s="8"/>
      <c r="K22" s="8"/>
      <c r="L22" s="1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8"/>
    </row>
    <row r="23" spans="1:26" ht="21.75" customHeight="1">
      <c r="A23" s="7"/>
      <c r="B23" s="44" t="s">
        <v>47</v>
      </c>
      <c r="C23" s="46"/>
      <c r="D23" s="47">
        <v>1.32530120481928E-2</v>
      </c>
      <c r="E23" s="156">
        <f>C17</f>
        <v>1703.95</v>
      </c>
      <c r="F23" s="156">
        <f>E17</f>
        <v>53223.46</v>
      </c>
      <c r="G23" s="17"/>
      <c r="H23" s="17"/>
      <c r="I23" s="17"/>
      <c r="J23" s="17"/>
      <c r="K23" s="17"/>
      <c r="L23" s="48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8"/>
    </row>
    <row r="24" spans="1:26" ht="21.75" customHeight="1">
      <c r="A24" s="7"/>
      <c r="B24" s="44" t="s">
        <v>48</v>
      </c>
      <c r="C24" s="46"/>
      <c r="D24" s="47">
        <v>4.3999999999999997E-2</v>
      </c>
      <c r="E24" s="7">
        <f>8.8/D22</f>
        <v>4.2307692307692308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8"/>
    </row>
    <row r="25" spans="1:26" ht="21.75" customHeight="1">
      <c r="A25" s="7"/>
      <c r="B25" s="192" t="s">
        <v>35</v>
      </c>
      <c r="C25" s="193"/>
      <c r="D25" s="30">
        <v>1.2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8"/>
    </row>
    <row r="26" spans="1:26" ht="21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8"/>
    </row>
    <row r="27" spans="1:26" ht="21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8"/>
    </row>
    <row r="28" spans="1:26" ht="21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8"/>
    </row>
    <row r="29" spans="1:26" ht="21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8"/>
    </row>
    <row r="30" spans="1:26" ht="21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8"/>
    </row>
    <row r="31" spans="1:26" ht="21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8"/>
    </row>
    <row r="32" spans="1:26" ht="21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8"/>
    </row>
    <row r="33" spans="1:26" ht="21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8"/>
    </row>
    <row r="34" spans="1:26" ht="21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8"/>
    </row>
    <row r="35" spans="1:26" ht="21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8"/>
    </row>
    <row r="36" spans="1:26" ht="21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8"/>
    </row>
    <row r="37" spans="1:26" ht="21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8"/>
    </row>
    <row r="38" spans="1:26" ht="21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8"/>
    </row>
    <row r="39" spans="1:26" ht="21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8"/>
    </row>
    <row r="40" spans="1:26" ht="21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8"/>
    </row>
    <row r="41" spans="1:26" ht="21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8"/>
    </row>
    <row r="42" spans="1:26" ht="21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8"/>
    </row>
    <row r="43" spans="1:26" ht="21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8"/>
    </row>
    <row r="44" spans="1:26" ht="21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8"/>
    </row>
    <row r="45" spans="1:26" ht="21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8"/>
    </row>
    <row r="46" spans="1:26" ht="21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8"/>
    </row>
    <row r="47" spans="1:26" ht="21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8"/>
    </row>
    <row r="48" spans="1:26" ht="21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8"/>
    </row>
    <row r="49" spans="1:26" ht="21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8"/>
    </row>
    <row r="50" spans="1:26" ht="21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8"/>
    </row>
    <row r="51" spans="1:26" ht="21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8"/>
    </row>
    <row r="52" spans="1:26" ht="21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8"/>
    </row>
    <row r="53" spans="1:26" ht="21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8"/>
    </row>
    <row r="54" spans="1:26" ht="21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8"/>
    </row>
    <row r="55" spans="1:26" ht="21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8"/>
    </row>
    <row r="56" spans="1:26" ht="21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8"/>
    </row>
    <row r="57" spans="1:26" ht="21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8"/>
    </row>
    <row r="58" spans="1:26" ht="21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8"/>
    </row>
    <row r="59" spans="1:26" ht="21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8"/>
    </row>
    <row r="60" spans="1:26" ht="21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8"/>
    </row>
    <row r="61" spans="1:26" ht="21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8"/>
    </row>
    <row r="62" spans="1:26" ht="21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8"/>
    </row>
    <row r="63" spans="1:26" ht="21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8"/>
    </row>
    <row r="64" spans="1:26" ht="21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8"/>
    </row>
    <row r="65" spans="1:26" ht="21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8"/>
    </row>
    <row r="66" spans="1:26" ht="21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8"/>
    </row>
    <row r="67" spans="1:26" ht="21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8"/>
    </row>
    <row r="68" spans="1:26" ht="21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8"/>
    </row>
    <row r="69" spans="1:26" ht="21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8"/>
    </row>
    <row r="70" spans="1:26" ht="21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8"/>
    </row>
    <row r="71" spans="1:26" ht="21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8"/>
    </row>
    <row r="72" spans="1:26" ht="21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8"/>
    </row>
    <row r="73" spans="1:26" ht="21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8"/>
    </row>
    <row r="74" spans="1:26" ht="21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8"/>
    </row>
    <row r="75" spans="1:26" ht="21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8"/>
    </row>
    <row r="76" spans="1:26" ht="21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8"/>
    </row>
    <row r="77" spans="1:26" ht="21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8"/>
    </row>
    <row r="78" spans="1:26" ht="21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8"/>
    </row>
    <row r="79" spans="1:26" ht="21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8"/>
    </row>
    <row r="80" spans="1:26" ht="21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8"/>
    </row>
    <row r="81" spans="1:26" ht="21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8"/>
    </row>
    <row r="82" spans="1:26" ht="21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8"/>
    </row>
    <row r="83" spans="1:26" ht="21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8"/>
    </row>
    <row r="84" spans="1:26" ht="21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8"/>
    </row>
    <row r="85" spans="1:26" ht="21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8"/>
    </row>
    <row r="86" spans="1:26" ht="21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8"/>
    </row>
    <row r="87" spans="1:26" ht="21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8"/>
    </row>
    <row r="88" spans="1:26" ht="21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8"/>
    </row>
    <row r="89" spans="1:26" ht="21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8"/>
    </row>
    <row r="90" spans="1:26" ht="21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8"/>
    </row>
    <row r="91" spans="1:26" ht="21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8"/>
    </row>
    <row r="92" spans="1:26" ht="21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8"/>
    </row>
    <row r="93" spans="1:26" ht="21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8"/>
    </row>
    <row r="94" spans="1:26" ht="21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8"/>
    </row>
    <row r="95" spans="1:26" ht="21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8"/>
    </row>
    <row r="96" spans="1:26" ht="21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8"/>
    </row>
    <row r="97" spans="1:26" ht="21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8"/>
    </row>
    <row r="98" spans="1:26" ht="21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8"/>
    </row>
    <row r="99" spans="1:26" ht="21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8"/>
    </row>
    <row r="100" spans="1:26" ht="21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8"/>
    </row>
    <row r="101" spans="1:26" ht="21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8"/>
    </row>
    <row r="102" spans="1:26" ht="21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8"/>
    </row>
    <row r="103" spans="1:26" ht="21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8"/>
    </row>
    <row r="104" spans="1:26" ht="21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8"/>
    </row>
    <row r="105" spans="1:26" ht="21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8"/>
    </row>
    <row r="106" spans="1:26" ht="21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8"/>
    </row>
    <row r="107" spans="1:26" ht="21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8"/>
    </row>
    <row r="108" spans="1:26" ht="21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8"/>
    </row>
    <row r="109" spans="1:26" ht="21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8"/>
    </row>
    <row r="110" spans="1:26" ht="21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8"/>
    </row>
    <row r="111" spans="1:26" ht="21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8"/>
    </row>
    <row r="112" spans="1:26" ht="21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8"/>
    </row>
    <row r="113" spans="1:26" ht="21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8"/>
    </row>
    <row r="114" spans="1:26" ht="21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8"/>
    </row>
    <row r="115" spans="1:26" ht="21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8"/>
    </row>
    <row r="116" spans="1:26" ht="21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8"/>
    </row>
    <row r="117" spans="1:26" ht="21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8"/>
    </row>
    <row r="118" spans="1:26" ht="21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8"/>
    </row>
    <row r="119" spans="1:26" ht="21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8"/>
    </row>
    <row r="120" spans="1:26" ht="21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8"/>
    </row>
    <row r="121" spans="1:26" ht="21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8"/>
    </row>
    <row r="122" spans="1:26" ht="21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8"/>
    </row>
    <row r="123" spans="1:26" ht="21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8"/>
    </row>
    <row r="124" spans="1:26" ht="21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8"/>
    </row>
    <row r="125" spans="1:26" ht="21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8"/>
    </row>
    <row r="126" spans="1:26" ht="21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8"/>
    </row>
    <row r="127" spans="1:26" ht="21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8"/>
    </row>
    <row r="128" spans="1:26" ht="21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8"/>
    </row>
    <row r="129" spans="1:26" ht="21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8"/>
    </row>
    <row r="130" spans="1:26" ht="21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8"/>
    </row>
    <row r="131" spans="1:26" ht="21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8"/>
    </row>
    <row r="132" spans="1:26" ht="21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8"/>
    </row>
    <row r="133" spans="1:26" ht="21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8"/>
    </row>
    <row r="134" spans="1:26" ht="21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8"/>
    </row>
    <row r="135" spans="1:26" ht="21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8"/>
    </row>
    <row r="136" spans="1:26" ht="21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8"/>
    </row>
    <row r="137" spans="1:26" ht="21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8"/>
    </row>
    <row r="138" spans="1:26" ht="21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8"/>
    </row>
    <row r="139" spans="1:26" ht="21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8"/>
    </row>
    <row r="140" spans="1:26" ht="21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8"/>
    </row>
    <row r="141" spans="1:26" ht="21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8"/>
    </row>
    <row r="142" spans="1:26" ht="21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8"/>
    </row>
    <row r="143" spans="1:26" ht="21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8"/>
    </row>
    <row r="144" spans="1:26" ht="21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8"/>
    </row>
    <row r="145" spans="1:26" ht="21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8"/>
    </row>
    <row r="146" spans="1:26" ht="21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8"/>
    </row>
    <row r="147" spans="1:26" ht="21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8"/>
    </row>
    <row r="148" spans="1:26" ht="21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8"/>
    </row>
    <row r="149" spans="1:26" ht="21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8"/>
    </row>
    <row r="150" spans="1:26" ht="21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8"/>
    </row>
    <row r="151" spans="1:26" ht="21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8"/>
    </row>
    <row r="152" spans="1:26" ht="21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8"/>
    </row>
    <row r="153" spans="1:26" ht="21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8"/>
    </row>
    <row r="154" spans="1:26" ht="21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8"/>
    </row>
    <row r="155" spans="1:26" ht="21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8"/>
    </row>
    <row r="156" spans="1:26" ht="21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8"/>
    </row>
    <row r="157" spans="1:26" ht="21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8"/>
    </row>
    <row r="158" spans="1:26" ht="21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8"/>
    </row>
    <row r="159" spans="1:26" ht="21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8"/>
    </row>
    <row r="160" spans="1:26" ht="21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8"/>
    </row>
    <row r="161" spans="1:26" ht="21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8"/>
    </row>
    <row r="162" spans="1:26" ht="21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8"/>
    </row>
    <row r="163" spans="1:26" ht="21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8"/>
    </row>
    <row r="164" spans="1:26" ht="21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8"/>
    </row>
    <row r="165" spans="1:26" ht="21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8"/>
    </row>
    <row r="166" spans="1:26" ht="21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8"/>
    </row>
    <row r="167" spans="1:26" ht="21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8"/>
    </row>
    <row r="168" spans="1:26" ht="21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8"/>
    </row>
    <row r="169" spans="1:26" ht="21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8"/>
    </row>
    <row r="170" spans="1:26" ht="21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8"/>
    </row>
    <row r="171" spans="1:26" ht="21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8"/>
    </row>
    <row r="172" spans="1:26" ht="21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8"/>
    </row>
    <row r="173" spans="1:26" ht="21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8"/>
    </row>
    <row r="174" spans="1:26" ht="21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8"/>
    </row>
    <row r="175" spans="1:26" ht="21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8"/>
    </row>
    <row r="176" spans="1:26" ht="21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8"/>
    </row>
    <row r="177" spans="1:26" ht="21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8"/>
    </row>
    <row r="178" spans="1:26" ht="21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8"/>
    </row>
    <row r="179" spans="1:26" ht="21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8"/>
    </row>
    <row r="180" spans="1:26" ht="21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8"/>
    </row>
    <row r="181" spans="1:26" ht="21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8"/>
    </row>
    <row r="182" spans="1:26" ht="21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8"/>
    </row>
    <row r="183" spans="1:26" ht="21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8"/>
    </row>
    <row r="184" spans="1:26" ht="21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8"/>
    </row>
    <row r="185" spans="1:26" ht="21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8"/>
    </row>
    <row r="186" spans="1:26" ht="21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8"/>
    </row>
    <row r="187" spans="1:26" ht="21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8"/>
    </row>
    <row r="188" spans="1:26" ht="21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8"/>
    </row>
    <row r="189" spans="1:26" ht="21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8"/>
    </row>
    <row r="190" spans="1:26" ht="21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8"/>
    </row>
    <row r="191" spans="1:26" ht="21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8"/>
    </row>
    <row r="192" spans="1:26" ht="21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8"/>
    </row>
    <row r="193" spans="1:26" ht="21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8"/>
    </row>
    <row r="194" spans="1:26" ht="21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8"/>
    </row>
    <row r="195" spans="1:26" ht="21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8"/>
    </row>
    <row r="196" spans="1:26" ht="21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8"/>
    </row>
    <row r="197" spans="1:26" ht="21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8"/>
    </row>
    <row r="198" spans="1:26" ht="21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8"/>
    </row>
    <row r="199" spans="1:26" ht="21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8"/>
    </row>
    <row r="200" spans="1:26" ht="21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8"/>
    </row>
    <row r="201" spans="1:26" ht="21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8"/>
    </row>
    <row r="202" spans="1:26" ht="21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8"/>
    </row>
    <row r="203" spans="1:26" ht="21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8"/>
    </row>
    <row r="204" spans="1:26" ht="21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8"/>
    </row>
    <row r="205" spans="1:26" ht="21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8"/>
    </row>
    <row r="206" spans="1:26" ht="21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8"/>
    </row>
    <row r="207" spans="1:26" ht="21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8"/>
    </row>
    <row r="208" spans="1:26" ht="21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8"/>
    </row>
    <row r="209" spans="1:26" ht="21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8"/>
    </row>
    <row r="210" spans="1:26" ht="21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8"/>
    </row>
    <row r="211" spans="1:26" ht="21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8"/>
    </row>
    <row r="212" spans="1:26" ht="21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8"/>
    </row>
    <row r="213" spans="1:26" ht="21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8"/>
    </row>
    <row r="214" spans="1:26" ht="21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8"/>
    </row>
    <row r="215" spans="1:26" ht="21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8"/>
    </row>
    <row r="216" spans="1:26" ht="21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8"/>
    </row>
    <row r="217" spans="1:26" ht="21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8"/>
    </row>
    <row r="218" spans="1:26" ht="21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8"/>
    </row>
    <row r="219" spans="1:26" ht="21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8"/>
    </row>
    <row r="220" spans="1:26" ht="21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8"/>
    </row>
    <row r="221" spans="1:26" ht="21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8"/>
    </row>
    <row r="222" spans="1:26" ht="21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8"/>
    </row>
    <row r="223" spans="1:26" ht="21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8"/>
    </row>
    <row r="224" spans="1:26" ht="21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8"/>
    </row>
    <row r="225" spans="1:26" ht="21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8"/>
    </row>
    <row r="226" spans="1: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5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spans="1:26" ht="15.7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spans="1:26" ht="15.75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</sheetData>
  <mergeCells count="6">
    <mergeCell ref="B25:C25"/>
    <mergeCell ref="D3:L4"/>
    <mergeCell ref="B7:H7"/>
    <mergeCell ref="C8:D8"/>
    <mergeCell ref="B12:C12"/>
    <mergeCell ref="B13:C13"/>
  </mergeCells>
  <pageMargins left="0.511811024" right="0.511811024" top="0.78740157499999996" bottom="0.78740157499999996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85"/>
  <sheetViews>
    <sheetView showGridLines="0" topLeftCell="A31" zoomScale="85" zoomScaleNormal="85" workbookViewId="0">
      <selection activeCell="O24" sqref="O24"/>
    </sheetView>
  </sheetViews>
  <sheetFormatPr defaultColWidth="14.44140625" defaultRowHeight="15" customHeight="1"/>
  <cols>
    <col min="1" max="1" width="2.33203125" customWidth="1"/>
    <col min="2" max="3" width="18" customWidth="1"/>
    <col min="4" max="4" width="17.88671875" customWidth="1"/>
    <col min="5" max="5" width="11.44140625" customWidth="1"/>
    <col min="6" max="6" width="11.88671875" customWidth="1"/>
    <col min="7" max="7" width="10.6640625" customWidth="1"/>
    <col min="8" max="8" width="14.88671875" customWidth="1"/>
    <col min="9" max="9" width="10.6640625" customWidth="1"/>
    <col min="10" max="11" width="14.109375" customWidth="1"/>
    <col min="12" max="12" width="9.109375" customWidth="1"/>
    <col min="13" max="13" width="8.6640625" customWidth="1"/>
    <col min="14" max="14" width="7.6640625" bestFit="1" customWidth="1"/>
    <col min="15" max="16" width="11.33203125" bestFit="1" customWidth="1"/>
    <col min="17" max="17" width="12.6640625" bestFit="1" customWidth="1"/>
    <col min="18" max="23" width="8.6640625" customWidth="1"/>
  </cols>
  <sheetData>
    <row r="1" spans="1:26" ht="7.5" customHeight="1">
      <c r="A1" s="7"/>
      <c r="B1" s="49"/>
      <c r="C1" s="49"/>
      <c r="D1" s="7"/>
      <c r="E1" s="7"/>
      <c r="F1" s="7"/>
      <c r="G1" s="50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8"/>
      <c r="Y1" s="8"/>
      <c r="Z1" s="8"/>
    </row>
    <row r="2" spans="1:26" ht="12.75" customHeight="1">
      <c r="A2" s="7"/>
      <c r="B2" s="51"/>
      <c r="C2" s="52"/>
      <c r="D2" s="10"/>
      <c r="E2" s="10"/>
      <c r="F2" s="10"/>
      <c r="G2" s="53"/>
      <c r="H2" s="10"/>
      <c r="I2" s="10"/>
      <c r="J2" s="10"/>
      <c r="K2" s="11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8"/>
      <c r="Y2" s="8"/>
      <c r="Z2" s="8"/>
    </row>
    <row r="3" spans="1:26" ht="12.75" customHeight="1">
      <c r="A3" s="7"/>
      <c r="B3" s="54"/>
      <c r="C3" s="49"/>
      <c r="D3" s="194" t="s">
        <v>49</v>
      </c>
      <c r="E3" s="191"/>
      <c r="F3" s="191"/>
      <c r="G3" s="191"/>
      <c r="H3" s="191"/>
      <c r="I3" s="191"/>
      <c r="J3" s="7"/>
      <c r="K3" s="13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Y3" s="8"/>
      <c r="Z3" s="8"/>
    </row>
    <row r="4" spans="1:26" ht="12.75" customHeight="1">
      <c r="A4" s="7"/>
      <c r="B4" s="54"/>
      <c r="C4" s="49"/>
      <c r="D4" s="191"/>
      <c r="E4" s="191"/>
      <c r="F4" s="191"/>
      <c r="G4" s="191"/>
      <c r="H4" s="191"/>
      <c r="I4" s="191"/>
      <c r="J4" s="7"/>
      <c r="K4" s="13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8"/>
      <c r="Y4" s="8"/>
      <c r="Z4" s="8"/>
    </row>
    <row r="5" spans="1:26" ht="12.75" customHeight="1">
      <c r="A5" s="7"/>
      <c r="B5" s="55"/>
      <c r="C5" s="56"/>
      <c r="D5" s="15"/>
      <c r="E5" s="15"/>
      <c r="F5" s="15"/>
      <c r="G5" s="57"/>
      <c r="H5" s="15"/>
      <c r="I5" s="15"/>
      <c r="J5" s="15"/>
      <c r="K5" s="16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8"/>
      <c r="Y5" s="8"/>
      <c r="Z5" s="8"/>
    </row>
    <row r="6" spans="1:26" ht="21.75" customHeight="1">
      <c r="A6" s="7"/>
      <c r="B6" s="58"/>
      <c r="C6" s="58"/>
      <c r="D6" s="17"/>
      <c r="E6" s="17"/>
      <c r="F6" s="17"/>
      <c r="G6" s="59"/>
      <c r="H6" s="17"/>
      <c r="I6" s="17"/>
      <c r="J6" s="17"/>
      <c r="K6" s="1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8"/>
      <c r="Y6" s="8"/>
      <c r="Z6" s="8"/>
    </row>
    <row r="7" spans="1:26" ht="21.75" customHeight="1">
      <c r="A7" s="7"/>
      <c r="B7" s="32" t="s">
        <v>50</v>
      </c>
      <c r="C7" s="33" t="s">
        <v>51</v>
      </c>
      <c r="D7" s="60" t="s">
        <v>36</v>
      </c>
      <c r="E7" s="33" t="s">
        <v>52</v>
      </c>
      <c r="F7" s="33" t="s">
        <v>53</v>
      </c>
      <c r="G7" s="61" t="s">
        <v>54</v>
      </c>
      <c r="H7" s="33" t="s">
        <v>40</v>
      </c>
      <c r="I7" s="33" t="s">
        <v>39</v>
      </c>
      <c r="J7" s="33" t="s">
        <v>55</v>
      </c>
      <c r="K7" s="29" t="s">
        <v>56</v>
      </c>
      <c r="L7" s="7"/>
      <c r="M7" s="7"/>
      <c r="N7" s="7"/>
      <c r="O7" s="148" t="s">
        <v>179</v>
      </c>
      <c r="P7" s="148"/>
      <c r="Q7" s="149">
        <f>185.64+118.04</f>
        <v>303.68</v>
      </c>
      <c r="R7" s="148">
        <f>Q7</f>
        <v>303.68</v>
      </c>
      <c r="S7" s="148">
        <v>2594.1999999999998</v>
      </c>
      <c r="T7" s="148">
        <f>S7-R7</f>
        <v>2290.52</v>
      </c>
      <c r="U7" s="7"/>
      <c r="V7" s="7"/>
      <c r="W7" s="7"/>
      <c r="X7" s="8"/>
      <c r="Y7" s="8"/>
      <c r="Z7" s="8"/>
    </row>
    <row r="8" spans="1:26" ht="21.75" customHeight="1">
      <c r="A8" s="7"/>
      <c r="B8" s="62" t="s">
        <v>174</v>
      </c>
      <c r="C8" s="37">
        <f>12469.72-C9-C10-C11-C12-C13</f>
        <v>406.11000000000013</v>
      </c>
      <c r="D8" s="63">
        <f t="shared" ref="D8:D13" si="0">C8*$C$15</f>
        <v>1015.2750000000003</v>
      </c>
      <c r="E8" s="63">
        <v>1.6</v>
      </c>
      <c r="F8" s="63">
        <f t="shared" ref="F8:F13" si="1">8.8/E8</f>
        <v>5.5</v>
      </c>
      <c r="G8" s="64">
        <v>12</v>
      </c>
      <c r="H8" s="38">
        <f t="shared" ref="H8:H13" si="2">ROUNDUP((D8*E8)/(G8*8.8),0)</f>
        <v>16</v>
      </c>
      <c r="I8" s="38">
        <f t="shared" ref="I8:I13" si="3">ROUNDUP(H8/2,0)</f>
        <v>8</v>
      </c>
      <c r="J8" s="38">
        <f t="shared" ref="J8:J13" si="4">ROUNDUP(H8/4,0)</f>
        <v>4</v>
      </c>
      <c r="K8" s="65">
        <f t="shared" ref="K8:K13" si="5">J8+I8+H8</f>
        <v>28</v>
      </c>
      <c r="L8" s="41"/>
      <c r="M8" s="7"/>
      <c r="N8" s="7"/>
      <c r="O8" s="148" t="s">
        <v>178</v>
      </c>
      <c r="P8" s="148">
        <f>1469.1-174.91</f>
        <v>1294.1899999999998</v>
      </c>
      <c r="Q8" s="149">
        <f>1502.76-126.91</f>
        <v>1375.85</v>
      </c>
      <c r="R8" s="148">
        <f>Q8+P8</f>
        <v>2670.04</v>
      </c>
      <c r="S8" s="148">
        <v>2802.7</v>
      </c>
      <c r="T8" s="148"/>
      <c r="U8" s="7"/>
      <c r="V8" s="7"/>
      <c r="W8" s="7"/>
      <c r="X8" s="8"/>
      <c r="Y8" s="8"/>
      <c r="Z8" s="8"/>
    </row>
    <row r="9" spans="1:26" ht="21.75" customHeight="1">
      <c r="A9" s="7"/>
      <c r="B9" s="62" t="s">
        <v>173</v>
      </c>
      <c r="C9" s="37">
        <v>2802.7</v>
      </c>
      <c r="D9" s="63">
        <f t="shared" si="0"/>
        <v>7006.75</v>
      </c>
      <c r="E9" s="63">
        <v>1.6</v>
      </c>
      <c r="F9" s="63">
        <f t="shared" si="1"/>
        <v>5.5</v>
      </c>
      <c r="G9" s="64">
        <v>50</v>
      </c>
      <c r="H9" s="38">
        <f t="shared" si="2"/>
        <v>26</v>
      </c>
      <c r="I9" s="38">
        <f t="shared" si="3"/>
        <v>13</v>
      </c>
      <c r="J9" s="38">
        <f t="shared" si="4"/>
        <v>7</v>
      </c>
      <c r="K9" s="65">
        <f t="shared" si="5"/>
        <v>46</v>
      </c>
      <c r="L9" s="41"/>
      <c r="M9" s="7"/>
      <c r="N9" s="7"/>
      <c r="O9" s="148" t="s">
        <v>177</v>
      </c>
      <c r="P9" s="148">
        <f>663.92+286.6+384.68</f>
        <v>1335.2</v>
      </c>
      <c r="Q9" s="149">
        <f>1895.9</f>
        <v>1895.9</v>
      </c>
      <c r="R9" s="148">
        <f>Q9+P9</f>
        <v>3231.1000000000004</v>
      </c>
      <c r="S9" s="148">
        <v>3188.34</v>
      </c>
      <c r="T9" s="148"/>
      <c r="U9" s="7"/>
      <c r="V9" s="7"/>
      <c r="W9" s="7"/>
      <c r="X9" s="8"/>
      <c r="Y9" s="8"/>
      <c r="Z9" s="8"/>
    </row>
    <row r="10" spans="1:26" ht="21.75" customHeight="1">
      <c r="A10" s="7"/>
      <c r="B10" s="62" t="s">
        <v>172</v>
      </c>
      <c r="C10" s="37">
        <v>3188.34</v>
      </c>
      <c r="D10" s="63">
        <f t="shared" si="0"/>
        <v>7970.85</v>
      </c>
      <c r="E10" s="63">
        <v>1.6</v>
      </c>
      <c r="F10" s="63">
        <f t="shared" si="1"/>
        <v>5.5</v>
      </c>
      <c r="G10" s="64">
        <v>56</v>
      </c>
      <c r="H10" s="38">
        <f t="shared" si="2"/>
        <v>26</v>
      </c>
      <c r="I10" s="38">
        <f t="shared" si="3"/>
        <v>13</v>
      </c>
      <c r="J10" s="38">
        <f t="shared" si="4"/>
        <v>7</v>
      </c>
      <c r="K10" s="65">
        <f t="shared" si="5"/>
        <v>46</v>
      </c>
      <c r="L10" s="41"/>
      <c r="M10" s="7"/>
      <c r="N10" s="7"/>
      <c r="O10" s="148" t="s">
        <v>176</v>
      </c>
      <c r="P10" s="148"/>
      <c r="Q10" s="149"/>
      <c r="R10" s="150">
        <v>4067.92</v>
      </c>
      <c r="S10" s="148">
        <v>1879.83</v>
      </c>
      <c r="T10" s="148">
        <f>S10-R10</f>
        <v>-2188.09</v>
      </c>
      <c r="U10" s="7"/>
      <c r="V10" s="7"/>
      <c r="W10" s="7"/>
      <c r="X10" s="8"/>
      <c r="Y10" s="8"/>
      <c r="Z10" s="8"/>
    </row>
    <row r="11" spans="1:26" ht="21.75" customHeight="1">
      <c r="A11" s="7"/>
      <c r="B11" s="62" t="s">
        <v>181</v>
      </c>
      <c r="C11" s="37">
        <f>R10-C12</f>
        <v>2693.55</v>
      </c>
      <c r="D11" s="63">
        <f t="shared" si="0"/>
        <v>6733.875</v>
      </c>
      <c r="E11" s="63">
        <v>1.6</v>
      </c>
      <c r="F11" s="63">
        <f t="shared" si="1"/>
        <v>5.5</v>
      </c>
      <c r="G11" s="64">
        <v>48</v>
      </c>
      <c r="H11" s="38">
        <f t="shared" si="2"/>
        <v>26</v>
      </c>
      <c r="I11" s="38">
        <f t="shared" si="3"/>
        <v>13</v>
      </c>
      <c r="J11" s="38">
        <f t="shared" si="4"/>
        <v>7</v>
      </c>
      <c r="K11" s="65">
        <f t="shared" si="5"/>
        <v>46</v>
      </c>
      <c r="L11" s="41"/>
      <c r="M11" s="7"/>
      <c r="N11" s="7"/>
      <c r="O11" s="148" t="s">
        <v>175</v>
      </c>
      <c r="P11" s="148"/>
      <c r="Q11" s="148"/>
      <c r="R11" s="148">
        <v>2004.65</v>
      </c>
      <c r="S11" s="148">
        <v>2001.65</v>
      </c>
      <c r="T11" s="148"/>
      <c r="U11" s="7"/>
      <c r="V11" s="7"/>
      <c r="W11" s="7"/>
      <c r="X11" s="8"/>
      <c r="Y11" s="8"/>
      <c r="Z11" s="8"/>
    </row>
    <row r="12" spans="1:26" ht="21.75" customHeight="1">
      <c r="A12" s="7"/>
      <c r="B12" s="62" t="s">
        <v>180</v>
      </c>
      <c r="C12" s="37">
        <v>1374.37</v>
      </c>
      <c r="D12" s="63">
        <f t="shared" si="0"/>
        <v>3435.9249999999997</v>
      </c>
      <c r="E12" s="63">
        <v>2.2000000000000002</v>
      </c>
      <c r="F12" s="63">
        <f t="shared" si="1"/>
        <v>4</v>
      </c>
      <c r="G12" s="64">
        <v>34</v>
      </c>
      <c r="H12" s="38">
        <f t="shared" si="2"/>
        <v>26</v>
      </c>
      <c r="I12" s="38">
        <f t="shared" si="3"/>
        <v>13</v>
      </c>
      <c r="J12" s="38">
        <f t="shared" si="4"/>
        <v>7</v>
      </c>
      <c r="K12" s="65">
        <f t="shared" si="5"/>
        <v>46</v>
      </c>
      <c r="L12" s="41"/>
      <c r="M12" s="7"/>
      <c r="N12" s="7"/>
      <c r="O12" s="148"/>
      <c r="P12" s="148"/>
      <c r="Q12" s="149"/>
      <c r="R12" s="149">
        <f>SUM(R7:R11)</f>
        <v>12277.39</v>
      </c>
      <c r="S12" s="149">
        <f>SUM(S7:S11)</f>
        <v>12466.72</v>
      </c>
      <c r="T12" s="148"/>
      <c r="U12" s="7"/>
      <c r="V12" s="7"/>
      <c r="W12" s="7"/>
      <c r="X12" s="8"/>
      <c r="Y12" s="8"/>
      <c r="Z12" s="8"/>
    </row>
    <row r="13" spans="1:26" ht="21.75" customHeight="1">
      <c r="A13" s="7"/>
      <c r="B13" s="62" t="s">
        <v>171</v>
      </c>
      <c r="C13" s="37">
        <v>2004.65</v>
      </c>
      <c r="D13" s="63">
        <f t="shared" si="0"/>
        <v>5011.625</v>
      </c>
      <c r="E13" s="63">
        <v>2.2000000000000002</v>
      </c>
      <c r="F13" s="63">
        <f t="shared" si="1"/>
        <v>4</v>
      </c>
      <c r="G13" s="64">
        <v>49</v>
      </c>
      <c r="H13" s="38">
        <f t="shared" si="2"/>
        <v>26</v>
      </c>
      <c r="I13" s="38">
        <f t="shared" si="3"/>
        <v>13</v>
      </c>
      <c r="J13" s="38">
        <f t="shared" si="4"/>
        <v>7</v>
      </c>
      <c r="K13" s="65">
        <f t="shared" si="5"/>
        <v>46</v>
      </c>
      <c r="L13" s="41"/>
      <c r="M13" s="7"/>
      <c r="N13" s="7"/>
      <c r="O13" s="7"/>
      <c r="P13" s="7"/>
      <c r="Q13" s="50"/>
      <c r="R13" s="7"/>
      <c r="S13" s="7"/>
      <c r="T13" s="7"/>
      <c r="U13" s="7"/>
      <c r="V13" s="7"/>
      <c r="W13" s="7"/>
      <c r="X13" s="8"/>
      <c r="Y13" s="8"/>
      <c r="Z13" s="8"/>
    </row>
    <row r="14" spans="1:26" ht="30.75" customHeight="1">
      <c r="A14" s="7"/>
      <c r="B14" s="49"/>
      <c r="C14" s="38">
        <f>SUM(C8:C13)</f>
        <v>12469.72</v>
      </c>
      <c r="D14" s="63"/>
      <c r="E14" s="63"/>
      <c r="F14" s="63"/>
      <c r="G14" s="66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8"/>
      <c r="Y14" s="8"/>
      <c r="Z14" s="8"/>
    </row>
    <row r="15" spans="1:26" ht="21.75" customHeight="1">
      <c r="A15" s="7"/>
      <c r="B15" s="67" t="s">
        <v>57</v>
      </c>
      <c r="C15" s="67">
        <v>2.5</v>
      </c>
      <c r="D15" s="68"/>
      <c r="E15" s="45"/>
      <c r="F15" s="45" t="s">
        <v>58</v>
      </c>
      <c r="G15" s="23">
        <f>SUM(G8:G13)</f>
        <v>249</v>
      </c>
      <c r="H15" s="22" t="s">
        <v>59</v>
      </c>
      <c r="I15" s="69">
        <f>G15/22</f>
        <v>11.318181818181818</v>
      </c>
      <c r="J15" s="22"/>
      <c r="K15" s="21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8"/>
      <c r="Y15" s="8"/>
      <c r="Z15" s="8"/>
    </row>
    <row r="16" spans="1:26" ht="21.75" customHeight="1">
      <c r="A16" s="7"/>
      <c r="B16" s="198" t="s">
        <v>188</v>
      </c>
      <c r="C16" s="200"/>
      <c r="D16" s="200"/>
      <c r="E16" s="200"/>
      <c r="F16" s="200"/>
      <c r="G16" s="200"/>
      <c r="H16" s="200"/>
      <c r="I16" s="200"/>
      <c r="J16" s="200"/>
      <c r="K16" s="200"/>
      <c r="L16" s="7"/>
      <c r="M16" s="7"/>
      <c r="N16" s="157"/>
      <c r="O16" s="157" t="s">
        <v>188</v>
      </c>
      <c r="P16" s="157" t="s">
        <v>189</v>
      </c>
      <c r="Q16" s="158" t="s">
        <v>169</v>
      </c>
      <c r="R16" s="7"/>
      <c r="S16" s="7"/>
      <c r="T16" s="7"/>
      <c r="U16" s="7"/>
      <c r="V16" s="7"/>
      <c r="W16" s="7"/>
      <c r="X16" s="8"/>
      <c r="Y16" s="8"/>
      <c r="Z16" s="8"/>
    </row>
    <row r="17" spans="1:26" ht="21.75" customHeight="1">
      <c r="A17" s="7"/>
      <c r="B17" s="32" t="s">
        <v>50</v>
      </c>
      <c r="C17" s="33" t="s">
        <v>51</v>
      </c>
      <c r="D17" s="60" t="s">
        <v>36</v>
      </c>
      <c r="E17" s="33" t="s">
        <v>52</v>
      </c>
      <c r="F17" s="33" t="s">
        <v>53</v>
      </c>
      <c r="G17" s="61" t="s">
        <v>54</v>
      </c>
      <c r="H17" s="33" t="s">
        <v>40</v>
      </c>
      <c r="I17" s="33" t="s">
        <v>39</v>
      </c>
      <c r="J17" s="33" t="s">
        <v>55</v>
      </c>
      <c r="K17" s="29" t="s">
        <v>56</v>
      </c>
      <c r="L17" s="7"/>
      <c r="M17" s="7"/>
      <c r="N17" s="157" t="s">
        <v>179</v>
      </c>
      <c r="O17" s="157"/>
      <c r="P17" s="159">
        <f>Q23-SUM(O18:P21)</f>
        <v>512.22999999999956</v>
      </c>
      <c r="Q17" s="160">
        <f>P17</f>
        <v>512.22999999999956</v>
      </c>
      <c r="R17" s="7"/>
      <c r="S17" s="7"/>
      <c r="T17" s="7"/>
      <c r="U17" s="7"/>
      <c r="V17" s="7"/>
      <c r="W17" s="7"/>
      <c r="X17" s="8"/>
      <c r="Y17" s="8"/>
      <c r="Z17" s="8"/>
    </row>
    <row r="18" spans="1:26" ht="21.75" customHeight="1">
      <c r="A18" s="7"/>
      <c r="B18" s="62" t="s">
        <v>174</v>
      </c>
      <c r="C18" s="37">
        <f t="shared" ref="C18:C21" si="6">O17</f>
        <v>0</v>
      </c>
      <c r="D18" s="63">
        <f t="shared" ref="D18:D22" si="7">C18*$C$15</f>
        <v>0</v>
      </c>
      <c r="E18" s="63">
        <v>1.6</v>
      </c>
      <c r="F18" s="63">
        <f t="shared" ref="F18:F22" si="8">8.8/E18</f>
        <v>5.5</v>
      </c>
      <c r="G18" s="64">
        <v>0</v>
      </c>
      <c r="H18" s="38" t="e">
        <f t="shared" ref="H18:H22" si="9">ROUNDUP((D18*E18)/(G18*8.8),0)</f>
        <v>#DIV/0!</v>
      </c>
      <c r="I18" s="38" t="e">
        <f t="shared" ref="I18:I22" si="10">ROUNDUP(H18/2,0)</f>
        <v>#DIV/0!</v>
      </c>
      <c r="J18" s="38" t="e">
        <f t="shared" ref="J18:J22" si="11">ROUNDUP(H18/4,0)</f>
        <v>#DIV/0!</v>
      </c>
      <c r="K18" s="65" t="e">
        <f t="shared" ref="K18:K22" si="12">J18+I18+H18</f>
        <v>#DIV/0!</v>
      </c>
      <c r="L18" s="7"/>
      <c r="M18" s="7"/>
      <c r="N18" s="157" t="s">
        <v>178</v>
      </c>
      <c r="O18" s="157">
        <f>Q18-P18</f>
        <v>1442.84</v>
      </c>
      <c r="P18" s="157">
        <f>1491.79-131.93</f>
        <v>1359.86</v>
      </c>
      <c r="Q18" s="161">
        <v>2802.7</v>
      </c>
      <c r="R18" s="7"/>
      <c r="S18" s="7"/>
      <c r="T18" s="7"/>
      <c r="U18" s="7"/>
      <c r="V18" s="7"/>
      <c r="W18" s="7"/>
      <c r="X18" s="8"/>
      <c r="Y18" s="8"/>
      <c r="Z18" s="8"/>
    </row>
    <row r="19" spans="1:26" ht="21.75" customHeight="1">
      <c r="A19" s="7"/>
      <c r="B19" s="62" t="s">
        <v>173</v>
      </c>
      <c r="C19" s="37">
        <f t="shared" si="6"/>
        <v>1442.84</v>
      </c>
      <c r="D19" s="63">
        <f t="shared" si="7"/>
        <v>3607.1</v>
      </c>
      <c r="E19" s="63">
        <v>1.6</v>
      </c>
      <c r="F19" s="63">
        <f>8.8/E19</f>
        <v>5.5</v>
      </c>
      <c r="G19" s="64">
        <v>47</v>
      </c>
      <c r="H19" s="38">
        <f>ROUNDUP((D19*E19)/(G19*8.8),0)</f>
        <v>14</v>
      </c>
      <c r="I19" s="38">
        <f t="shared" si="10"/>
        <v>7</v>
      </c>
      <c r="J19" s="38">
        <f t="shared" si="11"/>
        <v>4</v>
      </c>
      <c r="K19" s="65">
        <f t="shared" si="12"/>
        <v>25</v>
      </c>
      <c r="L19" s="7"/>
      <c r="M19" s="7"/>
      <c r="N19" s="157" t="s">
        <v>177</v>
      </c>
      <c r="O19" s="157">
        <f>Q19-P19</f>
        <v>1540.8599999999997</v>
      </c>
      <c r="P19" s="157">
        <v>1647.38</v>
      </c>
      <c r="Q19" s="161">
        <v>3188.24</v>
      </c>
      <c r="R19" s="7"/>
      <c r="S19" s="7"/>
      <c r="T19" s="7"/>
      <c r="U19" s="7"/>
      <c r="V19" s="7"/>
      <c r="W19" s="7"/>
      <c r="X19" s="8"/>
      <c r="Y19" s="8"/>
      <c r="Z19" s="8"/>
    </row>
    <row r="20" spans="1:26" ht="21.75" customHeight="1">
      <c r="A20" s="7"/>
      <c r="B20" s="62" t="s">
        <v>172</v>
      </c>
      <c r="C20" s="37">
        <f t="shared" si="6"/>
        <v>1540.8599999999997</v>
      </c>
      <c r="D20" s="63">
        <f t="shared" si="7"/>
        <v>3852.1499999999992</v>
      </c>
      <c r="E20" s="63">
        <v>1.6</v>
      </c>
      <c r="F20" s="63">
        <f t="shared" si="8"/>
        <v>5.5</v>
      </c>
      <c r="G20" s="64">
        <v>51</v>
      </c>
      <c r="H20" s="38">
        <f t="shared" si="9"/>
        <v>14</v>
      </c>
      <c r="I20" s="38">
        <f t="shared" si="10"/>
        <v>7</v>
      </c>
      <c r="J20" s="38">
        <f t="shared" si="11"/>
        <v>4</v>
      </c>
      <c r="K20" s="65">
        <f t="shared" si="12"/>
        <v>25</v>
      </c>
      <c r="L20" s="7"/>
      <c r="M20" s="7"/>
      <c r="N20" s="157" t="s">
        <v>176</v>
      </c>
      <c r="O20" s="157">
        <f>Q20-P20</f>
        <v>2150.92</v>
      </c>
      <c r="P20" s="159">
        <v>1810.98</v>
      </c>
      <c r="Q20" s="158">
        <v>3961.9</v>
      </c>
      <c r="R20" s="7"/>
      <c r="S20" s="7"/>
      <c r="T20" s="7"/>
      <c r="U20" s="7"/>
      <c r="V20" s="7"/>
      <c r="W20" s="7"/>
      <c r="X20" s="8"/>
      <c r="Y20" s="8"/>
      <c r="Z20" s="8"/>
    </row>
    <row r="21" spans="1:26" ht="21.75" customHeight="1">
      <c r="A21" s="7"/>
      <c r="B21" s="62" t="s">
        <v>180</v>
      </c>
      <c r="C21" s="37">
        <f t="shared" si="6"/>
        <v>2150.92</v>
      </c>
      <c r="D21" s="63">
        <f t="shared" si="7"/>
        <v>5377.3</v>
      </c>
      <c r="E21" s="63">
        <v>2.0099999999999998</v>
      </c>
      <c r="F21" s="63">
        <f t="shared" si="8"/>
        <v>4.3781094527363189</v>
      </c>
      <c r="G21" s="64">
        <v>88</v>
      </c>
      <c r="H21" s="38">
        <f t="shared" si="9"/>
        <v>14</v>
      </c>
      <c r="I21" s="38">
        <f t="shared" si="10"/>
        <v>7</v>
      </c>
      <c r="J21" s="38">
        <f t="shared" si="11"/>
        <v>4</v>
      </c>
      <c r="K21" s="65">
        <f t="shared" si="12"/>
        <v>25</v>
      </c>
      <c r="L21" s="7"/>
      <c r="M21" s="7"/>
      <c r="N21" s="157" t="s">
        <v>175</v>
      </c>
      <c r="O21" s="157">
        <f>Q21</f>
        <v>2004.65</v>
      </c>
      <c r="P21" s="157"/>
      <c r="Q21" s="161">
        <v>2004.65</v>
      </c>
      <c r="R21" s="7"/>
      <c r="S21" s="7"/>
      <c r="T21" s="7"/>
      <c r="U21" s="7"/>
      <c r="V21" s="7"/>
      <c r="W21" s="7"/>
      <c r="X21" s="8"/>
      <c r="Y21" s="8"/>
      <c r="Z21" s="8"/>
    </row>
    <row r="22" spans="1:26" ht="21.75" customHeight="1">
      <c r="A22" s="7"/>
      <c r="B22" s="62" t="s">
        <v>171</v>
      </c>
      <c r="C22" s="37">
        <f>O21</f>
        <v>2004.65</v>
      </c>
      <c r="D22" s="63">
        <f t="shared" si="7"/>
        <v>5011.625</v>
      </c>
      <c r="E22" s="63">
        <v>2.0099999999999998</v>
      </c>
      <c r="F22" s="63">
        <f t="shared" si="8"/>
        <v>4.3781094527363189</v>
      </c>
      <c r="G22" s="64">
        <v>82</v>
      </c>
      <c r="H22" s="38">
        <f t="shared" si="9"/>
        <v>14</v>
      </c>
      <c r="I22" s="38">
        <f t="shared" si="10"/>
        <v>7</v>
      </c>
      <c r="J22" s="38">
        <f t="shared" si="11"/>
        <v>4</v>
      </c>
      <c r="K22" s="65">
        <f t="shared" si="12"/>
        <v>25</v>
      </c>
      <c r="L22" s="7"/>
      <c r="M22" s="7"/>
      <c r="N22" s="157"/>
      <c r="O22" s="157">
        <f>SUM(O17:O21)</f>
        <v>7139.27</v>
      </c>
      <c r="P22" s="157">
        <f>SUM(P17:P21)</f>
        <v>5330.4499999999989</v>
      </c>
      <c r="Q22" s="161">
        <f>SUM(Q17:Q21)</f>
        <v>12469.72</v>
      </c>
      <c r="R22" s="7"/>
      <c r="S22" s="7"/>
      <c r="T22" s="7"/>
      <c r="U22" s="7"/>
      <c r="V22" s="7"/>
      <c r="W22" s="7"/>
      <c r="X22" s="8"/>
      <c r="Y22" s="8"/>
      <c r="Z22" s="8"/>
    </row>
    <row r="23" spans="1:26" ht="21.75" customHeight="1">
      <c r="A23" s="7"/>
      <c r="B23" s="62"/>
      <c r="C23" s="151"/>
      <c r="D23" s="152"/>
      <c r="E23" s="152"/>
      <c r="F23" s="45" t="s">
        <v>58</v>
      </c>
      <c r="G23" s="23">
        <f>SUM(G18:G22)</f>
        <v>268</v>
      </c>
      <c r="H23" s="22" t="s">
        <v>59</v>
      </c>
      <c r="I23" s="69">
        <f>G23/22</f>
        <v>12.181818181818182</v>
      </c>
      <c r="J23" s="22"/>
      <c r="K23" s="21"/>
      <c r="L23" s="7"/>
      <c r="M23" s="7"/>
      <c r="N23" s="157"/>
      <c r="O23" s="165">
        <f>O22/Q23</f>
        <v>0.57252849302149533</v>
      </c>
      <c r="P23" s="165">
        <f>P22/Q23</f>
        <v>0.42747150697850467</v>
      </c>
      <c r="Q23" s="160">
        <v>12469.72</v>
      </c>
      <c r="R23" s="7">
        <v>100</v>
      </c>
      <c r="S23" s="7"/>
      <c r="T23" s="7"/>
      <c r="U23" s="7"/>
      <c r="V23" s="7"/>
      <c r="W23" s="7"/>
      <c r="X23" s="8"/>
      <c r="Y23" s="8"/>
      <c r="Z23" s="8"/>
    </row>
    <row r="24" spans="1:26" ht="21.75" customHeight="1">
      <c r="A24" s="7"/>
      <c r="B24" s="198" t="s">
        <v>189</v>
      </c>
      <c r="C24" s="200"/>
      <c r="D24" s="200"/>
      <c r="E24" s="200"/>
      <c r="F24" s="200"/>
      <c r="G24" s="200"/>
      <c r="H24" s="200"/>
      <c r="I24" s="200"/>
      <c r="J24" s="200"/>
      <c r="K24" s="200"/>
      <c r="L24" s="7"/>
      <c r="M24" s="7"/>
      <c r="N24" s="7"/>
      <c r="O24" s="7">
        <v>57</v>
      </c>
      <c r="P24" s="7">
        <v>43</v>
      </c>
      <c r="Q24" s="7" t="s">
        <v>75</v>
      </c>
      <c r="R24" s="7" t="s">
        <v>196</v>
      </c>
      <c r="S24" s="7"/>
      <c r="T24" s="7"/>
      <c r="U24" s="7"/>
      <c r="V24" s="7"/>
      <c r="W24" s="7"/>
      <c r="X24" s="8"/>
      <c r="Y24" s="8"/>
      <c r="Z24" s="8"/>
    </row>
    <row r="25" spans="1:26" ht="21.75" customHeight="1">
      <c r="A25" s="7"/>
      <c r="B25" s="32" t="s">
        <v>50</v>
      </c>
      <c r="C25" s="33" t="s">
        <v>51</v>
      </c>
      <c r="D25" s="60" t="s">
        <v>36</v>
      </c>
      <c r="E25" s="33" t="s">
        <v>52</v>
      </c>
      <c r="F25" s="33" t="s">
        <v>53</v>
      </c>
      <c r="G25" s="61" t="s">
        <v>54</v>
      </c>
      <c r="H25" s="33" t="s">
        <v>40</v>
      </c>
      <c r="I25" s="33" t="s">
        <v>39</v>
      </c>
      <c r="J25" s="33" t="s">
        <v>55</v>
      </c>
      <c r="K25" s="29" t="s">
        <v>56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8"/>
      <c r="Y25" s="8"/>
      <c r="Z25" s="8"/>
    </row>
    <row r="26" spans="1:26" ht="21.75" customHeight="1">
      <c r="A26" s="7"/>
      <c r="B26" s="62" t="s">
        <v>174</v>
      </c>
      <c r="C26" s="37">
        <f t="shared" ref="C26:C29" si="13">P17</f>
        <v>512.22999999999956</v>
      </c>
      <c r="D26" s="63">
        <f t="shared" ref="D26:D30" si="14">C26*$C$15</f>
        <v>1280.5749999999989</v>
      </c>
      <c r="E26" s="63">
        <v>1.6</v>
      </c>
      <c r="F26" s="63">
        <f t="shared" ref="F26:F30" si="15">8.8/E26</f>
        <v>5.5</v>
      </c>
      <c r="G26" s="64">
        <v>20</v>
      </c>
      <c r="H26" s="38">
        <f t="shared" ref="H26:H30" si="16">ROUNDUP((D26*E26)/(G26*8.8),0)</f>
        <v>12</v>
      </c>
      <c r="I26" s="38">
        <f t="shared" ref="I26:I30" si="17">ROUNDUP(H26/2,0)</f>
        <v>6</v>
      </c>
      <c r="J26" s="38">
        <f t="shared" ref="J26:J30" si="18">ROUNDUP(H26/4,0)</f>
        <v>3</v>
      </c>
      <c r="K26" s="65">
        <f t="shared" ref="K26:K30" si="19">J26+I26+H26</f>
        <v>21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8"/>
      <c r="Y26" s="8"/>
      <c r="Z26" s="8"/>
    </row>
    <row r="27" spans="1:26" ht="21.75" customHeight="1">
      <c r="A27" s="7"/>
      <c r="B27" s="62" t="s">
        <v>173</v>
      </c>
      <c r="C27" s="37">
        <f t="shared" si="13"/>
        <v>1359.86</v>
      </c>
      <c r="D27" s="63">
        <f t="shared" si="14"/>
        <v>3399.6499999999996</v>
      </c>
      <c r="E27" s="63">
        <v>1.6</v>
      </c>
      <c r="F27" s="63">
        <f t="shared" si="15"/>
        <v>5.5</v>
      </c>
      <c r="G27" s="64">
        <v>52</v>
      </c>
      <c r="H27" s="38">
        <f t="shared" si="16"/>
        <v>12</v>
      </c>
      <c r="I27" s="38">
        <f t="shared" si="17"/>
        <v>6</v>
      </c>
      <c r="J27" s="38">
        <f t="shared" si="18"/>
        <v>3</v>
      </c>
      <c r="K27" s="65">
        <f t="shared" si="19"/>
        <v>21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8"/>
      <c r="Y27" s="8"/>
      <c r="Z27" s="8"/>
    </row>
    <row r="28" spans="1:26" ht="21.75" customHeight="1">
      <c r="A28" s="7"/>
      <c r="B28" s="62" t="s">
        <v>172</v>
      </c>
      <c r="C28" s="37">
        <f t="shared" si="13"/>
        <v>1647.38</v>
      </c>
      <c r="D28" s="63">
        <f t="shared" si="14"/>
        <v>4118.4500000000007</v>
      </c>
      <c r="E28" s="63">
        <v>1.6</v>
      </c>
      <c r="F28" s="63">
        <f t="shared" si="15"/>
        <v>5.5</v>
      </c>
      <c r="G28" s="64">
        <v>63</v>
      </c>
      <c r="H28" s="38">
        <f t="shared" si="16"/>
        <v>12</v>
      </c>
      <c r="I28" s="38">
        <f t="shared" si="17"/>
        <v>6</v>
      </c>
      <c r="J28" s="38">
        <f t="shared" si="18"/>
        <v>3</v>
      </c>
      <c r="K28" s="65">
        <f t="shared" si="19"/>
        <v>21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8"/>
      <c r="Y28" s="8"/>
      <c r="Z28" s="8"/>
    </row>
    <row r="29" spans="1:26" ht="21.75" customHeight="1">
      <c r="A29" s="7"/>
      <c r="B29" s="62" t="s">
        <v>180</v>
      </c>
      <c r="C29" s="37">
        <f t="shared" si="13"/>
        <v>1810.98</v>
      </c>
      <c r="D29" s="63">
        <f t="shared" si="14"/>
        <v>4527.45</v>
      </c>
      <c r="E29" s="63">
        <v>2.2000000000000002</v>
      </c>
      <c r="F29" s="63">
        <f t="shared" si="15"/>
        <v>4</v>
      </c>
      <c r="G29" s="64">
        <v>95</v>
      </c>
      <c r="H29" s="38">
        <f t="shared" si="16"/>
        <v>12</v>
      </c>
      <c r="I29" s="38">
        <f t="shared" si="17"/>
        <v>6</v>
      </c>
      <c r="J29" s="38">
        <f t="shared" si="18"/>
        <v>3</v>
      </c>
      <c r="K29" s="65">
        <f t="shared" si="19"/>
        <v>21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8"/>
      <c r="Y29" s="8"/>
      <c r="Z29" s="8"/>
    </row>
    <row r="30" spans="1:26" ht="21.75" customHeight="1">
      <c r="A30" s="7"/>
      <c r="B30" s="62" t="s">
        <v>171</v>
      </c>
      <c r="C30" s="37">
        <f>P21</f>
        <v>0</v>
      </c>
      <c r="D30" s="63">
        <f t="shared" si="14"/>
        <v>0</v>
      </c>
      <c r="E30" s="63">
        <v>2.2000000000000002</v>
      </c>
      <c r="F30" s="63">
        <f t="shared" si="15"/>
        <v>4</v>
      </c>
      <c r="G30" s="64">
        <v>0</v>
      </c>
      <c r="H30" s="38" t="e">
        <f t="shared" si="16"/>
        <v>#DIV/0!</v>
      </c>
      <c r="I30" s="38" t="e">
        <f t="shared" si="17"/>
        <v>#DIV/0!</v>
      </c>
      <c r="J30" s="38" t="e">
        <f t="shared" si="18"/>
        <v>#DIV/0!</v>
      </c>
      <c r="K30" s="65" t="e">
        <f t="shared" si="19"/>
        <v>#DIV/0!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8"/>
      <c r="Y30" s="8"/>
      <c r="Z30" s="8"/>
    </row>
    <row r="31" spans="1:26" ht="21.75" customHeight="1">
      <c r="A31" s="7"/>
      <c r="B31" s="145"/>
      <c r="C31" s="162"/>
      <c r="D31" s="7"/>
      <c r="E31" s="7"/>
      <c r="F31" s="45" t="s">
        <v>58</v>
      </c>
      <c r="G31" s="23">
        <f>SUM(G26:G30)</f>
        <v>230</v>
      </c>
      <c r="H31" s="22" t="s">
        <v>59</v>
      </c>
      <c r="I31" s="69">
        <f>G31/22</f>
        <v>10.454545454545455</v>
      </c>
      <c r="J31" s="22"/>
      <c r="K31" s="21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8"/>
      <c r="Y31" s="8"/>
      <c r="Z31" s="8"/>
    </row>
    <row r="32" spans="1:26" ht="21.75" customHeight="1">
      <c r="A32" s="7"/>
      <c r="B32" s="145"/>
      <c r="C32" s="162"/>
      <c r="D32" s="7"/>
      <c r="E32" s="7"/>
      <c r="F32" s="7"/>
      <c r="G32" s="5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8"/>
      <c r="Y32" s="8"/>
      <c r="Z32" s="8"/>
    </row>
    <row r="33" spans="1:26" ht="21.75" customHeight="1">
      <c r="A33" s="7"/>
      <c r="B33" s="145"/>
      <c r="C33" s="162"/>
      <c r="D33" s="7"/>
      <c r="E33" s="7"/>
      <c r="F33" s="7"/>
      <c r="G33" s="5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8"/>
      <c r="Y33" s="8"/>
      <c r="Z33" s="8"/>
    </row>
    <row r="34" spans="1:26" ht="21.75" customHeight="1">
      <c r="A34" s="7"/>
      <c r="B34" s="145"/>
      <c r="C34" s="162"/>
      <c r="D34" s="7"/>
      <c r="E34" s="7"/>
      <c r="F34" s="7"/>
      <c r="G34" s="5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8"/>
      <c r="Y34" s="8"/>
      <c r="Z34" s="8"/>
    </row>
    <row r="35" spans="1:26" ht="21.75" customHeight="1">
      <c r="A35" s="7"/>
      <c r="B35" s="145"/>
      <c r="C35" s="162"/>
      <c r="D35" s="7"/>
      <c r="E35" s="7"/>
      <c r="F35" s="7"/>
      <c r="G35" s="5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8"/>
      <c r="Y35" s="8"/>
      <c r="Z35" s="8"/>
    </row>
    <row r="36" spans="1:26" ht="21.75" customHeight="1">
      <c r="A36" s="7"/>
      <c r="B36" s="145"/>
      <c r="C36" s="162"/>
      <c r="D36" s="7"/>
      <c r="E36" s="7"/>
      <c r="F36" s="7"/>
      <c r="G36" s="5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8"/>
      <c r="Y36" s="8"/>
      <c r="Z36" s="8"/>
    </row>
    <row r="37" spans="1:26" ht="21.75" customHeight="1">
      <c r="A37" s="7"/>
      <c r="B37" s="145"/>
      <c r="C37" s="162"/>
      <c r="D37" s="7"/>
      <c r="E37" s="7"/>
      <c r="F37" s="7"/>
      <c r="G37" s="5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8"/>
      <c r="Y37" s="8"/>
      <c r="Z37" s="8"/>
    </row>
    <row r="38" spans="1:26" ht="21.75" customHeight="1">
      <c r="A38" s="7"/>
      <c r="B38" s="145"/>
      <c r="C38" s="162"/>
      <c r="D38" s="7"/>
      <c r="E38" s="7"/>
      <c r="F38" s="7"/>
      <c r="G38" s="5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8"/>
      <c r="Y38" s="8"/>
      <c r="Z38" s="8"/>
    </row>
    <row r="39" spans="1:26" ht="21.75" customHeight="1">
      <c r="A39" s="7"/>
      <c r="B39" s="199" t="s">
        <v>60</v>
      </c>
      <c r="C39" s="197"/>
      <c r="D39" s="7"/>
      <c r="E39" s="7"/>
      <c r="F39" s="7"/>
      <c r="G39" s="5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8"/>
      <c r="Y39" s="8"/>
      <c r="Z39" s="8"/>
    </row>
    <row r="40" spans="1:26" ht="21.75" customHeight="1">
      <c r="A40" s="7"/>
      <c r="B40" s="70" t="s">
        <v>61</v>
      </c>
      <c r="C40" s="70">
        <v>2.2000000000000002</v>
      </c>
      <c r="D40" s="7"/>
      <c r="E40" s="7"/>
      <c r="F40" s="7"/>
      <c r="G40" s="5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8"/>
      <c r="Y40" s="8"/>
      <c r="Z40" s="8"/>
    </row>
    <row r="41" spans="1:26" ht="21.75" customHeight="1">
      <c r="A41" s="7"/>
      <c r="B41" s="70" t="s">
        <v>62</v>
      </c>
      <c r="C41" s="70">
        <v>2.0099999999999998</v>
      </c>
      <c r="D41" s="7"/>
      <c r="E41" s="7"/>
      <c r="F41" s="7"/>
      <c r="G41" s="5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8"/>
      <c r="Y41" s="8"/>
      <c r="Z41" s="8"/>
    </row>
    <row r="42" spans="1:26" ht="21.75" customHeight="1">
      <c r="A42" s="7"/>
      <c r="B42" s="70" t="s">
        <v>63</v>
      </c>
      <c r="C42" s="70">
        <v>1.21</v>
      </c>
      <c r="D42" s="7"/>
      <c r="E42" s="7"/>
      <c r="F42" s="7"/>
      <c r="G42" s="5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8"/>
      <c r="Y42" s="8"/>
      <c r="Z42" s="8"/>
    </row>
    <row r="43" spans="1:26" ht="21.75" customHeight="1">
      <c r="A43" s="7"/>
      <c r="B43" s="70" t="s">
        <v>64</v>
      </c>
      <c r="C43" s="70">
        <v>1.17</v>
      </c>
      <c r="D43" s="7"/>
      <c r="E43" s="7"/>
      <c r="F43" s="7"/>
      <c r="G43" s="5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8"/>
      <c r="Y43" s="8"/>
      <c r="Z43" s="8"/>
    </row>
    <row r="44" spans="1:26" ht="21.75" customHeight="1">
      <c r="A44" s="7"/>
      <c r="B44" s="70" t="s">
        <v>22</v>
      </c>
      <c r="C44" s="70">
        <v>1.6</v>
      </c>
      <c r="D44" s="7"/>
      <c r="E44" s="7"/>
      <c r="F44" s="7"/>
      <c r="G44" s="5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8"/>
      <c r="Y44" s="8"/>
      <c r="Z44" s="8"/>
    </row>
    <row r="45" spans="1:26" ht="21.75" customHeight="1">
      <c r="A45" s="7"/>
      <c r="B45" s="49"/>
      <c r="C45" s="49"/>
      <c r="D45" s="7"/>
      <c r="E45" s="7"/>
      <c r="F45" s="7"/>
      <c r="G45" s="5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8"/>
      <c r="Y45" s="8"/>
      <c r="Z45" s="8"/>
    </row>
    <row r="46" spans="1:26" ht="21.75" customHeight="1">
      <c r="A46" s="7"/>
      <c r="B46" s="49"/>
      <c r="C46" s="49"/>
      <c r="D46" s="7"/>
      <c r="E46" s="7"/>
      <c r="F46" s="7"/>
      <c r="G46" s="5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8"/>
      <c r="Y46" s="8"/>
      <c r="Z46" s="8"/>
    </row>
    <row r="47" spans="1:26" ht="21.75" customHeight="1">
      <c r="A47" s="7"/>
      <c r="B47" s="49"/>
      <c r="C47" s="49"/>
      <c r="D47" s="7"/>
      <c r="E47" s="7"/>
      <c r="F47" s="7"/>
      <c r="G47" s="5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8"/>
      <c r="Y47" s="8"/>
      <c r="Z47" s="8"/>
    </row>
    <row r="48" spans="1:26" ht="21.75" customHeight="1">
      <c r="A48" s="7"/>
      <c r="B48" s="49"/>
      <c r="C48" s="49"/>
      <c r="D48" s="7"/>
      <c r="E48" s="7"/>
      <c r="F48" s="7"/>
      <c r="G48" s="5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8"/>
      <c r="Y48" s="8"/>
      <c r="Z48" s="8"/>
    </row>
    <row r="49" spans="1:26" ht="21.75" customHeight="1">
      <c r="A49" s="7"/>
      <c r="B49" s="49"/>
      <c r="C49" s="49"/>
      <c r="D49" s="7"/>
      <c r="E49" s="7"/>
      <c r="F49" s="7"/>
      <c r="G49" s="5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8"/>
      <c r="Y49" s="8"/>
      <c r="Z49" s="8"/>
    </row>
    <row r="50" spans="1:26" ht="21.75" customHeight="1">
      <c r="A50" s="7"/>
      <c r="B50" s="49"/>
      <c r="C50" s="49"/>
      <c r="D50" s="7"/>
      <c r="E50" s="7"/>
      <c r="F50" s="7"/>
      <c r="G50" s="5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8"/>
      <c r="Y50" s="8"/>
      <c r="Z50" s="8"/>
    </row>
    <row r="51" spans="1:26" ht="21.75" customHeight="1">
      <c r="A51" s="7"/>
      <c r="B51" s="49"/>
      <c r="C51" s="49"/>
      <c r="D51" s="7"/>
      <c r="E51" s="7"/>
      <c r="F51" s="7"/>
      <c r="G51" s="5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8"/>
      <c r="Y51" s="8"/>
      <c r="Z51" s="8"/>
    </row>
    <row r="52" spans="1:26" ht="21.75" customHeight="1">
      <c r="A52" s="7"/>
      <c r="B52" s="49"/>
      <c r="C52" s="49"/>
      <c r="D52" s="7"/>
      <c r="E52" s="7"/>
      <c r="F52" s="7"/>
      <c r="G52" s="5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8"/>
      <c r="Y52" s="8"/>
      <c r="Z52" s="8"/>
    </row>
    <row r="53" spans="1:26" ht="21.75" customHeight="1">
      <c r="A53" s="7"/>
      <c r="B53" s="49"/>
      <c r="C53" s="49"/>
      <c r="D53" s="7"/>
      <c r="E53" s="7"/>
      <c r="F53" s="7"/>
      <c r="G53" s="5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8"/>
      <c r="Y53" s="8"/>
      <c r="Z53" s="8"/>
    </row>
    <row r="54" spans="1:26" ht="21.75" customHeight="1">
      <c r="A54" s="7"/>
      <c r="B54" s="49"/>
      <c r="C54" s="49"/>
      <c r="D54" s="7"/>
      <c r="E54" s="7"/>
      <c r="F54" s="7"/>
      <c r="G54" s="5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8"/>
      <c r="Y54" s="8"/>
      <c r="Z54" s="8"/>
    </row>
    <row r="55" spans="1:26" ht="21.75" customHeight="1">
      <c r="A55" s="7"/>
      <c r="B55" s="49"/>
      <c r="C55" s="49"/>
      <c r="D55" s="7"/>
      <c r="E55" s="7"/>
      <c r="F55" s="7"/>
      <c r="G55" s="5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8"/>
      <c r="Y55" s="8"/>
      <c r="Z55" s="8"/>
    </row>
    <row r="56" spans="1:26" ht="21.75" customHeight="1">
      <c r="A56" s="7"/>
      <c r="B56" s="49"/>
      <c r="C56" s="49"/>
      <c r="D56" s="7"/>
      <c r="E56" s="7"/>
      <c r="F56" s="7"/>
      <c r="G56" s="5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8"/>
      <c r="Y56" s="8"/>
      <c r="Z56" s="8"/>
    </row>
    <row r="57" spans="1:26" ht="21.75" customHeight="1">
      <c r="A57" s="7"/>
      <c r="B57" s="49"/>
      <c r="C57" s="49"/>
      <c r="D57" s="7"/>
      <c r="E57" s="7"/>
      <c r="F57" s="7"/>
      <c r="G57" s="5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8"/>
      <c r="Y57" s="8"/>
      <c r="Z57" s="8"/>
    </row>
    <row r="58" spans="1:26" ht="21.75" customHeight="1">
      <c r="A58" s="7"/>
      <c r="B58" s="49"/>
      <c r="C58" s="49"/>
      <c r="D58" s="7"/>
      <c r="E58" s="7"/>
      <c r="F58" s="7"/>
      <c r="G58" s="5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8"/>
      <c r="Y58" s="8"/>
      <c r="Z58" s="8"/>
    </row>
    <row r="59" spans="1:26" ht="21.75" customHeight="1">
      <c r="A59" s="7"/>
      <c r="B59" s="49"/>
      <c r="C59" s="49"/>
      <c r="D59" s="7"/>
      <c r="E59" s="7"/>
      <c r="F59" s="7"/>
      <c r="G59" s="5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8"/>
      <c r="Y59" s="8"/>
      <c r="Z59" s="8"/>
    </row>
    <row r="60" spans="1:26" ht="21.75" customHeight="1">
      <c r="A60" s="7"/>
      <c r="B60" s="49"/>
      <c r="C60" s="49"/>
      <c r="D60" s="7"/>
      <c r="E60" s="7"/>
      <c r="F60" s="7"/>
      <c r="G60" s="5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8"/>
      <c r="Y60" s="8"/>
      <c r="Z60" s="8"/>
    </row>
    <row r="61" spans="1:26" ht="21.75" customHeight="1">
      <c r="A61" s="7"/>
      <c r="B61" s="49"/>
      <c r="C61" s="49"/>
      <c r="D61" s="7"/>
      <c r="E61" s="7"/>
      <c r="F61" s="7"/>
      <c r="G61" s="5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8"/>
      <c r="Y61" s="8"/>
      <c r="Z61" s="8"/>
    </row>
    <row r="62" spans="1:26" ht="21.75" customHeight="1">
      <c r="A62" s="7"/>
      <c r="B62" s="49"/>
      <c r="C62" s="49"/>
      <c r="D62" s="7"/>
      <c r="E62" s="7"/>
      <c r="F62" s="7"/>
      <c r="G62" s="5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8"/>
      <c r="Y62" s="8"/>
      <c r="Z62" s="8"/>
    </row>
    <row r="63" spans="1:26" ht="21.75" customHeight="1">
      <c r="A63" s="7"/>
      <c r="B63" s="49"/>
      <c r="C63" s="49"/>
      <c r="D63" s="7"/>
      <c r="E63" s="7"/>
      <c r="F63" s="7"/>
      <c r="G63" s="5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8"/>
      <c r="Y63" s="8"/>
      <c r="Z63" s="8"/>
    </row>
    <row r="64" spans="1:26" ht="21.75" customHeight="1">
      <c r="A64" s="7"/>
      <c r="B64" s="49"/>
      <c r="C64" s="49"/>
      <c r="D64" s="7"/>
      <c r="E64" s="7"/>
      <c r="F64" s="7"/>
      <c r="G64" s="5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/>
      <c r="Y64" s="8"/>
      <c r="Z64" s="8"/>
    </row>
    <row r="65" spans="1:26" ht="21.75" customHeight="1">
      <c r="A65" s="7"/>
      <c r="B65" s="49"/>
      <c r="C65" s="49"/>
      <c r="D65" s="7"/>
      <c r="E65" s="7"/>
      <c r="F65" s="7"/>
      <c r="G65" s="5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8"/>
      <c r="Y65" s="8"/>
      <c r="Z65" s="8"/>
    </row>
    <row r="66" spans="1:26" ht="21.75" customHeight="1">
      <c r="A66" s="7"/>
      <c r="B66" s="49"/>
      <c r="C66" s="49"/>
      <c r="D66" s="7"/>
      <c r="E66" s="7"/>
      <c r="F66" s="7"/>
      <c r="G66" s="5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/>
      <c r="Y66" s="8"/>
      <c r="Z66" s="8"/>
    </row>
    <row r="67" spans="1:26" ht="21.75" customHeight="1">
      <c r="A67" s="7"/>
      <c r="B67" s="49"/>
      <c r="C67" s="49"/>
      <c r="D67" s="7"/>
      <c r="E67" s="7"/>
      <c r="F67" s="7"/>
      <c r="G67" s="5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8"/>
      <c r="Y67" s="8"/>
      <c r="Z67" s="8"/>
    </row>
    <row r="68" spans="1:26" ht="21.75" customHeight="1">
      <c r="A68" s="7"/>
      <c r="B68" s="49"/>
      <c r="C68" s="49"/>
      <c r="D68" s="7"/>
      <c r="E68" s="7"/>
      <c r="F68" s="7"/>
      <c r="G68" s="5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/>
      <c r="Y68" s="8"/>
      <c r="Z68" s="8"/>
    </row>
    <row r="69" spans="1:26" ht="21.75" customHeight="1">
      <c r="A69" s="7"/>
      <c r="B69" s="49"/>
      <c r="C69" s="49"/>
      <c r="D69" s="7"/>
      <c r="E69" s="7"/>
      <c r="F69" s="7"/>
      <c r="G69" s="5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8"/>
      <c r="Y69" s="8"/>
      <c r="Z69" s="8"/>
    </row>
    <row r="70" spans="1:26" ht="21.75" customHeight="1">
      <c r="A70" s="7"/>
      <c r="B70" s="49"/>
      <c r="C70" s="49"/>
      <c r="D70" s="7"/>
      <c r="E70" s="7"/>
      <c r="F70" s="7"/>
      <c r="G70" s="5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/>
      <c r="Y70" s="8"/>
      <c r="Z70" s="8"/>
    </row>
    <row r="71" spans="1:26" ht="21.75" customHeight="1">
      <c r="A71" s="7"/>
      <c r="B71" s="49"/>
      <c r="C71" s="49"/>
      <c r="D71" s="7"/>
      <c r="E71" s="7"/>
      <c r="F71" s="7"/>
      <c r="G71" s="5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8"/>
      <c r="Y71" s="8"/>
      <c r="Z71" s="8"/>
    </row>
    <row r="72" spans="1:26" ht="21.75" customHeight="1">
      <c r="A72" s="7"/>
      <c r="B72" s="49"/>
      <c r="C72" s="49"/>
      <c r="D72" s="7"/>
      <c r="E72" s="7"/>
      <c r="F72" s="7"/>
      <c r="G72" s="5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/>
      <c r="Y72" s="8"/>
      <c r="Z72" s="8"/>
    </row>
    <row r="73" spans="1:26" ht="21.75" customHeight="1">
      <c r="A73" s="7"/>
      <c r="B73" s="49"/>
      <c r="C73" s="49"/>
      <c r="D73" s="7"/>
      <c r="E73" s="7"/>
      <c r="F73" s="7"/>
      <c r="G73" s="5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8"/>
      <c r="Y73" s="8"/>
      <c r="Z73" s="8"/>
    </row>
    <row r="74" spans="1:26" ht="21.75" customHeight="1">
      <c r="A74" s="7"/>
      <c r="B74" s="49"/>
      <c r="C74" s="49"/>
      <c r="D74" s="7"/>
      <c r="E74" s="7"/>
      <c r="F74" s="7"/>
      <c r="G74" s="5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/>
      <c r="Y74" s="8"/>
      <c r="Z74" s="8"/>
    </row>
    <row r="75" spans="1:26" ht="21.75" customHeight="1">
      <c r="A75" s="7"/>
      <c r="B75" s="49"/>
      <c r="C75" s="49"/>
      <c r="D75" s="7"/>
      <c r="E75" s="7"/>
      <c r="F75" s="7"/>
      <c r="G75" s="5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8"/>
      <c r="Y75" s="8"/>
      <c r="Z75" s="8"/>
    </row>
    <row r="76" spans="1:26" ht="21.75" customHeight="1">
      <c r="A76" s="7"/>
      <c r="B76" s="49"/>
      <c r="C76" s="49"/>
      <c r="D76" s="7"/>
      <c r="E76" s="7"/>
      <c r="F76" s="7"/>
      <c r="G76" s="5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/>
      <c r="Y76" s="8"/>
      <c r="Z76" s="8"/>
    </row>
    <row r="77" spans="1:26" ht="21.75" customHeight="1">
      <c r="A77" s="7"/>
      <c r="B77" s="49"/>
      <c r="C77" s="49"/>
      <c r="D77" s="7"/>
      <c r="E77" s="7"/>
      <c r="F77" s="7"/>
      <c r="G77" s="5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8"/>
      <c r="Y77" s="8"/>
      <c r="Z77" s="8"/>
    </row>
    <row r="78" spans="1:26" ht="21.75" customHeight="1">
      <c r="A78" s="7"/>
      <c r="B78" s="49"/>
      <c r="C78" s="49"/>
      <c r="D78" s="7"/>
      <c r="E78" s="7"/>
      <c r="F78" s="7"/>
      <c r="G78" s="5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/>
      <c r="Y78" s="8"/>
      <c r="Z78" s="8"/>
    </row>
    <row r="79" spans="1:26" ht="21.75" customHeight="1">
      <c r="A79" s="7"/>
      <c r="B79" s="49"/>
      <c r="C79" s="49"/>
      <c r="D79" s="7"/>
      <c r="E79" s="7"/>
      <c r="F79" s="7"/>
      <c r="G79" s="5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8"/>
      <c r="Y79" s="8"/>
      <c r="Z79" s="8"/>
    </row>
    <row r="80" spans="1:26" ht="21.75" customHeight="1">
      <c r="A80" s="7"/>
      <c r="B80" s="49"/>
      <c r="C80" s="49"/>
      <c r="D80" s="7"/>
      <c r="E80" s="7"/>
      <c r="F80" s="7"/>
      <c r="G80" s="5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/>
      <c r="Y80" s="8"/>
      <c r="Z80" s="8"/>
    </row>
    <row r="81" spans="1:26" ht="21.75" customHeight="1">
      <c r="A81" s="7"/>
      <c r="B81" s="49"/>
      <c r="C81" s="49"/>
      <c r="D81" s="7"/>
      <c r="E81" s="7"/>
      <c r="F81" s="7"/>
      <c r="G81" s="5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8"/>
      <c r="Y81" s="8"/>
      <c r="Z81" s="8"/>
    </row>
    <row r="82" spans="1:26" ht="21.75" customHeight="1">
      <c r="A82" s="7"/>
      <c r="B82" s="49"/>
      <c r="C82" s="49"/>
      <c r="D82" s="7"/>
      <c r="E82" s="7"/>
      <c r="F82" s="7"/>
      <c r="G82" s="5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8"/>
      <c r="Y82" s="8"/>
      <c r="Z82" s="8"/>
    </row>
    <row r="83" spans="1:26" ht="21.75" customHeight="1">
      <c r="A83" s="7"/>
      <c r="B83" s="49"/>
      <c r="C83" s="49"/>
      <c r="D83" s="7"/>
      <c r="E83" s="7"/>
      <c r="F83" s="7"/>
      <c r="G83" s="5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8"/>
      <c r="Y83" s="8"/>
      <c r="Z83" s="8"/>
    </row>
    <row r="84" spans="1:26" ht="21.75" customHeight="1">
      <c r="A84" s="7"/>
      <c r="B84" s="49"/>
      <c r="C84" s="49"/>
      <c r="D84" s="7"/>
      <c r="E84" s="7"/>
      <c r="F84" s="7"/>
      <c r="G84" s="5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8"/>
      <c r="Y84" s="8"/>
      <c r="Z84" s="8"/>
    </row>
    <row r="85" spans="1:26" ht="21.75" customHeight="1">
      <c r="A85" s="7"/>
      <c r="B85" s="49"/>
      <c r="C85" s="49"/>
      <c r="D85" s="7"/>
      <c r="E85" s="7"/>
      <c r="F85" s="7"/>
      <c r="G85" s="5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8"/>
      <c r="Y85" s="8"/>
      <c r="Z85" s="8"/>
    </row>
    <row r="86" spans="1:26" ht="21.75" customHeight="1">
      <c r="A86" s="7"/>
      <c r="B86" s="49"/>
      <c r="C86" s="49"/>
      <c r="D86" s="7"/>
      <c r="E86" s="7"/>
      <c r="F86" s="7"/>
      <c r="G86" s="5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8"/>
      <c r="Y86" s="8"/>
      <c r="Z86" s="8"/>
    </row>
    <row r="87" spans="1:26" ht="21.75" customHeight="1">
      <c r="A87" s="7"/>
      <c r="B87" s="49"/>
      <c r="C87" s="49"/>
      <c r="D87" s="7"/>
      <c r="E87" s="7"/>
      <c r="F87" s="7"/>
      <c r="G87" s="5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8"/>
      <c r="Y87" s="8"/>
      <c r="Z87" s="8"/>
    </row>
    <row r="88" spans="1:26" ht="21.75" customHeight="1">
      <c r="A88" s="7"/>
      <c r="B88" s="49"/>
      <c r="C88" s="49"/>
      <c r="D88" s="7"/>
      <c r="E88" s="7"/>
      <c r="F88" s="7"/>
      <c r="G88" s="5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8"/>
      <c r="Y88" s="8"/>
      <c r="Z88" s="8"/>
    </row>
    <row r="89" spans="1:26" ht="21.75" customHeight="1">
      <c r="A89" s="7"/>
      <c r="B89" s="49"/>
      <c r="C89" s="49"/>
      <c r="D89" s="7"/>
      <c r="E89" s="7"/>
      <c r="F89" s="7"/>
      <c r="G89" s="5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8"/>
      <c r="Y89" s="8"/>
      <c r="Z89" s="8"/>
    </row>
    <row r="90" spans="1:26" ht="21.75" customHeight="1">
      <c r="A90" s="7"/>
      <c r="B90" s="49"/>
      <c r="C90" s="49"/>
      <c r="D90" s="7"/>
      <c r="E90" s="7"/>
      <c r="F90" s="7"/>
      <c r="G90" s="5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8"/>
      <c r="Y90" s="8"/>
      <c r="Z90" s="8"/>
    </row>
    <row r="91" spans="1:26" ht="21.75" customHeight="1">
      <c r="A91" s="7"/>
      <c r="B91" s="49"/>
      <c r="C91" s="49"/>
      <c r="D91" s="7"/>
      <c r="E91" s="7"/>
      <c r="F91" s="7"/>
      <c r="G91" s="5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8"/>
      <c r="Y91" s="8"/>
      <c r="Z91" s="8"/>
    </row>
    <row r="92" spans="1:26" ht="21.75" customHeight="1">
      <c r="A92" s="7"/>
      <c r="B92" s="49"/>
      <c r="C92" s="49"/>
      <c r="D92" s="7"/>
      <c r="E92" s="7"/>
      <c r="F92" s="7"/>
      <c r="G92" s="5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8"/>
      <c r="Y92" s="8"/>
      <c r="Z92" s="8"/>
    </row>
    <row r="93" spans="1:26" ht="21.75" customHeight="1">
      <c r="A93" s="7"/>
      <c r="B93" s="49"/>
      <c r="C93" s="49"/>
      <c r="D93" s="7"/>
      <c r="E93" s="7"/>
      <c r="F93" s="7"/>
      <c r="G93" s="5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8"/>
      <c r="Y93" s="8"/>
      <c r="Z93" s="8"/>
    </row>
    <row r="94" spans="1:26" ht="21.75" customHeight="1">
      <c r="A94" s="7"/>
      <c r="B94" s="49"/>
      <c r="C94" s="49"/>
      <c r="D94" s="7"/>
      <c r="E94" s="7"/>
      <c r="F94" s="7"/>
      <c r="G94" s="5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8"/>
      <c r="Y94" s="8"/>
      <c r="Z94" s="8"/>
    </row>
    <row r="95" spans="1:26" ht="21.75" customHeight="1">
      <c r="A95" s="7"/>
      <c r="B95" s="49"/>
      <c r="C95" s="49"/>
      <c r="D95" s="7"/>
      <c r="E95" s="7"/>
      <c r="F95" s="7"/>
      <c r="G95" s="5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8"/>
      <c r="Y95" s="8"/>
      <c r="Z95" s="8"/>
    </row>
    <row r="96" spans="1:26" ht="21.75" customHeight="1">
      <c r="A96" s="7"/>
      <c r="B96" s="49"/>
      <c r="C96" s="49"/>
      <c r="D96" s="7"/>
      <c r="E96" s="7"/>
      <c r="F96" s="7"/>
      <c r="G96" s="5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8"/>
      <c r="Y96" s="8"/>
      <c r="Z96" s="8"/>
    </row>
    <row r="97" spans="1:26" ht="21.75" customHeight="1">
      <c r="A97" s="7"/>
      <c r="B97" s="49"/>
      <c r="C97" s="49"/>
      <c r="D97" s="7"/>
      <c r="E97" s="7"/>
      <c r="F97" s="7"/>
      <c r="G97" s="5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8"/>
      <c r="Y97" s="8"/>
      <c r="Z97" s="8"/>
    </row>
    <row r="98" spans="1:26" ht="21.75" customHeight="1">
      <c r="A98" s="7"/>
      <c r="B98" s="49"/>
      <c r="C98" s="49"/>
      <c r="D98" s="7"/>
      <c r="E98" s="7"/>
      <c r="F98" s="7"/>
      <c r="G98" s="5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8"/>
      <c r="Y98" s="8"/>
      <c r="Z98" s="8"/>
    </row>
    <row r="99" spans="1:26" ht="21.75" customHeight="1">
      <c r="A99" s="7"/>
      <c r="B99" s="49"/>
      <c r="C99" s="49"/>
      <c r="D99" s="7"/>
      <c r="E99" s="7"/>
      <c r="F99" s="7"/>
      <c r="G99" s="5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8"/>
      <c r="Y99" s="8"/>
      <c r="Z99" s="8"/>
    </row>
    <row r="100" spans="1:26" ht="21.75" customHeight="1">
      <c r="A100" s="7"/>
      <c r="B100" s="49"/>
      <c r="C100" s="49"/>
      <c r="D100" s="7"/>
      <c r="E100" s="7"/>
      <c r="F100" s="7"/>
      <c r="G100" s="5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8"/>
      <c r="Y100" s="8"/>
      <c r="Z100" s="8"/>
    </row>
    <row r="101" spans="1:26" ht="21.75" customHeight="1">
      <c r="A101" s="7"/>
      <c r="B101" s="49"/>
      <c r="C101" s="49"/>
      <c r="D101" s="7"/>
      <c r="E101" s="7"/>
      <c r="F101" s="7"/>
      <c r="G101" s="5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8"/>
      <c r="Y101" s="8"/>
      <c r="Z101" s="8"/>
    </row>
    <row r="102" spans="1:26" ht="21.75" customHeight="1">
      <c r="A102" s="7"/>
      <c r="B102" s="49"/>
      <c r="C102" s="49"/>
      <c r="D102" s="7"/>
      <c r="E102" s="7"/>
      <c r="F102" s="7"/>
      <c r="G102" s="5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8"/>
      <c r="Y102" s="8"/>
      <c r="Z102" s="8"/>
    </row>
    <row r="103" spans="1:26" ht="21.75" customHeight="1">
      <c r="A103" s="7"/>
      <c r="B103" s="49"/>
      <c r="C103" s="49"/>
      <c r="D103" s="7"/>
      <c r="E103" s="7"/>
      <c r="F103" s="7"/>
      <c r="G103" s="5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8"/>
      <c r="Y103" s="8"/>
      <c r="Z103" s="8"/>
    </row>
    <row r="104" spans="1:26" ht="21.75" customHeight="1">
      <c r="A104" s="7"/>
      <c r="B104" s="49"/>
      <c r="C104" s="49"/>
      <c r="D104" s="7"/>
      <c r="E104" s="7"/>
      <c r="F104" s="7"/>
      <c r="G104" s="5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8"/>
      <c r="Y104" s="8"/>
      <c r="Z104" s="8"/>
    </row>
    <row r="105" spans="1:26" ht="21.75" customHeight="1">
      <c r="A105" s="7"/>
      <c r="B105" s="49"/>
      <c r="C105" s="49"/>
      <c r="D105" s="7"/>
      <c r="E105" s="7"/>
      <c r="F105" s="7"/>
      <c r="G105" s="5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8"/>
      <c r="Y105" s="8"/>
      <c r="Z105" s="8"/>
    </row>
    <row r="106" spans="1:26" ht="21.75" customHeight="1">
      <c r="A106" s="7"/>
      <c r="B106" s="49"/>
      <c r="C106" s="49"/>
      <c r="D106" s="7"/>
      <c r="E106" s="7"/>
      <c r="F106" s="7"/>
      <c r="G106" s="5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8"/>
      <c r="Y106" s="8"/>
      <c r="Z106" s="8"/>
    </row>
    <row r="107" spans="1:26" ht="21.75" customHeight="1">
      <c r="A107" s="7"/>
      <c r="B107" s="49"/>
      <c r="C107" s="49"/>
      <c r="D107" s="7"/>
      <c r="E107" s="7"/>
      <c r="F107" s="7"/>
      <c r="G107" s="5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8"/>
      <c r="Y107" s="8"/>
      <c r="Z107" s="8"/>
    </row>
    <row r="108" spans="1:26" ht="21.75" customHeight="1">
      <c r="A108" s="7"/>
      <c r="B108" s="49"/>
      <c r="C108" s="49"/>
      <c r="D108" s="7"/>
      <c r="E108" s="7"/>
      <c r="F108" s="7"/>
      <c r="G108" s="5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8"/>
      <c r="Y108" s="8"/>
      <c r="Z108" s="8"/>
    </row>
    <row r="109" spans="1:26" ht="21.75" customHeight="1">
      <c r="A109" s="7"/>
      <c r="B109" s="49"/>
      <c r="C109" s="49"/>
      <c r="D109" s="7"/>
      <c r="E109" s="7"/>
      <c r="F109" s="7"/>
      <c r="G109" s="5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8"/>
      <c r="Y109" s="8"/>
      <c r="Z109" s="8"/>
    </row>
    <row r="110" spans="1:26" ht="21.75" customHeight="1">
      <c r="A110" s="7"/>
      <c r="B110" s="49"/>
      <c r="C110" s="49"/>
      <c r="D110" s="7"/>
      <c r="E110" s="7"/>
      <c r="F110" s="7"/>
      <c r="G110" s="5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8"/>
      <c r="Y110" s="8"/>
      <c r="Z110" s="8"/>
    </row>
    <row r="111" spans="1:26" ht="21.75" customHeight="1">
      <c r="A111" s="7"/>
      <c r="B111" s="49"/>
      <c r="C111" s="49"/>
      <c r="D111" s="7"/>
      <c r="E111" s="7"/>
      <c r="F111" s="7"/>
      <c r="G111" s="5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8"/>
      <c r="Y111" s="8"/>
      <c r="Z111" s="8"/>
    </row>
    <row r="112" spans="1:26" ht="21.75" customHeight="1">
      <c r="A112" s="7"/>
      <c r="B112" s="49"/>
      <c r="C112" s="49"/>
      <c r="D112" s="7"/>
      <c r="E112" s="7"/>
      <c r="F112" s="7"/>
      <c r="G112" s="5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8"/>
      <c r="Y112" s="8"/>
      <c r="Z112" s="8"/>
    </row>
    <row r="113" spans="1:26" ht="21.75" customHeight="1">
      <c r="A113" s="7"/>
      <c r="B113" s="49"/>
      <c r="C113" s="49"/>
      <c r="D113" s="7"/>
      <c r="E113" s="7"/>
      <c r="F113" s="7"/>
      <c r="G113" s="5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8"/>
      <c r="Y113" s="8"/>
      <c r="Z113" s="8"/>
    </row>
    <row r="114" spans="1:26" ht="21.75" customHeight="1">
      <c r="A114" s="7"/>
      <c r="B114" s="49"/>
      <c r="C114" s="49"/>
      <c r="D114" s="7"/>
      <c r="E114" s="7"/>
      <c r="F114" s="7"/>
      <c r="G114" s="5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8"/>
      <c r="Y114" s="8"/>
      <c r="Z114" s="8"/>
    </row>
    <row r="115" spans="1:26" ht="21.75" customHeight="1">
      <c r="A115" s="7"/>
      <c r="B115" s="49"/>
      <c r="C115" s="49"/>
      <c r="D115" s="7"/>
      <c r="E115" s="7"/>
      <c r="F115" s="7"/>
      <c r="G115" s="5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8"/>
      <c r="Y115" s="8"/>
      <c r="Z115" s="8"/>
    </row>
    <row r="116" spans="1:26" ht="21.75" customHeight="1">
      <c r="A116" s="7"/>
      <c r="B116" s="49"/>
      <c r="C116" s="49"/>
      <c r="D116" s="7"/>
      <c r="E116" s="7"/>
      <c r="F116" s="7"/>
      <c r="G116" s="5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8"/>
      <c r="Y116" s="8"/>
      <c r="Z116" s="8"/>
    </row>
    <row r="117" spans="1:26" ht="21.75" customHeight="1">
      <c r="A117" s="7"/>
      <c r="B117" s="49"/>
      <c r="C117" s="49"/>
      <c r="D117" s="7"/>
      <c r="E117" s="7"/>
      <c r="F117" s="7"/>
      <c r="G117" s="5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8"/>
      <c r="Y117" s="8"/>
      <c r="Z117" s="8"/>
    </row>
    <row r="118" spans="1:26" ht="21.75" customHeight="1">
      <c r="A118" s="7"/>
      <c r="B118" s="49"/>
      <c r="C118" s="49"/>
      <c r="D118" s="7"/>
      <c r="E118" s="7"/>
      <c r="F118" s="7"/>
      <c r="G118" s="5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8"/>
      <c r="Y118" s="8"/>
      <c r="Z118" s="8"/>
    </row>
    <row r="119" spans="1:26" ht="21.75" customHeight="1">
      <c r="A119" s="7"/>
      <c r="B119" s="49"/>
      <c r="C119" s="49"/>
      <c r="D119" s="7"/>
      <c r="E119" s="7"/>
      <c r="F119" s="7"/>
      <c r="G119" s="5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8"/>
      <c r="Y119" s="8"/>
      <c r="Z119" s="8"/>
    </row>
    <row r="120" spans="1:26" ht="21.75" customHeight="1">
      <c r="A120" s="7"/>
      <c r="B120" s="49"/>
      <c r="C120" s="49"/>
      <c r="D120" s="7"/>
      <c r="E120" s="7"/>
      <c r="F120" s="7"/>
      <c r="G120" s="5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8"/>
      <c r="Y120" s="8"/>
      <c r="Z120" s="8"/>
    </row>
    <row r="121" spans="1:26" ht="21.75" customHeight="1">
      <c r="A121" s="7"/>
      <c r="B121" s="49"/>
      <c r="C121" s="49"/>
      <c r="D121" s="7"/>
      <c r="E121" s="7"/>
      <c r="F121" s="7"/>
      <c r="G121" s="5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8"/>
      <c r="Y121" s="8"/>
      <c r="Z121" s="8"/>
    </row>
    <row r="122" spans="1:26" ht="21.75" customHeight="1">
      <c r="A122" s="7"/>
      <c r="B122" s="49"/>
      <c r="C122" s="49"/>
      <c r="D122" s="7"/>
      <c r="E122" s="7"/>
      <c r="F122" s="7"/>
      <c r="G122" s="5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8"/>
      <c r="Y122" s="8"/>
      <c r="Z122" s="8"/>
    </row>
    <row r="123" spans="1:26" ht="21.75" customHeight="1">
      <c r="A123" s="7"/>
      <c r="B123" s="49"/>
      <c r="C123" s="49"/>
      <c r="D123" s="7"/>
      <c r="E123" s="7"/>
      <c r="F123" s="7"/>
      <c r="G123" s="5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8"/>
      <c r="Y123" s="8"/>
      <c r="Z123" s="8"/>
    </row>
    <row r="124" spans="1:26" ht="21.75" customHeight="1">
      <c r="A124" s="7"/>
      <c r="B124" s="49"/>
      <c r="C124" s="49"/>
      <c r="D124" s="7"/>
      <c r="E124" s="7"/>
      <c r="F124" s="7"/>
      <c r="G124" s="5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8"/>
      <c r="Y124" s="8"/>
      <c r="Z124" s="8"/>
    </row>
    <row r="125" spans="1:26" ht="21.75" customHeight="1">
      <c r="A125" s="7"/>
      <c r="B125" s="49"/>
      <c r="C125" s="49"/>
      <c r="D125" s="7"/>
      <c r="E125" s="7"/>
      <c r="F125" s="7"/>
      <c r="G125" s="5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8"/>
      <c r="Y125" s="8"/>
      <c r="Z125" s="8"/>
    </row>
    <row r="126" spans="1:26" ht="21.75" customHeight="1">
      <c r="A126" s="7"/>
      <c r="B126" s="49"/>
      <c r="C126" s="49"/>
      <c r="D126" s="7"/>
      <c r="E126" s="7"/>
      <c r="F126" s="7"/>
      <c r="G126" s="5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8"/>
      <c r="Y126" s="8"/>
      <c r="Z126" s="8"/>
    </row>
    <row r="127" spans="1:26" ht="21.75" customHeight="1">
      <c r="A127" s="7"/>
      <c r="B127" s="49"/>
      <c r="C127" s="49"/>
      <c r="D127" s="7"/>
      <c r="E127" s="7"/>
      <c r="F127" s="7"/>
      <c r="G127" s="5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8"/>
      <c r="Y127" s="8"/>
      <c r="Z127" s="8"/>
    </row>
    <row r="128" spans="1:26" ht="21.75" customHeight="1">
      <c r="A128" s="7"/>
      <c r="B128" s="49"/>
      <c r="C128" s="49"/>
      <c r="D128" s="7"/>
      <c r="E128" s="7"/>
      <c r="F128" s="7"/>
      <c r="G128" s="5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8"/>
      <c r="Y128" s="8"/>
      <c r="Z128" s="8"/>
    </row>
    <row r="129" spans="1:26" ht="21.75" customHeight="1">
      <c r="A129" s="7"/>
      <c r="B129" s="49"/>
      <c r="C129" s="49"/>
      <c r="D129" s="7"/>
      <c r="E129" s="7"/>
      <c r="F129" s="7"/>
      <c r="G129" s="5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8"/>
      <c r="Y129" s="8"/>
      <c r="Z129" s="8"/>
    </row>
    <row r="130" spans="1:26" ht="21.75" customHeight="1">
      <c r="A130" s="7"/>
      <c r="B130" s="49"/>
      <c r="C130" s="49"/>
      <c r="D130" s="7"/>
      <c r="E130" s="7"/>
      <c r="F130" s="7"/>
      <c r="G130" s="5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8"/>
      <c r="Y130" s="8"/>
      <c r="Z130" s="8"/>
    </row>
    <row r="131" spans="1:26" ht="21.75" customHeight="1">
      <c r="A131" s="7"/>
      <c r="B131" s="49"/>
      <c r="C131" s="49"/>
      <c r="D131" s="7"/>
      <c r="E131" s="7"/>
      <c r="F131" s="7"/>
      <c r="G131" s="5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8"/>
      <c r="Y131" s="8"/>
      <c r="Z131" s="8"/>
    </row>
    <row r="132" spans="1:26" ht="21.75" customHeight="1">
      <c r="A132" s="7"/>
      <c r="B132" s="49"/>
      <c r="C132" s="49"/>
      <c r="D132" s="7"/>
      <c r="E132" s="7"/>
      <c r="F132" s="7"/>
      <c r="G132" s="5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8"/>
      <c r="Y132" s="8"/>
      <c r="Z132" s="8"/>
    </row>
    <row r="133" spans="1:26" ht="21.75" customHeight="1">
      <c r="A133" s="7"/>
      <c r="B133" s="49"/>
      <c r="C133" s="49"/>
      <c r="D133" s="7"/>
      <c r="E133" s="7"/>
      <c r="F133" s="7"/>
      <c r="G133" s="5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8"/>
      <c r="Y133" s="8"/>
      <c r="Z133" s="8"/>
    </row>
    <row r="134" spans="1:26" ht="21.75" customHeight="1">
      <c r="A134" s="7"/>
      <c r="B134" s="49"/>
      <c r="C134" s="49"/>
      <c r="D134" s="7"/>
      <c r="E134" s="7"/>
      <c r="F134" s="7"/>
      <c r="G134" s="5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8"/>
      <c r="Y134" s="8"/>
      <c r="Z134" s="8"/>
    </row>
    <row r="135" spans="1:26" ht="21.75" customHeight="1">
      <c r="A135" s="7"/>
      <c r="B135" s="49"/>
      <c r="C135" s="49"/>
      <c r="D135" s="7"/>
      <c r="E135" s="7"/>
      <c r="F135" s="7"/>
      <c r="G135" s="5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8"/>
      <c r="Y135" s="8"/>
      <c r="Z135" s="8"/>
    </row>
    <row r="136" spans="1:26" ht="21.75" customHeight="1">
      <c r="A136" s="7"/>
      <c r="B136" s="49"/>
      <c r="C136" s="49"/>
      <c r="D136" s="7"/>
      <c r="E136" s="7"/>
      <c r="F136" s="7"/>
      <c r="G136" s="5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8"/>
      <c r="Y136" s="8"/>
      <c r="Z136" s="8"/>
    </row>
    <row r="137" spans="1:26" ht="21.75" customHeight="1">
      <c r="A137" s="7"/>
      <c r="B137" s="49"/>
      <c r="C137" s="49"/>
      <c r="D137" s="7"/>
      <c r="E137" s="7"/>
      <c r="F137" s="7"/>
      <c r="G137" s="5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8"/>
      <c r="Y137" s="8"/>
      <c r="Z137" s="8"/>
    </row>
    <row r="138" spans="1:26" ht="21.75" customHeight="1">
      <c r="A138" s="7"/>
      <c r="B138" s="49"/>
      <c r="C138" s="49"/>
      <c r="D138" s="7"/>
      <c r="E138" s="7"/>
      <c r="F138" s="7"/>
      <c r="G138" s="5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8"/>
      <c r="Y138" s="8"/>
      <c r="Z138" s="8"/>
    </row>
    <row r="139" spans="1:26" ht="21.75" customHeight="1">
      <c r="A139" s="7"/>
      <c r="B139" s="49"/>
      <c r="C139" s="49"/>
      <c r="D139" s="7"/>
      <c r="E139" s="7"/>
      <c r="F139" s="7"/>
      <c r="G139" s="5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8"/>
      <c r="Y139" s="8"/>
      <c r="Z139" s="8"/>
    </row>
    <row r="140" spans="1:26" ht="21.75" customHeight="1">
      <c r="A140" s="7"/>
      <c r="B140" s="49"/>
      <c r="C140" s="49"/>
      <c r="D140" s="7"/>
      <c r="E140" s="7"/>
      <c r="F140" s="7"/>
      <c r="G140" s="5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8"/>
      <c r="Y140" s="8"/>
      <c r="Z140" s="8"/>
    </row>
    <row r="141" spans="1:26" ht="21.75" customHeight="1">
      <c r="A141" s="7"/>
      <c r="B141" s="49"/>
      <c r="C141" s="49"/>
      <c r="D141" s="7"/>
      <c r="E141" s="7"/>
      <c r="F141" s="7"/>
      <c r="G141" s="5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8"/>
      <c r="Y141" s="8"/>
      <c r="Z141" s="8"/>
    </row>
    <row r="142" spans="1:26" ht="21.75" customHeight="1">
      <c r="A142" s="7"/>
      <c r="B142" s="49"/>
      <c r="C142" s="49"/>
      <c r="D142" s="7"/>
      <c r="E142" s="7"/>
      <c r="F142" s="7"/>
      <c r="G142" s="5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8"/>
      <c r="Y142" s="8"/>
      <c r="Z142" s="8"/>
    </row>
    <row r="143" spans="1:26" ht="21.75" customHeight="1">
      <c r="A143" s="7"/>
      <c r="B143" s="49"/>
      <c r="C143" s="49"/>
      <c r="D143" s="7"/>
      <c r="E143" s="7"/>
      <c r="F143" s="7"/>
      <c r="G143" s="5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8"/>
      <c r="Y143" s="8"/>
      <c r="Z143" s="8"/>
    </row>
    <row r="144" spans="1:26" ht="21.75" customHeight="1">
      <c r="A144" s="7"/>
      <c r="B144" s="49"/>
      <c r="C144" s="49"/>
      <c r="D144" s="7"/>
      <c r="E144" s="7"/>
      <c r="F144" s="7"/>
      <c r="G144" s="5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8"/>
      <c r="Y144" s="8"/>
      <c r="Z144" s="8"/>
    </row>
    <row r="145" spans="1:26" ht="21.75" customHeight="1">
      <c r="A145" s="7"/>
      <c r="B145" s="49"/>
      <c r="C145" s="49"/>
      <c r="D145" s="7"/>
      <c r="E145" s="7"/>
      <c r="F145" s="7"/>
      <c r="G145" s="5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8"/>
      <c r="Y145" s="8"/>
      <c r="Z145" s="8"/>
    </row>
    <row r="146" spans="1:26" ht="21.75" customHeight="1">
      <c r="A146" s="7"/>
      <c r="B146" s="49"/>
      <c r="C146" s="49"/>
      <c r="D146" s="7"/>
      <c r="E146" s="7"/>
      <c r="F146" s="7"/>
      <c r="G146" s="5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8"/>
      <c r="Y146" s="8"/>
      <c r="Z146" s="8"/>
    </row>
    <row r="147" spans="1:26" ht="21.75" customHeight="1">
      <c r="A147" s="7"/>
      <c r="B147" s="49"/>
      <c r="C147" s="49"/>
      <c r="D147" s="7"/>
      <c r="E147" s="7"/>
      <c r="F147" s="7"/>
      <c r="G147" s="5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8"/>
      <c r="Y147" s="8"/>
      <c r="Z147" s="8"/>
    </row>
    <row r="148" spans="1:26" ht="21.75" customHeight="1">
      <c r="A148" s="7"/>
      <c r="B148" s="49"/>
      <c r="C148" s="49"/>
      <c r="D148" s="7"/>
      <c r="E148" s="7"/>
      <c r="F148" s="7"/>
      <c r="G148" s="5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8"/>
      <c r="Y148" s="8"/>
      <c r="Z148" s="8"/>
    </row>
    <row r="149" spans="1:26" ht="21.75" customHeight="1">
      <c r="A149" s="7"/>
      <c r="B149" s="49"/>
      <c r="C149" s="49"/>
      <c r="D149" s="7"/>
      <c r="E149" s="7"/>
      <c r="F149" s="7"/>
      <c r="G149" s="5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8"/>
      <c r="Y149" s="8"/>
      <c r="Z149" s="8"/>
    </row>
    <row r="150" spans="1:26" ht="21.75" customHeight="1">
      <c r="A150" s="7"/>
      <c r="B150" s="49"/>
      <c r="C150" s="49"/>
      <c r="D150" s="7"/>
      <c r="E150" s="7"/>
      <c r="F150" s="7"/>
      <c r="G150" s="5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8"/>
      <c r="Y150" s="8"/>
      <c r="Z150" s="8"/>
    </row>
    <row r="151" spans="1:26" ht="21.75" customHeight="1">
      <c r="A151" s="7"/>
      <c r="B151" s="49"/>
      <c r="C151" s="49"/>
      <c r="D151" s="7"/>
      <c r="E151" s="7"/>
      <c r="F151" s="7"/>
      <c r="G151" s="5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8"/>
      <c r="Y151" s="8"/>
      <c r="Z151" s="8"/>
    </row>
    <row r="152" spans="1:26" ht="21.75" customHeight="1">
      <c r="A152" s="7"/>
      <c r="B152" s="49"/>
      <c r="C152" s="49"/>
      <c r="D152" s="7"/>
      <c r="E152" s="7"/>
      <c r="F152" s="7"/>
      <c r="G152" s="5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8"/>
      <c r="Y152" s="8"/>
      <c r="Z152" s="8"/>
    </row>
    <row r="153" spans="1:26" ht="21.75" customHeight="1">
      <c r="A153" s="7"/>
      <c r="B153" s="49"/>
      <c r="C153" s="49"/>
      <c r="D153" s="7"/>
      <c r="E153" s="7"/>
      <c r="F153" s="7"/>
      <c r="G153" s="5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8"/>
      <c r="Y153" s="8"/>
      <c r="Z153" s="8"/>
    </row>
    <row r="154" spans="1:26" ht="21.75" customHeight="1">
      <c r="A154" s="7"/>
      <c r="B154" s="49"/>
      <c r="C154" s="49"/>
      <c r="D154" s="7"/>
      <c r="E154" s="7"/>
      <c r="F154" s="7"/>
      <c r="G154" s="5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8"/>
      <c r="Y154" s="8"/>
      <c r="Z154" s="8"/>
    </row>
    <row r="155" spans="1:26" ht="21.75" customHeight="1">
      <c r="A155" s="7"/>
      <c r="B155" s="49"/>
      <c r="C155" s="49"/>
      <c r="D155" s="7"/>
      <c r="E155" s="7"/>
      <c r="F155" s="7"/>
      <c r="G155" s="5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8"/>
      <c r="Y155" s="8"/>
      <c r="Z155" s="8"/>
    </row>
    <row r="156" spans="1:26" ht="21.75" customHeight="1">
      <c r="A156" s="7"/>
      <c r="B156" s="49"/>
      <c r="C156" s="49"/>
      <c r="D156" s="7"/>
      <c r="E156" s="7"/>
      <c r="F156" s="7"/>
      <c r="G156" s="5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8"/>
      <c r="Y156" s="8"/>
      <c r="Z156" s="8"/>
    </row>
    <row r="157" spans="1:26" ht="21.75" customHeight="1">
      <c r="A157" s="7"/>
      <c r="B157" s="49"/>
      <c r="C157" s="49"/>
      <c r="D157" s="7"/>
      <c r="E157" s="7"/>
      <c r="F157" s="7"/>
      <c r="G157" s="5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8"/>
      <c r="Y157" s="8"/>
      <c r="Z157" s="8"/>
    </row>
    <row r="158" spans="1:26" ht="21.75" customHeight="1">
      <c r="A158" s="7"/>
      <c r="B158" s="49"/>
      <c r="C158" s="49"/>
      <c r="D158" s="7"/>
      <c r="E158" s="7"/>
      <c r="F158" s="7"/>
      <c r="G158" s="5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8"/>
      <c r="Y158" s="8"/>
      <c r="Z158" s="8"/>
    </row>
    <row r="159" spans="1:26" ht="21.75" customHeight="1">
      <c r="A159" s="7"/>
      <c r="B159" s="49"/>
      <c r="C159" s="49"/>
      <c r="D159" s="7"/>
      <c r="E159" s="7"/>
      <c r="F159" s="7"/>
      <c r="G159" s="5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8"/>
      <c r="Y159" s="8"/>
      <c r="Z159" s="8"/>
    </row>
    <row r="160" spans="1:26" ht="21.75" customHeight="1">
      <c r="A160" s="7"/>
      <c r="B160" s="49"/>
      <c r="C160" s="49"/>
      <c r="D160" s="7"/>
      <c r="E160" s="7"/>
      <c r="F160" s="7"/>
      <c r="G160" s="5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8"/>
      <c r="Y160" s="8"/>
      <c r="Z160" s="8"/>
    </row>
    <row r="161" spans="1:26" ht="21.75" customHeight="1">
      <c r="A161" s="7"/>
      <c r="B161" s="49"/>
      <c r="C161" s="49"/>
      <c r="D161" s="7"/>
      <c r="E161" s="7"/>
      <c r="F161" s="7"/>
      <c r="G161" s="5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8"/>
      <c r="Y161" s="8"/>
      <c r="Z161" s="8"/>
    </row>
    <row r="162" spans="1:26" ht="21.75" customHeight="1">
      <c r="A162" s="7"/>
      <c r="B162" s="49"/>
      <c r="C162" s="49"/>
      <c r="D162" s="7"/>
      <c r="E162" s="7"/>
      <c r="F162" s="7"/>
      <c r="G162" s="5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8"/>
      <c r="Y162" s="8"/>
      <c r="Z162" s="8"/>
    </row>
    <row r="163" spans="1:26" ht="21.75" customHeight="1">
      <c r="A163" s="7"/>
      <c r="B163" s="49"/>
      <c r="C163" s="49"/>
      <c r="D163" s="7"/>
      <c r="E163" s="7"/>
      <c r="F163" s="7"/>
      <c r="G163" s="5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8"/>
      <c r="Y163" s="8"/>
      <c r="Z163" s="8"/>
    </row>
    <row r="164" spans="1:26" ht="21.75" customHeight="1">
      <c r="A164" s="7"/>
      <c r="B164" s="49"/>
      <c r="C164" s="49"/>
      <c r="D164" s="7"/>
      <c r="E164" s="7"/>
      <c r="F164" s="7"/>
      <c r="G164" s="5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8"/>
      <c r="Y164" s="8"/>
      <c r="Z164" s="8"/>
    </row>
    <row r="165" spans="1:26" ht="21.75" customHeight="1">
      <c r="A165" s="7"/>
      <c r="B165" s="49"/>
      <c r="C165" s="49"/>
      <c r="D165" s="7"/>
      <c r="E165" s="7"/>
      <c r="F165" s="7"/>
      <c r="G165" s="5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8"/>
      <c r="Y165" s="8"/>
      <c r="Z165" s="8"/>
    </row>
    <row r="166" spans="1:26" ht="21.75" customHeight="1">
      <c r="A166" s="7"/>
      <c r="B166" s="49"/>
      <c r="C166" s="49"/>
      <c r="D166" s="7"/>
      <c r="E166" s="7"/>
      <c r="F166" s="7"/>
      <c r="G166" s="5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8"/>
      <c r="Y166" s="8"/>
      <c r="Z166" s="8"/>
    </row>
    <row r="167" spans="1:26" ht="21.75" customHeight="1">
      <c r="A167" s="7"/>
      <c r="B167" s="49"/>
      <c r="C167" s="49"/>
      <c r="D167" s="7"/>
      <c r="E167" s="7"/>
      <c r="F167" s="7"/>
      <c r="G167" s="5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8"/>
      <c r="Y167" s="8"/>
      <c r="Z167" s="8"/>
    </row>
    <row r="168" spans="1:26" ht="21.75" customHeight="1">
      <c r="A168" s="7"/>
      <c r="B168" s="49"/>
      <c r="C168" s="49"/>
      <c r="D168" s="7"/>
      <c r="E168" s="7"/>
      <c r="F168" s="7"/>
      <c r="G168" s="5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8"/>
      <c r="Y168" s="8"/>
      <c r="Z168" s="8"/>
    </row>
    <row r="169" spans="1:26" ht="21.75" customHeight="1">
      <c r="A169" s="7"/>
      <c r="B169" s="49"/>
      <c r="C169" s="49"/>
      <c r="D169" s="7"/>
      <c r="E169" s="7"/>
      <c r="F169" s="7"/>
      <c r="G169" s="5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8"/>
      <c r="Y169" s="8"/>
      <c r="Z169" s="8"/>
    </row>
    <row r="170" spans="1:26" ht="21.75" customHeight="1">
      <c r="A170" s="7"/>
      <c r="B170" s="49"/>
      <c r="C170" s="49"/>
      <c r="D170" s="7"/>
      <c r="E170" s="7"/>
      <c r="F170" s="7"/>
      <c r="G170" s="5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8"/>
      <c r="Y170" s="8"/>
      <c r="Z170" s="8"/>
    </row>
    <row r="171" spans="1:26" ht="21.75" customHeight="1">
      <c r="A171" s="7"/>
      <c r="B171" s="49"/>
      <c r="C171" s="49"/>
      <c r="D171" s="7"/>
      <c r="E171" s="7"/>
      <c r="F171" s="7"/>
      <c r="G171" s="5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8"/>
      <c r="Y171" s="8"/>
      <c r="Z171" s="8"/>
    </row>
    <row r="172" spans="1:26" ht="21.75" customHeight="1">
      <c r="A172" s="7"/>
      <c r="B172" s="49"/>
      <c r="C172" s="49"/>
      <c r="D172" s="7"/>
      <c r="E172" s="7"/>
      <c r="F172" s="7"/>
      <c r="G172" s="5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8"/>
      <c r="Y172" s="8"/>
      <c r="Z172" s="8"/>
    </row>
    <row r="173" spans="1:26" ht="21.75" customHeight="1">
      <c r="A173" s="7"/>
      <c r="B173" s="49"/>
      <c r="C173" s="49"/>
      <c r="D173" s="7"/>
      <c r="E173" s="7"/>
      <c r="F173" s="7"/>
      <c r="G173" s="5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8"/>
      <c r="Y173" s="8"/>
      <c r="Z173" s="8"/>
    </row>
    <row r="174" spans="1:26" ht="21.75" customHeight="1">
      <c r="A174" s="7"/>
      <c r="B174" s="49"/>
      <c r="C174" s="49"/>
      <c r="D174" s="7"/>
      <c r="E174" s="7"/>
      <c r="F174" s="7"/>
      <c r="G174" s="5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8"/>
      <c r="Y174" s="8"/>
      <c r="Z174" s="8"/>
    </row>
    <row r="175" spans="1:26" ht="21.75" customHeight="1">
      <c r="A175" s="7"/>
      <c r="B175" s="49"/>
      <c r="C175" s="49"/>
      <c r="D175" s="7"/>
      <c r="E175" s="7"/>
      <c r="F175" s="7"/>
      <c r="G175" s="5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8"/>
      <c r="Y175" s="8"/>
      <c r="Z175" s="8"/>
    </row>
    <row r="176" spans="1:26" ht="21.75" customHeight="1">
      <c r="A176" s="7"/>
      <c r="B176" s="49"/>
      <c r="C176" s="49"/>
      <c r="D176" s="7"/>
      <c r="E176" s="7"/>
      <c r="F176" s="7"/>
      <c r="G176" s="5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8"/>
      <c r="Y176" s="8"/>
      <c r="Z176" s="8"/>
    </row>
    <row r="177" spans="1:26" ht="21.75" customHeight="1">
      <c r="A177" s="7"/>
      <c r="B177" s="49"/>
      <c r="C177" s="49"/>
      <c r="D177" s="7"/>
      <c r="E177" s="7"/>
      <c r="F177" s="7"/>
      <c r="G177" s="5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8"/>
      <c r="Y177" s="8"/>
      <c r="Z177" s="8"/>
    </row>
    <row r="178" spans="1:26" ht="21.75" customHeight="1">
      <c r="A178" s="7"/>
      <c r="B178" s="49"/>
      <c r="C178" s="49"/>
      <c r="D178" s="7"/>
      <c r="E178" s="7"/>
      <c r="F178" s="7"/>
      <c r="G178" s="5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8"/>
      <c r="Y178" s="8"/>
      <c r="Z178" s="8"/>
    </row>
    <row r="179" spans="1:26" ht="21.75" customHeight="1">
      <c r="A179" s="7"/>
      <c r="B179" s="49"/>
      <c r="C179" s="49"/>
      <c r="D179" s="7"/>
      <c r="E179" s="7"/>
      <c r="F179" s="7"/>
      <c r="G179" s="5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8"/>
      <c r="Y179" s="8"/>
      <c r="Z179" s="8"/>
    </row>
    <row r="180" spans="1:26" ht="21.75" customHeight="1">
      <c r="A180" s="7"/>
      <c r="B180" s="49"/>
      <c r="C180" s="49"/>
      <c r="D180" s="7"/>
      <c r="E180" s="7"/>
      <c r="F180" s="7"/>
      <c r="G180" s="5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8"/>
      <c r="Y180" s="8"/>
      <c r="Z180" s="8"/>
    </row>
    <row r="181" spans="1:26" ht="21.75" customHeight="1">
      <c r="A181" s="7"/>
      <c r="B181" s="49"/>
      <c r="C181" s="49"/>
      <c r="D181" s="7"/>
      <c r="E181" s="7"/>
      <c r="F181" s="7"/>
      <c r="G181" s="5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8"/>
      <c r="Y181" s="8"/>
      <c r="Z181" s="8"/>
    </row>
    <row r="182" spans="1:26" ht="21.75" customHeight="1">
      <c r="A182" s="7"/>
      <c r="B182" s="49"/>
      <c r="C182" s="49"/>
      <c r="D182" s="7"/>
      <c r="E182" s="7"/>
      <c r="F182" s="7"/>
      <c r="G182" s="5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8"/>
      <c r="Y182" s="8"/>
      <c r="Z182" s="8"/>
    </row>
    <row r="183" spans="1:26" ht="21.75" customHeight="1">
      <c r="A183" s="7"/>
      <c r="B183" s="49"/>
      <c r="C183" s="49"/>
      <c r="D183" s="7"/>
      <c r="E183" s="7"/>
      <c r="F183" s="7"/>
      <c r="G183" s="5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8"/>
      <c r="Y183" s="8"/>
      <c r="Z183" s="8"/>
    </row>
    <row r="184" spans="1:26" ht="21.75" customHeight="1">
      <c r="A184" s="7"/>
      <c r="B184" s="49"/>
      <c r="C184" s="49"/>
      <c r="D184" s="7"/>
      <c r="E184" s="7"/>
      <c r="F184" s="7"/>
      <c r="G184" s="5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8"/>
      <c r="Y184" s="8"/>
      <c r="Z184" s="8"/>
    </row>
    <row r="185" spans="1:26" ht="21.75" customHeight="1">
      <c r="A185" s="7"/>
      <c r="B185" s="49"/>
      <c r="C185" s="49"/>
      <c r="D185" s="7"/>
      <c r="E185" s="7"/>
      <c r="F185" s="7"/>
      <c r="G185" s="5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8"/>
      <c r="Y185" s="8"/>
      <c r="Z185" s="8"/>
    </row>
    <row r="186" spans="1:26" ht="21.75" customHeight="1">
      <c r="A186" s="7"/>
      <c r="B186" s="49"/>
      <c r="C186" s="49"/>
      <c r="D186" s="7"/>
      <c r="E186" s="7"/>
      <c r="F186" s="7"/>
      <c r="G186" s="5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8"/>
      <c r="Y186" s="8"/>
      <c r="Z186" s="8"/>
    </row>
    <row r="187" spans="1:26" ht="21.75" customHeight="1">
      <c r="A187" s="7"/>
      <c r="B187" s="49"/>
      <c r="C187" s="49"/>
      <c r="D187" s="7"/>
      <c r="E187" s="7"/>
      <c r="F187" s="7"/>
      <c r="G187" s="5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8"/>
      <c r="Y187" s="8"/>
      <c r="Z187" s="8"/>
    </row>
    <row r="188" spans="1:26" ht="21.75" customHeight="1">
      <c r="A188" s="7"/>
      <c r="B188" s="49"/>
      <c r="C188" s="49"/>
      <c r="D188" s="7"/>
      <c r="E188" s="7"/>
      <c r="F188" s="7"/>
      <c r="G188" s="5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8"/>
      <c r="Y188" s="8"/>
      <c r="Z188" s="8"/>
    </row>
    <row r="189" spans="1:26" ht="21.75" customHeight="1">
      <c r="A189" s="7"/>
      <c r="B189" s="49"/>
      <c r="C189" s="49"/>
      <c r="D189" s="7"/>
      <c r="E189" s="7"/>
      <c r="F189" s="7"/>
      <c r="G189" s="5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8"/>
      <c r="Y189" s="8"/>
      <c r="Z189" s="8"/>
    </row>
    <row r="190" spans="1:26" ht="21.75" customHeight="1">
      <c r="A190" s="7"/>
      <c r="B190" s="49"/>
      <c r="C190" s="49"/>
      <c r="D190" s="7"/>
      <c r="E190" s="7"/>
      <c r="F190" s="7"/>
      <c r="G190" s="5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8"/>
      <c r="Y190" s="8"/>
      <c r="Z190" s="8"/>
    </row>
    <row r="191" spans="1:26" ht="21.75" customHeight="1">
      <c r="A191" s="7"/>
      <c r="B191" s="49"/>
      <c r="C191" s="49"/>
      <c r="D191" s="7"/>
      <c r="E191" s="7"/>
      <c r="F191" s="7"/>
      <c r="G191" s="5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8"/>
      <c r="Y191" s="8"/>
      <c r="Z191" s="8"/>
    </row>
    <row r="192" spans="1:26" ht="21.75" customHeight="1">
      <c r="A192" s="7"/>
      <c r="B192" s="49"/>
      <c r="C192" s="49"/>
      <c r="D192" s="7"/>
      <c r="E192" s="7"/>
      <c r="F192" s="7"/>
      <c r="G192" s="5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8"/>
      <c r="Y192" s="8"/>
      <c r="Z192" s="8"/>
    </row>
    <row r="193" spans="1:26" ht="21.75" customHeight="1">
      <c r="A193" s="7"/>
      <c r="B193" s="49"/>
      <c r="C193" s="49"/>
      <c r="D193" s="7"/>
      <c r="E193" s="7"/>
      <c r="F193" s="7"/>
      <c r="G193" s="5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8"/>
      <c r="Y193" s="8"/>
      <c r="Z193" s="8"/>
    </row>
    <row r="194" spans="1:26" ht="21.75" customHeight="1">
      <c r="A194" s="7"/>
      <c r="B194" s="49"/>
      <c r="C194" s="49"/>
      <c r="D194" s="7"/>
      <c r="E194" s="7"/>
      <c r="F194" s="7"/>
      <c r="G194" s="5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8"/>
      <c r="Y194" s="8"/>
      <c r="Z194" s="8"/>
    </row>
    <row r="195" spans="1:26" ht="21.75" customHeight="1">
      <c r="A195" s="7"/>
      <c r="B195" s="49"/>
      <c r="C195" s="49"/>
      <c r="D195" s="7"/>
      <c r="E195" s="7"/>
      <c r="F195" s="7"/>
      <c r="G195" s="5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8"/>
      <c r="Y195" s="8"/>
      <c r="Z195" s="8"/>
    </row>
    <row r="196" spans="1:26" ht="21.75" customHeight="1">
      <c r="A196" s="7"/>
      <c r="B196" s="49"/>
      <c r="C196" s="49"/>
      <c r="D196" s="7"/>
      <c r="E196" s="7"/>
      <c r="F196" s="7"/>
      <c r="G196" s="5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8"/>
      <c r="Y196" s="8"/>
      <c r="Z196" s="8"/>
    </row>
    <row r="197" spans="1:26" ht="21.75" customHeight="1">
      <c r="A197" s="7"/>
      <c r="B197" s="49"/>
      <c r="C197" s="49"/>
      <c r="D197" s="7"/>
      <c r="E197" s="7"/>
      <c r="F197" s="7"/>
      <c r="G197" s="5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8"/>
      <c r="Y197" s="8"/>
      <c r="Z197" s="8"/>
    </row>
    <row r="198" spans="1:26" ht="21.75" customHeight="1">
      <c r="A198" s="7"/>
      <c r="B198" s="49"/>
      <c r="C198" s="49"/>
      <c r="D198" s="7"/>
      <c r="E198" s="7"/>
      <c r="F198" s="7"/>
      <c r="G198" s="5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8"/>
      <c r="Y198" s="8"/>
      <c r="Z198" s="8"/>
    </row>
    <row r="199" spans="1:26" ht="21.75" customHeight="1">
      <c r="A199" s="7"/>
      <c r="B199" s="49"/>
      <c r="C199" s="49"/>
      <c r="D199" s="7"/>
      <c r="E199" s="7"/>
      <c r="F199" s="7"/>
      <c r="G199" s="5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8"/>
      <c r="Y199" s="8"/>
      <c r="Z199" s="8"/>
    </row>
    <row r="200" spans="1:26" ht="21.75" customHeight="1">
      <c r="A200" s="7"/>
      <c r="B200" s="49"/>
      <c r="C200" s="49"/>
      <c r="D200" s="7"/>
      <c r="E200" s="7"/>
      <c r="F200" s="7"/>
      <c r="G200" s="5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8"/>
      <c r="Y200" s="8"/>
      <c r="Z200" s="8"/>
    </row>
    <row r="201" spans="1:26" ht="21.75" customHeight="1">
      <c r="A201" s="7"/>
      <c r="B201" s="49"/>
      <c r="C201" s="49"/>
      <c r="D201" s="7"/>
      <c r="E201" s="7"/>
      <c r="F201" s="7"/>
      <c r="G201" s="5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8"/>
      <c r="Y201" s="8"/>
      <c r="Z201" s="8"/>
    </row>
    <row r="202" spans="1:26" ht="21.75" customHeight="1">
      <c r="A202" s="7"/>
      <c r="B202" s="49"/>
      <c r="C202" s="49"/>
      <c r="D202" s="7"/>
      <c r="E202" s="7"/>
      <c r="F202" s="7"/>
      <c r="G202" s="5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8"/>
      <c r="Y202" s="8"/>
      <c r="Z202" s="8"/>
    </row>
    <row r="203" spans="1:26" ht="21.75" customHeight="1">
      <c r="A203" s="7"/>
      <c r="B203" s="49"/>
      <c r="C203" s="49"/>
      <c r="D203" s="7"/>
      <c r="E203" s="7"/>
      <c r="F203" s="7"/>
      <c r="G203" s="5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8"/>
      <c r="Y203" s="8"/>
      <c r="Z203" s="8"/>
    </row>
    <row r="204" spans="1:26" ht="21.75" customHeight="1">
      <c r="A204" s="7"/>
      <c r="B204" s="49"/>
      <c r="C204" s="49"/>
      <c r="D204" s="7"/>
      <c r="E204" s="7"/>
      <c r="F204" s="7"/>
      <c r="G204" s="5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8"/>
      <c r="Y204" s="8"/>
      <c r="Z204" s="8"/>
    </row>
    <row r="205" spans="1:26" ht="21.75" customHeight="1">
      <c r="A205" s="7"/>
      <c r="B205" s="49"/>
      <c r="C205" s="49"/>
      <c r="D205" s="7"/>
      <c r="E205" s="7"/>
      <c r="F205" s="7"/>
      <c r="G205" s="5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8"/>
      <c r="Y205" s="8"/>
      <c r="Z205" s="8"/>
    </row>
    <row r="206" spans="1:26" ht="21.75" customHeight="1">
      <c r="A206" s="7"/>
      <c r="B206" s="49"/>
      <c r="C206" s="49"/>
      <c r="D206" s="7"/>
      <c r="E206" s="7"/>
      <c r="F206" s="7"/>
      <c r="G206" s="5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8"/>
      <c r="Y206" s="8"/>
      <c r="Z206" s="8"/>
    </row>
    <row r="207" spans="1:26" ht="21.75" customHeight="1">
      <c r="A207" s="7"/>
      <c r="B207" s="49"/>
      <c r="C207" s="49"/>
      <c r="D207" s="7"/>
      <c r="E207" s="7"/>
      <c r="F207" s="7"/>
      <c r="G207" s="5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8"/>
      <c r="Y207" s="8"/>
      <c r="Z207" s="8"/>
    </row>
    <row r="208" spans="1:26" ht="21.75" customHeight="1">
      <c r="A208" s="7"/>
      <c r="B208" s="49"/>
      <c r="C208" s="49"/>
      <c r="D208" s="7"/>
      <c r="E208" s="7"/>
      <c r="F208" s="7"/>
      <c r="G208" s="5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8"/>
      <c r="Y208" s="8"/>
      <c r="Z208" s="8"/>
    </row>
    <row r="209" spans="1:26" ht="21.75" customHeight="1">
      <c r="A209" s="7"/>
      <c r="B209" s="49"/>
      <c r="C209" s="49"/>
      <c r="D209" s="7"/>
      <c r="E209" s="7"/>
      <c r="F209" s="7"/>
      <c r="G209" s="5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8"/>
      <c r="Y209" s="8"/>
      <c r="Z209" s="8"/>
    </row>
    <row r="210" spans="1:26" ht="21.75" customHeight="1">
      <c r="A210" s="7"/>
      <c r="B210" s="49"/>
      <c r="C210" s="49"/>
      <c r="D210" s="7"/>
      <c r="E210" s="7"/>
      <c r="F210" s="7"/>
      <c r="G210" s="5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8"/>
      <c r="Y210" s="8"/>
      <c r="Z210" s="8"/>
    </row>
    <row r="211" spans="1:26" ht="21.75" customHeight="1">
      <c r="A211" s="7"/>
      <c r="B211" s="49"/>
      <c r="C211" s="49"/>
      <c r="D211" s="7"/>
      <c r="E211" s="7"/>
      <c r="F211" s="7"/>
      <c r="G211" s="5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8"/>
      <c r="Y211" s="8"/>
      <c r="Z211" s="8"/>
    </row>
    <row r="212" spans="1:26" ht="21.75" customHeight="1">
      <c r="A212" s="7"/>
      <c r="B212" s="49"/>
      <c r="C212" s="49"/>
      <c r="D212" s="7"/>
      <c r="E212" s="7"/>
      <c r="F212" s="7"/>
      <c r="G212" s="5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8"/>
      <c r="Y212" s="8"/>
      <c r="Z212" s="8"/>
    </row>
    <row r="213" spans="1:26" ht="21.75" customHeight="1">
      <c r="A213" s="7"/>
      <c r="B213" s="49"/>
      <c r="C213" s="49"/>
      <c r="D213" s="7"/>
      <c r="E213" s="7"/>
      <c r="F213" s="7"/>
      <c r="G213" s="5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8"/>
      <c r="Y213" s="8"/>
      <c r="Z213" s="8"/>
    </row>
    <row r="214" spans="1:26" ht="21.75" customHeight="1">
      <c r="A214" s="7"/>
      <c r="B214" s="49"/>
      <c r="C214" s="49"/>
      <c r="D214" s="7"/>
      <c r="E214" s="7"/>
      <c r="F214" s="7"/>
      <c r="G214" s="5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8"/>
      <c r="Y214" s="8"/>
      <c r="Z214" s="8"/>
    </row>
    <row r="215" spans="1:26" ht="15.75" customHeight="1">
      <c r="B215" s="49"/>
      <c r="C215" s="49"/>
    </row>
    <row r="216" spans="1:26" ht="15.75" customHeight="1">
      <c r="B216" s="49"/>
      <c r="C216" s="49"/>
    </row>
    <row r="217" spans="1:26" ht="15.75" customHeight="1">
      <c r="B217" s="49"/>
      <c r="C217" s="49"/>
    </row>
    <row r="218" spans="1:26" ht="15.75" customHeight="1">
      <c r="B218" s="49"/>
      <c r="C218" s="49"/>
    </row>
    <row r="219" spans="1:26" ht="15.75" customHeight="1">
      <c r="B219" s="49"/>
      <c r="C219" s="49"/>
    </row>
    <row r="220" spans="1:26" ht="15.75" customHeight="1">
      <c r="B220" s="49"/>
      <c r="C220" s="49"/>
    </row>
    <row r="221" spans="1:26" ht="15.75" customHeight="1">
      <c r="B221" s="49"/>
      <c r="C221" s="49"/>
    </row>
    <row r="222" spans="1:26" ht="15.75" customHeight="1">
      <c r="B222" s="49"/>
      <c r="C222" s="49"/>
    </row>
    <row r="223" spans="1:26" ht="15.75" customHeight="1">
      <c r="B223" s="49"/>
      <c r="C223" s="49"/>
    </row>
    <row r="224" spans="1:26" ht="15.75" customHeight="1">
      <c r="B224" s="49"/>
      <c r="C224" s="49"/>
    </row>
    <row r="225" spans="2:3" ht="15.75" customHeight="1">
      <c r="B225" s="49"/>
      <c r="C225" s="49"/>
    </row>
    <row r="226" spans="2:3" ht="15.75" customHeight="1">
      <c r="B226" s="49"/>
      <c r="C226" s="49"/>
    </row>
    <row r="227" spans="2:3" ht="15.75" customHeight="1">
      <c r="B227" s="49"/>
      <c r="C227" s="49"/>
    </row>
    <row r="228" spans="2:3" ht="15.75" customHeight="1">
      <c r="B228" s="49"/>
      <c r="C228" s="49"/>
    </row>
    <row r="229" spans="2:3" ht="15.75" customHeight="1">
      <c r="B229" s="49"/>
      <c r="C229" s="49"/>
    </row>
    <row r="230" spans="2:3" ht="15.75" customHeight="1">
      <c r="B230" s="49"/>
      <c r="C230" s="49"/>
    </row>
    <row r="231" spans="2:3" ht="15.75" customHeight="1">
      <c r="B231" s="49"/>
      <c r="C231" s="49"/>
    </row>
    <row r="232" spans="2:3" ht="15.75" customHeight="1">
      <c r="B232" s="49"/>
      <c r="C232" s="49"/>
    </row>
    <row r="233" spans="2:3" ht="15.75" customHeight="1">
      <c r="B233" s="49"/>
      <c r="C233" s="49"/>
    </row>
    <row r="234" spans="2:3" ht="15.75" customHeight="1">
      <c r="B234" s="49"/>
      <c r="C234" s="49"/>
    </row>
    <row r="235" spans="2:3" ht="15.75" customHeight="1">
      <c r="B235" s="49"/>
      <c r="C235" s="49"/>
    </row>
    <row r="236" spans="2:3" ht="15.75" customHeight="1">
      <c r="B236" s="49"/>
      <c r="C236" s="49"/>
    </row>
    <row r="237" spans="2:3" ht="15.75" customHeight="1">
      <c r="B237" s="49"/>
      <c r="C237" s="49"/>
    </row>
    <row r="238" spans="2:3" ht="15.75" customHeight="1">
      <c r="B238" s="49"/>
      <c r="C238" s="49"/>
    </row>
    <row r="239" spans="2:3" ht="15.75" customHeight="1"/>
    <row r="240" spans="2: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4">
    <mergeCell ref="D3:I4"/>
    <mergeCell ref="B39:C39"/>
    <mergeCell ref="B16:K16"/>
    <mergeCell ref="B24:K24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002"/>
  <sheetViews>
    <sheetView showGridLines="0" zoomScale="55" zoomScaleNormal="55" workbookViewId="0">
      <selection activeCell="B17" sqref="B17"/>
    </sheetView>
  </sheetViews>
  <sheetFormatPr defaultColWidth="14.44140625" defaultRowHeight="15" customHeight="1"/>
  <cols>
    <col min="1" max="1" width="1.33203125" customWidth="1"/>
    <col min="2" max="2" width="37.44140625" customWidth="1"/>
    <col min="3" max="3" width="18" customWidth="1"/>
    <col min="4" max="5" width="17.88671875" customWidth="1"/>
    <col min="6" max="6" width="11.44140625" customWidth="1"/>
    <col min="7" max="7" width="11.33203125" customWidth="1"/>
    <col min="8" max="8" width="10.6640625" customWidth="1"/>
    <col min="9" max="9" width="0.6640625" customWidth="1"/>
    <col min="10" max="10" width="9.109375" customWidth="1"/>
    <col min="11" max="21" width="8.6640625" customWidth="1"/>
  </cols>
  <sheetData>
    <row r="1" spans="1:24" ht="7.5" customHeight="1">
      <c r="A1" s="7"/>
      <c r="B1" s="49"/>
      <c r="C1" s="49"/>
      <c r="D1" s="7"/>
      <c r="E1" s="7"/>
      <c r="F1" s="7"/>
      <c r="G1" s="7"/>
      <c r="H1" s="50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8"/>
      <c r="W1" s="8"/>
      <c r="X1" s="8"/>
    </row>
    <row r="2" spans="1:24" ht="12.75" customHeight="1">
      <c r="A2" s="7"/>
      <c r="B2" s="51"/>
      <c r="C2" s="52"/>
      <c r="D2" s="10"/>
      <c r="E2" s="10"/>
      <c r="F2" s="10"/>
      <c r="G2" s="10"/>
      <c r="H2" s="53"/>
      <c r="I2" s="11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8"/>
      <c r="X2" s="8"/>
    </row>
    <row r="3" spans="1:24" ht="12.75" customHeight="1">
      <c r="A3" s="7"/>
      <c r="B3" s="201" t="s">
        <v>65</v>
      </c>
      <c r="C3" s="191"/>
      <c r="D3" s="191"/>
      <c r="E3" s="191"/>
      <c r="F3" s="191"/>
      <c r="G3" s="191"/>
      <c r="H3" s="191"/>
      <c r="I3" s="202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8"/>
      <c r="W3" s="8"/>
      <c r="X3" s="8"/>
    </row>
    <row r="4" spans="1:24" ht="12.75" customHeight="1">
      <c r="A4" s="7"/>
      <c r="B4" s="203"/>
      <c r="C4" s="204"/>
      <c r="D4" s="204"/>
      <c r="E4" s="205"/>
      <c r="F4" s="204"/>
      <c r="G4" s="204"/>
      <c r="H4" s="204"/>
      <c r="I4" s="20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8"/>
      <c r="W4" s="8"/>
      <c r="X4" s="8"/>
    </row>
    <row r="5" spans="1:24" ht="21.75" customHeight="1">
      <c r="A5" s="7"/>
      <c r="B5" s="58"/>
      <c r="C5" s="58"/>
      <c r="D5" s="17"/>
      <c r="E5" s="17"/>
      <c r="F5" s="17"/>
      <c r="G5" s="17"/>
      <c r="H5" s="59"/>
      <c r="I5" s="1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8"/>
      <c r="W5" s="8"/>
      <c r="X5" s="8"/>
    </row>
    <row r="6" spans="1:24" ht="21.75" customHeight="1">
      <c r="A6" s="7"/>
      <c r="B6" s="32" t="s">
        <v>66</v>
      </c>
      <c r="C6" s="33" t="s">
        <v>67</v>
      </c>
      <c r="D6" s="60" t="s">
        <v>60</v>
      </c>
      <c r="E6" s="153"/>
      <c r="F6" s="33" t="s">
        <v>68</v>
      </c>
      <c r="G6" s="33" t="s">
        <v>69</v>
      </c>
      <c r="H6" s="29" t="s">
        <v>55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8"/>
      <c r="W6" s="8"/>
      <c r="X6" s="8"/>
    </row>
    <row r="7" spans="1:24" ht="21.75" customHeight="1">
      <c r="A7" s="7"/>
      <c r="B7" s="71" t="s">
        <v>70</v>
      </c>
      <c r="C7" s="37">
        <v>3968.0502462499999</v>
      </c>
      <c r="D7" s="63">
        <v>0.17419999999999999</v>
      </c>
      <c r="E7" s="152">
        <f>8.8/D7</f>
        <v>50.516647531572907</v>
      </c>
      <c r="F7" s="37">
        <v>10</v>
      </c>
      <c r="G7" s="38">
        <f t="shared" ref="G7:G12" si="0">ROUNDUP(((($C7*D7)/(F7*8.8))),0)</f>
        <v>8</v>
      </c>
      <c r="H7" s="65">
        <f t="shared" ref="H7:H12" si="1">ROUNDUP(G7/2,0)</f>
        <v>4</v>
      </c>
      <c r="J7" s="41"/>
      <c r="K7" s="7"/>
      <c r="L7" s="8"/>
      <c r="M7" s="8"/>
      <c r="N7" s="7"/>
      <c r="O7" s="7"/>
      <c r="P7" s="7"/>
      <c r="Q7" s="7"/>
      <c r="R7" s="7"/>
      <c r="S7" s="7"/>
      <c r="T7" s="7"/>
      <c r="U7" s="7"/>
      <c r="V7" s="8"/>
      <c r="W7" s="8"/>
      <c r="X7" s="8"/>
    </row>
    <row r="8" spans="1:24" ht="21.75" customHeight="1">
      <c r="A8" s="7"/>
      <c r="B8" s="71" t="s">
        <v>71</v>
      </c>
      <c r="C8" s="37">
        <f>C7</f>
        <v>3968.0502462499999</v>
      </c>
      <c r="D8" s="63">
        <v>0.63280000000000003</v>
      </c>
      <c r="E8" s="152">
        <f t="shared" ref="E8:E12" si="2">8.8/D8</f>
        <v>13.906447534766119</v>
      </c>
      <c r="F8" s="37">
        <v>36</v>
      </c>
      <c r="G8" s="38">
        <f t="shared" si="0"/>
        <v>8</v>
      </c>
      <c r="H8" s="65">
        <f t="shared" si="1"/>
        <v>4</v>
      </c>
      <c r="J8" s="41"/>
      <c r="K8" s="7"/>
      <c r="L8" s="8"/>
      <c r="M8" s="8"/>
      <c r="N8" s="7"/>
      <c r="O8" s="7"/>
      <c r="P8" s="7"/>
      <c r="Q8" s="7"/>
      <c r="R8" s="7"/>
      <c r="S8" s="7"/>
      <c r="T8" s="7"/>
      <c r="U8" s="7"/>
      <c r="V8" s="8"/>
      <c r="W8" s="8"/>
      <c r="X8" s="8"/>
    </row>
    <row r="9" spans="1:24" ht="21.75" customHeight="1">
      <c r="A9" s="7"/>
      <c r="B9" s="71" t="s">
        <v>183</v>
      </c>
      <c r="C9" s="37">
        <f>[1]FACHADA!I11</f>
        <v>9921.8457826000013</v>
      </c>
      <c r="D9" s="152">
        <v>0.129</v>
      </c>
      <c r="E9" s="152">
        <f>8.8/D9</f>
        <v>68.217054263565899</v>
      </c>
      <c r="F9" s="151">
        <v>19</v>
      </c>
      <c r="G9" s="38">
        <f>ROUNDUP(((($C9*D9)/(F9*8.8))),0)</f>
        <v>8</v>
      </c>
      <c r="H9" s="65">
        <f t="shared" ref="H9" si="3">ROUNDUP(G9/2,0)</f>
        <v>4</v>
      </c>
      <c r="J9" s="41"/>
      <c r="K9" s="7"/>
      <c r="L9" s="8"/>
      <c r="M9" s="8"/>
      <c r="N9" s="7"/>
      <c r="O9" s="7"/>
      <c r="P9" s="7"/>
      <c r="Q9" s="7"/>
      <c r="R9" s="7"/>
      <c r="S9" s="7"/>
      <c r="T9" s="7"/>
      <c r="U9" s="7"/>
      <c r="V9" s="8"/>
      <c r="W9" s="8"/>
      <c r="X9" s="8"/>
    </row>
    <row r="10" spans="1:24" ht="21.75" customHeight="1">
      <c r="A10" s="7"/>
      <c r="B10" s="71" t="s">
        <v>72</v>
      </c>
      <c r="C10" s="37">
        <f>C8</f>
        <v>3968.0502462499999</v>
      </c>
      <c r="D10" s="63">
        <v>4.7E-2</v>
      </c>
      <c r="E10" s="152">
        <f t="shared" si="2"/>
        <v>187.2340425531915</v>
      </c>
      <c r="F10" s="37">
        <v>7</v>
      </c>
      <c r="G10" s="38">
        <f t="shared" si="0"/>
        <v>4</v>
      </c>
      <c r="H10" s="65">
        <f t="shared" si="1"/>
        <v>2</v>
      </c>
      <c r="J10" s="41"/>
      <c r="K10" s="7"/>
      <c r="L10" s="8"/>
      <c r="M10" s="8"/>
      <c r="N10" s="7"/>
      <c r="O10" s="7"/>
      <c r="P10" s="7"/>
      <c r="Q10" s="7"/>
      <c r="R10" s="7"/>
      <c r="S10" s="7"/>
      <c r="T10" s="7"/>
      <c r="U10" s="7"/>
      <c r="V10" s="8"/>
      <c r="W10" s="8"/>
      <c r="X10" s="8"/>
    </row>
    <row r="11" spans="1:24" ht="21.75" customHeight="1">
      <c r="A11" s="7"/>
      <c r="B11" s="71" t="s">
        <v>73</v>
      </c>
      <c r="C11" s="37">
        <f>C10</f>
        <v>3968.0502462499999</v>
      </c>
      <c r="D11" s="63">
        <v>0.1855</v>
      </c>
      <c r="E11" s="152">
        <f t="shared" si="2"/>
        <v>47.439353099730461</v>
      </c>
      <c r="F11" s="37">
        <v>21</v>
      </c>
      <c r="G11" s="38">
        <f t="shared" si="0"/>
        <v>4</v>
      </c>
      <c r="H11" s="65">
        <f t="shared" si="1"/>
        <v>2</v>
      </c>
      <c r="J11" s="41"/>
      <c r="K11" s="7"/>
      <c r="L11" s="8"/>
      <c r="M11" s="8"/>
      <c r="N11" s="7"/>
      <c r="O11" s="7"/>
      <c r="P11" s="7"/>
      <c r="Q11" s="7"/>
      <c r="R11" s="7"/>
      <c r="S11" s="7"/>
      <c r="T11" s="7"/>
      <c r="U11" s="7"/>
      <c r="V11" s="8"/>
      <c r="W11" s="8"/>
      <c r="X11" s="8"/>
    </row>
    <row r="12" spans="1:24" ht="21.75" customHeight="1">
      <c r="A12" s="7"/>
      <c r="B12" s="71" t="s">
        <v>182</v>
      </c>
      <c r="C12" s="37">
        <v>451.70282399999996</v>
      </c>
      <c r="D12" s="63">
        <v>0.94499999999999995</v>
      </c>
      <c r="E12" s="152">
        <f t="shared" si="2"/>
        <v>9.3121693121693134</v>
      </c>
      <c r="F12" s="37">
        <v>13</v>
      </c>
      <c r="G12" s="38">
        <f t="shared" si="0"/>
        <v>4</v>
      </c>
      <c r="H12" s="65">
        <f t="shared" si="1"/>
        <v>2</v>
      </c>
      <c r="J12" s="41"/>
      <c r="K12" s="7"/>
      <c r="L12" s="8"/>
      <c r="M12" s="8"/>
      <c r="N12" s="7"/>
      <c r="O12" s="7"/>
      <c r="P12" s="7"/>
      <c r="Q12" s="7"/>
      <c r="R12" s="7"/>
      <c r="S12" s="7"/>
      <c r="T12" s="7"/>
      <c r="U12" s="7"/>
      <c r="V12" s="8"/>
      <c r="W12" s="8"/>
      <c r="X12" s="8"/>
    </row>
    <row r="13" spans="1:24" ht="21.75" customHeight="1">
      <c r="A13" s="7"/>
      <c r="B13" s="71" t="s">
        <v>74</v>
      </c>
      <c r="C13" s="37" t="s">
        <v>75</v>
      </c>
      <c r="D13" s="63" t="s">
        <v>75</v>
      </c>
      <c r="E13" s="152"/>
      <c r="F13" s="38">
        <f>5*4</f>
        <v>20</v>
      </c>
      <c r="G13" s="38" t="s">
        <v>75</v>
      </c>
      <c r="H13" s="65" t="s">
        <v>75</v>
      </c>
      <c r="J13" s="41"/>
      <c r="K13" s="7"/>
      <c r="L13" s="8"/>
      <c r="M13" s="8"/>
      <c r="N13" s="7"/>
      <c r="O13" s="7"/>
      <c r="P13" s="7"/>
      <c r="Q13" s="7"/>
      <c r="R13" s="7"/>
      <c r="S13" s="7"/>
      <c r="T13" s="7"/>
      <c r="U13" s="7"/>
      <c r="V13" s="8"/>
      <c r="W13" s="8"/>
      <c r="X13" s="8"/>
    </row>
    <row r="14" spans="1:24" ht="21.75" customHeight="1">
      <c r="A14" s="7"/>
      <c r="B14" s="71" t="s">
        <v>76</v>
      </c>
      <c r="C14" s="37" t="s">
        <v>75</v>
      </c>
      <c r="D14" s="63" t="s">
        <v>75</v>
      </c>
      <c r="E14" s="152"/>
      <c r="F14" s="38">
        <f>4*4</f>
        <v>16</v>
      </c>
      <c r="G14" s="38" t="s">
        <v>75</v>
      </c>
      <c r="H14" s="65" t="s">
        <v>75</v>
      </c>
      <c r="J14" s="41"/>
      <c r="K14" s="7"/>
      <c r="L14" s="8"/>
      <c r="M14" s="8"/>
      <c r="N14" s="7"/>
      <c r="O14" s="7"/>
      <c r="P14" s="7"/>
      <c r="Q14" s="7"/>
      <c r="R14" s="7"/>
      <c r="S14" s="7"/>
      <c r="T14" s="7"/>
      <c r="U14" s="7"/>
      <c r="V14" s="8"/>
      <c r="W14" s="8"/>
      <c r="X14" s="8"/>
    </row>
    <row r="15" spans="1:24" ht="21.75" customHeight="1">
      <c r="A15" s="7"/>
      <c r="B15" s="18"/>
      <c r="C15" s="72"/>
      <c r="D15" s="45" t="s">
        <v>58</v>
      </c>
      <c r="E15" s="154"/>
      <c r="F15" s="73">
        <f>SUM(F7:F14)</f>
        <v>142</v>
      </c>
      <c r="G15" s="22" t="s">
        <v>59</v>
      </c>
      <c r="H15" s="74">
        <f>F15/22</f>
        <v>6.4545454545454541</v>
      </c>
      <c r="I15" s="75"/>
      <c r="J15" s="41"/>
      <c r="K15" s="7"/>
      <c r="L15" s="8"/>
      <c r="M15" s="8"/>
      <c r="N15" s="7"/>
      <c r="O15" s="7"/>
      <c r="P15" s="7"/>
      <c r="Q15" s="7"/>
      <c r="R15" s="7"/>
      <c r="S15" s="7"/>
      <c r="T15" s="7"/>
      <c r="U15" s="7"/>
      <c r="V15" s="8"/>
      <c r="W15" s="8"/>
      <c r="X15" s="8"/>
    </row>
    <row r="16" spans="1:24" ht="21.75" customHeight="1">
      <c r="A16" s="7"/>
      <c r="B16" s="207" t="s">
        <v>190</v>
      </c>
      <c r="C16" s="207"/>
      <c r="D16" s="207"/>
      <c r="E16" s="207"/>
      <c r="F16" s="207"/>
      <c r="G16" s="207"/>
      <c r="H16" s="207"/>
      <c r="I16" s="7"/>
      <c r="J16" s="41"/>
      <c r="K16" s="7"/>
      <c r="L16" s="8"/>
      <c r="M16" s="8"/>
      <c r="N16" s="7"/>
      <c r="O16" s="7"/>
      <c r="P16" s="7"/>
      <c r="Q16" s="7"/>
      <c r="R16" s="7"/>
      <c r="S16" s="7"/>
      <c r="T16" s="7"/>
      <c r="U16" s="7"/>
      <c r="V16" s="8"/>
      <c r="W16" s="8"/>
      <c r="X16" s="8"/>
    </row>
    <row r="17" spans="1:24" ht="21.75" customHeight="1">
      <c r="A17" s="7"/>
      <c r="B17" s="32" t="s">
        <v>66</v>
      </c>
      <c r="C17" s="33" t="s">
        <v>67</v>
      </c>
      <c r="D17" s="60" t="s">
        <v>60</v>
      </c>
      <c r="E17" s="153"/>
      <c r="F17" s="33" t="s">
        <v>68</v>
      </c>
      <c r="G17" s="33" t="s">
        <v>69</v>
      </c>
      <c r="H17" s="29" t="s">
        <v>55</v>
      </c>
      <c r="I17" s="7"/>
      <c r="J17" s="41"/>
      <c r="K17" s="7"/>
      <c r="L17" s="8"/>
      <c r="M17" s="8"/>
      <c r="N17" s="7"/>
      <c r="O17" s="7"/>
      <c r="P17" s="7"/>
      <c r="Q17" s="7"/>
      <c r="R17" s="7"/>
      <c r="S17" s="7"/>
      <c r="T17" s="7"/>
      <c r="U17" s="7"/>
      <c r="V17" s="8"/>
      <c r="W17" s="8"/>
      <c r="X17" s="8"/>
    </row>
    <row r="18" spans="1:24" ht="21.75" customHeight="1">
      <c r="A18" s="7"/>
      <c r="B18" s="71" t="s">
        <v>70</v>
      </c>
      <c r="C18" s="37">
        <f>C7/2</f>
        <v>1984.0251231249999</v>
      </c>
      <c r="D18" s="63">
        <v>0.17419999999999999</v>
      </c>
      <c r="E18" s="152">
        <f>8.8/D18</f>
        <v>50.516647531572907</v>
      </c>
      <c r="F18" s="37">
        <v>10</v>
      </c>
      <c r="G18" s="38">
        <f t="shared" ref="G18:G19" si="4">ROUNDUP(((($C18*D18)/(F18*8.8))),0)</f>
        <v>4</v>
      </c>
      <c r="H18" s="65">
        <f t="shared" ref="H18:H23" si="5">ROUNDUP(G18/2,0)</f>
        <v>2</v>
      </c>
      <c r="I18" s="7"/>
      <c r="J18" s="41"/>
      <c r="K18" s="7"/>
      <c r="L18" s="8"/>
      <c r="M18" s="8"/>
      <c r="N18" s="7"/>
      <c r="O18" s="7"/>
      <c r="P18" s="7"/>
      <c r="Q18" s="7"/>
      <c r="R18" s="7"/>
      <c r="S18" s="7"/>
      <c r="T18" s="7"/>
      <c r="U18" s="7"/>
      <c r="V18" s="8"/>
      <c r="W18" s="8"/>
      <c r="X18" s="8"/>
    </row>
    <row r="19" spans="1:24" ht="21.75" customHeight="1">
      <c r="A19" s="7"/>
      <c r="B19" s="71" t="s">
        <v>71</v>
      </c>
      <c r="C19" s="37">
        <f t="shared" ref="C19:C23" si="6">C8/2</f>
        <v>1984.0251231249999</v>
      </c>
      <c r="D19" s="63">
        <v>0.63280000000000003</v>
      </c>
      <c r="E19" s="152">
        <f t="shared" ref="E19:E23" si="7">8.8/D19</f>
        <v>13.906447534766119</v>
      </c>
      <c r="F19" s="37">
        <v>36</v>
      </c>
      <c r="G19" s="38">
        <f t="shared" si="4"/>
        <v>4</v>
      </c>
      <c r="H19" s="65">
        <f t="shared" si="5"/>
        <v>2</v>
      </c>
      <c r="I19" s="7"/>
      <c r="J19" s="41"/>
      <c r="K19" s="7"/>
      <c r="L19" s="8"/>
      <c r="M19" s="8"/>
      <c r="N19" s="7"/>
      <c r="O19" s="7"/>
      <c r="P19" s="7"/>
      <c r="Q19" s="7"/>
      <c r="R19" s="7"/>
      <c r="S19" s="7"/>
      <c r="T19" s="7"/>
      <c r="U19" s="7"/>
      <c r="V19" s="8"/>
      <c r="W19" s="8"/>
      <c r="X19" s="8"/>
    </row>
    <row r="20" spans="1:24" ht="21.75" customHeight="1">
      <c r="A20" s="7"/>
      <c r="B20" s="71" t="s">
        <v>183</v>
      </c>
      <c r="C20" s="37">
        <f t="shared" si="6"/>
        <v>4960.9228913000006</v>
      </c>
      <c r="D20" s="152">
        <v>0.129</v>
      </c>
      <c r="E20" s="152">
        <f>8.8/D20</f>
        <v>68.217054263565899</v>
      </c>
      <c r="F20" s="151">
        <v>19</v>
      </c>
      <c r="G20" s="38">
        <f>ROUNDUP(((($C20*D20)/(F20*8.8))),0)</f>
        <v>4</v>
      </c>
      <c r="H20" s="65">
        <f t="shared" si="5"/>
        <v>2</v>
      </c>
      <c r="I20" s="7"/>
      <c r="J20" s="41"/>
      <c r="K20" s="7"/>
      <c r="L20" s="8"/>
      <c r="M20" s="8"/>
      <c r="N20" s="7"/>
      <c r="O20" s="7"/>
      <c r="P20" s="7"/>
      <c r="Q20" s="7"/>
      <c r="R20" s="7"/>
      <c r="S20" s="7"/>
      <c r="T20" s="7"/>
      <c r="U20" s="7"/>
      <c r="V20" s="8"/>
      <c r="W20" s="8"/>
      <c r="X20" s="8"/>
    </row>
    <row r="21" spans="1:24" ht="21.75" customHeight="1">
      <c r="A21" s="7"/>
      <c r="B21" s="71" t="s">
        <v>72</v>
      </c>
      <c r="C21" s="37">
        <f t="shared" si="6"/>
        <v>1984.0251231249999</v>
      </c>
      <c r="D21" s="63">
        <v>4.7E-2</v>
      </c>
      <c r="E21" s="152">
        <f t="shared" si="7"/>
        <v>187.2340425531915</v>
      </c>
      <c r="F21" s="37">
        <v>7</v>
      </c>
      <c r="G21" s="38">
        <f t="shared" ref="G21:G23" si="8">ROUNDUP(((($C21*D21)/(F21*8.8))),0)</f>
        <v>2</v>
      </c>
      <c r="H21" s="65">
        <f t="shared" si="5"/>
        <v>1</v>
      </c>
      <c r="I21" s="7"/>
      <c r="J21" s="41"/>
      <c r="K21" s="7"/>
      <c r="L21" s="8"/>
      <c r="M21" s="8"/>
      <c r="N21" s="7"/>
      <c r="O21" s="7"/>
      <c r="P21" s="7"/>
      <c r="Q21" s="7"/>
      <c r="R21" s="7"/>
      <c r="S21" s="7"/>
      <c r="T21" s="7"/>
      <c r="U21" s="7"/>
      <c r="V21" s="8"/>
      <c r="W21" s="8"/>
      <c r="X21" s="8"/>
    </row>
    <row r="22" spans="1:24" ht="21.75" customHeight="1">
      <c r="A22" s="7"/>
      <c r="B22" s="71" t="s">
        <v>73</v>
      </c>
      <c r="C22" s="37">
        <f t="shared" si="6"/>
        <v>1984.0251231249999</v>
      </c>
      <c r="D22" s="63">
        <v>0.1855</v>
      </c>
      <c r="E22" s="152">
        <f t="shared" si="7"/>
        <v>47.439353099730461</v>
      </c>
      <c r="F22" s="37">
        <v>21</v>
      </c>
      <c r="G22" s="38">
        <f t="shared" si="8"/>
        <v>2</v>
      </c>
      <c r="H22" s="65">
        <f t="shared" si="5"/>
        <v>1</v>
      </c>
      <c r="I22" s="7"/>
      <c r="J22" s="41"/>
      <c r="K22" s="7"/>
      <c r="L22" s="8"/>
      <c r="M22" s="8"/>
      <c r="N22" s="7"/>
      <c r="O22" s="7"/>
      <c r="P22" s="7"/>
      <c r="Q22" s="7"/>
      <c r="R22" s="7"/>
      <c r="S22" s="7"/>
      <c r="T22" s="7"/>
      <c r="U22" s="7"/>
      <c r="V22" s="8"/>
      <c r="W22" s="8"/>
      <c r="X22" s="8"/>
    </row>
    <row r="23" spans="1:24" ht="21.75" customHeight="1">
      <c r="A23" s="7"/>
      <c r="B23" s="71" t="s">
        <v>182</v>
      </c>
      <c r="C23" s="37">
        <f t="shared" si="6"/>
        <v>225.85141199999998</v>
      </c>
      <c r="D23" s="63">
        <v>0.94499999999999995</v>
      </c>
      <c r="E23" s="152">
        <f t="shared" si="7"/>
        <v>9.3121693121693134</v>
      </c>
      <c r="F23" s="37">
        <v>13</v>
      </c>
      <c r="G23" s="38">
        <f t="shared" si="8"/>
        <v>2</v>
      </c>
      <c r="H23" s="65">
        <f t="shared" si="5"/>
        <v>1</v>
      </c>
      <c r="I23" s="7"/>
      <c r="J23" s="41"/>
      <c r="K23" s="7"/>
      <c r="L23" s="8"/>
      <c r="M23" s="8"/>
      <c r="N23" s="7"/>
      <c r="O23" s="7"/>
      <c r="P23" s="7"/>
      <c r="Q23" s="7"/>
      <c r="R23" s="7"/>
      <c r="S23" s="7"/>
      <c r="T23" s="7"/>
      <c r="U23" s="7"/>
      <c r="V23" s="8"/>
      <c r="W23" s="8"/>
      <c r="X23" s="8"/>
    </row>
    <row r="24" spans="1:24" ht="21.75" customHeight="1">
      <c r="A24" s="7"/>
      <c r="B24" s="71" t="s">
        <v>74</v>
      </c>
      <c r="C24" s="37" t="s">
        <v>75</v>
      </c>
      <c r="D24" s="63" t="s">
        <v>75</v>
      </c>
      <c r="E24" s="152"/>
      <c r="F24" s="38">
        <f>5*4</f>
        <v>20</v>
      </c>
      <c r="G24" s="38" t="s">
        <v>75</v>
      </c>
      <c r="H24" s="65" t="s">
        <v>75</v>
      </c>
      <c r="I24" s="7"/>
      <c r="J24" s="41"/>
      <c r="K24" s="7"/>
      <c r="L24" s="8"/>
      <c r="M24" s="8"/>
      <c r="N24" s="7"/>
      <c r="O24" s="7"/>
      <c r="P24" s="7"/>
      <c r="Q24" s="7"/>
      <c r="R24" s="7"/>
      <c r="S24" s="7"/>
      <c r="T24" s="7"/>
      <c r="U24" s="7"/>
      <c r="V24" s="8"/>
      <c r="W24" s="8"/>
      <c r="X24" s="8"/>
    </row>
    <row r="25" spans="1:24" ht="21.75" customHeight="1">
      <c r="A25" s="7"/>
      <c r="B25" s="71" t="s">
        <v>76</v>
      </c>
      <c r="C25" s="37" t="s">
        <v>75</v>
      </c>
      <c r="D25" s="63" t="s">
        <v>75</v>
      </c>
      <c r="E25" s="152"/>
      <c r="F25" s="38">
        <f>4*4</f>
        <v>16</v>
      </c>
      <c r="G25" s="38" t="s">
        <v>75</v>
      </c>
      <c r="H25" s="65" t="s">
        <v>75</v>
      </c>
      <c r="I25" s="7"/>
      <c r="J25" s="41"/>
      <c r="K25" s="7"/>
      <c r="L25" s="8"/>
      <c r="M25" s="8"/>
      <c r="N25" s="7"/>
      <c r="O25" s="7"/>
      <c r="P25" s="7"/>
      <c r="Q25" s="7"/>
      <c r="R25" s="7"/>
      <c r="S25" s="7"/>
      <c r="T25" s="7"/>
      <c r="U25" s="7"/>
      <c r="V25" s="8"/>
      <c r="W25" s="8"/>
      <c r="X25" s="8"/>
    </row>
    <row r="26" spans="1:24" ht="21.75" customHeight="1">
      <c r="A26" s="7"/>
      <c r="B26" s="18"/>
      <c r="C26" s="72"/>
      <c r="D26" s="45" t="s">
        <v>58</v>
      </c>
      <c r="E26" s="154"/>
      <c r="F26" s="73">
        <f>SUM(F18:F25)</f>
        <v>142</v>
      </c>
      <c r="G26" s="22" t="s">
        <v>59</v>
      </c>
      <c r="H26" s="74">
        <f>F26/22</f>
        <v>6.4545454545454541</v>
      </c>
      <c r="I26" s="7"/>
      <c r="J26" s="41"/>
      <c r="K26" s="7"/>
      <c r="L26" s="8"/>
      <c r="M26" s="8"/>
      <c r="N26" s="7"/>
      <c r="O26" s="7"/>
      <c r="P26" s="7"/>
      <c r="Q26" s="7"/>
      <c r="R26" s="7"/>
      <c r="S26" s="7"/>
      <c r="T26" s="7"/>
      <c r="U26" s="7"/>
      <c r="V26" s="8"/>
      <c r="W26" s="8"/>
      <c r="X26" s="8"/>
    </row>
    <row r="27" spans="1:24" ht="21.75" customHeight="1">
      <c r="A27" s="7"/>
      <c r="B27" s="49"/>
      <c r="C27" s="49"/>
      <c r="D27" s="7"/>
      <c r="E27" s="7"/>
      <c r="F27" s="7"/>
      <c r="G27" s="7"/>
      <c r="H27" s="50"/>
      <c r="I27" s="7"/>
      <c r="J27" s="41"/>
      <c r="K27" s="7"/>
      <c r="L27" s="8"/>
      <c r="M27" s="8"/>
      <c r="N27" s="7"/>
      <c r="O27" s="7"/>
      <c r="P27" s="7"/>
      <c r="Q27" s="7"/>
      <c r="R27" s="7"/>
      <c r="S27" s="7"/>
      <c r="T27" s="7"/>
      <c r="U27" s="7"/>
      <c r="V27" s="8"/>
      <c r="W27" s="8"/>
      <c r="X27" s="8"/>
    </row>
    <row r="28" spans="1:24" ht="21.75" customHeight="1">
      <c r="A28" s="7"/>
      <c r="B28" s="49"/>
      <c r="C28" s="49"/>
      <c r="D28" s="7"/>
      <c r="E28" s="7"/>
      <c r="F28" s="7"/>
      <c r="G28" s="7"/>
      <c r="H28" s="50"/>
      <c r="I28" s="7"/>
      <c r="J28" s="41"/>
      <c r="K28" s="7"/>
      <c r="L28" s="8"/>
      <c r="M28" s="8"/>
      <c r="N28" s="7"/>
      <c r="O28" s="7"/>
      <c r="P28" s="7"/>
      <c r="Q28" s="7"/>
      <c r="R28" s="7"/>
      <c r="S28" s="7"/>
      <c r="T28" s="7"/>
      <c r="U28" s="7"/>
      <c r="V28" s="8"/>
      <c r="W28" s="8"/>
      <c r="X28" s="8"/>
    </row>
    <row r="29" spans="1:24" ht="21.75" customHeight="1">
      <c r="A29" s="7"/>
      <c r="B29" s="49"/>
      <c r="C29" s="49"/>
      <c r="D29" s="7"/>
      <c r="E29" s="7"/>
      <c r="F29" s="7"/>
      <c r="G29" s="7"/>
      <c r="H29" s="50"/>
      <c r="I29" s="7"/>
      <c r="J29" s="41"/>
      <c r="K29" s="7"/>
      <c r="L29" s="8"/>
      <c r="M29" s="8"/>
      <c r="N29" s="7"/>
      <c r="O29" s="7"/>
      <c r="P29" s="7"/>
      <c r="Q29" s="7"/>
      <c r="R29" s="7"/>
      <c r="S29" s="7"/>
      <c r="T29" s="7"/>
      <c r="U29" s="7"/>
      <c r="V29" s="8"/>
      <c r="W29" s="8"/>
      <c r="X29" s="8"/>
    </row>
    <row r="30" spans="1:24" ht="9" customHeight="1">
      <c r="A30" s="7"/>
      <c r="B30" s="49"/>
      <c r="C30" s="49"/>
      <c r="D30" s="7"/>
      <c r="E30" s="7"/>
      <c r="F30" s="7"/>
      <c r="G30" s="7"/>
      <c r="H30" s="50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8"/>
      <c r="W30" s="8"/>
      <c r="X30" s="8"/>
    </row>
    <row r="31" spans="1:24" ht="21.75" customHeight="1">
      <c r="A31" s="7"/>
      <c r="B31" s="49"/>
      <c r="C31" s="49"/>
      <c r="D31" s="7"/>
      <c r="E31" s="7"/>
      <c r="F31" s="7"/>
      <c r="G31" s="7"/>
      <c r="H31" s="50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8"/>
      <c r="W31" s="8"/>
      <c r="X31" s="8"/>
    </row>
    <row r="32" spans="1:24" ht="21.75" customHeight="1">
      <c r="A32" s="7"/>
      <c r="B32" s="49"/>
      <c r="C32" s="49"/>
      <c r="D32" s="7"/>
      <c r="E32" s="7"/>
      <c r="F32" s="7"/>
      <c r="G32" s="7"/>
      <c r="H32" s="50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8"/>
      <c r="W32" s="8"/>
      <c r="X32" s="8"/>
    </row>
    <row r="33" spans="1:24" ht="21.75" customHeight="1">
      <c r="A33" s="7"/>
      <c r="B33" s="49"/>
      <c r="C33" s="49"/>
      <c r="D33" s="7"/>
      <c r="E33" s="7"/>
      <c r="F33" s="7"/>
      <c r="G33" s="7"/>
      <c r="H33" s="50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8"/>
      <c r="W33" s="8"/>
      <c r="X33" s="8"/>
    </row>
    <row r="34" spans="1:24" ht="21.75" customHeight="1">
      <c r="A34" s="7"/>
      <c r="B34" s="49"/>
      <c r="C34" s="49"/>
      <c r="D34" s="7"/>
      <c r="E34" s="7"/>
      <c r="F34" s="7"/>
      <c r="G34" s="7"/>
      <c r="H34" s="50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8"/>
      <c r="W34" s="8"/>
      <c r="X34" s="8"/>
    </row>
    <row r="35" spans="1:24" ht="21.75" customHeight="1">
      <c r="A35" s="7"/>
      <c r="B35" s="49"/>
      <c r="C35" s="49"/>
      <c r="D35" s="7"/>
      <c r="E35" s="7"/>
      <c r="F35" s="7"/>
      <c r="G35" s="7"/>
      <c r="H35" s="50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8"/>
      <c r="W35" s="8"/>
      <c r="X35" s="8"/>
    </row>
    <row r="36" spans="1:24" ht="21.75" customHeight="1">
      <c r="A36" s="7"/>
      <c r="B36" s="49"/>
      <c r="C36" s="49"/>
      <c r="D36" s="7"/>
      <c r="E36" s="7"/>
      <c r="F36" s="7"/>
      <c r="G36" s="7"/>
      <c r="H36" s="50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8"/>
      <c r="W36" s="8"/>
      <c r="X36" s="8"/>
    </row>
    <row r="37" spans="1:24" ht="21.75" customHeight="1">
      <c r="A37" s="7"/>
      <c r="B37" s="49"/>
      <c r="C37" s="49"/>
      <c r="D37" s="7"/>
      <c r="E37" s="7"/>
      <c r="F37" s="7"/>
      <c r="G37" s="7"/>
      <c r="H37" s="50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8"/>
      <c r="W37" s="8"/>
      <c r="X37" s="8"/>
    </row>
    <row r="38" spans="1:24" ht="21.75" customHeight="1">
      <c r="A38" s="7"/>
      <c r="B38" s="49"/>
      <c r="C38" s="49"/>
      <c r="D38" s="7"/>
      <c r="E38" s="7"/>
      <c r="F38" s="7"/>
      <c r="G38" s="7"/>
      <c r="H38" s="50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8"/>
      <c r="W38" s="8"/>
      <c r="X38" s="8"/>
    </row>
    <row r="39" spans="1:24" ht="21.75" customHeight="1">
      <c r="A39" s="7"/>
      <c r="B39" s="49"/>
      <c r="C39" s="49"/>
      <c r="D39" s="7"/>
      <c r="E39" s="7"/>
      <c r="F39" s="7"/>
      <c r="G39" s="7"/>
      <c r="H39" s="50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8"/>
      <c r="W39" s="8"/>
      <c r="X39" s="8"/>
    </row>
    <row r="40" spans="1:24" ht="21.75" customHeight="1">
      <c r="A40" s="7"/>
      <c r="B40" s="49"/>
      <c r="C40" s="49"/>
      <c r="D40" s="7"/>
      <c r="E40" s="7"/>
      <c r="F40" s="7"/>
      <c r="G40" s="7"/>
      <c r="H40" s="50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8"/>
      <c r="W40" s="8"/>
      <c r="X40" s="8"/>
    </row>
    <row r="41" spans="1:24" ht="21.75" customHeight="1">
      <c r="A41" s="7"/>
      <c r="B41" s="49"/>
      <c r="C41" s="49"/>
      <c r="D41" s="7"/>
      <c r="E41" s="7"/>
      <c r="F41" s="7"/>
      <c r="G41" s="7"/>
      <c r="H41" s="50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8"/>
      <c r="W41" s="8"/>
      <c r="X41" s="8"/>
    </row>
    <row r="42" spans="1:24" ht="21.75" customHeight="1">
      <c r="A42" s="7"/>
      <c r="B42" s="49"/>
      <c r="C42" s="49"/>
      <c r="D42" s="7"/>
      <c r="E42" s="7"/>
      <c r="F42" s="7"/>
      <c r="G42" s="7"/>
      <c r="H42" s="50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8"/>
      <c r="W42" s="8"/>
      <c r="X42" s="8"/>
    </row>
    <row r="43" spans="1:24" ht="21.75" customHeight="1">
      <c r="A43" s="7"/>
      <c r="B43" s="49"/>
      <c r="C43" s="49"/>
      <c r="D43" s="7"/>
      <c r="E43" s="7"/>
      <c r="F43" s="7"/>
      <c r="G43" s="7"/>
      <c r="H43" s="50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8"/>
      <c r="W43" s="8"/>
      <c r="X43" s="8"/>
    </row>
    <row r="44" spans="1:24" ht="21.75" customHeight="1">
      <c r="A44" s="7"/>
      <c r="B44" s="49"/>
      <c r="C44" s="49"/>
      <c r="D44" s="7"/>
      <c r="E44" s="7"/>
      <c r="F44" s="7"/>
      <c r="G44" s="7"/>
      <c r="H44" s="50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8"/>
      <c r="W44" s="8"/>
      <c r="X44" s="8"/>
    </row>
    <row r="45" spans="1:24" ht="21.75" customHeight="1">
      <c r="A45" s="7"/>
      <c r="B45" s="49"/>
      <c r="C45" s="49"/>
      <c r="D45" s="7"/>
      <c r="E45" s="7"/>
      <c r="F45" s="7"/>
      <c r="G45" s="7"/>
      <c r="H45" s="50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8"/>
      <c r="W45" s="8"/>
      <c r="X45" s="8"/>
    </row>
    <row r="46" spans="1:24" ht="21.75" customHeight="1">
      <c r="A46" s="7"/>
      <c r="B46" s="49"/>
      <c r="C46" s="49"/>
      <c r="D46" s="7"/>
      <c r="E46" s="7"/>
      <c r="F46" s="7"/>
      <c r="G46" s="7"/>
      <c r="H46" s="50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8"/>
      <c r="W46" s="8"/>
      <c r="X46" s="8"/>
    </row>
    <row r="47" spans="1:24" ht="21.75" customHeight="1">
      <c r="A47" s="7"/>
      <c r="B47" s="49"/>
      <c r="C47" s="49"/>
      <c r="D47" s="7"/>
      <c r="E47" s="7"/>
      <c r="F47" s="7"/>
      <c r="G47" s="7"/>
      <c r="H47" s="50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8"/>
      <c r="W47" s="8"/>
      <c r="X47" s="8"/>
    </row>
    <row r="48" spans="1:24" ht="21.75" customHeight="1">
      <c r="A48" s="7"/>
      <c r="B48" s="49"/>
      <c r="C48" s="49"/>
      <c r="D48" s="7"/>
      <c r="E48" s="7"/>
      <c r="F48" s="7"/>
      <c r="G48" s="7"/>
      <c r="H48" s="50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8"/>
      <c r="W48" s="8"/>
      <c r="X48" s="8"/>
    </row>
    <row r="49" spans="1:24" ht="21.75" customHeight="1">
      <c r="A49" s="7"/>
      <c r="B49" s="49"/>
      <c r="C49" s="49"/>
      <c r="D49" s="7"/>
      <c r="E49" s="7"/>
      <c r="F49" s="7"/>
      <c r="G49" s="7"/>
      <c r="H49" s="50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8"/>
      <c r="W49" s="8"/>
      <c r="X49" s="8"/>
    </row>
    <row r="50" spans="1:24" ht="21.75" customHeight="1">
      <c r="A50" s="7"/>
      <c r="B50" s="49"/>
      <c r="C50" s="49"/>
      <c r="D50" s="7"/>
      <c r="E50" s="7"/>
      <c r="F50" s="7"/>
      <c r="G50" s="7"/>
      <c r="H50" s="50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8"/>
      <c r="W50" s="8"/>
      <c r="X50" s="8"/>
    </row>
    <row r="51" spans="1:24" ht="21.75" customHeight="1">
      <c r="A51" s="7"/>
      <c r="B51" s="49"/>
      <c r="C51" s="49"/>
      <c r="D51" s="7"/>
      <c r="E51" s="7"/>
      <c r="F51" s="7"/>
      <c r="G51" s="7"/>
      <c r="H51" s="50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8"/>
      <c r="W51" s="8"/>
      <c r="X51" s="8"/>
    </row>
    <row r="52" spans="1:24" ht="21.75" customHeight="1">
      <c r="A52" s="7"/>
      <c r="B52" s="49"/>
      <c r="C52" s="49"/>
      <c r="D52" s="7"/>
      <c r="E52" s="7"/>
      <c r="F52" s="7"/>
      <c r="G52" s="7"/>
      <c r="H52" s="50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8"/>
      <c r="W52" s="8"/>
      <c r="X52" s="8"/>
    </row>
    <row r="53" spans="1:24" ht="21.75" customHeight="1">
      <c r="A53" s="7"/>
      <c r="B53" s="49"/>
      <c r="C53" s="49"/>
      <c r="D53" s="7"/>
      <c r="E53" s="7"/>
      <c r="F53" s="7"/>
      <c r="G53" s="7"/>
      <c r="H53" s="50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8"/>
      <c r="W53" s="8"/>
      <c r="X53" s="8"/>
    </row>
    <row r="54" spans="1:24" ht="21.75" customHeight="1">
      <c r="A54" s="7"/>
      <c r="B54" s="49"/>
      <c r="C54" s="49"/>
      <c r="D54" s="7"/>
      <c r="E54" s="7"/>
      <c r="F54" s="7"/>
      <c r="G54" s="7"/>
      <c r="H54" s="50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8"/>
      <c r="W54" s="8"/>
      <c r="X54" s="8"/>
    </row>
    <row r="55" spans="1:24" ht="21.75" customHeight="1">
      <c r="A55" s="7"/>
      <c r="B55" s="49"/>
      <c r="C55" s="49"/>
      <c r="D55" s="7"/>
      <c r="E55" s="7"/>
      <c r="F55" s="7"/>
      <c r="G55" s="7"/>
      <c r="H55" s="50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8"/>
      <c r="W55" s="8"/>
      <c r="X55" s="8"/>
    </row>
    <row r="56" spans="1:24" ht="21.75" customHeight="1">
      <c r="A56" s="7"/>
      <c r="B56" s="49"/>
      <c r="C56" s="49"/>
      <c r="D56" s="7"/>
      <c r="E56" s="7"/>
      <c r="F56" s="7"/>
      <c r="G56" s="7"/>
      <c r="H56" s="50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8"/>
      <c r="W56" s="8"/>
      <c r="X56" s="8"/>
    </row>
    <row r="57" spans="1:24" ht="21.75" customHeight="1">
      <c r="A57" s="7"/>
      <c r="B57" s="49"/>
      <c r="C57" s="49"/>
      <c r="D57" s="7"/>
      <c r="E57" s="7"/>
      <c r="F57" s="7"/>
      <c r="G57" s="7"/>
      <c r="H57" s="50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8"/>
      <c r="W57" s="8"/>
      <c r="X57" s="8"/>
    </row>
    <row r="58" spans="1:24" ht="21.75" customHeight="1">
      <c r="A58" s="7"/>
      <c r="B58" s="49"/>
      <c r="C58" s="49"/>
      <c r="D58" s="7"/>
      <c r="E58" s="7"/>
      <c r="F58" s="7"/>
      <c r="G58" s="7"/>
      <c r="H58" s="50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8"/>
      <c r="W58" s="8"/>
      <c r="X58" s="8"/>
    </row>
    <row r="59" spans="1:24" ht="21.75" customHeight="1">
      <c r="A59" s="7"/>
      <c r="B59" s="49"/>
      <c r="C59" s="49"/>
      <c r="D59" s="7"/>
      <c r="E59" s="7"/>
      <c r="F59" s="7"/>
      <c r="G59" s="7"/>
      <c r="H59" s="50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8"/>
      <c r="W59" s="8"/>
      <c r="X59" s="8"/>
    </row>
    <row r="60" spans="1:24" ht="21.75" customHeight="1">
      <c r="A60" s="7"/>
      <c r="B60" s="49"/>
      <c r="C60" s="49"/>
      <c r="D60" s="7"/>
      <c r="E60" s="7"/>
      <c r="F60" s="7"/>
      <c r="G60" s="7"/>
      <c r="H60" s="50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8"/>
      <c r="W60" s="8"/>
      <c r="X60" s="8"/>
    </row>
    <row r="61" spans="1:24" ht="21.75" customHeight="1">
      <c r="A61" s="7"/>
      <c r="B61" s="49"/>
      <c r="C61" s="49"/>
      <c r="D61" s="7"/>
      <c r="E61" s="7"/>
      <c r="F61" s="7"/>
      <c r="G61" s="7"/>
      <c r="H61" s="50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8"/>
      <c r="W61" s="8"/>
      <c r="X61" s="8"/>
    </row>
    <row r="62" spans="1:24" ht="21.75" customHeight="1">
      <c r="A62" s="7"/>
      <c r="B62" s="49"/>
      <c r="C62" s="49"/>
      <c r="D62" s="7"/>
      <c r="E62" s="7"/>
      <c r="F62" s="7"/>
      <c r="G62" s="7"/>
      <c r="H62" s="50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8"/>
      <c r="W62" s="8"/>
      <c r="X62" s="8"/>
    </row>
    <row r="63" spans="1:24" ht="21.75" customHeight="1">
      <c r="A63" s="7"/>
      <c r="B63" s="49"/>
      <c r="C63" s="49"/>
      <c r="D63" s="7"/>
      <c r="E63" s="7"/>
      <c r="F63" s="7"/>
      <c r="G63" s="7"/>
      <c r="H63" s="50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8"/>
      <c r="W63" s="8"/>
      <c r="X63" s="8"/>
    </row>
    <row r="64" spans="1:24" ht="21.75" customHeight="1">
      <c r="A64" s="7"/>
      <c r="B64" s="49"/>
      <c r="C64" s="49"/>
      <c r="D64" s="7"/>
      <c r="E64" s="7"/>
      <c r="F64" s="7"/>
      <c r="G64" s="7"/>
      <c r="H64" s="50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8"/>
      <c r="W64" s="8"/>
      <c r="X64" s="8"/>
    </row>
    <row r="65" spans="1:24" ht="21.75" customHeight="1">
      <c r="A65" s="7"/>
      <c r="B65" s="49"/>
      <c r="C65" s="49"/>
      <c r="D65" s="7"/>
      <c r="E65" s="7"/>
      <c r="F65" s="7"/>
      <c r="G65" s="7"/>
      <c r="H65" s="50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8"/>
      <c r="W65" s="8"/>
      <c r="X65" s="8"/>
    </row>
    <row r="66" spans="1:24" ht="21.75" customHeight="1">
      <c r="A66" s="7"/>
      <c r="B66" s="49"/>
      <c r="C66" s="49"/>
      <c r="D66" s="7"/>
      <c r="E66" s="7"/>
      <c r="F66" s="7"/>
      <c r="G66" s="7"/>
      <c r="H66" s="50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8"/>
      <c r="W66" s="8"/>
      <c r="X66" s="8"/>
    </row>
    <row r="67" spans="1:24" ht="21.75" customHeight="1">
      <c r="A67" s="7"/>
      <c r="B67" s="49"/>
      <c r="C67" s="49"/>
      <c r="D67" s="7"/>
      <c r="E67" s="7"/>
      <c r="F67" s="7"/>
      <c r="G67" s="7"/>
      <c r="H67" s="50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8"/>
      <c r="W67" s="8"/>
      <c r="X67" s="8"/>
    </row>
    <row r="68" spans="1:24" ht="21.75" customHeight="1">
      <c r="A68" s="7"/>
      <c r="B68" s="49"/>
      <c r="C68" s="49"/>
      <c r="D68" s="7"/>
      <c r="E68" s="7"/>
      <c r="F68" s="7"/>
      <c r="G68" s="7"/>
      <c r="H68" s="50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8"/>
      <c r="W68" s="8"/>
      <c r="X68" s="8"/>
    </row>
    <row r="69" spans="1:24" ht="21.75" customHeight="1">
      <c r="A69" s="7"/>
      <c r="B69" s="49"/>
      <c r="C69" s="49"/>
      <c r="D69" s="7"/>
      <c r="E69" s="7"/>
      <c r="F69" s="7"/>
      <c r="G69" s="7"/>
      <c r="H69" s="50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8"/>
      <c r="W69" s="8"/>
      <c r="X69" s="8"/>
    </row>
    <row r="70" spans="1:24" ht="21.75" customHeight="1">
      <c r="A70" s="7"/>
      <c r="B70" s="49"/>
      <c r="C70" s="49"/>
      <c r="D70" s="7"/>
      <c r="E70" s="7"/>
      <c r="F70" s="7"/>
      <c r="G70" s="7"/>
      <c r="H70" s="50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8"/>
      <c r="W70" s="8"/>
      <c r="X70" s="8"/>
    </row>
    <row r="71" spans="1:24" ht="21.75" customHeight="1">
      <c r="A71" s="7"/>
      <c r="B71" s="49"/>
      <c r="C71" s="49"/>
      <c r="D71" s="7"/>
      <c r="E71" s="7"/>
      <c r="F71" s="7"/>
      <c r="G71" s="7"/>
      <c r="H71" s="50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8"/>
      <c r="W71" s="8"/>
      <c r="X71" s="8"/>
    </row>
    <row r="72" spans="1:24" ht="21.75" customHeight="1">
      <c r="A72" s="7"/>
      <c r="B72" s="49"/>
      <c r="C72" s="49"/>
      <c r="D72" s="7"/>
      <c r="E72" s="7"/>
      <c r="F72" s="7"/>
      <c r="G72" s="7"/>
      <c r="H72" s="50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8"/>
      <c r="W72" s="8"/>
      <c r="X72" s="8"/>
    </row>
    <row r="73" spans="1:24" ht="21.75" customHeight="1">
      <c r="A73" s="7"/>
      <c r="B73" s="49"/>
      <c r="C73" s="49"/>
      <c r="D73" s="7"/>
      <c r="E73" s="7"/>
      <c r="F73" s="7"/>
      <c r="G73" s="7"/>
      <c r="H73" s="50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8"/>
      <c r="W73" s="8"/>
      <c r="X73" s="8"/>
    </row>
    <row r="74" spans="1:24" ht="21.75" customHeight="1">
      <c r="A74" s="7"/>
      <c r="B74" s="49"/>
      <c r="C74" s="49"/>
      <c r="D74" s="7"/>
      <c r="E74" s="7"/>
      <c r="F74" s="7"/>
      <c r="G74" s="7"/>
      <c r="H74" s="50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8"/>
      <c r="W74" s="8"/>
      <c r="X74" s="8"/>
    </row>
    <row r="75" spans="1:24" ht="21.75" customHeight="1">
      <c r="A75" s="7"/>
      <c r="B75" s="49"/>
      <c r="C75" s="49"/>
      <c r="D75" s="7"/>
      <c r="E75" s="7"/>
      <c r="F75" s="7"/>
      <c r="G75" s="7"/>
      <c r="H75" s="50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8"/>
      <c r="W75" s="8"/>
      <c r="X75" s="8"/>
    </row>
    <row r="76" spans="1:24" ht="21.75" customHeight="1">
      <c r="A76" s="7"/>
      <c r="B76" s="49"/>
      <c r="C76" s="49"/>
      <c r="D76" s="7"/>
      <c r="E76" s="7"/>
      <c r="F76" s="7"/>
      <c r="G76" s="7"/>
      <c r="H76" s="50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8"/>
      <c r="W76" s="8"/>
      <c r="X76" s="8"/>
    </row>
    <row r="77" spans="1:24" ht="21.75" customHeight="1">
      <c r="A77" s="7"/>
      <c r="B77" s="49"/>
      <c r="C77" s="49"/>
      <c r="D77" s="7"/>
      <c r="E77" s="7"/>
      <c r="F77" s="7"/>
      <c r="G77" s="7"/>
      <c r="H77" s="50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8"/>
      <c r="W77" s="8"/>
      <c r="X77" s="8"/>
    </row>
    <row r="78" spans="1:24" ht="21.75" customHeight="1">
      <c r="A78" s="7"/>
      <c r="B78" s="49"/>
      <c r="C78" s="49"/>
      <c r="D78" s="7"/>
      <c r="E78" s="7"/>
      <c r="F78" s="7"/>
      <c r="G78" s="7"/>
      <c r="H78" s="50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8"/>
      <c r="W78" s="8"/>
      <c r="X78" s="8"/>
    </row>
    <row r="79" spans="1:24" ht="21.75" customHeight="1">
      <c r="A79" s="7"/>
      <c r="B79" s="49"/>
      <c r="C79" s="49"/>
      <c r="D79" s="7"/>
      <c r="E79" s="7"/>
      <c r="F79" s="7"/>
      <c r="G79" s="7"/>
      <c r="H79" s="50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8"/>
      <c r="W79" s="8"/>
      <c r="X79" s="8"/>
    </row>
    <row r="80" spans="1:24" ht="21.75" customHeight="1">
      <c r="A80" s="7"/>
      <c r="B80" s="49"/>
      <c r="C80" s="49"/>
      <c r="D80" s="7"/>
      <c r="E80" s="7"/>
      <c r="F80" s="7"/>
      <c r="G80" s="7"/>
      <c r="H80" s="50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8"/>
      <c r="W80" s="8"/>
      <c r="X80" s="8"/>
    </row>
    <row r="81" spans="1:24" ht="21.75" customHeight="1">
      <c r="A81" s="7"/>
      <c r="B81" s="49"/>
      <c r="C81" s="49"/>
      <c r="D81" s="7"/>
      <c r="E81" s="7"/>
      <c r="F81" s="7"/>
      <c r="G81" s="7"/>
      <c r="H81" s="50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8"/>
      <c r="W81" s="8"/>
      <c r="X81" s="8"/>
    </row>
    <row r="82" spans="1:24" ht="21.75" customHeight="1">
      <c r="A82" s="7"/>
      <c r="B82" s="49"/>
      <c r="C82" s="49"/>
      <c r="D82" s="7"/>
      <c r="E82" s="7"/>
      <c r="F82" s="7"/>
      <c r="G82" s="7"/>
      <c r="H82" s="50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8"/>
      <c r="W82" s="8"/>
      <c r="X82" s="8"/>
    </row>
    <row r="83" spans="1:24" ht="21.75" customHeight="1">
      <c r="A83" s="7"/>
      <c r="B83" s="49"/>
      <c r="C83" s="49"/>
      <c r="D83" s="7"/>
      <c r="E83" s="7"/>
      <c r="F83" s="7"/>
      <c r="G83" s="7"/>
      <c r="H83" s="50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8"/>
      <c r="W83" s="8"/>
      <c r="X83" s="8"/>
    </row>
    <row r="84" spans="1:24" ht="21.75" customHeight="1">
      <c r="A84" s="7"/>
      <c r="B84" s="49"/>
      <c r="C84" s="49"/>
      <c r="D84" s="7"/>
      <c r="E84" s="7"/>
      <c r="F84" s="7"/>
      <c r="G84" s="7"/>
      <c r="H84" s="50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8"/>
      <c r="W84" s="8"/>
      <c r="X84" s="8"/>
    </row>
    <row r="85" spans="1:24" ht="21.75" customHeight="1">
      <c r="A85" s="7"/>
      <c r="B85" s="49"/>
      <c r="C85" s="49"/>
      <c r="D85" s="7"/>
      <c r="E85" s="7"/>
      <c r="F85" s="7"/>
      <c r="G85" s="7"/>
      <c r="H85" s="50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8"/>
      <c r="W85" s="8"/>
      <c r="X85" s="8"/>
    </row>
    <row r="86" spans="1:24" ht="21.75" customHeight="1">
      <c r="A86" s="7"/>
      <c r="B86" s="49"/>
      <c r="C86" s="49"/>
      <c r="D86" s="7"/>
      <c r="E86" s="7"/>
      <c r="F86" s="7"/>
      <c r="G86" s="7"/>
      <c r="H86" s="50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8"/>
      <c r="W86" s="8"/>
      <c r="X86" s="8"/>
    </row>
    <row r="87" spans="1:24" ht="21.75" customHeight="1">
      <c r="A87" s="7"/>
      <c r="B87" s="49"/>
      <c r="C87" s="49"/>
      <c r="D87" s="7"/>
      <c r="E87" s="7"/>
      <c r="F87" s="7"/>
      <c r="G87" s="7"/>
      <c r="H87" s="50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8"/>
      <c r="W87" s="8"/>
      <c r="X87" s="8"/>
    </row>
    <row r="88" spans="1:24" ht="21.75" customHeight="1">
      <c r="A88" s="7"/>
      <c r="B88" s="49"/>
      <c r="C88" s="49"/>
      <c r="D88" s="7"/>
      <c r="E88" s="7"/>
      <c r="F88" s="7"/>
      <c r="G88" s="7"/>
      <c r="H88" s="50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8"/>
      <c r="W88" s="8"/>
      <c r="X88" s="8"/>
    </row>
    <row r="89" spans="1:24" ht="21.75" customHeight="1">
      <c r="A89" s="7"/>
      <c r="B89" s="49"/>
      <c r="C89" s="49"/>
      <c r="D89" s="7"/>
      <c r="E89" s="7"/>
      <c r="F89" s="7"/>
      <c r="G89" s="7"/>
      <c r="H89" s="50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8"/>
      <c r="W89" s="8"/>
      <c r="X89" s="8"/>
    </row>
    <row r="90" spans="1:24" ht="21.75" customHeight="1">
      <c r="A90" s="7"/>
      <c r="B90" s="49"/>
      <c r="C90" s="49"/>
      <c r="D90" s="7"/>
      <c r="E90" s="7"/>
      <c r="F90" s="7"/>
      <c r="G90" s="7"/>
      <c r="H90" s="50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8"/>
      <c r="W90" s="8"/>
      <c r="X90" s="8"/>
    </row>
    <row r="91" spans="1:24" ht="21.75" customHeight="1">
      <c r="A91" s="7"/>
      <c r="B91" s="49"/>
      <c r="C91" s="49"/>
      <c r="D91" s="7"/>
      <c r="E91" s="7"/>
      <c r="F91" s="7"/>
      <c r="G91" s="7"/>
      <c r="H91" s="50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8"/>
      <c r="W91" s="8"/>
      <c r="X91" s="8"/>
    </row>
    <row r="92" spans="1:24" ht="21.75" customHeight="1">
      <c r="A92" s="7"/>
      <c r="B92" s="49"/>
      <c r="C92" s="49"/>
      <c r="D92" s="7"/>
      <c r="E92" s="7"/>
      <c r="F92" s="7"/>
      <c r="G92" s="7"/>
      <c r="H92" s="50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8"/>
      <c r="W92" s="8"/>
      <c r="X92" s="8"/>
    </row>
    <row r="93" spans="1:24" ht="21.75" customHeight="1">
      <c r="A93" s="7"/>
      <c r="B93" s="49"/>
      <c r="C93" s="49"/>
      <c r="D93" s="7"/>
      <c r="E93" s="7"/>
      <c r="F93" s="7"/>
      <c r="G93" s="7"/>
      <c r="H93" s="50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8"/>
      <c r="W93" s="8"/>
      <c r="X93" s="8"/>
    </row>
    <row r="94" spans="1:24" ht="21.75" customHeight="1">
      <c r="A94" s="7"/>
      <c r="B94" s="49"/>
      <c r="C94" s="49"/>
      <c r="D94" s="7"/>
      <c r="E94" s="7"/>
      <c r="F94" s="7"/>
      <c r="G94" s="7"/>
      <c r="H94" s="50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8"/>
      <c r="W94" s="8"/>
      <c r="X94" s="8"/>
    </row>
    <row r="95" spans="1:24" ht="21.75" customHeight="1">
      <c r="A95" s="7"/>
      <c r="B95" s="49"/>
      <c r="C95" s="49"/>
      <c r="D95" s="7"/>
      <c r="E95" s="7"/>
      <c r="F95" s="7"/>
      <c r="G95" s="7"/>
      <c r="H95" s="50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8"/>
      <c r="W95" s="8"/>
      <c r="X95" s="8"/>
    </row>
    <row r="96" spans="1:24" ht="21.75" customHeight="1">
      <c r="A96" s="7"/>
      <c r="B96" s="49"/>
      <c r="C96" s="49"/>
      <c r="D96" s="7"/>
      <c r="E96" s="7"/>
      <c r="F96" s="7"/>
      <c r="G96" s="7"/>
      <c r="H96" s="50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8"/>
      <c r="W96" s="8"/>
      <c r="X96" s="8"/>
    </row>
    <row r="97" spans="1:24" ht="21.75" customHeight="1">
      <c r="A97" s="7"/>
      <c r="B97" s="49"/>
      <c r="C97" s="49"/>
      <c r="D97" s="7"/>
      <c r="E97" s="7"/>
      <c r="F97" s="7"/>
      <c r="G97" s="7"/>
      <c r="H97" s="50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8"/>
      <c r="W97" s="8"/>
      <c r="X97" s="8"/>
    </row>
    <row r="98" spans="1:24" ht="21.75" customHeight="1">
      <c r="A98" s="7"/>
      <c r="B98" s="49"/>
      <c r="C98" s="49"/>
      <c r="D98" s="7"/>
      <c r="E98" s="7"/>
      <c r="F98" s="7"/>
      <c r="G98" s="7"/>
      <c r="H98" s="50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8"/>
      <c r="W98" s="8"/>
      <c r="X98" s="8"/>
    </row>
    <row r="99" spans="1:24" ht="21.75" customHeight="1">
      <c r="A99" s="7"/>
      <c r="B99" s="49"/>
      <c r="C99" s="49"/>
      <c r="D99" s="7"/>
      <c r="E99" s="7"/>
      <c r="F99" s="7"/>
      <c r="G99" s="7"/>
      <c r="H99" s="50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8"/>
      <c r="W99" s="8"/>
      <c r="X99" s="8"/>
    </row>
    <row r="100" spans="1:24" ht="21.75" customHeight="1">
      <c r="A100" s="7"/>
      <c r="B100" s="49"/>
      <c r="C100" s="49"/>
      <c r="D100" s="7"/>
      <c r="E100" s="7"/>
      <c r="F100" s="7"/>
      <c r="G100" s="7"/>
      <c r="H100" s="50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8"/>
      <c r="W100" s="8"/>
      <c r="X100" s="8"/>
    </row>
    <row r="101" spans="1:24" ht="21.75" customHeight="1">
      <c r="A101" s="7"/>
      <c r="B101" s="49"/>
      <c r="C101" s="49"/>
      <c r="D101" s="7"/>
      <c r="E101" s="7"/>
      <c r="F101" s="7"/>
      <c r="G101" s="7"/>
      <c r="H101" s="50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8"/>
      <c r="W101" s="8"/>
      <c r="X101" s="8"/>
    </row>
    <row r="102" spans="1:24" ht="21.75" customHeight="1">
      <c r="A102" s="7"/>
      <c r="B102" s="49"/>
      <c r="C102" s="49"/>
      <c r="D102" s="7"/>
      <c r="E102" s="7"/>
      <c r="F102" s="7"/>
      <c r="G102" s="7"/>
      <c r="H102" s="50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8"/>
      <c r="W102" s="8"/>
      <c r="X102" s="8"/>
    </row>
    <row r="103" spans="1:24" ht="21.75" customHeight="1">
      <c r="A103" s="7"/>
      <c r="B103" s="49"/>
      <c r="C103" s="49"/>
      <c r="D103" s="7"/>
      <c r="E103" s="7"/>
      <c r="F103" s="7"/>
      <c r="G103" s="7"/>
      <c r="H103" s="50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8"/>
      <c r="W103" s="8"/>
      <c r="X103" s="8"/>
    </row>
    <row r="104" spans="1:24" ht="21.75" customHeight="1">
      <c r="A104" s="7"/>
      <c r="B104" s="49"/>
      <c r="C104" s="49"/>
      <c r="D104" s="7"/>
      <c r="E104" s="7"/>
      <c r="F104" s="7"/>
      <c r="G104" s="7"/>
      <c r="H104" s="50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8"/>
      <c r="W104" s="8"/>
      <c r="X104" s="8"/>
    </row>
    <row r="105" spans="1:24" ht="21.75" customHeight="1">
      <c r="A105" s="7"/>
      <c r="B105" s="49"/>
      <c r="C105" s="49"/>
      <c r="D105" s="7"/>
      <c r="E105" s="7"/>
      <c r="F105" s="7"/>
      <c r="G105" s="7"/>
      <c r="H105" s="50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8"/>
      <c r="W105" s="8"/>
      <c r="X105" s="8"/>
    </row>
    <row r="106" spans="1:24" ht="21.75" customHeight="1">
      <c r="A106" s="7"/>
      <c r="B106" s="49"/>
      <c r="C106" s="49"/>
      <c r="D106" s="7"/>
      <c r="E106" s="7"/>
      <c r="F106" s="7"/>
      <c r="G106" s="7"/>
      <c r="H106" s="50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8"/>
      <c r="W106" s="8"/>
      <c r="X106" s="8"/>
    </row>
    <row r="107" spans="1:24" ht="21.75" customHeight="1">
      <c r="A107" s="7"/>
      <c r="B107" s="49"/>
      <c r="C107" s="49"/>
      <c r="D107" s="7"/>
      <c r="E107" s="7"/>
      <c r="F107" s="7"/>
      <c r="G107" s="7"/>
      <c r="H107" s="50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8"/>
      <c r="W107" s="8"/>
      <c r="X107" s="8"/>
    </row>
    <row r="108" spans="1:24" ht="21.75" customHeight="1">
      <c r="A108" s="7"/>
      <c r="B108" s="49"/>
      <c r="C108" s="49"/>
      <c r="D108" s="7"/>
      <c r="E108" s="7"/>
      <c r="F108" s="7"/>
      <c r="G108" s="7"/>
      <c r="H108" s="50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8"/>
      <c r="W108" s="8"/>
      <c r="X108" s="8"/>
    </row>
    <row r="109" spans="1:24" ht="21.75" customHeight="1">
      <c r="A109" s="7"/>
      <c r="B109" s="49"/>
      <c r="C109" s="49"/>
      <c r="D109" s="7"/>
      <c r="E109" s="7"/>
      <c r="F109" s="7"/>
      <c r="G109" s="7"/>
      <c r="H109" s="50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8"/>
      <c r="W109" s="8"/>
      <c r="X109" s="8"/>
    </row>
    <row r="110" spans="1:24" ht="21.75" customHeight="1">
      <c r="A110" s="7"/>
      <c r="B110" s="49"/>
      <c r="C110" s="49"/>
      <c r="D110" s="7"/>
      <c r="E110" s="7"/>
      <c r="F110" s="7"/>
      <c r="G110" s="7"/>
      <c r="H110" s="50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8"/>
      <c r="W110" s="8"/>
      <c r="X110" s="8"/>
    </row>
    <row r="111" spans="1:24" ht="21.75" customHeight="1">
      <c r="A111" s="7"/>
      <c r="B111" s="49"/>
      <c r="C111" s="49"/>
      <c r="D111" s="7"/>
      <c r="E111" s="7"/>
      <c r="F111" s="7"/>
      <c r="G111" s="7"/>
      <c r="H111" s="50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8"/>
      <c r="W111" s="8"/>
      <c r="X111" s="8"/>
    </row>
    <row r="112" spans="1:24" ht="21.75" customHeight="1">
      <c r="A112" s="7"/>
      <c r="B112" s="49"/>
      <c r="C112" s="49"/>
      <c r="D112" s="7"/>
      <c r="E112" s="7"/>
      <c r="F112" s="7"/>
      <c r="G112" s="7"/>
      <c r="H112" s="50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8"/>
      <c r="W112" s="8"/>
      <c r="X112" s="8"/>
    </row>
    <row r="113" spans="1:24" ht="21.75" customHeight="1">
      <c r="A113" s="7"/>
      <c r="B113" s="49"/>
      <c r="C113" s="49"/>
      <c r="D113" s="7"/>
      <c r="E113" s="7"/>
      <c r="F113" s="7"/>
      <c r="G113" s="7"/>
      <c r="H113" s="50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8"/>
      <c r="W113" s="8"/>
      <c r="X113" s="8"/>
    </row>
    <row r="114" spans="1:24" ht="21.75" customHeight="1">
      <c r="A114" s="7"/>
      <c r="B114" s="49"/>
      <c r="C114" s="49"/>
      <c r="D114" s="7"/>
      <c r="E114" s="7"/>
      <c r="F114" s="7"/>
      <c r="G114" s="7"/>
      <c r="H114" s="50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8"/>
      <c r="W114" s="8"/>
      <c r="X114" s="8"/>
    </row>
    <row r="115" spans="1:24" ht="21.75" customHeight="1">
      <c r="A115" s="7"/>
      <c r="B115" s="49"/>
      <c r="C115" s="49"/>
      <c r="D115" s="7"/>
      <c r="E115" s="7"/>
      <c r="F115" s="7"/>
      <c r="G115" s="7"/>
      <c r="H115" s="50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8"/>
      <c r="W115" s="8"/>
      <c r="X115" s="8"/>
    </row>
    <row r="116" spans="1:24" ht="21.75" customHeight="1">
      <c r="A116" s="7"/>
      <c r="B116" s="49"/>
      <c r="C116" s="49"/>
      <c r="D116" s="7"/>
      <c r="E116" s="7"/>
      <c r="F116" s="7"/>
      <c r="G116" s="7"/>
      <c r="H116" s="50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8"/>
      <c r="W116" s="8"/>
      <c r="X116" s="8"/>
    </row>
    <row r="117" spans="1:24" ht="21.75" customHeight="1">
      <c r="A117" s="7"/>
      <c r="B117" s="49"/>
      <c r="C117" s="49"/>
      <c r="D117" s="7"/>
      <c r="E117" s="7"/>
      <c r="F117" s="7"/>
      <c r="G117" s="7"/>
      <c r="H117" s="50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8"/>
      <c r="W117" s="8"/>
      <c r="X117" s="8"/>
    </row>
    <row r="118" spans="1:24" ht="21.75" customHeight="1">
      <c r="A118" s="7"/>
      <c r="B118" s="49"/>
      <c r="C118" s="49"/>
      <c r="D118" s="7"/>
      <c r="E118" s="7"/>
      <c r="F118" s="7"/>
      <c r="G118" s="7"/>
      <c r="H118" s="50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8"/>
      <c r="W118" s="8"/>
      <c r="X118" s="8"/>
    </row>
    <row r="119" spans="1:24" ht="21.75" customHeight="1">
      <c r="A119" s="7"/>
      <c r="B119" s="49"/>
      <c r="C119" s="49"/>
      <c r="D119" s="7"/>
      <c r="E119" s="7"/>
      <c r="F119" s="7"/>
      <c r="G119" s="7"/>
      <c r="H119" s="50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8"/>
      <c r="W119" s="8"/>
      <c r="X119" s="8"/>
    </row>
    <row r="120" spans="1:24" ht="21.75" customHeight="1">
      <c r="A120" s="7"/>
      <c r="B120" s="49"/>
      <c r="C120" s="49"/>
      <c r="D120" s="7"/>
      <c r="E120" s="7"/>
      <c r="F120" s="7"/>
      <c r="G120" s="7"/>
      <c r="H120" s="50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8"/>
      <c r="W120" s="8"/>
      <c r="X120" s="8"/>
    </row>
    <row r="121" spans="1:24" ht="21.75" customHeight="1">
      <c r="A121" s="7"/>
      <c r="B121" s="49"/>
      <c r="C121" s="49"/>
      <c r="D121" s="7"/>
      <c r="E121" s="7"/>
      <c r="F121" s="7"/>
      <c r="G121" s="7"/>
      <c r="H121" s="50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8"/>
      <c r="W121" s="8"/>
      <c r="X121" s="8"/>
    </row>
    <row r="122" spans="1:24" ht="21.75" customHeight="1">
      <c r="A122" s="7"/>
      <c r="B122" s="49"/>
      <c r="C122" s="49"/>
      <c r="D122" s="7"/>
      <c r="E122" s="7"/>
      <c r="F122" s="7"/>
      <c r="G122" s="7"/>
      <c r="H122" s="50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8"/>
      <c r="W122" s="8"/>
      <c r="X122" s="8"/>
    </row>
    <row r="123" spans="1:24" ht="21.75" customHeight="1">
      <c r="A123" s="7"/>
      <c r="B123" s="49"/>
      <c r="C123" s="49"/>
      <c r="D123" s="7"/>
      <c r="E123" s="7"/>
      <c r="F123" s="7"/>
      <c r="G123" s="7"/>
      <c r="H123" s="50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8"/>
      <c r="W123" s="8"/>
      <c r="X123" s="8"/>
    </row>
    <row r="124" spans="1:24" ht="21.75" customHeight="1">
      <c r="A124" s="7"/>
      <c r="B124" s="49"/>
      <c r="C124" s="49"/>
      <c r="D124" s="7"/>
      <c r="E124" s="7"/>
      <c r="F124" s="7"/>
      <c r="G124" s="7"/>
      <c r="H124" s="50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8"/>
      <c r="W124" s="8"/>
      <c r="X124" s="8"/>
    </row>
    <row r="125" spans="1:24" ht="21.75" customHeight="1">
      <c r="A125" s="7"/>
      <c r="B125" s="49"/>
      <c r="C125" s="49"/>
      <c r="D125" s="7"/>
      <c r="E125" s="7"/>
      <c r="F125" s="7"/>
      <c r="G125" s="7"/>
      <c r="H125" s="50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8"/>
      <c r="W125" s="8"/>
      <c r="X125" s="8"/>
    </row>
    <row r="126" spans="1:24" ht="21.75" customHeight="1">
      <c r="A126" s="7"/>
      <c r="B126" s="49"/>
      <c r="C126" s="49"/>
      <c r="D126" s="7"/>
      <c r="E126" s="7"/>
      <c r="F126" s="7"/>
      <c r="G126" s="7"/>
      <c r="H126" s="50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8"/>
      <c r="W126" s="8"/>
      <c r="X126" s="8"/>
    </row>
    <row r="127" spans="1:24" ht="21.75" customHeight="1">
      <c r="A127" s="7"/>
      <c r="B127" s="49"/>
      <c r="C127" s="49"/>
      <c r="D127" s="7"/>
      <c r="E127" s="7"/>
      <c r="F127" s="7"/>
      <c r="G127" s="7"/>
      <c r="H127" s="50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8"/>
      <c r="W127" s="8"/>
      <c r="X127" s="8"/>
    </row>
    <row r="128" spans="1:24" ht="21.75" customHeight="1">
      <c r="A128" s="7"/>
      <c r="B128" s="49"/>
      <c r="C128" s="49"/>
      <c r="D128" s="7"/>
      <c r="E128" s="7"/>
      <c r="F128" s="7"/>
      <c r="G128" s="7"/>
      <c r="H128" s="50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8"/>
      <c r="W128" s="8"/>
      <c r="X128" s="8"/>
    </row>
    <row r="129" spans="1:24" ht="21.75" customHeight="1">
      <c r="A129" s="7"/>
      <c r="B129" s="49"/>
      <c r="C129" s="49"/>
      <c r="D129" s="7"/>
      <c r="E129" s="7"/>
      <c r="F129" s="7"/>
      <c r="G129" s="7"/>
      <c r="H129" s="50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8"/>
      <c r="W129" s="8"/>
      <c r="X129" s="8"/>
    </row>
    <row r="130" spans="1:24" ht="21.75" customHeight="1">
      <c r="A130" s="7"/>
      <c r="B130" s="49"/>
      <c r="C130" s="49"/>
      <c r="D130" s="7"/>
      <c r="E130" s="7"/>
      <c r="F130" s="7"/>
      <c r="G130" s="7"/>
      <c r="H130" s="50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8"/>
      <c r="W130" s="8"/>
      <c r="X130" s="8"/>
    </row>
    <row r="131" spans="1:24" ht="21.75" customHeight="1">
      <c r="A131" s="7"/>
      <c r="B131" s="49"/>
      <c r="C131" s="49"/>
      <c r="D131" s="7"/>
      <c r="E131" s="7"/>
      <c r="F131" s="7"/>
      <c r="G131" s="7"/>
      <c r="H131" s="50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8"/>
      <c r="W131" s="8"/>
      <c r="X131" s="8"/>
    </row>
    <row r="132" spans="1:24" ht="21.75" customHeight="1">
      <c r="A132" s="7"/>
      <c r="B132" s="49"/>
      <c r="C132" s="49"/>
      <c r="D132" s="7"/>
      <c r="E132" s="7"/>
      <c r="F132" s="7"/>
      <c r="G132" s="7"/>
      <c r="H132" s="50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8"/>
      <c r="W132" s="8"/>
      <c r="X132" s="8"/>
    </row>
    <row r="133" spans="1:24" ht="21.75" customHeight="1">
      <c r="A133" s="7"/>
      <c r="B133" s="49"/>
      <c r="C133" s="49"/>
      <c r="D133" s="7"/>
      <c r="E133" s="7"/>
      <c r="F133" s="7"/>
      <c r="G133" s="7"/>
      <c r="H133" s="50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8"/>
      <c r="W133" s="8"/>
      <c r="X133" s="8"/>
    </row>
    <row r="134" spans="1:24" ht="21.75" customHeight="1">
      <c r="A134" s="7"/>
      <c r="B134" s="49"/>
      <c r="C134" s="49"/>
      <c r="D134" s="7"/>
      <c r="E134" s="7"/>
      <c r="F134" s="7"/>
      <c r="G134" s="7"/>
      <c r="H134" s="50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8"/>
      <c r="W134" s="8"/>
      <c r="X134" s="8"/>
    </row>
    <row r="135" spans="1:24" ht="21.75" customHeight="1">
      <c r="A135" s="7"/>
      <c r="B135" s="49"/>
      <c r="C135" s="49"/>
      <c r="D135" s="7"/>
      <c r="E135" s="7"/>
      <c r="F135" s="7"/>
      <c r="G135" s="7"/>
      <c r="H135" s="50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8"/>
      <c r="W135" s="8"/>
      <c r="X135" s="8"/>
    </row>
    <row r="136" spans="1:24" ht="21.75" customHeight="1">
      <c r="A136" s="7"/>
      <c r="B136" s="49"/>
      <c r="C136" s="49"/>
      <c r="D136" s="7"/>
      <c r="E136" s="7"/>
      <c r="F136" s="7"/>
      <c r="G136" s="7"/>
      <c r="H136" s="50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8"/>
      <c r="W136" s="8"/>
      <c r="X136" s="8"/>
    </row>
    <row r="137" spans="1:24" ht="21.75" customHeight="1">
      <c r="A137" s="7"/>
      <c r="B137" s="49"/>
      <c r="C137" s="49"/>
      <c r="D137" s="7"/>
      <c r="E137" s="7"/>
      <c r="F137" s="7"/>
      <c r="G137" s="7"/>
      <c r="H137" s="50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8"/>
      <c r="W137" s="8"/>
      <c r="X137" s="8"/>
    </row>
    <row r="138" spans="1:24" ht="21.75" customHeight="1">
      <c r="A138" s="7"/>
      <c r="B138" s="49"/>
      <c r="C138" s="49"/>
      <c r="D138" s="7"/>
      <c r="E138" s="7"/>
      <c r="F138" s="7"/>
      <c r="G138" s="7"/>
      <c r="H138" s="50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8"/>
      <c r="W138" s="8"/>
      <c r="X138" s="8"/>
    </row>
    <row r="139" spans="1:24" ht="21.75" customHeight="1">
      <c r="A139" s="7"/>
      <c r="B139" s="49"/>
      <c r="C139" s="49"/>
      <c r="D139" s="7"/>
      <c r="E139" s="7"/>
      <c r="F139" s="7"/>
      <c r="G139" s="7"/>
      <c r="H139" s="50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8"/>
      <c r="W139" s="8"/>
      <c r="X139" s="8"/>
    </row>
    <row r="140" spans="1:24" ht="21.75" customHeight="1">
      <c r="A140" s="7"/>
      <c r="B140" s="49"/>
      <c r="C140" s="49"/>
      <c r="D140" s="7"/>
      <c r="E140" s="7"/>
      <c r="F140" s="7"/>
      <c r="G140" s="7"/>
      <c r="H140" s="50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8"/>
      <c r="W140" s="8"/>
      <c r="X140" s="8"/>
    </row>
    <row r="141" spans="1:24" ht="21.75" customHeight="1">
      <c r="A141" s="7"/>
      <c r="B141" s="49"/>
      <c r="C141" s="49"/>
      <c r="D141" s="7"/>
      <c r="E141" s="7"/>
      <c r="F141" s="7"/>
      <c r="G141" s="7"/>
      <c r="H141" s="50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8"/>
      <c r="W141" s="8"/>
      <c r="X141" s="8"/>
    </row>
    <row r="142" spans="1:24" ht="21.75" customHeight="1">
      <c r="A142" s="7"/>
      <c r="B142" s="49"/>
      <c r="C142" s="49"/>
      <c r="D142" s="7"/>
      <c r="E142" s="7"/>
      <c r="F142" s="7"/>
      <c r="G142" s="7"/>
      <c r="H142" s="50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8"/>
      <c r="W142" s="8"/>
      <c r="X142" s="8"/>
    </row>
    <row r="143" spans="1:24" ht="21.75" customHeight="1">
      <c r="A143" s="7"/>
      <c r="B143" s="49"/>
      <c r="C143" s="49"/>
      <c r="D143" s="7"/>
      <c r="E143" s="7"/>
      <c r="F143" s="7"/>
      <c r="G143" s="7"/>
      <c r="H143" s="50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8"/>
      <c r="W143" s="8"/>
      <c r="X143" s="8"/>
    </row>
    <row r="144" spans="1:24" ht="21.75" customHeight="1">
      <c r="A144" s="7"/>
      <c r="B144" s="49"/>
      <c r="C144" s="49"/>
      <c r="D144" s="7"/>
      <c r="E144" s="7"/>
      <c r="F144" s="7"/>
      <c r="G144" s="7"/>
      <c r="H144" s="50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8"/>
      <c r="W144" s="8"/>
      <c r="X144" s="8"/>
    </row>
    <row r="145" spans="1:24" ht="21.75" customHeight="1">
      <c r="A145" s="7"/>
      <c r="B145" s="49"/>
      <c r="C145" s="49"/>
      <c r="D145" s="7"/>
      <c r="E145" s="7"/>
      <c r="F145" s="7"/>
      <c r="G145" s="7"/>
      <c r="H145" s="50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8"/>
      <c r="W145" s="8"/>
      <c r="X145" s="8"/>
    </row>
    <row r="146" spans="1:24" ht="21.75" customHeight="1">
      <c r="A146" s="7"/>
      <c r="B146" s="49"/>
      <c r="C146" s="49"/>
      <c r="D146" s="7"/>
      <c r="E146" s="7"/>
      <c r="F146" s="7"/>
      <c r="G146" s="7"/>
      <c r="H146" s="50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8"/>
      <c r="W146" s="8"/>
      <c r="X146" s="8"/>
    </row>
    <row r="147" spans="1:24" ht="21.75" customHeight="1">
      <c r="A147" s="7"/>
      <c r="B147" s="49"/>
      <c r="C147" s="49"/>
      <c r="D147" s="7"/>
      <c r="E147" s="7"/>
      <c r="F147" s="7"/>
      <c r="G147" s="7"/>
      <c r="H147" s="50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8"/>
      <c r="W147" s="8"/>
      <c r="X147" s="8"/>
    </row>
    <row r="148" spans="1:24" ht="21.75" customHeight="1">
      <c r="A148" s="7"/>
      <c r="B148" s="49"/>
      <c r="C148" s="49"/>
      <c r="D148" s="7"/>
      <c r="E148" s="7"/>
      <c r="F148" s="7"/>
      <c r="G148" s="7"/>
      <c r="H148" s="50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8"/>
      <c r="W148" s="8"/>
      <c r="X148" s="8"/>
    </row>
    <row r="149" spans="1:24" ht="21.75" customHeight="1">
      <c r="A149" s="7"/>
      <c r="B149" s="49"/>
      <c r="C149" s="49"/>
      <c r="D149" s="7"/>
      <c r="E149" s="7"/>
      <c r="F149" s="7"/>
      <c r="G149" s="7"/>
      <c r="H149" s="50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8"/>
      <c r="W149" s="8"/>
      <c r="X149" s="8"/>
    </row>
    <row r="150" spans="1:24" ht="21.75" customHeight="1">
      <c r="A150" s="7"/>
      <c r="B150" s="49"/>
      <c r="C150" s="49"/>
      <c r="D150" s="7"/>
      <c r="E150" s="7"/>
      <c r="F150" s="7"/>
      <c r="G150" s="7"/>
      <c r="H150" s="50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8"/>
      <c r="W150" s="8"/>
      <c r="X150" s="8"/>
    </row>
    <row r="151" spans="1:24" ht="21.75" customHeight="1">
      <c r="A151" s="7"/>
      <c r="B151" s="49"/>
      <c r="C151" s="49"/>
      <c r="D151" s="7"/>
      <c r="E151" s="7"/>
      <c r="F151" s="7"/>
      <c r="G151" s="7"/>
      <c r="H151" s="50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8"/>
      <c r="W151" s="8"/>
      <c r="X151" s="8"/>
    </row>
    <row r="152" spans="1:24" ht="21.75" customHeight="1">
      <c r="A152" s="7"/>
      <c r="B152" s="49"/>
      <c r="C152" s="49"/>
      <c r="D152" s="7"/>
      <c r="E152" s="7"/>
      <c r="F152" s="7"/>
      <c r="G152" s="7"/>
      <c r="H152" s="50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8"/>
      <c r="W152" s="8"/>
      <c r="X152" s="8"/>
    </row>
    <row r="153" spans="1:24" ht="21.75" customHeight="1">
      <c r="A153" s="7"/>
      <c r="B153" s="49"/>
      <c r="C153" s="49"/>
      <c r="D153" s="7"/>
      <c r="E153" s="7"/>
      <c r="F153" s="7"/>
      <c r="G153" s="7"/>
      <c r="H153" s="50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8"/>
      <c r="W153" s="8"/>
      <c r="X153" s="8"/>
    </row>
    <row r="154" spans="1:24" ht="21.75" customHeight="1">
      <c r="A154" s="7"/>
      <c r="B154" s="49"/>
      <c r="C154" s="49"/>
      <c r="D154" s="7"/>
      <c r="E154" s="7"/>
      <c r="F154" s="7"/>
      <c r="G154" s="7"/>
      <c r="H154" s="50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8"/>
      <c r="W154" s="8"/>
      <c r="X154" s="8"/>
    </row>
    <row r="155" spans="1:24" ht="21.75" customHeight="1">
      <c r="A155" s="7"/>
      <c r="B155" s="49"/>
      <c r="C155" s="49"/>
      <c r="D155" s="7"/>
      <c r="E155" s="7"/>
      <c r="F155" s="7"/>
      <c r="G155" s="7"/>
      <c r="H155" s="50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8"/>
      <c r="W155" s="8"/>
      <c r="X155" s="8"/>
    </row>
    <row r="156" spans="1:24" ht="21.75" customHeight="1">
      <c r="A156" s="7"/>
      <c r="B156" s="49"/>
      <c r="C156" s="49"/>
      <c r="D156" s="7"/>
      <c r="E156" s="7"/>
      <c r="F156" s="7"/>
      <c r="G156" s="7"/>
      <c r="H156" s="50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8"/>
      <c r="W156" s="8"/>
      <c r="X156" s="8"/>
    </row>
    <row r="157" spans="1:24" ht="21.75" customHeight="1">
      <c r="A157" s="7"/>
      <c r="B157" s="49"/>
      <c r="C157" s="49"/>
      <c r="D157" s="7"/>
      <c r="E157" s="7"/>
      <c r="F157" s="7"/>
      <c r="G157" s="7"/>
      <c r="H157" s="50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8"/>
      <c r="W157" s="8"/>
      <c r="X157" s="8"/>
    </row>
    <row r="158" spans="1:24" ht="21.75" customHeight="1">
      <c r="A158" s="7"/>
      <c r="B158" s="49"/>
      <c r="C158" s="49"/>
      <c r="D158" s="7"/>
      <c r="E158" s="7"/>
      <c r="F158" s="7"/>
      <c r="G158" s="7"/>
      <c r="H158" s="50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8"/>
      <c r="W158" s="8"/>
      <c r="X158" s="8"/>
    </row>
    <row r="159" spans="1:24" ht="21.75" customHeight="1">
      <c r="A159" s="7"/>
      <c r="B159" s="49"/>
      <c r="C159" s="49"/>
      <c r="D159" s="7"/>
      <c r="E159" s="7"/>
      <c r="F159" s="7"/>
      <c r="G159" s="7"/>
      <c r="H159" s="50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8"/>
      <c r="W159" s="8"/>
      <c r="X159" s="8"/>
    </row>
    <row r="160" spans="1:24" ht="21.75" customHeight="1">
      <c r="A160" s="7"/>
      <c r="B160" s="49"/>
      <c r="C160" s="49"/>
      <c r="D160" s="7"/>
      <c r="E160" s="7"/>
      <c r="F160" s="7"/>
      <c r="G160" s="7"/>
      <c r="H160" s="50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8"/>
      <c r="W160" s="8"/>
      <c r="X160" s="8"/>
    </row>
    <row r="161" spans="1:24" ht="21.75" customHeight="1">
      <c r="A161" s="7"/>
      <c r="B161" s="49"/>
      <c r="C161" s="49"/>
      <c r="D161" s="7"/>
      <c r="E161" s="7"/>
      <c r="F161" s="7"/>
      <c r="G161" s="7"/>
      <c r="H161" s="50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8"/>
      <c r="W161" s="8"/>
      <c r="X161" s="8"/>
    </row>
    <row r="162" spans="1:24" ht="21.75" customHeight="1">
      <c r="A162" s="7"/>
      <c r="B162" s="49"/>
      <c r="C162" s="49"/>
      <c r="D162" s="7"/>
      <c r="E162" s="7"/>
      <c r="F162" s="7"/>
      <c r="G162" s="7"/>
      <c r="H162" s="50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8"/>
      <c r="W162" s="8"/>
      <c r="X162" s="8"/>
    </row>
    <row r="163" spans="1:24" ht="21.75" customHeight="1">
      <c r="A163" s="7"/>
      <c r="B163" s="49"/>
      <c r="C163" s="49"/>
      <c r="D163" s="7"/>
      <c r="E163" s="7"/>
      <c r="F163" s="7"/>
      <c r="G163" s="7"/>
      <c r="H163" s="50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8"/>
      <c r="W163" s="8"/>
      <c r="X163" s="8"/>
    </row>
    <row r="164" spans="1:24" ht="21.75" customHeight="1">
      <c r="A164" s="7"/>
      <c r="B164" s="49"/>
      <c r="C164" s="49"/>
      <c r="D164" s="7"/>
      <c r="E164" s="7"/>
      <c r="F164" s="7"/>
      <c r="G164" s="7"/>
      <c r="H164" s="50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8"/>
      <c r="W164" s="8"/>
      <c r="X164" s="8"/>
    </row>
    <row r="165" spans="1:24" ht="21.75" customHeight="1">
      <c r="A165" s="7"/>
      <c r="B165" s="49"/>
      <c r="C165" s="49"/>
      <c r="D165" s="7"/>
      <c r="E165" s="7"/>
      <c r="F165" s="7"/>
      <c r="G165" s="7"/>
      <c r="H165" s="50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8"/>
      <c r="W165" s="8"/>
      <c r="X165" s="8"/>
    </row>
    <row r="166" spans="1:24" ht="21.75" customHeight="1">
      <c r="A166" s="7"/>
      <c r="B166" s="49"/>
      <c r="C166" s="49"/>
      <c r="D166" s="7"/>
      <c r="E166" s="7"/>
      <c r="F166" s="7"/>
      <c r="G166" s="7"/>
      <c r="H166" s="50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8"/>
      <c r="W166" s="8"/>
      <c r="X166" s="8"/>
    </row>
    <row r="167" spans="1:24" ht="21.75" customHeight="1">
      <c r="A167" s="7"/>
      <c r="B167" s="49"/>
      <c r="C167" s="49"/>
      <c r="D167" s="7"/>
      <c r="E167" s="7"/>
      <c r="F167" s="7"/>
      <c r="G167" s="7"/>
      <c r="H167" s="50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8"/>
      <c r="W167" s="8"/>
      <c r="X167" s="8"/>
    </row>
    <row r="168" spans="1:24" ht="21.75" customHeight="1">
      <c r="A168" s="7"/>
      <c r="B168" s="49"/>
      <c r="C168" s="49"/>
      <c r="D168" s="7"/>
      <c r="E168" s="7"/>
      <c r="F168" s="7"/>
      <c r="G168" s="7"/>
      <c r="H168" s="50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8"/>
      <c r="W168" s="8"/>
      <c r="X168" s="8"/>
    </row>
    <row r="169" spans="1:24" ht="21.75" customHeight="1">
      <c r="A169" s="7"/>
      <c r="B169" s="49"/>
      <c r="C169" s="49"/>
      <c r="D169" s="7"/>
      <c r="E169" s="7"/>
      <c r="F169" s="7"/>
      <c r="G169" s="7"/>
      <c r="H169" s="50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8"/>
      <c r="W169" s="8"/>
      <c r="X169" s="8"/>
    </row>
    <row r="170" spans="1:24" ht="21.75" customHeight="1">
      <c r="A170" s="7"/>
      <c r="B170" s="49"/>
      <c r="C170" s="49"/>
      <c r="D170" s="7"/>
      <c r="E170" s="7"/>
      <c r="F170" s="7"/>
      <c r="G170" s="7"/>
      <c r="H170" s="50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8"/>
      <c r="W170" s="8"/>
      <c r="X170" s="8"/>
    </row>
    <row r="171" spans="1:24" ht="21.75" customHeight="1">
      <c r="A171" s="7"/>
      <c r="B171" s="49"/>
      <c r="C171" s="49"/>
      <c r="D171" s="7"/>
      <c r="E171" s="7"/>
      <c r="F171" s="7"/>
      <c r="G171" s="7"/>
      <c r="H171" s="50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8"/>
      <c r="W171" s="8"/>
      <c r="X171" s="8"/>
    </row>
    <row r="172" spans="1:24" ht="21.75" customHeight="1">
      <c r="A172" s="7"/>
      <c r="B172" s="49"/>
      <c r="C172" s="49"/>
      <c r="D172" s="7"/>
      <c r="E172" s="7"/>
      <c r="F172" s="7"/>
      <c r="G172" s="7"/>
      <c r="H172" s="50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8"/>
      <c r="W172" s="8"/>
      <c r="X172" s="8"/>
    </row>
    <row r="173" spans="1:24" ht="21.75" customHeight="1">
      <c r="A173" s="7"/>
      <c r="B173" s="49"/>
      <c r="C173" s="49"/>
      <c r="D173" s="7"/>
      <c r="E173" s="7"/>
      <c r="F173" s="7"/>
      <c r="G173" s="7"/>
      <c r="H173" s="50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8"/>
      <c r="W173" s="8"/>
      <c r="X173" s="8"/>
    </row>
    <row r="174" spans="1:24" ht="21.75" customHeight="1">
      <c r="A174" s="7"/>
      <c r="B174" s="49"/>
      <c r="C174" s="49"/>
      <c r="D174" s="7"/>
      <c r="E174" s="7"/>
      <c r="F174" s="7"/>
      <c r="G174" s="7"/>
      <c r="H174" s="50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8"/>
      <c r="W174" s="8"/>
      <c r="X174" s="8"/>
    </row>
    <row r="175" spans="1:24" ht="21.75" customHeight="1">
      <c r="A175" s="7"/>
      <c r="B175" s="49"/>
      <c r="C175" s="49"/>
      <c r="D175" s="7"/>
      <c r="E175" s="7"/>
      <c r="F175" s="7"/>
      <c r="G175" s="7"/>
      <c r="H175" s="50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8"/>
      <c r="W175" s="8"/>
      <c r="X175" s="8"/>
    </row>
    <row r="176" spans="1:24" ht="21.75" customHeight="1">
      <c r="A176" s="7"/>
      <c r="B176" s="49"/>
      <c r="C176" s="49"/>
      <c r="D176" s="7"/>
      <c r="E176" s="7"/>
      <c r="F176" s="7"/>
      <c r="G176" s="7"/>
      <c r="H176" s="50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8"/>
      <c r="W176" s="8"/>
      <c r="X176" s="8"/>
    </row>
    <row r="177" spans="1:24" ht="21.75" customHeight="1">
      <c r="A177" s="7"/>
      <c r="B177" s="49"/>
      <c r="C177" s="49"/>
      <c r="D177" s="7"/>
      <c r="E177" s="7"/>
      <c r="F177" s="7"/>
      <c r="G177" s="7"/>
      <c r="H177" s="50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8"/>
      <c r="W177" s="8"/>
      <c r="X177" s="8"/>
    </row>
    <row r="178" spans="1:24" ht="21.75" customHeight="1">
      <c r="A178" s="7"/>
      <c r="B178" s="49"/>
      <c r="C178" s="49"/>
      <c r="D178" s="7"/>
      <c r="E178" s="7"/>
      <c r="F178" s="7"/>
      <c r="G178" s="7"/>
      <c r="H178" s="50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8"/>
      <c r="W178" s="8"/>
      <c r="X178" s="8"/>
    </row>
    <row r="179" spans="1:24" ht="21.75" customHeight="1">
      <c r="A179" s="7"/>
      <c r="B179" s="49"/>
      <c r="C179" s="49"/>
      <c r="D179" s="7"/>
      <c r="E179" s="7"/>
      <c r="F179" s="7"/>
      <c r="G179" s="7"/>
      <c r="H179" s="50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8"/>
      <c r="W179" s="8"/>
      <c r="X179" s="8"/>
    </row>
    <row r="180" spans="1:24" ht="21.75" customHeight="1">
      <c r="A180" s="7"/>
      <c r="B180" s="49"/>
      <c r="C180" s="49"/>
      <c r="D180" s="7"/>
      <c r="E180" s="7"/>
      <c r="F180" s="7"/>
      <c r="G180" s="7"/>
      <c r="H180" s="50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8"/>
      <c r="W180" s="8"/>
      <c r="X180" s="8"/>
    </row>
    <row r="181" spans="1:24" ht="21.75" customHeight="1">
      <c r="A181" s="7"/>
      <c r="B181" s="49"/>
      <c r="C181" s="49"/>
      <c r="D181" s="7"/>
      <c r="E181" s="7"/>
      <c r="F181" s="7"/>
      <c r="G181" s="7"/>
      <c r="H181" s="50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8"/>
      <c r="W181" s="8"/>
      <c r="X181" s="8"/>
    </row>
    <row r="182" spans="1:24" ht="21.75" customHeight="1">
      <c r="A182" s="7"/>
      <c r="B182" s="49"/>
      <c r="C182" s="49"/>
      <c r="D182" s="7"/>
      <c r="E182" s="7"/>
      <c r="F182" s="7"/>
      <c r="G182" s="7"/>
      <c r="H182" s="50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8"/>
      <c r="W182" s="8"/>
      <c r="X182" s="8"/>
    </row>
    <row r="183" spans="1:24" ht="21.75" customHeight="1">
      <c r="A183" s="7"/>
      <c r="B183" s="49"/>
      <c r="C183" s="49"/>
      <c r="D183" s="7"/>
      <c r="E183" s="7"/>
      <c r="F183" s="7"/>
      <c r="G183" s="7"/>
      <c r="H183" s="50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8"/>
      <c r="W183" s="8"/>
      <c r="X183" s="8"/>
    </row>
    <row r="184" spans="1:24" ht="21.75" customHeight="1">
      <c r="A184" s="7"/>
      <c r="B184" s="49"/>
      <c r="C184" s="49"/>
      <c r="D184" s="7"/>
      <c r="E184" s="7"/>
      <c r="F184" s="7"/>
      <c r="G184" s="7"/>
      <c r="H184" s="50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8"/>
      <c r="W184" s="8"/>
      <c r="X184" s="8"/>
    </row>
    <row r="185" spans="1:24" ht="21.75" customHeight="1">
      <c r="A185" s="7"/>
      <c r="B185" s="49"/>
      <c r="C185" s="49"/>
      <c r="D185" s="7"/>
      <c r="E185" s="7"/>
      <c r="F185" s="7"/>
      <c r="G185" s="7"/>
      <c r="H185" s="50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8"/>
      <c r="W185" s="8"/>
      <c r="X185" s="8"/>
    </row>
    <row r="186" spans="1:24" ht="21.75" customHeight="1">
      <c r="A186" s="7"/>
      <c r="B186" s="49"/>
      <c r="C186" s="49"/>
      <c r="D186" s="7"/>
      <c r="E186" s="7"/>
      <c r="F186" s="7"/>
      <c r="G186" s="7"/>
      <c r="H186" s="50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8"/>
      <c r="W186" s="8"/>
      <c r="X186" s="8"/>
    </row>
    <row r="187" spans="1:24" ht="21.75" customHeight="1">
      <c r="A187" s="7"/>
      <c r="B187" s="49"/>
      <c r="C187" s="49"/>
      <c r="D187" s="7"/>
      <c r="E187" s="7"/>
      <c r="F187" s="7"/>
      <c r="G187" s="7"/>
      <c r="H187" s="50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8"/>
      <c r="W187" s="8"/>
      <c r="X187" s="8"/>
    </row>
    <row r="188" spans="1:24" ht="21.75" customHeight="1">
      <c r="A188" s="7"/>
      <c r="B188" s="49"/>
      <c r="C188" s="49"/>
      <c r="D188" s="7"/>
      <c r="E188" s="7"/>
      <c r="F188" s="7"/>
      <c r="G188" s="7"/>
      <c r="H188" s="50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8"/>
      <c r="W188" s="8"/>
      <c r="X188" s="8"/>
    </row>
    <row r="189" spans="1:24" ht="21.75" customHeight="1">
      <c r="A189" s="7"/>
      <c r="B189" s="49"/>
      <c r="C189" s="49"/>
      <c r="D189" s="7"/>
      <c r="E189" s="7"/>
      <c r="F189" s="7"/>
      <c r="G189" s="7"/>
      <c r="H189" s="50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8"/>
      <c r="W189" s="8"/>
      <c r="X189" s="8"/>
    </row>
    <row r="190" spans="1:24" ht="21.75" customHeight="1">
      <c r="A190" s="7"/>
      <c r="B190" s="49"/>
      <c r="C190" s="49"/>
      <c r="D190" s="7"/>
      <c r="E190" s="7"/>
      <c r="F190" s="7"/>
      <c r="G190" s="7"/>
      <c r="H190" s="50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8"/>
      <c r="W190" s="8"/>
      <c r="X190" s="8"/>
    </row>
    <row r="191" spans="1:24" ht="21.75" customHeight="1">
      <c r="A191" s="7"/>
      <c r="B191" s="49"/>
      <c r="C191" s="49"/>
      <c r="D191" s="7"/>
      <c r="E191" s="7"/>
      <c r="F191" s="7"/>
      <c r="G191" s="7"/>
      <c r="H191" s="50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8"/>
      <c r="W191" s="8"/>
      <c r="X191" s="8"/>
    </row>
    <row r="192" spans="1:24" ht="21.75" customHeight="1">
      <c r="A192" s="7"/>
      <c r="B192" s="49"/>
      <c r="C192" s="49"/>
      <c r="D192" s="7"/>
      <c r="E192" s="7"/>
      <c r="F192" s="7"/>
      <c r="G192" s="7"/>
      <c r="H192" s="50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8"/>
      <c r="W192" s="8"/>
      <c r="X192" s="8"/>
    </row>
    <row r="193" spans="1:24" ht="21.75" customHeight="1">
      <c r="A193" s="7"/>
      <c r="B193" s="49"/>
      <c r="C193" s="49"/>
      <c r="D193" s="7"/>
      <c r="E193" s="7"/>
      <c r="F193" s="7"/>
      <c r="G193" s="7"/>
      <c r="H193" s="50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8"/>
      <c r="W193" s="8"/>
      <c r="X193" s="8"/>
    </row>
    <row r="194" spans="1:24" ht="21.75" customHeight="1">
      <c r="A194" s="7"/>
      <c r="B194" s="49"/>
      <c r="C194" s="49"/>
      <c r="D194" s="7"/>
      <c r="E194" s="7"/>
      <c r="F194" s="7"/>
      <c r="G194" s="7"/>
      <c r="H194" s="50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8"/>
      <c r="W194" s="8"/>
      <c r="X194" s="8"/>
    </row>
    <row r="195" spans="1:24" ht="21.75" customHeight="1">
      <c r="A195" s="7"/>
      <c r="B195" s="49"/>
      <c r="C195" s="49"/>
      <c r="D195" s="7"/>
      <c r="E195" s="7"/>
      <c r="F195" s="7"/>
      <c r="G195" s="7"/>
      <c r="H195" s="50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8"/>
      <c r="W195" s="8"/>
      <c r="X195" s="8"/>
    </row>
    <row r="196" spans="1:24" ht="21.75" customHeight="1">
      <c r="A196" s="7"/>
      <c r="B196" s="49"/>
      <c r="C196" s="49"/>
      <c r="D196" s="7"/>
      <c r="E196" s="7"/>
      <c r="F196" s="7"/>
      <c r="G196" s="7"/>
      <c r="H196" s="50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8"/>
      <c r="W196" s="8"/>
      <c r="X196" s="8"/>
    </row>
    <row r="197" spans="1:24" ht="21.75" customHeight="1">
      <c r="A197" s="7"/>
      <c r="B197" s="49"/>
      <c r="C197" s="49"/>
      <c r="D197" s="7"/>
      <c r="E197" s="7"/>
      <c r="F197" s="7"/>
      <c r="G197" s="7"/>
      <c r="H197" s="50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8"/>
      <c r="W197" s="8"/>
      <c r="X197" s="8"/>
    </row>
    <row r="198" spans="1:24" ht="21.75" customHeight="1">
      <c r="A198" s="7"/>
      <c r="B198" s="49"/>
      <c r="C198" s="49"/>
      <c r="D198" s="7"/>
      <c r="E198" s="7"/>
      <c r="F198" s="7"/>
      <c r="G198" s="7"/>
      <c r="H198" s="50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8"/>
      <c r="W198" s="8"/>
      <c r="X198" s="8"/>
    </row>
    <row r="199" spans="1:24" ht="21.75" customHeight="1">
      <c r="A199" s="7"/>
      <c r="B199" s="49"/>
      <c r="C199" s="49"/>
      <c r="D199" s="7"/>
      <c r="E199" s="7"/>
      <c r="F199" s="7"/>
      <c r="G199" s="7"/>
      <c r="H199" s="50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8"/>
      <c r="W199" s="8"/>
      <c r="X199" s="8"/>
    </row>
    <row r="200" spans="1:24" ht="21.75" customHeight="1">
      <c r="A200" s="7"/>
      <c r="B200" s="49"/>
      <c r="C200" s="49"/>
      <c r="D200" s="7"/>
      <c r="E200" s="7"/>
      <c r="F200" s="7"/>
      <c r="G200" s="7"/>
      <c r="H200" s="50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8"/>
      <c r="W200" s="8"/>
      <c r="X200" s="8"/>
    </row>
    <row r="201" spans="1:24" ht="21.75" customHeight="1">
      <c r="A201" s="7"/>
      <c r="B201" s="49"/>
      <c r="C201" s="49"/>
      <c r="D201" s="7"/>
      <c r="E201" s="7"/>
      <c r="F201" s="7"/>
      <c r="G201" s="7"/>
      <c r="H201" s="50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8"/>
      <c r="W201" s="8"/>
      <c r="X201" s="8"/>
    </row>
    <row r="202" spans="1:24" ht="21.75" customHeight="1">
      <c r="A202" s="7"/>
      <c r="B202" s="49"/>
      <c r="C202" s="49"/>
      <c r="D202" s="7"/>
      <c r="E202" s="7"/>
      <c r="F202" s="7"/>
      <c r="G202" s="7"/>
      <c r="H202" s="50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8"/>
      <c r="W202" s="8"/>
      <c r="X202" s="8"/>
    </row>
    <row r="203" spans="1:24" ht="21.75" customHeight="1">
      <c r="A203" s="7"/>
      <c r="B203" s="49"/>
      <c r="C203" s="49"/>
      <c r="D203" s="7"/>
      <c r="E203" s="7"/>
      <c r="F203" s="7"/>
      <c r="G203" s="7"/>
      <c r="H203" s="50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8"/>
      <c r="W203" s="8"/>
      <c r="X203" s="8"/>
    </row>
    <row r="204" spans="1:24" ht="21.75" customHeight="1">
      <c r="A204" s="7"/>
      <c r="B204" s="49"/>
      <c r="C204" s="49"/>
      <c r="D204" s="7"/>
      <c r="E204" s="7"/>
      <c r="F204" s="7"/>
      <c r="G204" s="7"/>
      <c r="H204" s="50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8"/>
      <c r="W204" s="8"/>
      <c r="X204" s="8"/>
    </row>
    <row r="205" spans="1:24" ht="21.75" customHeight="1">
      <c r="A205" s="7"/>
      <c r="B205" s="49"/>
      <c r="C205" s="49"/>
      <c r="D205" s="7"/>
      <c r="E205" s="7"/>
      <c r="F205" s="7"/>
      <c r="G205" s="7"/>
      <c r="H205" s="50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8"/>
      <c r="W205" s="8"/>
      <c r="X205" s="8"/>
    </row>
    <row r="206" spans="1:24" ht="21.75" customHeight="1">
      <c r="A206" s="7"/>
      <c r="B206" s="49"/>
      <c r="C206" s="49"/>
      <c r="D206" s="7"/>
      <c r="E206" s="7"/>
      <c r="F206" s="7"/>
      <c r="G206" s="7"/>
      <c r="H206" s="50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8"/>
      <c r="W206" s="8"/>
      <c r="X206" s="8"/>
    </row>
    <row r="207" spans="1:24" ht="21.75" customHeight="1">
      <c r="A207" s="7"/>
      <c r="B207" s="49"/>
      <c r="C207" s="49"/>
      <c r="D207" s="7"/>
      <c r="E207" s="7"/>
      <c r="F207" s="7"/>
      <c r="G207" s="7"/>
      <c r="H207" s="50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8"/>
      <c r="W207" s="8"/>
      <c r="X207" s="8"/>
    </row>
    <row r="208" spans="1:24" ht="21.75" customHeight="1">
      <c r="A208" s="7"/>
      <c r="B208" s="49"/>
      <c r="C208" s="49"/>
      <c r="D208" s="7"/>
      <c r="E208" s="7"/>
      <c r="F208" s="7"/>
      <c r="G208" s="7"/>
      <c r="H208" s="50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8"/>
      <c r="W208" s="8"/>
      <c r="X208" s="8"/>
    </row>
    <row r="209" spans="1:24" ht="21.75" customHeight="1">
      <c r="A209" s="7"/>
      <c r="B209" s="49"/>
      <c r="C209" s="49"/>
      <c r="D209" s="7"/>
      <c r="E209" s="7"/>
      <c r="F209" s="7"/>
      <c r="G209" s="7"/>
      <c r="H209" s="50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8"/>
      <c r="W209" s="8"/>
      <c r="X209" s="8"/>
    </row>
    <row r="210" spans="1:24" ht="21.75" customHeight="1">
      <c r="A210" s="7"/>
      <c r="B210" s="49"/>
      <c r="C210" s="49"/>
      <c r="D210" s="7"/>
      <c r="E210" s="7"/>
      <c r="F210" s="7"/>
      <c r="G210" s="7"/>
      <c r="H210" s="50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8"/>
      <c r="W210" s="8"/>
      <c r="X210" s="8"/>
    </row>
    <row r="211" spans="1:24" ht="21.75" customHeight="1">
      <c r="A211" s="7"/>
      <c r="B211" s="49"/>
      <c r="C211" s="49"/>
      <c r="D211" s="7"/>
      <c r="E211" s="7"/>
      <c r="F211" s="7"/>
      <c r="G211" s="7"/>
      <c r="H211" s="50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8"/>
      <c r="W211" s="8"/>
      <c r="X211" s="8"/>
    </row>
    <row r="212" spans="1:24" ht="21.75" customHeight="1">
      <c r="A212" s="7"/>
      <c r="B212" s="49"/>
      <c r="C212" s="49"/>
      <c r="D212" s="7"/>
      <c r="E212" s="7"/>
      <c r="F212" s="7"/>
      <c r="G212" s="7"/>
      <c r="H212" s="50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8"/>
      <c r="W212" s="8"/>
      <c r="X212" s="8"/>
    </row>
    <row r="213" spans="1:24" ht="21.75" customHeight="1">
      <c r="A213" s="7"/>
      <c r="B213" s="49"/>
      <c r="C213" s="49"/>
      <c r="D213" s="7"/>
      <c r="E213" s="7"/>
      <c r="F213" s="7"/>
      <c r="G213" s="7"/>
      <c r="H213" s="50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8"/>
      <c r="W213" s="8"/>
      <c r="X213" s="8"/>
    </row>
    <row r="214" spans="1:24" ht="21.75" customHeight="1">
      <c r="A214" s="7"/>
      <c r="B214" s="49"/>
      <c r="C214" s="49"/>
      <c r="D214" s="7"/>
      <c r="E214" s="7"/>
      <c r="F214" s="7"/>
      <c r="G214" s="7"/>
      <c r="H214" s="50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8"/>
      <c r="W214" s="8"/>
      <c r="X214" s="8"/>
    </row>
    <row r="215" spans="1:24" ht="21.75" customHeight="1">
      <c r="A215" s="7"/>
      <c r="B215" s="49"/>
      <c r="C215" s="49"/>
      <c r="D215" s="7"/>
      <c r="E215" s="7"/>
      <c r="F215" s="7"/>
      <c r="G215" s="7"/>
      <c r="H215" s="50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8"/>
      <c r="W215" s="8"/>
      <c r="X215" s="8"/>
    </row>
    <row r="216" spans="1:24" ht="21.75" customHeight="1">
      <c r="A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8"/>
      <c r="W216" s="8"/>
      <c r="X216" s="8"/>
    </row>
    <row r="217" spans="1:24" ht="21.75" customHeight="1">
      <c r="A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8"/>
      <c r="W217" s="8"/>
      <c r="X217" s="8"/>
    </row>
    <row r="218" spans="1:24" ht="21.75" customHeight="1">
      <c r="A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8"/>
      <c r="W218" s="8"/>
      <c r="X218" s="8"/>
    </row>
    <row r="219" spans="1:24" ht="21.75" customHeight="1">
      <c r="A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8"/>
      <c r="W219" s="8"/>
      <c r="X219" s="8"/>
    </row>
    <row r="220" spans="1:24" ht="21.75" customHeight="1">
      <c r="A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8"/>
      <c r="W220" s="8"/>
      <c r="X220" s="8"/>
    </row>
    <row r="221" spans="1:24" ht="21.75" customHeight="1">
      <c r="A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8"/>
      <c r="W221" s="8"/>
      <c r="X221" s="8"/>
    </row>
    <row r="222" spans="1:24" ht="21.75" customHeight="1">
      <c r="A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8"/>
      <c r="W222" s="8"/>
      <c r="X222" s="8"/>
    </row>
    <row r="223" spans="1:24" ht="15.75" customHeight="1"/>
    <row r="224" spans="1: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">
    <mergeCell ref="B3:I4"/>
    <mergeCell ref="B16:H16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H998"/>
  <sheetViews>
    <sheetView showGridLines="0" topLeftCell="G95" zoomScale="55" zoomScaleNormal="55" workbookViewId="0">
      <selection activeCell="Z104" sqref="Z104"/>
    </sheetView>
  </sheetViews>
  <sheetFormatPr defaultColWidth="14.44140625" defaultRowHeight="15" customHeight="1"/>
  <cols>
    <col min="1" max="1" width="1.33203125" customWidth="1"/>
    <col min="2" max="2" width="34.5546875" customWidth="1"/>
    <col min="3" max="3" width="11.109375" customWidth="1"/>
    <col min="4" max="4" width="54.109375" customWidth="1"/>
    <col min="5" max="5" width="0.6640625" customWidth="1"/>
    <col min="6" max="6" width="4.33203125" customWidth="1"/>
    <col min="7" max="7" width="88.6640625" bestFit="1" customWidth="1"/>
    <col min="8" max="8" width="8.109375" bestFit="1" customWidth="1"/>
    <col min="9" max="14" width="5.33203125" bestFit="1" customWidth="1"/>
    <col min="15" max="16" width="6.109375" bestFit="1" customWidth="1"/>
    <col min="17" max="17" width="6.44140625" bestFit="1" customWidth="1"/>
    <col min="18" max="18" width="6.109375" bestFit="1" customWidth="1"/>
    <col min="19" max="26" width="6.44140625" bestFit="1" customWidth="1"/>
    <col min="27" max="27" width="6.5546875" bestFit="1" customWidth="1"/>
    <col min="28" max="28" width="6.44140625" bestFit="1" customWidth="1"/>
    <col min="29" max="29" width="6.5546875" bestFit="1" customWidth="1"/>
    <col min="30" max="43" width="6.88671875" bestFit="1" customWidth="1"/>
    <col min="45" max="45" width="72.5546875" customWidth="1"/>
    <col min="46" max="46" width="52" customWidth="1"/>
    <col min="47" max="47" width="5.109375" customWidth="1"/>
    <col min="48" max="55" width="5.33203125" customWidth="1"/>
    <col min="56" max="56" width="6.44140625" customWidth="1"/>
    <col min="57" max="57" width="6.109375" customWidth="1"/>
    <col min="58" max="65" width="6.44140625" customWidth="1"/>
    <col min="66" max="66" width="6.5546875" customWidth="1"/>
    <col min="67" max="67" width="6.44140625" customWidth="1"/>
    <col min="68" max="76" width="6.5546875" customWidth="1"/>
    <col min="77" max="77" width="6.44140625" customWidth="1"/>
    <col min="78" max="86" width="6.5546875" customWidth="1"/>
  </cols>
  <sheetData>
    <row r="1" spans="1:86" ht="7.5" customHeight="1">
      <c r="A1" s="7"/>
      <c r="B1" s="49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8"/>
      <c r="R1" s="8"/>
      <c r="S1" s="8"/>
    </row>
    <row r="2" spans="1:86" ht="12.75" customHeight="1">
      <c r="A2" s="7"/>
      <c r="B2" s="51"/>
      <c r="C2" s="10"/>
      <c r="D2" s="10"/>
      <c r="E2" s="11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  <c r="R2" s="8"/>
      <c r="S2" s="8"/>
    </row>
    <row r="3" spans="1:86" ht="12.75" customHeight="1">
      <c r="A3" s="7"/>
      <c r="B3" s="201" t="s">
        <v>77</v>
      </c>
      <c r="C3" s="191"/>
      <c r="D3" s="191"/>
      <c r="E3" s="202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8"/>
      <c r="R3" s="8"/>
      <c r="S3" s="8"/>
    </row>
    <row r="4" spans="1:86" ht="12.75" customHeight="1">
      <c r="A4" s="7"/>
      <c r="B4" s="203"/>
      <c r="C4" s="204"/>
      <c r="D4" s="204"/>
      <c r="E4" s="20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8"/>
      <c r="R4" s="8"/>
      <c r="S4" s="8"/>
    </row>
    <row r="5" spans="1:86" ht="21.75" customHeight="1">
      <c r="A5" s="7"/>
      <c r="B5" s="58"/>
      <c r="C5" s="17"/>
      <c r="D5" s="17"/>
      <c r="E5" s="17"/>
      <c r="F5" s="7"/>
      <c r="G5" s="7"/>
      <c r="H5" s="211" t="s">
        <v>77</v>
      </c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2"/>
      <c r="X5" s="212"/>
      <c r="Y5" s="212"/>
      <c r="Z5" s="212"/>
      <c r="AA5" s="212"/>
      <c r="AB5" s="212"/>
      <c r="AC5" s="212"/>
      <c r="AD5" s="212"/>
      <c r="AE5" s="212"/>
      <c r="AF5" s="212"/>
      <c r="AG5" s="212"/>
      <c r="AH5" s="212"/>
      <c r="AI5" s="212"/>
      <c r="AJ5" s="212"/>
      <c r="AK5" s="212"/>
      <c r="AL5" s="212"/>
      <c r="AM5" s="212"/>
      <c r="AN5" s="212"/>
      <c r="AO5" s="212"/>
      <c r="AP5" s="212"/>
      <c r="AQ5" s="212"/>
      <c r="AS5" s="213" t="s">
        <v>78</v>
      </c>
      <c r="AT5" s="191"/>
      <c r="AU5" s="191"/>
      <c r="AV5" s="191"/>
      <c r="AW5" s="191"/>
      <c r="AX5" s="191"/>
      <c r="AY5" s="191"/>
      <c r="AZ5" s="191"/>
      <c r="BA5" s="191"/>
      <c r="BB5" s="191"/>
      <c r="BC5" s="191"/>
      <c r="BD5" s="191"/>
      <c r="BE5" s="191"/>
      <c r="BF5" s="191"/>
      <c r="BG5" s="191"/>
      <c r="BH5" s="191"/>
      <c r="BI5" s="191"/>
      <c r="BJ5" s="191"/>
      <c r="BK5" s="191"/>
      <c r="BL5" s="191"/>
      <c r="BM5" s="191"/>
      <c r="BN5" s="191"/>
      <c r="BO5" s="191"/>
      <c r="BP5" s="191"/>
      <c r="BQ5" s="191"/>
      <c r="BR5" s="191"/>
      <c r="BS5" s="191"/>
      <c r="BT5" s="191"/>
      <c r="BU5" s="191"/>
      <c r="BV5" s="191"/>
      <c r="BW5" s="191"/>
      <c r="BX5" s="191"/>
      <c r="BY5" s="191"/>
      <c r="BZ5" s="191"/>
      <c r="CA5" s="191"/>
      <c r="CB5" s="191"/>
      <c r="CC5" s="191"/>
      <c r="CD5" s="191"/>
      <c r="CE5" s="191"/>
      <c r="CF5" s="191"/>
      <c r="CG5" s="191"/>
      <c r="CH5" s="191"/>
    </row>
    <row r="6" spans="1:86" ht="21.75" customHeight="1">
      <c r="A6" s="7"/>
      <c r="B6" s="32" t="s">
        <v>66</v>
      </c>
      <c r="C6" s="60" t="s">
        <v>79</v>
      </c>
      <c r="D6" s="29"/>
      <c r="F6" s="7"/>
      <c r="G6" s="76" t="s">
        <v>80</v>
      </c>
      <c r="H6" s="76" t="s">
        <v>81</v>
      </c>
      <c r="I6" s="76" t="s">
        <v>82</v>
      </c>
      <c r="J6" s="76" t="s">
        <v>83</v>
      </c>
      <c r="K6" s="76" t="s">
        <v>84</v>
      </c>
      <c r="L6" s="76" t="s">
        <v>85</v>
      </c>
      <c r="M6" s="76" t="s">
        <v>86</v>
      </c>
      <c r="N6" s="76" t="s">
        <v>87</v>
      </c>
      <c r="O6" s="76" t="s">
        <v>88</v>
      </c>
      <c r="P6" s="76" t="s">
        <v>89</v>
      </c>
      <c r="Q6" s="76" t="s">
        <v>90</v>
      </c>
      <c r="R6" s="76" t="s">
        <v>91</v>
      </c>
      <c r="S6" s="76" t="s">
        <v>92</v>
      </c>
      <c r="T6" s="76" t="s">
        <v>93</v>
      </c>
      <c r="U6" s="76" t="s">
        <v>94</v>
      </c>
      <c r="V6" s="76" t="s">
        <v>95</v>
      </c>
      <c r="W6" s="76" t="s">
        <v>96</v>
      </c>
      <c r="X6" s="76" t="s">
        <v>97</v>
      </c>
      <c r="Y6" s="76" t="s">
        <v>98</v>
      </c>
      <c r="Z6" s="76" t="s">
        <v>99</v>
      </c>
      <c r="AA6" s="76" t="s">
        <v>100</v>
      </c>
      <c r="AB6" s="76" t="s">
        <v>101</v>
      </c>
      <c r="AC6" s="76" t="s">
        <v>102</v>
      </c>
      <c r="AD6" s="76" t="s">
        <v>103</v>
      </c>
      <c r="AE6" s="76" t="s">
        <v>104</v>
      </c>
      <c r="AF6" s="77" t="s">
        <v>105</v>
      </c>
      <c r="AG6" s="77" t="s">
        <v>106</v>
      </c>
      <c r="AH6" s="77" t="s">
        <v>107</v>
      </c>
      <c r="AI6" s="77" t="s">
        <v>108</v>
      </c>
      <c r="AJ6" s="77" t="s">
        <v>109</v>
      </c>
      <c r="AK6" s="77" t="s">
        <v>110</v>
      </c>
      <c r="AL6" s="77" t="s">
        <v>111</v>
      </c>
      <c r="AM6" s="77" t="s">
        <v>112</v>
      </c>
      <c r="AN6" s="76" t="s">
        <v>113</v>
      </c>
      <c r="AO6" s="76" t="s">
        <v>114</v>
      </c>
      <c r="AP6" s="76" t="s">
        <v>115</v>
      </c>
      <c r="AQ6" s="76" t="s">
        <v>116</v>
      </c>
      <c r="AS6" s="76" t="s">
        <v>121</v>
      </c>
      <c r="AT6" s="76" t="s">
        <v>122</v>
      </c>
      <c r="AU6" s="76" t="s">
        <v>81</v>
      </c>
      <c r="AV6" s="76" t="s">
        <v>82</v>
      </c>
      <c r="AW6" s="76" t="s">
        <v>83</v>
      </c>
      <c r="AX6" s="76" t="s">
        <v>84</v>
      </c>
      <c r="AY6" s="76" t="s">
        <v>85</v>
      </c>
      <c r="AZ6" s="76" t="s">
        <v>86</v>
      </c>
      <c r="BA6" s="76" t="s">
        <v>87</v>
      </c>
      <c r="BB6" s="76" t="s">
        <v>88</v>
      </c>
      <c r="BC6" s="76" t="s">
        <v>89</v>
      </c>
      <c r="BD6" s="76" t="s">
        <v>90</v>
      </c>
      <c r="BE6" s="76" t="s">
        <v>91</v>
      </c>
      <c r="BF6" s="76" t="s">
        <v>92</v>
      </c>
      <c r="BG6" s="76" t="s">
        <v>93</v>
      </c>
      <c r="BH6" s="76" t="s">
        <v>94</v>
      </c>
      <c r="BI6" s="76" t="s">
        <v>95</v>
      </c>
      <c r="BJ6" s="76" t="s">
        <v>96</v>
      </c>
      <c r="BK6" s="76" t="s">
        <v>97</v>
      </c>
      <c r="BL6" s="76" t="s">
        <v>98</v>
      </c>
      <c r="BM6" s="76" t="s">
        <v>99</v>
      </c>
      <c r="BN6" s="76" t="s">
        <v>100</v>
      </c>
      <c r="BO6" s="76" t="s">
        <v>101</v>
      </c>
      <c r="BP6" s="76" t="s">
        <v>102</v>
      </c>
      <c r="BQ6" s="76" t="s">
        <v>103</v>
      </c>
      <c r="BR6" s="76" t="s">
        <v>104</v>
      </c>
      <c r="BS6" s="78" t="s">
        <v>105</v>
      </c>
      <c r="BT6" s="78" t="s">
        <v>106</v>
      </c>
      <c r="BU6" s="78" t="s">
        <v>107</v>
      </c>
      <c r="BV6" s="78" t="s">
        <v>108</v>
      </c>
      <c r="BW6" s="78" t="s">
        <v>109</v>
      </c>
      <c r="BX6" s="78" t="s">
        <v>110</v>
      </c>
      <c r="BY6" s="78" t="s">
        <v>111</v>
      </c>
      <c r="BZ6" s="78" t="s">
        <v>112</v>
      </c>
      <c r="CA6" s="76" t="s">
        <v>113</v>
      </c>
      <c r="CB6" s="76" t="s">
        <v>114</v>
      </c>
      <c r="CC6" s="76" t="s">
        <v>115</v>
      </c>
      <c r="CD6" s="76" t="s">
        <v>116</v>
      </c>
      <c r="CE6" s="76" t="s">
        <v>117</v>
      </c>
      <c r="CF6" s="76" t="s">
        <v>118</v>
      </c>
      <c r="CG6" s="76" t="s">
        <v>119</v>
      </c>
      <c r="CH6" s="76" t="s">
        <v>120</v>
      </c>
    </row>
    <row r="7" spans="1:86" ht="21.75" customHeight="1">
      <c r="A7" s="7"/>
      <c r="B7" s="71" t="s">
        <v>123</v>
      </c>
      <c r="C7" s="79">
        <v>1</v>
      </c>
      <c r="D7" s="65" t="str">
        <f>"+/- 1 mês"</f>
        <v>+/- 1 mês</v>
      </c>
      <c r="F7" s="7"/>
      <c r="G7" s="80" t="s">
        <v>186</v>
      </c>
      <c r="H7" s="81">
        <v>1</v>
      </c>
      <c r="I7" s="81">
        <v>2</v>
      </c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S7" s="80" t="s">
        <v>124</v>
      </c>
      <c r="AT7" s="80" t="s">
        <v>123</v>
      </c>
      <c r="AU7" s="81">
        <v>1</v>
      </c>
      <c r="AV7" s="81"/>
      <c r="AW7" s="81"/>
      <c r="AX7" s="81"/>
      <c r="AY7" s="81"/>
      <c r="AZ7" s="81"/>
      <c r="BA7" s="81"/>
      <c r="BB7" s="81"/>
      <c r="BC7" s="81"/>
      <c r="BD7" s="81"/>
      <c r="BE7" s="81"/>
      <c r="BF7" s="81"/>
      <c r="BG7" s="81"/>
      <c r="BH7" s="81"/>
      <c r="BI7" s="81"/>
      <c r="BJ7" s="81"/>
      <c r="BK7" s="81"/>
      <c r="BL7" s="81"/>
      <c r="BM7" s="81"/>
      <c r="BN7" s="81"/>
      <c r="BO7" s="81"/>
      <c r="BP7" s="81"/>
      <c r="BQ7" s="81"/>
      <c r="BR7" s="81"/>
      <c r="BS7" s="81"/>
      <c r="BT7" s="81"/>
      <c r="BU7" s="81"/>
      <c r="BV7" s="81"/>
      <c r="BW7" s="81"/>
      <c r="BX7" s="81"/>
      <c r="BY7" s="81"/>
      <c r="BZ7" s="81"/>
      <c r="CA7" s="81"/>
      <c r="CB7" s="81"/>
      <c r="CC7" s="81"/>
      <c r="CD7" s="81"/>
      <c r="CE7" s="81"/>
      <c r="CF7" s="81"/>
      <c r="CG7" s="81"/>
      <c r="CH7" s="81"/>
    </row>
    <row r="8" spans="1:86" ht="21.75" customHeight="1">
      <c r="A8" s="7"/>
      <c r="B8" s="71" t="s">
        <v>125</v>
      </c>
      <c r="C8" s="63">
        <f>'b. Fundação'!H10+'b. Fundação'!L18</f>
        <v>3.2181818181818183</v>
      </c>
      <c r="D8" s="65" t="s">
        <v>126</v>
      </c>
      <c r="F8" s="7"/>
      <c r="G8" s="82" t="s">
        <v>185</v>
      </c>
      <c r="H8" s="83"/>
      <c r="I8" s="83">
        <v>1</v>
      </c>
      <c r="J8" s="83">
        <v>2</v>
      </c>
      <c r="K8" s="83">
        <v>3</v>
      </c>
      <c r="L8" s="83">
        <v>4</v>
      </c>
      <c r="M8" s="83">
        <v>5</v>
      </c>
      <c r="N8" s="83">
        <v>6</v>
      </c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3"/>
      <c r="AQ8" s="83"/>
      <c r="AS8" s="82" t="s">
        <v>127</v>
      </c>
      <c r="AT8" s="82" t="s">
        <v>125</v>
      </c>
      <c r="AU8" s="83"/>
      <c r="AV8" s="83">
        <v>1</v>
      </c>
      <c r="AW8" s="83">
        <v>2</v>
      </c>
      <c r="AX8" s="83">
        <v>3</v>
      </c>
      <c r="AY8" s="83">
        <v>4</v>
      </c>
      <c r="AZ8" s="83">
        <v>5</v>
      </c>
      <c r="BA8" s="83"/>
      <c r="BB8" s="83"/>
      <c r="BC8" s="83"/>
      <c r="BD8" s="83"/>
      <c r="BE8" s="83"/>
      <c r="BF8" s="83"/>
      <c r="BG8" s="83"/>
      <c r="BH8" s="83"/>
      <c r="BI8" s="83"/>
      <c r="BJ8" s="83"/>
      <c r="BK8" s="83"/>
      <c r="BL8" s="83"/>
      <c r="BM8" s="83"/>
      <c r="BN8" s="83"/>
      <c r="BO8" s="83"/>
      <c r="BP8" s="83"/>
      <c r="BQ8" s="83"/>
      <c r="BR8" s="83"/>
      <c r="BS8" s="83"/>
      <c r="BT8" s="83"/>
      <c r="BU8" s="83"/>
      <c r="BV8" s="83"/>
      <c r="BW8" s="83"/>
      <c r="BX8" s="83"/>
      <c r="BY8" s="83"/>
      <c r="BZ8" s="83"/>
      <c r="CA8" s="83"/>
      <c r="CB8" s="83"/>
      <c r="CC8" s="83"/>
      <c r="CD8" s="83"/>
      <c r="CE8" s="83"/>
      <c r="CF8" s="83"/>
      <c r="CG8" s="83"/>
      <c r="CH8" s="83"/>
    </row>
    <row r="9" spans="1:86" ht="21.75" customHeight="1">
      <c r="A9" s="7"/>
      <c r="B9" s="71" t="s">
        <v>128</v>
      </c>
      <c r="C9" s="63">
        <f>'c. Supraestrutura'!I15</f>
        <v>11.318181818181818</v>
      </c>
      <c r="D9" s="65" t="s">
        <v>129</v>
      </c>
      <c r="F9" s="7"/>
      <c r="G9" s="80" t="s">
        <v>128</v>
      </c>
      <c r="H9" s="81"/>
      <c r="I9" s="81"/>
      <c r="J9" s="81"/>
      <c r="K9" s="81"/>
      <c r="L9" s="81"/>
      <c r="M9" s="81"/>
      <c r="N9" s="81"/>
      <c r="O9" s="81">
        <v>1</v>
      </c>
      <c r="P9" s="81">
        <v>2</v>
      </c>
      <c r="Q9" s="81">
        <v>3</v>
      </c>
      <c r="R9" s="81">
        <v>4</v>
      </c>
      <c r="S9" s="81">
        <v>5</v>
      </c>
      <c r="T9" s="81">
        <v>6</v>
      </c>
      <c r="U9" s="81">
        <v>7</v>
      </c>
      <c r="V9" s="81">
        <v>8</v>
      </c>
      <c r="W9" s="81">
        <v>9</v>
      </c>
      <c r="X9" s="81">
        <v>10</v>
      </c>
      <c r="Y9" s="81">
        <v>11</v>
      </c>
      <c r="Z9" s="81">
        <v>12</v>
      </c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S9" s="80" t="s">
        <v>130</v>
      </c>
      <c r="AT9" s="80" t="s">
        <v>128</v>
      </c>
      <c r="AU9" s="81"/>
      <c r="AV9" s="81"/>
      <c r="AW9" s="81"/>
      <c r="AX9" s="81"/>
      <c r="AY9" s="81"/>
      <c r="AZ9" s="81"/>
      <c r="BA9" s="81">
        <v>1</v>
      </c>
      <c r="BB9" s="81">
        <v>2</v>
      </c>
      <c r="BC9" s="81">
        <v>3</v>
      </c>
      <c r="BD9" s="81">
        <v>4</v>
      </c>
      <c r="BE9" s="81">
        <v>5</v>
      </c>
      <c r="BF9" s="81">
        <v>6</v>
      </c>
      <c r="BG9" s="81">
        <v>7</v>
      </c>
      <c r="BH9" s="81">
        <v>8</v>
      </c>
      <c r="BI9" s="81">
        <v>9</v>
      </c>
      <c r="BJ9" s="81">
        <v>10</v>
      </c>
      <c r="BK9" s="81">
        <v>11</v>
      </c>
      <c r="BL9" s="81">
        <v>12</v>
      </c>
      <c r="BM9" s="81">
        <v>13</v>
      </c>
      <c r="BN9" s="81">
        <v>14</v>
      </c>
      <c r="BO9" s="81">
        <v>15</v>
      </c>
      <c r="BP9" s="81">
        <v>16</v>
      </c>
      <c r="BQ9" s="81"/>
      <c r="BR9" s="81"/>
      <c r="BS9" s="81"/>
      <c r="BT9" s="81"/>
      <c r="BU9" s="81"/>
      <c r="BV9" s="81"/>
      <c r="BW9" s="81"/>
      <c r="BX9" s="81"/>
      <c r="BY9" s="81"/>
      <c r="BZ9" s="81"/>
      <c r="CA9" s="81"/>
      <c r="CB9" s="81"/>
      <c r="CC9" s="81"/>
      <c r="CD9" s="81"/>
      <c r="CE9" s="81"/>
      <c r="CF9" s="81"/>
      <c r="CG9" s="81"/>
      <c r="CH9" s="81"/>
    </row>
    <row r="10" spans="1:86" ht="21.75" customHeight="1">
      <c r="A10" s="7"/>
      <c r="B10" s="71" t="s">
        <v>187</v>
      </c>
      <c r="C10" s="84">
        <v>3</v>
      </c>
      <c r="D10" s="65" t="str">
        <f>"+/-3 meses após o término da Supraestrutura"</f>
        <v>+/-3 meses após o término da Supraestrutura</v>
      </c>
      <c r="F10" s="7"/>
      <c r="G10" s="82" t="s">
        <v>191</v>
      </c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>
        <v>1</v>
      </c>
      <c r="AB10" s="83">
        <v>2</v>
      </c>
      <c r="AC10" s="83">
        <v>3</v>
      </c>
      <c r="AD10" s="83"/>
      <c r="AE10" s="83">
        <v>1</v>
      </c>
      <c r="AF10" s="83">
        <v>2</v>
      </c>
      <c r="AG10" s="83"/>
      <c r="AH10" s="83"/>
      <c r="AI10" s="83"/>
      <c r="AJ10" s="83"/>
      <c r="AK10" s="83"/>
      <c r="AL10" s="83"/>
      <c r="AM10" s="83"/>
      <c r="AN10" s="83"/>
      <c r="AO10" s="83"/>
      <c r="AP10" s="83"/>
      <c r="AQ10" s="83"/>
      <c r="AS10" s="82" t="s">
        <v>132</v>
      </c>
      <c r="AT10" s="82" t="s">
        <v>131</v>
      </c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>
        <v>1</v>
      </c>
      <c r="BF10" s="83">
        <v>2</v>
      </c>
      <c r="BG10" s="83">
        <v>3</v>
      </c>
      <c r="BH10" s="83">
        <v>4</v>
      </c>
      <c r="BI10" s="83">
        <v>5</v>
      </c>
      <c r="BJ10" s="83">
        <v>6</v>
      </c>
      <c r="BK10" s="83">
        <v>7</v>
      </c>
      <c r="BL10" s="83">
        <v>8</v>
      </c>
      <c r="BM10" s="83">
        <v>9</v>
      </c>
      <c r="BN10" s="83">
        <v>10</v>
      </c>
      <c r="BO10" s="83">
        <v>11</v>
      </c>
      <c r="BP10" s="83">
        <v>12</v>
      </c>
      <c r="BQ10" s="83">
        <v>13</v>
      </c>
      <c r="BR10" s="83">
        <v>14</v>
      </c>
      <c r="BS10" s="83">
        <v>15</v>
      </c>
      <c r="BT10" s="83"/>
      <c r="BU10" s="83"/>
      <c r="BV10" s="83"/>
      <c r="BW10" s="83"/>
      <c r="BX10" s="83"/>
      <c r="BY10" s="83"/>
      <c r="BZ10" s="83"/>
      <c r="CA10" s="83"/>
      <c r="CB10" s="83"/>
      <c r="CC10" s="83"/>
      <c r="CD10" s="83"/>
      <c r="CE10" s="83"/>
      <c r="CF10" s="83"/>
      <c r="CG10" s="83"/>
      <c r="CH10" s="83"/>
    </row>
    <row r="11" spans="1:86" ht="21.75" customHeight="1">
      <c r="A11" s="7"/>
      <c r="B11" s="71" t="s">
        <v>133</v>
      </c>
      <c r="C11" s="63">
        <f>'d. Fachada'!H15</f>
        <v>6.4545454545454541</v>
      </c>
      <c r="D11" s="65" t="s">
        <v>134</v>
      </c>
      <c r="F11" s="7"/>
      <c r="G11" s="80" t="s">
        <v>133</v>
      </c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>
        <v>1</v>
      </c>
      <c r="AE11" s="81">
        <v>2</v>
      </c>
      <c r="AF11" s="81">
        <v>3</v>
      </c>
      <c r="AG11" s="81">
        <v>4</v>
      </c>
      <c r="AH11" s="81">
        <v>5</v>
      </c>
      <c r="AI11" s="81">
        <v>6</v>
      </c>
      <c r="AJ11" s="81">
        <v>7</v>
      </c>
      <c r="AK11" s="81"/>
      <c r="AL11" s="81"/>
      <c r="AM11" s="81"/>
      <c r="AN11" s="81"/>
      <c r="AO11" s="81"/>
      <c r="AP11" s="81"/>
      <c r="AQ11" s="81"/>
      <c r="AS11" s="77" t="s">
        <v>135</v>
      </c>
      <c r="AT11" s="77" t="s">
        <v>135</v>
      </c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5"/>
      <c r="BF11" s="85">
        <v>1</v>
      </c>
      <c r="BG11" s="85">
        <v>2</v>
      </c>
      <c r="BH11" s="85">
        <v>3</v>
      </c>
      <c r="BI11" s="85">
        <v>4</v>
      </c>
      <c r="BJ11" s="85">
        <v>5</v>
      </c>
      <c r="BK11" s="85">
        <v>6</v>
      </c>
      <c r="BL11" s="85">
        <v>7</v>
      </c>
      <c r="BM11" s="85">
        <v>8</v>
      </c>
      <c r="BN11" s="85">
        <v>9</v>
      </c>
      <c r="BO11" s="85">
        <v>10</v>
      </c>
      <c r="BP11" s="85">
        <v>11</v>
      </c>
      <c r="BQ11" s="85">
        <v>12</v>
      </c>
      <c r="BR11" s="85">
        <v>13</v>
      </c>
      <c r="BS11" s="85">
        <v>14</v>
      </c>
      <c r="BT11" s="85">
        <v>15</v>
      </c>
      <c r="BU11" s="85">
        <v>16</v>
      </c>
      <c r="BV11" s="85"/>
      <c r="BW11" s="85"/>
      <c r="BX11" s="85"/>
      <c r="BY11" s="85"/>
      <c r="BZ11" s="85"/>
      <c r="CA11" s="85"/>
      <c r="CB11" s="85"/>
      <c r="CC11" s="85"/>
      <c r="CD11" s="85"/>
      <c r="CE11" s="85"/>
      <c r="CF11" s="85"/>
      <c r="CG11" s="85"/>
      <c r="CH11" s="85"/>
    </row>
    <row r="12" spans="1:86" ht="21.75" customHeight="1">
      <c r="A12" s="7"/>
      <c r="B12" s="71" t="s">
        <v>136</v>
      </c>
      <c r="C12" s="63">
        <v>12</v>
      </c>
      <c r="D12" s="65" t="str">
        <f>"+/-12 meses após o término da Alvenaria"</f>
        <v>+/-12 meses após o término da Alvenaria</v>
      </c>
      <c r="F12" s="7"/>
      <c r="G12" s="82" t="s">
        <v>136</v>
      </c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>
        <v>1</v>
      </c>
      <c r="AE12" s="83">
        <v>2</v>
      </c>
      <c r="AF12" s="83">
        <v>3</v>
      </c>
      <c r="AG12" s="83">
        <v>4</v>
      </c>
      <c r="AH12" s="83">
        <v>5</v>
      </c>
      <c r="AI12" s="83">
        <v>6</v>
      </c>
      <c r="AJ12" s="83">
        <v>7</v>
      </c>
      <c r="AK12" s="83">
        <v>8</v>
      </c>
      <c r="AL12" s="83">
        <v>9</v>
      </c>
      <c r="AM12" s="83">
        <v>10</v>
      </c>
      <c r="AN12" s="83"/>
      <c r="AO12" s="83"/>
      <c r="AP12" s="83"/>
      <c r="AQ12" s="83"/>
      <c r="AS12" s="77" t="s">
        <v>137</v>
      </c>
      <c r="AT12" s="77" t="s">
        <v>137</v>
      </c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5"/>
      <c r="BF12" s="85"/>
      <c r="BG12" s="85"/>
      <c r="BH12" s="85"/>
      <c r="BI12" s="85"/>
      <c r="BJ12" s="85"/>
      <c r="BK12" s="85"/>
      <c r="BL12" s="85"/>
      <c r="BM12" s="85"/>
      <c r="BN12" s="85"/>
      <c r="BO12" s="85"/>
      <c r="BP12" s="85"/>
      <c r="BQ12" s="85"/>
      <c r="BR12" s="85"/>
      <c r="BS12" s="85"/>
      <c r="BT12" s="85">
        <v>1</v>
      </c>
      <c r="BU12" s="85">
        <v>2</v>
      </c>
      <c r="BV12" s="85">
        <v>3</v>
      </c>
      <c r="BW12" s="85">
        <v>4</v>
      </c>
      <c r="BX12" s="85">
        <v>5</v>
      </c>
      <c r="BY12" s="85">
        <v>6</v>
      </c>
      <c r="BZ12" s="85"/>
      <c r="CA12" s="85"/>
      <c r="CB12" s="85"/>
      <c r="CC12" s="85"/>
      <c r="CD12" s="85"/>
      <c r="CE12" s="85"/>
      <c r="CF12" s="85"/>
      <c r="CG12" s="85"/>
      <c r="CH12" s="85"/>
    </row>
    <row r="13" spans="1:86" ht="21.75" customHeight="1">
      <c r="A13" s="7"/>
      <c r="B13" s="71" t="s">
        <v>138</v>
      </c>
      <c r="C13" s="63">
        <v>5</v>
      </c>
      <c r="D13" s="65" t="str">
        <f>"+/-5 a 6 meses após o término da Fachada"</f>
        <v>+/-5 a 6 meses após o término da Fachada</v>
      </c>
      <c r="F13" s="7"/>
      <c r="G13" s="80" t="s">
        <v>138</v>
      </c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>
        <v>1</v>
      </c>
      <c r="AL13" s="81">
        <v>2</v>
      </c>
      <c r="AM13" s="81">
        <v>3</v>
      </c>
      <c r="AN13" s="81">
        <v>4</v>
      </c>
      <c r="AO13" s="81">
        <v>5</v>
      </c>
      <c r="AP13" s="81"/>
      <c r="AQ13" s="81"/>
      <c r="AS13" s="77" t="s">
        <v>139</v>
      </c>
      <c r="AT13" s="77" t="s">
        <v>139</v>
      </c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5"/>
      <c r="BF13" s="85"/>
      <c r="BG13" s="85"/>
      <c r="BH13" s="85"/>
      <c r="BI13" s="85">
        <v>1</v>
      </c>
      <c r="BJ13" s="85">
        <v>2</v>
      </c>
      <c r="BK13" s="85">
        <v>3</v>
      </c>
      <c r="BL13" s="85">
        <v>4</v>
      </c>
      <c r="BM13" s="85">
        <v>5</v>
      </c>
      <c r="BN13" s="85">
        <v>6</v>
      </c>
      <c r="BO13" s="85">
        <v>7</v>
      </c>
      <c r="BP13" s="85">
        <v>8</v>
      </c>
      <c r="BQ13" s="85">
        <v>9</v>
      </c>
      <c r="BR13" s="85">
        <v>10</v>
      </c>
      <c r="BS13" s="85">
        <v>11</v>
      </c>
      <c r="BT13" s="85">
        <v>12</v>
      </c>
      <c r="BU13" s="85">
        <v>13</v>
      </c>
      <c r="BV13" s="85">
        <v>14</v>
      </c>
      <c r="BW13" s="85">
        <v>15</v>
      </c>
      <c r="BX13" s="85">
        <v>16</v>
      </c>
      <c r="BY13" s="85"/>
      <c r="BZ13" s="85"/>
      <c r="CA13" s="85"/>
      <c r="CB13" s="85"/>
      <c r="CC13" s="85"/>
      <c r="CD13" s="85"/>
      <c r="CE13" s="85"/>
      <c r="CF13" s="85"/>
      <c r="CG13" s="85"/>
      <c r="CH13" s="85"/>
    </row>
    <row r="14" spans="1:86" ht="21.75" customHeight="1">
      <c r="A14" s="7"/>
      <c r="B14" s="86"/>
      <c r="C14" s="87"/>
      <c r="E14" s="41"/>
      <c r="F14" s="7"/>
      <c r="G14" s="8"/>
      <c r="H14" s="214" t="s">
        <v>195</v>
      </c>
      <c r="I14" s="214"/>
      <c r="J14" s="214"/>
      <c r="K14" s="214"/>
      <c r="L14" s="214"/>
      <c r="M14" s="214"/>
      <c r="N14" s="214"/>
      <c r="O14" s="214"/>
      <c r="P14" s="214"/>
      <c r="Q14" s="214"/>
      <c r="R14" s="214"/>
      <c r="S14" s="214"/>
      <c r="T14" s="214"/>
      <c r="U14" s="214"/>
      <c r="V14" s="214"/>
      <c r="W14" s="214"/>
      <c r="X14" s="214"/>
      <c r="Y14" s="214"/>
      <c r="Z14" s="214"/>
      <c r="AA14" s="214"/>
      <c r="AB14" s="214"/>
      <c r="AC14" s="214"/>
      <c r="AD14" s="214"/>
      <c r="AE14" s="214"/>
      <c r="AF14" s="214"/>
      <c r="AG14" s="214"/>
      <c r="AH14" s="214"/>
      <c r="AI14" s="214"/>
      <c r="AJ14" s="214"/>
      <c r="AK14" s="214"/>
      <c r="AL14" s="214"/>
      <c r="AM14" s="214"/>
      <c r="AN14" s="214"/>
      <c r="AO14" s="214"/>
      <c r="AP14" s="214"/>
      <c r="AQ14" s="214"/>
      <c r="AS14" s="77" t="s">
        <v>140</v>
      </c>
      <c r="AT14" s="77" t="s">
        <v>140</v>
      </c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5"/>
      <c r="BF14" s="85"/>
      <c r="BG14" s="85">
        <v>1</v>
      </c>
      <c r="BH14" s="85">
        <v>2</v>
      </c>
      <c r="BI14" s="85">
        <v>3</v>
      </c>
      <c r="BJ14" s="85">
        <v>4</v>
      </c>
      <c r="BK14" s="85">
        <v>5</v>
      </c>
      <c r="BL14" s="85">
        <v>6</v>
      </c>
      <c r="BM14" s="85">
        <v>7</v>
      </c>
      <c r="BN14" s="85">
        <v>8</v>
      </c>
      <c r="BO14" s="85">
        <v>9</v>
      </c>
      <c r="BP14" s="85">
        <v>10</v>
      </c>
      <c r="BQ14" s="85">
        <v>11</v>
      </c>
      <c r="BR14" s="85">
        <v>12</v>
      </c>
      <c r="BS14" s="85">
        <v>13</v>
      </c>
      <c r="BT14" s="85">
        <v>14</v>
      </c>
      <c r="BU14" s="85">
        <v>15</v>
      </c>
      <c r="BV14" s="85">
        <v>16</v>
      </c>
      <c r="BW14" s="85">
        <v>17</v>
      </c>
      <c r="BX14" s="85"/>
      <c r="BY14" s="85"/>
      <c r="BZ14" s="85"/>
      <c r="CA14" s="85"/>
      <c r="CB14" s="85"/>
      <c r="CC14" s="85"/>
      <c r="CD14" s="85"/>
      <c r="CE14" s="85"/>
      <c r="CF14" s="85"/>
      <c r="CG14" s="85"/>
      <c r="CH14" s="85"/>
    </row>
    <row r="15" spans="1:86" ht="21.75" customHeight="1">
      <c r="A15" s="7"/>
      <c r="B15" s="88" t="s">
        <v>141</v>
      </c>
      <c r="C15" s="89">
        <f>C9+1</f>
        <v>12.318181818181818</v>
      </c>
      <c r="D15" s="90" t="s">
        <v>142</v>
      </c>
      <c r="E15" s="7"/>
      <c r="F15" s="7"/>
      <c r="G15" s="76" t="s">
        <v>80</v>
      </c>
      <c r="H15" s="76" t="s">
        <v>81</v>
      </c>
      <c r="I15" s="76" t="s">
        <v>82</v>
      </c>
      <c r="J15" s="76" t="s">
        <v>83</v>
      </c>
      <c r="K15" s="76" t="s">
        <v>84</v>
      </c>
      <c r="L15" s="76" t="s">
        <v>85</v>
      </c>
      <c r="M15" s="76" t="s">
        <v>86</v>
      </c>
      <c r="N15" s="76" t="s">
        <v>87</v>
      </c>
      <c r="O15" s="76" t="s">
        <v>88</v>
      </c>
      <c r="P15" s="76" t="s">
        <v>89</v>
      </c>
      <c r="Q15" s="76" t="s">
        <v>90</v>
      </c>
      <c r="R15" s="76" t="s">
        <v>91</v>
      </c>
      <c r="S15" s="76" t="s">
        <v>92</v>
      </c>
      <c r="T15" s="76" t="s">
        <v>93</v>
      </c>
      <c r="U15" s="76" t="s">
        <v>94</v>
      </c>
      <c r="V15" s="76" t="s">
        <v>95</v>
      </c>
      <c r="W15" s="76" t="s">
        <v>96</v>
      </c>
      <c r="X15" s="76" t="s">
        <v>97</v>
      </c>
      <c r="Y15" s="76" t="s">
        <v>98</v>
      </c>
      <c r="Z15" s="76" t="s">
        <v>99</v>
      </c>
      <c r="AA15" s="76" t="s">
        <v>100</v>
      </c>
      <c r="AB15" s="76" t="s">
        <v>101</v>
      </c>
      <c r="AC15" s="76" t="s">
        <v>102</v>
      </c>
      <c r="AD15" s="76" t="s">
        <v>103</v>
      </c>
      <c r="AE15" s="76" t="s">
        <v>104</v>
      </c>
      <c r="AF15" s="77" t="s">
        <v>105</v>
      </c>
      <c r="AG15" s="77" t="s">
        <v>106</v>
      </c>
      <c r="AH15" s="77" t="s">
        <v>107</v>
      </c>
      <c r="AI15" s="77" t="s">
        <v>108</v>
      </c>
      <c r="AJ15" s="77" t="s">
        <v>109</v>
      </c>
      <c r="AK15" s="77" t="s">
        <v>110</v>
      </c>
      <c r="AL15" s="77" t="s">
        <v>111</v>
      </c>
      <c r="AM15" s="77" t="s">
        <v>112</v>
      </c>
      <c r="AN15" s="76" t="s">
        <v>113</v>
      </c>
      <c r="AO15" s="76" t="s">
        <v>114</v>
      </c>
      <c r="AP15" s="76" t="s">
        <v>115</v>
      </c>
      <c r="AQ15" s="76" t="s">
        <v>116</v>
      </c>
      <c r="AS15" s="77" t="s">
        <v>143</v>
      </c>
      <c r="AT15" s="77" t="s">
        <v>143</v>
      </c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5"/>
      <c r="BF15" s="85"/>
      <c r="BG15" s="85"/>
      <c r="BH15" s="85"/>
      <c r="BI15" s="85"/>
      <c r="BJ15" s="85"/>
      <c r="BK15" s="85">
        <v>1</v>
      </c>
      <c r="BL15" s="85">
        <v>2</v>
      </c>
      <c r="BM15" s="85">
        <v>3</v>
      </c>
      <c r="BN15" s="85">
        <v>4</v>
      </c>
      <c r="BO15" s="85">
        <v>5</v>
      </c>
      <c r="BP15" s="85">
        <v>6</v>
      </c>
      <c r="BQ15" s="85">
        <v>7</v>
      </c>
      <c r="BR15" s="85">
        <v>8</v>
      </c>
      <c r="BS15" s="85">
        <v>9</v>
      </c>
      <c r="BT15" s="85">
        <v>10</v>
      </c>
      <c r="BU15" s="85">
        <v>11</v>
      </c>
      <c r="BV15" s="85">
        <v>12</v>
      </c>
      <c r="BW15" s="85">
        <v>13</v>
      </c>
      <c r="BX15" s="85">
        <v>14</v>
      </c>
      <c r="BY15" s="85">
        <v>15</v>
      </c>
      <c r="BZ15" s="85">
        <v>16</v>
      </c>
      <c r="CA15" s="85"/>
      <c r="CB15" s="85"/>
      <c r="CC15" s="85"/>
      <c r="CD15" s="85"/>
      <c r="CE15" s="85"/>
      <c r="CF15" s="85"/>
      <c r="CG15" s="85"/>
      <c r="CH15" s="85"/>
    </row>
    <row r="16" spans="1:86" ht="23.25" customHeight="1">
      <c r="A16" s="7"/>
      <c r="B16" s="88" t="s">
        <v>76</v>
      </c>
      <c r="C16" s="89">
        <f>C11+1</f>
        <v>7.4545454545454541</v>
      </c>
      <c r="D16" s="90" t="s">
        <v>144</v>
      </c>
      <c r="E16" s="7"/>
      <c r="F16" s="7"/>
      <c r="G16" s="80" t="s">
        <v>186</v>
      </c>
      <c r="H16" s="81">
        <v>1</v>
      </c>
      <c r="I16" s="81">
        <v>2</v>
      </c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S16" s="82"/>
      <c r="AT16" s="82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83"/>
      <c r="BG16" s="83"/>
      <c r="BH16" s="83"/>
      <c r="BI16" s="83"/>
      <c r="BJ16" s="83"/>
      <c r="BK16" s="83"/>
      <c r="BL16" s="83"/>
      <c r="BM16" s="83"/>
      <c r="BN16" s="83"/>
      <c r="BO16" s="83"/>
      <c r="BP16" s="83"/>
      <c r="BQ16" s="83"/>
      <c r="BR16" s="83"/>
      <c r="BS16" s="83"/>
      <c r="BT16" s="83"/>
      <c r="BU16" s="83"/>
      <c r="BV16" s="83"/>
      <c r="BW16" s="83"/>
      <c r="BX16" s="83"/>
      <c r="BY16" s="83"/>
      <c r="BZ16" s="83"/>
      <c r="CA16" s="83"/>
      <c r="CB16" s="83"/>
      <c r="CC16" s="83"/>
      <c r="CD16" s="83"/>
      <c r="CE16" s="83"/>
      <c r="CF16" s="83"/>
      <c r="CG16" s="83"/>
      <c r="CH16" s="83"/>
    </row>
    <row r="17" spans="1:86" ht="30.75" customHeight="1">
      <c r="A17" s="7"/>
      <c r="B17" s="88" t="s">
        <v>145</v>
      </c>
      <c r="C17" s="89">
        <f>C9-(('c. Supraestrutura'!G13+'c. Supraestrutura'!G12+'c. Supraestrutura'!G11)/22)+C10+B21</f>
        <v>12</v>
      </c>
      <c r="D17" s="90" t="s">
        <v>146</v>
      </c>
      <c r="E17" s="7"/>
      <c r="F17" s="7"/>
      <c r="G17" s="82" t="s">
        <v>185</v>
      </c>
      <c r="H17" s="83"/>
      <c r="I17" s="83">
        <v>1</v>
      </c>
      <c r="J17" s="83">
        <v>2</v>
      </c>
      <c r="K17" s="83">
        <v>3</v>
      </c>
      <c r="L17" s="83">
        <v>4</v>
      </c>
      <c r="M17" s="83">
        <v>5</v>
      </c>
      <c r="N17" s="83">
        <v>6</v>
      </c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S17" s="82" t="s">
        <v>147</v>
      </c>
      <c r="AT17" s="82" t="s">
        <v>147</v>
      </c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83"/>
      <c r="BG17" s="83"/>
      <c r="BH17" s="83"/>
      <c r="BI17" s="83"/>
      <c r="BJ17" s="83">
        <v>1</v>
      </c>
      <c r="BK17" s="83">
        <v>2</v>
      </c>
      <c r="BL17" s="83">
        <v>3</v>
      </c>
      <c r="BM17" s="83">
        <v>4</v>
      </c>
      <c r="BN17" s="83">
        <v>5</v>
      </c>
      <c r="BO17" s="83">
        <v>6</v>
      </c>
      <c r="BP17" s="83">
        <v>7</v>
      </c>
      <c r="BQ17" s="83">
        <v>8</v>
      </c>
      <c r="BR17" s="83">
        <v>9</v>
      </c>
      <c r="BS17" s="83">
        <v>10</v>
      </c>
      <c r="BT17" s="83">
        <v>11</v>
      </c>
      <c r="BU17" s="83">
        <v>12</v>
      </c>
      <c r="BV17" s="83">
        <v>13</v>
      </c>
      <c r="BW17" s="83">
        <v>14</v>
      </c>
      <c r="BX17" s="83">
        <v>15</v>
      </c>
      <c r="BY17" s="83">
        <v>16</v>
      </c>
      <c r="BZ17" s="83">
        <v>17</v>
      </c>
      <c r="CA17" s="83">
        <v>18</v>
      </c>
      <c r="CB17" s="83"/>
      <c r="CC17" s="83"/>
      <c r="CD17" s="83"/>
      <c r="CE17" s="83"/>
      <c r="CF17" s="83"/>
      <c r="CG17" s="83"/>
      <c r="CH17" s="83"/>
    </row>
    <row r="18" spans="1:86" ht="21.75" customHeight="1">
      <c r="A18" s="7"/>
      <c r="B18" s="41"/>
      <c r="C18" s="7"/>
      <c r="D18" s="7"/>
      <c r="E18" s="7"/>
      <c r="F18" s="7"/>
      <c r="G18" s="8"/>
      <c r="H18" s="214" t="s">
        <v>188</v>
      </c>
      <c r="I18" s="214"/>
      <c r="J18" s="214"/>
      <c r="K18" s="214"/>
      <c r="L18" s="214"/>
      <c r="M18" s="214"/>
      <c r="N18" s="214"/>
      <c r="O18" s="214"/>
      <c r="P18" s="214"/>
      <c r="Q18" s="214"/>
      <c r="R18" s="214"/>
      <c r="S18" s="214"/>
      <c r="T18" s="214"/>
      <c r="U18" s="214"/>
      <c r="V18" s="214"/>
      <c r="W18" s="214"/>
      <c r="X18" s="214"/>
      <c r="Y18" s="214"/>
      <c r="Z18" s="214"/>
      <c r="AA18" s="214"/>
      <c r="AB18" s="214"/>
      <c r="AC18" s="214"/>
      <c r="AD18" s="214"/>
      <c r="AE18" s="214"/>
      <c r="AF18" s="214"/>
      <c r="AG18" s="214"/>
      <c r="AH18" s="214"/>
      <c r="AI18" s="214"/>
      <c r="AJ18" s="214"/>
      <c r="AK18" s="214"/>
      <c r="AL18" s="214"/>
      <c r="AM18" s="214"/>
      <c r="AN18" s="214"/>
      <c r="AO18" s="214"/>
      <c r="AP18" s="214"/>
      <c r="AQ18" s="214"/>
      <c r="AS18" s="82" t="s">
        <v>148</v>
      </c>
      <c r="AT18" s="82" t="s">
        <v>148</v>
      </c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83"/>
      <c r="BG18" s="83"/>
      <c r="BH18" s="83"/>
      <c r="BI18" s="83"/>
      <c r="BJ18" s="83"/>
      <c r="BK18" s="83"/>
      <c r="BL18" s="83">
        <v>1</v>
      </c>
      <c r="BM18" s="83">
        <v>2</v>
      </c>
      <c r="BN18" s="83">
        <v>3</v>
      </c>
      <c r="BO18" s="83">
        <v>4</v>
      </c>
      <c r="BP18" s="83">
        <v>5</v>
      </c>
      <c r="BQ18" s="83">
        <v>6</v>
      </c>
      <c r="BR18" s="83">
        <v>7</v>
      </c>
      <c r="BS18" s="83">
        <v>8</v>
      </c>
      <c r="BT18" s="83">
        <v>9</v>
      </c>
      <c r="BU18" s="83">
        <v>10</v>
      </c>
      <c r="BV18" s="83">
        <v>11</v>
      </c>
      <c r="BW18" s="83">
        <v>12</v>
      </c>
      <c r="BX18" s="83">
        <v>13</v>
      </c>
      <c r="BY18" s="83">
        <v>14</v>
      </c>
      <c r="BZ18" s="83">
        <v>15</v>
      </c>
      <c r="CA18" s="83">
        <v>16</v>
      </c>
      <c r="CB18" s="83">
        <v>17</v>
      </c>
      <c r="CC18" s="83">
        <v>18</v>
      </c>
      <c r="CD18" s="83">
        <v>19</v>
      </c>
      <c r="CE18" s="83">
        <v>20</v>
      </c>
      <c r="CF18" s="83"/>
      <c r="CG18" s="83"/>
      <c r="CH18" s="83"/>
    </row>
    <row r="19" spans="1:86" ht="21.75" customHeight="1">
      <c r="A19" s="7"/>
      <c r="B19" s="91" t="s">
        <v>149</v>
      </c>
      <c r="C19" s="92">
        <v>30</v>
      </c>
      <c r="D19" s="7"/>
      <c r="E19" s="7"/>
      <c r="F19" s="7"/>
      <c r="G19" s="80" t="s">
        <v>128</v>
      </c>
      <c r="H19" s="81"/>
      <c r="I19" s="81"/>
      <c r="J19" s="81"/>
      <c r="K19" s="81"/>
      <c r="L19" s="81"/>
      <c r="M19" s="81"/>
      <c r="N19" s="81"/>
      <c r="O19" s="81">
        <v>1</v>
      </c>
      <c r="P19" s="81">
        <v>2</v>
      </c>
      <c r="Q19" s="81">
        <v>3</v>
      </c>
      <c r="R19" s="81">
        <v>4</v>
      </c>
      <c r="S19" s="81">
        <v>5</v>
      </c>
      <c r="T19" s="81">
        <v>6</v>
      </c>
      <c r="U19" s="81">
        <v>7</v>
      </c>
      <c r="V19" s="81">
        <v>8</v>
      </c>
      <c r="W19" s="81">
        <v>9</v>
      </c>
      <c r="X19" s="81">
        <v>10</v>
      </c>
      <c r="Y19" s="81">
        <v>11</v>
      </c>
      <c r="Z19" s="81">
        <v>12</v>
      </c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S19" s="77" t="s">
        <v>150</v>
      </c>
      <c r="AT19" s="77" t="s">
        <v>150</v>
      </c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5"/>
      <c r="BF19" s="85"/>
      <c r="BG19" s="85"/>
      <c r="BH19" s="85"/>
      <c r="BI19" s="85"/>
      <c r="BJ19" s="85"/>
      <c r="BK19" s="85"/>
      <c r="BL19" s="85"/>
      <c r="BM19" s="85"/>
      <c r="BN19" s="85"/>
      <c r="BO19" s="85"/>
      <c r="BP19" s="85"/>
      <c r="BQ19" s="85"/>
      <c r="BR19" s="85"/>
      <c r="BS19" s="85"/>
      <c r="BT19" s="85"/>
      <c r="BU19" s="85"/>
      <c r="BV19" s="85">
        <v>1</v>
      </c>
      <c r="BW19" s="85">
        <v>2</v>
      </c>
      <c r="BX19" s="85">
        <v>3</v>
      </c>
      <c r="BY19" s="85">
        <v>4</v>
      </c>
      <c r="BZ19" s="85">
        <v>5</v>
      </c>
      <c r="CA19" s="85">
        <v>6</v>
      </c>
      <c r="CB19" s="85">
        <v>7</v>
      </c>
      <c r="CC19" s="85">
        <v>8</v>
      </c>
      <c r="CD19" s="85">
        <v>9</v>
      </c>
      <c r="CE19" s="85">
        <v>10</v>
      </c>
      <c r="CF19" s="85">
        <v>11</v>
      </c>
      <c r="CG19" s="85"/>
      <c r="CH19" s="85"/>
    </row>
    <row r="20" spans="1:86" ht="21.75" customHeight="1">
      <c r="A20" s="7"/>
      <c r="B20" s="91" t="s">
        <v>151</v>
      </c>
      <c r="C20" s="92">
        <v>50</v>
      </c>
      <c r="D20" s="7"/>
      <c r="E20" s="7"/>
      <c r="F20" s="7"/>
      <c r="G20" s="82" t="s">
        <v>131</v>
      </c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>
        <v>1</v>
      </c>
      <c r="AB20" s="83">
        <v>2</v>
      </c>
      <c r="AC20" s="83">
        <v>3</v>
      </c>
      <c r="AD20" s="83"/>
      <c r="AE20" s="83">
        <v>1</v>
      </c>
      <c r="AF20" s="83">
        <v>2</v>
      </c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S20" s="77" t="s">
        <v>152</v>
      </c>
      <c r="AT20" s="77" t="s">
        <v>152</v>
      </c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5"/>
      <c r="BF20" s="85"/>
      <c r="BG20" s="85"/>
      <c r="BH20" s="85"/>
      <c r="BI20" s="85"/>
      <c r="BJ20" s="85"/>
      <c r="BK20" s="85"/>
      <c r="BL20" s="85"/>
      <c r="BM20" s="85"/>
      <c r="BN20" s="85"/>
      <c r="BO20" s="85"/>
      <c r="BP20" s="85"/>
      <c r="BQ20" s="85"/>
      <c r="BR20" s="85"/>
      <c r="BS20" s="85"/>
      <c r="BT20" s="85"/>
      <c r="BU20" s="85"/>
      <c r="BV20" s="85"/>
      <c r="BW20" s="85"/>
      <c r="BX20" s="85"/>
      <c r="BY20" s="85"/>
      <c r="BZ20" s="85"/>
      <c r="CA20" s="85"/>
      <c r="CB20" s="85"/>
      <c r="CC20" s="85">
        <v>1</v>
      </c>
      <c r="CD20" s="85">
        <v>2</v>
      </c>
      <c r="CE20" s="85">
        <v>3</v>
      </c>
      <c r="CF20" s="85">
        <v>4</v>
      </c>
      <c r="CG20" s="85"/>
      <c r="CH20" s="85"/>
    </row>
    <row r="21" spans="1:86" ht="21.75" customHeight="1">
      <c r="A21" s="7"/>
      <c r="B21" s="169">
        <f>C21/22</f>
        <v>3.6363636363636362</v>
      </c>
      <c r="C21" s="170">
        <f>C19+C20</f>
        <v>80</v>
      </c>
      <c r="D21" s="171"/>
      <c r="E21" s="7"/>
      <c r="F21" s="7"/>
      <c r="G21" s="80" t="s">
        <v>133</v>
      </c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>
        <v>1</v>
      </c>
      <c r="AE21" s="81">
        <v>2</v>
      </c>
      <c r="AF21" s="81">
        <v>3</v>
      </c>
      <c r="AG21" s="81">
        <v>4</v>
      </c>
      <c r="AH21" s="81">
        <v>5</v>
      </c>
      <c r="AI21" s="81">
        <v>6</v>
      </c>
      <c r="AJ21" s="81">
        <v>7</v>
      </c>
      <c r="AK21" s="81"/>
      <c r="AL21" s="81"/>
      <c r="AM21" s="81"/>
      <c r="AN21" s="81"/>
      <c r="AO21" s="81"/>
      <c r="AP21" s="81"/>
      <c r="AQ21" s="81"/>
      <c r="AS21" s="80" t="s">
        <v>153</v>
      </c>
      <c r="AT21" s="80" t="s">
        <v>153</v>
      </c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81"/>
      <c r="BQ21" s="81"/>
      <c r="BR21" s="81"/>
      <c r="BS21" s="81"/>
      <c r="BT21" s="81">
        <v>1</v>
      </c>
      <c r="BU21" s="81">
        <v>2</v>
      </c>
      <c r="BV21" s="81">
        <v>3</v>
      </c>
      <c r="BW21" s="81">
        <v>4</v>
      </c>
      <c r="BX21" s="81">
        <v>5</v>
      </c>
      <c r="BY21" s="81">
        <v>6</v>
      </c>
      <c r="BZ21" s="81">
        <v>7</v>
      </c>
      <c r="CA21" s="81">
        <v>8</v>
      </c>
      <c r="CB21" s="81">
        <v>9</v>
      </c>
      <c r="CC21" s="81"/>
      <c r="CD21" s="81"/>
      <c r="CE21" s="81"/>
      <c r="CF21" s="81"/>
      <c r="CG21" s="81"/>
      <c r="CH21" s="81"/>
    </row>
    <row r="22" spans="1:86" ht="21.75" customHeight="1">
      <c r="A22" s="7"/>
      <c r="B22" s="208" t="s">
        <v>205</v>
      </c>
      <c r="C22" s="209"/>
      <c r="D22" s="210"/>
      <c r="E22" s="7"/>
      <c r="F22" s="7"/>
      <c r="G22" s="82" t="s">
        <v>136</v>
      </c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>
        <v>1</v>
      </c>
      <c r="AE22" s="83">
        <v>2</v>
      </c>
      <c r="AF22" s="83">
        <v>3</v>
      </c>
      <c r="AG22" s="83">
        <v>4</v>
      </c>
      <c r="AH22" s="83">
        <v>5</v>
      </c>
      <c r="AI22" s="83">
        <v>6</v>
      </c>
      <c r="AJ22" s="83">
        <v>7</v>
      </c>
      <c r="AK22" s="83">
        <v>8</v>
      </c>
      <c r="AL22" s="83">
        <v>9</v>
      </c>
      <c r="AM22" s="83">
        <v>10</v>
      </c>
      <c r="AN22" s="83">
        <v>11</v>
      </c>
      <c r="AO22" s="83">
        <v>12</v>
      </c>
      <c r="AP22" s="83"/>
      <c r="AQ22" s="83"/>
      <c r="AS22" s="77" t="s">
        <v>154</v>
      </c>
      <c r="AT22" s="80" t="s">
        <v>138</v>
      </c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5"/>
      <c r="BF22" s="85"/>
      <c r="BG22" s="85"/>
      <c r="BH22" s="85"/>
      <c r="BI22" s="85"/>
      <c r="BJ22" s="85"/>
      <c r="BK22" s="85"/>
      <c r="BL22" s="85"/>
      <c r="BM22" s="85"/>
      <c r="BN22" s="85"/>
      <c r="BO22" s="85"/>
      <c r="BP22" s="85"/>
      <c r="BQ22" s="85"/>
      <c r="BR22" s="85"/>
      <c r="BS22" s="85"/>
      <c r="BT22" s="85"/>
      <c r="BU22" s="85"/>
      <c r="BV22" s="85"/>
      <c r="BW22" s="85"/>
      <c r="BX22" s="85"/>
      <c r="BY22" s="85"/>
      <c r="BZ22" s="85"/>
      <c r="CA22" s="85"/>
      <c r="CB22" s="85"/>
      <c r="CC22" s="81">
        <v>1</v>
      </c>
      <c r="CD22" s="81">
        <v>2</v>
      </c>
      <c r="CE22" s="81">
        <v>3</v>
      </c>
      <c r="CF22" s="81">
        <v>4</v>
      </c>
      <c r="CG22" s="81">
        <v>5</v>
      </c>
      <c r="CH22" s="81">
        <v>6</v>
      </c>
    </row>
    <row r="23" spans="1:86" ht="21.75" customHeight="1">
      <c r="A23" s="7"/>
      <c r="B23" s="177" t="s">
        <v>198</v>
      </c>
      <c r="C23" s="173">
        <f>'c. Supraestrutura'!I23+1</f>
        <v>13.181818181818182</v>
      </c>
      <c r="D23" s="172" t="s">
        <v>142</v>
      </c>
      <c r="E23" s="7"/>
      <c r="F23" s="7"/>
      <c r="G23" s="80" t="s">
        <v>138</v>
      </c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>
        <v>1</v>
      </c>
      <c r="AM23" s="81">
        <v>2</v>
      </c>
      <c r="AN23" s="81">
        <v>3</v>
      </c>
      <c r="AO23" s="81">
        <v>4</v>
      </c>
      <c r="AP23" s="81">
        <v>5</v>
      </c>
      <c r="AQ23" s="81">
        <v>6</v>
      </c>
      <c r="AS23" s="82"/>
      <c r="AT23" s="82" t="s">
        <v>136</v>
      </c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83"/>
      <c r="BG23" s="83"/>
      <c r="BH23" s="83"/>
      <c r="BI23" s="83"/>
      <c r="BJ23" s="83"/>
      <c r="BK23" s="83"/>
      <c r="BL23" s="83"/>
      <c r="BM23" s="83"/>
      <c r="BN23" s="83"/>
      <c r="BO23" s="83"/>
      <c r="BP23" s="83"/>
      <c r="BQ23" s="83"/>
      <c r="BR23" s="83"/>
      <c r="BS23" s="83"/>
      <c r="BT23" s="83">
        <v>1</v>
      </c>
      <c r="BU23" s="83">
        <v>2</v>
      </c>
      <c r="BV23" s="83">
        <v>3</v>
      </c>
      <c r="BW23" s="83">
        <v>4</v>
      </c>
      <c r="BX23" s="83">
        <v>5</v>
      </c>
      <c r="BY23" s="83">
        <v>6</v>
      </c>
      <c r="BZ23" s="83">
        <v>7</v>
      </c>
      <c r="CA23" s="83">
        <v>8</v>
      </c>
      <c r="CB23" s="83">
        <v>9</v>
      </c>
      <c r="CC23" s="83">
        <v>10</v>
      </c>
      <c r="CD23" s="83">
        <v>11</v>
      </c>
      <c r="CE23" s="83">
        <v>12</v>
      </c>
      <c r="CF23" s="83"/>
      <c r="CG23" s="83"/>
      <c r="CH23" s="83"/>
    </row>
    <row r="24" spans="1:86" ht="23.25" customHeight="1">
      <c r="A24" s="7"/>
      <c r="B24" s="177" t="s">
        <v>199</v>
      </c>
      <c r="C24" s="173">
        <f>'c. Supraestrutura'!I31+1</f>
        <v>11.454545454545455</v>
      </c>
      <c r="D24" s="174" t="s">
        <v>142</v>
      </c>
      <c r="E24" s="7"/>
      <c r="F24" s="7"/>
      <c r="G24" s="8"/>
      <c r="H24" s="214" t="s">
        <v>192</v>
      </c>
      <c r="I24" s="214"/>
      <c r="J24" s="214"/>
      <c r="K24" s="214"/>
      <c r="L24" s="214"/>
      <c r="M24" s="214"/>
      <c r="N24" s="214"/>
      <c r="O24" s="214"/>
      <c r="P24" s="214"/>
      <c r="Q24" s="214"/>
      <c r="R24" s="214"/>
      <c r="S24" s="214"/>
      <c r="T24" s="214"/>
      <c r="U24" s="214"/>
      <c r="V24" s="214"/>
      <c r="W24" s="214"/>
      <c r="X24" s="214"/>
      <c r="Y24" s="214"/>
      <c r="Z24" s="214"/>
      <c r="AA24" s="214"/>
      <c r="AB24" s="214"/>
      <c r="AC24" s="214"/>
      <c r="AD24" s="214"/>
      <c r="AE24" s="214"/>
      <c r="AF24" s="214"/>
      <c r="AG24" s="214"/>
      <c r="AH24" s="214"/>
      <c r="AI24" s="214"/>
      <c r="AJ24" s="214"/>
      <c r="AK24" s="214"/>
      <c r="AL24" s="214"/>
      <c r="AM24" s="214"/>
      <c r="AN24" s="214"/>
      <c r="AO24" s="214"/>
      <c r="AP24" s="214"/>
      <c r="AQ24" s="214"/>
    </row>
    <row r="25" spans="1:86" ht="34.799999999999997">
      <c r="A25" s="7"/>
      <c r="B25" s="177" t="s">
        <v>200</v>
      </c>
      <c r="C25" s="173">
        <f>'c. Supraestrutura'!I23-(('c. Supraestrutura'!G22+'c. Supraestrutura'!G21)/22)+C10+B21</f>
        <v>11.09090909090909</v>
      </c>
      <c r="D25" s="175" t="s">
        <v>204</v>
      </c>
      <c r="E25" s="7"/>
      <c r="F25" s="7"/>
      <c r="G25" s="76" t="s">
        <v>80</v>
      </c>
      <c r="H25" s="76" t="s">
        <v>81</v>
      </c>
      <c r="I25" s="76" t="s">
        <v>82</v>
      </c>
      <c r="J25" s="76" t="s">
        <v>83</v>
      </c>
      <c r="K25" s="76" t="s">
        <v>84</v>
      </c>
      <c r="L25" s="76" t="s">
        <v>85</v>
      </c>
      <c r="M25" s="76" t="s">
        <v>86</v>
      </c>
      <c r="N25" s="76" t="s">
        <v>87</v>
      </c>
      <c r="O25" s="76" t="s">
        <v>88</v>
      </c>
      <c r="P25" s="76" t="s">
        <v>89</v>
      </c>
      <c r="Q25" s="76" t="s">
        <v>90</v>
      </c>
      <c r="R25" s="76" t="s">
        <v>91</v>
      </c>
      <c r="S25" s="76" t="s">
        <v>92</v>
      </c>
      <c r="T25" s="76" t="s">
        <v>93</v>
      </c>
      <c r="U25" s="76" t="s">
        <v>94</v>
      </c>
      <c r="V25" s="76" t="s">
        <v>95</v>
      </c>
      <c r="W25" s="76" t="s">
        <v>96</v>
      </c>
      <c r="X25" s="76" t="s">
        <v>97</v>
      </c>
      <c r="Y25" s="76" t="s">
        <v>98</v>
      </c>
      <c r="Z25" s="76" t="s">
        <v>99</v>
      </c>
      <c r="AA25" s="76" t="s">
        <v>100</v>
      </c>
      <c r="AB25" s="76" t="s">
        <v>101</v>
      </c>
      <c r="AC25" s="76" t="s">
        <v>102</v>
      </c>
      <c r="AD25" s="76" t="s">
        <v>103</v>
      </c>
      <c r="AE25" s="76" t="s">
        <v>104</v>
      </c>
      <c r="AF25" s="76" t="s">
        <v>105</v>
      </c>
      <c r="AG25" s="76" t="s">
        <v>106</v>
      </c>
      <c r="AH25" s="76" t="s">
        <v>107</v>
      </c>
      <c r="AI25" s="76" t="s">
        <v>108</v>
      </c>
      <c r="AJ25" s="76" t="s">
        <v>109</v>
      </c>
      <c r="AK25" s="76" t="s">
        <v>110</v>
      </c>
      <c r="AL25" s="76" t="s">
        <v>111</v>
      </c>
      <c r="AM25" s="76" t="s">
        <v>112</v>
      </c>
      <c r="AN25" s="76" t="s">
        <v>113</v>
      </c>
      <c r="AO25" s="76" t="s">
        <v>114</v>
      </c>
      <c r="AP25" s="76" t="s">
        <v>115</v>
      </c>
      <c r="AQ25" s="76" t="s">
        <v>116</v>
      </c>
    </row>
    <row r="26" spans="1:86" ht="34.799999999999997">
      <c r="A26" s="7"/>
      <c r="B26" s="177" t="s">
        <v>201</v>
      </c>
      <c r="C26" s="173">
        <f>'c. Supraestrutura'!I23-(('c. Supraestrutura'!G29)/22)+C10+B21</f>
        <v>14.5</v>
      </c>
      <c r="D26" s="175" t="s">
        <v>204</v>
      </c>
      <c r="E26" s="7"/>
      <c r="F26" s="7"/>
      <c r="G26" s="80" t="s">
        <v>128</v>
      </c>
      <c r="H26" s="81"/>
      <c r="I26" s="81"/>
      <c r="J26" s="81"/>
      <c r="K26" s="81"/>
      <c r="L26" s="81"/>
      <c r="M26" s="81"/>
      <c r="N26" s="81"/>
      <c r="O26" s="81"/>
      <c r="P26" s="81">
        <v>1</v>
      </c>
      <c r="Q26" s="81">
        <v>2</v>
      </c>
      <c r="R26" s="81">
        <v>3</v>
      </c>
      <c r="S26" s="81">
        <v>4</v>
      </c>
      <c r="T26" s="81">
        <v>5</v>
      </c>
      <c r="U26" s="81">
        <v>6</v>
      </c>
      <c r="V26" s="81">
        <v>7</v>
      </c>
      <c r="W26" s="81">
        <v>8</v>
      </c>
      <c r="X26" s="81">
        <v>9</v>
      </c>
      <c r="Y26" s="81">
        <v>10</v>
      </c>
      <c r="Z26" s="81">
        <v>11</v>
      </c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</row>
    <row r="27" spans="1:86" ht="23.25" customHeight="1">
      <c r="A27" s="7"/>
      <c r="B27" s="177" t="s">
        <v>202</v>
      </c>
      <c r="C27" s="173">
        <f>C16</f>
        <v>7.4545454545454541</v>
      </c>
      <c r="D27" s="174" t="s">
        <v>144</v>
      </c>
      <c r="E27" s="7"/>
      <c r="F27" s="7"/>
      <c r="G27" s="82" t="s">
        <v>131</v>
      </c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>
        <v>1</v>
      </c>
      <c r="AB27" s="83">
        <v>2</v>
      </c>
      <c r="AC27" s="83">
        <v>3</v>
      </c>
      <c r="AD27" s="83"/>
      <c r="AE27" s="83">
        <v>1</v>
      </c>
      <c r="AF27" s="83">
        <v>2</v>
      </c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</row>
    <row r="28" spans="1:86" ht="23.25" customHeight="1">
      <c r="A28" s="7"/>
      <c r="B28" s="178" t="s">
        <v>203</v>
      </c>
      <c r="C28" s="179">
        <f>C16</f>
        <v>7.4545454545454541</v>
      </c>
      <c r="D28" s="176" t="s">
        <v>144</v>
      </c>
      <c r="E28" s="7"/>
      <c r="F28" s="7"/>
      <c r="G28" s="80" t="s">
        <v>133</v>
      </c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>
        <v>1</v>
      </c>
      <c r="AE28" s="81">
        <v>2</v>
      </c>
      <c r="AF28" s="81">
        <v>3</v>
      </c>
      <c r="AG28" s="81">
        <v>4</v>
      </c>
      <c r="AH28" s="81">
        <v>5</v>
      </c>
      <c r="AI28" s="81">
        <v>6</v>
      </c>
      <c r="AJ28" s="81">
        <v>7</v>
      </c>
      <c r="AK28" s="81"/>
      <c r="AL28" s="81"/>
      <c r="AM28" s="81"/>
      <c r="AN28" s="81"/>
      <c r="AO28" s="81"/>
      <c r="AP28" s="81"/>
      <c r="AQ28" s="81"/>
    </row>
    <row r="29" spans="1:86" ht="23.25" customHeight="1">
      <c r="A29" s="7"/>
      <c r="B29" s="49"/>
      <c r="C29" s="7"/>
      <c r="D29" s="7"/>
      <c r="E29" s="7"/>
      <c r="F29" s="7"/>
      <c r="G29" s="82" t="s">
        <v>136</v>
      </c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>
        <v>1</v>
      </c>
      <c r="AE29" s="83">
        <v>2</v>
      </c>
      <c r="AF29" s="83">
        <v>3</v>
      </c>
      <c r="AG29" s="83">
        <v>4</v>
      </c>
      <c r="AH29" s="83">
        <v>5</v>
      </c>
      <c r="AI29" s="83">
        <v>6</v>
      </c>
      <c r="AJ29" s="83">
        <v>7</v>
      </c>
      <c r="AK29" s="83">
        <v>8</v>
      </c>
      <c r="AL29" s="83">
        <v>9</v>
      </c>
      <c r="AM29" s="83">
        <v>10</v>
      </c>
      <c r="AN29" s="83">
        <v>11</v>
      </c>
      <c r="AO29" s="83">
        <v>12</v>
      </c>
      <c r="AP29" s="83"/>
      <c r="AQ29" s="83"/>
    </row>
    <row r="30" spans="1:86" ht="23.25" customHeight="1">
      <c r="A30" s="7"/>
      <c r="B30" s="49"/>
      <c r="C30" s="7"/>
      <c r="D30" s="7"/>
      <c r="E30" s="7"/>
      <c r="F30" s="7"/>
      <c r="G30" s="80" t="s">
        <v>138</v>
      </c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>
        <v>1</v>
      </c>
      <c r="AM30" s="81">
        <v>2</v>
      </c>
      <c r="AN30" s="81">
        <v>3</v>
      </c>
      <c r="AO30" s="81">
        <v>4</v>
      </c>
      <c r="AP30" s="81">
        <v>5</v>
      </c>
      <c r="AQ30" s="81">
        <v>6</v>
      </c>
      <c r="AR30" s="93"/>
    </row>
    <row r="31" spans="1:86" ht="23.25" customHeight="1">
      <c r="A31" s="7"/>
      <c r="B31" s="49"/>
      <c r="C31" s="7"/>
      <c r="D31" s="7"/>
      <c r="E31" s="7"/>
      <c r="F31" s="7"/>
      <c r="AR31" s="93"/>
    </row>
    <row r="32" spans="1:86" ht="23.25" customHeight="1">
      <c r="A32" s="7"/>
      <c r="B32" s="49"/>
      <c r="C32" s="7"/>
      <c r="D32" s="7"/>
      <c r="E32" s="7"/>
      <c r="F32" s="7"/>
      <c r="G32" s="215" t="s">
        <v>164</v>
      </c>
      <c r="H32" s="215"/>
      <c r="I32" s="215"/>
      <c r="J32" s="215"/>
      <c r="K32" s="215"/>
      <c r="L32" s="215"/>
      <c r="M32" s="215"/>
      <c r="N32" s="215"/>
      <c r="O32" s="215"/>
      <c r="P32" s="215"/>
      <c r="Q32" s="215"/>
      <c r="R32" s="215"/>
      <c r="S32" s="215"/>
      <c r="T32" s="215"/>
      <c r="U32" s="215"/>
      <c r="V32" s="215"/>
      <c r="W32" s="215"/>
      <c r="X32" s="215"/>
      <c r="Y32" s="215"/>
      <c r="Z32" s="215"/>
      <c r="AA32" s="215"/>
      <c r="AB32" s="215"/>
      <c r="AC32" s="215"/>
      <c r="AD32" s="215"/>
      <c r="AE32" s="215"/>
      <c r="AF32" s="215"/>
      <c r="AG32" s="215"/>
      <c r="AH32" s="215"/>
      <c r="AI32" s="215"/>
      <c r="AJ32" s="215"/>
      <c r="AK32" s="215"/>
      <c r="AL32" s="215"/>
      <c r="AM32" s="215"/>
      <c r="AN32" s="215"/>
      <c r="AO32" s="215"/>
      <c r="AP32" s="215"/>
      <c r="AQ32" s="215"/>
      <c r="AR32" s="93"/>
    </row>
    <row r="33" spans="1:44" ht="23.25" customHeight="1">
      <c r="A33" s="7"/>
      <c r="B33" s="49"/>
      <c r="C33" s="7"/>
      <c r="D33" s="7"/>
      <c r="E33" s="7"/>
      <c r="F33" s="7"/>
      <c r="G33" s="76" t="s">
        <v>80</v>
      </c>
      <c r="H33" s="76" t="s">
        <v>81</v>
      </c>
      <c r="I33" s="76" t="s">
        <v>82</v>
      </c>
      <c r="J33" s="76" t="s">
        <v>83</v>
      </c>
      <c r="K33" s="76" t="s">
        <v>84</v>
      </c>
      <c r="L33" s="76" t="s">
        <v>85</v>
      </c>
      <c r="M33" s="76" t="s">
        <v>86</v>
      </c>
      <c r="N33" s="76" t="s">
        <v>87</v>
      </c>
      <c r="O33" s="76" t="s">
        <v>88</v>
      </c>
      <c r="P33" s="76" t="s">
        <v>89</v>
      </c>
      <c r="Q33" s="76" t="s">
        <v>90</v>
      </c>
      <c r="R33" s="76" t="s">
        <v>91</v>
      </c>
      <c r="S33" s="76" t="s">
        <v>92</v>
      </c>
      <c r="T33" s="76" t="s">
        <v>93</v>
      </c>
      <c r="U33" s="76" t="s">
        <v>94</v>
      </c>
      <c r="V33" s="76" t="s">
        <v>95</v>
      </c>
      <c r="W33" s="76" t="s">
        <v>96</v>
      </c>
      <c r="X33" s="76" t="s">
        <v>97</v>
      </c>
      <c r="Y33" s="76" t="s">
        <v>98</v>
      </c>
      <c r="Z33" s="76" t="s">
        <v>99</v>
      </c>
      <c r="AA33" s="76" t="s">
        <v>100</v>
      </c>
      <c r="AB33" s="76" t="s">
        <v>101</v>
      </c>
      <c r="AC33" s="76" t="s">
        <v>102</v>
      </c>
      <c r="AD33" s="76" t="s">
        <v>103</v>
      </c>
      <c r="AE33" s="76" t="s">
        <v>104</v>
      </c>
      <c r="AF33" s="76" t="s">
        <v>105</v>
      </c>
      <c r="AG33" s="76" t="s">
        <v>106</v>
      </c>
      <c r="AH33" s="76" t="s">
        <v>107</v>
      </c>
      <c r="AI33" s="76" t="s">
        <v>108</v>
      </c>
      <c r="AJ33" s="76" t="s">
        <v>109</v>
      </c>
      <c r="AK33" s="76" t="s">
        <v>110</v>
      </c>
      <c r="AL33" s="76" t="s">
        <v>111</v>
      </c>
      <c r="AM33" s="76" t="s">
        <v>112</v>
      </c>
      <c r="AN33" s="76" t="s">
        <v>113</v>
      </c>
      <c r="AO33" s="76" t="s">
        <v>114</v>
      </c>
      <c r="AP33" s="76" t="s">
        <v>115</v>
      </c>
      <c r="AQ33" s="76" t="s">
        <v>116</v>
      </c>
      <c r="AR33" s="93"/>
    </row>
    <row r="34" spans="1:44" ht="21.75" customHeight="1">
      <c r="A34" s="7"/>
      <c r="B34" s="49"/>
      <c r="C34" s="7"/>
      <c r="D34" s="7"/>
      <c r="E34" s="7"/>
      <c r="F34" s="7"/>
      <c r="G34" s="80" t="s">
        <v>124</v>
      </c>
      <c r="H34" s="81">
        <v>1</v>
      </c>
      <c r="I34" s="81">
        <v>2</v>
      </c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93"/>
    </row>
    <row r="35" spans="1:44" ht="21.75" customHeight="1">
      <c r="A35" s="7"/>
      <c r="B35" s="49"/>
      <c r="C35" s="7"/>
      <c r="D35" s="7"/>
      <c r="E35" s="7"/>
      <c r="F35" s="7"/>
      <c r="G35" s="82" t="s">
        <v>193</v>
      </c>
      <c r="H35" s="83"/>
      <c r="I35" s="83">
        <v>1</v>
      </c>
      <c r="J35" s="83">
        <v>2</v>
      </c>
      <c r="K35" s="83">
        <v>3</v>
      </c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3"/>
      <c r="AQ35" s="83"/>
      <c r="AR35" s="93"/>
    </row>
    <row r="36" spans="1:44" ht="21.75" customHeight="1">
      <c r="A36" s="7"/>
      <c r="B36" s="49"/>
      <c r="C36" s="7"/>
      <c r="D36" s="7"/>
      <c r="E36" s="7"/>
      <c r="F36" s="7"/>
      <c r="G36" s="80" t="s">
        <v>127</v>
      </c>
      <c r="H36" s="81"/>
      <c r="I36" s="81"/>
      <c r="J36" s="81"/>
      <c r="K36" s="81">
        <v>1</v>
      </c>
      <c r="L36" s="81">
        <v>2</v>
      </c>
      <c r="M36" s="81">
        <v>3</v>
      </c>
      <c r="N36" s="81">
        <v>4</v>
      </c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93"/>
    </row>
    <row r="37" spans="1:44" ht="21.75" customHeight="1">
      <c r="A37" s="7"/>
      <c r="B37" s="49"/>
      <c r="C37" s="7"/>
      <c r="D37" s="7"/>
      <c r="E37" s="7"/>
      <c r="F37" s="7"/>
      <c r="G37" s="82" t="s">
        <v>130</v>
      </c>
      <c r="H37" s="83"/>
      <c r="I37" s="83"/>
      <c r="J37" s="83"/>
      <c r="K37" s="83"/>
      <c r="L37" s="83"/>
      <c r="M37" s="83"/>
      <c r="N37" s="83"/>
      <c r="O37" s="83">
        <v>1</v>
      </c>
      <c r="P37" s="83">
        <v>2</v>
      </c>
      <c r="Q37" s="83">
        <v>3</v>
      </c>
      <c r="R37" s="83">
        <v>4</v>
      </c>
      <c r="S37" s="83">
        <v>5</v>
      </c>
      <c r="T37" s="83">
        <v>6</v>
      </c>
      <c r="U37" s="83">
        <v>7</v>
      </c>
      <c r="V37" s="83">
        <v>8</v>
      </c>
      <c r="W37" s="83">
        <v>9</v>
      </c>
      <c r="X37" s="83">
        <v>10</v>
      </c>
      <c r="Y37" s="83">
        <v>11</v>
      </c>
      <c r="Z37" s="83">
        <v>12</v>
      </c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/>
      <c r="AP37" s="83"/>
      <c r="AQ37" s="83"/>
      <c r="AR37" s="93"/>
    </row>
    <row r="38" spans="1:44" ht="21.75" customHeight="1">
      <c r="A38" s="7"/>
      <c r="B38" s="49"/>
      <c r="C38" s="7"/>
      <c r="D38" s="7"/>
      <c r="E38" s="7"/>
      <c r="F38" s="7"/>
      <c r="G38" s="80" t="s">
        <v>194</v>
      </c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>
        <v>1</v>
      </c>
      <c r="S38" s="81">
        <v>2</v>
      </c>
      <c r="T38" s="81">
        <v>3</v>
      </c>
      <c r="U38" s="81">
        <v>4</v>
      </c>
      <c r="V38" s="81">
        <v>5</v>
      </c>
      <c r="W38" s="81">
        <v>6</v>
      </c>
      <c r="X38" s="81">
        <v>7</v>
      </c>
      <c r="Y38" s="81">
        <v>8</v>
      </c>
      <c r="Z38" s="81">
        <v>9</v>
      </c>
      <c r="AA38" s="81">
        <v>10</v>
      </c>
      <c r="AB38" s="81">
        <v>11</v>
      </c>
      <c r="AC38" s="163">
        <v>12</v>
      </c>
      <c r="AD38" s="81">
        <v>13</v>
      </c>
      <c r="AE38" s="81">
        <v>14</v>
      </c>
      <c r="AF38" s="81">
        <v>15</v>
      </c>
      <c r="AG38" s="81">
        <v>16</v>
      </c>
      <c r="AH38" s="81">
        <v>17</v>
      </c>
      <c r="AI38" s="81"/>
      <c r="AJ38" s="81"/>
      <c r="AK38" s="81"/>
      <c r="AL38" s="81"/>
      <c r="AM38" s="81"/>
      <c r="AN38" s="81"/>
      <c r="AO38" s="81"/>
      <c r="AP38" s="81"/>
      <c r="AQ38" s="81"/>
      <c r="AR38" s="93"/>
    </row>
    <row r="39" spans="1:44" ht="21.75" customHeight="1">
      <c r="A39" s="7"/>
      <c r="B39" s="49"/>
      <c r="C39" s="7"/>
      <c r="D39" s="7"/>
      <c r="E39" s="7"/>
      <c r="F39" s="7"/>
      <c r="G39" s="80" t="s">
        <v>135</v>
      </c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>
        <v>1</v>
      </c>
      <c r="U39" s="81">
        <v>2</v>
      </c>
      <c r="V39" s="81">
        <v>3</v>
      </c>
      <c r="W39" s="81">
        <v>4</v>
      </c>
      <c r="X39" s="81">
        <v>5</v>
      </c>
      <c r="Y39" s="81">
        <v>6</v>
      </c>
      <c r="Z39" s="81">
        <v>7</v>
      </c>
      <c r="AA39" s="81">
        <v>8</v>
      </c>
      <c r="AB39" s="81">
        <v>9</v>
      </c>
      <c r="AC39" s="81">
        <v>10</v>
      </c>
      <c r="AD39" s="81">
        <v>11</v>
      </c>
      <c r="AE39" s="163">
        <v>12</v>
      </c>
      <c r="AF39" s="81">
        <v>13</v>
      </c>
      <c r="AG39" s="81">
        <v>14</v>
      </c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93"/>
    </row>
    <row r="40" spans="1:44" ht="21.75" customHeight="1">
      <c r="A40" s="7"/>
      <c r="B40" s="49"/>
      <c r="C40" s="7"/>
      <c r="D40" s="7"/>
      <c r="E40" s="7"/>
      <c r="F40" s="7"/>
      <c r="G40" s="82" t="s">
        <v>137</v>
      </c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>
        <v>1</v>
      </c>
      <c r="AE40" s="83">
        <v>2</v>
      </c>
      <c r="AF40" s="83">
        <v>3</v>
      </c>
      <c r="AG40" s="83">
        <v>4</v>
      </c>
      <c r="AH40" s="83">
        <v>5</v>
      </c>
      <c r="AI40" s="83">
        <v>6</v>
      </c>
      <c r="AJ40" s="83">
        <v>7</v>
      </c>
      <c r="AK40" s="83">
        <v>8</v>
      </c>
      <c r="AL40" s="83">
        <v>9</v>
      </c>
      <c r="AM40" s="83">
        <v>10</v>
      </c>
      <c r="AN40" s="83">
        <v>11</v>
      </c>
      <c r="AO40" s="83">
        <v>12</v>
      </c>
      <c r="AP40" s="83">
        <v>13</v>
      </c>
      <c r="AQ40" s="83">
        <v>14</v>
      </c>
    </row>
    <row r="41" spans="1:44" ht="21.75" customHeight="1">
      <c r="A41" s="7"/>
      <c r="B41" s="49"/>
      <c r="C41" s="7"/>
      <c r="D41" s="7"/>
      <c r="E41" s="7"/>
      <c r="F41" s="7"/>
      <c r="G41" s="80" t="s">
        <v>139</v>
      </c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>
        <v>2</v>
      </c>
      <c r="X41" s="81">
        <v>3</v>
      </c>
      <c r="Y41" s="81">
        <v>4</v>
      </c>
      <c r="Z41" s="81">
        <v>5</v>
      </c>
      <c r="AA41" s="81">
        <v>6</v>
      </c>
      <c r="AB41" s="81">
        <v>7</v>
      </c>
      <c r="AC41" s="81">
        <v>8</v>
      </c>
      <c r="AD41" s="81">
        <v>9</v>
      </c>
      <c r="AE41" s="81">
        <v>10</v>
      </c>
      <c r="AF41" s="81">
        <v>11</v>
      </c>
      <c r="AG41" s="81">
        <v>12</v>
      </c>
      <c r="AH41" s="81">
        <v>13</v>
      </c>
      <c r="AI41" s="81">
        <v>14</v>
      </c>
      <c r="AJ41" s="81"/>
      <c r="AK41" s="81"/>
      <c r="AL41" s="81"/>
      <c r="AM41" s="81"/>
      <c r="AN41" s="81"/>
      <c r="AO41" s="81"/>
      <c r="AP41" s="81"/>
      <c r="AQ41" s="81"/>
    </row>
    <row r="42" spans="1:44" ht="21.75" customHeight="1">
      <c r="A42" s="7"/>
      <c r="B42" s="49"/>
      <c r="C42" s="7"/>
      <c r="D42" s="7"/>
      <c r="E42" s="7"/>
      <c r="F42" s="7"/>
      <c r="G42" s="82" t="s">
        <v>140</v>
      </c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>
        <v>1</v>
      </c>
      <c r="V42" s="83">
        <v>2</v>
      </c>
      <c r="W42" s="83">
        <v>3</v>
      </c>
      <c r="X42" s="83">
        <v>4</v>
      </c>
      <c r="Y42" s="83">
        <v>5</v>
      </c>
      <c r="Z42" s="83">
        <v>6</v>
      </c>
      <c r="AA42" s="83">
        <v>7</v>
      </c>
      <c r="AB42" s="83">
        <v>8</v>
      </c>
      <c r="AC42" s="83">
        <v>9</v>
      </c>
      <c r="AD42" s="83">
        <v>10</v>
      </c>
      <c r="AE42" s="83">
        <v>11</v>
      </c>
      <c r="AF42" s="83">
        <v>12</v>
      </c>
      <c r="AG42" s="83">
        <v>13</v>
      </c>
      <c r="AH42" s="83"/>
      <c r="AI42" s="83"/>
      <c r="AJ42" s="83"/>
      <c r="AK42" s="83"/>
      <c r="AL42" s="83"/>
      <c r="AM42" s="83"/>
      <c r="AN42" s="83"/>
      <c r="AO42" s="83"/>
      <c r="AP42" s="83"/>
      <c r="AQ42" s="83"/>
    </row>
    <row r="43" spans="1:44" ht="21.75" customHeight="1">
      <c r="A43" s="7"/>
      <c r="B43" s="49"/>
      <c r="C43" s="7"/>
      <c r="D43" s="7"/>
      <c r="E43" s="7"/>
      <c r="F43" s="7"/>
      <c r="G43" s="80" t="s">
        <v>143</v>
      </c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>
        <v>1</v>
      </c>
      <c r="Y43" s="81">
        <v>2</v>
      </c>
      <c r="Z43" s="81">
        <v>3</v>
      </c>
      <c r="AA43" s="81">
        <v>4</v>
      </c>
      <c r="AB43" s="81">
        <v>5</v>
      </c>
      <c r="AC43" s="81">
        <v>6</v>
      </c>
      <c r="AD43" s="81">
        <v>7</v>
      </c>
      <c r="AE43" s="81">
        <v>8</v>
      </c>
      <c r="AF43" s="81">
        <v>9</v>
      </c>
      <c r="AG43" s="81">
        <v>10</v>
      </c>
      <c r="AH43" s="81">
        <v>11</v>
      </c>
      <c r="AI43" s="81">
        <v>12</v>
      </c>
      <c r="AJ43" s="81">
        <v>13</v>
      </c>
      <c r="AK43" s="81">
        <v>14</v>
      </c>
      <c r="AL43" s="81"/>
      <c r="AM43" s="81"/>
      <c r="AN43" s="81"/>
      <c r="AO43" s="81"/>
      <c r="AP43" s="81"/>
      <c r="AQ43" s="81"/>
    </row>
    <row r="44" spans="1:44" ht="21.75" customHeight="1">
      <c r="A44" s="7"/>
      <c r="B44" s="49"/>
      <c r="C44" s="7"/>
      <c r="D44" s="7"/>
      <c r="E44" s="7"/>
      <c r="F44" s="7"/>
      <c r="G44" s="80" t="s">
        <v>147</v>
      </c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>
        <v>1</v>
      </c>
      <c r="X44" s="81">
        <v>2</v>
      </c>
      <c r="Y44" s="81">
        <v>3</v>
      </c>
      <c r="Z44" s="81">
        <v>4</v>
      </c>
      <c r="AA44" s="81">
        <v>5</v>
      </c>
      <c r="AB44" s="81">
        <v>6</v>
      </c>
      <c r="AC44" s="81">
        <v>7</v>
      </c>
      <c r="AD44" s="81">
        <v>8</v>
      </c>
      <c r="AE44" s="81">
        <v>9</v>
      </c>
      <c r="AF44" s="81">
        <v>10</v>
      </c>
      <c r="AG44" s="81">
        <v>11</v>
      </c>
      <c r="AH44" s="81">
        <v>12</v>
      </c>
      <c r="AI44" s="81">
        <v>13</v>
      </c>
      <c r="AJ44" s="81">
        <v>14</v>
      </c>
      <c r="AK44" s="81"/>
      <c r="AL44" s="81"/>
      <c r="AM44" s="81"/>
      <c r="AN44" s="81"/>
      <c r="AO44" s="81"/>
      <c r="AP44" s="81"/>
      <c r="AQ44" s="81"/>
    </row>
    <row r="45" spans="1:44" ht="21.75" customHeight="1">
      <c r="A45" s="7"/>
      <c r="B45" s="49"/>
      <c r="C45" s="7"/>
      <c r="D45" s="7"/>
      <c r="E45" s="7"/>
      <c r="F45" s="7"/>
      <c r="G45" s="82" t="s">
        <v>148</v>
      </c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>
        <v>1</v>
      </c>
      <c r="Z45" s="83">
        <v>2</v>
      </c>
      <c r="AA45" s="83">
        <v>3</v>
      </c>
      <c r="AB45" s="83">
        <v>4</v>
      </c>
      <c r="AC45" s="83">
        <v>5</v>
      </c>
      <c r="AD45" s="83">
        <v>6</v>
      </c>
      <c r="AE45" s="83">
        <v>7</v>
      </c>
      <c r="AF45" s="83">
        <v>8</v>
      </c>
      <c r="AG45" s="83">
        <v>9</v>
      </c>
      <c r="AH45" s="83">
        <v>10</v>
      </c>
      <c r="AI45" s="83">
        <v>11</v>
      </c>
      <c r="AJ45" s="83">
        <v>12</v>
      </c>
      <c r="AK45" s="83">
        <v>13</v>
      </c>
      <c r="AL45" s="83">
        <v>14</v>
      </c>
      <c r="AM45" s="83">
        <v>15</v>
      </c>
      <c r="AN45" s="83">
        <v>16</v>
      </c>
      <c r="AO45" s="83">
        <v>17</v>
      </c>
      <c r="AP45" s="83">
        <v>18</v>
      </c>
      <c r="AQ45" s="83"/>
    </row>
    <row r="46" spans="1:44" ht="21.75" customHeight="1">
      <c r="A46" s="7"/>
      <c r="B46" s="49"/>
      <c r="C46" s="7"/>
      <c r="D46" s="7"/>
      <c r="E46" s="7"/>
      <c r="F46" s="7"/>
      <c r="G46" s="80" t="s">
        <v>150</v>
      </c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81">
        <v>1</v>
      </c>
      <c r="AJ46" s="81">
        <v>2</v>
      </c>
      <c r="AK46" s="81">
        <v>3</v>
      </c>
      <c r="AL46" s="81">
        <v>4</v>
      </c>
      <c r="AM46" s="81">
        <v>5</v>
      </c>
      <c r="AN46" s="81">
        <v>6</v>
      </c>
      <c r="AO46" s="81">
        <v>7</v>
      </c>
      <c r="AP46" s="81">
        <v>8</v>
      </c>
      <c r="AQ46" s="81"/>
    </row>
    <row r="47" spans="1:44" ht="21.75" customHeight="1">
      <c r="A47" s="7"/>
      <c r="B47" s="49"/>
      <c r="C47" s="7"/>
      <c r="D47" s="7"/>
      <c r="E47" s="7"/>
      <c r="F47" s="7"/>
      <c r="G47" s="82" t="s">
        <v>153</v>
      </c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>
        <v>1</v>
      </c>
      <c r="AE47" s="83">
        <v>2</v>
      </c>
      <c r="AF47" s="83">
        <v>3</v>
      </c>
      <c r="AG47" s="83">
        <v>4</v>
      </c>
      <c r="AH47" s="83">
        <v>5</v>
      </c>
      <c r="AI47" s="83">
        <v>6</v>
      </c>
      <c r="AJ47" s="83">
        <v>7</v>
      </c>
      <c r="AK47" s="83"/>
      <c r="AL47" s="83"/>
      <c r="AM47" s="83"/>
      <c r="AN47" s="83"/>
      <c r="AO47" s="83"/>
      <c r="AP47" s="83"/>
      <c r="AQ47" s="83"/>
    </row>
    <row r="48" spans="1:44" ht="21.75" customHeight="1">
      <c r="A48" s="7"/>
      <c r="B48" s="49"/>
      <c r="C48" s="7"/>
      <c r="D48" s="7"/>
      <c r="E48" s="7"/>
      <c r="F48" s="7"/>
      <c r="G48" s="80" t="s">
        <v>154</v>
      </c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  <c r="AE48" s="81"/>
      <c r="AF48" s="81"/>
      <c r="AG48" s="81"/>
      <c r="AH48" s="81"/>
      <c r="AI48" s="81"/>
      <c r="AJ48" s="81">
        <v>1</v>
      </c>
      <c r="AK48" s="81">
        <v>2</v>
      </c>
      <c r="AL48" s="81">
        <v>3</v>
      </c>
      <c r="AM48" s="81">
        <v>4</v>
      </c>
      <c r="AN48" s="81">
        <v>5</v>
      </c>
      <c r="AO48" s="81">
        <v>6</v>
      </c>
      <c r="AP48" s="81">
        <v>7</v>
      </c>
      <c r="AQ48" s="81">
        <v>8</v>
      </c>
    </row>
    <row r="49" spans="1:43" ht="21.75" customHeight="1"/>
    <row r="50" spans="1:43" ht="21.75" customHeight="1">
      <c r="A50" s="7"/>
      <c r="B50" s="49"/>
      <c r="C50" s="7"/>
      <c r="D50" s="7"/>
      <c r="E50" s="7"/>
      <c r="F50" s="7"/>
      <c r="G50" s="76" t="s">
        <v>80</v>
      </c>
      <c r="H50" s="76" t="s">
        <v>81</v>
      </c>
      <c r="I50" s="76" t="s">
        <v>82</v>
      </c>
      <c r="J50" s="76" t="s">
        <v>83</v>
      </c>
      <c r="K50" s="76" t="s">
        <v>84</v>
      </c>
      <c r="L50" s="76" t="s">
        <v>85</v>
      </c>
      <c r="M50" s="76" t="s">
        <v>86</v>
      </c>
      <c r="N50" s="76" t="s">
        <v>87</v>
      </c>
      <c r="O50" s="76" t="s">
        <v>88</v>
      </c>
      <c r="P50" s="76" t="s">
        <v>89</v>
      </c>
      <c r="Q50" s="76" t="s">
        <v>90</v>
      </c>
      <c r="R50" s="76" t="s">
        <v>91</v>
      </c>
      <c r="S50" s="76" t="s">
        <v>92</v>
      </c>
      <c r="T50" s="76" t="s">
        <v>93</v>
      </c>
      <c r="U50" s="76" t="s">
        <v>94</v>
      </c>
      <c r="V50" s="76" t="s">
        <v>95</v>
      </c>
      <c r="W50" s="76" t="s">
        <v>96</v>
      </c>
      <c r="X50" s="76" t="s">
        <v>97</v>
      </c>
      <c r="Y50" s="76" t="s">
        <v>98</v>
      </c>
      <c r="Z50" s="76" t="s">
        <v>99</v>
      </c>
      <c r="AA50" s="76" t="s">
        <v>100</v>
      </c>
      <c r="AB50" s="76" t="s">
        <v>101</v>
      </c>
      <c r="AC50" s="76" t="s">
        <v>102</v>
      </c>
      <c r="AD50" s="76" t="s">
        <v>103</v>
      </c>
      <c r="AE50" s="76" t="s">
        <v>104</v>
      </c>
      <c r="AF50" s="76" t="s">
        <v>105</v>
      </c>
      <c r="AG50" s="76" t="s">
        <v>106</v>
      </c>
      <c r="AH50" s="76" t="s">
        <v>107</v>
      </c>
      <c r="AI50" s="76" t="s">
        <v>108</v>
      </c>
      <c r="AJ50" s="76" t="s">
        <v>109</v>
      </c>
      <c r="AK50" s="76" t="s">
        <v>110</v>
      </c>
      <c r="AL50" s="76" t="s">
        <v>111</v>
      </c>
      <c r="AM50" s="76" t="s">
        <v>112</v>
      </c>
      <c r="AN50" s="76" t="s">
        <v>113</v>
      </c>
      <c r="AO50" s="76" t="s">
        <v>114</v>
      </c>
      <c r="AP50" s="76" t="s">
        <v>115</v>
      </c>
      <c r="AQ50" s="76" t="s">
        <v>116</v>
      </c>
    </row>
    <row r="51" spans="1:43" ht="21.75" customHeight="1">
      <c r="A51" s="7"/>
      <c r="B51" s="49"/>
      <c r="C51" s="7"/>
      <c r="D51" s="7"/>
      <c r="E51" s="7"/>
      <c r="F51" s="7"/>
      <c r="G51" s="215" t="s">
        <v>195</v>
      </c>
      <c r="H51" s="215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Y51" s="215"/>
      <c r="Z51" s="215"/>
      <c r="AA51" s="215"/>
      <c r="AB51" s="215"/>
      <c r="AC51" s="215"/>
      <c r="AD51" s="215"/>
      <c r="AE51" s="215"/>
      <c r="AF51" s="215"/>
      <c r="AG51" s="215"/>
      <c r="AH51" s="215"/>
      <c r="AI51" s="215"/>
      <c r="AJ51" s="215"/>
      <c r="AK51" s="215"/>
      <c r="AL51" s="215"/>
      <c r="AM51" s="215"/>
      <c r="AN51" s="215"/>
      <c r="AO51" s="215"/>
      <c r="AP51" s="215"/>
      <c r="AQ51" s="215"/>
    </row>
    <row r="52" spans="1:43" ht="21.75" customHeight="1">
      <c r="A52" s="7"/>
      <c r="B52" s="49"/>
      <c r="C52" s="7"/>
      <c r="D52" s="7"/>
      <c r="E52" s="7"/>
      <c r="F52" s="7"/>
      <c r="G52" s="80" t="s">
        <v>124</v>
      </c>
      <c r="H52" s="81">
        <v>1</v>
      </c>
      <c r="I52" s="81">
        <v>2</v>
      </c>
      <c r="J52" s="81">
        <v>3</v>
      </c>
      <c r="K52" s="81">
        <v>4</v>
      </c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1"/>
      <c r="AJ52" s="81"/>
      <c r="AK52" s="81"/>
      <c r="AL52" s="81"/>
      <c r="AM52" s="81"/>
      <c r="AN52" s="81"/>
      <c r="AO52" s="81"/>
      <c r="AP52" s="81"/>
      <c r="AQ52" s="81"/>
    </row>
    <row r="53" spans="1:43" ht="21.75" customHeight="1">
      <c r="A53" s="7"/>
      <c r="B53" s="49"/>
      <c r="C53" s="7"/>
      <c r="D53" s="7"/>
      <c r="E53" s="7"/>
      <c r="F53" s="7"/>
      <c r="G53" s="82" t="s">
        <v>193</v>
      </c>
      <c r="H53" s="83"/>
      <c r="I53" s="83">
        <v>1</v>
      </c>
      <c r="J53" s="83">
        <v>2</v>
      </c>
      <c r="K53" s="83">
        <v>3</v>
      </c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  <c r="AI53" s="83"/>
      <c r="AJ53" s="83"/>
      <c r="AK53" s="83"/>
      <c r="AL53" s="83"/>
      <c r="AM53" s="83"/>
      <c r="AN53" s="83"/>
      <c r="AO53" s="83"/>
      <c r="AP53" s="83"/>
      <c r="AQ53" s="83"/>
    </row>
    <row r="54" spans="1:43" ht="21.75" customHeight="1">
      <c r="A54" s="7"/>
      <c r="B54" s="49"/>
      <c r="C54" s="7"/>
      <c r="D54" s="7"/>
      <c r="E54" s="7"/>
      <c r="F54" s="7"/>
      <c r="G54" s="80" t="s">
        <v>127</v>
      </c>
      <c r="H54" s="81"/>
      <c r="I54" s="81"/>
      <c r="J54" s="81"/>
      <c r="K54" s="81">
        <v>1</v>
      </c>
      <c r="L54" s="81">
        <v>2</v>
      </c>
      <c r="M54" s="81">
        <v>3</v>
      </c>
      <c r="N54" s="81">
        <v>4</v>
      </c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AL54" s="81"/>
      <c r="AM54" s="81"/>
      <c r="AN54" s="81"/>
      <c r="AO54" s="81"/>
      <c r="AP54" s="81"/>
      <c r="AQ54" s="81"/>
    </row>
    <row r="55" spans="1:43" ht="21.75" customHeight="1">
      <c r="A55" s="7"/>
      <c r="B55" s="49"/>
      <c r="C55" s="7"/>
      <c r="D55" s="7"/>
      <c r="E55" s="7"/>
      <c r="F55" s="7"/>
      <c r="G55" s="215" t="s">
        <v>188</v>
      </c>
      <c r="H55" s="215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Y55" s="215"/>
      <c r="Z55" s="215"/>
      <c r="AA55" s="215"/>
      <c r="AB55" s="215"/>
      <c r="AC55" s="215"/>
      <c r="AD55" s="215"/>
      <c r="AE55" s="215"/>
      <c r="AF55" s="215"/>
      <c r="AG55" s="215"/>
      <c r="AH55" s="215"/>
      <c r="AI55" s="215"/>
      <c r="AJ55" s="215"/>
      <c r="AK55" s="215"/>
      <c r="AL55" s="215"/>
      <c r="AM55" s="215"/>
      <c r="AN55" s="215"/>
      <c r="AO55" s="215"/>
      <c r="AP55" s="215"/>
      <c r="AQ55" s="215"/>
    </row>
    <row r="56" spans="1:43" ht="21.75" customHeight="1">
      <c r="A56" s="7"/>
      <c r="B56" s="49"/>
      <c r="C56" s="7"/>
      <c r="D56" s="7"/>
      <c r="E56" s="7"/>
      <c r="F56" s="7"/>
      <c r="G56" s="82" t="s">
        <v>130</v>
      </c>
      <c r="H56" s="83"/>
      <c r="I56" s="83"/>
      <c r="J56" s="83"/>
      <c r="K56" s="83"/>
      <c r="L56" s="83"/>
      <c r="M56" s="83"/>
      <c r="N56" s="83"/>
      <c r="O56" s="83">
        <v>1</v>
      </c>
      <c r="P56" s="83">
        <v>2</v>
      </c>
      <c r="Q56" s="83">
        <v>3</v>
      </c>
      <c r="R56" s="83">
        <v>4</v>
      </c>
      <c r="S56" s="83">
        <v>5</v>
      </c>
      <c r="T56" s="83">
        <v>6</v>
      </c>
      <c r="U56" s="83">
        <v>7</v>
      </c>
      <c r="V56" s="83">
        <v>8</v>
      </c>
      <c r="W56" s="83">
        <v>9</v>
      </c>
      <c r="X56" s="83">
        <v>10</v>
      </c>
      <c r="Y56" s="83">
        <v>11</v>
      </c>
      <c r="Z56" s="83">
        <v>12</v>
      </c>
      <c r="AA56" s="83"/>
      <c r="AB56" s="83"/>
      <c r="AC56" s="83"/>
      <c r="AD56" s="83"/>
      <c r="AE56" s="83"/>
      <c r="AF56" s="83"/>
      <c r="AG56" s="83"/>
      <c r="AH56" s="83"/>
      <c r="AI56" s="83"/>
      <c r="AJ56" s="83"/>
      <c r="AK56" s="83"/>
      <c r="AL56" s="83"/>
      <c r="AM56" s="83"/>
      <c r="AN56" s="83"/>
      <c r="AO56" s="83"/>
      <c r="AP56" s="83"/>
      <c r="AQ56" s="83"/>
    </row>
    <row r="57" spans="1:43" ht="21.75" customHeight="1">
      <c r="A57" s="7"/>
      <c r="B57" s="49"/>
      <c r="C57" s="7"/>
      <c r="D57" s="7"/>
      <c r="E57" s="7"/>
      <c r="F57" s="7"/>
      <c r="G57" s="80" t="s">
        <v>194</v>
      </c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>
        <v>1</v>
      </c>
      <c r="S57" s="81">
        <v>2</v>
      </c>
      <c r="T57" s="81">
        <v>3</v>
      </c>
      <c r="U57" s="81">
        <v>4</v>
      </c>
      <c r="V57" s="81">
        <v>5</v>
      </c>
      <c r="W57" s="81">
        <v>6</v>
      </c>
      <c r="X57" s="81">
        <v>7</v>
      </c>
      <c r="Y57" s="81">
        <v>8</v>
      </c>
      <c r="Z57" s="81">
        <v>9</v>
      </c>
      <c r="AA57" s="81">
        <v>10</v>
      </c>
      <c r="AB57" s="81">
        <v>11</v>
      </c>
      <c r="AC57" s="163">
        <v>12</v>
      </c>
      <c r="AD57" s="81">
        <v>13</v>
      </c>
      <c r="AE57" s="81">
        <v>14</v>
      </c>
      <c r="AF57" s="81">
        <v>15</v>
      </c>
      <c r="AG57" s="81">
        <v>16</v>
      </c>
      <c r="AH57" s="81">
        <v>17</v>
      </c>
      <c r="AI57" s="81"/>
      <c r="AJ57" s="81"/>
      <c r="AK57" s="81"/>
      <c r="AL57" s="81"/>
      <c r="AM57" s="81"/>
      <c r="AN57" s="81"/>
      <c r="AO57" s="81"/>
      <c r="AP57" s="81"/>
      <c r="AQ57" s="81"/>
    </row>
    <row r="58" spans="1:43" ht="21.75" customHeight="1">
      <c r="A58" s="7"/>
      <c r="B58" s="49"/>
      <c r="C58" s="7"/>
      <c r="D58" s="7"/>
      <c r="E58" s="7"/>
      <c r="F58" s="7"/>
      <c r="G58" s="80" t="s">
        <v>135</v>
      </c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>
        <v>1</v>
      </c>
      <c r="U58" s="81">
        <v>2</v>
      </c>
      <c r="V58" s="81">
        <v>3</v>
      </c>
      <c r="W58" s="81">
        <v>4</v>
      </c>
      <c r="X58" s="81">
        <v>5</v>
      </c>
      <c r="Y58" s="81">
        <v>6</v>
      </c>
      <c r="Z58" s="81">
        <v>7</v>
      </c>
      <c r="AA58" s="81">
        <v>8</v>
      </c>
      <c r="AB58" s="81">
        <v>9</v>
      </c>
      <c r="AC58" s="81">
        <v>10</v>
      </c>
      <c r="AD58" s="81">
        <v>11</v>
      </c>
      <c r="AE58" s="163">
        <v>12</v>
      </c>
      <c r="AF58" s="81">
        <v>13</v>
      </c>
      <c r="AG58" s="81">
        <v>14</v>
      </c>
      <c r="AH58" s="81"/>
      <c r="AI58" s="81"/>
      <c r="AJ58" s="81"/>
      <c r="AK58" s="81"/>
      <c r="AL58" s="81"/>
      <c r="AM58" s="81"/>
      <c r="AN58" s="81"/>
      <c r="AO58" s="81"/>
      <c r="AP58" s="81"/>
      <c r="AQ58" s="81"/>
    </row>
    <row r="59" spans="1:43" ht="21.75" customHeight="1">
      <c r="A59" s="7"/>
      <c r="B59" s="49"/>
      <c r="C59" s="7"/>
      <c r="D59" s="7"/>
      <c r="E59" s="7"/>
      <c r="F59" s="7"/>
      <c r="G59" s="82" t="s">
        <v>137</v>
      </c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>
        <v>1</v>
      </c>
      <c r="AE59" s="83">
        <v>2</v>
      </c>
      <c r="AF59" s="83">
        <v>3</v>
      </c>
      <c r="AG59" s="83">
        <v>4</v>
      </c>
      <c r="AH59" s="83">
        <v>5</v>
      </c>
      <c r="AI59" s="83">
        <v>6</v>
      </c>
      <c r="AJ59" s="83">
        <v>7</v>
      </c>
      <c r="AK59" s="83">
        <v>8</v>
      </c>
      <c r="AL59" s="83">
        <v>9</v>
      </c>
      <c r="AM59" s="83">
        <v>10</v>
      </c>
      <c r="AN59" s="83">
        <v>11</v>
      </c>
      <c r="AO59" s="83">
        <v>12</v>
      </c>
      <c r="AP59" s="83">
        <v>13</v>
      </c>
      <c r="AQ59" s="83">
        <v>14</v>
      </c>
    </row>
    <row r="60" spans="1:43" ht="21.75" customHeight="1">
      <c r="A60" s="7"/>
      <c r="B60" s="49"/>
      <c r="C60" s="7"/>
      <c r="D60" s="7"/>
      <c r="E60" s="7"/>
      <c r="F60" s="7"/>
      <c r="G60" s="80" t="s">
        <v>139</v>
      </c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>
        <v>1</v>
      </c>
      <c r="X60" s="81">
        <v>2</v>
      </c>
      <c r="Y60" s="81">
        <v>3</v>
      </c>
      <c r="Z60" s="81">
        <v>4</v>
      </c>
      <c r="AA60" s="81">
        <v>5</v>
      </c>
      <c r="AB60" s="81">
        <v>6</v>
      </c>
      <c r="AC60" s="81">
        <v>7</v>
      </c>
      <c r="AD60" s="81">
        <v>8</v>
      </c>
      <c r="AE60" s="81">
        <v>9</v>
      </c>
      <c r="AF60" s="81">
        <v>10</v>
      </c>
      <c r="AG60" s="81">
        <v>11</v>
      </c>
      <c r="AH60" s="81">
        <v>12</v>
      </c>
      <c r="AI60" s="81">
        <v>13</v>
      </c>
      <c r="AJ60" s="81"/>
      <c r="AK60" s="81"/>
      <c r="AL60" s="81"/>
      <c r="AM60" s="81"/>
      <c r="AN60" s="81"/>
      <c r="AO60" s="81"/>
      <c r="AP60" s="81"/>
      <c r="AQ60" s="81"/>
    </row>
    <row r="61" spans="1:43" ht="21.75" customHeight="1">
      <c r="A61" s="7"/>
      <c r="B61" s="49"/>
      <c r="C61" s="7"/>
      <c r="D61" s="7"/>
      <c r="E61" s="7"/>
      <c r="F61" s="7"/>
      <c r="G61" s="82" t="s">
        <v>140</v>
      </c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>
        <v>1</v>
      </c>
      <c r="V61" s="83">
        <v>2</v>
      </c>
      <c r="W61" s="83">
        <v>3</v>
      </c>
      <c r="X61" s="83">
        <v>4</v>
      </c>
      <c r="Y61" s="83">
        <v>5</v>
      </c>
      <c r="Z61" s="83">
        <v>6</v>
      </c>
      <c r="AA61" s="83">
        <v>7</v>
      </c>
      <c r="AB61" s="83">
        <v>8</v>
      </c>
      <c r="AC61" s="83">
        <v>9</v>
      </c>
      <c r="AD61" s="83">
        <v>10</v>
      </c>
      <c r="AE61" s="83">
        <v>11</v>
      </c>
      <c r="AF61" s="83">
        <v>12</v>
      </c>
      <c r="AG61" s="83">
        <v>13</v>
      </c>
      <c r="AH61" s="83"/>
      <c r="AI61" s="83"/>
      <c r="AJ61" s="83"/>
      <c r="AK61" s="83"/>
      <c r="AL61" s="83"/>
      <c r="AM61" s="83"/>
      <c r="AN61" s="83"/>
      <c r="AO61" s="83"/>
      <c r="AP61" s="83"/>
      <c r="AQ61" s="83"/>
    </row>
    <row r="62" spans="1:43" ht="21.75" customHeight="1">
      <c r="A62" s="7"/>
      <c r="B62" s="49"/>
      <c r="C62" s="7"/>
      <c r="D62" s="7"/>
      <c r="E62" s="7"/>
      <c r="F62" s="7"/>
      <c r="G62" s="80" t="s">
        <v>143</v>
      </c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>
        <v>1</v>
      </c>
      <c r="Y62" s="81">
        <v>2</v>
      </c>
      <c r="Z62" s="81">
        <v>3</v>
      </c>
      <c r="AA62" s="81">
        <v>4</v>
      </c>
      <c r="AB62" s="81">
        <v>5</v>
      </c>
      <c r="AC62" s="81">
        <v>6</v>
      </c>
      <c r="AD62" s="81">
        <v>7</v>
      </c>
      <c r="AE62" s="81">
        <v>8</v>
      </c>
      <c r="AF62" s="81">
        <v>9</v>
      </c>
      <c r="AG62" s="81">
        <v>10</v>
      </c>
      <c r="AH62" s="81">
        <v>11</v>
      </c>
      <c r="AI62" s="81">
        <v>12</v>
      </c>
      <c r="AJ62" s="81">
        <v>13</v>
      </c>
      <c r="AK62" s="81">
        <v>14</v>
      </c>
      <c r="AL62" s="81"/>
      <c r="AM62" s="81"/>
      <c r="AN62" s="81"/>
      <c r="AO62" s="81"/>
      <c r="AP62" s="81"/>
      <c r="AQ62" s="81"/>
    </row>
    <row r="63" spans="1:43" ht="21.75" customHeight="1">
      <c r="A63" s="7"/>
      <c r="B63" s="49"/>
      <c r="C63" s="7"/>
      <c r="D63" s="7"/>
      <c r="E63" s="7"/>
      <c r="F63" s="7"/>
      <c r="G63" s="80" t="s">
        <v>147</v>
      </c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>
        <v>1</v>
      </c>
      <c r="X63" s="81">
        <v>2</v>
      </c>
      <c r="Y63" s="81">
        <v>3</v>
      </c>
      <c r="Z63" s="81">
        <v>4</v>
      </c>
      <c r="AA63" s="81">
        <v>5</v>
      </c>
      <c r="AB63" s="81">
        <v>6</v>
      </c>
      <c r="AC63" s="81">
        <v>7</v>
      </c>
      <c r="AD63" s="81">
        <v>8</v>
      </c>
      <c r="AE63" s="81">
        <v>9</v>
      </c>
      <c r="AF63" s="81">
        <v>10</v>
      </c>
      <c r="AG63" s="81">
        <v>11</v>
      </c>
      <c r="AH63" s="81">
        <v>12</v>
      </c>
      <c r="AI63" s="81">
        <v>13</v>
      </c>
      <c r="AJ63" s="81">
        <v>14</v>
      </c>
      <c r="AK63" s="81"/>
      <c r="AL63" s="81"/>
      <c r="AM63" s="81"/>
      <c r="AN63" s="81"/>
      <c r="AO63" s="81"/>
      <c r="AP63" s="81"/>
      <c r="AQ63" s="81"/>
    </row>
    <row r="64" spans="1:43" ht="21.75" customHeight="1">
      <c r="A64" s="7"/>
      <c r="B64" s="49"/>
      <c r="C64" s="7"/>
      <c r="D64" s="7"/>
      <c r="E64" s="7"/>
      <c r="F64" s="7"/>
      <c r="G64" s="82" t="s">
        <v>148</v>
      </c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>
        <v>1</v>
      </c>
      <c r="Z64" s="83">
        <v>2</v>
      </c>
      <c r="AA64" s="83">
        <v>3</v>
      </c>
      <c r="AB64" s="83">
        <v>4</v>
      </c>
      <c r="AC64" s="83">
        <v>5</v>
      </c>
      <c r="AD64" s="83">
        <v>6</v>
      </c>
      <c r="AE64" s="83">
        <v>7</v>
      </c>
      <c r="AF64" s="83">
        <v>8</v>
      </c>
      <c r="AG64" s="83">
        <v>9</v>
      </c>
      <c r="AH64" s="83">
        <v>10</v>
      </c>
      <c r="AI64" s="83">
        <v>11</v>
      </c>
      <c r="AJ64" s="83">
        <v>12</v>
      </c>
      <c r="AK64" s="83">
        <v>13</v>
      </c>
      <c r="AL64" s="83">
        <v>14</v>
      </c>
      <c r="AM64" s="83">
        <v>15</v>
      </c>
      <c r="AN64" s="83">
        <v>16</v>
      </c>
      <c r="AO64" s="83">
        <v>17</v>
      </c>
      <c r="AP64" s="83">
        <v>18</v>
      </c>
      <c r="AQ64" s="83">
        <v>19</v>
      </c>
    </row>
    <row r="65" spans="1:43" ht="21.75" customHeight="1">
      <c r="A65" s="7"/>
      <c r="B65" s="49"/>
      <c r="C65" s="7"/>
      <c r="D65" s="7"/>
      <c r="E65" s="7"/>
      <c r="F65" s="7"/>
      <c r="G65" s="80" t="s">
        <v>150</v>
      </c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>
        <v>1</v>
      </c>
      <c r="AJ65" s="81">
        <v>2</v>
      </c>
      <c r="AK65" s="81">
        <v>3</v>
      </c>
      <c r="AL65" s="81">
        <v>4</v>
      </c>
      <c r="AM65" s="81">
        <v>5</v>
      </c>
      <c r="AN65" s="81">
        <v>6</v>
      </c>
      <c r="AO65" s="81">
        <v>7</v>
      </c>
      <c r="AP65" s="81">
        <v>8</v>
      </c>
      <c r="AQ65" s="81"/>
    </row>
    <row r="66" spans="1:43" ht="21.75" customHeight="1">
      <c r="A66" s="7"/>
      <c r="B66" s="49"/>
      <c r="C66" s="7"/>
      <c r="D66" s="7"/>
      <c r="E66" s="7"/>
      <c r="F66" s="7"/>
      <c r="G66" s="82" t="s">
        <v>153</v>
      </c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>
        <v>1</v>
      </c>
      <c r="AE66" s="83">
        <v>2</v>
      </c>
      <c r="AF66" s="83">
        <v>3</v>
      </c>
      <c r="AG66" s="83">
        <v>4</v>
      </c>
      <c r="AH66" s="83">
        <v>5</v>
      </c>
      <c r="AI66" s="83">
        <v>6</v>
      </c>
      <c r="AJ66" s="83">
        <v>7</v>
      </c>
      <c r="AK66" s="83"/>
      <c r="AL66" s="83"/>
      <c r="AM66" s="83"/>
      <c r="AN66" s="83"/>
      <c r="AO66" s="83"/>
      <c r="AP66" s="83"/>
      <c r="AQ66" s="83"/>
    </row>
    <row r="67" spans="1:43" ht="21.75" customHeight="1">
      <c r="A67" s="7"/>
      <c r="B67" s="49"/>
      <c r="C67" s="7"/>
      <c r="D67" s="7"/>
      <c r="E67" s="7"/>
      <c r="F67" s="7"/>
      <c r="G67" s="80" t="s">
        <v>154</v>
      </c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>
        <v>1</v>
      </c>
      <c r="AK67" s="81">
        <v>2</v>
      </c>
      <c r="AL67" s="81">
        <v>3</v>
      </c>
      <c r="AM67" s="81">
        <v>4</v>
      </c>
      <c r="AN67" s="81">
        <v>5</v>
      </c>
      <c r="AO67" s="81">
        <v>6</v>
      </c>
      <c r="AP67" s="81">
        <v>7</v>
      </c>
      <c r="AQ67" s="81">
        <v>8</v>
      </c>
    </row>
    <row r="68" spans="1:43" ht="21.75" customHeight="1">
      <c r="A68" s="7"/>
      <c r="B68" s="49"/>
      <c r="C68" s="7"/>
      <c r="D68" s="7"/>
      <c r="E68" s="7"/>
      <c r="F68" s="7"/>
      <c r="G68" s="216" t="s">
        <v>189</v>
      </c>
      <c r="H68" s="216"/>
      <c r="I68" s="216"/>
      <c r="J68" s="216"/>
      <c r="K68" s="216"/>
      <c r="L68" s="216"/>
      <c r="M68" s="216"/>
      <c r="N68" s="216"/>
      <c r="O68" s="216"/>
      <c r="P68" s="216"/>
      <c r="Q68" s="216"/>
      <c r="R68" s="216"/>
      <c r="S68" s="216"/>
      <c r="T68" s="216"/>
      <c r="U68" s="216"/>
      <c r="V68" s="216"/>
      <c r="W68" s="216"/>
      <c r="X68" s="216"/>
      <c r="Y68" s="216"/>
      <c r="Z68" s="216"/>
      <c r="AA68" s="216"/>
      <c r="AB68" s="216"/>
      <c r="AC68" s="216"/>
      <c r="AD68" s="216"/>
      <c r="AE68" s="216"/>
      <c r="AF68" s="216"/>
      <c r="AG68" s="216"/>
      <c r="AH68" s="216"/>
      <c r="AI68" s="216"/>
      <c r="AJ68" s="216"/>
      <c r="AK68" s="216"/>
      <c r="AL68" s="216"/>
      <c r="AM68" s="216"/>
      <c r="AN68" s="216"/>
      <c r="AO68" s="216"/>
      <c r="AP68" s="216"/>
      <c r="AQ68" s="216"/>
    </row>
    <row r="69" spans="1:43" ht="21.75" customHeight="1">
      <c r="A69" s="7"/>
      <c r="B69" s="49"/>
      <c r="C69" s="7"/>
      <c r="D69" s="7"/>
      <c r="E69" s="7"/>
      <c r="F69" s="7"/>
      <c r="G69" s="82" t="s">
        <v>130</v>
      </c>
      <c r="H69" s="83"/>
      <c r="I69" s="83"/>
      <c r="J69" s="83"/>
      <c r="K69" s="83"/>
      <c r="L69" s="83"/>
      <c r="M69" s="83"/>
      <c r="N69" s="83"/>
      <c r="O69" s="83"/>
      <c r="P69" s="83">
        <v>1</v>
      </c>
      <c r="Q69" s="83">
        <v>2</v>
      </c>
      <c r="R69" s="83">
        <v>3</v>
      </c>
      <c r="S69" s="83">
        <v>4</v>
      </c>
      <c r="T69" s="83">
        <v>5</v>
      </c>
      <c r="U69" s="83">
        <v>6</v>
      </c>
      <c r="V69" s="83">
        <v>7</v>
      </c>
      <c r="W69" s="83">
        <v>8</v>
      </c>
      <c r="X69" s="83">
        <v>9</v>
      </c>
      <c r="Y69" s="83">
        <v>10</v>
      </c>
      <c r="Z69" s="83">
        <v>11</v>
      </c>
      <c r="AA69" s="83"/>
      <c r="AB69" s="83"/>
      <c r="AC69" s="83"/>
      <c r="AD69" s="83"/>
      <c r="AE69" s="83"/>
      <c r="AF69" s="83"/>
      <c r="AG69" s="83"/>
      <c r="AH69" s="83"/>
      <c r="AI69" s="83"/>
      <c r="AJ69" s="83"/>
      <c r="AK69" s="83"/>
      <c r="AL69" s="83"/>
      <c r="AM69" s="83"/>
      <c r="AN69" s="83"/>
      <c r="AO69" s="83"/>
      <c r="AP69" s="83"/>
      <c r="AQ69" s="83"/>
    </row>
    <row r="70" spans="1:43" ht="21.75" customHeight="1">
      <c r="A70" s="7"/>
      <c r="B70" s="49"/>
      <c r="C70" s="7"/>
      <c r="D70" s="7"/>
      <c r="E70" s="7"/>
      <c r="F70" s="7"/>
      <c r="G70" s="80" t="s">
        <v>194</v>
      </c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>
        <v>1</v>
      </c>
      <c r="T70" s="81">
        <v>2</v>
      </c>
      <c r="U70" s="81">
        <v>3</v>
      </c>
      <c r="V70" s="81">
        <v>4</v>
      </c>
      <c r="W70" s="81">
        <v>5</v>
      </c>
      <c r="X70" s="81">
        <v>6</v>
      </c>
      <c r="Y70" s="81">
        <v>7</v>
      </c>
      <c r="Z70" s="81">
        <v>8</v>
      </c>
      <c r="AA70" s="81">
        <v>9</v>
      </c>
      <c r="AB70" s="81">
        <v>10</v>
      </c>
      <c r="AC70" s="163">
        <v>11</v>
      </c>
      <c r="AD70" s="81">
        <v>12</v>
      </c>
      <c r="AE70" s="81">
        <v>13</v>
      </c>
      <c r="AF70" s="81">
        <v>14</v>
      </c>
      <c r="AG70" s="81">
        <v>15</v>
      </c>
      <c r="AH70" s="81">
        <v>16</v>
      </c>
      <c r="AI70" s="81"/>
      <c r="AJ70" s="81"/>
      <c r="AK70" s="81"/>
      <c r="AL70" s="81"/>
      <c r="AM70" s="81"/>
      <c r="AN70" s="81"/>
      <c r="AO70" s="81"/>
      <c r="AP70" s="81"/>
      <c r="AQ70" s="81"/>
    </row>
    <row r="71" spans="1:43" ht="21.75" customHeight="1">
      <c r="A71" s="7"/>
      <c r="B71" s="49"/>
      <c r="C71" s="7"/>
      <c r="D71" s="7"/>
      <c r="E71" s="7"/>
      <c r="F71" s="7"/>
      <c r="G71" s="80" t="s">
        <v>135</v>
      </c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>
        <v>1</v>
      </c>
      <c r="V71" s="81">
        <v>2</v>
      </c>
      <c r="W71" s="81">
        <v>3</v>
      </c>
      <c r="X71" s="81">
        <v>4</v>
      </c>
      <c r="Y71" s="81">
        <v>5</v>
      </c>
      <c r="Z71" s="81">
        <v>6</v>
      </c>
      <c r="AA71" s="81">
        <v>7</v>
      </c>
      <c r="AB71" s="81">
        <v>8</v>
      </c>
      <c r="AC71" s="81">
        <v>9</v>
      </c>
      <c r="AD71" s="81">
        <v>10</v>
      </c>
      <c r="AE71" s="163">
        <v>11</v>
      </c>
      <c r="AF71" s="81">
        <v>12</v>
      </c>
      <c r="AG71" s="81">
        <v>13</v>
      </c>
      <c r="AH71" s="81"/>
      <c r="AI71" s="81"/>
      <c r="AJ71" s="81"/>
      <c r="AK71" s="81"/>
      <c r="AL71" s="81"/>
      <c r="AM71" s="81"/>
      <c r="AN71" s="81"/>
      <c r="AO71" s="81"/>
      <c r="AP71" s="81"/>
      <c r="AQ71" s="81"/>
    </row>
    <row r="72" spans="1:43" ht="21.75" customHeight="1">
      <c r="A72" s="7"/>
      <c r="B72" s="49"/>
      <c r="C72" s="7"/>
      <c r="D72" s="7"/>
      <c r="E72" s="7"/>
      <c r="F72" s="7"/>
      <c r="G72" s="82" t="s">
        <v>137</v>
      </c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>
        <v>1</v>
      </c>
      <c r="AE72" s="83">
        <v>2</v>
      </c>
      <c r="AF72" s="83">
        <v>3</v>
      </c>
      <c r="AG72" s="83">
        <v>4</v>
      </c>
      <c r="AH72" s="83">
        <v>5</v>
      </c>
      <c r="AI72" s="83">
        <v>6</v>
      </c>
      <c r="AJ72" s="83">
        <v>7</v>
      </c>
      <c r="AK72" s="83">
        <v>8</v>
      </c>
      <c r="AL72" s="83">
        <v>9</v>
      </c>
      <c r="AM72" s="83">
        <v>10</v>
      </c>
      <c r="AN72" s="83">
        <v>11</v>
      </c>
      <c r="AO72" s="83">
        <v>12</v>
      </c>
      <c r="AP72" s="83">
        <v>13</v>
      </c>
      <c r="AQ72" s="83">
        <v>14</v>
      </c>
    </row>
    <row r="73" spans="1:43" ht="21.75" customHeight="1">
      <c r="A73" s="7"/>
      <c r="B73" s="49"/>
      <c r="C73" s="7"/>
      <c r="D73" s="7"/>
      <c r="E73" s="7"/>
      <c r="F73" s="7"/>
      <c r="G73" s="80" t="s">
        <v>139</v>
      </c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>
        <v>1</v>
      </c>
      <c r="X73" s="81">
        <v>2</v>
      </c>
      <c r="Y73" s="81">
        <v>3</v>
      </c>
      <c r="Z73" s="81">
        <v>4</v>
      </c>
      <c r="AA73" s="81">
        <v>5</v>
      </c>
      <c r="AB73" s="81">
        <v>6</v>
      </c>
      <c r="AC73" s="81">
        <v>7</v>
      </c>
      <c r="AD73" s="81">
        <v>8</v>
      </c>
      <c r="AE73" s="81">
        <v>9</v>
      </c>
      <c r="AF73" s="81">
        <v>10</v>
      </c>
      <c r="AG73" s="81">
        <v>11</v>
      </c>
      <c r="AH73" s="81">
        <v>12</v>
      </c>
      <c r="AI73" s="81">
        <v>13</v>
      </c>
      <c r="AJ73" s="81"/>
      <c r="AK73" s="81"/>
      <c r="AL73" s="81"/>
      <c r="AM73" s="81"/>
      <c r="AN73" s="81"/>
      <c r="AO73" s="81"/>
      <c r="AP73" s="81"/>
      <c r="AQ73" s="81"/>
    </row>
    <row r="74" spans="1:43" ht="21.75" customHeight="1">
      <c r="A74" s="7"/>
      <c r="B74" s="49"/>
      <c r="C74" s="7"/>
      <c r="D74" s="7"/>
      <c r="E74" s="7"/>
      <c r="F74" s="7"/>
      <c r="G74" s="82" t="s">
        <v>140</v>
      </c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>
        <v>1</v>
      </c>
      <c r="W74" s="83">
        <v>2</v>
      </c>
      <c r="X74" s="83">
        <v>3</v>
      </c>
      <c r="Y74" s="83">
        <v>4</v>
      </c>
      <c r="Z74" s="83">
        <v>5</v>
      </c>
      <c r="AA74" s="83">
        <v>6</v>
      </c>
      <c r="AB74" s="83">
        <v>7</v>
      </c>
      <c r="AC74" s="83">
        <v>8</v>
      </c>
      <c r="AD74" s="83">
        <v>9</v>
      </c>
      <c r="AE74" s="83">
        <v>10</v>
      </c>
      <c r="AF74" s="83">
        <v>11</v>
      </c>
      <c r="AG74" s="83">
        <v>12</v>
      </c>
      <c r="AH74" s="83"/>
      <c r="AI74" s="83"/>
      <c r="AJ74" s="83"/>
      <c r="AK74" s="83"/>
      <c r="AL74" s="83"/>
      <c r="AM74" s="83"/>
      <c r="AN74" s="83"/>
      <c r="AO74" s="83"/>
      <c r="AP74" s="83"/>
      <c r="AQ74" s="83"/>
    </row>
    <row r="75" spans="1:43" ht="21.75" customHeight="1">
      <c r="A75" s="7"/>
      <c r="B75" s="49"/>
      <c r="C75" s="7"/>
      <c r="D75" s="7"/>
      <c r="E75" s="7"/>
      <c r="F75" s="7"/>
      <c r="G75" s="80" t="s">
        <v>143</v>
      </c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>
        <v>1</v>
      </c>
      <c r="Z75" s="81">
        <v>2</v>
      </c>
      <c r="AA75" s="81">
        <v>3</v>
      </c>
      <c r="AB75" s="81">
        <v>4</v>
      </c>
      <c r="AC75" s="81">
        <v>5</v>
      </c>
      <c r="AD75" s="81">
        <v>6</v>
      </c>
      <c r="AE75" s="81">
        <v>7</v>
      </c>
      <c r="AF75" s="81">
        <v>8</v>
      </c>
      <c r="AG75" s="81">
        <v>9</v>
      </c>
      <c r="AH75" s="81">
        <v>10</v>
      </c>
      <c r="AI75" s="81">
        <v>11</v>
      </c>
      <c r="AJ75" s="81">
        <v>12</v>
      </c>
      <c r="AK75" s="81">
        <v>13</v>
      </c>
      <c r="AL75" s="81"/>
      <c r="AM75" s="81"/>
      <c r="AN75" s="81"/>
      <c r="AO75" s="81"/>
      <c r="AP75" s="81"/>
      <c r="AQ75" s="81"/>
    </row>
    <row r="76" spans="1:43" ht="21.75" customHeight="1">
      <c r="A76" s="7"/>
      <c r="B76" s="49"/>
      <c r="C76" s="7"/>
      <c r="D76" s="7"/>
      <c r="E76" s="7"/>
      <c r="F76" s="7"/>
      <c r="G76" s="80" t="s">
        <v>147</v>
      </c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>
        <v>1</v>
      </c>
      <c r="Y76" s="81">
        <v>2</v>
      </c>
      <c r="Z76" s="81">
        <v>3</v>
      </c>
      <c r="AA76" s="81">
        <v>4</v>
      </c>
      <c r="AB76" s="81">
        <v>5</v>
      </c>
      <c r="AC76" s="81">
        <v>6</v>
      </c>
      <c r="AD76" s="81">
        <v>7</v>
      </c>
      <c r="AE76" s="81">
        <v>8</v>
      </c>
      <c r="AF76" s="81">
        <v>9</v>
      </c>
      <c r="AG76" s="81">
        <v>10</v>
      </c>
      <c r="AH76" s="81">
        <v>11</v>
      </c>
      <c r="AI76" s="81">
        <v>12</v>
      </c>
      <c r="AJ76" s="81">
        <v>13</v>
      </c>
      <c r="AK76" s="81"/>
      <c r="AL76" s="81"/>
      <c r="AM76" s="81"/>
      <c r="AN76" s="81"/>
      <c r="AO76" s="81"/>
      <c r="AP76" s="81"/>
      <c r="AQ76" s="81"/>
    </row>
    <row r="77" spans="1:43" ht="21.75" customHeight="1">
      <c r="A77" s="7"/>
      <c r="B77" s="49"/>
      <c r="C77" s="7"/>
      <c r="D77" s="7"/>
      <c r="E77" s="7"/>
      <c r="F77" s="7"/>
      <c r="G77" s="82" t="s">
        <v>148</v>
      </c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>
        <v>1</v>
      </c>
      <c r="AA77" s="83">
        <v>2</v>
      </c>
      <c r="AB77" s="83">
        <v>3</v>
      </c>
      <c r="AC77" s="83">
        <v>4</v>
      </c>
      <c r="AD77" s="83">
        <v>5</v>
      </c>
      <c r="AE77" s="83">
        <v>6</v>
      </c>
      <c r="AF77" s="83">
        <v>7</v>
      </c>
      <c r="AG77" s="83">
        <v>8</v>
      </c>
      <c r="AH77" s="83">
        <v>9</v>
      </c>
      <c r="AI77" s="83">
        <v>10</v>
      </c>
      <c r="AJ77" s="83">
        <v>11</v>
      </c>
      <c r="AK77" s="83">
        <v>12</v>
      </c>
      <c r="AL77" s="83">
        <v>13</v>
      </c>
      <c r="AM77" s="83">
        <v>14</v>
      </c>
      <c r="AN77" s="83">
        <v>15</v>
      </c>
      <c r="AO77" s="83">
        <v>16</v>
      </c>
      <c r="AP77" s="83">
        <v>17</v>
      </c>
      <c r="AQ77" s="83">
        <v>18</v>
      </c>
    </row>
    <row r="78" spans="1:43" ht="21.75" customHeight="1">
      <c r="A78" s="7"/>
      <c r="B78" s="49"/>
      <c r="C78" s="7"/>
      <c r="D78" s="7"/>
      <c r="E78" s="7"/>
      <c r="F78" s="7"/>
      <c r="G78" s="80" t="s">
        <v>150</v>
      </c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>
        <v>1</v>
      </c>
      <c r="AJ78" s="81">
        <v>2</v>
      </c>
      <c r="AK78" s="81">
        <v>3</v>
      </c>
      <c r="AL78" s="81">
        <v>4</v>
      </c>
      <c r="AM78" s="81">
        <v>5</v>
      </c>
      <c r="AN78" s="81">
        <v>6</v>
      </c>
      <c r="AO78" s="81">
        <v>7</v>
      </c>
      <c r="AP78" s="81">
        <v>8</v>
      </c>
      <c r="AQ78" s="81"/>
    </row>
    <row r="79" spans="1:43" ht="21.75" customHeight="1">
      <c r="A79" s="7"/>
      <c r="B79" s="49"/>
      <c r="C79" s="7"/>
      <c r="D79" s="7"/>
      <c r="E79" s="7"/>
      <c r="F79" s="7"/>
      <c r="G79" s="82" t="s">
        <v>153</v>
      </c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>
        <v>1</v>
      </c>
      <c r="AE79" s="83">
        <v>2</v>
      </c>
      <c r="AF79" s="83">
        <v>3</v>
      </c>
      <c r="AG79" s="83">
        <v>4</v>
      </c>
      <c r="AH79" s="83">
        <v>5</v>
      </c>
      <c r="AI79" s="83">
        <v>6</v>
      </c>
      <c r="AJ79" s="83">
        <v>7</v>
      </c>
      <c r="AK79" s="83"/>
      <c r="AL79" s="83"/>
      <c r="AM79" s="83"/>
      <c r="AN79" s="83"/>
      <c r="AO79" s="83"/>
      <c r="AP79" s="83"/>
      <c r="AQ79" s="83"/>
    </row>
    <row r="80" spans="1:43" ht="21.75" customHeight="1">
      <c r="A80" s="7"/>
      <c r="B80" s="49"/>
      <c r="C80" s="7"/>
      <c r="D80" s="7"/>
      <c r="E80" s="7"/>
      <c r="F80" s="7"/>
      <c r="G80" s="80" t="s">
        <v>154</v>
      </c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1"/>
      <c r="AI80" s="81"/>
      <c r="AJ80" s="81">
        <v>1</v>
      </c>
      <c r="AK80" s="81">
        <v>2</v>
      </c>
      <c r="AL80" s="81">
        <v>3</v>
      </c>
      <c r="AM80" s="81">
        <v>4</v>
      </c>
      <c r="AN80" s="81">
        <v>5</v>
      </c>
      <c r="AO80" s="81">
        <v>6</v>
      </c>
      <c r="AP80" s="81">
        <v>7</v>
      </c>
      <c r="AQ80" s="81">
        <v>8</v>
      </c>
    </row>
    <row r="81" spans="1:44" ht="21.75" customHeight="1">
      <c r="A81" s="7"/>
      <c r="B81" s="49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8"/>
      <c r="R81" s="8"/>
      <c r="S81" s="8"/>
    </row>
    <row r="82" spans="1:44" ht="21.75" customHeight="1">
      <c r="A82" s="7"/>
      <c r="B82" s="49"/>
      <c r="C82" s="7"/>
      <c r="D82" s="7"/>
      <c r="E82" s="7"/>
      <c r="F82" s="7"/>
      <c r="G82" s="215" t="s">
        <v>195</v>
      </c>
      <c r="H82" s="215"/>
      <c r="I82" s="215"/>
      <c r="J82" s="215"/>
      <c r="K82" s="215"/>
      <c r="L82" s="215"/>
      <c r="M82" s="215"/>
      <c r="N82" s="215"/>
      <c r="O82" s="215"/>
      <c r="P82" s="215"/>
      <c r="Q82" s="215"/>
      <c r="R82" s="215"/>
      <c r="S82" s="215"/>
      <c r="T82" s="215"/>
      <c r="U82" s="215"/>
      <c r="V82" s="215"/>
      <c r="W82" s="215"/>
      <c r="X82" s="215"/>
      <c r="Y82" s="215"/>
      <c r="Z82" s="215"/>
      <c r="AA82" s="215"/>
      <c r="AB82" s="215"/>
      <c r="AC82" s="215"/>
      <c r="AD82" s="215"/>
      <c r="AE82" s="215"/>
      <c r="AF82" s="215"/>
      <c r="AG82" s="215"/>
      <c r="AH82" s="215"/>
      <c r="AI82" s="215"/>
      <c r="AJ82" s="215"/>
      <c r="AK82" s="215"/>
      <c r="AL82" s="215"/>
      <c r="AM82" s="215"/>
      <c r="AN82" s="215"/>
      <c r="AO82" s="215"/>
      <c r="AP82" s="215"/>
      <c r="AQ82" s="215"/>
    </row>
    <row r="83" spans="1:44" ht="21.75" customHeight="1">
      <c r="A83" s="7"/>
      <c r="B83" s="49"/>
      <c r="C83" s="7"/>
      <c r="D83" s="7"/>
      <c r="E83" s="7"/>
      <c r="F83" s="7"/>
      <c r="G83" s="80" t="s">
        <v>124</v>
      </c>
      <c r="H83" s="164">
        <f>100%/2</f>
        <v>0.5</v>
      </c>
      <c r="I83" s="164">
        <f>100%/2</f>
        <v>0.5</v>
      </c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1"/>
      <c r="AK83" s="81"/>
      <c r="AL83" s="81"/>
      <c r="AM83" s="81"/>
      <c r="AN83" s="81"/>
      <c r="AO83" s="81"/>
      <c r="AP83" s="81"/>
      <c r="AQ83" s="81"/>
    </row>
    <row r="84" spans="1:44" ht="21.75" customHeight="1">
      <c r="A84" s="7"/>
      <c r="B84" s="49"/>
      <c r="C84" s="7"/>
      <c r="D84" s="7"/>
      <c r="E84" s="7"/>
      <c r="F84" s="7"/>
      <c r="G84" s="82" t="s">
        <v>193</v>
      </c>
      <c r="H84" s="83"/>
      <c r="I84" s="164">
        <f>100%/3</f>
        <v>0.33333333333333331</v>
      </c>
      <c r="J84" s="164">
        <f>100%/3</f>
        <v>0.33333333333333331</v>
      </c>
      <c r="K84" s="164">
        <f>100%/3</f>
        <v>0.33333333333333331</v>
      </c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3"/>
      <c r="AI84" s="83"/>
      <c r="AJ84" s="83"/>
      <c r="AK84" s="83"/>
      <c r="AL84" s="83"/>
      <c r="AM84" s="83"/>
      <c r="AN84" s="83"/>
      <c r="AO84" s="83"/>
      <c r="AP84" s="83"/>
      <c r="AQ84" s="83"/>
    </row>
    <row r="85" spans="1:44" ht="21.75" customHeight="1">
      <c r="A85" s="7"/>
      <c r="B85" s="49"/>
      <c r="C85" s="7"/>
      <c r="D85" s="7"/>
      <c r="E85" s="7"/>
      <c r="F85" s="7"/>
      <c r="G85" s="80" t="s">
        <v>127</v>
      </c>
      <c r="H85" s="81"/>
      <c r="I85" s="81"/>
      <c r="J85" s="81"/>
      <c r="K85" s="164">
        <f>100%/4</f>
        <v>0.25</v>
      </c>
      <c r="L85" s="164">
        <f t="shared" ref="L85:N85" si="0">100%/4</f>
        <v>0.25</v>
      </c>
      <c r="M85" s="164">
        <f t="shared" si="0"/>
        <v>0.25</v>
      </c>
      <c r="N85" s="164">
        <f t="shared" si="0"/>
        <v>0.25</v>
      </c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  <c r="AI85" s="81"/>
      <c r="AJ85" s="81"/>
      <c r="AK85" s="81"/>
      <c r="AL85" s="81"/>
      <c r="AM85" s="81"/>
      <c r="AN85" s="81"/>
      <c r="AO85" s="81"/>
      <c r="AP85" s="81"/>
      <c r="AQ85" s="81"/>
    </row>
    <row r="86" spans="1:44" ht="21.75" customHeight="1">
      <c r="A86" s="7"/>
      <c r="B86" s="49"/>
      <c r="C86" s="7"/>
      <c r="D86" s="7"/>
      <c r="E86" s="7"/>
      <c r="F86" s="7"/>
      <c r="G86" s="215" t="s">
        <v>188</v>
      </c>
      <c r="H86" s="215"/>
      <c r="I86" s="215"/>
      <c r="J86" s="215"/>
      <c r="K86" s="215"/>
      <c r="L86" s="215"/>
      <c r="M86" s="215"/>
      <c r="N86" s="215"/>
      <c r="O86" s="215"/>
      <c r="P86" s="215"/>
      <c r="Q86" s="215"/>
      <c r="R86" s="215"/>
      <c r="S86" s="215"/>
      <c r="T86" s="215"/>
      <c r="U86" s="215"/>
      <c r="V86" s="215"/>
      <c r="W86" s="215"/>
      <c r="X86" s="215"/>
      <c r="Y86" s="215"/>
      <c r="Z86" s="215"/>
      <c r="AA86" s="215"/>
      <c r="AB86" s="215"/>
      <c r="AC86" s="215"/>
      <c r="AD86" s="215"/>
      <c r="AE86" s="215"/>
      <c r="AF86" s="215"/>
      <c r="AG86" s="215"/>
      <c r="AH86" s="215"/>
      <c r="AI86" s="215"/>
      <c r="AJ86" s="215"/>
      <c r="AK86" s="215"/>
      <c r="AL86" s="215"/>
      <c r="AM86" s="215"/>
      <c r="AN86" s="215"/>
      <c r="AO86" s="215"/>
      <c r="AP86" s="215"/>
      <c r="AQ86" s="215"/>
    </row>
    <row r="87" spans="1:44" ht="21.75" customHeight="1">
      <c r="A87" s="7"/>
      <c r="B87" s="49"/>
      <c r="C87" s="7"/>
      <c r="D87" s="7"/>
      <c r="E87" s="7"/>
      <c r="F87" s="7"/>
      <c r="G87" s="82" t="s">
        <v>130</v>
      </c>
      <c r="H87" s="83"/>
      <c r="I87" s="83"/>
      <c r="J87" s="83"/>
      <c r="K87" s="83"/>
      <c r="L87" s="83"/>
      <c r="M87" s="83"/>
      <c r="N87" s="83"/>
      <c r="O87" s="166">
        <f>57%/12</f>
        <v>4.7499999999999994E-2</v>
      </c>
      <c r="P87" s="166">
        <f t="shared" ref="P87:Z87" si="1">57%/12</f>
        <v>4.7499999999999994E-2</v>
      </c>
      <c r="Q87" s="166">
        <f t="shared" si="1"/>
        <v>4.7499999999999994E-2</v>
      </c>
      <c r="R87" s="166">
        <f t="shared" si="1"/>
        <v>4.7499999999999994E-2</v>
      </c>
      <c r="S87" s="166">
        <f t="shared" si="1"/>
        <v>4.7499999999999994E-2</v>
      </c>
      <c r="T87" s="166">
        <f t="shared" si="1"/>
        <v>4.7499999999999994E-2</v>
      </c>
      <c r="U87" s="166">
        <f t="shared" si="1"/>
        <v>4.7499999999999994E-2</v>
      </c>
      <c r="V87" s="166">
        <f t="shared" si="1"/>
        <v>4.7499999999999994E-2</v>
      </c>
      <c r="W87" s="166">
        <f t="shared" si="1"/>
        <v>4.7499999999999994E-2</v>
      </c>
      <c r="X87" s="166">
        <f t="shared" si="1"/>
        <v>4.7499999999999994E-2</v>
      </c>
      <c r="Y87" s="166">
        <f t="shared" si="1"/>
        <v>4.7499999999999994E-2</v>
      </c>
      <c r="Z87" s="166">
        <f t="shared" si="1"/>
        <v>4.7499999999999994E-2</v>
      </c>
      <c r="AA87" s="83"/>
      <c r="AB87" s="83"/>
      <c r="AC87" s="83"/>
      <c r="AD87" s="83"/>
      <c r="AE87" s="83"/>
      <c r="AF87" s="83"/>
      <c r="AG87" s="83"/>
      <c r="AH87" s="83"/>
      <c r="AI87" s="83"/>
      <c r="AJ87" s="83"/>
      <c r="AK87" s="83"/>
      <c r="AL87" s="83"/>
      <c r="AM87" s="83"/>
      <c r="AN87" s="83"/>
      <c r="AO87" s="83"/>
      <c r="AP87" s="83"/>
      <c r="AQ87" s="83"/>
      <c r="AR87">
        <f>SUM(H87:AQ87)</f>
        <v>0.56999999999999995</v>
      </c>
    </row>
    <row r="88" spans="1:44" ht="21.75" customHeight="1">
      <c r="A88" s="7"/>
      <c r="B88" s="49"/>
      <c r="C88" s="7"/>
      <c r="D88" s="7"/>
      <c r="E88" s="7"/>
      <c r="F88" s="7"/>
      <c r="G88" s="80" t="s">
        <v>194</v>
      </c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166">
        <f>57%/17</f>
        <v>3.3529411764705877E-2</v>
      </c>
      <c r="S88" s="166">
        <f t="shared" ref="S88:AH88" si="2">57%/17</f>
        <v>3.3529411764705877E-2</v>
      </c>
      <c r="T88" s="166">
        <f t="shared" si="2"/>
        <v>3.3529411764705877E-2</v>
      </c>
      <c r="U88" s="166">
        <f t="shared" si="2"/>
        <v>3.3529411764705877E-2</v>
      </c>
      <c r="V88" s="166">
        <f t="shared" si="2"/>
        <v>3.3529411764705877E-2</v>
      </c>
      <c r="W88" s="166">
        <f t="shared" si="2"/>
        <v>3.3529411764705877E-2</v>
      </c>
      <c r="X88" s="166">
        <f t="shared" si="2"/>
        <v>3.3529411764705877E-2</v>
      </c>
      <c r="Y88" s="166">
        <f t="shared" si="2"/>
        <v>3.3529411764705877E-2</v>
      </c>
      <c r="Z88" s="166">
        <f t="shared" si="2"/>
        <v>3.3529411764705877E-2</v>
      </c>
      <c r="AA88" s="166">
        <f t="shared" si="2"/>
        <v>3.3529411764705877E-2</v>
      </c>
      <c r="AB88" s="166">
        <f t="shared" si="2"/>
        <v>3.3529411764705877E-2</v>
      </c>
      <c r="AC88" s="166">
        <f t="shared" si="2"/>
        <v>3.3529411764705877E-2</v>
      </c>
      <c r="AD88" s="166">
        <f t="shared" si="2"/>
        <v>3.3529411764705877E-2</v>
      </c>
      <c r="AE88" s="166">
        <f t="shared" si="2"/>
        <v>3.3529411764705877E-2</v>
      </c>
      <c r="AF88" s="166">
        <f t="shared" si="2"/>
        <v>3.3529411764705877E-2</v>
      </c>
      <c r="AG88" s="166">
        <f t="shared" si="2"/>
        <v>3.3529411764705877E-2</v>
      </c>
      <c r="AH88" s="166">
        <f t="shared" si="2"/>
        <v>3.3529411764705877E-2</v>
      </c>
      <c r="AI88" s="81"/>
      <c r="AJ88" s="81"/>
      <c r="AK88" s="81"/>
      <c r="AL88" s="81"/>
      <c r="AM88" s="81"/>
      <c r="AN88" s="81"/>
      <c r="AO88" s="81"/>
      <c r="AP88" s="81"/>
      <c r="AQ88" s="81"/>
      <c r="AR88">
        <f t="shared" ref="AR88:AR111" si="3">SUM(H88:AQ88)</f>
        <v>0.56999999999999984</v>
      </c>
    </row>
    <row r="89" spans="1:44" ht="21.75" customHeight="1">
      <c r="A89" s="7"/>
      <c r="B89" s="49"/>
      <c r="C89" s="7"/>
      <c r="D89" s="7"/>
      <c r="E89" s="7"/>
      <c r="F89" s="7"/>
      <c r="G89" s="80" t="s">
        <v>135</v>
      </c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166">
        <f>57%/14</f>
        <v>4.071428571428571E-2</v>
      </c>
      <c r="U89" s="166">
        <f t="shared" ref="U89:AJ90" si="4">57%/14</f>
        <v>4.071428571428571E-2</v>
      </c>
      <c r="V89" s="166">
        <f t="shared" si="4"/>
        <v>4.071428571428571E-2</v>
      </c>
      <c r="W89" s="166">
        <f t="shared" si="4"/>
        <v>4.071428571428571E-2</v>
      </c>
      <c r="X89" s="166">
        <f t="shared" si="4"/>
        <v>4.071428571428571E-2</v>
      </c>
      <c r="Y89" s="166">
        <f t="shared" si="4"/>
        <v>4.071428571428571E-2</v>
      </c>
      <c r="Z89" s="166">
        <f t="shared" si="4"/>
        <v>4.071428571428571E-2</v>
      </c>
      <c r="AA89" s="166">
        <f t="shared" si="4"/>
        <v>4.071428571428571E-2</v>
      </c>
      <c r="AB89" s="166">
        <f t="shared" si="4"/>
        <v>4.071428571428571E-2</v>
      </c>
      <c r="AC89" s="166">
        <f t="shared" si="4"/>
        <v>4.071428571428571E-2</v>
      </c>
      <c r="AD89" s="166">
        <f t="shared" si="4"/>
        <v>4.071428571428571E-2</v>
      </c>
      <c r="AE89" s="166">
        <f t="shared" si="4"/>
        <v>4.071428571428571E-2</v>
      </c>
      <c r="AF89" s="166">
        <f t="shared" si="4"/>
        <v>4.071428571428571E-2</v>
      </c>
      <c r="AG89" s="166">
        <f t="shared" si="4"/>
        <v>4.071428571428571E-2</v>
      </c>
      <c r="AH89" s="81"/>
      <c r="AI89" s="81"/>
      <c r="AJ89" s="81"/>
      <c r="AK89" s="81"/>
      <c r="AL89" s="81"/>
      <c r="AM89" s="81"/>
      <c r="AN89" s="81"/>
      <c r="AO89" s="81"/>
      <c r="AP89" s="81"/>
      <c r="AQ89" s="81"/>
      <c r="AR89">
        <f t="shared" si="3"/>
        <v>0.56999999999999995</v>
      </c>
    </row>
    <row r="90" spans="1:44" ht="21.75" customHeight="1">
      <c r="A90" s="7"/>
      <c r="B90" s="49"/>
      <c r="C90" s="7"/>
      <c r="D90" s="7"/>
      <c r="E90" s="7"/>
      <c r="F90" s="7"/>
      <c r="G90" s="82" t="s">
        <v>137</v>
      </c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  <c r="AD90" s="166">
        <f>57%/14</f>
        <v>4.071428571428571E-2</v>
      </c>
      <c r="AE90" s="166">
        <f t="shared" si="4"/>
        <v>4.071428571428571E-2</v>
      </c>
      <c r="AF90" s="166">
        <f t="shared" si="4"/>
        <v>4.071428571428571E-2</v>
      </c>
      <c r="AG90" s="166">
        <f t="shared" si="4"/>
        <v>4.071428571428571E-2</v>
      </c>
      <c r="AH90" s="166">
        <f t="shared" si="4"/>
        <v>4.071428571428571E-2</v>
      </c>
      <c r="AI90" s="166">
        <f t="shared" si="4"/>
        <v>4.071428571428571E-2</v>
      </c>
      <c r="AJ90" s="166">
        <f t="shared" si="4"/>
        <v>4.071428571428571E-2</v>
      </c>
      <c r="AK90" s="166">
        <f t="shared" ref="AK90:AQ90" si="5">57%/14</f>
        <v>4.071428571428571E-2</v>
      </c>
      <c r="AL90" s="166">
        <f t="shared" si="5"/>
        <v>4.071428571428571E-2</v>
      </c>
      <c r="AM90" s="166">
        <f t="shared" si="5"/>
        <v>4.071428571428571E-2</v>
      </c>
      <c r="AN90" s="166">
        <f t="shared" si="5"/>
        <v>4.071428571428571E-2</v>
      </c>
      <c r="AO90" s="166">
        <f t="shared" si="5"/>
        <v>4.071428571428571E-2</v>
      </c>
      <c r="AP90" s="166">
        <f t="shared" si="5"/>
        <v>4.071428571428571E-2</v>
      </c>
      <c r="AQ90" s="166">
        <f t="shared" si="5"/>
        <v>4.071428571428571E-2</v>
      </c>
      <c r="AR90">
        <f t="shared" si="3"/>
        <v>0.56999999999999995</v>
      </c>
    </row>
    <row r="91" spans="1:44" ht="21.75" customHeight="1">
      <c r="A91" s="7"/>
      <c r="B91" s="49"/>
      <c r="C91" s="7"/>
      <c r="D91" s="7"/>
      <c r="E91" s="7"/>
      <c r="F91" s="7"/>
      <c r="G91" s="80" t="s">
        <v>139</v>
      </c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166">
        <f>57%/13</f>
        <v>4.384615384615384E-2</v>
      </c>
      <c r="X91" s="166">
        <f t="shared" ref="X91:AI92" si="6">57%/13</f>
        <v>4.384615384615384E-2</v>
      </c>
      <c r="Y91" s="166">
        <f t="shared" si="6"/>
        <v>4.384615384615384E-2</v>
      </c>
      <c r="Z91" s="166">
        <f t="shared" si="6"/>
        <v>4.384615384615384E-2</v>
      </c>
      <c r="AA91" s="166">
        <f t="shared" si="6"/>
        <v>4.384615384615384E-2</v>
      </c>
      <c r="AB91" s="166">
        <f t="shared" si="6"/>
        <v>4.384615384615384E-2</v>
      </c>
      <c r="AC91" s="166">
        <f t="shared" si="6"/>
        <v>4.384615384615384E-2</v>
      </c>
      <c r="AD91" s="166">
        <f t="shared" si="6"/>
        <v>4.384615384615384E-2</v>
      </c>
      <c r="AE91" s="166">
        <f t="shared" si="6"/>
        <v>4.384615384615384E-2</v>
      </c>
      <c r="AF91" s="166">
        <f t="shared" si="6"/>
        <v>4.384615384615384E-2</v>
      </c>
      <c r="AG91" s="166">
        <f t="shared" si="6"/>
        <v>4.384615384615384E-2</v>
      </c>
      <c r="AH91" s="166">
        <f t="shared" si="6"/>
        <v>4.384615384615384E-2</v>
      </c>
      <c r="AI91" s="166">
        <f t="shared" si="6"/>
        <v>4.384615384615384E-2</v>
      </c>
      <c r="AJ91" s="81"/>
      <c r="AK91" s="81"/>
      <c r="AL91" s="81"/>
      <c r="AM91" s="81"/>
      <c r="AN91" s="81"/>
      <c r="AO91" s="81"/>
      <c r="AP91" s="81"/>
      <c r="AQ91" s="81"/>
      <c r="AR91">
        <f t="shared" si="3"/>
        <v>0.57000000000000006</v>
      </c>
    </row>
    <row r="92" spans="1:44" ht="21.75" customHeight="1">
      <c r="A92" s="7"/>
      <c r="B92" s="49"/>
      <c r="C92" s="7"/>
      <c r="D92" s="7"/>
      <c r="E92" s="7"/>
      <c r="F92" s="7"/>
      <c r="G92" s="82" t="s">
        <v>140</v>
      </c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166">
        <f>57%/13</f>
        <v>4.384615384615384E-2</v>
      </c>
      <c r="V92" s="166">
        <f t="shared" ref="V92:W92" si="7">57%/13</f>
        <v>4.384615384615384E-2</v>
      </c>
      <c r="W92" s="166">
        <f t="shared" si="7"/>
        <v>4.384615384615384E-2</v>
      </c>
      <c r="X92" s="166">
        <f t="shared" si="6"/>
        <v>4.384615384615384E-2</v>
      </c>
      <c r="Y92" s="166">
        <f t="shared" si="6"/>
        <v>4.384615384615384E-2</v>
      </c>
      <c r="Z92" s="166">
        <f t="shared" si="6"/>
        <v>4.384615384615384E-2</v>
      </c>
      <c r="AA92" s="166">
        <f t="shared" si="6"/>
        <v>4.384615384615384E-2</v>
      </c>
      <c r="AB92" s="166">
        <f t="shared" si="6"/>
        <v>4.384615384615384E-2</v>
      </c>
      <c r="AC92" s="166">
        <f t="shared" si="6"/>
        <v>4.384615384615384E-2</v>
      </c>
      <c r="AD92" s="166">
        <f t="shared" si="6"/>
        <v>4.384615384615384E-2</v>
      </c>
      <c r="AE92" s="166">
        <f t="shared" si="6"/>
        <v>4.384615384615384E-2</v>
      </c>
      <c r="AF92" s="166">
        <f t="shared" si="6"/>
        <v>4.384615384615384E-2</v>
      </c>
      <c r="AG92" s="166">
        <f t="shared" si="6"/>
        <v>4.384615384615384E-2</v>
      </c>
      <c r="AH92" s="83"/>
      <c r="AI92" s="83"/>
      <c r="AJ92" s="83"/>
      <c r="AK92" s="83"/>
      <c r="AL92" s="83"/>
      <c r="AM92" s="83"/>
      <c r="AN92" s="83"/>
      <c r="AO92" s="83"/>
      <c r="AP92" s="83"/>
      <c r="AQ92" s="83"/>
      <c r="AR92">
        <f t="shared" si="3"/>
        <v>0.57000000000000006</v>
      </c>
    </row>
    <row r="93" spans="1:44" ht="21.75" customHeight="1">
      <c r="A93" s="7"/>
      <c r="B93" s="49"/>
      <c r="C93" s="7"/>
      <c r="D93" s="7"/>
      <c r="E93" s="7"/>
      <c r="F93" s="7"/>
      <c r="G93" s="80" t="s">
        <v>143</v>
      </c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166">
        <f>57%/14</f>
        <v>4.071428571428571E-2</v>
      </c>
      <c r="Y93" s="166">
        <f t="shared" ref="Y93:AK94" si="8">57%/14</f>
        <v>4.071428571428571E-2</v>
      </c>
      <c r="Z93" s="166">
        <f t="shared" si="8"/>
        <v>4.071428571428571E-2</v>
      </c>
      <c r="AA93" s="166">
        <f t="shared" si="8"/>
        <v>4.071428571428571E-2</v>
      </c>
      <c r="AB93" s="166">
        <f t="shared" si="8"/>
        <v>4.071428571428571E-2</v>
      </c>
      <c r="AC93" s="166">
        <f t="shared" si="8"/>
        <v>4.071428571428571E-2</v>
      </c>
      <c r="AD93" s="166">
        <f t="shared" si="8"/>
        <v>4.071428571428571E-2</v>
      </c>
      <c r="AE93" s="166">
        <f t="shared" si="8"/>
        <v>4.071428571428571E-2</v>
      </c>
      <c r="AF93" s="166">
        <f t="shared" si="8"/>
        <v>4.071428571428571E-2</v>
      </c>
      <c r="AG93" s="166">
        <f t="shared" si="8"/>
        <v>4.071428571428571E-2</v>
      </c>
      <c r="AH93" s="166">
        <f t="shared" si="8"/>
        <v>4.071428571428571E-2</v>
      </c>
      <c r="AI93" s="166">
        <f t="shared" si="8"/>
        <v>4.071428571428571E-2</v>
      </c>
      <c r="AJ93" s="166">
        <f t="shared" si="8"/>
        <v>4.071428571428571E-2</v>
      </c>
      <c r="AK93" s="166">
        <f t="shared" si="8"/>
        <v>4.071428571428571E-2</v>
      </c>
      <c r="AL93" s="81"/>
      <c r="AM93" s="81"/>
      <c r="AN93" s="81"/>
      <c r="AO93" s="81"/>
      <c r="AP93" s="81"/>
      <c r="AQ93" s="81"/>
      <c r="AR93">
        <f t="shared" si="3"/>
        <v>0.56999999999999995</v>
      </c>
    </row>
    <row r="94" spans="1:44" ht="21.75" customHeight="1">
      <c r="A94" s="7"/>
      <c r="B94" s="49"/>
      <c r="C94" s="7"/>
      <c r="D94" s="7"/>
      <c r="E94" s="7"/>
      <c r="F94" s="7"/>
      <c r="G94" s="80" t="s">
        <v>147</v>
      </c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166">
        <f>57%/14</f>
        <v>4.071428571428571E-2</v>
      </c>
      <c r="X94" s="166">
        <f t="shared" ref="X94" si="9">57%/14</f>
        <v>4.071428571428571E-2</v>
      </c>
      <c r="Y94" s="166">
        <f t="shared" si="8"/>
        <v>4.071428571428571E-2</v>
      </c>
      <c r="Z94" s="166">
        <f t="shared" si="8"/>
        <v>4.071428571428571E-2</v>
      </c>
      <c r="AA94" s="166">
        <f t="shared" si="8"/>
        <v>4.071428571428571E-2</v>
      </c>
      <c r="AB94" s="166">
        <f t="shared" si="8"/>
        <v>4.071428571428571E-2</v>
      </c>
      <c r="AC94" s="166">
        <f t="shared" si="8"/>
        <v>4.071428571428571E-2</v>
      </c>
      <c r="AD94" s="166">
        <f t="shared" si="8"/>
        <v>4.071428571428571E-2</v>
      </c>
      <c r="AE94" s="166">
        <f t="shared" si="8"/>
        <v>4.071428571428571E-2</v>
      </c>
      <c r="AF94" s="166">
        <f t="shared" si="8"/>
        <v>4.071428571428571E-2</v>
      </c>
      <c r="AG94" s="166">
        <f t="shared" si="8"/>
        <v>4.071428571428571E-2</v>
      </c>
      <c r="AH94" s="166">
        <f t="shared" si="8"/>
        <v>4.071428571428571E-2</v>
      </c>
      <c r="AI94" s="166">
        <f t="shared" si="8"/>
        <v>4.071428571428571E-2</v>
      </c>
      <c r="AJ94" s="166">
        <f t="shared" si="8"/>
        <v>4.071428571428571E-2</v>
      </c>
      <c r="AK94" s="81"/>
      <c r="AL94" s="81"/>
      <c r="AM94" s="81"/>
      <c r="AN94" s="81"/>
      <c r="AO94" s="81"/>
      <c r="AP94" s="81"/>
      <c r="AQ94" s="81"/>
      <c r="AR94">
        <f t="shared" si="3"/>
        <v>0.56999999999999995</v>
      </c>
    </row>
    <row r="95" spans="1:44" ht="21.75" customHeight="1">
      <c r="A95" s="7"/>
      <c r="B95" s="49"/>
      <c r="C95" s="7"/>
      <c r="D95" s="7"/>
      <c r="E95" s="7"/>
      <c r="F95" s="7"/>
      <c r="G95" s="82" t="s">
        <v>148</v>
      </c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166">
        <f>57%/18</f>
        <v>3.1666666666666662E-2</v>
      </c>
      <c r="Z95" s="166">
        <f t="shared" ref="Z95:AP95" si="10">57%/18</f>
        <v>3.1666666666666662E-2</v>
      </c>
      <c r="AA95" s="166">
        <f t="shared" si="10"/>
        <v>3.1666666666666662E-2</v>
      </c>
      <c r="AB95" s="166">
        <f t="shared" si="10"/>
        <v>3.1666666666666662E-2</v>
      </c>
      <c r="AC95" s="166">
        <f t="shared" si="10"/>
        <v>3.1666666666666662E-2</v>
      </c>
      <c r="AD95" s="166">
        <f t="shared" si="10"/>
        <v>3.1666666666666662E-2</v>
      </c>
      <c r="AE95" s="166">
        <f t="shared" si="10"/>
        <v>3.1666666666666662E-2</v>
      </c>
      <c r="AF95" s="166">
        <f t="shared" si="10"/>
        <v>3.1666666666666662E-2</v>
      </c>
      <c r="AG95" s="166">
        <f t="shared" si="10"/>
        <v>3.1666666666666662E-2</v>
      </c>
      <c r="AH95" s="166">
        <f t="shared" si="10"/>
        <v>3.1666666666666662E-2</v>
      </c>
      <c r="AI95" s="166">
        <f t="shared" si="10"/>
        <v>3.1666666666666662E-2</v>
      </c>
      <c r="AJ95" s="166">
        <f t="shared" si="10"/>
        <v>3.1666666666666662E-2</v>
      </c>
      <c r="AK95" s="166">
        <f t="shared" si="10"/>
        <v>3.1666666666666662E-2</v>
      </c>
      <c r="AL95" s="166">
        <f t="shared" si="10"/>
        <v>3.1666666666666662E-2</v>
      </c>
      <c r="AM95" s="166">
        <f t="shared" si="10"/>
        <v>3.1666666666666662E-2</v>
      </c>
      <c r="AN95" s="166">
        <f t="shared" si="10"/>
        <v>3.1666666666666662E-2</v>
      </c>
      <c r="AO95" s="166">
        <f t="shared" si="10"/>
        <v>3.1666666666666662E-2</v>
      </c>
      <c r="AP95" s="166">
        <f t="shared" si="10"/>
        <v>3.1666666666666662E-2</v>
      </c>
      <c r="AQ95" s="83"/>
      <c r="AR95">
        <f t="shared" si="3"/>
        <v>0.56999999999999995</v>
      </c>
    </row>
    <row r="96" spans="1:44" ht="21.75" customHeight="1">
      <c r="A96" s="7"/>
      <c r="B96" s="49"/>
      <c r="C96" s="7"/>
      <c r="D96" s="7"/>
      <c r="E96" s="7"/>
      <c r="F96" s="7"/>
      <c r="G96" s="80" t="s">
        <v>150</v>
      </c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166">
        <f>57%/8</f>
        <v>7.1249999999999994E-2</v>
      </c>
      <c r="AJ96" s="166">
        <f t="shared" ref="AJ96:AP96" si="11">57%/8</f>
        <v>7.1249999999999994E-2</v>
      </c>
      <c r="AK96" s="166">
        <f t="shared" si="11"/>
        <v>7.1249999999999994E-2</v>
      </c>
      <c r="AL96" s="166">
        <f t="shared" si="11"/>
        <v>7.1249999999999994E-2</v>
      </c>
      <c r="AM96" s="166">
        <f t="shared" si="11"/>
        <v>7.1249999999999994E-2</v>
      </c>
      <c r="AN96" s="166">
        <f t="shared" si="11"/>
        <v>7.1249999999999994E-2</v>
      </c>
      <c r="AO96" s="166">
        <f t="shared" si="11"/>
        <v>7.1249999999999994E-2</v>
      </c>
      <c r="AP96" s="166">
        <f t="shared" si="11"/>
        <v>7.1249999999999994E-2</v>
      </c>
      <c r="AQ96" s="81"/>
      <c r="AR96">
        <f t="shared" si="3"/>
        <v>0.56999999999999995</v>
      </c>
    </row>
    <row r="97" spans="1:44" ht="21.75" customHeight="1">
      <c r="A97" s="7"/>
      <c r="B97" s="49"/>
      <c r="C97" s="7"/>
      <c r="D97" s="7"/>
      <c r="E97" s="7"/>
      <c r="F97" s="7"/>
      <c r="G97" s="82" t="s">
        <v>153</v>
      </c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166">
        <f>57%/7</f>
        <v>8.142857142857142E-2</v>
      </c>
      <c r="AE97" s="166">
        <f t="shared" ref="AE97:AJ97" si="12">57%/7</f>
        <v>8.142857142857142E-2</v>
      </c>
      <c r="AF97" s="166">
        <f t="shared" si="12"/>
        <v>8.142857142857142E-2</v>
      </c>
      <c r="AG97" s="166">
        <f t="shared" si="12"/>
        <v>8.142857142857142E-2</v>
      </c>
      <c r="AH97" s="166">
        <f t="shared" si="12"/>
        <v>8.142857142857142E-2</v>
      </c>
      <c r="AI97" s="166">
        <f t="shared" si="12"/>
        <v>8.142857142857142E-2</v>
      </c>
      <c r="AJ97" s="166">
        <f t="shared" si="12"/>
        <v>8.142857142857142E-2</v>
      </c>
      <c r="AK97" s="83"/>
      <c r="AL97" s="83"/>
      <c r="AM97" s="83"/>
      <c r="AN97" s="83"/>
      <c r="AO97" s="83"/>
      <c r="AP97" s="83"/>
      <c r="AQ97" s="83"/>
      <c r="AR97">
        <f t="shared" si="3"/>
        <v>0.56999999999999995</v>
      </c>
    </row>
    <row r="98" spans="1:44" ht="21.75" customHeight="1">
      <c r="A98" s="7"/>
      <c r="B98" s="49"/>
      <c r="C98" s="7"/>
      <c r="D98" s="7"/>
      <c r="E98" s="7"/>
      <c r="F98" s="7"/>
      <c r="G98" s="80" t="s">
        <v>154</v>
      </c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166">
        <f>57%/8</f>
        <v>7.1249999999999994E-2</v>
      </c>
      <c r="AK98" s="166">
        <f t="shared" ref="AK98:AQ98" si="13">57%/8</f>
        <v>7.1249999999999994E-2</v>
      </c>
      <c r="AL98" s="166">
        <f t="shared" si="13"/>
        <v>7.1249999999999994E-2</v>
      </c>
      <c r="AM98" s="166">
        <f t="shared" si="13"/>
        <v>7.1249999999999994E-2</v>
      </c>
      <c r="AN98" s="166">
        <f t="shared" si="13"/>
        <v>7.1249999999999994E-2</v>
      </c>
      <c r="AO98" s="166">
        <f t="shared" si="13"/>
        <v>7.1249999999999994E-2</v>
      </c>
      <c r="AP98" s="166">
        <f t="shared" si="13"/>
        <v>7.1249999999999994E-2</v>
      </c>
      <c r="AQ98" s="166">
        <f t="shared" si="13"/>
        <v>7.1249999999999994E-2</v>
      </c>
      <c r="AR98">
        <f t="shared" si="3"/>
        <v>0.56999999999999995</v>
      </c>
    </row>
    <row r="99" spans="1:44" ht="21.75" customHeight="1">
      <c r="A99" s="7"/>
      <c r="B99" s="49"/>
      <c r="C99" s="7"/>
      <c r="D99" s="7"/>
      <c r="E99" s="7"/>
      <c r="F99" s="7"/>
      <c r="G99" s="216" t="s">
        <v>189</v>
      </c>
      <c r="H99" s="216"/>
      <c r="I99" s="216"/>
      <c r="J99" s="216"/>
      <c r="K99" s="216"/>
      <c r="L99" s="216"/>
      <c r="M99" s="216"/>
      <c r="N99" s="216"/>
      <c r="O99" s="216"/>
      <c r="P99" s="216"/>
      <c r="Q99" s="216"/>
      <c r="R99" s="216"/>
      <c r="S99" s="216"/>
      <c r="T99" s="216"/>
      <c r="U99" s="216"/>
      <c r="V99" s="216"/>
      <c r="W99" s="216"/>
      <c r="X99" s="216"/>
      <c r="Y99" s="216"/>
      <c r="Z99" s="216"/>
      <c r="AA99" s="216"/>
      <c r="AB99" s="216"/>
      <c r="AC99" s="216"/>
      <c r="AD99" s="216"/>
      <c r="AE99" s="216"/>
      <c r="AF99" s="216"/>
      <c r="AG99" s="216"/>
      <c r="AH99" s="216"/>
      <c r="AI99" s="216"/>
      <c r="AJ99" s="216"/>
      <c r="AK99" s="216"/>
      <c r="AL99" s="216"/>
      <c r="AM99" s="216"/>
      <c r="AN99" s="216"/>
      <c r="AO99" s="216"/>
      <c r="AP99" s="216"/>
      <c r="AQ99" s="216"/>
    </row>
    <row r="100" spans="1:44" ht="21.75" customHeight="1">
      <c r="A100" s="7"/>
      <c r="B100" s="49"/>
      <c r="C100" s="7"/>
      <c r="D100" s="7"/>
      <c r="E100" s="7"/>
      <c r="F100" s="7"/>
      <c r="G100" s="82" t="s">
        <v>130</v>
      </c>
      <c r="H100" s="83"/>
      <c r="I100" s="83"/>
      <c r="J100" s="83"/>
      <c r="K100" s="83"/>
      <c r="L100" s="83"/>
      <c r="M100" s="83"/>
      <c r="N100" s="83"/>
      <c r="O100" s="83"/>
      <c r="P100" s="166">
        <f>43%/11</f>
        <v>3.9090909090909093E-2</v>
      </c>
      <c r="Q100" s="166">
        <f t="shared" ref="Q100:Z100" si="14">43%/11</f>
        <v>3.9090909090909093E-2</v>
      </c>
      <c r="R100" s="166">
        <f t="shared" si="14"/>
        <v>3.9090909090909093E-2</v>
      </c>
      <c r="S100" s="166">
        <f t="shared" si="14"/>
        <v>3.9090909090909093E-2</v>
      </c>
      <c r="T100" s="166">
        <f t="shared" si="14"/>
        <v>3.9090909090909093E-2</v>
      </c>
      <c r="U100" s="166">
        <f t="shared" si="14"/>
        <v>3.9090909090909093E-2</v>
      </c>
      <c r="V100" s="166">
        <f t="shared" si="14"/>
        <v>3.9090909090909093E-2</v>
      </c>
      <c r="W100" s="166">
        <f t="shared" si="14"/>
        <v>3.9090909090909093E-2</v>
      </c>
      <c r="X100" s="166">
        <f t="shared" si="14"/>
        <v>3.9090909090909093E-2</v>
      </c>
      <c r="Y100" s="166">
        <f t="shared" si="14"/>
        <v>3.9090909090909093E-2</v>
      </c>
      <c r="Z100" s="166">
        <f t="shared" si="14"/>
        <v>3.9090909090909093E-2</v>
      </c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  <c r="AL100" s="83"/>
      <c r="AM100" s="83"/>
      <c r="AN100" s="83"/>
      <c r="AO100" s="83"/>
      <c r="AP100" s="83"/>
      <c r="AQ100" s="83"/>
      <c r="AR100">
        <f t="shared" si="3"/>
        <v>0.42999999999999994</v>
      </c>
    </row>
    <row r="101" spans="1:44" ht="21.75" customHeight="1">
      <c r="A101" s="7"/>
      <c r="B101" s="49"/>
      <c r="C101" s="7"/>
      <c r="D101" s="7"/>
      <c r="E101" s="7"/>
      <c r="F101" s="7"/>
      <c r="G101" s="80" t="s">
        <v>194</v>
      </c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166">
        <f>43%/16</f>
        <v>2.6875E-2</v>
      </c>
      <c r="T101" s="166">
        <f t="shared" ref="T101:AH101" si="15">43%/16</f>
        <v>2.6875E-2</v>
      </c>
      <c r="U101" s="166">
        <f t="shared" si="15"/>
        <v>2.6875E-2</v>
      </c>
      <c r="V101" s="166">
        <f t="shared" si="15"/>
        <v>2.6875E-2</v>
      </c>
      <c r="W101" s="166">
        <f t="shared" si="15"/>
        <v>2.6875E-2</v>
      </c>
      <c r="X101" s="166">
        <f t="shared" si="15"/>
        <v>2.6875E-2</v>
      </c>
      <c r="Y101" s="166">
        <f t="shared" si="15"/>
        <v>2.6875E-2</v>
      </c>
      <c r="Z101" s="166">
        <f t="shared" si="15"/>
        <v>2.6875E-2</v>
      </c>
      <c r="AA101" s="166">
        <f t="shared" si="15"/>
        <v>2.6875E-2</v>
      </c>
      <c r="AB101" s="166">
        <f t="shared" si="15"/>
        <v>2.6875E-2</v>
      </c>
      <c r="AC101" s="166">
        <f t="shared" si="15"/>
        <v>2.6875E-2</v>
      </c>
      <c r="AD101" s="166">
        <f t="shared" si="15"/>
        <v>2.6875E-2</v>
      </c>
      <c r="AE101" s="166">
        <f t="shared" si="15"/>
        <v>2.6875E-2</v>
      </c>
      <c r="AF101" s="166">
        <f t="shared" si="15"/>
        <v>2.6875E-2</v>
      </c>
      <c r="AG101" s="166">
        <f t="shared" si="15"/>
        <v>2.6875E-2</v>
      </c>
      <c r="AH101" s="166">
        <f t="shared" si="15"/>
        <v>2.6875E-2</v>
      </c>
      <c r="AI101" s="81"/>
      <c r="AJ101" s="81"/>
      <c r="AK101" s="81"/>
      <c r="AL101" s="81"/>
      <c r="AM101" s="81"/>
      <c r="AN101" s="81"/>
      <c r="AO101" s="81"/>
      <c r="AP101" s="81"/>
      <c r="AQ101" s="81"/>
      <c r="AR101">
        <f t="shared" si="3"/>
        <v>0.42999999999999994</v>
      </c>
    </row>
    <row r="102" spans="1:44" ht="21.75" customHeight="1">
      <c r="A102" s="7"/>
      <c r="B102" s="49"/>
      <c r="C102" s="7"/>
      <c r="D102" s="7"/>
      <c r="E102" s="7"/>
      <c r="F102" s="7"/>
      <c r="G102" s="80" t="s">
        <v>135</v>
      </c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166">
        <f>43%/14</f>
        <v>3.0714285714285715E-2</v>
      </c>
      <c r="U102" s="166">
        <f>43%/14</f>
        <v>3.0714285714285715E-2</v>
      </c>
      <c r="V102" s="166">
        <f t="shared" ref="V102:AK103" si="16">43%/14</f>
        <v>3.0714285714285715E-2</v>
      </c>
      <c r="W102" s="166">
        <f t="shared" si="16"/>
        <v>3.0714285714285715E-2</v>
      </c>
      <c r="X102" s="166">
        <f t="shared" si="16"/>
        <v>3.0714285714285715E-2</v>
      </c>
      <c r="Y102" s="166">
        <f t="shared" si="16"/>
        <v>3.0714285714285715E-2</v>
      </c>
      <c r="Z102" s="166">
        <f t="shared" si="16"/>
        <v>3.0714285714285715E-2</v>
      </c>
      <c r="AA102" s="166">
        <f t="shared" si="16"/>
        <v>3.0714285714285715E-2</v>
      </c>
      <c r="AB102" s="166">
        <f t="shared" si="16"/>
        <v>3.0714285714285715E-2</v>
      </c>
      <c r="AC102" s="166">
        <f t="shared" si="16"/>
        <v>3.0714285714285715E-2</v>
      </c>
      <c r="AD102" s="166">
        <f t="shared" si="16"/>
        <v>3.0714285714285715E-2</v>
      </c>
      <c r="AE102" s="166">
        <f t="shared" si="16"/>
        <v>3.0714285714285715E-2</v>
      </c>
      <c r="AF102" s="166">
        <f t="shared" si="16"/>
        <v>3.0714285714285715E-2</v>
      </c>
      <c r="AG102" s="166">
        <f t="shared" si="16"/>
        <v>3.0714285714285715E-2</v>
      </c>
      <c r="AH102" s="81"/>
      <c r="AI102" s="81"/>
      <c r="AJ102" s="81"/>
      <c r="AK102" s="81"/>
      <c r="AL102" s="81"/>
      <c r="AM102" s="81"/>
      <c r="AN102" s="81"/>
      <c r="AO102" s="81"/>
      <c r="AP102" s="81"/>
      <c r="AQ102" s="81"/>
      <c r="AR102">
        <f t="shared" si="3"/>
        <v>0.42999999999999994</v>
      </c>
    </row>
    <row r="103" spans="1:44" ht="21.75" customHeight="1">
      <c r="A103" s="7"/>
      <c r="B103" s="49"/>
      <c r="C103" s="7"/>
      <c r="D103" s="7"/>
      <c r="E103" s="7"/>
      <c r="F103" s="7"/>
      <c r="G103" s="82" t="s">
        <v>137</v>
      </c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  <c r="AD103" s="166">
        <f>43%/14</f>
        <v>3.0714285714285715E-2</v>
      </c>
      <c r="AE103" s="166">
        <f t="shared" si="16"/>
        <v>3.0714285714285715E-2</v>
      </c>
      <c r="AF103" s="166">
        <f t="shared" si="16"/>
        <v>3.0714285714285715E-2</v>
      </c>
      <c r="AG103" s="166">
        <f t="shared" si="16"/>
        <v>3.0714285714285715E-2</v>
      </c>
      <c r="AH103" s="166">
        <f t="shared" si="16"/>
        <v>3.0714285714285715E-2</v>
      </c>
      <c r="AI103" s="166">
        <f t="shared" si="16"/>
        <v>3.0714285714285715E-2</v>
      </c>
      <c r="AJ103" s="166">
        <f t="shared" si="16"/>
        <v>3.0714285714285715E-2</v>
      </c>
      <c r="AK103" s="166">
        <f t="shared" si="16"/>
        <v>3.0714285714285715E-2</v>
      </c>
      <c r="AL103" s="166">
        <f t="shared" ref="AL103:AQ103" si="17">43%/14</f>
        <v>3.0714285714285715E-2</v>
      </c>
      <c r="AM103" s="166">
        <f t="shared" si="17"/>
        <v>3.0714285714285715E-2</v>
      </c>
      <c r="AN103" s="166">
        <f t="shared" si="17"/>
        <v>3.0714285714285715E-2</v>
      </c>
      <c r="AO103" s="166">
        <f t="shared" si="17"/>
        <v>3.0714285714285715E-2</v>
      </c>
      <c r="AP103" s="166">
        <f t="shared" si="17"/>
        <v>3.0714285714285715E-2</v>
      </c>
      <c r="AQ103" s="166">
        <f t="shared" si="17"/>
        <v>3.0714285714285715E-2</v>
      </c>
      <c r="AR103">
        <f t="shared" si="3"/>
        <v>0.42999999999999994</v>
      </c>
    </row>
    <row r="104" spans="1:44" ht="21.75" customHeight="1">
      <c r="A104" s="7"/>
      <c r="B104" s="49"/>
      <c r="C104" s="7"/>
      <c r="D104" s="7"/>
      <c r="E104" s="7"/>
      <c r="F104" s="7"/>
      <c r="G104" s="80" t="s">
        <v>139</v>
      </c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166">
        <f>43%/13</f>
        <v>3.3076923076923073E-2</v>
      </c>
      <c r="X104" s="166">
        <f t="shared" ref="X104:AI104" si="18">43%/13</f>
        <v>3.3076923076923073E-2</v>
      </c>
      <c r="Y104" s="166">
        <f t="shared" si="18"/>
        <v>3.3076923076923073E-2</v>
      </c>
      <c r="Z104" s="166">
        <f t="shared" si="18"/>
        <v>3.3076923076923073E-2</v>
      </c>
      <c r="AA104" s="166">
        <f t="shared" si="18"/>
        <v>3.3076923076923073E-2</v>
      </c>
      <c r="AB104" s="166">
        <f t="shared" si="18"/>
        <v>3.3076923076923073E-2</v>
      </c>
      <c r="AC104" s="166">
        <f t="shared" si="18"/>
        <v>3.3076923076923073E-2</v>
      </c>
      <c r="AD104" s="166">
        <f t="shared" si="18"/>
        <v>3.3076923076923073E-2</v>
      </c>
      <c r="AE104" s="166">
        <f t="shared" si="18"/>
        <v>3.3076923076923073E-2</v>
      </c>
      <c r="AF104" s="166">
        <f t="shared" si="18"/>
        <v>3.3076923076923073E-2</v>
      </c>
      <c r="AG104" s="166">
        <f t="shared" si="18"/>
        <v>3.3076923076923073E-2</v>
      </c>
      <c r="AH104" s="166">
        <f t="shared" si="18"/>
        <v>3.3076923076923073E-2</v>
      </c>
      <c r="AI104" s="166">
        <f t="shared" si="18"/>
        <v>3.3076923076923073E-2</v>
      </c>
      <c r="AJ104" s="81"/>
      <c r="AK104" s="81"/>
      <c r="AL104" s="81"/>
      <c r="AM104" s="81"/>
      <c r="AN104" s="81"/>
      <c r="AO104" s="81"/>
      <c r="AP104" s="81"/>
      <c r="AQ104" s="81"/>
      <c r="AR104">
        <f t="shared" si="3"/>
        <v>0.42999999999999983</v>
      </c>
    </row>
    <row r="105" spans="1:44" ht="21.75" customHeight="1">
      <c r="A105" s="7"/>
      <c r="B105" s="49"/>
      <c r="C105" s="7"/>
      <c r="D105" s="7"/>
      <c r="E105" s="7"/>
      <c r="F105" s="7"/>
      <c r="G105" s="82" t="s">
        <v>140</v>
      </c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166">
        <f>43%/12</f>
        <v>3.5833333333333335E-2</v>
      </c>
      <c r="W105" s="166">
        <f t="shared" ref="W105:AG105" si="19">43%/12</f>
        <v>3.5833333333333335E-2</v>
      </c>
      <c r="X105" s="166">
        <f t="shared" si="19"/>
        <v>3.5833333333333335E-2</v>
      </c>
      <c r="Y105" s="166">
        <f t="shared" si="19"/>
        <v>3.5833333333333335E-2</v>
      </c>
      <c r="Z105" s="166">
        <f t="shared" si="19"/>
        <v>3.5833333333333335E-2</v>
      </c>
      <c r="AA105" s="166">
        <f t="shared" si="19"/>
        <v>3.5833333333333335E-2</v>
      </c>
      <c r="AB105" s="166">
        <f t="shared" si="19"/>
        <v>3.5833333333333335E-2</v>
      </c>
      <c r="AC105" s="166">
        <f t="shared" si="19"/>
        <v>3.5833333333333335E-2</v>
      </c>
      <c r="AD105" s="166">
        <f t="shared" si="19"/>
        <v>3.5833333333333335E-2</v>
      </c>
      <c r="AE105" s="166">
        <f t="shared" si="19"/>
        <v>3.5833333333333335E-2</v>
      </c>
      <c r="AF105" s="166">
        <f t="shared" si="19"/>
        <v>3.5833333333333335E-2</v>
      </c>
      <c r="AG105" s="166">
        <f t="shared" si="19"/>
        <v>3.5833333333333335E-2</v>
      </c>
      <c r="AH105" s="83"/>
      <c r="AI105" s="83"/>
      <c r="AJ105" s="83"/>
      <c r="AK105" s="83"/>
      <c r="AL105" s="83"/>
      <c r="AM105" s="83"/>
      <c r="AN105" s="83"/>
      <c r="AO105" s="83"/>
      <c r="AP105" s="83"/>
      <c r="AQ105" s="83"/>
      <c r="AR105">
        <f t="shared" si="3"/>
        <v>0.43</v>
      </c>
    </row>
    <row r="106" spans="1:44" ht="21.75" customHeight="1">
      <c r="A106" s="7"/>
      <c r="B106" s="49"/>
      <c r="C106" s="7"/>
      <c r="D106" s="7"/>
      <c r="E106" s="7"/>
      <c r="F106" s="7"/>
      <c r="G106" s="80" t="s">
        <v>143</v>
      </c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166">
        <f>43%/13</f>
        <v>3.3076923076923073E-2</v>
      </c>
      <c r="Z106" s="166">
        <f t="shared" ref="Z106:AK107" si="20">43%/13</f>
        <v>3.3076923076923073E-2</v>
      </c>
      <c r="AA106" s="166">
        <f t="shared" si="20"/>
        <v>3.3076923076923073E-2</v>
      </c>
      <c r="AB106" s="166">
        <f t="shared" si="20"/>
        <v>3.3076923076923073E-2</v>
      </c>
      <c r="AC106" s="166">
        <f t="shared" si="20"/>
        <v>3.3076923076923073E-2</v>
      </c>
      <c r="AD106" s="166">
        <f t="shared" si="20"/>
        <v>3.3076923076923073E-2</v>
      </c>
      <c r="AE106" s="166">
        <f t="shared" si="20"/>
        <v>3.3076923076923073E-2</v>
      </c>
      <c r="AF106" s="166">
        <f t="shared" si="20"/>
        <v>3.3076923076923073E-2</v>
      </c>
      <c r="AG106" s="166">
        <f t="shared" si="20"/>
        <v>3.3076923076923073E-2</v>
      </c>
      <c r="AH106" s="166">
        <f t="shared" si="20"/>
        <v>3.3076923076923073E-2</v>
      </c>
      <c r="AI106" s="166">
        <f t="shared" si="20"/>
        <v>3.3076923076923073E-2</v>
      </c>
      <c r="AJ106" s="166">
        <f t="shared" si="20"/>
        <v>3.3076923076923073E-2</v>
      </c>
      <c r="AK106" s="166">
        <f t="shared" si="20"/>
        <v>3.3076923076923073E-2</v>
      </c>
      <c r="AL106" s="81"/>
      <c r="AM106" s="81"/>
      <c r="AN106" s="81"/>
      <c r="AO106" s="81"/>
      <c r="AP106" s="81"/>
      <c r="AQ106" s="81"/>
      <c r="AR106">
        <f t="shared" si="3"/>
        <v>0.42999999999999983</v>
      </c>
    </row>
    <row r="107" spans="1:44" ht="21.75" customHeight="1">
      <c r="A107" s="7"/>
      <c r="B107" s="49"/>
      <c r="C107" s="7"/>
      <c r="D107" s="7"/>
      <c r="E107" s="7"/>
      <c r="F107" s="7"/>
      <c r="G107" s="80" t="s">
        <v>147</v>
      </c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166">
        <f>43%/13</f>
        <v>3.3076923076923073E-2</v>
      </c>
      <c r="Y107" s="166">
        <f t="shared" ref="Y107" si="21">43%/13</f>
        <v>3.3076923076923073E-2</v>
      </c>
      <c r="Z107" s="166">
        <f t="shared" si="20"/>
        <v>3.3076923076923073E-2</v>
      </c>
      <c r="AA107" s="166">
        <f t="shared" si="20"/>
        <v>3.3076923076923073E-2</v>
      </c>
      <c r="AB107" s="166">
        <f t="shared" si="20"/>
        <v>3.3076923076923073E-2</v>
      </c>
      <c r="AC107" s="166">
        <f t="shared" si="20"/>
        <v>3.3076923076923073E-2</v>
      </c>
      <c r="AD107" s="166">
        <f t="shared" si="20"/>
        <v>3.3076923076923073E-2</v>
      </c>
      <c r="AE107" s="166">
        <f t="shared" si="20"/>
        <v>3.3076923076923073E-2</v>
      </c>
      <c r="AF107" s="166">
        <f t="shared" si="20"/>
        <v>3.3076923076923073E-2</v>
      </c>
      <c r="AG107" s="166">
        <f t="shared" si="20"/>
        <v>3.3076923076923073E-2</v>
      </c>
      <c r="AH107" s="166">
        <f t="shared" si="20"/>
        <v>3.3076923076923073E-2</v>
      </c>
      <c r="AI107" s="166">
        <f t="shared" si="20"/>
        <v>3.3076923076923073E-2</v>
      </c>
      <c r="AJ107" s="166">
        <f t="shared" si="20"/>
        <v>3.3076923076923073E-2</v>
      </c>
      <c r="AK107" s="81"/>
      <c r="AL107" s="81"/>
      <c r="AM107" s="81"/>
      <c r="AN107" s="81"/>
      <c r="AO107" s="81"/>
      <c r="AP107" s="81"/>
      <c r="AQ107" s="81"/>
      <c r="AR107">
        <f t="shared" si="3"/>
        <v>0.42999999999999983</v>
      </c>
    </row>
    <row r="108" spans="1:44" ht="21.75" customHeight="1">
      <c r="A108" s="7"/>
      <c r="B108" s="49"/>
      <c r="C108" s="7"/>
      <c r="D108" s="7"/>
      <c r="E108" s="7"/>
      <c r="F108" s="7"/>
      <c r="G108" s="82" t="s">
        <v>148</v>
      </c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166">
        <f>43%/17</f>
        <v>2.5294117647058825E-2</v>
      </c>
      <c r="AA108" s="166">
        <f t="shared" ref="AA108:AP108" si="22">43%/17</f>
        <v>2.5294117647058825E-2</v>
      </c>
      <c r="AB108" s="166">
        <f t="shared" si="22"/>
        <v>2.5294117647058825E-2</v>
      </c>
      <c r="AC108" s="166">
        <f t="shared" si="22"/>
        <v>2.5294117647058825E-2</v>
      </c>
      <c r="AD108" s="166">
        <f t="shared" si="22"/>
        <v>2.5294117647058825E-2</v>
      </c>
      <c r="AE108" s="166">
        <f t="shared" si="22"/>
        <v>2.5294117647058825E-2</v>
      </c>
      <c r="AF108" s="166">
        <f t="shared" si="22"/>
        <v>2.5294117647058825E-2</v>
      </c>
      <c r="AG108" s="166">
        <f t="shared" si="22"/>
        <v>2.5294117647058825E-2</v>
      </c>
      <c r="AH108" s="166">
        <f t="shared" si="22"/>
        <v>2.5294117647058825E-2</v>
      </c>
      <c r="AI108" s="166">
        <f t="shared" si="22"/>
        <v>2.5294117647058825E-2</v>
      </c>
      <c r="AJ108" s="166">
        <f t="shared" si="22"/>
        <v>2.5294117647058825E-2</v>
      </c>
      <c r="AK108" s="166">
        <f t="shared" si="22"/>
        <v>2.5294117647058825E-2</v>
      </c>
      <c r="AL108" s="166">
        <f t="shared" si="22"/>
        <v>2.5294117647058825E-2</v>
      </c>
      <c r="AM108" s="166">
        <f t="shared" si="22"/>
        <v>2.5294117647058825E-2</v>
      </c>
      <c r="AN108" s="166">
        <f t="shared" si="22"/>
        <v>2.5294117647058825E-2</v>
      </c>
      <c r="AO108" s="166">
        <f t="shared" si="22"/>
        <v>2.5294117647058825E-2</v>
      </c>
      <c r="AP108" s="166">
        <f t="shared" si="22"/>
        <v>2.5294117647058825E-2</v>
      </c>
      <c r="AQ108" s="83"/>
      <c r="AR108">
        <f t="shared" si="3"/>
        <v>0.42999999999999983</v>
      </c>
    </row>
    <row r="109" spans="1:44" ht="21.75" customHeight="1">
      <c r="A109" s="7"/>
      <c r="B109" s="49"/>
      <c r="C109" s="7"/>
      <c r="D109" s="7"/>
      <c r="E109" s="7"/>
      <c r="F109" s="7"/>
      <c r="G109" s="80" t="s">
        <v>150</v>
      </c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1"/>
      <c r="AI109" s="166">
        <f>43%/8</f>
        <v>5.3749999999999999E-2</v>
      </c>
      <c r="AJ109" s="166">
        <f t="shared" ref="AJ109:AP109" si="23">43%/8</f>
        <v>5.3749999999999999E-2</v>
      </c>
      <c r="AK109" s="166">
        <f t="shared" si="23"/>
        <v>5.3749999999999999E-2</v>
      </c>
      <c r="AL109" s="166">
        <f t="shared" si="23"/>
        <v>5.3749999999999999E-2</v>
      </c>
      <c r="AM109" s="166">
        <f t="shared" si="23"/>
        <v>5.3749999999999999E-2</v>
      </c>
      <c r="AN109" s="166">
        <f t="shared" si="23"/>
        <v>5.3749999999999999E-2</v>
      </c>
      <c r="AO109" s="166">
        <f t="shared" si="23"/>
        <v>5.3749999999999999E-2</v>
      </c>
      <c r="AP109" s="166">
        <f t="shared" si="23"/>
        <v>5.3749999999999999E-2</v>
      </c>
      <c r="AQ109" s="81"/>
      <c r="AR109">
        <f t="shared" si="3"/>
        <v>0.43000000000000005</v>
      </c>
    </row>
    <row r="110" spans="1:44" ht="21.75" customHeight="1">
      <c r="A110" s="7"/>
      <c r="B110" s="49"/>
      <c r="C110" s="7"/>
      <c r="D110" s="7"/>
      <c r="E110" s="7"/>
      <c r="F110" s="7"/>
      <c r="G110" s="82" t="s">
        <v>153</v>
      </c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C110" s="83"/>
      <c r="AD110" s="166">
        <f>43%/7</f>
        <v>6.142857142857143E-2</v>
      </c>
      <c r="AE110" s="166">
        <f t="shared" ref="AE110:AJ110" si="24">43%/7</f>
        <v>6.142857142857143E-2</v>
      </c>
      <c r="AF110" s="166">
        <f t="shared" si="24"/>
        <v>6.142857142857143E-2</v>
      </c>
      <c r="AG110" s="166">
        <f t="shared" si="24"/>
        <v>6.142857142857143E-2</v>
      </c>
      <c r="AH110" s="166">
        <f t="shared" si="24"/>
        <v>6.142857142857143E-2</v>
      </c>
      <c r="AI110" s="166">
        <f t="shared" si="24"/>
        <v>6.142857142857143E-2</v>
      </c>
      <c r="AJ110" s="166">
        <f t="shared" si="24"/>
        <v>6.142857142857143E-2</v>
      </c>
      <c r="AK110" s="83"/>
      <c r="AL110" s="83"/>
      <c r="AM110" s="83"/>
      <c r="AN110" s="83"/>
      <c r="AO110" s="83"/>
      <c r="AP110" s="83"/>
      <c r="AQ110" s="83"/>
      <c r="AR110">
        <f t="shared" si="3"/>
        <v>0.43000000000000005</v>
      </c>
    </row>
    <row r="111" spans="1:44" ht="21.75" customHeight="1">
      <c r="A111" s="7"/>
      <c r="B111" s="49"/>
      <c r="C111" s="7"/>
      <c r="D111" s="7"/>
      <c r="E111" s="7"/>
      <c r="F111" s="7"/>
      <c r="G111" s="80" t="s">
        <v>154</v>
      </c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81"/>
      <c r="AI111" s="81"/>
      <c r="AJ111" s="166">
        <f>43%/8</f>
        <v>5.3749999999999999E-2</v>
      </c>
      <c r="AK111" s="166">
        <f t="shared" ref="AK111:AQ111" si="25">43%/8</f>
        <v>5.3749999999999999E-2</v>
      </c>
      <c r="AL111" s="166">
        <f t="shared" si="25"/>
        <v>5.3749999999999999E-2</v>
      </c>
      <c r="AM111" s="166">
        <f t="shared" si="25"/>
        <v>5.3749999999999999E-2</v>
      </c>
      <c r="AN111" s="166">
        <f t="shared" si="25"/>
        <v>5.3749999999999999E-2</v>
      </c>
      <c r="AO111" s="166">
        <f t="shared" si="25"/>
        <v>5.3749999999999999E-2</v>
      </c>
      <c r="AP111" s="166">
        <f t="shared" si="25"/>
        <v>5.3749999999999999E-2</v>
      </c>
      <c r="AQ111" s="166">
        <f t="shared" si="25"/>
        <v>5.3749999999999999E-2</v>
      </c>
      <c r="AR111">
        <f t="shared" si="3"/>
        <v>0.43000000000000005</v>
      </c>
    </row>
    <row r="112" spans="1:44" ht="21.75" customHeight="1">
      <c r="A112" s="7"/>
      <c r="B112" s="49"/>
      <c r="C112" s="7"/>
      <c r="D112" s="7"/>
      <c r="E112" s="7"/>
      <c r="F112" s="7"/>
      <c r="G112" s="217" t="s">
        <v>197</v>
      </c>
      <c r="H112" s="217"/>
      <c r="I112" s="217"/>
      <c r="J112" s="217"/>
      <c r="K112" s="217"/>
      <c r="L112" s="217"/>
      <c r="M112" s="217"/>
      <c r="N112" s="217"/>
      <c r="O112" s="217"/>
      <c r="P112" s="217"/>
      <c r="Q112" s="217"/>
      <c r="R112" s="217"/>
      <c r="S112" s="217"/>
      <c r="T112" s="217"/>
      <c r="U112" s="217"/>
      <c r="V112" s="217"/>
      <c r="W112" s="217"/>
      <c r="X112" s="217"/>
      <c r="Y112" s="217"/>
      <c r="Z112" s="217"/>
      <c r="AA112" s="217"/>
      <c r="AB112" s="217"/>
      <c r="AC112" s="217"/>
      <c r="AD112" s="217"/>
      <c r="AE112" s="217"/>
      <c r="AF112" s="217"/>
      <c r="AG112" s="217"/>
      <c r="AH112" s="217"/>
      <c r="AI112" s="217"/>
      <c r="AJ112" s="217"/>
      <c r="AK112" s="217"/>
      <c r="AL112" s="217"/>
      <c r="AM112" s="217"/>
      <c r="AN112" s="217"/>
      <c r="AO112" s="217"/>
      <c r="AP112" s="217"/>
      <c r="AQ112" s="217"/>
    </row>
    <row r="113" spans="1:43" ht="21.75" customHeight="1">
      <c r="A113" s="7"/>
      <c r="B113" s="49"/>
      <c r="C113" s="7"/>
      <c r="D113" s="7"/>
      <c r="E113" s="7"/>
      <c r="F113" s="7"/>
      <c r="G113" s="80" t="s">
        <v>124</v>
      </c>
      <c r="H113" s="168">
        <f>100%/2</f>
        <v>0.5</v>
      </c>
      <c r="I113" s="168">
        <f>100%/2</f>
        <v>0.5</v>
      </c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  <c r="AM113" s="85"/>
      <c r="AN113" s="85"/>
      <c r="AO113" s="85"/>
      <c r="AP113" s="85"/>
      <c r="AQ113" s="85"/>
    </row>
    <row r="114" spans="1:43" ht="21.75" customHeight="1">
      <c r="A114" s="7"/>
      <c r="B114" s="49"/>
      <c r="C114" s="7"/>
      <c r="D114" s="7"/>
      <c r="E114" s="7"/>
      <c r="F114" s="7"/>
      <c r="G114" s="82" t="s">
        <v>193</v>
      </c>
      <c r="H114" s="85"/>
      <c r="I114" s="168">
        <f>100%/3</f>
        <v>0.33333333333333331</v>
      </c>
      <c r="J114" s="168">
        <f>100%/3</f>
        <v>0.33333333333333331</v>
      </c>
      <c r="K114" s="168">
        <f>100%/3</f>
        <v>0.33333333333333331</v>
      </c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  <c r="AM114" s="85"/>
      <c r="AN114" s="85"/>
      <c r="AO114" s="85"/>
      <c r="AP114" s="85"/>
      <c r="AQ114" s="85"/>
    </row>
    <row r="115" spans="1:43" ht="21.75" customHeight="1">
      <c r="A115" s="7"/>
      <c r="B115" s="49"/>
      <c r="C115" s="7"/>
      <c r="D115" s="7"/>
      <c r="E115" s="7"/>
      <c r="F115" s="7"/>
      <c r="G115" s="80" t="s">
        <v>127</v>
      </c>
      <c r="H115" s="85"/>
      <c r="I115" s="85"/>
      <c r="J115" s="85"/>
      <c r="K115" s="168">
        <f>100%/4</f>
        <v>0.25</v>
      </c>
      <c r="L115" s="168">
        <f t="shared" ref="L115:N115" si="26">100%/4</f>
        <v>0.25</v>
      </c>
      <c r="M115" s="168">
        <f t="shared" si="26"/>
        <v>0.25</v>
      </c>
      <c r="N115" s="168">
        <f t="shared" si="26"/>
        <v>0.25</v>
      </c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  <c r="AM115" s="85"/>
      <c r="AN115" s="85"/>
      <c r="AO115" s="85"/>
      <c r="AP115" s="85"/>
      <c r="AQ115" s="85"/>
    </row>
    <row r="116" spans="1:43" ht="21.75" customHeight="1">
      <c r="A116" s="7"/>
      <c r="B116" s="49"/>
      <c r="C116" s="7"/>
      <c r="D116" s="7"/>
      <c r="E116" s="7"/>
      <c r="F116" s="7"/>
      <c r="G116" s="82" t="s">
        <v>130</v>
      </c>
      <c r="H116" s="85">
        <f>H87+H100</f>
        <v>0</v>
      </c>
      <c r="I116" s="85">
        <f t="shared" ref="I116:AQ116" si="27">I87+I100</f>
        <v>0</v>
      </c>
      <c r="J116" s="85">
        <f t="shared" si="27"/>
        <v>0</v>
      </c>
      <c r="K116" s="85">
        <f t="shared" si="27"/>
        <v>0</v>
      </c>
      <c r="L116" s="85">
        <f t="shared" si="27"/>
        <v>0</v>
      </c>
      <c r="M116" s="85">
        <f t="shared" si="27"/>
        <v>0</v>
      </c>
      <c r="N116" s="85">
        <f t="shared" si="27"/>
        <v>0</v>
      </c>
      <c r="O116" s="167">
        <f t="shared" si="27"/>
        <v>4.7499999999999994E-2</v>
      </c>
      <c r="P116" s="167">
        <f t="shared" si="27"/>
        <v>8.659090909090908E-2</v>
      </c>
      <c r="Q116" s="167">
        <f t="shared" si="27"/>
        <v>8.659090909090908E-2</v>
      </c>
      <c r="R116" s="167">
        <f t="shared" si="27"/>
        <v>8.659090909090908E-2</v>
      </c>
      <c r="S116" s="167">
        <f t="shared" si="27"/>
        <v>8.659090909090908E-2</v>
      </c>
      <c r="T116" s="167">
        <f t="shared" si="27"/>
        <v>8.659090909090908E-2</v>
      </c>
      <c r="U116" s="167">
        <f t="shared" si="27"/>
        <v>8.659090909090908E-2</v>
      </c>
      <c r="V116" s="167">
        <f t="shared" si="27"/>
        <v>8.659090909090908E-2</v>
      </c>
      <c r="W116" s="167">
        <f t="shared" si="27"/>
        <v>8.659090909090908E-2</v>
      </c>
      <c r="X116" s="167">
        <f t="shared" si="27"/>
        <v>8.659090909090908E-2</v>
      </c>
      <c r="Y116" s="167">
        <f t="shared" si="27"/>
        <v>8.659090909090908E-2</v>
      </c>
      <c r="Z116" s="167">
        <f t="shared" si="27"/>
        <v>8.659090909090908E-2</v>
      </c>
      <c r="AA116" s="85">
        <f t="shared" si="27"/>
        <v>0</v>
      </c>
      <c r="AB116" s="85">
        <f t="shared" si="27"/>
        <v>0</v>
      </c>
      <c r="AC116" s="85">
        <f t="shared" si="27"/>
        <v>0</v>
      </c>
      <c r="AD116" s="85">
        <f t="shared" si="27"/>
        <v>0</v>
      </c>
      <c r="AE116" s="85">
        <f t="shared" si="27"/>
        <v>0</v>
      </c>
      <c r="AF116" s="85">
        <f t="shared" si="27"/>
        <v>0</v>
      </c>
      <c r="AG116" s="85">
        <f t="shared" si="27"/>
        <v>0</v>
      </c>
      <c r="AH116" s="85">
        <f t="shared" si="27"/>
        <v>0</v>
      </c>
      <c r="AI116" s="85">
        <f t="shared" si="27"/>
        <v>0</v>
      </c>
      <c r="AJ116" s="85">
        <f t="shared" si="27"/>
        <v>0</v>
      </c>
      <c r="AK116" s="85">
        <f t="shared" si="27"/>
        <v>0</v>
      </c>
      <c r="AL116" s="85">
        <f t="shared" si="27"/>
        <v>0</v>
      </c>
      <c r="AM116" s="85">
        <f t="shared" si="27"/>
        <v>0</v>
      </c>
      <c r="AN116" s="85">
        <f t="shared" si="27"/>
        <v>0</v>
      </c>
      <c r="AO116" s="85">
        <f t="shared" si="27"/>
        <v>0</v>
      </c>
      <c r="AP116" s="85">
        <f t="shared" si="27"/>
        <v>0</v>
      </c>
      <c r="AQ116" s="85">
        <f t="shared" si="27"/>
        <v>0</v>
      </c>
    </row>
    <row r="117" spans="1:43" ht="21.75" customHeight="1">
      <c r="A117" s="7"/>
      <c r="B117" s="49"/>
      <c r="C117" s="7"/>
      <c r="D117" s="7"/>
      <c r="E117" s="7"/>
      <c r="F117" s="7"/>
      <c r="G117" s="80" t="s">
        <v>194</v>
      </c>
      <c r="H117" s="85">
        <f t="shared" ref="H117:AQ117" si="28">H88+H101</f>
        <v>0</v>
      </c>
      <c r="I117" s="85">
        <f t="shared" si="28"/>
        <v>0</v>
      </c>
      <c r="J117" s="85">
        <f t="shared" si="28"/>
        <v>0</v>
      </c>
      <c r="K117" s="85">
        <f t="shared" si="28"/>
        <v>0</v>
      </c>
      <c r="L117" s="85">
        <f t="shared" si="28"/>
        <v>0</v>
      </c>
      <c r="M117" s="85">
        <f t="shared" si="28"/>
        <v>0</v>
      </c>
      <c r="N117" s="85">
        <f t="shared" si="28"/>
        <v>0</v>
      </c>
      <c r="O117" s="85">
        <f t="shared" si="28"/>
        <v>0</v>
      </c>
      <c r="P117" s="85">
        <f t="shared" si="28"/>
        <v>0</v>
      </c>
      <c r="Q117" s="85">
        <f t="shared" si="28"/>
        <v>0</v>
      </c>
      <c r="R117" s="167">
        <f t="shared" si="28"/>
        <v>3.3529411764705877E-2</v>
      </c>
      <c r="S117" s="167">
        <f t="shared" si="28"/>
        <v>6.0404411764705873E-2</v>
      </c>
      <c r="T117" s="167">
        <f t="shared" si="28"/>
        <v>6.0404411764705873E-2</v>
      </c>
      <c r="U117" s="167">
        <f t="shared" si="28"/>
        <v>6.0404411764705873E-2</v>
      </c>
      <c r="V117" s="167">
        <f t="shared" si="28"/>
        <v>6.0404411764705873E-2</v>
      </c>
      <c r="W117" s="167">
        <f t="shared" si="28"/>
        <v>6.0404411764705873E-2</v>
      </c>
      <c r="X117" s="167">
        <f t="shared" si="28"/>
        <v>6.0404411764705873E-2</v>
      </c>
      <c r="Y117" s="167">
        <f t="shared" si="28"/>
        <v>6.0404411764705873E-2</v>
      </c>
      <c r="Z117" s="167">
        <f t="shared" si="28"/>
        <v>6.0404411764705873E-2</v>
      </c>
      <c r="AA117" s="167">
        <f t="shared" si="28"/>
        <v>6.0404411764705873E-2</v>
      </c>
      <c r="AB117" s="167">
        <f t="shared" si="28"/>
        <v>6.0404411764705873E-2</v>
      </c>
      <c r="AC117" s="167">
        <f t="shared" si="28"/>
        <v>6.0404411764705873E-2</v>
      </c>
      <c r="AD117" s="167">
        <f t="shared" si="28"/>
        <v>6.0404411764705873E-2</v>
      </c>
      <c r="AE117" s="167">
        <f t="shared" si="28"/>
        <v>6.0404411764705873E-2</v>
      </c>
      <c r="AF117" s="167">
        <f t="shared" si="28"/>
        <v>6.0404411764705873E-2</v>
      </c>
      <c r="AG117" s="167">
        <f t="shared" si="28"/>
        <v>6.0404411764705873E-2</v>
      </c>
      <c r="AH117" s="167">
        <f t="shared" si="28"/>
        <v>6.0404411764705873E-2</v>
      </c>
      <c r="AI117" s="85">
        <f t="shared" si="28"/>
        <v>0</v>
      </c>
      <c r="AJ117" s="85">
        <f t="shared" si="28"/>
        <v>0</v>
      </c>
      <c r="AK117" s="85">
        <f t="shared" si="28"/>
        <v>0</v>
      </c>
      <c r="AL117" s="85">
        <f t="shared" si="28"/>
        <v>0</v>
      </c>
      <c r="AM117" s="85">
        <f t="shared" si="28"/>
        <v>0</v>
      </c>
      <c r="AN117" s="85">
        <f t="shared" si="28"/>
        <v>0</v>
      </c>
      <c r="AO117" s="85">
        <f t="shared" si="28"/>
        <v>0</v>
      </c>
      <c r="AP117" s="85">
        <f t="shared" si="28"/>
        <v>0</v>
      </c>
      <c r="AQ117" s="85">
        <f t="shared" si="28"/>
        <v>0</v>
      </c>
    </row>
    <row r="118" spans="1:43" ht="21.75" customHeight="1">
      <c r="A118" s="7"/>
      <c r="B118" s="49"/>
      <c r="C118" s="7"/>
      <c r="D118" s="7"/>
      <c r="E118" s="7"/>
      <c r="F118" s="7"/>
      <c r="G118" s="80" t="s">
        <v>135</v>
      </c>
      <c r="H118" s="85">
        <f t="shared" ref="H118:AQ118" si="29">H89+H102</f>
        <v>0</v>
      </c>
      <c r="I118" s="85">
        <f t="shared" si="29"/>
        <v>0</v>
      </c>
      <c r="J118" s="85">
        <f t="shared" si="29"/>
        <v>0</v>
      </c>
      <c r="K118" s="85">
        <f t="shared" si="29"/>
        <v>0</v>
      </c>
      <c r="L118" s="85">
        <f t="shared" si="29"/>
        <v>0</v>
      </c>
      <c r="M118" s="85">
        <f t="shared" si="29"/>
        <v>0</v>
      </c>
      <c r="N118" s="85">
        <f t="shared" si="29"/>
        <v>0</v>
      </c>
      <c r="O118" s="85">
        <f t="shared" si="29"/>
        <v>0</v>
      </c>
      <c r="P118" s="85">
        <f t="shared" si="29"/>
        <v>0</v>
      </c>
      <c r="Q118" s="85">
        <f t="shared" si="29"/>
        <v>0</v>
      </c>
      <c r="R118" s="85">
        <f t="shared" si="29"/>
        <v>0</v>
      </c>
      <c r="S118" s="85">
        <f t="shared" si="29"/>
        <v>0</v>
      </c>
      <c r="T118" s="167">
        <f t="shared" si="29"/>
        <v>7.1428571428571425E-2</v>
      </c>
      <c r="U118" s="167">
        <f t="shared" si="29"/>
        <v>7.1428571428571425E-2</v>
      </c>
      <c r="V118" s="167">
        <f t="shared" si="29"/>
        <v>7.1428571428571425E-2</v>
      </c>
      <c r="W118" s="167">
        <f t="shared" si="29"/>
        <v>7.1428571428571425E-2</v>
      </c>
      <c r="X118" s="167">
        <f t="shared" si="29"/>
        <v>7.1428571428571425E-2</v>
      </c>
      <c r="Y118" s="167">
        <f t="shared" si="29"/>
        <v>7.1428571428571425E-2</v>
      </c>
      <c r="Z118" s="167">
        <f t="shared" si="29"/>
        <v>7.1428571428571425E-2</v>
      </c>
      <c r="AA118" s="167">
        <f t="shared" si="29"/>
        <v>7.1428571428571425E-2</v>
      </c>
      <c r="AB118" s="167">
        <f t="shared" si="29"/>
        <v>7.1428571428571425E-2</v>
      </c>
      <c r="AC118" s="167">
        <f t="shared" si="29"/>
        <v>7.1428571428571425E-2</v>
      </c>
      <c r="AD118" s="167">
        <f t="shared" si="29"/>
        <v>7.1428571428571425E-2</v>
      </c>
      <c r="AE118" s="167">
        <f t="shared" si="29"/>
        <v>7.1428571428571425E-2</v>
      </c>
      <c r="AF118" s="167">
        <f t="shared" si="29"/>
        <v>7.1428571428571425E-2</v>
      </c>
      <c r="AG118" s="167">
        <f t="shared" si="29"/>
        <v>7.1428571428571425E-2</v>
      </c>
      <c r="AH118" s="85">
        <f t="shared" si="29"/>
        <v>0</v>
      </c>
      <c r="AI118" s="85">
        <f t="shared" si="29"/>
        <v>0</v>
      </c>
      <c r="AJ118" s="85">
        <f t="shared" si="29"/>
        <v>0</v>
      </c>
      <c r="AK118" s="85">
        <f t="shared" si="29"/>
        <v>0</v>
      </c>
      <c r="AL118" s="85">
        <f t="shared" si="29"/>
        <v>0</v>
      </c>
      <c r="AM118" s="85">
        <f t="shared" si="29"/>
        <v>0</v>
      </c>
      <c r="AN118" s="85">
        <f t="shared" si="29"/>
        <v>0</v>
      </c>
      <c r="AO118" s="85">
        <f t="shared" si="29"/>
        <v>0</v>
      </c>
      <c r="AP118" s="85">
        <f t="shared" si="29"/>
        <v>0</v>
      </c>
      <c r="AQ118" s="85">
        <f t="shared" si="29"/>
        <v>0</v>
      </c>
    </row>
    <row r="119" spans="1:43" ht="21.75" customHeight="1">
      <c r="A119" s="7"/>
      <c r="B119" s="49"/>
      <c r="C119" s="7"/>
      <c r="D119" s="7"/>
      <c r="E119" s="7"/>
      <c r="F119" s="7"/>
      <c r="G119" s="82" t="s">
        <v>137</v>
      </c>
      <c r="H119" s="85">
        <f t="shared" ref="H119:AQ119" si="30">H90+H103</f>
        <v>0</v>
      </c>
      <c r="I119" s="85">
        <f t="shared" si="30"/>
        <v>0</v>
      </c>
      <c r="J119" s="85">
        <f t="shared" si="30"/>
        <v>0</v>
      </c>
      <c r="K119" s="85">
        <f t="shared" si="30"/>
        <v>0</v>
      </c>
      <c r="L119" s="85">
        <f t="shared" si="30"/>
        <v>0</v>
      </c>
      <c r="M119" s="85">
        <f t="shared" si="30"/>
        <v>0</v>
      </c>
      <c r="N119" s="85">
        <f t="shared" si="30"/>
        <v>0</v>
      </c>
      <c r="O119" s="85">
        <f t="shared" si="30"/>
        <v>0</v>
      </c>
      <c r="P119" s="85">
        <f t="shared" si="30"/>
        <v>0</v>
      </c>
      <c r="Q119" s="85">
        <f t="shared" si="30"/>
        <v>0</v>
      </c>
      <c r="R119" s="85">
        <f t="shared" si="30"/>
        <v>0</v>
      </c>
      <c r="S119" s="85">
        <f t="shared" si="30"/>
        <v>0</v>
      </c>
      <c r="T119" s="85">
        <f t="shared" si="30"/>
        <v>0</v>
      </c>
      <c r="U119" s="85">
        <f t="shared" si="30"/>
        <v>0</v>
      </c>
      <c r="V119" s="85">
        <f t="shared" si="30"/>
        <v>0</v>
      </c>
      <c r="W119" s="85">
        <f t="shared" si="30"/>
        <v>0</v>
      </c>
      <c r="X119" s="85">
        <f t="shared" si="30"/>
        <v>0</v>
      </c>
      <c r="Y119" s="85">
        <f t="shared" si="30"/>
        <v>0</v>
      </c>
      <c r="Z119" s="85">
        <f t="shared" si="30"/>
        <v>0</v>
      </c>
      <c r="AA119" s="85">
        <f t="shared" si="30"/>
        <v>0</v>
      </c>
      <c r="AB119" s="85">
        <f t="shared" si="30"/>
        <v>0</v>
      </c>
      <c r="AC119" s="85">
        <f t="shared" si="30"/>
        <v>0</v>
      </c>
      <c r="AD119" s="167">
        <f t="shared" si="30"/>
        <v>7.1428571428571425E-2</v>
      </c>
      <c r="AE119" s="167">
        <f t="shared" si="30"/>
        <v>7.1428571428571425E-2</v>
      </c>
      <c r="AF119" s="167">
        <f t="shared" si="30"/>
        <v>7.1428571428571425E-2</v>
      </c>
      <c r="AG119" s="167">
        <f t="shared" si="30"/>
        <v>7.1428571428571425E-2</v>
      </c>
      <c r="AH119" s="167">
        <f t="shared" si="30"/>
        <v>7.1428571428571425E-2</v>
      </c>
      <c r="AI119" s="167">
        <f t="shared" si="30"/>
        <v>7.1428571428571425E-2</v>
      </c>
      <c r="AJ119" s="167">
        <f t="shared" si="30"/>
        <v>7.1428571428571425E-2</v>
      </c>
      <c r="AK119" s="167">
        <f t="shared" si="30"/>
        <v>7.1428571428571425E-2</v>
      </c>
      <c r="AL119" s="167">
        <f t="shared" si="30"/>
        <v>7.1428571428571425E-2</v>
      </c>
      <c r="AM119" s="167">
        <f t="shared" si="30"/>
        <v>7.1428571428571425E-2</v>
      </c>
      <c r="AN119" s="167">
        <f t="shared" si="30"/>
        <v>7.1428571428571425E-2</v>
      </c>
      <c r="AO119" s="167">
        <f t="shared" si="30"/>
        <v>7.1428571428571425E-2</v>
      </c>
      <c r="AP119" s="167">
        <f t="shared" si="30"/>
        <v>7.1428571428571425E-2</v>
      </c>
      <c r="AQ119" s="167">
        <f t="shared" si="30"/>
        <v>7.1428571428571425E-2</v>
      </c>
    </row>
    <row r="120" spans="1:43" ht="21.75" customHeight="1">
      <c r="A120" s="7"/>
      <c r="B120" s="49"/>
      <c r="C120" s="7"/>
      <c r="D120" s="7"/>
      <c r="E120" s="7"/>
      <c r="F120" s="7"/>
      <c r="G120" s="80" t="s">
        <v>139</v>
      </c>
      <c r="H120" s="85">
        <f t="shared" ref="H120:AQ120" si="31">H91+H104</f>
        <v>0</v>
      </c>
      <c r="I120" s="85">
        <f t="shared" si="31"/>
        <v>0</v>
      </c>
      <c r="J120" s="85">
        <f t="shared" si="31"/>
        <v>0</v>
      </c>
      <c r="K120" s="85">
        <f t="shared" si="31"/>
        <v>0</v>
      </c>
      <c r="L120" s="85">
        <f t="shared" si="31"/>
        <v>0</v>
      </c>
      <c r="M120" s="85">
        <f t="shared" si="31"/>
        <v>0</v>
      </c>
      <c r="N120" s="85">
        <f t="shared" si="31"/>
        <v>0</v>
      </c>
      <c r="O120" s="85">
        <f t="shared" si="31"/>
        <v>0</v>
      </c>
      <c r="P120" s="85">
        <f t="shared" si="31"/>
        <v>0</v>
      </c>
      <c r="Q120" s="85">
        <f t="shared" si="31"/>
        <v>0</v>
      </c>
      <c r="R120" s="85">
        <f t="shared" si="31"/>
        <v>0</v>
      </c>
      <c r="S120" s="85">
        <f t="shared" si="31"/>
        <v>0</v>
      </c>
      <c r="T120" s="85">
        <f t="shared" si="31"/>
        <v>0</v>
      </c>
      <c r="U120" s="85">
        <f t="shared" si="31"/>
        <v>0</v>
      </c>
      <c r="V120" s="85">
        <f t="shared" si="31"/>
        <v>0</v>
      </c>
      <c r="W120" s="167">
        <f t="shared" si="31"/>
        <v>7.6923076923076913E-2</v>
      </c>
      <c r="X120" s="167">
        <f t="shared" si="31"/>
        <v>7.6923076923076913E-2</v>
      </c>
      <c r="Y120" s="167">
        <f t="shared" si="31"/>
        <v>7.6923076923076913E-2</v>
      </c>
      <c r="Z120" s="167">
        <f t="shared" si="31"/>
        <v>7.6923076923076913E-2</v>
      </c>
      <c r="AA120" s="167">
        <f t="shared" si="31"/>
        <v>7.6923076923076913E-2</v>
      </c>
      <c r="AB120" s="167">
        <f t="shared" si="31"/>
        <v>7.6923076923076913E-2</v>
      </c>
      <c r="AC120" s="167">
        <f t="shared" si="31"/>
        <v>7.6923076923076913E-2</v>
      </c>
      <c r="AD120" s="167">
        <f t="shared" si="31"/>
        <v>7.6923076923076913E-2</v>
      </c>
      <c r="AE120" s="167">
        <f t="shared" si="31"/>
        <v>7.6923076923076913E-2</v>
      </c>
      <c r="AF120" s="167">
        <f t="shared" si="31"/>
        <v>7.6923076923076913E-2</v>
      </c>
      <c r="AG120" s="167">
        <f t="shared" si="31"/>
        <v>7.6923076923076913E-2</v>
      </c>
      <c r="AH120" s="167">
        <f t="shared" si="31"/>
        <v>7.6923076923076913E-2</v>
      </c>
      <c r="AI120" s="167">
        <f t="shared" si="31"/>
        <v>7.6923076923076913E-2</v>
      </c>
      <c r="AJ120" s="85">
        <f t="shared" si="31"/>
        <v>0</v>
      </c>
      <c r="AK120" s="85">
        <f t="shared" si="31"/>
        <v>0</v>
      </c>
      <c r="AL120" s="85">
        <f t="shared" si="31"/>
        <v>0</v>
      </c>
      <c r="AM120" s="85">
        <f t="shared" si="31"/>
        <v>0</v>
      </c>
      <c r="AN120" s="85">
        <f t="shared" si="31"/>
        <v>0</v>
      </c>
      <c r="AO120" s="85">
        <f t="shared" si="31"/>
        <v>0</v>
      </c>
      <c r="AP120" s="85">
        <f t="shared" si="31"/>
        <v>0</v>
      </c>
      <c r="AQ120" s="85">
        <f t="shared" si="31"/>
        <v>0</v>
      </c>
    </row>
    <row r="121" spans="1:43" ht="21.75" customHeight="1">
      <c r="A121" s="7"/>
      <c r="B121" s="49"/>
      <c r="C121" s="7"/>
      <c r="D121" s="7"/>
      <c r="E121" s="7"/>
      <c r="F121" s="7"/>
      <c r="G121" s="82" t="s">
        <v>140</v>
      </c>
      <c r="H121" s="85">
        <f t="shared" ref="H121:AQ121" si="32">H92+H105</f>
        <v>0</v>
      </c>
      <c r="I121" s="85">
        <f t="shared" si="32"/>
        <v>0</v>
      </c>
      <c r="J121" s="85">
        <f t="shared" si="32"/>
        <v>0</v>
      </c>
      <c r="K121" s="85">
        <f t="shared" si="32"/>
        <v>0</v>
      </c>
      <c r="L121" s="85">
        <f t="shared" si="32"/>
        <v>0</v>
      </c>
      <c r="M121" s="85">
        <f t="shared" si="32"/>
        <v>0</v>
      </c>
      <c r="N121" s="85">
        <f t="shared" si="32"/>
        <v>0</v>
      </c>
      <c r="O121" s="85">
        <f t="shared" si="32"/>
        <v>0</v>
      </c>
      <c r="P121" s="85">
        <f t="shared" si="32"/>
        <v>0</v>
      </c>
      <c r="Q121" s="85">
        <f t="shared" si="32"/>
        <v>0</v>
      </c>
      <c r="R121" s="85">
        <f t="shared" si="32"/>
        <v>0</v>
      </c>
      <c r="S121" s="85">
        <f t="shared" si="32"/>
        <v>0</v>
      </c>
      <c r="T121" s="85">
        <f t="shared" si="32"/>
        <v>0</v>
      </c>
      <c r="U121" s="167">
        <f t="shared" si="32"/>
        <v>4.384615384615384E-2</v>
      </c>
      <c r="V121" s="167">
        <f t="shared" si="32"/>
        <v>7.9679487179487168E-2</v>
      </c>
      <c r="W121" s="167">
        <f t="shared" si="32"/>
        <v>7.9679487179487168E-2</v>
      </c>
      <c r="X121" s="167">
        <f t="shared" si="32"/>
        <v>7.9679487179487168E-2</v>
      </c>
      <c r="Y121" s="167">
        <f t="shared" si="32"/>
        <v>7.9679487179487168E-2</v>
      </c>
      <c r="Z121" s="167">
        <f t="shared" si="32"/>
        <v>7.9679487179487168E-2</v>
      </c>
      <c r="AA121" s="167">
        <f t="shared" si="32"/>
        <v>7.9679487179487168E-2</v>
      </c>
      <c r="AB121" s="167">
        <f t="shared" si="32"/>
        <v>7.9679487179487168E-2</v>
      </c>
      <c r="AC121" s="167">
        <f t="shared" si="32"/>
        <v>7.9679487179487168E-2</v>
      </c>
      <c r="AD121" s="167">
        <f t="shared" si="32"/>
        <v>7.9679487179487168E-2</v>
      </c>
      <c r="AE121" s="167">
        <f t="shared" si="32"/>
        <v>7.9679487179487168E-2</v>
      </c>
      <c r="AF121" s="167">
        <f t="shared" si="32"/>
        <v>7.9679487179487168E-2</v>
      </c>
      <c r="AG121" s="167">
        <f t="shared" si="32"/>
        <v>7.9679487179487168E-2</v>
      </c>
      <c r="AH121" s="85">
        <f t="shared" si="32"/>
        <v>0</v>
      </c>
      <c r="AI121" s="85">
        <f t="shared" si="32"/>
        <v>0</v>
      </c>
      <c r="AJ121" s="85">
        <f t="shared" si="32"/>
        <v>0</v>
      </c>
      <c r="AK121" s="85">
        <f t="shared" si="32"/>
        <v>0</v>
      </c>
      <c r="AL121" s="85">
        <f t="shared" si="32"/>
        <v>0</v>
      </c>
      <c r="AM121" s="85">
        <f t="shared" si="32"/>
        <v>0</v>
      </c>
      <c r="AN121" s="85">
        <f t="shared" si="32"/>
        <v>0</v>
      </c>
      <c r="AO121" s="85">
        <f t="shared" si="32"/>
        <v>0</v>
      </c>
      <c r="AP121" s="85">
        <f t="shared" si="32"/>
        <v>0</v>
      </c>
      <c r="AQ121" s="85">
        <f t="shared" si="32"/>
        <v>0</v>
      </c>
    </row>
    <row r="122" spans="1:43" ht="21.75" customHeight="1">
      <c r="A122" s="7"/>
      <c r="B122" s="49"/>
      <c r="C122" s="7"/>
      <c r="D122" s="7"/>
      <c r="E122" s="7"/>
      <c r="F122" s="7"/>
      <c r="G122" s="80" t="s">
        <v>143</v>
      </c>
      <c r="H122" s="85">
        <f t="shared" ref="H122:AQ122" si="33">H93+H106</f>
        <v>0</v>
      </c>
      <c r="I122" s="85">
        <f t="shared" si="33"/>
        <v>0</v>
      </c>
      <c r="J122" s="85">
        <f t="shared" si="33"/>
        <v>0</v>
      </c>
      <c r="K122" s="85">
        <f t="shared" si="33"/>
        <v>0</v>
      </c>
      <c r="L122" s="85">
        <f t="shared" si="33"/>
        <v>0</v>
      </c>
      <c r="M122" s="85">
        <f t="shared" si="33"/>
        <v>0</v>
      </c>
      <c r="N122" s="85">
        <f t="shared" si="33"/>
        <v>0</v>
      </c>
      <c r="O122" s="85">
        <f t="shared" si="33"/>
        <v>0</v>
      </c>
      <c r="P122" s="85">
        <f t="shared" si="33"/>
        <v>0</v>
      </c>
      <c r="Q122" s="85">
        <f t="shared" si="33"/>
        <v>0</v>
      </c>
      <c r="R122" s="85">
        <f t="shared" si="33"/>
        <v>0</v>
      </c>
      <c r="S122" s="85">
        <f t="shared" si="33"/>
        <v>0</v>
      </c>
      <c r="T122" s="85">
        <f t="shared" si="33"/>
        <v>0</v>
      </c>
      <c r="U122" s="85">
        <f t="shared" si="33"/>
        <v>0</v>
      </c>
      <c r="V122" s="85">
        <f t="shared" si="33"/>
        <v>0</v>
      </c>
      <c r="W122" s="85">
        <f t="shared" si="33"/>
        <v>0</v>
      </c>
      <c r="X122" s="167">
        <f t="shared" si="33"/>
        <v>4.071428571428571E-2</v>
      </c>
      <c r="Y122" s="167">
        <f t="shared" si="33"/>
        <v>7.379120879120879E-2</v>
      </c>
      <c r="Z122" s="167">
        <f t="shared" si="33"/>
        <v>7.379120879120879E-2</v>
      </c>
      <c r="AA122" s="167">
        <f t="shared" si="33"/>
        <v>7.379120879120879E-2</v>
      </c>
      <c r="AB122" s="167">
        <f t="shared" si="33"/>
        <v>7.379120879120879E-2</v>
      </c>
      <c r="AC122" s="167">
        <f t="shared" si="33"/>
        <v>7.379120879120879E-2</v>
      </c>
      <c r="AD122" s="167">
        <f t="shared" si="33"/>
        <v>7.379120879120879E-2</v>
      </c>
      <c r="AE122" s="167">
        <f t="shared" si="33"/>
        <v>7.379120879120879E-2</v>
      </c>
      <c r="AF122" s="167">
        <f t="shared" si="33"/>
        <v>7.379120879120879E-2</v>
      </c>
      <c r="AG122" s="167">
        <f t="shared" si="33"/>
        <v>7.379120879120879E-2</v>
      </c>
      <c r="AH122" s="167">
        <f t="shared" si="33"/>
        <v>7.379120879120879E-2</v>
      </c>
      <c r="AI122" s="167">
        <f t="shared" si="33"/>
        <v>7.379120879120879E-2</v>
      </c>
      <c r="AJ122" s="167">
        <f t="shared" si="33"/>
        <v>7.379120879120879E-2</v>
      </c>
      <c r="AK122" s="167">
        <f t="shared" si="33"/>
        <v>7.379120879120879E-2</v>
      </c>
      <c r="AL122" s="85">
        <f t="shared" si="33"/>
        <v>0</v>
      </c>
      <c r="AM122" s="85">
        <f t="shared" si="33"/>
        <v>0</v>
      </c>
      <c r="AN122" s="85">
        <f t="shared" si="33"/>
        <v>0</v>
      </c>
      <c r="AO122" s="85">
        <f t="shared" si="33"/>
        <v>0</v>
      </c>
      <c r="AP122" s="85">
        <f t="shared" si="33"/>
        <v>0</v>
      </c>
      <c r="AQ122" s="85">
        <f t="shared" si="33"/>
        <v>0</v>
      </c>
    </row>
    <row r="123" spans="1:43" ht="21.75" customHeight="1">
      <c r="A123" s="7"/>
      <c r="B123" s="49"/>
      <c r="C123" s="7"/>
      <c r="D123" s="7"/>
      <c r="E123" s="7"/>
      <c r="F123" s="7"/>
      <c r="G123" s="80" t="s">
        <v>147</v>
      </c>
      <c r="H123" s="85">
        <f t="shared" ref="H123:AQ123" si="34">H94+H107</f>
        <v>0</v>
      </c>
      <c r="I123" s="85">
        <f t="shared" si="34"/>
        <v>0</v>
      </c>
      <c r="J123" s="85">
        <f t="shared" si="34"/>
        <v>0</v>
      </c>
      <c r="K123" s="85">
        <f t="shared" si="34"/>
        <v>0</v>
      </c>
      <c r="L123" s="85">
        <f t="shared" si="34"/>
        <v>0</v>
      </c>
      <c r="M123" s="85">
        <f t="shared" si="34"/>
        <v>0</v>
      </c>
      <c r="N123" s="85">
        <f t="shared" si="34"/>
        <v>0</v>
      </c>
      <c r="O123" s="85">
        <f t="shared" si="34"/>
        <v>0</v>
      </c>
      <c r="P123" s="85">
        <f t="shared" si="34"/>
        <v>0</v>
      </c>
      <c r="Q123" s="85">
        <f t="shared" si="34"/>
        <v>0</v>
      </c>
      <c r="R123" s="85">
        <f t="shared" si="34"/>
        <v>0</v>
      </c>
      <c r="S123" s="85">
        <f t="shared" si="34"/>
        <v>0</v>
      </c>
      <c r="T123" s="85">
        <f t="shared" si="34"/>
        <v>0</v>
      </c>
      <c r="U123" s="85">
        <f t="shared" si="34"/>
        <v>0</v>
      </c>
      <c r="V123" s="85">
        <f t="shared" si="34"/>
        <v>0</v>
      </c>
      <c r="W123" s="167">
        <f t="shared" si="34"/>
        <v>4.071428571428571E-2</v>
      </c>
      <c r="X123" s="167">
        <f t="shared" si="34"/>
        <v>7.379120879120879E-2</v>
      </c>
      <c r="Y123" s="167">
        <f t="shared" si="34"/>
        <v>7.379120879120879E-2</v>
      </c>
      <c r="Z123" s="167">
        <f t="shared" si="34"/>
        <v>7.379120879120879E-2</v>
      </c>
      <c r="AA123" s="167">
        <f t="shared" si="34"/>
        <v>7.379120879120879E-2</v>
      </c>
      <c r="AB123" s="167">
        <f t="shared" si="34"/>
        <v>7.379120879120879E-2</v>
      </c>
      <c r="AC123" s="167">
        <f t="shared" si="34"/>
        <v>7.379120879120879E-2</v>
      </c>
      <c r="AD123" s="167">
        <f t="shared" si="34"/>
        <v>7.379120879120879E-2</v>
      </c>
      <c r="AE123" s="167">
        <f t="shared" si="34"/>
        <v>7.379120879120879E-2</v>
      </c>
      <c r="AF123" s="167">
        <f t="shared" si="34"/>
        <v>7.379120879120879E-2</v>
      </c>
      <c r="AG123" s="167">
        <f t="shared" si="34"/>
        <v>7.379120879120879E-2</v>
      </c>
      <c r="AH123" s="167">
        <f t="shared" si="34"/>
        <v>7.379120879120879E-2</v>
      </c>
      <c r="AI123" s="167">
        <f t="shared" si="34"/>
        <v>7.379120879120879E-2</v>
      </c>
      <c r="AJ123" s="167">
        <f t="shared" si="34"/>
        <v>7.379120879120879E-2</v>
      </c>
      <c r="AK123" s="85">
        <f t="shared" si="34"/>
        <v>0</v>
      </c>
      <c r="AL123" s="85">
        <f t="shared" si="34"/>
        <v>0</v>
      </c>
      <c r="AM123" s="85">
        <f t="shared" si="34"/>
        <v>0</v>
      </c>
      <c r="AN123" s="85">
        <f t="shared" si="34"/>
        <v>0</v>
      </c>
      <c r="AO123" s="85">
        <f t="shared" si="34"/>
        <v>0</v>
      </c>
      <c r="AP123" s="85">
        <f t="shared" si="34"/>
        <v>0</v>
      </c>
      <c r="AQ123" s="85">
        <f t="shared" si="34"/>
        <v>0</v>
      </c>
    </row>
    <row r="124" spans="1:43" ht="21.75" customHeight="1">
      <c r="A124" s="7"/>
      <c r="B124" s="49"/>
      <c r="C124" s="7"/>
      <c r="D124" s="7"/>
      <c r="E124" s="7"/>
      <c r="F124" s="7"/>
      <c r="G124" s="82" t="s">
        <v>148</v>
      </c>
      <c r="H124" s="85">
        <f t="shared" ref="H124:AQ124" si="35">H95+H108</f>
        <v>0</v>
      </c>
      <c r="I124" s="85">
        <f t="shared" si="35"/>
        <v>0</v>
      </c>
      <c r="J124" s="85">
        <f t="shared" si="35"/>
        <v>0</v>
      </c>
      <c r="K124" s="85">
        <f t="shared" si="35"/>
        <v>0</v>
      </c>
      <c r="L124" s="85">
        <f t="shared" si="35"/>
        <v>0</v>
      </c>
      <c r="M124" s="85">
        <f t="shared" si="35"/>
        <v>0</v>
      </c>
      <c r="N124" s="85">
        <f t="shared" si="35"/>
        <v>0</v>
      </c>
      <c r="O124" s="85">
        <f t="shared" si="35"/>
        <v>0</v>
      </c>
      <c r="P124" s="85">
        <f t="shared" si="35"/>
        <v>0</v>
      </c>
      <c r="Q124" s="85">
        <f t="shared" si="35"/>
        <v>0</v>
      </c>
      <c r="R124" s="85">
        <f t="shared" si="35"/>
        <v>0</v>
      </c>
      <c r="S124" s="85">
        <f t="shared" si="35"/>
        <v>0</v>
      </c>
      <c r="T124" s="85">
        <f t="shared" si="35"/>
        <v>0</v>
      </c>
      <c r="U124" s="85">
        <f t="shared" si="35"/>
        <v>0</v>
      </c>
      <c r="V124" s="85">
        <f t="shared" si="35"/>
        <v>0</v>
      </c>
      <c r="W124" s="85">
        <f t="shared" si="35"/>
        <v>0</v>
      </c>
      <c r="X124" s="85">
        <f t="shared" si="35"/>
        <v>0</v>
      </c>
      <c r="Y124" s="167">
        <f t="shared" si="35"/>
        <v>3.1666666666666662E-2</v>
      </c>
      <c r="Z124" s="167">
        <f t="shared" si="35"/>
        <v>5.696078431372549E-2</v>
      </c>
      <c r="AA124" s="167">
        <f t="shared" si="35"/>
        <v>5.696078431372549E-2</v>
      </c>
      <c r="AB124" s="167">
        <f t="shared" si="35"/>
        <v>5.696078431372549E-2</v>
      </c>
      <c r="AC124" s="167">
        <f t="shared" si="35"/>
        <v>5.696078431372549E-2</v>
      </c>
      <c r="AD124" s="167">
        <f t="shared" si="35"/>
        <v>5.696078431372549E-2</v>
      </c>
      <c r="AE124" s="167">
        <f t="shared" si="35"/>
        <v>5.696078431372549E-2</v>
      </c>
      <c r="AF124" s="167">
        <f t="shared" si="35"/>
        <v>5.696078431372549E-2</v>
      </c>
      <c r="AG124" s="167">
        <f t="shared" si="35"/>
        <v>5.696078431372549E-2</v>
      </c>
      <c r="AH124" s="167">
        <f t="shared" si="35"/>
        <v>5.696078431372549E-2</v>
      </c>
      <c r="AI124" s="167">
        <f t="shared" si="35"/>
        <v>5.696078431372549E-2</v>
      </c>
      <c r="AJ124" s="167">
        <f t="shared" si="35"/>
        <v>5.696078431372549E-2</v>
      </c>
      <c r="AK124" s="167">
        <f t="shared" si="35"/>
        <v>5.696078431372549E-2</v>
      </c>
      <c r="AL124" s="167">
        <f t="shared" si="35"/>
        <v>5.696078431372549E-2</v>
      </c>
      <c r="AM124" s="167">
        <f t="shared" si="35"/>
        <v>5.696078431372549E-2</v>
      </c>
      <c r="AN124" s="167">
        <f t="shared" si="35"/>
        <v>5.696078431372549E-2</v>
      </c>
      <c r="AO124" s="167">
        <f t="shared" si="35"/>
        <v>5.696078431372549E-2</v>
      </c>
      <c r="AP124" s="167">
        <f t="shared" si="35"/>
        <v>5.696078431372549E-2</v>
      </c>
      <c r="AQ124" s="85">
        <f t="shared" si="35"/>
        <v>0</v>
      </c>
    </row>
    <row r="125" spans="1:43" ht="21.75" customHeight="1">
      <c r="A125" s="7"/>
      <c r="B125" s="49"/>
      <c r="C125" s="7"/>
      <c r="D125" s="7"/>
      <c r="E125" s="7"/>
      <c r="F125" s="7"/>
      <c r="G125" s="80" t="s">
        <v>150</v>
      </c>
      <c r="H125" s="85">
        <f t="shared" ref="H125:AQ125" si="36">H96+H109</f>
        <v>0</v>
      </c>
      <c r="I125" s="85">
        <f t="shared" si="36"/>
        <v>0</v>
      </c>
      <c r="J125" s="85">
        <f t="shared" si="36"/>
        <v>0</v>
      </c>
      <c r="K125" s="85">
        <f t="shared" si="36"/>
        <v>0</v>
      </c>
      <c r="L125" s="85">
        <f t="shared" si="36"/>
        <v>0</v>
      </c>
      <c r="M125" s="85">
        <f t="shared" si="36"/>
        <v>0</v>
      </c>
      <c r="N125" s="85">
        <f t="shared" si="36"/>
        <v>0</v>
      </c>
      <c r="O125" s="85">
        <f t="shared" si="36"/>
        <v>0</v>
      </c>
      <c r="P125" s="85">
        <f t="shared" si="36"/>
        <v>0</v>
      </c>
      <c r="Q125" s="85">
        <f t="shared" si="36"/>
        <v>0</v>
      </c>
      <c r="R125" s="85">
        <f t="shared" si="36"/>
        <v>0</v>
      </c>
      <c r="S125" s="85">
        <f t="shared" si="36"/>
        <v>0</v>
      </c>
      <c r="T125" s="85">
        <f t="shared" si="36"/>
        <v>0</v>
      </c>
      <c r="U125" s="85">
        <f t="shared" si="36"/>
        <v>0</v>
      </c>
      <c r="V125" s="85">
        <f t="shared" si="36"/>
        <v>0</v>
      </c>
      <c r="W125" s="85">
        <f t="shared" si="36"/>
        <v>0</v>
      </c>
      <c r="X125" s="85">
        <f t="shared" si="36"/>
        <v>0</v>
      </c>
      <c r="Y125" s="85">
        <f t="shared" si="36"/>
        <v>0</v>
      </c>
      <c r="Z125" s="85">
        <f t="shared" si="36"/>
        <v>0</v>
      </c>
      <c r="AA125" s="85">
        <f t="shared" si="36"/>
        <v>0</v>
      </c>
      <c r="AB125" s="85">
        <f t="shared" si="36"/>
        <v>0</v>
      </c>
      <c r="AC125" s="85">
        <f t="shared" si="36"/>
        <v>0</v>
      </c>
      <c r="AD125" s="85">
        <f t="shared" si="36"/>
        <v>0</v>
      </c>
      <c r="AE125" s="85">
        <f t="shared" si="36"/>
        <v>0</v>
      </c>
      <c r="AF125" s="85">
        <f t="shared" si="36"/>
        <v>0</v>
      </c>
      <c r="AG125" s="85">
        <f t="shared" si="36"/>
        <v>0</v>
      </c>
      <c r="AH125" s="85">
        <f t="shared" si="36"/>
        <v>0</v>
      </c>
      <c r="AI125" s="167">
        <f t="shared" si="36"/>
        <v>0.125</v>
      </c>
      <c r="AJ125" s="167">
        <f t="shared" si="36"/>
        <v>0.125</v>
      </c>
      <c r="AK125" s="167">
        <f t="shared" si="36"/>
        <v>0.125</v>
      </c>
      <c r="AL125" s="167">
        <f t="shared" si="36"/>
        <v>0.125</v>
      </c>
      <c r="AM125" s="167">
        <f t="shared" si="36"/>
        <v>0.125</v>
      </c>
      <c r="AN125" s="167">
        <f t="shared" si="36"/>
        <v>0.125</v>
      </c>
      <c r="AO125" s="167">
        <f t="shared" si="36"/>
        <v>0.125</v>
      </c>
      <c r="AP125" s="167">
        <f t="shared" si="36"/>
        <v>0.125</v>
      </c>
      <c r="AQ125" s="85">
        <f t="shared" si="36"/>
        <v>0</v>
      </c>
    </row>
    <row r="126" spans="1:43" ht="21.75" customHeight="1">
      <c r="A126" s="7"/>
      <c r="B126" s="49"/>
      <c r="C126" s="7"/>
      <c r="D126" s="7"/>
      <c r="E126" s="7"/>
      <c r="F126" s="7"/>
      <c r="G126" s="82" t="s">
        <v>153</v>
      </c>
      <c r="H126" s="85">
        <f t="shared" ref="H126:AQ126" si="37">H97+H110</f>
        <v>0</v>
      </c>
      <c r="I126" s="85">
        <f t="shared" si="37"/>
        <v>0</v>
      </c>
      <c r="J126" s="85">
        <f t="shared" si="37"/>
        <v>0</v>
      </c>
      <c r="K126" s="85">
        <f t="shared" si="37"/>
        <v>0</v>
      </c>
      <c r="L126" s="85">
        <f t="shared" si="37"/>
        <v>0</v>
      </c>
      <c r="M126" s="85">
        <f t="shared" si="37"/>
        <v>0</v>
      </c>
      <c r="N126" s="85">
        <f t="shared" si="37"/>
        <v>0</v>
      </c>
      <c r="O126" s="85">
        <f t="shared" si="37"/>
        <v>0</v>
      </c>
      <c r="P126" s="85">
        <f t="shared" si="37"/>
        <v>0</v>
      </c>
      <c r="Q126" s="85">
        <f t="shared" si="37"/>
        <v>0</v>
      </c>
      <c r="R126" s="85">
        <f t="shared" si="37"/>
        <v>0</v>
      </c>
      <c r="S126" s="85">
        <f t="shared" si="37"/>
        <v>0</v>
      </c>
      <c r="T126" s="85">
        <f t="shared" si="37"/>
        <v>0</v>
      </c>
      <c r="U126" s="85">
        <f t="shared" si="37"/>
        <v>0</v>
      </c>
      <c r="V126" s="85">
        <f t="shared" si="37"/>
        <v>0</v>
      </c>
      <c r="W126" s="85">
        <f t="shared" si="37"/>
        <v>0</v>
      </c>
      <c r="X126" s="85">
        <f t="shared" si="37"/>
        <v>0</v>
      </c>
      <c r="Y126" s="85">
        <f t="shared" si="37"/>
        <v>0</v>
      </c>
      <c r="Z126" s="85">
        <f t="shared" si="37"/>
        <v>0</v>
      </c>
      <c r="AA126" s="85">
        <f t="shared" si="37"/>
        <v>0</v>
      </c>
      <c r="AB126" s="85">
        <f t="shared" si="37"/>
        <v>0</v>
      </c>
      <c r="AC126" s="85">
        <f t="shared" si="37"/>
        <v>0</v>
      </c>
      <c r="AD126" s="167">
        <f t="shared" si="37"/>
        <v>0.14285714285714285</v>
      </c>
      <c r="AE126" s="167">
        <f t="shared" si="37"/>
        <v>0.14285714285714285</v>
      </c>
      <c r="AF126" s="167">
        <f t="shared" si="37"/>
        <v>0.14285714285714285</v>
      </c>
      <c r="AG126" s="167">
        <f t="shared" si="37"/>
        <v>0.14285714285714285</v>
      </c>
      <c r="AH126" s="167">
        <f t="shared" si="37"/>
        <v>0.14285714285714285</v>
      </c>
      <c r="AI126" s="167">
        <f t="shared" si="37"/>
        <v>0.14285714285714285</v>
      </c>
      <c r="AJ126" s="167">
        <f t="shared" si="37"/>
        <v>0.14285714285714285</v>
      </c>
      <c r="AK126" s="85">
        <f t="shared" si="37"/>
        <v>0</v>
      </c>
      <c r="AL126" s="85">
        <f t="shared" si="37"/>
        <v>0</v>
      </c>
      <c r="AM126" s="85">
        <f t="shared" si="37"/>
        <v>0</v>
      </c>
      <c r="AN126" s="85">
        <f t="shared" si="37"/>
        <v>0</v>
      </c>
      <c r="AO126" s="85">
        <f t="shared" si="37"/>
        <v>0</v>
      </c>
      <c r="AP126" s="85">
        <f t="shared" si="37"/>
        <v>0</v>
      </c>
      <c r="AQ126" s="85">
        <f t="shared" si="37"/>
        <v>0</v>
      </c>
    </row>
    <row r="127" spans="1:43" ht="21.75" customHeight="1">
      <c r="A127" s="7"/>
      <c r="B127" s="49"/>
      <c r="C127" s="7"/>
      <c r="D127" s="7"/>
      <c r="E127" s="7"/>
      <c r="F127" s="7"/>
      <c r="G127" s="80" t="s">
        <v>154</v>
      </c>
      <c r="H127" s="85">
        <f t="shared" ref="H127:AQ127" si="38">H98+H111</f>
        <v>0</v>
      </c>
      <c r="I127" s="85">
        <f t="shared" si="38"/>
        <v>0</v>
      </c>
      <c r="J127" s="85">
        <f t="shared" si="38"/>
        <v>0</v>
      </c>
      <c r="K127" s="85">
        <f t="shared" si="38"/>
        <v>0</v>
      </c>
      <c r="L127" s="85">
        <f t="shared" si="38"/>
        <v>0</v>
      </c>
      <c r="M127" s="85">
        <f t="shared" si="38"/>
        <v>0</v>
      </c>
      <c r="N127" s="85">
        <f t="shared" si="38"/>
        <v>0</v>
      </c>
      <c r="O127" s="85">
        <f t="shared" si="38"/>
        <v>0</v>
      </c>
      <c r="P127" s="85">
        <f t="shared" si="38"/>
        <v>0</v>
      </c>
      <c r="Q127" s="85">
        <f t="shared" si="38"/>
        <v>0</v>
      </c>
      <c r="R127" s="85">
        <f t="shared" si="38"/>
        <v>0</v>
      </c>
      <c r="S127" s="85">
        <f t="shared" si="38"/>
        <v>0</v>
      </c>
      <c r="T127" s="85">
        <f t="shared" si="38"/>
        <v>0</v>
      </c>
      <c r="U127" s="85">
        <f t="shared" si="38"/>
        <v>0</v>
      </c>
      <c r="V127" s="85">
        <f t="shared" si="38"/>
        <v>0</v>
      </c>
      <c r="W127" s="85">
        <f t="shared" si="38"/>
        <v>0</v>
      </c>
      <c r="X127" s="85">
        <f t="shared" si="38"/>
        <v>0</v>
      </c>
      <c r="Y127" s="85">
        <f t="shared" si="38"/>
        <v>0</v>
      </c>
      <c r="Z127" s="85">
        <f t="shared" si="38"/>
        <v>0</v>
      </c>
      <c r="AA127" s="85">
        <f t="shared" si="38"/>
        <v>0</v>
      </c>
      <c r="AB127" s="85">
        <f t="shared" si="38"/>
        <v>0</v>
      </c>
      <c r="AC127" s="85">
        <f t="shared" si="38"/>
        <v>0</v>
      </c>
      <c r="AD127" s="85">
        <f t="shared" si="38"/>
        <v>0</v>
      </c>
      <c r="AE127" s="85">
        <f t="shared" si="38"/>
        <v>0</v>
      </c>
      <c r="AF127" s="85">
        <f t="shared" si="38"/>
        <v>0</v>
      </c>
      <c r="AG127" s="85">
        <f t="shared" si="38"/>
        <v>0</v>
      </c>
      <c r="AH127" s="85">
        <f t="shared" si="38"/>
        <v>0</v>
      </c>
      <c r="AI127" s="85">
        <f t="shared" si="38"/>
        <v>0</v>
      </c>
      <c r="AJ127" s="167">
        <f t="shared" si="38"/>
        <v>0.125</v>
      </c>
      <c r="AK127" s="167">
        <f t="shared" si="38"/>
        <v>0.125</v>
      </c>
      <c r="AL127" s="167">
        <f t="shared" si="38"/>
        <v>0.125</v>
      </c>
      <c r="AM127" s="167">
        <f t="shared" si="38"/>
        <v>0.125</v>
      </c>
      <c r="AN127" s="167">
        <f t="shared" si="38"/>
        <v>0.125</v>
      </c>
      <c r="AO127" s="167">
        <f t="shared" si="38"/>
        <v>0.125</v>
      </c>
      <c r="AP127" s="167">
        <f t="shared" si="38"/>
        <v>0.125</v>
      </c>
      <c r="AQ127" s="167">
        <f t="shared" si="38"/>
        <v>0.125</v>
      </c>
    </row>
    <row r="128" spans="1:43" ht="21.75" customHeight="1">
      <c r="A128" s="7"/>
      <c r="B128" s="49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8"/>
      <c r="R128" s="8"/>
      <c r="S128" s="8"/>
    </row>
    <row r="129" spans="1:19" ht="21.75" customHeight="1">
      <c r="A129" s="7"/>
      <c r="B129" s="49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8"/>
      <c r="R129" s="8"/>
      <c r="S129" s="8"/>
    </row>
    <row r="130" spans="1:19" ht="21.75" customHeight="1">
      <c r="A130" s="7"/>
      <c r="B130" s="49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8"/>
      <c r="R130" s="8"/>
      <c r="S130" s="8"/>
    </row>
    <row r="131" spans="1:19" ht="21.75" customHeight="1">
      <c r="A131" s="7"/>
      <c r="B131" s="49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8"/>
      <c r="R131" s="8"/>
      <c r="S131" s="8"/>
    </row>
    <row r="132" spans="1:19" ht="21.75" customHeight="1">
      <c r="A132" s="7"/>
      <c r="B132" s="49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8"/>
      <c r="R132" s="8"/>
      <c r="S132" s="8"/>
    </row>
    <row r="133" spans="1:19" ht="21.75" customHeight="1">
      <c r="A133" s="7"/>
      <c r="B133" s="49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8"/>
      <c r="R133" s="8"/>
      <c r="S133" s="8"/>
    </row>
    <row r="134" spans="1:19" ht="21.75" customHeight="1">
      <c r="A134" s="7"/>
      <c r="B134" s="49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8"/>
      <c r="R134" s="8"/>
      <c r="S134" s="8"/>
    </row>
    <row r="135" spans="1:19" ht="21.75" customHeight="1">
      <c r="A135" s="7"/>
      <c r="B135" s="49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8"/>
      <c r="R135" s="8"/>
      <c r="S135" s="8"/>
    </row>
    <row r="136" spans="1:19" ht="21.75" customHeight="1">
      <c r="A136" s="7"/>
      <c r="B136" s="49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8"/>
      <c r="R136" s="8"/>
      <c r="S136" s="8"/>
    </row>
    <row r="137" spans="1:19" ht="21.75" customHeight="1">
      <c r="A137" s="7"/>
      <c r="B137" s="49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8"/>
      <c r="R137" s="8"/>
      <c r="S137" s="8"/>
    </row>
    <row r="138" spans="1:19" ht="21.75" customHeight="1">
      <c r="A138" s="7"/>
      <c r="B138" s="49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8"/>
      <c r="R138" s="8"/>
      <c r="S138" s="8"/>
    </row>
    <row r="139" spans="1:19" ht="21.75" customHeight="1">
      <c r="A139" s="7"/>
      <c r="B139" s="49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8"/>
      <c r="R139" s="8"/>
      <c r="S139" s="8"/>
    </row>
    <row r="140" spans="1:19" ht="21.75" customHeight="1">
      <c r="A140" s="7"/>
      <c r="B140" s="49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8"/>
      <c r="R140" s="8"/>
      <c r="S140" s="8"/>
    </row>
    <row r="141" spans="1:19" ht="21.75" customHeight="1">
      <c r="A141" s="7"/>
      <c r="B141" s="49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8"/>
      <c r="R141" s="8"/>
      <c r="S141" s="8"/>
    </row>
    <row r="142" spans="1:19" ht="21.75" customHeight="1">
      <c r="A142" s="7"/>
      <c r="B142" s="49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8"/>
      <c r="R142" s="8"/>
      <c r="S142" s="8"/>
    </row>
    <row r="143" spans="1:19" ht="21.75" customHeight="1">
      <c r="A143" s="7"/>
      <c r="B143" s="49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8"/>
      <c r="R143" s="8"/>
      <c r="S143" s="8"/>
    </row>
    <row r="144" spans="1:19" ht="21.75" customHeight="1">
      <c r="A144" s="7"/>
      <c r="B144" s="49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8"/>
      <c r="R144" s="8"/>
      <c r="S144" s="8"/>
    </row>
    <row r="145" spans="1:19" ht="21.75" customHeight="1">
      <c r="A145" s="7"/>
      <c r="B145" s="49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8"/>
      <c r="R145" s="8"/>
      <c r="S145" s="8"/>
    </row>
    <row r="146" spans="1:19" ht="21.75" customHeight="1">
      <c r="A146" s="7"/>
      <c r="B146" s="49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8"/>
      <c r="R146" s="8"/>
      <c r="S146" s="8"/>
    </row>
    <row r="147" spans="1:19" ht="21.75" customHeight="1">
      <c r="A147" s="7"/>
      <c r="B147" s="49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8"/>
      <c r="R147" s="8"/>
      <c r="S147" s="8"/>
    </row>
    <row r="148" spans="1:19" ht="21.75" customHeight="1">
      <c r="A148" s="7"/>
      <c r="B148" s="49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8"/>
      <c r="R148" s="8"/>
      <c r="S148" s="8"/>
    </row>
    <row r="149" spans="1:19" ht="21.75" customHeight="1">
      <c r="A149" s="7"/>
      <c r="B149" s="49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8"/>
      <c r="R149" s="8"/>
      <c r="S149" s="8"/>
    </row>
    <row r="150" spans="1:19" ht="21.75" customHeight="1">
      <c r="A150" s="7"/>
      <c r="B150" s="49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8"/>
      <c r="R150" s="8"/>
      <c r="S150" s="8"/>
    </row>
    <row r="151" spans="1:19" ht="21.75" customHeight="1">
      <c r="A151" s="7"/>
      <c r="B151" s="49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8"/>
      <c r="R151" s="8"/>
      <c r="S151" s="8"/>
    </row>
    <row r="152" spans="1:19" ht="21.75" customHeight="1">
      <c r="A152" s="7"/>
      <c r="B152" s="49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8"/>
      <c r="R152" s="8"/>
      <c r="S152" s="8"/>
    </row>
    <row r="153" spans="1:19" ht="21.75" customHeight="1">
      <c r="A153" s="7"/>
      <c r="B153" s="49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8"/>
      <c r="R153" s="8"/>
      <c r="S153" s="8"/>
    </row>
    <row r="154" spans="1:19" ht="21.75" customHeight="1">
      <c r="A154" s="7"/>
      <c r="B154" s="49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8"/>
      <c r="R154" s="8"/>
      <c r="S154" s="8"/>
    </row>
    <row r="155" spans="1:19" ht="21.75" customHeight="1">
      <c r="A155" s="7"/>
      <c r="B155" s="49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8"/>
      <c r="R155" s="8"/>
      <c r="S155" s="8"/>
    </row>
    <row r="156" spans="1:19" ht="21.75" customHeight="1">
      <c r="A156" s="7"/>
      <c r="B156" s="49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8"/>
      <c r="R156" s="8"/>
      <c r="S156" s="8"/>
    </row>
    <row r="157" spans="1:19" ht="21.75" customHeight="1">
      <c r="A157" s="7"/>
      <c r="B157" s="49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8"/>
      <c r="R157" s="8"/>
      <c r="S157" s="8"/>
    </row>
    <row r="158" spans="1:19" ht="21.75" customHeight="1">
      <c r="A158" s="7"/>
      <c r="B158" s="49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8"/>
      <c r="R158" s="8"/>
      <c r="S158" s="8"/>
    </row>
    <row r="159" spans="1:19" ht="21.75" customHeight="1">
      <c r="A159" s="7"/>
      <c r="B159" s="49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8"/>
      <c r="R159" s="8"/>
      <c r="S159" s="8"/>
    </row>
    <row r="160" spans="1:19" ht="21.75" customHeight="1">
      <c r="A160" s="7"/>
      <c r="B160" s="49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8"/>
      <c r="R160" s="8"/>
      <c r="S160" s="8"/>
    </row>
    <row r="161" spans="1:19" ht="21.75" customHeight="1">
      <c r="A161" s="7"/>
      <c r="B161" s="49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8"/>
      <c r="R161" s="8"/>
      <c r="S161" s="8"/>
    </row>
    <row r="162" spans="1:19" ht="21.75" customHeight="1">
      <c r="A162" s="7"/>
      <c r="B162" s="49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8"/>
      <c r="R162" s="8"/>
      <c r="S162" s="8"/>
    </row>
    <row r="163" spans="1:19" ht="21.75" customHeight="1">
      <c r="A163" s="7"/>
      <c r="B163" s="49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8"/>
      <c r="R163" s="8"/>
      <c r="S163" s="8"/>
    </row>
    <row r="164" spans="1:19" ht="21.75" customHeight="1">
      <c r="A164" s="7"/>
      <c r="B164" s="49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8"/>
      <c r="R164" s="8"/>
      <c r="S164" s="8"/>
    </row>
    <row r="165" spans="1:19" ht="21.75" customHeight="1">
      <c r="A165" s="7"/>
      <c r="B165" s="49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8"/>
      <c r="R165" s="8"/>
      <c r="S165" s="8"/>
    </row>
    <row r="166" spans="1:19" ht="21.75" customHeight="1">
      <c r="A166" s="7"/>
      <c r="B166" s="49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8"/>
      <c r="R166" s="8"/>
      <c r="S166" s="8"/>
    </row>
    <row r="167" spans="1:19" ht="21.75" customHeight="1">
      <c r="A167" s="7"/>
      <c r="B167" s="49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8"/>
      <c r="R167" s="8"/>
      <c r="S167" s="8"/>
    </row>
    <row r="168" spans="1:19" ht="21.75" customHeight="1">
      <c r="A168" s="7"/>
      <c r="B168" s="49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8"/>
      <c r="R168" s="8"/>
      <c r="S168" s="8"/>
    </row>
    <row r="169" spans="1:19" ht="21.75" customHeight="1">
      <c r="A169" s="7"/>
      <c r="B169" s="49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8"/>
      <c r="R169" s="8"/>
      <c r="S169" s="8"/>
    </row>
    <row r="170" spans="1:19" ht="21.75" customHeight="1">
      <c r="A170" s="7"/>
      <c r="B170" s="49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8"/>
      <c r="R170" s="8"/>
      <c r="S170" s="8"/>
    </row>
    <row r="171" spans="1:19" ht="21.75" customHeight="1">
      <c r="A171" s="7"/>
      <c r="B171" s="49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8"/>
      <c r="R171" s="8"/>
      <c r="S171" s="8"/>
    </row>
    <row r="172" spans="1:19" ht="21.75" customHeight="1">
      <c r="A172" s="7"/>
      <c r="B172" s="49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8"/>
      <c r="R172" s="8"/>
      <c r="S172" s="8"/>
    </row>
    <row r="173" spans="1:19" ht="21.75" customHeight="1">
      <c r="A173" s="7"/>
      <c r="B173" s="49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8"/>
      <c r="R173" s="8"/>
      <c r="S173" s="8"/>
    </row>
    <row r="174" spans="1:19" ht="21.75" customHeight="1">
      <c r="A174" s="7"/>
      <c r="B174" s="49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8"/>
      <c r="R174" s="8"/>
      <c r="S174" s="8"/>
    </row>
    <row r="175" spans="1:19" ht="21.75" customHeight="1">
      <c r="A175" s="7"/>
      <c r="B175" s="49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8"/>
      <c r="R175" s="8"/>
      <c r="S175" s="8"/>
    </row>
    <row r="176" spans="1:19" ht="21.75" customHeight="1">
      <c r="A176" s="7"/>
      <c r="B176" s="49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8"/>
      <c r="R176" s="8"/>
      <c r="S176" s="8"/>
    </row>
    <row r="177" spans="1:19" ht="21.75" customHeight="1">
      <c r="A177" s="7"/>
      <c r="B177" s="49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8"/>
      <c r="R177" s="8"/>
      <c r="S177" s="8"/>
    </row>
    <row r="178" spans="1:19" ht="21.75" customHeight="1">
      <c r="A178" s="7"/>
      <c r="B178" s="49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8"/>
      <c r="R178" s="8"/>
      <c r="S178" s="8"/>
    </row>
    <row r="179" spans="1:19" ht="21.75" customHeight="1">
      <c r="A179" s="7"/>
      <c r="B179" s="49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8"/>
      <c r="R179" s="8"/>
      <c r="S179" s="8"/>
    </row>
    <row r="180" spans="1:19" ht="21.75" customHeight="1">
      <c r="A180" s="7"/>
      <c r="B180" s="49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8"/>
      <c r="R180" s="8"/>
      <c r="S180" s="8"/>
    </row>
    <row r="181" spans="1:19" ht="21.75" customHeight="1">
      <c r="A181" s="7"/>
      <c r="B181" s="49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8"/>
      <c r="R181" s="8"/>
      <c r="S181" s="8"/>
    </row>
    <row r="182" spans="1:19" ht="21.75" customHeight="1">
      <c r="A182" s="7"/>
      <c r="B182" s="49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8"/>
      <c r="R182" s="8"/>
      <c r="S182" s="8"/>
    </row>
    <row r="183" spans="1:19" ht="21.75" customHeight="1">
      <c r="A183" s="7"/>
      <c r="B183" s="49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8"/>
      <c r="R183" s="8"/>
      <c r="S183" s="8"/>
    </row>
    <row r="184" spans="1:19" ht="21.75" customHeight="1">
      <c r="A184" s="7"/>
      <c r="B184" s="49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8"/>
      <c r="R184" s="8"/>
      <c r="S184" s="8"/>
    </row>
    <row r="185" spans="1:19" ht="21.75" customHeight="1">
      <c r="A185" s="7"/>
      <c r="B185" s="49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8"/>
      <c r="R185" s="8"/>
      <c r="S185" s="8"/>
    </row>
    <row r="186" spans="1:19" ht="21.75" customHeight="1">
      <c r="A186" s="7"/>
      <c r="B186" s="49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8"/>
      <c r="R186" s="8"/>
      <c r="S186" s="8"/>
    </row>
    <row r="187" spans="1:19" ht="21.75" customHeight="1">
      <c r="A187" s="7"/>
      <c r="B187" s="49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8"/>
      <c r="R187" s="8"/>
      <c r="S187" s="8"/>
    </row>
    <row r="188" spans="1:19" ht="21.75" customHeight="1">
      <c r="A188" s="7"/>
      <c r="B188" s="49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8"/>
      <c r="R188" s="8"/>
      <c r="S188" s="8"/>
    </row>
    <row r="189" spans="1:19" ht="21.75" customHeight="1">
      <c r="A189" s="7"/>
      <c r="B189" s="49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8"/>
      <c r="R189" s="8"/>
      <c r="S189" s="8"/>
    </row>
    <row r="190" spans="1:19" ht="21.75" customHeight="1">
      <c r="A190" s="7"/>
      <c r="B190" s="49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8"/>
      <c r="R190" s="8"/>
      <c r="S190" s="8"/>
    </row>
    <row r="191" spans="1:19" ht="21.75" customHeight="1">
      <c r="A191" s="7"/>
      <c r="B191" s="49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8"/>
      <c r="R191" s="8"/>
      <c r="S191" s="8"/>
    </row>
    <row r="192" spans="1:19" ht="21.75" customHeight="1">
      <c r="A192" s="7"/>
      <c r="B192" s="49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8"/>
      <c r="R192" s="8"/>
      <c r="S192" s="8"/>
    </row>
    <row r="193" spans="1:19" ht="21.75" customHeight="1">
      <c r="A193" s="7"/>
      <c r="B193" s="49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8"/>
      <c r="R193" s="8"/>
      <c r="S193" s="8"/>
    </row>
    <row r="194" spans="1:19" ht="21.75" customHeight="1">
      <c r="A194" s="7"/>
      <c r="B194" s="49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8"/>
      <c r="R194" s="8"/>
      <c r="S194" s="8"/>
    </row>
    <row r="195" spans="1:19" ht="21.75" customHeight="1">
      <c r="A195" s="7"/>
      <c r="B195" s="49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8"/>
      <c r="R195" s="8"/>
      <c r="S195" s="8"/>
    </row>
    <row r="196" spans="1:19" ht="21.75" customHeight="1">
      <c r="A196" s="7"/>
      <c r="B196" s="49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8"/>
      <c r="R196" s="8"/>
      <c r="S196" s="8"/>
    </row>
    <row r="197" spans="1:19" ht="21.75" customHeight="1">
      <c r="A197" s="7"/>
      <c r="B197" s="49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8"/>
      <c r="R197" s="8"/>
      <c r="S197" s="8"/>
    </row>
    <row r="198" spans="1:19" ht="21.75" customHeight="1">
      <c r="A198" s="7"/>
      <c r="B198" s="49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8"/>
      <c r="R198" s="8"/>
      <c r="S198" s="8"/>
    </row>
    <row r="199" spans="1:19" ht="21.75" customHeight="1">
      <c r="A199" s="7"/>
      <c r="B199" s="49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8"/>
      <c r="R199" s="8"/>
      <c r="S199" s="8"/>
    </row>
    <row r="200" spans="1:19" ht="21.75" customHeight="1">
      <c r="A200" s="7"/>
      <c r="B200" s="49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8"/>
      <c r="R200" s="8"/>
      <c r="S200" s="8"/>
    </row>
    <row r="201" spans="1:19" ht="21.75" customHeight="1">
      <c r="A201" s="7"/>
      <c r="B201" s="49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8"/>
      <c r="R201" s="8"/>
      <c r="S201" s="8"/>
    </row>
    <row r="202" spans="1:19" ht="21.75" customHeight="1">
      <c r="A202" s="7"/>
      <c r="B202" s="49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8"/>
      <c r="R202" s="8"/>
      <c r="S202" s="8"/>
    </row>
    <row r="203" spans="1:19" ht="21.75" customHeight="1">
      <c r="A203" s="7"/>
      <c r="B203" s="49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8"/>
      <c r="R203" s="8"/>
      <c r="S203" s="8"/>
    </row>
    <row r="204" spans="1:19" ht="21.75" customHeight="1">
      <c r="A204" s="7"/>
      <c r="B204" s="49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8"/>
      <c r="R204" s="8"/>
      <c r="S204" s="8"/>
    </row>
    <row r="205" spans="1:19" ht="21.75" customHeight="1">
      <c r="A205" s="7"/>
      <c r="B205" s="49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8"/>
      <c r="R205" s="8"/>
      <c r="S205" s="8"/>
    </row>
    <row r="206" spans="1:19" ht="21.75" customHeight="1">
      <c r="A206" s="7"/>
      <c r="B206" s="49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8"/>
      <c r="R206" s="8"/>
      <c r="S206" s="8"/>
    </row>
    <row r="207" spans="1:19" ht="21.75" customHeight="1">
      <c r="A207" s="7"/>
      <c r="B207" s="49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8"/>
      <c r="R207" s="8"/>
      <c r="S207" s="8"/>
    </row>
    <row r="208" spans="1:19" ht="21.75" customHeight="1">
      <c r="A208" s="7"/>
      <c r="B208" s="49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8"/>
      <c r="R208" s="8"/>
      <c r="S208" s="8"/>
    </row>
    <row r="209" spans="1:19" ht="21.75" customHeight="1">
      <c r="A209" s="7"/>
      <c r="B209" s="49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8"/>
      <c r="R209" s="8"/>
      <c r="S209" s="8"/>
    </row>
    <row r="210" spans="1:19" ht="21.75" customHeight="1">
      <c r="A210" s="7"/>
      <c r="B210" s="49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8"/>
      <c r="R210" s="8"/>
      <c r="S210" s="8"/>
    </row>
    <row r="211" spans="1:19" ht="21.75" customHeight="1">
      <c r="A211" s="7"/>
      <c r="B211" s="49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8"/>
      <c r="R211" s="8"/>
      <c r="S211" s="8"/>
    </row>
    <row r="212" spans="1:19" ht="21.75" customHeight="1">
      <c r="A212" s="7"/>
      <c r="B212" s="49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8"/>
      <c r="R212" s="8"/>
      <c r="S212" s="8"/>
    </row>
    <row r="213" spans="1:19" ht="21.75" customHeight="1">
      <c r="A213" s="7"/>
      <c r="B213" s="49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8"/>
      <c r="R213" s="8"/>
      <c r="S213" s="8"/>
    </row>
    <row r="214" spans="1:19" ht="21.75" customHeight="1">
      <c r="A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8"/>
      <c r="R214" s="8"/>
      <c r="S214" s="8"/>
    </row>
    <row r="215" spans="1:19" ht="21.75" customHeight="1">
      <c r="A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8"/>
      <c r="R215" s="8"/>
      <c r="S215" s="8"/>
    </row>
    <row r="216" spans="1:19" ht="21.75" customHeight="1">
      <c r="A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8"/>
      <c r="R216" s="8"/>
      <c r="S216" s="8"/>
    </row>
    <row r="217" spans="1:19" ht="21.75" customHeight="1">
      <c r="A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8"/>
      <c r="R217" s="8"/>
      <c r="S217" s="8"/>
    </row>
    <row r="218" spans="1:19" ht="21.75" customHeight="1">
      <c r="A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8"/>
      <c r="R218" s="8"/>
      <c r="S218" s="8"/>
    </row>
    <row r="219" spans="1:19" ht="21.75" customHeight="1">
      <c r="A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8"/>
      <c r="R219" s="8"/>
      <c r="S219" s="8"/>
    </row>
    <row r="220" spans="1:19" ht="21.75" customHeight="1">
      <c r="A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8"/>
      <c r="R220" s="8"/>
      <c r="S220" s="8"/>
    </row>
    <row r="221" spans="1:19" ht="21.75" customHeight="1">
      <c r="A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8"/>
      <c r="R221" s="8"/>
      <c r="S221" s="8"/>
    </row>
    <row r="222" spans="1:19" ht="15.75" customHeight="1"/>
    <row r="223" spans="1:19" ht="15.75" customHeight="1"/>
    <row r="224" spans="1:19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5">
    <mergeCell ref="G82:AQ82"/>
    <mergeCell ref="G86:AQ86"/>
    <mergeCell ref="G99:AQ99"/>
    <mergeCell ref="G112:AQ112"/>
    <mergeCell ref="H24:AQ24"/>
    <mergeCell ref="G32:AQ32"/>
    <mergeCell ref="G51:AQ51"/>
    <mergeCell ref="G55:AQ55"/>
    <mergeCell ref="G68:AQ68"/>
    <mergeCell ref="B22:D22"/>
    <mergeCell ref="B3:E4"/>
    <mergeCell ref="H5:AQ5"/>
    <mergeCell ref="AS5:CH5"/>
    <mergeCell ref="H14:AQ14"/>
    <mergeCell ref="H18:AQ18"/>
  </mergeCells>
  <phoneticPr fontId="25" type="noConversion"/>
  <pageMargins left="0.511811024" right="0.511811024" top="0.78740157499999996" bottom="0.78740157499999996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K1000"/>
  <sheetViews>
    <sheetView tabSelected="1" zoomScale="55" zoomScaleNormal="55" workbookViewId="0">
      <pane xSplit="2" ySplit="2" topLeftCell="C3" activePane="bottomRight" state="frozen"/>
      <selection pane="topRight" activeCell="B1" sqref="B1"/>
      <selection pane="bottomLeft" activeCell="A3" sqref="A3"/>
      <selection pane="bottomRight" activeCell="B7" sqref="B7"/>
    </sheetView>
  </sheetViews>
  <sheetFormatPr defaultColWidth="14.44140625" defaultRowHeight="15" customHeight="1"/>
  <cols>
    <col min="1" max="1" width="2.33203125" customWidth="1"/>
    <col min="2" max="2" width="64.44140625" customWidth="1"/>
    <col min="3" max="3" width="21.6640625" customWidth="1"/>
    <col min="4" max="4" width="14.33203125" customWidth="1"/>
    <col min="5" max="5" width="25.33203125" customWidth="1"/>
    <col min="6" max="6" width="20.44140625" bestFit="1" customWidth="1"/>
    <col min="7" max="7" width="7.109375" customWidth="1"/>
    <col min="8" max="8" width="24.5546875" bestFit="1" customWidth="1"/>
    <col min="9" max="9" width="7.109375" customWidth="1"/>
    <col min="10" max="10" width="24.88671875" bestFit="1" customWidth="1"/>
    <col min="11" max="11" width="7.109375" customWidth="1"/>
    <col min="12" max="12" width="21.109375" customWidth="1"/>
    <col min="13" max="13" width="7.109375" customWidth="1"/>
    <col min="14" max="14" width="21.109375" customWidth="1"/>
    <col min="15" max="15" width="7.109375" customWidth="1"/>
    <col min="16" max="16" width="21.109375" customWidth="1"/>
    <col min="17" max="17" width="7.109375" customWidth="1"/>
    <col min="18" max="18" width="21.109375" customWidth="1"/>
    <col min="19" max="19" width="7.109375" bestFit="1" customWidth="1"/>
    <col min="20" max="20" width="22.33203125" customWidth="1"/>
    <col min="21" max="21" width="6.109375" customWidth="1"/>
    <col min="22" max="22" width="22.33203125" customWidth="1"/>
    <col min="23" max="23" width="6.109375" customWidth="1"/>
    <col min="24" max="24" width="22.33203125" customWidth="1"/>
    <col min="25" max="25" width="6.109375" customWidth="1"/>
    <col min="26" max="26" width="22.33203125" customWidth="1"/>
    <col min="27" max="27" width="6.109375" customWidth="1"/>
    <col min="28" max="28" width="21.109375" customWidth="1"/>
    <col min="29" max="29" width="6.88671875" customWidth="1"/>
    <col min="30" max="30" width="22.33203125" customWidth="1"/>
    <col min="31" max="31" width="7" customWidth="1"/>
    <col min="32" max="32" width="22" customWidth="1"/>
    <col min="33" max="33" width="6.6640625" customWidth="1"/>
    <col min="34" max="34" width="22" customWidth="1"/>
    <col min="35" max="35" width="7" customWidth="1"/>
    <col min="36" max="36" width="20.88671875" customWidth="1"/>
    <col min="37" max="37" width="6.6640625" customWidth="1"/>
    <col min="38" max="38" width="21.6640625" customWidth="1"/>
    <col min="39" max="39" width="6.5546875" customWidth="1"/>
    <col min="40" max="40" width="21.109375" customWidth="1"/>
    <col min="41" max="41" width="7" customWidth="1"/>
    <col min="42" max="42" width="22.44140625" customWidth="1"/>
    <col min="43" max="43" width="6.88671875" customWidth="1"/>
    <col min="44" max="44" width="22.44140625" customWidth="1"/>
    <col min="45" max="45" width="6.88671875" customWidth="1"/>
    <col min="46" max="46" width="22.44140625" customWidth="1"/>
    <col min="47" max="47" width="6.6640625" customWidth="1"/>
    <col min="48" max="48" width="22.44140625" customWidth="1"/>
    <col min="49" max="49" width="7" customWidth="1"/>
    <col min="50" max="50" width="22.44140625" customWidth="1"/>
    <col min="51" max="51" width="6.88671875" customWidth="1"/>
    <col min="52" max="52" width="20.88671875" customWidth="1"/>
    <col min="53" max="53" width="6.6640625" customWidth="1"/>
    <col min="54" max="54" width="20.88671875" customWidth="1"/>
    <col min="55" max="55" width="6.6640625" customWidth="1"/>
    <col min="56" max="56" width="20.88671875" customWidth="1"/>
    <col min="57" max="57" width="6.88671875" customWidth="1"/>
    <col min="58" max="58" width="23.5546875" customWidth="1"/>
    <col min="59" max="59" width="6.5546875" customWidth="1"/>
    <col min="60" max="60" width="23.5546875" customWidth="1"/>
    <col min="61" max="61" width="6.88671875" customWidth="1"/>
    <col min="62" max="62" width="24.33203125" customWidth="1"/>
    <col min="63" max="63" width="6.5546875" customWidth="1"/>
    <col min="64" max="64" width="24.33203125" customWidth="1"/>
    <col min="65" max="65" width="6.44140625" customWidth="1"/>
    <col min="66" max="66" width="22.6640625" customWidth="1"/>
    <col min="67" max="67" width="6.88671875" customWidth="1"/>
    <col min="68" max="68" width="23.33203125" customWidth="1"/>
    <col min="69" max="69" width="6.6640625" customWidth="1"/>
    <col min="70" max="70" width="21.109375" customWidth="1"/>
    <col min="71" max="71" width="6.6640625" customWidth="1"/>
    <col min="72" max="72" width="22.33203125" customWidth="1"/>
    <col min="73" max="73" width="6.5546875" customWidth="1"/>
    <col min="74" max="74" width="21.44140625" customWidth="1"/>
    <col min="75" max="75" width="7.109375" customWidth="1"/>
    <col min="76" max="76" width="21.44140625" customWidth="1"/>
    <col min="77" max="77" width="7.109375" customWidth="1"/>
    <col min="78" max="78" width="21.44140625" customWidth="1"/>
    <col min="79" max="79" width="7.109375" customWidth="1"/>
    <col min="80" max="80" width="21.44140625" customWidth="1"/>
    <col min="81" max="81" width="7.109375" customWidth="1"/>
    <col min="82" max="82" width="21.44140625" customWidth="1"/>
    <col min="83" max="83" width="7.109375" customWidth="1"/>
    <col min="84" max="84" width="21.109375" customWidth="1"/>
    <col min="85" max="85" width="6.88671875" customWidth="1"/>
    <col min="86" max="86" width="21.109375" customWidth="1"/>
    <col min="87" max="87" width="19.88671875" customWidth="1"/>
    <col min="88" max="88" width="21.6640625" customWidth="1"/>
    <col min="89" max="89" width="17.33203125" customWidth="1"/>
  </cols>
  <sheetData>
    <row r="1" spans="2:89" ht="22.5" customHeight="1">
      <c r="D1" s="94"/>
      <c r="J1" s="95"/>
      <c r="K1" s="95"/>
      <c r="L1" s="95"/>
      <c r="M1" s="95"/>
      <c r="N1" s="95"/>
      <c r="O1" s="95"/>
      <c r="P1" s="95"/>
      <c r="Q1" s="95"/>
      <c r="R1" s="95"/>
      <c r="S1" s="95"/>
    </row>
    <row r="2" spans="2:89" ht="19.5" customHeight="1">
      <c r="B2" s="96" t="s">
        <v>155</v>
      </c>
      <c r="C2" s="97" t="s">
        <v>156</v>
      </c>
      <c r="D2" s="98" t="s">
        <v>157</v>
      </c>
      <c r="G2" s="218" t="s">
        <v>81</v>
      </c>
      <c r="H2" s="219"/>
      <c r="I2" s="218" t="s">
        <v>82</v>
      </c>
      <c r="J2" s="219"/>
      <c r="K2" s="218" t="s">
        <v>83</v>
      </c>
      <c r="L2" s="219"/>
      <c r="M2" s="218" t="s">
        <v>84</v>
      </c>
      <c r="N2" s="219"/>
      <c r="O2" s="218" t="s">
        <v>85</v>
      </c>
      <c r="P2" s="219"/>
      <c r="Q2" s="218" t="s">
        <v>86</v>
      </c>
      <c r="R2" s="219"/>
      <c r="S2" s="218" t="s">
        <v>87</v>
      </c>
      <c r="T2" s="219"/>
      <c r="U2" s="218" t="s">
        <v>88</v>
      </c>
      <c r="V2" s="219"/>
      <c r="W2" s="218" t="s">
        <v>89</v>
      </c>
      <c r="X2" s="219"/>
      <c r="Y2" s="218" t="s">
        <v>90</v>
      </c>
      <c r="Z2" s="219"/>
      <c r="AA2" s="218" t="s">
        <v>91</v>
      </c>
      <c r="AB2" s="219"/>
      <c r="AC2" s="218" t="s">
        <v>92</v>
      </c>
      <c r="AD2" s="219"/>
      <c r="AE2" s="218" t="s">
        <v>93</v>
      </c>
      <c r="AF2" s="219"/>
      <c r="AG2" s="218" t="s">
        <v>94</v>
      </c>
      <c r="AH2" s="219"/>
      <c r="AI2" s="218" t="s">
        <v>95</v>
      </c>
      <c r="AJ2" s="219"/>
      <c r="AK2" s="218" t="s">
        <v>96</v>
      </c>
      <c r="AL2" s="219"/>
      <c r="AM2" s="218" t="s">
        <v>97</v>
      </c>
      <c r="AN2" s="219"/>
      <c r="AO2" s="218" t="s">
        <v>98</v>
      </c>
      <c r="AP2" s="219"/>
      <c r="AQ2" s="218" t="s">
        <v>99</v>
      </c>
      <c r="AR2" s="219"/>
      <c r="AS2" s="218" t="s">
        <v>100</v>
      </c>
      <c r="AT2" s="219"/>
      <c r="AU2" s="218" t="s">
        <v>101</v>
      </c>
      <c r="AV2" s="219"/>
      <c r="AW2" s="218" t="s">
        <v>102</v>
      </c>
      <c r="AX2" s="219"/>
      <c r="AY2" s="218" t="s">
        <v>103</v>
      </c>
      <c r="AZ2" s="219"/>
      <c r="BA2" s="218" t="s">
        <v>104</v>
      </c>
      <c r="BB2" s="219"/>
      <c r="BC2" s="218" t="s">
        <v>105</v>
      </c>
      <c r="BD2" s="219"/>
      <c r="BE2" s="218" t="s">
        <v>106</v>
      </c>
      <c r="BF2" s="219"/>
      <c r="BG2" s="218" t="s">
        <v>107</v>
      </c>
      <c r="BH2" s="219"/>
      <c r="BI2" s="218" t="s">
        <v>108</v>
      </c>
      <c r="BJ2" s="219"/>
      <c r="BK2" s="218" t="s">
        <v>109</v>
      </c>
      <c r="BL2" s="219"/>
      <c r="BM2" s="218" t="s">
        <v>110</v>
      </c>
      <c r="BN2" s="219"/>
      <c r="BO2" s="218" t="s">
        <v>111</v>
      </c>
      <c r="BP2" s="219"/>
      <c r="BQ2" s="218" t="s">
        <v>112</v>
      </c>
      <c r="BR2" s="219"/>
      <c r="BS2" s="218" t="s">
        <v>113</v>
      </c>
      <c r="BT2" s="219"/>
      <c r="BU2" s="218" t="s">
        <v>114</v>
      </c>
      <c r="BV2" s="219"/>
      <c r="BW2" s="218" t="s">
        <v>115</v>
      </c>
      <c r="BX2" s="219"/>
      <c r="BY2" s="218" t="s">
        <v>116</v>
      </c>
      <c r="BZ2" s="219"/>
      <c r="CA2" s="218" t="s">
        <v>117</v>
      </c>
      <c r="CB2" s="219"/>
      <c r="CC2" s="218" t="s">
        <v>118</v>
      </c>
      <c r="CD2" s="219"/>
      <c r="CE2" s="218" t="s">
        <v>119</v>
      </c>
      <c r="CF2" s="219"/>
      <c r="CG2" s="218" t="s">
        <v>120</v>
      </c>
      <c r="CH2" s="219"/>
    </row>
    <row r="3" spans="2:89" ht="19.5" customHeight="1">
      <c r="B3" s="99"/>
      <c r="C3" s="100"/>
      <c r="D3" s="101"/>
      <c r="G3" s="102" t="s">
        <v>157</v>
      </c>
      <c r="H3" s="103" t="s">
        <v>158</v>
      </c>
      <c r="I3" s="102" t="s">
        <v>157</v>
      </c>
      <c r="J3" s="103" t="s">
        <v>158</v>
      </c>
      <c r="K3" s="102" t="s">
        <v>157</v>
      </c>
      <c r="L3" s="103" t="s">
        <v>158</v>
      </c>
      <c r="M3" s="102" t="s">
        <v>157</v>
      </c>
      <c r="N3" s="103" t="s">
        <v>158</v>
      </c>
      <c r="O3" s="102" t="s">
        <v>157</v>
      </c>
      <c r="P3" s="103" t="s">
        <v>158</v>
      </c>
      <c r="Q3" s="102" t="s">
        <v>157</v>
      </c>
      <c r="R3" s="103" t="s">
        <v>158</v>
      </c>
      <c r="S3" s="102" t="s">
        <v>157</v>
      </c>
      <c r="T3" s="103" t="s">
        <v>158</v>
      </c>
      <c r="U3" s="102" t="s">
        <v>157</v>
      </c>
      <c r="V3" s="103" t="s">
        <v>158</v>
      </c>
      <c r="W3" s="102" t="s">
        <v>157</v>
      </c>
      <c r="X3" s="103" t="s">
        <v>158</v>
      </c>
      <c r="Y3" s="102" t="s">
        <v>157</v>
      </c>
      <c r="Z3" s="103" t="s">
        <v>158</v>
      </c>
      <c r="AA3" s="102" t="s">
        <v>157</v>
      </c>
      <c r="AB3" s="103" t="s">
        <v>158</v>
      </c>
      <c r="AC3" s="102" t="s">
        <v>157</v>
      </c>
      <c r="AD3" s="103" t="s">
        <v>158</v>
      </c>
      <c r="AE3" s="102" t="s">
        <v>157</v>
      </c>
      <c r="AF3" s="103" t="s">
        <v>158</v>
      </c>
      <c r="AG3" s="102" t="s">
        <v>157</v>
      </c>
      <c r="AH3" s="103" t="s">
        <v>158</v>
      </c>
      <c r="AI3" s="102" t="s">
        <v>157</v>
      </c>
      <c r="AJ3" s="103" t="s">
        <v>158</v>
      </c>
      <c r="AK3" s="102" t="s">
        <v>157</v>
      </c>
      <c r="AL3" s="103" t="s">
        <v>158</v>
      </c>
      <c r="AM3" s="102" t="s">
        <v>157</v>
      </c>
      <c r="AN3" s="103" t="s">
        <v>158</v>
      </c>
      <c r="AO3" s="102" t="s">
        <v>157</v>
      </c>
      <c r="AP3" s="103" t="s">
        <v>158</v>
      </c>
      <c r="AQ3" s="102" t="s">
        <v>157</v>
      </c>
      <c r="AR3" s="103" t="s">
        <v>158</v>
      </c>
      <c r="AS3" s="102" t="s">
        <v>157</v>
      </c>
      <c r="AT3" s="103" t="s">
        <v>158</v>
      </c>
      <c r="AU3" s="102" t="s">
        <v>157</v>
      </c>
      <c r="AV3" s="103" t="s">
        <v>158</v>
      </c>
      <c r="AW3" s="102" t="s">
        <v>157</v>
      </c>
      <c r="AX3" s="103" t="s">
        <v>158</v>
      </c>
      <c r="AY3" s="102" t="s">
        <v>157</v>
      </c>
      <c r="AZ3" s="103" t="s">
        <v>158</v>
      </c>
      <c r="BA3" s="102" t="s">
        <v>157</v>
      </c>
      <c r="BB3" s="103" t="s">
        <v>158</v>
      </c>
      <c r="BC3" s="102" t="s">
        <v>157</v>
      </c>
      <c r="BD3" s="103" t="s">
        <v>158</v>
      </c>
      <c r="BE3" s="102" t="s">
        <v>157</v>
      </c>
      <c r="BF3" s="103" t="s">
        <v>158</v>
      </c>
      <c r="BG3" s="102" t="s">
        <v>157</v>
      </c>
      <c r="BH3" s="103" t="s">
        <v>158</v>
      </c>
      <c r="BI3" s="102" t="s">
        <v>157</v>
      </c>
      <c r="BJ3" s="103" t="s">
        <v>158</v>
      </c>
      <c r="BK3" s="102" t="s">
        <v>157</v>
      </c>
      <c r="BL3" s="103" t="s">
        <v>158</v>
      </c>
      <c r="BM3" s="102" t="s">
        <v>157</v>
      </c>
      <c r="BN3" s="103" t="s">
        <v>158</v>
      </c>
      <c r="BO3" s="102" t="s">
        <v>157</v>
      </c>
      <c r="BP3" s="103" t="s">
        <v>158</v>
      </c>
      <c r="BQ3" s="102" t="s">
        <v>157</v>
      </c>
      <c r="BR3" s="103" t="s">
        <v>158</v>
      </c>
      <c r="BS3" s="102" t="s">
        <v>157</v>
      </c>
      <c r="BT3" s="103" t="s">
        <v>158</v>
      </c>
      <c r="BU3" s="102" t="s">
        <v>157</v>
      </c>
      <c r="BV3" s="103" t="s">
        <v>158</v>
      </c>
      <c r="BW3" s="102" t="s">
        <v>157</v>
      </c>
      <c r="BX3" s="103" t="s">
        <v>158</v>
      </c>
      <c r="BY3" s="102" t="s">
        <v>157</v>
      </c>
      <c r="BZ3" s="103" t="s">
        <v>158</v>
      </c>
      <c r="CA3" s="102" t="s">
        <v>157</v>
      </c>
      <c r="CB3" s="103" t="s">
        <v>158</v>
      </c>
      <c r="CC3" s="102" t="s">
        <v>157</v>
      </c>
      <c r="CD3" s="103" t="s">
        <v>158</v>
      </c>
      <c r="CE3" s="102" t="s">
        <v>157</v>
      </c>
      <c r="CF3" s="103" t="s">
        <v>158</v>
      </c>
      <c r="CG3" s="102" t="s">
        <v>157</v>
      </c>
      <c r="CH3" s="103" t="s">
        <v>158</v>
      </c>
    </row>
    <row r="4" spans="2:89" ht="19.5" customHeight="1">
      <c r="B4" s="104" t="s">
        <v>159</v>
      </c>
      <c r="C4" s="105">
        <v>8526873.6744689904</v>
      </c>
      <c r="D4" s="106">
        <v>0.114027380228428</v>
      </c>
      <c r="E4" s="180">
        <f>SUM(G4,I4,K4,M4,O4,Q4,S4,U4,W4,Y4,AA4,AC4,AE4,AG4,AI4,,AK4,AM4,AO4,AQ4,AS4,AU4,AW4,AY4,BA4,BC4,BE4,BG4,BI4,BK4,BM4,BO4,BQ4,BS4,BU4,BW4,BY4,CA4,CC4,CE4,CG4)</f>
        <v>1</v>
      </c>
      <c r="F4" s="182">
        <f>H4+J4+L4+N4+P4+R4+T4+V4+X4+Z4+AB4+AD4+AF4+AH4+AJ4+AL4+AN4+AP4+AR4+AT4+AV4+AX4+AZ4+BB4+BD4+BF4+BH4+BJ4+BL4+BN4+BP4+BR4+BT4+BV4+BX4+BZ4</f>
        <v>8526873.6744689848</v>
      </c>
      <c r="G4" s="107">
        <v>0.11</v>
      </c>
      <c r="H4" s="108">
        <f>$C4*G4</f>
        <v>937956.10419158894</v>
      </c>
      <c r="I4" s="107">
        <f>2%+(79%/35)</f>
        <v>4.2571428571428573E-2</v>
      </c>
      <c r="J4" s="108">
        <f>$C4*I4</f>
        <v>363001.19357025134</v>
      </c>
      <c r="K4" s="107">
        <f t="shared" ref="K4" si="0">2%+(79%/35)</f>
        <v>4.2571428571428573E-2</v>
      </c>
      <c r="L4" s="108">
        <f>$C4*K4</f>
        <v>363001.19357025134</v>
      </c>
      <c r="M4" s="107">
        <f t="shared" ref="M4" si="1">2%+(79%/35)</f>
        <v>4.2571428571428573E-2</v>
      </c>
      <c r="N4" s="108">
        <f t="shared" ref="N4" si="2">$C4*M4</f>
        <v>363001.19357025134</v>
      </c>
      <c r="O4" s="107">
        <f t="shared" ref="O4" si="3">2%+(79%/35)</f>
        <v>4.2571428571428573E-2</v>
      </c>
      <c r="P4" s="108">
        <f t="shared" ref="P4" si="4">$C4*O4</f>
        <v>363001.19357025134</v>
      </c>
      <c r="Q4" s="107">
        <f t="shared" ref="Q4" si="5">2%+(79%/35)</f>
        <v>4.2571428571428573E-2</v>
      </c>
      <c r="R4" s="108">
        <f t="shared" ref="R4" si="6">$C4*Q4</f>
        <v>363001.19357025134</v>
      </c>
      <c r="S4" s="107">
        <f>(79%/35)</f>
        <v>2.2571428571428572E-2</v>
      </c>
      <c r="T4" s="108">
        <f t="shared" ref="T4" si="7">$C4*S4</f>
        <v>192463.72008087151</v>
      </c>
      <c r="U4" s="107">
        <f t="shared" ref="U4" si="8">(79%/35)</f>
        <v>2.2571428571428572E-2</v>
      </c>
      <c r="V4" s="108">
        <f t="shared" ref="V4" si="9">$C4*U4</f>
        <v>192463.72008087151</v>
      </c>
      <c r="W4" s="107">
        <f t="shared" ref="W4" si="10">(79%/35)</f>
        <v>2.2571428571428572E-2</v>
      </c>
      <c r="X4" s="108">
        <f t="shared" ref="X4" si="11">$C4*W4</f>
        <v>192463.72008087151</v>
      </c>
      <c r="Y4" s="107">
        <f t="shared" ref="Y4" si="12">(79%/35)</f>
        <v>2.2571428571428572E-2</v>
      </c>
      <c r="Z4" s="108">
        <f t="shared" ref="Z4" si="13">$C4*Y4</f>
        <v>192463.72008087151</v>
      </c>
      <c r="AA4" s="107">
        <f t="shared" ref="AA4" si="14">(79%/35)</f>
        <v>2.2571428571428572E-2</v>
      </c>
      <c r="AB4" s="108">
        <f t="shared" ref="AB4" si="15">$C4*AA4</f>
        <v>192463.72008087151</v>
      </c>
      <c r="AC4" s="107">
        <f t="shared" ref="AC4" si="16">(79%/35)</f>
        <v>2.2571428571428572E-2</v>
      </c>
      <c r="AD4" s="108">
        <f t="shared" ref="AD4" si="17">$C4*AC4</f>
        <v>192463.72008087151</v>
      </c>
      <c r="AE4" s="107">
        <f t="shared" ref="AE4" si="18">(79%/35)</f>
        <v>2.2571428571428572E-2</v>
      </c>
      <c r="AF4" s="108">
        <f t="shared" ref="AF4" si="19">$C4*AE4</f>
        <v>192463.72008087151</v>
      </c>
      <c r="AG4" s="107">
        <f t="shared" ref="AG4" si="20">(79%/35)</f>
        <v>2.2571428571428572E-2</v>
      </c>
      <c r="AH4" s="108">
        <f t="shared" ref="AH4" si="21">$C4*AG4</f>
        <v>192463.72008087151</v>
      </c>
      <c r="AI4" s="107">
        <f t="shared" ref="AI4" si="22">(79%/35)</f>
        <v>2.2571428571428572E-2</v>
      </c>
      <c r="AJ4" s="108">
        <f t="shared" ref="AJ4" si="23">$C4*AI4</f>
        <v>192463.72008087151</v>
      </c>
      <c r="AK4" s="107">
        <f t="shared" ref="AK4" si="24">(79%/35)</f>
        <v>2.2571428571428572E-2</v>
      </c>
      <c r="AL4" s="108">
        <f t="shared" ref="AL4" si="25">$C4*AK4</f>
        <v>192463.72008087151</v>
      </c>
      <c r="AM4" s="107">
        <f t="shared" ref="AM4" si="26">(79%/35)</f>
        <v>2.2571428571428572E-2</v>
      </c>
      <c r="AN4" s="108">
        <f t="shared" ref="AN4" si="27">$C4*AM4</f>
        <v>192463.72008087151</v>
      </c>
      <c r="AO4" s="107">
        <f t="shared" ref="AO4" si="28">(79%/35)</f>
        <v>2.2571428571428572E-2</v>
      </c>
      <c r="AP4" s="108">
        <f t="shared" ref="AP4" si="29">$C4*AO4</f>
        <v>192463.72008087151</v>
      </c>
      <c r="AQ4" s="107">
        <f t="shared" ref="AQ4" si="30">(79%/35)</f>
        <v>2.2571428571428572E-2</v>
      </c>
      <c r="AR4" s="108">
        <f t="shared" ref="AR4" si="31">$C4*AQ4</f>
        <v>192463.72008087151</v>
      </c>
      <c r="AS4" s="107">
        <f t="shared" ref="AS4" si="32">(79%/35)</f>
        <v>2.2571428571428572E-2</v>
      </c>
      <c r="AT4" s="108">
        <f t="shared" ref="AT4" si="33">$C4*AS4</f>
        <v>192463.72008087151</v>
      </c>
      <c r="AU4" s="107">
        <f t="shared" ref="AU4" si="34">(79%/35)</f>
        <v>2.2571428571428572E-2</v>
      </c>
      <c r="AV4" s="108">
        <f t="shared" ref="AV4" si="35">$C4*AU4</f>
        <v>192463.72008087151</v>
      </c>
      <c r="AW4" s="107">
        <f t="shared" ref="AW4" si="36">(79%/35)</f>
        <v>2.2571428571428572E-2</v>
      </c>
      <c r="AX4" s="108">
        <f t="shared" ref="AX4" si="37">$C4*AW4</f>
        <v>192463.72008087151</v>
      </c>
      <c r="AY4" s="107">
        <f t="shared" ref="AY4" si="38">(79%/35)</f>
        <v>2.2571428571428572E-2</v>
      </c>
      <c r="AZ4" s="108">
        <f t="shared" ref="AZ4" si="39">$C4*AY4</f>
        <v>192463.72008087151</v>
      </c>
      <c r="BA4" s="107">
        <f t="shared" ref="BA4" si="40">(79%/35)</f>
        <v>2.2571428571428572E-2</v>
      </c>
      <c r="BB4" s="108">
        <f t="shared" ref="BB4" si="41">$C4*BA4</f>
        <v>192463.72008087151</v>
      </c>
      <c r="BC4" s="107">
        <f t="shared" ref="BC4" si="42">(79%/35)</f>
        <v>2.2571428571428572E-2</v>
      </c>
      <c r="BD4" s="108">
        <f t="shared" ref="BD4" si="43">$C4*BC4</f>
        <v>192463.72008087151</v>
      </c>
      <c r="BE4" s="107">
        <f t="shared" ref="BE4" si="44">(79%/35)</f>
        <v>2.2571428571428572E-2</v>
      </c>
      <c r="BF4" s="108">
        <f t="shared" ref="BF4" si="45">$C4*BE4</f>
        <v>192463.72008087151</v>
      </c>
      <c r="BG4" s="107">
        <f t="shared" ref="BG4" si="46">(79%/35)</f>
        <v>2.2571428571428572E-2</v>
      </c>
      <c r="BH4" s="108">
        <f t="shared" ref="BH4" si="47">$C4*BG4</f>
        <v>192463.72008087151</v>
      </c>
      <c r="BI4" s="107">
        <f t="shared" ref="BI4" si="48">(79%/35)</f>
        <v>2.2571428571428572E-2</v>
      </c>
      <c r="BJ4" s="108">
        <f t="shared" ref="BJ4" si="49">$C4*BI4</f>
        <v>192463.72008087151</v>
      </c>
      <c r="BK4" s="107">
        <f t="shared" ref="BK4" si="50">(79%/35)</f>
        <v>2.2571428571428572E-2</v>
      </c>
      <c r="BL4" s="108">
        <f t="shared" ref="BL4" si="51">$C4*BK4</f>
        <v>192463.72008087151</v>
      </c>
      <c r="BM4" s="107">
        <f t="shared" ref="BM4" si="52">(79%/35)</f>
        <v>2.2571428571428572E-2</v>
      </c>
      <c r="BN4" s="108">
        <f t="shared" ref="BN4" si="53">$C4*BM4</f>
        <v>192463.72008087151</v>
      </c>
      <c r="BO4" s="107">
        <f t="shared" ref="BO4" si="54">(79%/35)</f>
        <v>2.2571428571428572E-2</v>
      </c>
      <c r="BP4" s="108">
        <f t="shared" ref="BP4" si="55">$C4*BO4</f>
        <v>192463.72008087151</v>
      </c>
      <c r="BQ4" s="107">
        <f t="shared" ref="BQ4" si="56">(79%/35)</f>
        <v>2.2571428571428572E-2</v>
      </c>
      <c r="BR4" s="108">
        <f t="shared" ref="BR4" si="57">$C4*BQ4</f>
        <v>192463.72008087151</v>
      </c>
      <c r="BS4" s="107">
        <f t="shared" ref="BS4" si="58">(79%/35)</f>
        <v>2.2571428571428572E-2</v>
      </c>
      <c r="BT4" s="108">
        <f t="shared" ref="BT4" si="59">$C4*BS4</f>
        <v>192463.72008087151</v>
      </c>
      <c r="BU4" s="107">
        <f t="shared" ref="BU4" si="60">(79%/35)</f>
        <v>2.2571428571428572E-2</v>
      </c>
      <c r="BV4" s="108">
        <f t="shared" ref="BV4" si="61">$C4*BU4</f>
        <v>192463.72008087151</v>
      </c>
      <c r="BW4" s="107">
        <f t="shared" ref="BW4" si="62">(79%/35)</f>
        <v>2.2571428571428572E-2</v>
      </c>
      <c r="BX4" s="108">
        <f t="shared" ref="BX4" si="63">$C4*BW4</f>
        <v>192463.72008087151</v>
      </c>
      <c r="BY4" s="107">
        <f t="shared" ref="BY4" si="64">(79%/35)</f>
        <v>2.2571428571428572E-2</v>
      </c>
      <c r="BZ4" s="108">
        <f t="shared" ref="BZ4" si="65">$C4*BY4</f>
        <v>192463.72008087151</v>
      </c>
      <c r="CA4" s="107"/>
      <c r="CB4" s="108">
        <f t="shared" ref="CB4:CB20" si="66">$C4*CA4</f>
        <v>0</v>
      </c>
      <c r="CC4" s="107"/>
      <c r="CD4" s="108">
        <f t="shared" ref="CD4:CD20" si="67">$C4*CC4</f>
        <v>0</v>
      </c>
      <c r="CE4" s="107"/>
      <c r="CF4" s="108">
        <f t="shared" ref="CF4:CF20" si="68">$C4*CE4</f>
        <v>0</v>
      </c>
      <c r="CG4" s="107"/>
      <c r="CH4" s="108">
        <f t="shared" ref="CH4:CH20" si="69">$C4*CG4</f>
        <v>0</v>
      </c>
      <c r="CI4" s="109"/>
      <c r="CJ4" s="109"/>
      <c r="CK4" s="109"/>
    </row>
    <row r="5" spans="2:89" ht="18.75" customHeight="1">
      <c r="B5" s="110" t="s">
        <v>124</v>
      </c>
      <c r="C5" s="111">
        <v>2450076.1785170003</v>
      </c>
      <c r="D5" s="112">
        <v>3.2764149987688174E-2</v>
      </c>
      <c r="E5" s="181">
        <f t="shared" ref="E5:E19" si="70">SUM(G5,I5,K5,M5,O5,Q5,S5,U5,W5,Y5,AA5,AC5,AE5,AG5,AI5,,AK5,AM5,AO5,AQ5,AS5,AU5,AW5,AY5,BA5,BC5,BE5,BG5,BI5,BK5,BM5,BO5,BQ5,BS5,BU5,BW5,BY5,CA5,CC5,CE5,CG5)</f>
        <v>1</v>
      </c>
      <c r="F5" s="182">
        <f t="shared" ref="F5:F20" si="71">H5+J5+L5+N5+P5+R5+T5+V5+X5+Z5+AB5+AD5+AF5+AH5+AJ5+AL5+AN5+AP5+AR5+AT5+AV5+AX5+AZ5+BB5+BD5+BF5+BH5+BJ5+BL5+BN5+BP5+BR5+BT5+BV5+BX5+BZ5</f>
        <v>2450076.1785170003</v>
      </c>
      <c r="G5" s="107">
        <f>100%/4</f>
        <v>0.25</v>
      </c>
      <c r="H5" s="113">
        <f t="shared" ref="H5:H6" si="72">$C5*G5</f>
        <v>612519.04462925007</v>
      </c>
      <c r="I5" s="107">
        <f>100%/4</f>
        <v>0.25</v>
      </c>
      <c r="J5" s="113">
        <f t="shared" ref="J5:J6" si="73">$C5*I5</f>
        <v>612519.04462925007</v>
      </c>
      <c r="K5" s="107">
        <f>100%/4</f>
        <v>0.25</v>
      </c>
      <c r="L5" s="113">
        <f t="shared" ref="L5:L6" si="74">$C5*K5</f>
        <v>612519.04462925007</v>
      </c>
      <c r="M5" s="107">
        <f>100%/4</f>
        <v>0.25</v>
      </c>
      <c r="N5" s="113">
        <f t="shared" ref="N5:N20" si="75">$C5*M5</f>
        <v>612519.04462925007</v>
      </c>
      <c r="O5" s="107"/>
      <c r="P5" s="113">
        <f t="shared" ref="P5:P20" si="76">$C5*O5</f>
        <v>0</v>
      </c>
      <c r="Q5" s="107"/>
      <c r="R5" s="113">
        <f t="shared" ref="R5:R20" si="77">$C5*Q5</f>
        <v>0</v>
      </c>
      <c r="S5" s="107"/>
      <c r="T5" s="113">
        <f t="shared" ref="T5:T20" si="78">$C5*S5</f>
        <v>0</v>
      </c>
      <c r="U5" s="107"/>
      <c r="V5" s="113">
        <f t="shared" ref="V5:V20" si="79">$C5*U5</f>
        <v>0</v>
      </c>
      <c r="W5" s="107"/>
      <c r="X5" s="113">
        <f t="shared" ref="X5:X20" si="80">$C5*W5</f>
        <v>0</v>
      </c>
      <c r="Y5" s="107"/>
      <c r="Z5" s="113">
        <f t="shared" ref="Z5:Z20" si="81">$C5*Y5</f>
        <v>0</v>
      </c>
      <c r="AA5" s="107"/>
      <c r="AB5" s="113">
        <f t="shared" ref="AB5:AB20" si="82">$C5*AA5</f>
        <v>0</v>
      </c>
      <c r="AC5" s="107"/>
      <c r="AD5" s="113">
        <f t="shared" ref="AD5:AD20" si="83">$C5*AC5</f>
        <v>0</v>
      </c>
      <c r="AE5" s="107"/>
      <c r="AF5" s="113">
        <f t="shared" ref="AF5:AF20" si="84">$C5*AE5</f>
        <v>0</v>
      </c>
      <c r="AG5" s="107"/>
      <c r="AH5" s="113">
        <f t="shared" ref="AH5:AH20" si="85">$C5*AG5</f>
        <v>0</v>
      </c>
      <c r="AI5" s="107"/>
      <c r="AJ5" s="113">
        <f t="shared" ref="AJ5:AJ20" si="86">$C5*AI5</f>
        <v>0</v>
      </c>
      <c r="AK5" s="107"/>
      <c r="AL5" s="113">
        <f t="shared" ref="AL5:AL20" si="87">$C5*AK5</f>
        <v>0</v>
      </c>
      <c r="AM5" s="107"/>
      <c r="AN5" s="113">
        <f t="shared" ref="AN5:AN20" si="88">$C5*AM5</f>
        <v>0</v>
      </c>
      <c r="AO5" s="107"/>
      <c r="AP5" s="113">
        <f t="shared" ref="AP5:AP20" si="89">$C5*AO5</f>
        <v>0</v>
      </c>
      <c r="AQ5" s="107"/>
      <c r="AR5" s="113">
        <f t="shared" ref="AR5:AR20" si="90">$C5*AQ5</f>
        <v>0</v>
      </c>
      <c r="AS5" s="107"/>
      <c r="AT5" s="113">
        <f t="shared" ref="AT5:AT20" si="91">$C5*AS5</f>
        <v>0</v>
      </c>
      <c r="AU5" s="107"/>
      <c r="AV5" s="113">
        <f t="shared" ref="AV5:AV20" si="92">$C5*AU5</f>
        <v>0</v>
      </c>
      <c r="AW5" s="107"/>
      <c r="AX5" s="113">
        <f t="shared" ref="AX5:AX20" si="93">$C5*AW5</f>
        <v>0</v>
      </c>
      <c r="AY5" s="107"/>
      <c r="AZ5" s="113">
        <f t="shared" ref="AZ5:AZ20" si="94">$C5*AY5</f>
        <v>0</v>
      </c>
      <c r="BA5" s="107"/>
      <c r="BB5" s="113">
        <f t="shared" ref="BB5:BB20" si="95">$C5*BA5</f>
        <v>0</v>
      </c>
      <c r="BC5" s="107"/>
      <c r="BD5" s="113">
        <f t="shared" ref="BD5:BD20" si="96">$C5*BC5</f>
        <v>0</v>
      </c>
      <c r="BE5" s="107"/>
      <c r="BF5" s="113">
        <f t="shared" ref="BF5:BF20" si="97">$C5*BE5</f>
        <v>0</v>
      </c>
      <c r="BG5" s="107"/>
      <c r="BH5" s="113">
        <f t="shared" ref="BH5:BH20" si="98">$C5*BG5</f>
        <v>0</v>
      </c>
      <c r="BI5" s="107"/>
      <c r="BJ5" s="113">
        <f t="shared" ref="BJ5:BJ20" si="99">$C5*BI5</f>
        <v>0</v>
      </c>
      <c r="BK5" s="107"/>
      <c r="BL5" s="113">
        <f t="shared" ref="BL5:BL20" si="100">$C5*BK5</f>
        <v>0</v>
      </c>
      <c r="BM5" s="107"/>
      <c r="BN5" s="113">
        <f t="shared" ref="BN5:BN20" si="101">$C5*BM5</f>
        <v>0</v>
      </c>
      <c r="BO5" s="107"/>
      <c r="BP5" s="113">
        <f t="shared" ref="BP5:BP20" si="102">$C5*BO5</f>
        <v>0</v>
      </c>
      <c r="BQ5" s="107"/>
      <c r="BR5" s="113">
        <f t="shared" ref="BR5:BR20" si="103">$C5*BQ5</f>
        <v>0</v>
      </c>
      <c r="BS5" s="107"/>
      <c r="BT5" s="113">
        <f t="shared" ref="BT5:BT20" si="104">$C5*BS5</f>
        <v>0</v>
      </c>
      <c r="BU5" s="107"/>
      <c r="BV5" s="113">
        <f t="shared" ref="BV5:BV20" si="105">$C5*BU5</f>
        <v>0</v>
      </c>
      <c r="BW5" s="107"/>
      <c r="BX5" s="113">
        <f t="shared" ref="BX5:BX20" si="106">$C5*BW5</f>
        <v>0</v>
      </c>
      <c r="BY5" s="107"/>
      <c r="BZ5" s="113">
        <f t="shared" ref="BZ5:BZ20" si="107">$C5*BY5</f>
        <v>0</v>
      </c>
      <c r="CA5" s="107"/>
      <c r="CB5" s="113">
        <f t="shared" si="66"/>
        <v>0</v>
      </c>
      <c r="CC5" s="107"/>
      <c r="CD5" s="113">
        <f t="shared" si="67"/>
        <v>0</v>
      </c>
      <c r="CE5" s="107"/>
      <c r="CF5" s="113">
        <f t="shared" si="68"/>
        <v>0</v>
      </c>
      <c r="CG5" s="107"/>
      <c r="CH5" s="113">
        <f t="shared" si="69"/>
        <v>0</v>
      </c>
    </row>
    <row r="6" spans="2:89" ht="19.5" customHeight="1">
      <c r="B6" s="104" t="s">
        <v>193</v>
      </c>
      <c r="C6" s="105">
        <v>5278318.0955762975</v>
      </c>
      <c r="D6" s="106">
        <v>7.0585399459239903E-2</v>
      </c>
      <c r="E6" s="180">
        <f t="shared" si="70"/>
        <v>1</v>
      </c>
      <c r="F6" s="182">
        <f t="shared" si="71"/>
        <v>5278318.0955762975</v>
      </c>
      <c r="G6" s="107"/>
      <c r="H6" s="108">
        <f t="shared" si="72"/>
        <v>0</v>
      </c>
      <c r="I6" s="107">
        <v>0.33333333333333331</v>
      </c>
      <c r="J6" s="108">
        <f t="shared" si="73"/>
        <v>1759439.365192099</v>
      </c>
      <c r="K6" s="107">
        <v>0.33333333333333331</v>
      </c>
      <c r="L6" s="108">
        <f t="shared" si="74"/>
        <v>1759439.365192099</v>
      </c>
      <c r="M6" s="107">
        <v>0.33333333333333331</v>
      </c>
      <c r="N6" s="108">
        <f t="shared" si="75"/>
        <v>1759439.365192099</v>
      </c>
      <c r="O6" s="107"/>
      <c r="P6" s="108"/>
      <c r="Q6" s="107"/>
      <c r="R6" s="108"/>
      <c r="S6" s="107"/>
      <c r="T6" s="108"/>
      <c r="U6" s="107"/>
      <c r="V6" s="108"/>
      <c r="W6" s="107"/>
      <c r="X6" s="108"/>
      <c r="Y6" s="107"/>
      <c r="Z6" s="108"/>
      <c r="AA6" s="107"/>
      <c r="AB6" s="108"/>
      <c r="AC6" s="107"/>
      <c r="AD6" s="108"/>
      <c r="AE6" s="107"/>
      <c r="AF6" s="108"/>
      <c r="AG6" s="107"/>
      <c r="AH6" s="108"/>
      <c r="AI6" s="107"/>
      <c r="AJ6" s="108"/>
      <c r="AK6" s="107"/>
      <c r="AL6" s="108"/>
      <c r="AM6" s="107"/>
      <c r="AN6" s="108"/>
      <c r="AO6" s="107"/>
      <c r="AP6" s="108"/>
      <c r="AQ6" s="107"/>
      <c r="AR6" s="108"/>
      <c r="AS6" s="107"/>
      <c r="AT6" s="108"/>
      <c r="AU6" s="107"/>
      <c r="AV6" s="108"/>
      <c r="AW6" s="107"/>
      <c r="AX6" s="108"/>
      <c r="AY6" s="107"/>
      <c r="AZ6" s="108"/>
      <c r="BA6" s="107"/>
      <c r="BB6" s="108"/>
      <c r="BC6" s="107"/>
      <c r="BD6" s="108"/>
      <c r="BE6" s="107"/>
      <c r="BF6" s="108"/>
      <c r="BG6" s="107"/>
      <c r="BH6" s="108"/>
      <c r="BI6" s="107"/>
      <c r="BJ6" s="108"/>
      <c r="BK6" s="107"/>
      <c r="BL6" s="108"/>
      <c r="BM6" s="107"/>
      <c r="BN6" s="108"/>
      <c r="BO6" s="107"/>
      <c r="BP6" s="108"/>
      <c r="BQ6" s="107"/>
      <c r="BR6" s="108"/>
      <c r="BS6" s="107"/>
      <c r="BT6" s="108"/>
      <c r="BU6" s="107"/>
      <c r="BV6" s="108"/>
      <c r="BW6" s="107"/>
      <c r="BX6" s="108"/>
      <c r="BY6" s="107"/>
      <c r="BZ6" s="108"/>
      <c r="CA6" s="107"/>
      <c r="CB6" s="108"/>
      <c r="CC6" s="107"/>
      <c r="CD6" s="108"/>
      <c r="CE6" s="107"/>
      <c r="CF6" s="108"/>
      <c r="CG6" s="107"/>
      <c r="CH6" s="108"/>
      <c r="CI6" s="109"/>
      <c r="CJ6" s="109"/>
      <c r="CK6" s="109"/>
    </row>
    <row r="7" spans="2:89" ht="18.75" customHeight="1">
      <c r="B7" s="110" t="s">
        <v>127</v>
      </c>
      <c r="C7" s="111">
        <v>1644604.5753569845</v>
      </c>
      <c r="D7" s="112">
        <v>2.1992814529566914E-2</v>
      </c>
      <c r="E7" s="181">
        <f t="shared" si="70"/>
        <v>1</v>
      </c>
      <c r="F7" s="182">
        <f t="shared" si="71"/>
        <v>1644604.5753569845</v>
      </c>
      <c r="G7" s="107"/>
      <c r="H7" s="113">
        <f t="shared" ref="H7:H20" si="108">$C7*G7</f>
        <v>0</v>
      </c>
      <c r="I7" s="107"/>
      <c r="J7" s="113">
        <f t="shared" ref="J7:J20" si="109">$C7*I7</f>
        <v>0</v>
      </c>
      <c r="K7" s="107"/>
      <c r="L7" s="113">
        <f t="shared" ref="L7:L20" si="110">$C7*K7</f>
        <v>0</v>
      </c>
      <c r="M7" s="107">
        <v>0.25</v>
      </c>
      <c r="N7" s="113">
        <f t="shared" si="75"/>
        <v>411151.14383924613</v>
      </c>
      <c r="O7" s="107">
        <v>0.25</v>
      </c>
      <c r="P7" s="113">
        <f t="shared" ref="P7" si="111">$C7*O7</f>
        <v>411151.14383924613</v>
      </c>
      <c r="Q7" s="107">
        <v>0.25</v>
      </c>
      <c r="R7" s="113">
        <f t="shared" ref="R7" si="112">$C7*Q7</f>
        <v>411151.14383924613</v>
      </c>
      <c r="S7" s="107">
        <v>0.25</v>
      </c>
      <c r="T7" s="113">
        <f t="shared" ref="T7" si="113">$C7*S7</f>
        <v>411151.14383924613</v>
      </c>
      <c r="U7" s="107"/>
      <c r="V7" s="113">
        <f t="shared" si="79"/>
        <v>0</v>
      </c>
      <c r="W7" s="107"/>
      <c r="X7" s="113">
        <f t="shared" si="80"/>
        <v>0</v>
      </c>
      <c r="Y7" s="107"/>
      <c r="Z7" s="113">
        <f t="shared" si="81"/>
        <v>0</v>
      </c>
      <c r="AA7" s="107"/>
      <c r="AB7" s="113">
        <f t="shared" si="82"/>
        <v>0</v>
      </c>
      <c r="AC7" s="107"/>
      <c r="AD7" s="113">
        <f t="shared" si="83"/>
        <v>0</v>
      </c>
      <c r="AE7" s="107"/>
      <c r="AF7" s="113">
        <f t="shared" si="84"/>
        <v>0</v>
      </c>
      <c r="AG7" s="107"/>
      <c r="AH7" s="113">
        <f t="shared" si="85"/>
        <v>0</v>
      </c>
      <c r="AI7" s="107"/>
      <c r="AJ7" s="113">
        <f t="shared" si="86"/>
        <v>0</v>
      </c>
      <c r="AK7" s="107"/>
      <c r="AL7" s="113">
        <f t="shared" si="87"/>
        <v>0</v>
      </c>
      <c r="AM7" s="107"/>
      <c r="AN7" s="113">
        <f t="shared" si="88"/>
        <v>0</v>
      </c>
      <c r="AO7" s="107"/>
      <c r="AP7" s="113">
        <f t="shared" si="89"/>
        <v>0</v>
      </c>
      <c r="AQ7" s="107"/>
      <c r="AR7" s="113">
        <f t="shared" si="90"/>
        <v>0</v>
      </c>
      <c r="AS7" s="107"/>
      <c r="AT7" s="113">
        <f t="shared" si="91"/>
        <v>0</v>
      </c>
      <c r="AU7" s="107"/>
      <c r="AV7" s="113">
        <f t="shared" si="92"/>
        <v>0</v>
      </c>
      <c r="AW7" s="107"/>
      <c r="AX7" s="113">
        <f t="shared" si="93"/>
        <v>0</v>
      </c>
      <c r="AY7" s="107"/>
      <c r="AZ7" s="113">
        <f t="shared" si="94"/>
        <v>0</v>
      </c>
      <c r="BA7" s="107"/>
      <c r="BB7" s="113">
        <f t="shared" si="95"/>
        <v>0</v>
      </c>
      <c r="BC7" s="107"/>
      <c r="BD7" s="113">
        <f t="shared" si="96"/>
        <v>0</v>
      </c>
      <c r="BE7" s="107"/>
      <c r="BF7" s="113">
        <f t="shared" si="97"/>
        <v>0</v>
      </c>
      <c r="BG7" s="107"/>
      <c r="BH7" s="113">
        <f t="shared" si="98"/>
        <v>0</v>
      </c>
      <c r="BI7" s="107"/>
      <c r="BJ7" s="113">
        <f t="shared" si="99"/>
        <v>0</v>
      </c>
      <c r="BK7" s="107"/>
      <c r="BL7" s="113">
        <f t="shared" si="100"/>
        <v>0</v>
      </c>
      <c r="BM7" s="107"/>
      <c r="BN7" s="113">
        <f t="shared" si="101"/>
        <v>0</v>
      </c>
      <c r="BO7" s="107"/>
      <c r="BP7" s="113">
        <f t="shared" si="102"/>
        <v>0</v>
      </c>
      <c r="BQ7" s="107"/>
      <c r="BR7" s="113">
        <f t="shared" si="103"/>
        <v>0</v>
      </c>
      <c r="BS7" s="107"/>
      <c r="BT7" s="113">
        <f t="shared" si="104"/>
        <v>0</v>
      </c>
      <c r="BU7" s="107"/>
      <c r="BV7" s="113">
        <f t="shared" si="105"/>
        <v>0</v>
      </c>
      <c r="BW7" s="107"/>
      <c r="BX7" s="113">
        <f t="shared" si="106"/>
        <v>0</v>
      </c>
      <c r="BY7" s="107"/>
      <c r="BZ7" s="113">
        <f t="shared" si="107"/>
        <v>0</v>
      </c>
      <c r="CA7" s="107"/>
      <c r="CB7" s="113">
        <f t="shared" si="66"/>
        <v>0</v>
      </c>
      <c r="CC7" s="107"/>
      <c r="CD7" s="113">
        <f t="shared" si="67"/>
        <v>0</v>
      </c>
      <c r="CE7" s="107"/>
      <c r="CF7" s="113">
        <f t="shared" si="68"/>
        <v>0</v>
      </c>
      <c r="CG7" s="107"/>
      <c r="CH7" s="113">
        <f t="shared" si="69"/>
        <v>0</v>
      </c>
    </row>
    <row r="8" spans="2:89" ht="19.5" customHeight="1">
      <c r="B8" s="104" t="s">
        <v>130</v>
      </c>
      <c r="C8" s="105">
        <v>13332388.970733417</v>
      </c>
      <c r="D8" s="106">
        <v>0.1782901265526011</v>
      </c>
      <c r="E8" s="180">
        <f t="shared" si="70"/>
        <v>0.99999999999999967</v>
      </c>
      <c r="F8" s="182">
        <f t="shared" si="71"/>
        <v>13332388.970733415</v>
      </c>
      <c r="G8" s="107"/>
      <c r="H8" s="108">
        <f t="shared" si="108"/>
        <v>0</v>
      </c>
      <c r="I8" s="107"/>
      <c r="J8" s="108">
        <f t="shared" si="109"/>
        <v>0</v>
      </c>
      <c r="K8" s="107"/>
      <c r="L8" s="108">
        <f t="shared" si="110"/>
        <v>0</v>
      </c>
      <c r="M8" s="107"/>
      <c r="N8" s="108">
        <f t="shared" si="75"/>
        <v>0</v>
      </c>
      <c r="O8" s="107"/>
      <c r="P8" s="108">
        <f t="shared" si="76"/>
        <v>0</v>
      </c>
      <c r="Q8" s="107"/>
      <c r="R8" s="108">
        <f t="shared" si="77"/>
        <v>0</v>
      </c>
      <c r="S8" s="107"/>
      <c r="T8" s="108">
        <f t="shared" si="78"/>
        <v>0</v>
      </c>
      <c r="U8" s="107">
        <v>4.7499999999999994E-2</v>
      </c>
      <c r="V8" s="108">
        <f t="shared" si="79"/>
        <v>633288.47610983718</v>
      </c>
      <c r="W8" s="107">
        <v>8.659090909090908E-2</v>
      </c>
      <c r="X8" s="108">
        <f t="shared" si="80"/>
        <v>1154463.6813294161</v>
      </c>
      <c r="Y8" s="107">
        <v>8.659090909090908E-2</v>
      </c>
      <c r="Z8" s="108">
        <f t="shared" si="81"/>
        <v>1154463.6813294161</v>
      </c>
      <c r="AA8" s="107">
        <v>8.659090909090908E-2</v>
      </c>
      <c r="AB8" s="108">
        <f t="shared" si="82"/>
        <v>1154463.6813294161</v>
      </c>
      <c r="AC8" s="107">
        <v>8.659090909090908E-2</v>
      </c>
      <c r="AD8" s="108">
        <f t="shared" si="83"/>
        <v>1154463.6813294161</v>
      </c>
      <c r="AE8" s="107">
        <v>8.659090909090908E-2</v>
      </c>
      <c r="AF8" s="108">
        <f t="shared" si="84"/>
        <v>1154463.6813294161</v>
      </c>
      <c r="AG8" s="107">
        <v>8.659090909090908E-2</v>
      </c>
      <c r="AH8" s="108">
        <f t="shared" si="85"/>
        <v>1154463.6813294161</v>
      </c>
      <c r="AI8" s="107">
        <v>8.659090909090908E-2</v>
      </c>
      <c r="AJ8" s="108">
        <f t="shared" si="86"/>
        <v>1154463.6813294161</v>
      </c>
      <c r="AK8" s="107">
        <v>8.659090909090908E-2</v>
      </c>
      <c r="AL8" s="108">
        <f t="shared" si="87"/>
        <v>1154463.6813294161</v>
      </c>
      <c r="AM8" s="107">
        <v>8.659090909090908E-2</v>
      </c>
      <c r="AN8" s="108">
        <f t="shared" si="88"/>
        <v>1154463.6813294161</v>
      </c>
      <c r="AO8" s="107">
        <v>8.659090909090908E-2</v>
      </c>
      <c r="AP8" s="108">
        <f t="shared" si="89"/>
        <v>1154463.6813294161</v>
      </c>
      <c r="AQ8" s="107">
        <v>8.659090909090908E-2</v>
      </c>
      <c r="AR8" s="108">
        <f t="shared" si="90"/>
        <v>1154463.6813294161</v>
      </c>
      <c r="AS8" s="107"/>
      <c r="AT8" s="108">
        <f t="shared" si="91"/>
        <v>0</v>
      </c>
      <c r="AU8" s="107"/>
      <c r="AV8" s="108">
        <f t="shared" si="92"/>
        <v>0</v>
      </c>
      <c r="AW8" s="107"/>
      <c r="AX8" s="108">
        <f t="shared" si="93"/>
        <v>0</v>
      </c>
      <c r="AY8" s="107"/>
      <c r="AZ8" s="108">
        <f t="shared" si="94"/>
        <v>0</v>
      </c>
      <c r="BA8" s="107"/>
      <c r="BB8" s="108">
        <f t="shared" si="95"/>
        <v>0</v>
      </c>
      <c r="BC8" s="107"/>
      <c r="BD8" s="108">
        <f t="shared" si="96"/>
        <v>0</v>
      </c>
      <c r="BE8" s="107"/>
      <c r="BF8" s="108">
        <f t="shared" si="97"/>
        <v>0</v>
      </c>
      <c r="BG8" s="107"/>
      <c r="BH8" s="108">
        <f t="shared" si="98"/>
        <v>0</v>
      </c>
      <c r="BI8" s="107"/>
      <c r="BJ8" s="108">
        <f t="shared" si="99"/>
        <v>0</v>
      </c>
      <c r="BK8" s="107"/>
      <c r="BL8" s="108">
        <f t="shared" si="100"/>
        <v>0</v>
      </c>
      <c r="BM8" s="107"/>
      <c r="BN8" s="108">
        <f t="shared" si="101"/>
        <v>0</v>
      </c>
      <c r="BO8" s="107"/>
      <c r="BP8" s="108">
        <f t="shared" si="102"/>
        <v>0</v>
      </c>
      <c r="BQ8" s="107"/>
      <c r="BR8" s="108">
        <f t="shared" si="103"/>
        <v>0</v>
      </c>
      <c r="BS8" s="107"/>
      <c r="BT8" s="108">
        <f t="shared" si="104"/>
        <v>0</v>
      </c>
      <c r="BU8" s="107"/>
      <c r="BV8" s="108">
        <f t="shared" si="105"/>
        <v>0</v>
      </c>
      <c r="BW8" s="107"/>
      <c r="BX8" s="108">
        <f t="shared" si="106"/>
        <v>0</v>
      </c>
      <c r="BY8" s="107"/>
      <c r="BZ8" s="108">
        <f t="shared" si="107"/>
        <v>0</v>
      </c>
      <c r="CA8" s="107"/>
      <c r="CB8" s="108">
        <f t="shared" si="66"/>
        <v>0</v>
      </c>
      <c r="CC8" s="107"/>
      <c r="CD8" s="108">
        <f t="shared" si="67"/>
        <v>0</v>
      </c>
      <c r="CE8" s="107"/>
      <c r="CF8" s="108">
        <f t="shared" si="68"/>
        <v>0</v>
      </c>
      <c r="CG8" s="107"/>
      <c r="CH8" s="108">
        <f t="shared" si="69"/>
        <v>0</v>
      </c>
      <c r="CI8" s="109"/>
      <c r="CJ8" s="109"/>
      <c r="CK8" s="109"/>
    </row>
    <row r="9" spans="2:89" ht="19.5" customHeight="1">
      <c r="B9" s="110" t="s">
        <v>132</v>
      </c>
      <c r="C9" s="111">
        <v>3148673.3767500008</v>
      </c>
      <c r="D9" s="112">
        <v>4.2106285381102407E-2</v>
      </c>
      <c r="E9" s="181">
        <f t="shared" si="70"/>
        <v>1</v>
      </c>
      <c r="F9" s="182">
        <f t="shared" si="71"/>
        <v>3148673.3767499989</v>
      </c>
      <c r="G9" s="107"/>
      <c r="H9" s="113">
        <f t="shared" si="108"/>
        <v>0</v>
      </c>
      <c r="I9" s="107"/>
      <c r="J9" s="113">
        <f t="shared" si="109"/>
        <v>0</v>
      </c>
      <c r="K9" s="107"/>
      <c r="L9" s="113">
        <f t="shared" si="110"/>
        <v>0</v>
      </c>
      <c r="M9" s="107"/>
      <c r="N9" s="113">
        <f t="shared" si="75"/>
        <v>0</v>
      </c>
      <c r="O9" s="107"/>
      <c r="P9" s="113">
        <f t="shared" si="76"/>
        <v>0</v>
      </c>
      <c r="Q9" s="107"/>
      <c r="R9" s="113">
        <f t="shared" si="77"/>
        <v>0</v>
      </c>
      <c r="S9" s="107"/>
      <c r="T9" s="113">
        <f t="shared" si="78"/>
        <v>0</v>
      </c>
      <c r="U9" s="107"/>
      <c r="V9" s="113">
        <f t="shared" si="79"/>
        <v>0</v>
      </c>
      <c r="W9" s="107"/>
      <c r="X9" s="113">
        <f t="shared" si="80"/>
        <v>0</v>
      </c>
      <c r="Y9" s="107"/>
      <c r="Z9" s="113">
        <f t="shared" si="81"/>
        <v>0</v>
      </c>
      <c r="AA9" s="107">
        <v>3.3529411764705877E-2</v>
      </c>
      <c r="AB9" s="113">
        <f t="shared" si="82"/>
        <v>105573.16616161766</v>
      </c>
      <c r="AC9" s="107">
        <v>6.0404411764705873E-2</v>
      </c>
      <c r="AD9" s="113">
        <f t="shared" si="83"/>
        <v>190193.76316177391</v>
      </c>
      <c r="AE9" s="107">
        <v>6.0404411764705873E-2</v>
      </c>
      <c r="AF9" s="113">
        <f t="shared" si="84"/>
        <v>190193.76316177391</v>
      </c>
      <c r="AG9" s="107">
        <v>6.0404411764705873E-2</v>
      </c>
      <c r="AH9" s="113">
        <f t="shared" si="85"/>
        <v>190193.76316177391</v>
      </c>
      <c r="AI9" s="107">
        <v>6.0404411764705873E-2</v>
      </c>
      <c r="AJ9" s="113">
        <f t="shared" si="86"/>
        <v>190193.76316177391</v>
      </c>
      <c r="AK9" s="107">
        <v>6.0404411764705873E-2</v>
      </c>
      <c r="AL9" s="113">
        <f t="shared" si="87"/>
        <v>190193.76316177391</v>
      </c>
      <c r="AM9" s="107">
        <v>6.0404411764705873E-2</v>
      </c>
      <c r="AN9" s="113">
        <f t="shared" si="88"/>
        <v>190193.76316177391</v>
      </c>
      <c r="AO9" s="107">
        <v>6.0404411764705873E-2</v>
      </c>
      <c r="AP9" s="113">
        <f t="shared" si="89"/>
        <v>190193.76316177391</v>
      </c>
      <c r="AQ9" s="107">
        <v>6.0404411764705873E-2</v>
      </c>
      <c r="AR9" s="113">
        <f t="shared" si="90"/>
        <v>190193.76316177391</v>
      </c>
      <c r="AS9" s="107">
        <v>6.0404411764705873E-2</v>
      </c>
      <c r="AT9" s="113">
        <f t="shared" si="91"/>
        <v>190193.76316177391</v>
      </c>
      <c r="AU9" s="107">
        <v>6.0404411764705873E-2</v>
      </c>
      <c r="AV9" s="113">
        <f t="shared" si="92"/>
        <v>190193.76316177391</v>
      </c>
      <c r="AW9" s="107">
        <v>6.0404411764705873E-2</v>
      </c>
      <c r="AX9" s="113">
        <f t="shared" si="93"/>
        <v>190193.76316177391</v>
      </c>
      <c r="AY9" s="107">
        <v>6.0404411764705873E-2</v>
      </c>
      <c r="AZ9" s="113">
        <f t="shared" si="94"/>
        <v>190193.76316177391</v>
      </c>
      <c r="BA9" s="107">
        <v>6.0404411764705873E-2</v>
      </c>
      <c r="BB9" s="113">
        <f t="shared" si="95"/>
        <v>190193.76316177391</v>
      </c>
      <c r="BC9" s="107">
        <v>6.0404411764705873E-2</v>
      </c>
      <c r="BD9" s="113">
        <f t="shared" si="96"/>
        <v>190193.76316177391</v>
      </c>
      <c r="BE9" s="107">
        <v>6.0404411764705873E-2</v>
      </c>
      <c r="BF9" s="113">
        <f t="shared" si="97"/>
        <v>190193.76316177391</v>
      </c>
      <c r="BG9" s="107">
        <v>6.0404411764705873E-2</v>
      </c>
      <c r="BH9" s="113">
        <f t="shared" si="98"/>
        <v>190193.76316177391</v>
      </c>
      <c r="BI9" s="107"/>
      <c r="BJ9" s="113">
        <f t="shared" si="99"/>
        <v>0</v>
      </c>
      <c r="BK9" s="107"/>
      <c r="BL9" s="113">
        <f t="shared" si="100"/>
        <v>0</v>
      </c>
      <c r="BM9" s="107"/>
      <c r="BN9" s="113">
        <f t="shared" si="101"/>
        <v>0</v>
      </c>
      <c r="BO9" s="107"/>
      <c r="BP9" s="113">
        <f t="shared" si="102"/>
        <v>0</v>
      </c>
      <c r="BQ9" s="107"/>
      <c r="BR9" s="113">
        <f t="shared" si="103"/>
        <v>0</v>
      </c>
      <c r="BS9" s="107"/>
      <c r="BT9" s="113">
        <f t="shared" si="104"/>
        <v>0</v>
      </c>
      <c r="BU9" s="107"/>
      <c r="BV9" s="113">
        <f t="shared" si="105"/>
        <v>0</v>
      </c>
      <c r="BW9" s="107"/>
      <c r="BX9" s="113">
        <f t="shared" si="106"/>
        <v>0</v>
      </c>
      <c r="BY9" s="107"/>
      <c r="BZ9" s="113">
        <f t="shared" si="107"/>
        <v>0</v>
      </c>
      <c r="CA9" s="107"/>
      <c r="CB9" s="113">
        <f t="shared" si="66"/>
        <v>0</v>
      </c>
      <c r="CC9" s="107"/>
      <c r="CD9" s="113">
        <f t="shared" si="67"/>
        <v>0</v>
      </c>
      <c r="CE9" s="107"/>
      <c r="CF9" s="113">
        <f t="shared" si="68"/>
        <v>0</v>
      </c>
      <c r="CG9" s="107"/>
      <c r="CH9" s="113">
        <f t="shared" si="69"/>
        <v>0</v>
      </c>
    </row>
    <row r="10" spans="2:89" ht="19.5" customHeight="1">
      <c r="B10" s="104" t="s">
        <v>135</v>
      </c>
      <c r="C10" s="105">
        <v>5267209.7280000001</v>
      </c>
      <c r="D10" s="106">
        <v>7.0436850518362279E-2</v>
      </c>
      <c r="E10" s="180">
        <f t="shared" si="70"/>
        <v>0.99999999999999967</v>
      </c>
      <c r="F10" s="182">
        <f t="shared" si="71"/>
        <v>5267209.7280000011</v>
      </c>
      <c r="G10" s="107"/>
      <c r="H10" s="108">
        <f t="shared" si="108"/>
        <v>0</v>
      </c>
      <c r="I10" s="107"/>
      <c r="J10" s="108">
        <f t="shared" si="109"/>
        <v>0</v>
      </c>
      <c r="K10" s="107"/>
      <c r="L10" s="108">
        <f t="shared" si="110"/>
        <v>0</v>
      </c>
      <c r="M10" s="107"/>
      <c r="N10" s="108">
        <f t="shared" si="75"/>
        <v>0</v>
      </c>
      <c r="O10" s="107"/>
      <c r="P10" s="108">
        <f t="shared" si="76"/>
        <v>0</v>
      </c>
      <c r="Q10" s="107"/>
      <c r="R10" s="108">
        <f t="shared" si="77"/>
        <v>0</v>
      </c>
      <c r="S10" s="107"/>
      <c r="T10" s="108">
        <f t="shared" si="78"/>
        <v>0</v>
      </c>
      <c r="U10" s="107"/>
      <c r="V10" s="108">
        <f t="shared" si="79"/>
        <v>0</v>
      </c>
      <c r="W10" s="107"/>
      <c r="X10" s="108">
        <f t="shared" si="80"/>
        <v>0</v>
      </c>
      <c r="Y10" s="107"/>
      <c r="Z10" s="108">
        <f t="shared" si="81"/>
        <v>0</v>
      </c>
      <c r="AA10" s="107"/>
      <c r="AB10" s="108">
        <f t="shared" si="82"/>
        <v>0</v>
      </c>
      <c r="AC10" s="107"/>
      <c r="AD10" s="108">
        <f t="shared" si="83"/>
        <v>0</v>
      </c>
      <c r="AE10" s="107">
        <v>7.1428571428571425E-2</v>
      </c>
      <c r="AF10" s="108">
        <f t="shared" si="84"/>
        <v>376229.26628571429</v>
      </c>
      <c r="AG10" s="107">
        <v>7.1428571428571425E-2</v>
      </c>
      <c r="AH10" s="108">
        <f t="shared" si="85"/>
        <v>376229.26628571429</v>
      </c>
      <c r="AI10" s="107">
        <v>7.1428571428571425E-2</v>
      </c>
      <c r="AJ10" s="108">
        <f t="shared" si="86"/>
        <v>376229.26628571429</v>
      </c>
      <c r="AK10" s="107">
        <v>7.1428571428571425E-2</v>
      </c>
      <c r="AL10" s="108">
        <f t="shared" si="87"/>
        <v>376229.26628571429</v>
      </c>
      <c r="AM10" s="107">
        <v>7.1428571428571425E-2</v>
      </c>
      <c r="AN10" s="108">
        <f t="shared" si="88"/>
        <v>376229.26628571429</v>
      </c>
      <c r="AO10" s="107">
        <v>7.1428571428571425E-2</v>
      </c>
      <c r="AP10" s="108">
        <f t="shared" si="89"/>
        <v>376229.26628571429</v>
      </c>
      <c r="AQ10" s="107">
        <v>7.1428571428571425E-2</v>
      </c>
      <c r="AR10" s="108">
        <f t="shared" si="90"/>
        <v>376229.26628571429</v>
      </c>
      <c r="AS10" s="107">
        <v>7.1428571428571425E-2</v>
      </c>
      <c r="AT10" s="108">
        <f t="shared" si="91"/>
        <v>376229.26628571429</v>
      </c>
      <c r="AU10" s="107">
        <v>7.1428571428571425E-2</v>
      </c>
      <c r="AV10" s="108">
        <f t="shared" si="92"/>
        <v>376229.26628571429</v>
      </c>
      <c r="AW10" s="107">
        <v>7.1428571428571425E-2</v>
      </c>
      <c r="AX10" s="108">
        <f t="shared" si="93"/>
        <v>376229.26628571429</v>
      </c>
      <c r="AY10" s="107">
        <v>7.1428571428571425E-2</v>
      </c>
      <c r="AZ10" s="108">
        <f t="shared" si="94"/>
        <v>376229.26628571429</v>
      </c>
      <c r="BA10" s="107">
        <v>7.1428571428571425E-2</v>
      </c>
      <c r="BB10" s="108">
        <f t="shared" si="95"/>
        <v>376229.26628571429</v>
      </c>
      <c r="BC10" s="107">
        <v>7.1428571428571425E-2</v>
      </c>
      <c r="BD10" s="108">
        <f t="shared" si="96"/>
        <v>376229.26628571429</v>
      </c>
      <c r="BE10" s="107">
        <v>7.1428571428571425E-2</v>
      </c>
      <c r="BF10" s="108">
        <f t="shared" si="97"/>
        <v>376229.26628571429</v>
      </c>
      <c r="BG10" s="107"/>
      <c r="BH10" s="108">
        <f t="shared" si="98"/>
        <v>0</v>
      </c>
      <c r="BI10" s="107"/>
      <c r="BJ10" s="108">
        <f t="shared" si="99"/>
        <v>0</v>
      </c>
      <c r="BK10" s="107"/>
      <c r="BL10" s="108">
        <f t="shared" si="100"/>
        <v>0</v>
      </c>
      <c r="BM10" s="107"/>
      <c r="BN10" s="108">
        <f t="shared" si="101"/>
        <v>0</v>
      </c>
      <c r="BO10" s="107"/>
      <c r="BP10" s="108">
        <f t="shared" si="102"/>
        <v>0</v>
      </c>
      <c r="BQ10" s="107"/>
      <c r="BR10" s="108">
        <f t="shared" si="103"/>
        <v>0</v>
      </c>
      <c r="BS10" s="107"/>
      <c r="BT10" s="108">
        <f t="shared" si="104"/>
        <v>0</v>
      </c>
      <c r="BU10" s="107"/>
      <c r="BV10" s="108">
        <f t="shared" si="105"/>
        <v>0</v>
      </c>
      <c r="BW10" s="107"/>
      <c r="BX10" s="108">
        <f t="shared" si="106"/>
        <v>0</v>
      </c>
      <c r="BY10" s="107"/>
      <c r="BZ10" s="108">
        <f t="shared" si="107"/>
        <v>0</v>
      </c>
      <c r="CA10" s="107"/>
      <c r="CB10" s="108">
        <f t="shared" si="66"/>
        <v>0</v>
      </c>
      <c r="CC10" s="107"/>
      <c r="CD10" s="108">
        <f t="shared" si="67"/>
        <v>0</v>
      </c>
      <c r="CE10" s="107"/>
      <c r="CF10" s="108">
        <f t="shared" si="68"/>
        <v>0</v>
      </c>
      <c r="CG10" s="107"/>
      <c r="CH10" s="108">
        <f t="shared" si="69"/>
        <v>0</v>
      </c>
      <c r="CI10" s="109"/>
      <c r="CJ10" s="109"/>
      <c r="CK10" s="109"/>
    </row>
    <row r="11" spans="2:89" ht="19.5" customHeight="1">
      <c r="B11" s="110" t="s">
        <v>137</v>
      </c>
      <c r="C11" s="111">
        <v>6870035.2080000006</v>
      </c>
      <c r="D11" s="112">
        <v>9.1870965461920931E-2</v>
      </c>
      <c r="E11" s="181">
        <f t="shared" si="70"/>
        <v>1</v>
      </c>
      <c r="F11" s="182">
        <f t="shared" si="71"/>
        <v>6870035.2080000034</v>
      </c>
      <c r="G11" s="107"/>
      <c r="H11" s="113">
        <f t="shared" si="108"/>
        <v>0</v>
      </c>
      <c r="I11" s="107"/>
      <c r="J11" s="113">
        <f t="shared" si="109"/>
        <v>0</v>
      </c>
      <c r="K11" s="107"/>
      <c r="L11" s="113">
        <f t="shared" si="110"/>
        <v>0</v>
      </c>
      <c r="M11" s="107"/>
      <c r="N11" s="113">
        <f t="shared" si="75"/>
        <v>0</v>
      </c>
      <c r="O11" s="107"/>
      <c r="P11" s="113">
        <f t="shared" si="76"/>
        <v>0</v>
      </c>
      <c r="Q11" s="107"/>
      <c r="R11" s="113">
        <f t="shared" si="77"/>
        <v>0</v>
      </c>
      <c r="S11" s="107"/>
      <c r="T11" s="113">
        <f t="shared" si="78"/>
        <v>0</v>
      </c>
      <c r="U11" s="107"/>
      <c r="V11" s="113">
        <f t="shared" si="79"/>
        <v>0</v>
      </c>
      <c r="W11" s="107"/>
      <c r="X11" s="113">
        <f t="shared" si="80"/>
        <v>0</v>
      </c>
      <c r="Y11" s="107"/>
      <c r="Z11" s="113">
        <f t="shared" si="81"/>
        <v>0</v>
      </c>
      <c r="AA11" s="107"/>
      <c r="AB11" s="113">
        <f t="shared" si="82"/>
        <v>0</v>
      </c>
      <c r="AC11" s="107"/>
      <c r="AD11" s="113">
        <f t="shared" si="83"/>
        <v>0</v>
      </c>
      <c r="AE11" s="107"/>
      <c r="AF11" s="113">
        <f t="shared" si="84"/>
        <v>0</v>
      </c>
      <c r="AG11" s="107"/>
      <c r="AH11" s="113">
        <f t="shared" si="85"/>
        <v>0</v>
      </c>
      <c r="AI11" s="107"/>
      <c r="AJ11" s="113">
        <f t="shared" si="86"/>
        <v>0</v>
      </c>
      <c r="AK11" s="107"/>
      <c r="AL11" s="113">
        <f t="shared" si="87"/>
        <v>0</v>
      </c>
      <c r="AM11" s="107"/>
      <c r="AN11" s="113">
        <f t="shared" si="88"/>
        <v>0</v>
      </c>
      <c r="AO11" s="107"/>
      <c r="AP11" s="113">
        <f t="shared" si="89"/>
        <v>0</v>
      </c>
      <c r="AQ11" s="107"/>
      <c r="AR11" s="113">
        <f t="shared" si="90"/>
        <v>0</v>
      </c>
      <c r="AS11" s="107">
        <f>100%/16</f>
        <v>6.25E-2</v>
      </c>
      <c r="AT11" s="113">
        <f t="shared" si="91"/>
        <v>429377.20050000004</v>
      </c>
      <c r="AU11" s="107">
        <f t="shared" ref="AU11" si="114">100%/16</f>
        <v>6.25E-2</v>
      </c>
      <c r="AV11" s="113">
        <f t="shared" si="92"/>
        <v>429377.20050000004</v>
      </c>
      <c r="AW11" s="107">
        <f t="shared" ref="AW11" si="115">100%/16</f>
        <v>6.25E-2</v>
      </c>
      <c r="AX11" s="113">
        <f t="shared" si="93"/>
        <v>429377.20050000004</v>
      </c>
      <c r="AY11" s="107">
        <f t="shared" ref="AY11" si="116">100%/16</f>
        <v>6.25E-2</v>
      </c>
      <c r="AZ11" s="113">
        <f t="shared" si="94"/>
        <v>429377.20050000004</v>
      </c>
      <c r="BA11" s="107">
        <f t="shared" ref="BA11" si="117">100%/16</f>
        <v>6.25E-2</v>
      </c>
      <c r="BB11" s="113">
        <f t="shared" si="95"/>
        <v>429377.20050000004</v>
      </c>
      <c r="BC11" s="107">
        <f t="shared" ref="BC11" si="118">100%/16</f>
        <v>6.25E-2</v>
      </c>
      <c r="BD11" s="113">
        <f t="shared" si="96"/>
        <v>429377.20050000004</v>
      </c>
      <c r="BE11" s="107">
        <f t="shared" ref="BE11" si="119">100%/16</f>
        <v>6.25E-2</v>
      </c>
      <c r="BF11" s="113">
        <f t="shared" si="97"/>
        <v>429377.20050000004</v>
      </c>
      <c r="BG11" s="107">
        <f t="shared" ref="BG11" si="120">100%/16</f>
        <v>6.25E-2</v>
      </c>
      <c r="BH11" s="113">
        <f t="shared" si="98"/>
        <v>429377.20050000004</v>
      </c>
      <c r="BI11" s="107">
        <f t="shared" ref="BI11" si="121">100%/16</f>
        <v>6.25E-2</v>
      </c>
      <c r="BJ11" s="113">
        <f t="shared" si="99"/>
        <v>429377.20050000004</v>
      </c>
      <c r="BK11" s="107">
        <f t="shared" ref="BK11" si="122">100%/16</f>
        <v>6.25E-2</v>
      </c>
      <c r="BL11" s="113">
        <f t="shared" si="100"/>
        <v>429377.20050000004</v>
      </c>
      <c r="BM11" s="107">
        <f t="shared" ref="BM11" si="123">100%/16</f>
        <v>6.25E-2</v>
      </c>
      <c r="BN11" s="113">
        <f t="shared" si="101"/>
        <v>429377.20050000004</v>
      </c>
      <c r="BO11" s="107">
        <f t="shared" ref="BO11" si="124">100%/16</f>
        <v>6.25E-2</v>
      </c>
      <c r="BP11" s="113">
        <f t="shared" si="102"/>
        <v>429377.20050000004</v>
      </c>
      <c r="BQ11" s="107">
        <f t="shared" ref="BQ11" si="125">100%/16</f>
        <v>6.25E-2</v>
      </c>
      <c r="BR11" s="113">
        <f t="shared" si="103"/>
        <v>429377.20050000004</v>
      </c>
      <c r="BS11" s="107">
        <f t="shared" ref="BS11" si="126">100%/16</f>
        <v>6.25E-2</v>
      </c>
      <c r="BT11" s="113">
        <f t="shared" si="104"/>
        <v>429377.20050000004</v>
      </c>
      <c r="BU11" s="107">
        <f t="shared" ref="BU11" si="127">100%/16</f>
        <v>6.25E-2</v>
      </c>
      <c r="BV11" s="113">
        <f t="shared" si="105"/>
        <v>429377.20050000004</v>
      </c>
      <c r="BW11" s="107">
        <f t="shared" ref="BW11" si="128">100%/16</f>
        <v>6.25E-2</v>
      </c>
      <c r="BX11" s="113">
        <f t="shared" si="106"/>
        <v>429377.20050000004</v>
      </c>
      <c r="BY11" s="107"/>
      <c r="BZ11" s="113">
        <f t="shared" si="107"/>
        <v>0</v>
      </c>
      <c r="CA11" s="107"/>
      <c r="CB11" s="113">
        <f t="shared" si="66"/>
        <v>0</v>
      </c>
      <c r="CC11" s="107"/>
      <c r="CD11" s="113">
        <f t="shared" si="67"/>
        <v>0</v>
      </c>
      <c r="CE11" s="107"/>
      <c r="CF11" s="113">
        <f t="shared" si="68"/>
        <v>0</v>
      </c>
      <c r="CG11" s="107"/>
      <c r="CH11" s="113">
        <f t="shared" si="69"/>
        <v>0</v>
      </c>
    </row>
    <row r="12" spans="2:89" ht="19.5" customHeight="1">
      <c r="B12" s="104" t="s">
        <v>139</v>
      </c>
      <c r="C12" s="105">
        <v>1100757.3433999999</v>
      </c>
      <c r="D12" s="106">
        <v>1.4720105038136687E-2</v>
      </c>
      <c r="E12" s="180">
        <f t="shared" si="70"/>
        <v>0.99999999999999967</v>
      </c>
      <c r="F12" s="182">
        <f t="shared" si="71"/>
        <v>1100757.3433999997</v>
      </c>
      <c r="G12" s="107"/>
      <c r="H12" s="108">
        <f t="shared" si="108"/>
        <v>0</v>
      </c>
      <c r="I12" s="107"/>
      <c r="J12" s="108">
        <f t="shared" si="109"/>
        <v>0</v>
      </c>
      <c r="K12" s="107"/>
      <c r="L12" s="108">
        <f t="shared" si="110"/>
        <v>0</v>
      </c>
      <c r="M12" s="107"/>
      <c r="N12" s="108">
        <f t="shared" si="75"/>
        <v>0</v>
      </c>
      <c r="O12" s="107"/>
      <c r="P12" s="108">
        <f t="shared" si="76"/>
        <v>0</v>
      </c>
      <c r="Q12" s="107"/>
      <c r="R12" s="108">
        <f t="shared" si="77"/>
        <v>0</v>
      </c>
      <c r="S12" s="107"/>
      <c r="T12" s="108">
        <f t="shared" si="78"/>
        <v>0</v>
      </c>
      <c r="U12" s="107"/>
      <c r="V12" s="108">
        <f t="shared" si="79"/>
        <v>0</v>
      </c>
      <c r="W12" s="107"/>
      <c r="X12" s="108">
        <f t="shared" si="80"/>
        <v>0</v>
      </c>
      <c r="Y12" s="107"/>
      <c r="Z12" s="108">
        <f t="shared" si="81"/>
        <v>0</v>
      </c>
      <c r="AA12" s="107"/>
      <c r="AB12" s="108">
        <f t="shared" si="82"/>
        <v>0</v>
      </c>
      <c r="AC12" s="107"/>
      <c r="AD12" s="108">
        <f t="shared" si="83"/>
        <v>0</v>
      </c>
      <c r="AE12" s="107"/>
      <c r="AF12" s="108">
        <f t="shared" si="84"/>
        <v>0</v>
      </c>
      <c r="AG12" s="107"/>
      <c r="AH12" s="108">
        <f t="shared" si="85"/>
        <v>0</v>
      </c>
      <c r="AI12" s="107"/>
      <c r="AJ12" s="108">
        <f t="shared" si="86"/>
        <v>0</v>
      </c>
      <c r="AK12" s="107">
        <v>7.6923076923076913E-2</v>
      </c>
      <c r="AL12" s="108">
        <f t="shared" si="87"/>
        <v>84673.641799999983</v>
      </c>
      <c r="AM12" s="107">
        <v>7.6923076923076913E-2</v>
      </c>
      <c r="AN12" s="108">
        <f t="shared" si="88"/>
        <v>84673.641799999983</v>
      </c>
      <c r="AO12" s="107">
        <v>7.6923076923076913E-2</v>
      </c>
      <c r="AP12" s="108">
        <f t="shared" si="89"/>
        <v>84673.641799999983</v>
      </c>
      <c r="AQ12" s="107">
        <v>7.6923076923076913E-2</v>
      </c>
      <c r="AR12" s="108">
        <f t="shared" si="90"/>
        <v>84673.641799999983</v>
      </c>
      <c r="AS12" s="107">
        <v>7.6923076923076913E-2</v>
      </c>
      <c r="AT12" s="108">
        <f t="shared" si="91"/>
        <v>84673.641799999983</v>
      </c>
      <c r="AU12" s="107">
        <v>7.6923076923076913E-2</v>
      </c>
      <c r="AV12" s="108">
        <f t="shared" si="92"/>
        <v>84673.641799999983</v>
      </c>
      <c r="AW12" s="107">
        <v>7.6923076923076913E-2</v>
      </c>
      <c r="AX12" s="108">
        <f t="shared" si="93"/>
        <v>84673.641799999983</v>
      </c>
      <c r="AY12" s="107">
        <v>7.6923076923076913E-2</v>
      </c>
      <c r="AZ12" s="108">
        <f t="shared" si="94"/>
        <v>84673.641799999983</v>
      </c>
      <c r="BA12" s="107">
        <v>7.6923076923076913E-2</v>
      </c>
      <c r="BB12" s="108">
        <f t="shared" si="95"/>
        <v>84673.641799999983</v>
      </c>
      <c r="BC12" s="107">
        <v>7.6923076923076913E-2</v>
      </c>
      <c r="BD12" s="108">
        <f t="shared" si="96"/>
        <v>84673.641799999983</v>
      </c>
      <c r="BE12" s="107">
        <v>7.6923076923076913E-2</v>
      </c>
      <c r="BF12" s="108">
        <f t="shared" si="97"/>
        <v>84673.641799999983</v>
      </c>
      <c r="BG12" s="107">
        <v>7.6923076923076913E-2</v>
      </c>
      <c r="BH12" s="108">
        <f t="shared" si="98"/>
        <v>84673.641799999983</v>
      </c>
      <c r="BI12" s="107">
        <v>7.6923076923076913E-2</v>
      </c>
      <c r="BJ12" s="108">
        <f t="shared" si="99"/>
        <v>84673.641799999983</v>
      </c>
      <c r="BK12" s="107"/>
      <c r="BL12" s="108">
        <f t="shared" si="100"/>
        <v>0</v>
      </c>
      <c r="BM12" s="107"/>
      <c r="BN12" s="108">
        <f t="shared" si="101"/>
        <v>0</v>
      </c>
      <c r="BO12" s="107"/>
      <c r="BP12" s="108">
        <f t="shared" si="102"/>
        <v>0</v>
      </c>
      <c r="BQ12" s="107"/>
      <c r="BR12" s="108">
        <f t="shared" si="103"/>
        <v>0</v>
      </c>
      <c r="BS12" s="107"/>
      <c r="BT12" s="108">
        <f t="shared" si="104"/>
        <v>0</v>
      </c>
      <c r="BU12" s="107"/>
      <c r="BV12" s="108">
        <f t="shared" si="105"/>
        <v>0</v>
      </c>
      <c r="BW12" s="107"/>
      <c r="BX12" s="108">
        <f t="shared" si="106"/>
        <v>0</v>
      </c>
      <c r="BY12" s="107"/>
      <c r="BZ12" s="108">
        <f t="shared" si="107"/>
        <v>0</v>
      </c>
      <c r="CA12" s="107"/>
      <c r="CB12" s="108">
        <f t="shared" si="66"/>
        <v>0</v>
      </c>
      <c r="CC12" s="107"/>
      <c r="CD12" s="108">
        <f t="shared" si="67"/>
        <v>0</v>
      </c>
      <c r="CE12" s="107"/>
      <c r="CF12" s="108">
        <f t="shared" si="68"/>
        <v>0</v>
      </c>
      <c r="CG12" s="107"/>
      <c r="CH12" s="108">
        <f t="shared" si="69"/>
        <v>0</v>
      </c>
      <c r="CI12" s="109"/>
      <c r="CJ12" s="109"/>
      <c r="CK12" s="109"/>
    </row>
    <row r="13" spans="2:89" ht="19.5" customHeight="1">
      <c r="B13" s="110" t="s">
        <v>140</v>
      </c>
      <c r="C13" s="111">
        <v>1637724.5641964758</v>
      </c>
      <c r="D13" s="112">
        <v>2.1900810158618611E-2</v>
      </c>
      <c r="E13" s="181">
        <f t="shared" si="70"/>
        <v>0.99999999999999967</v>
      </c>
      <c r="F13" s="182">
        <f t="shared" si="71"/>
        <v>1637724.5641964751</v>
      </c>
      <c r="G13" s="107"/>
      <c r="H13" s="113">
        <f t="shared" si="108"/>
        <v>0</v>
      </c>
      <c r="I13" s="107"/>
      <c r="J13" s="113">
        <f t="shared" si="109"/>
        <v>0</v>
      </c>
      <c r="K13" s="107"/>
      <c r="L13" s="113">
        <f t="shared" si="110"/>
        <v>0</v>
      </c>
      <c r="M13" s="107"/>
      <c r="N13" s="113">
        <f t="shared" si="75"/>
        <v>0</v>
      </c>
      <c r="O13" s="107"/>
      <c r="P13" s="113">
        <f t="shared" si="76"/>
        <v>0</v>
      </c>
      <c r="Q13" s="107"/>
      <c r="R13" s="113">
        <f t="shared" si="77"/>
        <v>0</v>
      </c>
      <c r="S13" s="107"/>
      <c r="T13" s="113">
        <f t="shared" si="78"/>
        <v>0</v>
      </c>
      <c r="U13" s="107"/>
      <c r="V13" s="113">
        <f t="shared" si="79"/>
        <v>0</v>
      </c>
      <c r="W13" s="107"/>
      <c r="X13" s="113">
        <f t="shared" si="80"/>
        <v>0</v>
      </c>
      <c r="Y13" s="107"/>
      <c r="Z13" s="113">
        <f t="shared" si="81"/>
        <v>0</v>
      </c>
      <c r="AA13" s="107"/>
      <c r="AB13" s="113">
        <f t="shared" si="82"/>
        <v>0</v>
      </c>
      <c r="AC13" s="107"/>
      <c r="AD13" s="113">
        <f t="shared" si="83"/>
        <v>0</v>
      </c>
      <c r="AE13" s="107"/>
      <c r="AF13" s="113">
        <f t="shared" si="84"/>
        <v>0</v>
      </c>
      <c r="AG13" s="107">
        <v>4.384615384615384E-2</v>
      </c>
      <c r="AH13" s="113">
        <f t="shared" si="85"/>
        <v>71807.923199383935</v>
      </c>
      <c r="AI13" s="107">
        <v>7.9679487179487168E-2</v>
      </c>
      <c r="AJ13" s="113">
        <f t="shared" si="86"/>
        <v>130493.0534164243</v>
      </c>
      <c r="AK13" s="107">
        <v>7.9679487179487168E-2</v>
      </c>
      <c r="AL13" s="113">
        <f t="shared" si="87"/>
        <v>130493.0534164243</v>
      </c>
      <c r="AM13" s="107">
        <v>7.9679487179487168E-2</v>
      </c>
      <c r="AN13" s="113">
        <f t="shared" si="88"/>
        <v>130493.0534164243</v>
      </c>
      <c r="AO13" s="107">
        <v>7.9679487179487168E-2</v>
      </c>
      <c r="AP13" s="113">
        <f t="shared" si="89"/>
        <v>130493.0534164243</v>
      </c>
      <c r="AQ13" s="107">
        <v>7.9679487179487168E-2</v>
      </c>
      <c r="AR13" s="113">
        <f t="shared" si="90"/>
        <v>130493.0534164243</v>
      </c>
      <c r="AS13" s="107">
        <v>7.9679487179487168E-2</v>
      </c>
      <c r="AT13" s="113">
        <f t="shared" si="91"/>
        <v>130493.0534164243</v>
      </c>
      <c r="AU13" s="107">
        <v>7.9679487179487168E-2</v>
      </c>
      <c r="AV13" s="113">
        <f t="shared" si="92"/>
        <v>130493.0534164243</v>
      </c>
      <c r="AW13" s="107">
        <v>7.9679487179487168E-2</v>
      </c>
      <c r="AX13" s="113">
        <f t="shared" si="93"/>
        <v>130493.0534164243</v>
      </c>
      <c r="AY13" s="107">
        <v>7.9679487179487168E-2</v>
      </c>
      <c r="AZ13" s="113">
        <f t="shared" si="94"/>
        <v>130493.0534164243</v>
      </c>
      <c r="BA13" s="107">
        <v>7.9679487179487168E-2</v>
      </c>
      <c r="BB13" s="113">
        <f t="shared" si="95"/>
        <v>130493.0534164243</v>
      </c>
      <c r="BC13" s="107">
        <v>7.9679487179487168E-2</v>
      </c>
      <c r="BD13" s="113">
        <f t="shared" si="96"/>
        <v>130493.0534164243</v>
      </c>
      <c r="BE13" s="107">
        <v>7.9679487179487168E-2</v>
      </c>
      <c r="BF13" s="113">
        <f t="shared" si="97"/>
        <v>130493.0534164243</v>
      </c>
      <c r="BG13" s="107"/>
      <c r="BH13" s="113">
        <f t="shared" si="98"/>
        <v>0</v>
      </c>
      <c r="BI13" s="107"/>
      <c r="BJ13" s="113">
        <f t="shared" si="99"/>
        <v>0</v>
      </c>
      <c r="BK13" s="107"/>
      <c r="BL13" s="113">
        <f t="shared" si="100"/>
        <v>0</v>
      </c>
      <c r="BM13" s="107"/>
      <c r="BN13" s="113">
        <f t="shared" si="101"/>
        <v>0</v>
      </c>
      <c r="BO13" s="107"/>
      <c r="BP13" s="113">
        <f t="shared" si="102"/>
        <v>0</v>
      </c>
      <c r="BQ13" s="107"/>
      <c r="BR13" s="113">
        <f t="shared" si="103"/>
        <v>0</v>
      </c>
      <c r="BS13" s="107"/>
      <c r="BT13" s="113">
        <f t="shared" si="104"/>
        <v>0</v>
      </c>
      <c r="BU13" s="107"/>
      <c r="BV13" s="113">
        <f t="shared" si="105"/>
        <v>0</v>
      </c>
      <c r="BW13" s="107"/>
      <c r="BX13" s="113">
        <f t="shared" si="106"/>
        <v>0</v>
      </c>
      <c r="BY13" s="107"/>
      <c r="BZ13" s="113">
        <f t="shared" si="107"/>
        <v>0</v>
      </c>
      <c r="CA13" s="107"/>
      <c r="CB13" s="113">
        <f t="shared" si="66"/>
        <v>0</v>
      </c>
      <c r="CC13" s="107"/>
      <c r="CD13" s="113">
        <f t="shared" si="67"/>
        <v>0</v>
      </c>
      <c r="CE13" s="107"/>
      <c r="CF13" s="113">
        <f t="shared" si="68"/>
        <v>0</v>
      </c>
      <c r="CG13" s="107"/>
      <c r="CH13" s="113">
        <f t="shared" si="69"/>
        <v>0</v>
      </c>
    </row>
    <row r="14" spans="2:89" ht="19.5" customHeight="1">
      <c r="B14" s="104" t="s">
        <v>143</v>
      </c>
      <c r="C14" s="105">
        <v>1292981.4260000016</v>
      </c>
      <c r="D14" s="106">
        <v>1.7290661304417497E-2</v>
      </c>
      <c r="E14" s="180">
        <f t="shared" si="70"/>
        <v>1.0000000000000002</v>
      </c>
      <c r="F14" s="182">
        <f t="shared" si="71"/>
        <v>1292981.4260000018</v>
      </c>
      <c r="G14" s="107"/>
      <c r="H14" s="108">
        <f t="shared" si="108"/>
        <v>0</v>
      </c>
      <c r="I14" s="107"/>
      <c r="J14" s="108">
        <f t="shared" si="109"/>
        <v>0</v>
      </c>
      <c r="K14" s="107"/>
      <c r="L14" s="108">
        <f t="shared" si="110"/>
        <v>0</v>
      </c>
      <c r="M14" s="107"/>
      <c r="N14" s="108">
        <f t="shared" si="75"/>
        <v>0</v>
      </c>
      <c r="O14" s="107"/>
      <c r="P14" s="108">
        <f t="shared" si="76"/>
        <v>0</v>
      </c>
      <c r="Q14" s="107"/>
      <c r="R14" s="108">
        <f t="shared" si="77"/>
        <v>0</v>
      </c>
      <c r="S14" s="107"/>
      <c r="T14" s="108">
        <f t="shared" si="78"/>
        <v>0</v>
      </c>
      <c r="U14" s="107"/>
      <c r="V14" s="108">
        <f t="shared" si="79"/>
        <v>0</v>
      </c>
      <c r="W14" s="107"/>
      <c r="X14" s="108">
        <f t="shared" si="80"/>
        <v>0</v>
      </c>
      <c r="Y14" s="107"/>
      <c r="Z14" s="108">
        <f t="shared" si="81"/>
        <v>0</v>
      </c>
      <c r="AA14" s="107"/>
      <c r="AB14" s="108">
        <f t="shared" si="82"/>
        <v>0</v>
      </c>
      <c r="AC14" s="107"/>
      <c r="AD14" s="108">
        <f t="shared" si="83"/>
        <v>0</v>
      </c>
      <c r="AE14" s="107"/>
      <c r="AF14" s="108">
        <f t="shared" si="84"/>
        <v>0</v>
      </c>
      <c r="AG14" s="107"/>
      <c r="AH14" s="108">
        <f t="shared" si="85"/>
        <v>0</v>
      </c>
      <c r="AI14" s="107"/>
      <c r="AJ14" s="108">
        <f t="shared" si="86"/>
        <v>0</v>
      </c>
      <c r="AK14" s="107"/>
      <c r="AL14" s="108">
        <f t="shared" si="87"/>
        <v>0</v>
      </c>
      <c r="AM14" s="107">
        <v>4.071428571428571E-2</v>
      </c>
      <c r="AN14" s="108">
        <f t="shared" si="88"/>
        <v>52642.815201428632</v>
      </c>
      <c r="AO14" s="107">
        <v>7.379120879120879E-2</v>
      </c>
      <c r="AP14" s="108">
        <f t="shared" si="89"/>
        <v>95410.662369120997</v>
      </c>
      <c r="AQ14" s="107">
        <v>7.379120879120879E-2</v>
      </c>
      <c r="AR14" s="108">
        <f t="shared" si="90"/>
        <v>95410.662369120997</v>
      </c>
      <c r="AS14" s="107">
        <v>7.379120879120879E-2</v>
      </c>
      <c r="AT14" s="108">
        <f t="shared" si="91"/>
        <v>95410.662369120997</v>
      </c>
      <c r="AU14" s="107">
        <v>7.379120879120879E-2</v>
      </c>
      <c r="AV14" s="108">
        <f t="shared" si="92"/>
        <v>95410.662369120997</v>
      </c>
      <c r="AW14" s="107">
        <v>7.379120879120879E-2</v>
      </c>
      <c r="AX14" s="108">
        <f t="shared" si="93"/>
        <v>95410.662369120997</v>
      </c>
      <c r="AY14" s="107">
        <v>7.379120879120879E-2</v>
      </c>
      <c r="AZ14" s="108">
        <f t="shared" si="94"/>
        <v>95410.662369120997</v>
      </c>
      <c r="BA14" s="107">
        <v>7.379120879120879E-2</v>
      </c>
      <c r="BB14" s="108">
        <f t="shared" si="95"/>
        <v>95410.662369120997</v>
      </c>
      <c r="BC14" s="107">
        <v>7.379120879120879E-2</v>
      </c>
      <c r="BD14" s="108">
        <f t="shared" si="96"/>
        <v>95410.662369120997</v>
      </c>
      <c r="BE14" s="107">
        <v>7.379120879120879E-2</v>
      </c>
      <c r="BF14" s="108">
        <f t="shared" si="97"/>
        <v>95410.662369120997</v>
      </c>
      <c r="BG14" s="107">
        <v>7.379120879120879E-2</v>
      </c>
      <c r="BH14" s="108">
        <f t="shared" si="98"/>
        <v>95410.662369120997</v>
      </c>
      <c r="BI14" s="107">
        <v>7.379120879120879E-2</v>
      </c>
      <c r="BJ14" s="108">
        <f t="shared" si="99"/>
        <v>95410.662369120997</v>
      </c>
      <c r="BK14" s="107">
        <v>7.379120879120879E-2</v>
      </c>
      <c r="BL14" s="108">
        <f t="shared" si="100"/>
        <v>95410.662369120997</v>
      </c>
      <c r="BM14" s="107">
        <v>7.379120879120879E-2</v>
      </c>
      <c r="BN14" s="108">
        <f t="shared" si="101"/>
        <v>95410.662369120997</v>
      </c>
      <c r="BO14" s="107"/>
      <c r="BP14" s="108">
        <f t="shared" si="102"/>
        <v>0</v>
      </c>
      <c r="BQ14" s="107"/>
      <c r="BR14" s="108">
        <f t="shared" si="103"/>
        <v>0</v>
      </c>
      <c r="BS14" s="107"/>
      <c r="BT14" s="108">
        <f t="shared" si="104"/>
        <v>0</v>
      </c>
      <c r="BU14" s="107"/>
      <c r="BV14" s="108">
        <f t="shared" si="105"/>
        <v>0</v>
      </c>
      <c r="BW14" s="107"/>
      <c r="BX14" s="108">
        <f t="shared" si="106"/>
        <v>0</v>
      </c>
      <c r="BY14" s="107"/>
      <c r="BZ14" s="108">
        <f t="shared" si="107"/>
        <v>0</v>
      </c>
      <c r="CA14" s="107"/>
      <c r="CB14" s="108">
        <f t="shared" si="66"/>
        <v>0</v>
      </c>
      <c r="CC14" s="107"/>
      <c r="CD14" s="108">
        <f t="shared" si="67"/>
        <v>0</v>
      </c>
      <c r="CE14" s="107"/>
      <c r="CF14" s="108">
        <f t="shared" si="68"/>
        <v>0</v>
      </c>
      <c r="CG14" s="107"/>
      <c r="CH14" s="108">
        <f t="shared" si="69"/>
        <v>0</v>
      </c>
      <c r="CI14" s="109"/>
      <c r="CJ14" s="109"/>
      <c r="CK14" s="109"/>
    </row>
    <row r="15" spans="2:89" ht="19.5" customHeight="1">
      <c r="B15" s="110" t="s">
        <v>147</v>
      </c>
      <c r="C15" s="111">
        <v>4169253.4416342853</v>
      </c>
      <c r="D15" s="112">
        <v>5.5754203194234686E-2</v>
      </c>
      <c r="E15" s="181">
        <f t="shared" si="70"/>
        <v>1.0000000000000002</v>
      </c>
      <c r="F15" s="182">
        <f t="shared" si="71"/>
        <v>4169253.4416342843</v>
      </c>
      <c r="G15" s="107"/>
      <c r="H15" s="113">
        <f t="shared" si="108"/>
        <v>0</v>
      </c>
      <c r="I15" s="107"/>
      <c r="J15" s="113">
        <f t="shared" si="109"/>
        <v>0</v>
      </c>
      <c r="K15" s="107"/>
      <c r="L15" s="113">
        <f t="shared" si="110"/>
        <v>0</v>
      </c>
      <c r="M15" s="107"/>
      <c r="N15" s="113">
        <f t="shared" si="75"/>
        <v>0</v>
      </c>
      <c r="O15" s="107"/>
      <c r="P15" s="113">
        <f t="shared" si="76"/>
        <v>0</v>
      </c>
      <c r="Q15" s="107"/>
      <c r="R15" s="113">
        <f t="shared" si="77"/>
        <v>0</v>
      </c>
      <c r="S15" s="107"/>
      <c r="T15" s="113">
        <f t="shared" si="78"/>
        <v>0</v>
      </c>
      <c r="U15" s="107"/>
      <c r="V15" s="113">
        <f t="shared" si="79"/>
        <v>0</v>
      </c>
      <c r="W15" s="107"/>
      <c r="X15" s="113">
        <f t="shared" si="80"/>
        <v>0</v>
      </c>
      <c r="Y15" s="107"/>
      <c r="Z15" s="113">
        <f t="shared" si="81"/>
        <v>0</v>
      </c>
      <c r="AA15" s="107"/>
      <c r="AB15" s="113">
        <f t="shared" si="82"/>
        <v>0</v>
      </c>
      <c r="AC15" s="107"/>
      <c r="AD15" s="113">
        <f t="shared" si="83"/>
        <v>0</v>
      </c>
      <c r="AE15" s="107"/>
      <c r="AF15" s="113">
        <f t="shared" si="84"/>
        <v>0</v>
      </c>
      <c r="AG15" s="107"/>
      <c r="AH15" s="113">
        <f t="shared" si="85"/>
        <v>0</v>
      </c>
      <c r="AI15" s="107"/>
      <c r="AJ15" s="113">
        <f t="shared" si="86"/>
        <v>0</v>
      </c>
      <c r="AK15" s="107">
        <v>4.071428571428571E-2</v>
      </c>
      <c r="AL15" s="113">
        <f t="shared" si="87"/>
        <v>169748.17583796731</v>
      </c>
      <c r="AM15" s="107">
        <v>7.379120879120879E-2</v>
      </c>
      <c r="AN15" s="113">
        <f t="shared" si="88"/>
        <v>307654.25121510139</v>
      </c>
      <c r="AO15" s="107">
        <v>7.379120879120879E-2</v>
      </c>
      <c r="AP15" s="113">
        <f t="shared" si="89"/>
        <v>307654.25121510139</v>
      </c>
      <c r="AQ15" s="107">
        <v>7.379120879120879E-2</v>
      </c>
      <c r="AR15" s="113">
        <f t="shared" si="90"/>
        <v>307654.25121510139</v>
      </c>
      <c r="AS15" s="107">
        <v>7.379120879120879E-2</v>
      </c>
      <c r="AT15" s="113">
        <f t="shared" si="91"/>
        <v>307654.25121510139</v>
      </c>
      <c r="AU15" s="107">
        <v>7.379120879120879E-2</v>
      </c>
      <c r="AV15" s="113">
        <f t="shared" si="92"/>
        <v>307654.25121510139</v>
      </c>
      <c r="AW15" s="107">
        <v>7.379120879120879E-2</v>
      </c>
      <c r="AX15" s="113">
        <f t="shared" si="93"/>
        <v>307654.25121510139</v>
      </c>
      <c r="AY15" s="107">
        <v>7.379120879120879E-2</v>
      </c>
      <c r="AZ15" s="113">
        <f t="shared" si="94"/>
        <v>307654.25121510139</v>
      </c>
      <c r="BA15" s="107">
        <v>7.379120879120879E-2</v>
      </c>
      <c r="BB15" s="113">
        <f t="shared" si="95"/>
        <v>307654.25121510139</v>
      </c>
      <c r="BC15" s="107">
        <v>7.379120879120879E-2</v>
      </c>
      <c r="BD15" s="113">
        <f t="shared" si="96"/>
        <v>307654.25121510139</v>
      </c>
      <c r="BE15" s="107">
        <v>7.379120879120879E-2</v>
      </c>
      <c r="BF15" s="113">
        <f t="shared" si="97"/>
        <v>307654.25121510139</v>
      </c>
      <c r="BG15" s="107">
        <v>7.379120879120879E-2</v>
      </c>
      <c r="BH15" s="113">
        <f t="shared" si="98"/>
        <v>307654.25121510139</v>
      </c>
      <c r="BI15" s="107">
        <v>7.379120879120879E-2</v>
      </c>
      <c r="BJ15" s="113">
        <f t="shared" si="99"/>
        <v>307654.25121510139</v>
      </c>
      <c r="BK15" s="107">
        <v>7.379120879120879E-2</v>
      </c>
      <c r="BL15" s="113">
        <f t="shared" si="100"/>
        <v>307654.25121510139</v>
      </c>
      <c r="BM15" s="107"/>
      <c r="BN15" s="113">
        <f t="shared" si="101"/>
        <v>0</v>
      </c>
      <c r="BO15" s="107"/>
      <c r="BP15" s="113">
        <f t="shared" si="102"/>
        <v>0</v>
      </c>
      <c r="BQ15" s="107"/>
      <c r="BR15" s="113">
        <f t="shared" si="103"/>
        <v>0</v>
      </c>
      <c r="BS15" s="107"/>
      <c r="BT15" s="113">
        <f t="shared" si="104"/>
        <v>0</v>
      </c>
      <c r="BU15" s="107"/>
      <c r="BV15" s="113">
        <f t="shared" si="105"/>
        <v>0</v>
      </c>
      <c r="BW15" s="107"/>
      <c r="BX15" s="113">
        <f t="shared" si="106"/>
        <v>0</v>
      </c>
      <c r="BY15" s="107"/>
      <c r="BZ15" s="113">
        <f t="shared" si="107"/>
        <v>0</v>
      </c>
      <c r="CA15" s="107"/>
      <c r="CB15" s="113">
        <f t="shared" si="66"/>
        <v>0</v>
      </c>
      <c r="CC15" s="107"/>
      <c r="CD15" s="113">
        <f t="shared" si="67"/>
        <v>0</v>
      </c>
      <c r="CE15" s="107"/>
      <c r="CF15" s="113">
        <f t="shared" si="68"/>
        <v>0</v>
      </c>
      <c r="CG15" s="107"/>
      <c r="CH15" s="113">
        <f t="shared" si="69"/>
        <v>0</v>
      </c>
    </row>
    <row r="16" spans="2:89" ht="19.5" customHeight="1">
      <c r="B16" s="104" t="s">
        <v>148</v>
      </c>
      <c r="C16" s="105">
        <v>2000841.4250000003</v>
      </c>
      <c r="D16" s="106">
        <v>2.6756665415179001E-2</v>
      </c>
      <c r="E16" s="180">
        <f t="shared" si="70"/>
        <v>0.99999999999999956</v>
      </c>
      <c r="F16" s="182">
        <f t="shared" si="71"/>
        <v>2000841.4249999991</v>
      </c>
      <c r="G16" s="107"/>
      <c r="H16" s="108">
        <f t="shared" si="108"/>
        <v>0</v>
      </c>
      <c r="I16" s="107"/>
      <c r="J16" s="108">
        <f t="shared" si="109"/>
        <v>0</v>
      </c>
      <c r="K16" s="107"/>
      <c r="L16" s="108">
        <f t="shared" si="110"/>
        <v>0</v>
      </c>
      <c r="M16" s="107"/>
      <c r="N16" s="108">
        <f t="shared" si="75"/>
        <v>0</v>
      </c>
      <c r="O16" s="107"/>
      <c r="P16" s="108">
        <f t="shared" si="76"/>
        <v>0</v>
      </c>
      <c r="Q16" s="107"/>
      <c r="R16" s="108">
        <f t="shared" si="77"/>
        <v>0</v>
      </c>
      <c r="S16" s="107"/>
      <c r="T16" s="108">
        <f t="shared" si="78"/>
        <v>0</v>
      </c>
      <c r="U16" s="107"/>
      <c r="V16" s="108">
        <f t="shared" si="79"/>
        <v>0</v>
      </c>
      <c r="W16" s="107"/>
      <c r="X16" s="108">
        <f t="shared" si="80"/>
        <v>0</v>
      </c>
      <c r="Y16" s="107"/>
      <c r="Z16" s="108">
        <f t="shared" si="81"/>
        <v>0</v>
      </c>
      <c r="AA16" s="107"/>
      <c r="AB16" s="108">
        <f t="shared" si="82"/>
        <v>0</v>
      </c>
      <c r="AC16" s="107"/>
      <c r="AD16" s="108">
        <f t="shared" si="83"/>
        <v>0</v>
      </c>
      <c r="AE16" s="107"/>
      <c r="AF16" s="108">
        <f t="shared" si="84"/>
        <v>0</v>
      </c>
      <c r="AG16" s="107"/>
      <c r="AH16" s="108">
        <f t="shared" si="85"/>
        <v>0</v>
      </c>
      <c r="AI16" s="107"/>
      <c r="AJ16" s="108">
        <f t="shared" si="86"/>
        <v>0</v>
      </c>
      <c r="AK16" s="107"/>
      <c r="AL16" s="108">
        <f t="shared" si="87"/>
        <v>0</v>
      </c>
      <c r="AM16" s="107"/>
      <c r="AN16" s="108">
        <f t="shared" si="88"/>
        <v>0</v>
      </c>
      <c r="AO16" s="107">
        <f>100%/19</f>
        <v>5.2631578947368418E-2</v>
      </c>
      <c r="AP16" s="108">
        <f t="shared" si="89"/>
        <v>105307.44342105264</v>
      </c>
      <c r="AQ16" s="107">
        <f t="shared" ref="AQ16" si="129">100%/19</f>
        <v>5.2631578947368418E-2</v>
      </c>
      <c r="AR16" s="108">
        <f t="shared" si="90"/>
        <v>105307.44342105264</v>
      </c>
      <c r="AS16" s="107">
        <f t="shared" ref="AS16" si="130">100%/19</f>
        <v>5.2631578947368418E-2</v>
      </c>
      <c r="AT16" s="108">
        <f t="shared" si="91"/>
        <v>105307.44342105264</v>
      </c>
      <c r="AU16" s="107">
        <f t="shared" ref="AU16" si="131">100%/19</f>
        <v>5.2631578947368418E-2</v>
      </c>
      <c r="AV16" s="108">
        <f t="shared" si="92"/>
        <v>105307.44342105264</v>
      </c>
      <c r="AW16" s="107">
        <f t="shared" ref="AW16" si="132">100%/19</f>
        <v>5.2631578947368418E-2</v>
      </c>
      <c r="AX16" s="108">
        <f t="shared" si="93"/>
        <v>105307.44342105264</v>
      </c>
      <c r="AY16" s="107">
        <f t="shared" ref="AY16" si="133">100%/19</f>
        <v>5.2631578947368418E-2</v>
      </c>
      <c r="AZ16" s="108">
        <f t="shared" si="94"/>
        <v>105307.44342105264</v>
      </c>
      <c r="BA16" s="107">
        <f t="shared" ref="BA16" si="134">100%/19</f>
        <v>5.2631578947368418E-2</v>
      </c>
      <c r="BB16" s="108">
        <f t="shared" si="95"/>
        <v>105307.44342105264</v>
      </c>
      <c r="BC16" s="107">
        <f t="shared" ref="BC16" si="135">100%/19</f>
        <v>5.2631578947368418E-2</v>
      </c>
      <c r="BD16" s="108">
        <f t="shared" si="96"/>
        <v>105307.44342105264</v>
      </c>
      <c r="BE16" s="107">
        <f t="shared" ref="BE16" si="136">100%/19</f>
        <v>5.2631578947368418E-2</v>
      </c>
      <c r="BF16" s="108">
        <f t="shared" si="97"/>
        <v>105307.44342105264</v>
      </c>
      <c r="BG16" s="107">
        <f t="shared" ref="BG16" si="137">100%/19</f>
        <v>5.2631578947368418E-2</v>
      </c>
      <c r="BH16" s="108">
        <f t="shared" si="98"/>
        <v>105307.44342105264</v>
      </c>
      <c r="BI16" s="107">
        <f t="shared" ref="BI16" si="138">100%/19</f>
        <v>5.2631578947368418E-2</v>
      </c>
      <c r="BJ16" s="108">
        <f t="shared" si="99"/>
        <v>105307.44342105264</v>
      </c>
      <c r="BK16" s="107">
        <f t="shared" ref="BK16" si="139">100%/19</f>
        <v>5.2631578947368418E-2</v>
      </c>
      <c r="BL16" s="108">
        <f t="shared" si="100"/>
        <v>105307.44342105264</v>
      </c>
      <c r="BM16" s="107">
        <f t="shared" ref="BM16" si="140">100%/19</f>
        <v>5.2631578947368418E-2</v>
      </c>
      <c r="BN16" s="108">
        <f t="shared" si="101"/>
        <v>105307.44342105264</v>
      </c>
      <c r="BO16" s="107">
        <f t="shared" ref="BO16" si="141">100%/19</f>
        <v>5.2631578947368418E-2</v>
      </c>
      <c r="BP16" s="108">
        <f t="shared" si="102"/>
        <v>105307.44342105264</v>
      </c>
      <c r="BQ16" s="107">
        <f t="shared" ref="BQ16" si="142">100%/19</f>
        <v>5.2631578947368418E-2</v>
      </c>
      <c r="BR16" s="108">
        <f t="shared" si="103"/>
        <v>105307.44342105264</v>
      </c>
      <c r="BS16" s="107">
        <f t="shared" ref="BS16" si="143">100%/19</f>
        <v>5.2631578947368418E-2</v>
      </c>
      <c r="BT16" s="108">
        <f t="shared" si="104"/>
        <v>105307.44342105264</v>
      </c>
      <c r="BU16" s="107">
        <f t="shared" ref="BU16" si="144">100%/19</f>
        <v>5.2631578947368418E-2</v>
      </c>
      <c r="BV16" s="108">
        <f t="shared" si="105"/>
        <v>105307.44342105264</v>
      </c>
      <c r="BW16" s="107">
        <f t="shared" ref="BW16" si="145">100%/19</f>
        <v>5.2631578947368418E-2</v>
      </c>
      <c r="BX16" s="108">
        <f t="shared" si="106"/>
        <v>105307.44342105264</v>
      </c>
      <c r="BY16" s="107">
        <f t="shared" ref="BY16" si="146">100%/19</f>
        <v>5.2631578947368418E-2</v>
      </c>
      <c r="BZ16" s="108">
        <f t="shared" si="107"/>
        <v>105307.44342105264</v>
      </c>
      <c r="CA16" s="107"/>
      <c r="CB16" s="108">
        <f t="shared" si="66"/>
        <v>0</v>
      </c>
      <c r="CC16" s="107"/>
      <c r="CD16" s="108">
        <f t="shared" si="67"/>
        <v>0</v>
      </c>
      <c r="CE16" s="107"/>
      <c r="CF16" s="108">
        <f t="shared" si="68"/>
        <v>0</v>
      </c>
      <c r="CG16" s="107"/>
      <c r="CH16" s="108">
        <f t="shared" si="69"/>
        <v>0</v>
      </c>
      <c r="CI16" s="109"/>
      <c r="CJ16" s="109"/>
      <c r="CK16" s="109"/>
    </row>
    <row r="17" spans="2:89" ht="19.5" customHeight="1">
      <c r="B17" s="110" t="s">
        <v>150</v>
      </c>
      <c r="C17" s="111">
        <v>9377705.694500003</v>
      </c>
      <c r="D17" s="112">
        <v>0.12540530723455776</v>
      </c>
      <c r="E17" s="181">
        <f t="shared" si="70"/>
        <v>1</v>
      </c>
      <c r="F17" s="182">
        <f t="shared" si="71"/>
        <v>9377705.6945000011</v>
      </c>
      <c r="G17" s="107"/>
      <c r="H17" s="113">
        <f t="shared" si="108"/>
        <v>0</v>
      </c>
      <c r="I17" s="107"/>
      <c r="J17" s="113">
        <f t="shared" si="109"/>
        <v>0</v>
      </c>
      <c r="K17" s="107"/>
      <c r="L17" s="113">
        <f t="shared" si="110"/>
        <v>0</v>
      </c>
      <c r="M17" s="107"/>
      <c r="N17" s="113">
        <f t="shared" si="75"/>
        <v>0</v>
      </c>
      <c r="O17" s="107"/>
      <c r="P17" s="113">
        <f t="shared" si="76"/>
        <v>0</v>
      </c>
      <c r="Q17" s="107"/>
      <c r="R17" s="113">
        <f t="shared" si="77"/>
        <v>0</v>
      </c>
      <c r="S17" s="107"/>
      <c r="T17" s="113">
        <f t="shared" si="78"/>
        <v>0</v>
      </c>
      <c r="U17" s="107"/>
      <c r="V17" s="113">
        <f t="shared" si="79"/>
        <v>0</v>
      </c>
      <c r="W17" s="107"/>
      <c r="X17" s="113">
        <f t="shared" si="80"/>
        <v>0</v>
      </c>
      <c r="Y17" s="107"/>
      <c r="Z17" s="113">
        <f t="shared" si="81"/>
        <v>0</v>
      </c>
      <c r="AA17" s="107"/>
      <c r="AB17" s="113">
        <f t="shared" si="82"/>
        <v>0</v>
      </c>
      <c r="AC17" s="107"/>
      <c r="AD17" s="113">
        <f t="shared" si="83"/>
        <v>0</v>
      </c>
      <c r="AE17" s="107"/>
      <c r="AF17" s="113">
        <f t="shared" si="84"/>
        <v>0</v>
      </c>
      <c r="AG17" s="107"/>
      <c r="AH17" s="113">
        <f t="shared" si="85"/>
        <v>0</v>
      </c>
      <c r="AI17" s="107"/>
      <c r="AJ17" s="113">
        <f t="shared" si="86"/>
        <v>0</v>
      </c>
      <c r="AK17" s="107"/>
      <c r="AL17" s="113">
        <f t="shared" si="87"/>
        <v>0</v>
      </c>
      <c r="AM17" s="107"/>
      <c r="AN17" s="113">
        <f t="shared" si="88"/>
        <v>0</v>
      </c>
      <c r="AO17" s="107"/>
      <c r="AP17" s="113">
        <f t="shared" si="89"/>
        <v>0</v>
      </c>
      <c r="AQ17" s="107"/>
      <c r="AR17" s="113">
        <f t="shared" si="90"/>
        <v>0</v>
      </c>
      <c r="AS17" s="107"/>
      <c r="AT17" s="113">
        <f t="shared" si="91"/>
        <v>0</v>
      </c>
      <c r="AU17" s="107"/>
      <c r="AV17" s="113">
        <f t="shared" si="92"/>
        <v>0</v>
      </c>
      <c r="AW17" s="107"/>
      <c r="AX17" s="113">
        <f t="shared" si="93"/>
        <v>0</v>
      </c>
      <c r="AY17" s="107"/>
      <c r="AZ17" s="113">
        <f t="shared" si="94"/>
        <v>0</v>
      </c>
      <c r="BA17" s="107"/>
      <c r="BB17" s="113">
        <f t="shared" si="95"/>
        <v>0</v>
      </c>
      <c r="BC17" s="107"/>
      <c r="BD17" s="113">
        <f t="shared" si="96"/>
        <v>0</v>
      </c>
      <c r="BE17" s="107"/>
      <c r="BF17" s="113">
        <f t="shared" si="97"/>
        <v>0</v>
      </c>
      <c r="BG17" s="107"/>
      <c r="BH17" s="113">
        <f t="shared" si="98"/>
        <v>0</v>
      </c>
      <c r="BI17" s="107">
        <v>0.125</v>
      </c>
      <c r="BJ17" s="113">
        <f t="shared" si="99"/>
        <v>1172213.2118125004</v>
      </c>
      <c r="BK17" s="107">
        <v>0.125</v>
      </c>
      <c r="BL17" s="113">
        <f t="shared" si="100"/>
        <v>1172213.2118125004</v>
      </c>
      <c r="BM17" s="107">
        <v>0.125</v>
      </c>
      <c r="BN17" s="113">
        <f t="shared" si="101"/>
        <v>1172213.2118125004</v>
      </c>
      <c r="BO17" s="107">
        <v>0.125</v>
      </c>
      <c r="BP17" s="113">
        <f t="shared" si="102"/>
        <v>1172213.2118125004</v>
      </c>
      <c r="BQ17" s="107">
        <v>0.125</v>
      </c>
      <c r="BR17" s="113">
        <f t="shared" si="103"/>
        <v>1172213.2118125004</v>
      </c>
      <c r="BS17" s="107">
        <v>0.125</v>
      </c>
      <c r="BT17" s="113">
        <f t="shared" si="104"/>
        <v>1172213.2118125004</v>
      </c>
      <c r="BU17" s="107">
        <v>0.125</v>
      </c>
      <c r="BV17" s="113">
        <f t="shared" si="105"/>
        <v>1172213.2118125004</v>
      </c>
      <c r="BW17" s="107">
        <v>0.125</v>
      </c>
      <c r="BX17" s="113">
        <f t="shared" si="106"/>
        <v>1172213.2118125004</v>
      </c>
      <c r="BY17" s="107"/>
      <c r="BZ17" s="113">
        <f t="shared" si="107"/>
        <v>0</v>
      </c>
      <c r="CA17" s="107"/>
      <c r="CB17" s="113">
        <f t="shared" si="66"/>
        <v>0</v>
      </c>
      <c r="CC17" s="107"/>
      <c r="CD17" s="113">
        <f t="shared" si="67"/>
        <v>0</v>
      </c>
      <c r="CE17" s="107"/>
      <c r="CF17" s="113">
        <f t="shared" si="68"/>
        <v>0</v>
      </c>
      <c r="CG17" s="107"/>
      <c r="CH17" s="113">
        <f t="shared" si="69"/>
        <v>0</v>
      </c>
    </row>
    <row r="18" spans="2:89" ht="19.5" customHeight="1">
      <c r="B18" s="110" t="s">
        <v>153</v>
      </c>
      <c r="C18" s="111">
        <v>3087626.2103809789</v>
      </c>
      <c r="D18" s="112">
        <v>4.1289919533878568E-2</v>
      </c>
      <c r="E18" s="181">
        <f t="shared" si="70"/>
        <v>0.99999999999999978</v>
      </c>
      <c r="F18" s="182">
        <f t="shared" si="71"/>
        <v>3087626.2103809784</v>
      </c>
      <c r="G18" s="107"/>
      <c r="H18" s="113">
        <f t="shared" si="108"/>
        <v>0</v>
      </c>
      <c r="I18" s="107"/>
      <c r="J18" s="113">
        <f t="shared" si="109"/>
        <v>0</v>
      </c>
      <c r="K18" s="107"/>
      <c r="L18" s="113">
        <f t="shared" si="110"/>
        <v>0</v>
      </c>
      <c r="M18" s="107"/>
      <c r="N18" s="113">
        <f t="shared" si="75"/>
        <v>0</v>
      </c>
      <c r="O18" s="107"/>
      <c r="P18" s="113">
        <f t="shared" si="76"/>
        <v>0</v>
      </c>
      <c r="Q18" s="107"/>
      <c r="R18" s="113">
        <f t="shared" si="77"/>
        <v>0</v>
      </c>
      <c r="S18" s="107"/>
      <c r="T18" s="113">
        <f t="shared" si="78"/>
        <v>0</v>
      </c>
      <c r="U18" s="107"/>
      <c r="V18" s="113">
        <f t="shared" si="79"/>
        <v>0</v>
      </c>
      <c r="W18" s="107"/>
      <c r="X18" s="113">
        <f t="shared" si="80"/>
        <v>0</v>
      </c>
      <c r="Y18" s="107"/>
      <c r="Z18" s="113">
        <f t="shared" si="81"/>
        <v>0</v>
      </c>
      <c r="AA18" s="107"/>
      <c r="AB18" s="113">
        <f t="shared" si="82"/>
        <v>0</v>
      </c>
      <c r="AC18" s="107"/>
      <c r="AD18" s="113">
        <f t="shared" si="83"/>
        <v>0</v>
      </c>
      <c r="AE18" s="107"/>
      <c r="AF18" s="113">
        <f t="shared" si="84"/>
        <v>0</v>
      </c>
      <c r="AG18" s="107"/>
      <c r="AH18" s="113">
        <f t="shared" si="85"/>
        <v>0</v>
      </c>
      <c r="AI18" s="107"/>
      <c r="AJ18" s="113">
        <f t="shared" si="86"/>
        <v>0</v>
      </c>
      <c r="AK18" s="107"/>
      <c r="AL18" s="113">
        <f t="shared" si="87"/>
        <v>0</v>
      </c>
      <c r="AM18" s="107"/>
      <c r="AN18" s="113">
        <f t="shared" si="88"/>
        <v>0</v>
      </c>
      <c r="AO18" s="107"/>
      <c r="AP18" s="113">
        <f t="shared" si="89"/>
        <v>0</v>
      </c>
      <c r="AQ18" s="107"/>
      <c r="AR18" s="113">
        <f t="shared" si="90"/>
        <v>0</v>
      </c>
      <c r="AS18" s="107"/>
      <c r="AT18" s="113">
        <f t="shared" si="91"/>
        <v>0</v>
      </c>
      <c r="AU18" s="107"/>
      <c r="AV18" s="113">
        <f t="shared" si="92"/>
        <v>0</v>
      </c>
      <c r="AW18" s="107"/>
      <c r="AX18" s="113">
        <f t="shared" si="93"/>
        <v>0</v>
      </c>
      <c r="AY18" s="107">
        <v>0.14285714285714285</v>
      </c>
      <c r="AZ18" s="113">
        <f t="shared" si="94"/>
        <v>441089.45862585411</v>
      </c>
      <c r="BA18" s="107">
        <v>0.14285714285714285</v>
      </c>
      <c r="BB18" s="113">
        <f t="shared" si="95"/>
        <v>441089.45862585411</v>
      </c>
      <c r="BC18" s="107">
        <v>0.14285714285714285</v>
      </c>
      <c r="BD18" s="113">
        <f t="shared" si="96"/>
        <v>441089.45862585411</v>
      </c>
      <c r="BE18" s="107">
        <v>0.14285714285714285</v>
      </c>
      <c r="BF18" s="113">
        <f t="shared" si="97"/>
        <v>441089.45862585411</v>
      </c>
      <c r="BG18" s="107">
        <v>0.14285714285714285</v>
      </c>
      <c r="BH18" s="113">
        <f t="shared" si="98"/>
        <v>441089.45862585411</v>
      </c>
      <c r="BI18" s="107">
        <v>0.14285714285714285</v>
      </c>
      <c r="BJ18" s="113">
        <f t="shared" si="99"/>
        <v>441089.45862585411</v>
      </c>
      <c r="BK18" s="107">
        <v>0.14285714285714285</v>
      </c>
      <c r="BL18" s="113">
        <f t="shared" si="100"/>
        <v>441089.45862585411</v>
      </c>
      <c r="BM18" s="107"/>
      <c r="BN18" s="113">
        <f t="shared" si="101"/>
        <v>0</v>
      </c>
      <c r="BO18" s="107"/>
      <c r="BP18" s="113">
        <f t="shared" si="102"/>
        <v>0</v>
      </c>
      <c r="BQ18" s="107"/>
      <c r="BR18" s="113">
        <f t="shared" si="103"/>
        <v>0</v>
      </c>
      <c r="BS18" s="107"/>
      <c r="BT18" s="113">
        <f t="shared" si="104"/>
        <v>0</v>
      </c>
      <c r="BU18" s="107"/>
      <c r="BV18" s="113">
        <f t="shared" si="105"/>
        <v>0</v>
      </c>
      <c r="BW18" s="107"/>
      <c r="BX18" s="113">
        <f t="shared" si="106"/>
        <v>0</v>
      </c>
      <c r="BY18" s="107"/>
      <c r="BZ18" s="113">
        <f t="shared" si="107"/>
        <v>0</v>
      </c>
      <c r="CA18" s="107"/>
      <c r="CB18" s="113">
        <f t="shared" si="66"/>
        <v>0</v>
      </c>
      <c r="CC18" s="107"/>
      <c r="CD18" s="113">
        <f t="shared" si="67"/>
        <v>0</v>
      </c>
      <c r="CE18" s="107"/>
      <c r="CF18" s="113">
        <f t="shared" si="68"/>
        <v>0</v>
      </c>
      <c r="CG18" s="107"/>
      <c r="CH18" s="113">
        <f t="shared" si="69"/>
        <v>0</v>
      </c>
    </row>
    <row r="19" spans="2:89" ht="19.5" customHeight="1">
      <c r="B19" s="104" t="s">
        <v>154</v>
      </c>
      <c r="C19" s="105">
        <v>3416073.0232285941</v>
      </c>
      <c r="D19" s="106">
        <v>4.568214240983464E-2</v>
      </c>
      <c r="E19" s="180">
        <f t="shared" si="70"/>
        <v>1</v>
      </c>
      <c r="F19" s="182">
        <f t="shared" si="71"/>
        <v>3416073.0232285936</v>
      </c>
      <c r="G19" s="107"/>
      <c r="H19" s="108">
        <f t="shared" si="108"/>
        <v>0</v>
      </c>
      <c r="I19" s="107"/>
      <c r="J19" s="108">
        <f t="shared" si="109"/>
        <v>0</v>
      </c>
      <c r="K19" s="107"/>
      <c r="L19" s="108">
        <f t="shared" si="110"/>
        <v>0</v>
      </c>
      <c r="M19" s="107"/>
      <c r="N19" s="108">
        <f t="shared" si="75"/>
        <v>0</v>
      </c>
      <c r="O19" s="107"/>
      <c r="P19" s="108">
        <f t="shared" si="76"/>
        <v>0</v>
      </c>
      <c r="Q19" s="107"/>
      <c r="R19" s="108">
        <f t="shared" si="77"/>
        <v>0</v>
      </c>
      <c r="S19" s="107"/>
      <c r="T19" s="108">
        <f t="shared" si="78"/>
        <v>0</v>
      </c>
      <c r="U19" s="107"/>
      <c r="V19" s="108">
        <f t="shared" si="79"/>
        <v>0</v>
      </c>
      <c r="W19" s="107"/>
      <c r="X19" s="108">
        <f t="shared" si="80"/>
        <v>0</v>
      </c>
      <c r="Y19" s="107"/>
      <c r="Z19" s="108">
        <f t="shared" si="81"/>
        <v>0</v>
      </c>
      <c r="AA19" s="107"/>
      <c r="AB19" s="108">
        <f t="shared" si="82"/>
        <v>0</v>
      </c>
      <c r="AC19" s="107"/>
      <c r="AD19" s="108">
        <f t="shared" si="83"/>
        <v>0</v>
      </c>
      <c r="AE19" s="107"/>
      <c r="AF19" s="108">
        <f t="shared" si="84"/>
        <v>0</v>
      </c>
      <c r="AG19" s="107"/>
      <c r="AH19" s="108">
        <f t="shared" si="85"/>
        <v>0</v>
      </c>
      <c r="AI19" s="107"/>
      <c r="AJ19" s="108">
        <f t="shared" si="86"/>
        <v>0</v>
      </c>
      <c r="AK19" s="107"/>
      <c r="AL19" s="108">
        <f t="shared" si="87"/>
        <v>0</v>
      </c>
      <c r="AM19" s="107"/>
      <c r="AN19" s="108">
        <f t="shared" si="88"/>
        <v>0</v>
      </c>
      <c r="AO19" s="107"/>
      <c r="AP19" s="108">
        <f t="shared" si="89"/>
        <v>0</v>
      </c>
      <c r="AQ19" s="107"/>
      <c r="AR19" s="108">
        <f t="shared" si="90"/>
        <v>0</v>
      </c>
      <c r="AS19" s="107"/>
      <c r="AT19" s="108">
        <f t="shared" si="91"/>
        <v>0</v>
      </c>
      <c r="AU19" s="107"/>
      <c r="AV19" s="108">
        <f t="shared" si="92"/>
        <v>0</v>
      </c>
      <c r="AW19" s="107"/>
      <c r="AX19" s="108">
        <f t="shared" si="93"/>
        <v>0</v>
      </c>
      <c r="AY19" s="107"/>
      <c r="AZ19" s="108">
        <f t="shared" si="94"/>
        <v>0</v>
      </c>
      <c r="BA19" s="107"/>
      <c r="BB19" s="108">
        <f t="shared" si="95"/>
        <v>0</v>
      </c>
      <c r="BC19" s="107"/>
      <c r="BD19" s="108">
        <f t="shared" si="96"/>
        <v>0</v>
      </c>
      <c r="BE19" s="107"/>
      <c r="BF19" s="108">
        <f t="shared" si="97"/>
        <v>0</v>
      </c>
      <c r="BG19" s="107"/>
      <c r="BH19" s="108">
        <f t="shared" si="98"/>
        <v>0</v>
      </c>
      <c r="BI19" s="107"/>
      <c r="BJ19" s="108">
        <f t="shared" si="99"/>
        <v>0</v>
      </c>
      <c r="BK19" s="107">
        <v>0.125</v>
      </c>
      <c r="BL19" s="108">
        <f t="shared" si="100"/>
        <v>427009.12790357426</v>
      </c>
      <c r="BM19" s="107">
        <v>0.125</v>
      </c>
      <c r="BN19" s="108">
        <f t="shared" si="101"/>
        <v>427009.12790357426</v>
      </c>
      <c r="BO19" s="107">
        <v>0.125</v>
      </c>
      <c r="BP19" s="108">
        <f t="shared" si="102"/>
        <v>427009.12790357426</v>
      </c>
      <c r="BQ19" s="107">
        <v>0.125</v>
      </c>
      <c r="BR19" s="108">
        <f t="shared" si="103"/>
        <v>427009.12790357426</v>
      </c>
      <c r="BS19" s="107">
        <v>0.125</v>
      </c>
      <c r="BT19" s="108">
        <f t="shared" si="104"/>
        <v>427009.12790357426</v>
      </c>
      <c r="BU19" s="107">
        <v>0.125</v>
      </c>
      <c r="BV19" s="108">
        <f t="shared" si="105"/>
        <v>427009.12790357426</v>
      </c>
      <c r="BW19" s="107">
        <v>0.125</v>
      </c>
      <c r="BX19" s="108">
        <f t="shared" si="106"/>
        <v>427009.12790357426</v>
      </c>
      <c r="BY19" s="107">
        <v>0.125</v>
      </c>
      <c r="BZ19" s="108">
        <f t="shared" si="107"/>
        <v>427009.12790357426</v>
      </c>
      <c r="CA19" s="107"/>
      <c r="CB19" s="108">
        <f t="shared" si="66"/>
        <v>0</v>
      </c>
      <c r="CC19" s="107"/>
      <c r="CD19" s="108">
        <f t="shared" si="67"/>
        <v>0</v>
      </c>
      <c r="CE19" s="107"/>
      <c r="CF19" s="108">
        <f t="shared" si="68"/>
        <v>0</v>
      </c>
      <c r="CG19" s="107"/>
      <c r="CH19" s="108">
        <f t="shared" si="69"/>
        <v>0</v>
      </c>
      <c r="CI19" s="109"/>
      <c r="CJ19" s="109"/>
      <c r="CK19" s="109"/>
    </row>
    <row r="20" spans="2:89" ht="19.5" customHeight="1">
      <c r="B20" s="110" t="s">
        <v>160</v>
      </c>
      <c r="C20" s="111">
        <v>2178034.2880722904</v>
      </c>
      <c r="D20" s="112">
        <v>2.9126213592233007E-2</v>
      </c>
      <c r="E20" s="181">
        <f>SUM(G20,I20,K20,M20,O20,Q20,S20,U20,W20,Y20,AA20,AC20,AE20,AG20,AI20,,AK20,AM20,AO20,AQ20,AS20,AU20,AW20,AY20,BA20,BC20,BE20,BG20,BI20,BK20,BM20,BO20,BQ20,BS20,BU20,BW20,BY20,CA20,CC20,CE20,CG20)</f>
        <v>1.0000000000000002</v>
      </c>
      <c r="F20" s="182">
        <f t="shared" si="71"/>
        <v>2178034.2880722908</v>
      </c>
      <c r="G20" s="107">
        <f>100%/$B$27</f>
        <v>2.7777777777777776E-2</v>
      </c>
      <c r="H20" s="113">
        <f t="shared" si="108"/>
        <v>60500.952446452509</v>
      </c>
      <c r="I20" s="107">
        <f t="shared" ref="I20" si="147">100%/$B$27</f>
        <v>2.7777777777777776E-2</v>
      </c>
      <c r="J20" s="113">
        <f t="shared" si="109"/>
        <v>60500.952446452509</v>
      </c>
      <c r="K20" s="107">
        <f t="shared" ref="K20" si="148">100%/$B$27</f>
        <v>2.7777777777777776E-2</v>
      </c>
      <c r="L20" s="113">
        <f t="shared" si="110"/>
        <v>60500.952446452509</v>
      </c>
      <c r="M20" s="107">
        <f t="shared" ref="M20" si="149">100%/$B$27</f>
        <v>2.7777777777777776E-2</v>
      </c>
      <c r="N20" s="113">
        <f t="shared" si="75"/>
        <v>60500.952446452509</v>
      </c>
      <c r="O20" s="107">
        <f t="shared" ref="O20" si="150">100%/$B$27</f>
        <v>2.7777777777777776E-2</v>
      </c>
      <c r="P20" s="113">
        <f t="shared" si="76"/>
        <v>60500.952446452509</v>
      </c>
      <c r="Q20" s="107">
        <f t="shared" ref="Q20" si="151">100%/$B$27</f>
        <v>2.7777777777777776E-2</v>
      </c>
      <c r="R20" s="113">
        <f t="shared" si="77"/>
        <v>60500.952446452509</v>
      </c>
      <c r="S20" s="107">
        <f t="shared" ref="S20" si="152">100%/$B$27</f>
        <v>2.7777777777777776E-2</v>
      </c>
      <c r="T20" s="113">
        <f t="shared" si="78"/>
        <v>60500.952446452509</v>
      </c>
      <c r="U20" s="107">
        <f t="shared" ref="U20" si="153">100%/$B$27</f>
        <v>2.7777777777777776E-2</v>
      </c>
      <c r="V20" s="113">
        <f t="shared" si="79"/>
        <v>60500.952446452509</v>
      </c>
      <c r="W20" s="107">
        <f t="shared" ref="W20" si="154">100%/$B$27</f>
        <v>2.7777777777777776E-2</v>
      </c>
      <c r="X20" s="113">
        <f t="shared" si="80"/>
        <v>60500.952446452509</v>
      </c>
      <c r="Y20" s="107">
        <f t="shared" ref="Y20" si="155">100%/$B$27</f>
        <v>2.7777777777777776E-2</v>
      </c>
      <c r="Z20" s="113">
        <f t="shared" si="81"/>
        <v>60500.952446452509</v>
      </c>
      <c r="AA20" s="107">
        <f t="shared" ref="AA20" si="156">100%/$B$27</f>
        <v>2.7777777777777776E-2</v>
      </c>
      <c r="AB20" s="113">
        <f t="shared" si="82"/>
        <v>60500.952446452509</v>
      </c>
      <c r="AC20" s="107">
        <f t="shared" ref="AC20" si="157">100%/$B$27</f>
        <v>2.7777777777777776E-2</v>
      </c>
      <c r="AD20" s="113">
        <f t="shared" si="83"/>
        <v>60500.952446452509</v>
      </c>
      <c r="AE20" s="107">
        <f t="shared" ref="AE20" si="158">100%/$B$27</f>
        <v>2.7777777777777776E-2</v>
      </c>
      <c r="AF20" s="113">
        <f t="shared" si="84"/>
        <v>60500.952446452509</v>
      </c>
      <c r="AG20" s="107">
        <f t="shared" ref="AG20" si="159">100%/$B$27</f>
        <v>2.7777777777777776E-2</v>
      </c>
      <c r="AH20" s="113">
        <f t="shared" si="85"/>
        <v>60500.952446452509</v>
      </c>
      <c r="AI20" s="107">
        <f t="shared" ref="AI20" si="160">100%/$B$27</f>
        <v>2.7777777777777776E-2</v>
      </c>
      <c r="AJ20" s="113">
        <f t="shared" si="86"/>
        <v>60500.952446452509</v>
      </c>
      <c r="AK20" s="107">
        <f t="shared" ref="AK20" si="161">100%/$B$27</f>
        <v>2.7777777777777776E-2</v>
      </c>
      <c r="AL20" s="113">
        <f t="shared" si="87"/>
        <v>60500.952446452509</v>
      </c>
      <c r="AM20" s="107">
        <f t="shared" ref="AM20" si="162">100%/$B$27</f>
        <v>2.7777777777777776E-2</v>
      </c>
      <c r="AN20" s="113">
        <f t="shared" si="88"/>
        <v>60500.952446452509</v>
      </c>
      <c r="AO20" s="107">
        <f t="shared" ref="AO20" si="163">100%/$B$27</f>
        <v>2.7777777777777776E-2</v>
      </c>
      <c r="AP20" s="113">
        <f t="shared" si="89"/>
        <v>60500.952446452509</v>
      </c>
      <c r="AQ20" s="107">
        <f t="shared" ref="AQ20" si="164">100%/$B$27</f>
        <v>2.7777777777777776E-2</v>
      </c>
      <c r="AR20" s="113">
        <f t="shared" si="90"/>
        <v>60500.952446452509</v>
      </c>
      <c r="AS20" s="107">
        <f t="shared" ref="AS20" si="165">100%/$B$27</f>
        <v>2.7777777777777776E-2</v>
      </c>
      <c r="AT20" s="113">
        <f t="shared" si="91"/>
        <v>60500.952446452509</v>
      </c>
      <c r="AU20" s="107">
        <f t="shared" ref="AU20" si="166">100%/$B$27</f>
        <v>2.7777777777777776E-2</v>
      </c>
      <c r="AV20" s="113">
        <f t="shared" si="92"/>
        <v>60500.952446452509</v>
      </c>
      <c r="AW20" s="107">
        <f t="shared" ref="AW20" si="167">100%/$B$27</f>
        <v>2.7777777777777776E-2</v>
      </c>
      <c r="AX20" s="113">
        <f t="shared" si="93"/>
        <v>60500.952446452509</v>
      </c>
      <c r="AY20" s="107">
        <f t="shared" ref="AY20" si="168">100%/$B$27</f>
        <v>2.7777777777777776E-2</v>
      </c>
      <c r="AZ20" s="113">
        <f t="shared" si="94"/>
        <v>60500.952446452509</v>
      </c>
      <c r="BA20" s="107">
        <f t="shared" ref="BA20" si="169">100%/$B$27</f>
        <v>2.7777777777777776E-2</v>
      </c>
      <c r="BB20" s="113">
        <f t="shared" si="95"/>
        <v>60500.952446452509</v>
      </c>
      <c r="BC20" s="107">
        <f t="shared" ref="BC20" si="170">100%/$B$27</f>
        <v>2.7777777777777776E-2</v>
      </c>
      <c r="BD20" s="113">
        <f t="shared" si="96"/>
        <v>60500.952446452509</v>
      </c>
      <c r="BE20" s="107">
        <f t="shared" ref="BE20" si="171">100%/$B$27</f>
        <v>2.7777777777777776E-2</v>
      </c>
      <c r="BF20" s="113">
        <f t="shared" si="97"/>
        <v>60500.952446452509</v>
      </c>
      <c r="BG20" s="107">
        <f t="shared" ref="BG20" si="172">100%/$B$27</f>
        <v>2.7777777777777776E-2</v>
      </c>
      <c r="BH20" s="113">
        <f t="shared" si="98"/>
        <v>60500.952446452509</v>
      </c>
      <c r="BI20" s="107">
        <f t="shared" ref="BI20" si="173">100%/$B$27</f>
        <v>2.7777777777777776E-2</v>
      </c>
      <c r="BJ20" s="113">
        <f t="shared" si="99"/>
        <v>60500.952446452509</v>
      </c>
      <c r="BK20" s="107">
        <f t="shared" ref="BK20" si="174">100%/$B$27</f>
        <v>2.7777777777777776E-2</v>
      </c>
      <c r="BL20" s="113">
        <f t="shared" si="100"/>
        <v>60500.952446452509</v>
      </c>
      <c r="BM20" s="107">
        <f t="shared" ref="BM20" si="175">100%/$B$27</f>
        <v>2.7777777777777776E-2</v>
      </c>
      <c r="BN20" s="113">
        <f t="shared" si="101"/>
        <v>60500.952446452509</v>
      </c>
      <c r="BO20" s="107">
        <f t="shared" ref="BO20" si="176">100%/$B$27</f>
        <v>2.7777777777777776E-2</v>
      </c>
      <c r="BP20" s="113">
        <f t="shared" si="102"/>
        <v>60500.952446452509</v>
      </c>
      <c r="BQ20" s="107">
        <f t="shared" ref="BQ20" si="177">100%/$B$27</f>
        <v>2.7777777777777776E-2</v>
      </c>
      <c r="BR20" s="113">
        <f t="shared" si="103"/>
        <v>60500.952446452509</v>
      </c>
      <c r="BS20" s="107">
        <f t="shared" ref="BS20" si="178">100%/$B$27</f>
        <v>2.7777777777777776E-2</v>
      </c>
      <c r="BT20" s="113">
        <f t="shared" si="104"/>
        <v>60500.952446452509</v>
      </c>
      <c r="BU20" s="107">
        <f t="shared" ref="BU20" si="179">100%/$B$27</f>
        <v>2.7777777777777776E-2</v>
      </c>
      <c r="BV20" s="113">
        <f t="shared" si="105"/>
        <v>60500.952446452509</v>
      </c>
      <c r="BW20" s="107">
        <f t="shared" ref="BW20" si="180">100%/$B$27</f>
        <v>2.7777777777777776E-2</v>
      </c>
      <c r="BX20" s="113">
        <f t="shared" si="106"/>
        <v>60500.952446452509</v>
      </c>
      <c r="BY20" s="107">
        <f t="shared" ref="BY20" si="181">100%/$B$27</f>
        <v>2.7777777777777776E-2</v>
      </c>
      <c r="BZ20" s="113">
        <f t="shared" si="107"/>
        <v>60500.952446452509</v>
      </c>
      <c r="CA20" s="107"/>
      <c r="CB20" s="113">
        <f t="shared" si="66"/>
        <v>0</v>
      </c>
      <c r="CC20" s="107"/>
      <c r="CD20" s="113">
        <f t="shared" si="67"/>
        <v>0</v>
      </c>
      <c r="CE20" s="107"/>
      <c r="CF20" s="113">
        <f t="shared" si="68"/>
        <v>0</v>
      </c>
      <c r="CG20" s="107"/>
      <c r="CH20" s="113">
        <f t="shared" si="69"/>
        <v>0</v>
      </c>
      <c r="CI20" t="s">
        <v>161</v>
      </c>
      <c r="CJ20" t="s">
        <v>162</v>
      </c>
      <c r="CK20" t="s">
        <v>163</v>
      </c>
    </row>
    <row r="21" spans="2:89" ht="19.5" customHeight="1">
      <c r="B21" s="114" t="s">
        <v>164</v>
      </c>
      <c r="C21" s="115">
        <v>74779177.223815307</v>
      </c>
      <c r="D21" s="116">
        <v>1.0000000000000002</v>
      </c>
      <c r="E21" s="117">
        <f t="shared" ref="E21:E22" si="182">SUM(H21:CH21)</f>
        <v>74779177.223815322</v>
      </c>
      <c r="F21" s="143"/>
      <c r="G21" s="118"/>
      <c r="H21" s="119">
        <f>SUM(H4:H20)</f>
        <v>1610976.1012672915</v>
      </c>
      <c r="I21" s="118"/>
      <c r="J21" s="119">
        <f>SUM(J4:J20)</f>
        <v>2795460.5558380526</v>
      </c>
      <c r="K21" s="118"/>
      <c r="L21" s="119">
        <f>SUM(L4:L20)</f>
        <v>2795460.5558380526</v>
      </c>
      <c r="M21" s="118"/>
      <c r="N21" s="119">
        <f>SUM(N4:N20)</f>
        <v>3206611.6996772988</v>
      </c>
      <c r="O21" s="118"/>
      <c r="P21" s="119">
        <f>SUM(P4:P20)</f>
        <v>834653.28985594993</v>
      </c>
      <c r="Q21" s="118"/>
      <c r="R21" s="119">
        <f>SUM(R4:R20)</f>
        <v>834653.28985594993</v>
      </c>
      <c r="S21" s="118"/>
      <c r="T21" s="119">
        <f>SUM(T4:T20)</f>
        <v>664115.81636657007</v>
      </c>
      <c r="U21" s="118"/>
      <c r="V21" s="119">
        <f>SUM(V4:V20)</f>
        <v>886253.14863716112</v>
      </c>
      <c r="W21" s="118"/>
      <c r="X21" s="119">
        <f>SUM(X4:X20)</f>
        <v>1407428.3538567403</v>
      </c>
      <c r="Y21" s="118"/>
      <c r="Z21" s="119">
        <f>SUM(Z4:Z20)</f>
        <v>1407428.3538567403</v>
      </c>
      <c r="AA21" s="118"/>
      <c r="AB21" s="119">
        <f>SUM(AB4:AB20)</f>
        <v>1513001.520018358</v>
      </c>
      <c r="AC21" s="118"/>
      <c r="AD21" s="119">
        <f>SUM(AD4:AD20)</f>
        <v>1597622.1170185141</v>
      </c>
      <c r="AE21" s="118"/>
      <c r="AF21" s="119">
        <f>SUM(AF4:AF20)</f>
        <v>1973851.3833042283</v>
      </c>
      <c r="AG21" s="118"/>
      <c r="AH21" s="119">
        <f>SUM(AH4:AH20)</f>
        <v>2045659.3065036123</v>
      </c>
      <c r="AI21" s="118"/>
      <c r="AJ21" s="119">
        <f>SUM(AJ4:AJ20)</f>
        <v>2104344.4367206525</v>
      </c>
      <c r="AK21" s="118"/>
      <c r="AL21" s="119">
        <f>SUM(AL4:AL20)</f>
        <v>2358766.2543586195</v>
      </c>
      <c r="AM21" s="118"/>
      <c r="AN21" s="119">
        <f>SUM(AN4:AN20)</f>
        <v>2549315.1449371823</v>
      </c>
      <c r="AO21" s="118"/>
      <c r="AP21" s="119">
        <f>SUM(AP4:AP20)</f>
        <v>2697390.4355259272</v>
      </c>
      <c r="AQ21" s="118"/>
      <c r="AR21" s="119">
        <f>SUM(AR4:AR20)</f>
        <v>2697390.4355259272</v>
      </c>
      <c r="AS21" s="118"/>
      <c r="AT21" s="119">
        <f>SUM(AT4:AT20)</f>
        <v>1972303.9546965116</v>
      </c>
      <c r="AU21" s="118"/>
      <c r="AV21" s="119">
        <f>SUM(AV4:AV20)</f>
        <v>1972303.9546965116</v>
      </c>
      <c r="AW21" s="118"/>
      <c r="AX21" s="119">
        <f>SUM(AX4:AX20)</f>
        <v>1972303.9546965116</v>
      </c>
      <c r="AY21" s="118"/>
      <c r="AZ21" s="119">
        <f>SUM(AZ4:AZ20)</f>
        <v>2413393.4133223654</v>
      </c>
      <c r="BA21" s="118"/>
      <c r="BB21" s="119">
        <f>SUM(BB4:BB20)</f>
        <v>2413393.4133223654</v>
      </c>
      <c r="BC21" s="118"/>
      <c r="BD21" s="119">
        <f>SUM(BD4:BD20)</f>
        <v>2413393.4133223654</v>
      </c>
      <c r="BE21" s="118"/>
      <c r="BF21" s="119">
        <f>SUM(BF4:BF20)</f>
        <v>2413393.4133223654</v>
      </c>
      <c r="BG21" s="118"/>
      <c r="BH21" s="119">
        <f>SUM(BH4:BH20)</f>
        <v>1906671.093620227</v>
      </c>
      <c r="BI21" s="118"/>
      <c r="BJ21" s="120">
        <f>SUM(BJ4:BJ20)</f>
        <v>2888690.5422709528</v>
      </c>
      <c r="BK21" s="101"/>
      <c r="BL21" s="120">
        <f>SUM(BL4:BL20)</f>
        <v>3231026.0283745276</v>
      </c>
      <c r="BM21" s="101"/>
      <c r="BN21" s="120">
        <f>SUM(BN4:BN20)</f>
        <v>2482282.3185335719</v>
      </c>
      <c r="BO21" s="101"/>
      <c r="BP21" s="120">
        <f>SUM(BP4:BP20)</f>
        <v>2386871.656164451</v>
      </c>
      <c r="BQ21" s="101"/>
      <c r="BR21" s="120">
        <f>SUM(BR4:BR20)</f>
        <v>2386871.656164451</v>
      </c>
      <c r="BS21" s="101"/>
      <c r="BT21" s="120">
        <f>SUM(BT4:BT20)</f>
        <v>2386871.656164451</v>
      </c>
      <c r="BU21" s="101"/>
      <c r="BV21" s="120">
        <f>SUM(BV4:BV20)</f>
        <v>2386871.656164451</v>
      </c>
      <c r="BW21" s="101"/>
      <c r="BX21" s="120">
        <f>SUM(BX4:BX20)</f>
        <v>2386871.656164451</v>
      </c>
      <c r="BY21" s="101"/>
      <c r="BZ21" s="120">
        <f>SUM(BZ4:BZ20)</f>
        <v>785281.24385195086</v>
      </c>
      <c r="CA21" s="101"/>
      <c r="CB21" s="120">
        <f>SUM(CB4:CB20)</f>
        <v>0</v>
      </c>
      <c r="CC21" s="101"/>
      <c r="CD21" s="120">
        <f>SUM(CD4:CD20)</f>
        <v>0</v>
      </c>
      <c r="CE21" s="101"/>
      <c r="CF21" s="120">
        <f>SUM(CF4:CF20)</f>
        <v>0</v>
      </c>
      <c r="CG21" s="101"/>
      <c r="CH21" s="120">
        <f>SUM(CH4:CH20)</f>
        <v>0</v>
      </c>
      <c r="CI21" s="121">
        <f>C21</f>
        <v>74779177.223815307</v>
      </c>
      <c r="CJ21" s="122">
        <f>SUM(H21:CH21)</f>
        <v>74779177.223815322</v>
      </c>
      <c r="CK21" s="123" t="b">
        <f>C21=CJ21</f>
        <v>1</v>
      </c>
    </row>
    <row r="22" spans="2:89" ht="22.5" customHeight="1">
      <c r="B22" s="124" t="s">
        <v>165</v>
      </c>
      <c r="C22" s="125"/>
      <c r="D22" s="126"/>
      <c r="E22" s="127">
        <f t="shared" si="182"/>
        <v>1</v>
      </c>
      <c r="F22" s="144"/>
      <c r="G22" s="128"/>
      <c r="H22" s="129">
        <f>H21/$CI$21</f>
        <v>2.1543110810722261E-2</v>
      </c>
      <c r="I22" s="118"/>
      <c r="J22" s="129">
        <f>J21/$CI$21</f>
        <v>3.7382873944590125E-2</v>
      </c>
      <c r="K22" s="118"/>
      <c r="L22" s="129">
        <f>L21/$CI$21</f>
        <v>3.7382873944590125E-2</v>
      </c>
      <c r="M22" s="118"/>
      <c r="N22" s="129">
        <f>N21/$CI$21</f>
        <v>4.2881077576981855E-2</v>
      </c>
      <c r="O22" s="118"/>
      <c r="P22" s="129">
        <f>P21/$CI$21</f>
        <v>1.1161573593646517E-2</v>
      </c>
      <c r="Q22" s="118"/>
      <c r="R22" s="129">
        <f>R21/$CI$21</f>
        <v>1.1161573593646517E-2</v>
      </c>
      <c r="S22" s="118"/>
      <c r="T22" s="129">
        <f>T21/$CI$21</f>
        <v>8.8810259890779557E-3</v>
      </c>
      <c r="U22" s="130"/>
      <c r="V22" s="129">
        <f>V21/$CI$21</f>
        <v>1.1851603367934779E-2</v>
      </c>
      <c r="W22" s="130"/>
      <c r="X22" s="129">
        <f>X21/$CI$21</f>
        <v>1.8821126496809188E-2</v>
      </c>
      <c r="Y22" s="130"/>
      <c r="Z22" s="129">
        <f>Z21/$CI$21</f>
        <v>1.8821126496809188E-2</v>
      </c>
      <c r="AA22" s="130"/>
      <c r="AB22" s="129">
        <f>AB21/$CI$21</f>
        <v>2.0232925477234386E-2</v>
      </c>
      <c r="AC22" s="130"/>
      <c r="AD22" s="129">
        <f>AD21/$CI$21</f>
        <v>2.1364531896851509E-2</v>
      </c>
      <c r="AE22" s="130"/>
      <c r="AF22" s="129">
        <f>AF21/$CI$21</f>
        <v>2.6395735505305957E-2</v>
      </c>
      <c r="AG22" s="130"/>
      <c r="AH22" s="129">
        <f>AH21/$CI$21</f>
        <v>2.735600179687616E-2</v>
      </c>
      <c r="AI22" s="130"/>
      <c r="AJ22" s="129">
        <f>AJ21/$CI$21</f>
        <v>2.814078082755999E-2</v>
      </c>
      <c r="AK22" s="130"/>
      <c r="AL22" s="129">
        <f>AL21/$CI$21</f>
        <v>3.1543089158346756E-2</v>
      </c>
      <c r="AM22" s="130"/>
      <c r="AN22" s="129">
        <f>AN21/$CI$21</f>
        <v>3.40912435731546E-2</v>
      </c>
      <c r="AO22" s="130"/>
      <c r="AP22" s="129">
        <f>AP21/$CI$21</f>
        <v>3.6071410995237259E-2</v>
      </c>
      <c r="AQ22" s="130"/>
      <c r="AR22" s="129">
        <f>AR21/$CI$21</f>
        <v>3.6071410995237259E-2</v>
      </c>
      <c r="AS22" s="130"/>
      <c r="AT22" s="129">
        <f>AT21/$CI$21</f>
        <v>2.6375042196484368E-2</v>
      </c>
      <c r="AU22" s="130"/>
      <c r="AV22" s="129">
        <f>AV21/$CI$21</f>
        <v>2.6375042196484368E-2</v>
      </c>
      <c r="AW22" s="130"/>
      <c r="AX22" s="129">
        <f>AX21/$CI$21</f>
        <v>2.6375042196484368E-2</v>
      </c>
      <c r="AY22" s="130"/>
      <c r="AZ22" s="129">
        <f>AZ21/$CI$21</f>
        <v>3.2273602129895586E-2</v>
      </c>
      <c r="BA22" s="130"/>
      <c r="BB22" s="129">
        <f>BB21/$CI$21</f>
        <v>3.2273602129895586E-2</v>
      </c>
      <c r="BC22" s="130"/>
      <c r="BD22" s="129">
        <f>BD21/$CI$21</f>
        <v>3.2273602129895586E-2</v>
      </c>
      <c r="BE22" s="130"/>
      <c r="BF22" s="129">
        <f>BF21/$CI$21</f>
        <v>3.2273602129895586E-2</v>
      </c>
      <c r="BG22" s="130"/>
      <c r="BH22" s="129">
        <f>BH21/$CI$21</f>
        <v>2.5497353199187108E-2</v>
      </c>
      <c r="BI22" s="130"/>
      <c r="BJ22" s="131">
        <f>BJ21/$CI$21</f>
        <v>3.8629611203464496E-2</v>
      </c>
      <c r="BK22" s="132"/>
      <c r="BL22" s="131">
        <f>BL21/$CI$21</f>
        <v>4.3207563232529472E-2</v>
      </c>
      <c r="BM22" s="132"/>
      <c r="BN22" s="131">
        <f>BN21/$CI$21</f>
        <v>3.3194833250224993E-2</v>
      </c>
      <c r="BO22" s="132"/>
      <c r="BP22" s="131">
        <f>BP21/$CI$21</f>
        <v>3.191893445177265E-2</v>
      </c>
      <c r="BQ22" s="132"/>
      <c r="BR22" s="131">
        <f>BR21/$CI$21</f>
        <v>3.191893445177265E-2</v>
      </c>
      <c r="BS22" s="132"/>
      <c r="BT22" s="131">
        <f>BT21/$CI$21</f>
        <v>3.191893445177265E-2</v>
      </c>
      <c r="BU22" s="132"/>
      <c r="BV22" s="131">
        <f>BV21/$CI$21</f>
        <v>3.191893445177265E-2</v>
      </c>
      <c r="BW22" s="132"/>
      <c r="BX22" s="131">
        <f>BX21/$CI$21</f>
        <v>3.191893445177265E-2</v>
      </c>
      <c r="BY22" s="132"/>
      <c r="BZ22" s="131">
        <f>BZ21/$CI$21</f>
        <v>1.0501335706082873E-2</v>
      </c>
      <c r="CA22" s="132"/>
      <c r="CB22" s="131">
        <f>CB21/$CI$21</f>
        <v>0</v>
      </c>
      <c r="CC22" s="132"/>
      <c r="CD22" s="131">
        <f>CD21/$CI$21</f>
        <v>0</v>
      </c>
      <c r="CE22" s="132"/>
      <c r="CF22" s="131">
        <f>CF21/$CI$21</f>
        <v>0</v>
      </c>
      <c r="CG22" s="132"/>
      <c r="CH22" s="131">
        <f>CH21/$CI$21</f>
        <v>0</v>
      </c>
      <c r="CJ22" s="133">
        <f t="shared" ref="CJ22" si="183">SUM(H22:CH22)</f>
        <v>1</v>
      </c>
      <c r="CK22" s="94"/>
    </row>
    <row r="23" spans="2:89" ht="22.5" customHeight="1">
      <c r="B23" s="95"/>
      <c r="C23" s="95"/>
      <c r="D23" s="134"/>
      <c r="G23" s="135"/>
      <c r="H23" s="135"/>
      <c r="I23" s="95"/>
      <c r="J23" s="95"/>
      <c r="K23" s="95"/>
      <c r="L23" s="135"/>
      <c r="M23" s="95"/>
      <c r="N23" s="95"/>
      <c r="O23" s="135"/>
      <c r="P23" s="135"/>
      <c r="Q23" s="95"/>
      <c r="R23" s="95"/>
      <c r="S23" s="135"/>
      <c r="T23" s="135"/>
      <c r="U23" s="95"/>
      <c r="V23" s="95"/>
      <c r="W23" s="135"/>
      <c r="X23" s="135"/>
      <c r="Y23" s="95"/>
      <c r="Z23" s="95"/>
      <c r="AA23" s="135"/>
      <c r="AB23" s="135"/>
      <c r="AC23" s="95"/>
      <c r="AD23" s="95"/>
      <c r="AE23" s="135"/>
      <c r="AF23" s="135"/>
      <c r="AG23" s="95"/>
      <c r="AH23" s="95"/>
      <c r="AI23" s="135"/>
      <c r="AJ23" s="135"/>
      <c r="AK23" s="95"/>
      <c r="AL23" s="95"/>
      <c r="AM23" s="135"/>
      <c r="AN23" s="135"/>
      <c r="AO23" s="95"/>
      <c r="AP23" s="95"/>
      <c r="AQ23" s="135"/>
      <c r="AR23" s="135"/>
      <c r="AS23" s="95"/>
      <c r="AT23" s="95"/>
      <c r="AU23" s="135"/>
      <c r="AV23" s="135"/>
      <c r="AW23" s="95"/>
      <c r="AX23" s="95"/>
      <c r="AY23" s="135"/>
      <c r="AZ23" s="135"/>
      <c r="BA23" s="95"/>
      <c r="BB23" s="95"/>
      <c r="BC23" s="135"/>
      <c r="BD23" s="135"/>
      <c r="BE23" s="95"/>
      <c r="BF23" s="95"/>
      <c r="BG23" s="135"/>
      <c r="BH23" s="135"/>
      <c r="BI23" s="95"/>
      <c r="BJ23" s="95"/>
      <c r="BK23" s="135"/>
      <c r="BL23" s="135"/>
      <c r="BM23" s="95"/>
      <c r="BN23" s="95"/>
      <c r="BO23" s="135"/>
      <c r="BP23" s="135"/>
      <c r="BQ23" s="95"/>
      <c r="BR23" s="95"/>
      <c r="BS23" s="135"/>
      <c r="BT23" s="135"/>
      <c r="BU23" s="95"/>
      <c r="BV23" s="95"/>
      <c r="BW23" s="135"/>
      <c r="BX23" s="135"/>
      <c r="BY23" s="95"/>
      <c r="BZ23" s="95"/>
      <c r="CA23" s="135"/>
      <c r="CB23" s="135"/>
      <c r="CC23" s="95"/>
      <c r="CD23" s="95"/>
      <c r="CE23" s="135"/>
      <c r="CF23" s="135"/>
      <c r="CG23" s="95"/>
      <c r="CH23" s="95"/>
    </row>
    <row r="24" spans="2:89" ht="15" customHeight="1">
      <c r="B24" s="95"/>
      <c r="C24" s="136" t="s">
        <v>166</v>
      </c>
      <c r="D24" s="95">
        <v>12469.72</v>
      </c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5"/>
      <c r="BQ24" s="95"/>
      <c r="BR24" s="95"/>
      <c r="BS24" s="95"/>
      <c r="BT24" s="95"/>
      <c r="BU24" s="95"/>
      <c r="BV24" s="95"/>
      <c r="BW24" s="95"/>
      <c r="BX24" s="95"/>
      <c r="BY24" s="95"/>
      <c r="BZ24" s="95"/>
      <c r="CA24" s="95"/>
      <c r="CB24" s="95"/>
      <c r="CC24" s="95"/>
      <c r="CD24" s="95"/>
      <c r="CE24" s="95"/>
      <c r="CF24" s="95"/>
      <c r="CG24" s="95"/>
      <c r="CH24" s="95"/>
    </row>
    <row r="25" spans="2:89" ht="19.5" customHeight="1">
      <c r="B25" s="95"/>
      <c r="C25" s="136"/>
      <c r="D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CI25" s="95"/>
    </row>
    <row r="26" spans="2:89" ht="19.5" customHeight="1">
      <c r="B26" s="137" t="s">
        <v>167</v>
      </c>
      <c r="C26" s="137" t="s">
        <v>168</v>
      </c>
      <c r="D26" s="138" t="s">
        <v>157</v>
      </c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</row>
    <row r="27" spans="2:89" ht="19.5" customHeight="1">
      <c r="B27" s="139">
        <v>36</v>
      </c>
      <c r="C27" s="139" t="s">
        <v>81</v>
      </c>
      <c r="D27" s="140">
        <f>H22</f>
        <v>2.1543110810722261E-2</v>
      </c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</row>
    <row r="28" spans="2:89" ht="19.5" customHeight="1">
      <c r="B28" s="95"/>
      <c r="C28" s="139" t="s">
        <v>82</v>
      </c>
      <c r="D28" s="140">
        <f>J22</f>
        <v>3.7382873944590125E-2</v>
      </c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</row>
    <row r="29" spans="2:89" ht="19.5" customHeight="1">
      <c r="B29" s="95"/>
      <c r="C29" s="139" t="s">
        <v>83</v>
      </c>
      <c r="D29" s="140">
        <f>L22</f>
        <v>3.7382873944590125E-2</v>
      </c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</row>
    <row r="30" spans="2:89" ht="19.5" customHeight="1">
      <c r="B30" s="95"/>
      <c r="C30" s="139" t="s">
        <v>84</v>
      </c>
      <c r="D30" s="140">
        <f>N22</f>
        <v>4.2881077576981855E-2</v>
      </c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</row>
    <row r="31" spans="2:89" ht="19.5" customHeight="1">
      <c r="B31" s="95"/>
      <c r="C31" s="139" t="s">
        <v>85</v>
      </c>
      <c r="D31" s="140">
        <f>P22</f>
        <v>1.1161573593646517E-2</v>
      </c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</row>
    <row r="32" spans="2:89" ht="19.5" customHeight="1">
      <c r="B32" s="95"/>
      <c r="C32" s="139" t="s">
        <v>86</v>
      </c>
      <c r="D32" s="140">
        <f>R22</f>
        <v>1.1161573593646517E-2</v>
      </c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</row>
    <row r="33" spans="2:19" ht="19.5" customHeight="1">
      <c r="B33" s="95"/>
      <c r="C33" s="139" t="s">
        <v>87</v>
      </c>
      <c r="D33" s="140">
        <f>T22</f>
        <v>8.8810259890779557E-3</v>
      </c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</row>
    <row r="34" spans="2:19" ht="19.5" customHeight="1">
      <c r="B34" s="95"/>
      <c r="C34" s="139" t="s">
        <v>88</v>
      </c>
      <c r="D34" s="140">
        <f>V22</f>
        <v>1.1851603367934779E-2</v>
      </c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</row>
    <row r="35" spans="2:19" ht="19.5" customHeight="1">
      <c r="B35" s="95"/>
      <c r="C35" s="139" t="s">
        <v>89</v>
      </c>
      <c r="D35" s="140">
        <f>X22</f>
        <v>1.8821126496809188E-2</v>
      </c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</row>
    <row r="36" spans="2:19" ht="19.5" customHeight="1">
      <c r="B36" s="95"/>
      <c r="C36" s="139" t="s">
        <v>90</v>
      </c>
      <c r="D36" s="140">
        <f>Z22</f>
        <v>1.8821126496809188E-2</v>
      </c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</row>
    <row r="37" spans="2:19" ht="19.5" customHeight="1">
      <c r="B37" s="95"/>
      <c r="C37" s="139" t="s">
        <v>91</v>
      </c>
      <c r="D37" s="140">
        <f>AB22</f>
        <v>2.0232925477234386E-2</v>
      </c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</row>
    <row r="38" spans="2:19" ht="19.5" customHeight="1">
      <c r="B38" s="95"/>
      <c r="C38" s="139" t="s">
        <v>92</v>
      </c>
      <c r="D38" s="140">
        <f>AD22</f>
        <v>2.1364531896851509E-2</v>
      </c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</row>
    <row r="39" spans="2:19" ht="19.5" customHeight="1">
      <c r="B39" s="95"/>
      <c r="C39" s="139" t="s">
        <v>93</v>
      </c>
      <c r="D39" s="140">
        <f>AF22</f>
        <v>2.6395735505305957E-2</v>
      </c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</row>
    <row r="40" spans="2:19" ht="19.5" customHeight="1">
      <c r="B40" s="95"/>
      <c r="C40" s="139" t="s">
        <v>94</v>
      </c>
      <c r="D40" s="140">
        <f>AH22</f>
        <v>2.735600179687616E-2</v>
      </c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</row>
    <row r="41" spans="2:19" ht="19.5" customHeight="1">
      <c r="B41" s="95"/>
      <c r="C41" s="139" t="s">
        <v>95</v>
      </c>
      <c r="D41" s="140">
        <f>AJ22</f>
        <v>2.814078082755999E-2</v>
      </c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</row>
    <row r="42" spans="2:19" ht="19.5" customHeight="1">
      <c r="B42" s="95"/>
      <c r="C42" s="139" t="s">
        <v>96</v>
      </c>
      <c r="D42" s="140">
        <f>AL22</f>
        <v>3.1543089158346756E-2</v>
      </c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</row>
    <row r="43" spans="2:19" ht="19.5" customHeight="1">
      <c r="B43" s="95"/>
      <c r="C43" s="139" t="s">
        <v>97</v>
      </c>
      <c r="D43" s="140">
        <f>AN22</f>
        <v>3.40912435731546E-2</v>
      </c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</row>
    <row r="44" spans="2:19" ht="19.5" customHeight="1">
      <c r="B44" s="95"/>
      <c r="C44" s="139" t="s">
        <v>98</v>
      </c>
      <c r="D44" s="140">
        <f>AP22</f>
        <v>3.6071410995237259E-2</v>
      </c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</row>
    <row r="45" spans="2:19" ht="19.5" customHeight="1">
      <c r="B45" s="95"/>
      <c r="C45" s="139" t="s">
        <v>99</v>
      </c>
      <c r="D45" s="140">
        <f>AR22</f>
        <v>3.6071410995237259E-2</v>
      </c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</row>
    <row r="46" spans="2:19" ht="19.5" customHeight="1">
      <c r="B46" s="95"/>
      <c r="C46" s="139" t="s">
        <v>100</v>
      </c>
      <c r="D46" s="140">
        <f>AT22</f>
        <v>2.6375042196484368E-2</v>
      </c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</row>
    <row r="47" spans="2:19" ht="19.5" customHeight="1">
      <c r="B47" s="95"/>
      <c r="C47" s="139" t="s">
        <v>101</v>
      </c>
      <c r="D47" s="140">
        <f>AV22</f>
        <v>2.6375042196484368E-2</v>
      </c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</row>
    <row r="48" spans="2:19" ht="19.5" customHeight="1">
      <c r="B48" s="95"/>
      <c r="C48" s="139" t="s">
        <v>102</v>
      </c>
      <c r="D48" s="140">
        <f>AX22</f>
        <v>2.6375042196484368E-2</v>
      </c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</row>
    <row r="49" spans="2:19" ht="19.5" customHeight="1">
      <c r="B49" s="95"/>
      <c r="C49" s="139" t="s">
        <v>103</v>
      </c>
      <c r="D49" s="140">
        <f>AZ22</f>
        <v>3.2273602129895586E-2</v>
      </c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</row>
    <row r="50" spans="2:19" ht="19.5" customHeight="1">
      <c r="B50" s="95"/>
      <c r="C50" s="139" t="s">
        <v>104</v>
      </c>
      <c r="D50" s="140">
        <f>BB22</f>
        <v>3.2273602129895586E-2</v>
      </c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</row>
    <row r="51" spans="2:19" ht="19.5" customHeight="1">
      <c r="B51" s="95"/>
      <c r="C51" s="139" t="s">
        <v>105</v>
      </c>
      <c r="D51" s="140">
        <f>BD22</f>
        <v>3.2273602129895586E-2</v>
      </c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</row>
    <row r="52" spans="2:19" ht="19.5" customHeight="1">
      <c r="B52" s="95"/>
      <c r="C52" s="139" t="s">
        <v>106</v>
      </c>
      <c r="D52" s="140">
        <f>BF22</f>
        <v>3.2273602129895586E-2</v>
      </c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</row>
    <row r="53" spans="2:19" ht="19.5" customHeight="1">
      <c r="B53" s="95"/>
      <c r="C53" s="139" t="s">
        <v>107</v>
      </c>
      <c r="D53" s="140">
        <f>BH22</f>
        <v>2.5497353199187108E-2</v>
      </c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</row>
    <row r="54" spans="2:19" ht="19.5" customHeight="1">
      <c r="B54" s="95"/>
      <c r="C54" s="139" t="s">
        <v>108</v>
      </c>
      <c r="D54" s="140">
        <f>BJ22</f>
        <v>3.8629611203464496E-2</v>
      </c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</row>
    <row r="55" spans="2:19" ht="19.5" customHeight="1">
      <c r="B55" s="95"/>
      <c r="C55" s="139" t="s">
        <v>109</v>
      </c>
      <c r="D55" s="140">
        <f>BL22</f>
        <v>4.3207563232529472E-2</v>
      </c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</row>
    <row r="56" spans="2:19" ht="19.5" customHeight="1">
      <c r="B56" s="95"/>
      <c r="C56" s="139" t="s">
        <v>110</v>
      </c>
      <c r="D56" s="140">
        <f>BN22</f>
        <v>3.3194833250224993E-2</v>
      </c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</row>
    <row r="57" spans="2:19" ht="19.5" customHeight="1">
      <c r="B57" s="95"/>
      <c r="C57" s="139" t="s">
        <v>111</v>
      </c>
      <c r="D57" s="140">
        <f>BP22</f>
        <v>3.191893445177265E-2</v>
      </c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</row>
    <row r="58" spans="2:19" ht="19.5" customHeight="1">
      <c r="B58" s="95"/>
      <c r="C58" s="139" t="s">
        <v>112</v>
      </c>
      <c r="D58" s="140">
        <f>BR22</f>
        <v>3.191893445177265E-2</v>
      </c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</row>
    <row r="59" spans="2:19" ht="19.5" customHeight="1">
      <c r="B59" s="95"/>
      <c r="C59" s="139" t="s">
        <v>113</v>
      </c>
      <c r="D59" s="140">
        <f>BT22</f>
        <v>3.191893445177265E-2</v>
      </c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</row>
    <row r="60" spans="2:19" ht="19.5" customHeight="1">
      <c r="B60" s="95"/>
      <c r="C60" s="139" t="s">
        <v>114</v>
      </c>
      <c r="D60" s="140">
        <f>BV22</f>
        <v>3.191893445177265E-2</v>
      </c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</row>
    <row r="61" spans="2:19" ht="19.5" customHeight="1">
      <c r="B61" s="95"/>
      <c r="C61" s="139" t="s">
        <v>115</v>
      </c>
      <c r="D61" s="140">
        <f>BX22</f>
        <v>3.191893445177265E-2</v>
      </c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</row>
    <row r="62" spans="2:19" ht="19.5" customHeight="1">
      <c r="B62" s="95"/>
      <c r="C62" s="139" t="s">
        <v>116</v>
      </c>
      <c r="D62" s="140">
        <f>BZ22</f>
        <v>1.0501335706082873E-2</v>
      </c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</row>
    <row r="63" spans="2:19" ht="19.5" customHeight="1">
      <c r="B63" s="95"/>
      <c r="C63" s="139" t="s">
        <v>117</v>
      </c>
      <c r="D63" s="140">
        <f>CB22</f>
        <v>0</v>
      </c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</row>
    <row r="64" spans="2:19" ht="19.5" customHeight="1">
      <c r="B64" s="95"/>
      <c r="C64" s="139" t="s">
        <v>118</v>
      </c>
      <c r="D64" s="140">
        <f>CD22</f>
        <v>0</v>
      </c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</row>
    <row r="65" spans="2:19" ht="19.5" customHeight="1">
      <c r="B65" s="95"/>
      <c r="C65" s="139" t="s">
        <v>119</v>
      </c>
      <c r="D65" s="140">
        <f>CF22</f>
        <v>0</v>
      </c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</row>
    <row r="66" spans="2:19" ht="19.5" customHeight="1">
      <c r="B66" s="95"/>
      <c r="C66" s="141" t="s">
        <v>120</v>
      </c>
      <c r="D66" s="142">
        <f>CH22</f>
        <v>0</v>
      </c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</row>
    <row r="67" spans="2:19" ht="19.5" customHeight="1">
      <c r="B67" s="95"/>
      <c r="C67" s="95"/>
      <c r="D67" s="134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</row>
    <row r="68" spans="2:19" ht="19.5" customHeight="1">
      <c r="B68" s="95"/>
      <c r="C68" s="95"/>
      <c r="D68" s="134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</row>
    <row r="69" spans="2:19" ht="19.5" customHeight="1">
      <c r="B69" s="95"/>
      <c r="C69" s="95"/>
      <c r="D69" s="134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</row>
    <row r="70" spans="2:19" ht="19.5" customHeight="1">
      <c r="B70" s="95"/>
      <c r="C70" s="95"/>
      <c r="D70" s="134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</row>
    <row r="71" spans="2:19" ht="19.5" customHeight="1">
      <c r="B71" s="95"/>
      <c r="C71" s="95"/>
      <c r="D71" s="134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</row>
    <row r="72" spans="2:19" ht="19.5" customHeight="1">
      <c r="B72" s="95"/>
      <c r="C72" s="95"/>
      <c r="D72" s="134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</row>
    <row r="73" spans="2:19" ht="19.5" customHeight="1">
      <c r="B73" s="95"/>
      <c r="C73" s="95"/>
      <c r="D73" s="134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</row>
    <row r="74" spans="2:19" ht="19.5" customHeight="1">
      <c r="B74" s="95"/>
      <c r="C74" s="95"/>
      <c r="D74" s="134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</row>
    <row r="75" spans="2:19" ht="19.5" customHeight="1">
      <c r="B75" s="95"/>
      <c r="C75" s="95"/>
      <c r="D75" s="134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</row>
    <row r="76" spans="2:19" ht="19.5" customHeight="1">
      <c r="B76" s="95"/>
      <c r="C76" s="95"/>
      <c r="D76" s="134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</row>
    <row r="77" spans="2:19" ht="19.5" customHeight="1">
      <c r="B77" s="95"/>
      <c r="C77" s="95"/>
      <c r="D77" s="134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</row>
    <row r="78" spans="2:19" ht="19.5" customHeight="1">
      <c r="B78" s="95"/>
      <c r="C78" s="95"/>
      <c r="D78" s="134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</row>
    <row r="79" spans="2:19" ht="19.5" customHeight="1">
      <c r="B79" s="95"/>
      <c r="C79" s="95"/>
      <c r="D79" s="134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</row>
    <row r="80" spans="2:19" ht="19.5" customHeight="1">
      <c r="B80" s="95"/>
      <c r="C80" s="95"/>
      <c r="D80" s="134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</row>
    <row r="81" spans="2:19" ht="19.5" customHeight="1">
      <c r="B81" s="95"/>
      <c r="C81" s="95"/>
      <c r="D81" s="134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</row>
    <row r="82" spans="2:19" ht="19.5" customHeight="1">
      <c r="B82" s="95"/>
      <c r="C82" s="95"/>
      <c r="D82" s="134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</row>
    <row r="83" spans="2:19" ht="19.5" customHeight="1">
      <c r="B83" s="95"/>
      <c r="C83" s="95"/>
      <c r="D83" s="134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</row>
    <row r="84" spans="2:19" ht="19.5" customHeight="1">
      <c r="B84" s="95"/>
      <c r="C84" s="95"/>
      <c r="D84" s="134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</row>
    <row r="85" spans="2:19" ht="19.5" customHeight="1">
      <c r="B85" s="95"/>
      <c r="C85" s="95"/>
      <c r="D85" s="134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</row>
    <row r="86" spans="2:19" ht="19.5" customHeight="1">
      <c r="B86" s="95"/>
      <c r="C86" s="95"/>
      <c r="D86" s="134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</row>
    <row r="87" spans="2:19" ht="19.5" customHeight="1">
      <c r="B87" s="95"/>
      <c r="C87" s="95"/>
      <c r="D87" s="134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</row>
    <row r="88" spans="2:19" ht="19.5" customHeight="1">
      <c r="B88" s="95"/>
      <c r="C88" s="95"/>
      <c r="D88" s="134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</row>
    <row r="89" spans="2:19" ht="19.5" customHeight="1">
      <c r="B89" s="95"/>
      <c r="C89" s="95"/>
      <c r="D89" s="134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</row>
    <row r="90" spans="2:19" ht="19.5" customHeight="1">
      <c r="B90" s="95"/>
      <c r="C90" s="95"/>
      <c r="D90" s="134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</row>
    <row r="91" spans="2:19" ht="19.5" customHeight="1">
      <c r="B91" s="95"/>
      <c r="C91" s="95"/>
      <c r="D91" s="134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</row>
    <row r="92" spans="2:19" ht="19.5" customHeight="1">
      <c r="B92" s="95"/>
      <c r="C92" s="95"/>
      <c r="D92" s="134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</row>
    <row r="93" spans="2:19" ht="19.5" customHeight="1">
      <c r="B93" s="95"/>
      <c r="C93" s="95"/>
      <c r="D93" s="134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</row>
    <row r="94" spans="2:19" ht="19.5" customHeight="1">
      <c r="B94" s="95"/>
      <c r="C94" s="95"/>
      <c r="D94" s="134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</row>
    <row r="95" spans="2:19" ht="19.5" customHeight="1">
      <c r="B95" s="95"/>
      <c r="C95" s="95"/>
      <c r="D95" s="134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</row>
    <row r="96" spans="2:19" ht="19.5" customHeight="1">
      <c r="B96" s="95"/>
      <c r="C96" s="95"/>
      <c r="D96" s="134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</row>
    <row r="97" spans="2:19" ht="19.5" customHeight="1">
      <c r="B97" s="95"/>
      <c r="C97" s="95"/>
      <c r="D97" s="134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</row>
    <row r="98" spans="2:19" ht="19.5" customHeight="1">
      <c r="B98" s="95"/>
      <c r="C98" s="95"/>
      <c r="D98" s="134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</row>
    <row r="99" spans="2:19" ht="19.5" customHeight="1">
      <c r="B99" s="95"/>
      <c r="C99" s="95"/>
      <c r="D99" s="134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</row>
    <row r="100" spans="2:19" ht="19.5" customHeight="1">
      <c r="B100" s="95"/>
      <c r="C100" s="95"/>
      <c r="D100" s="134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</row>
    <row r="101" spans="2:19" ht="19.5" customHeight="1">
      <c r="B101" s="95"/>
      <c r="C101" s="95"/>
      <c r="D101" s="134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</row>
    <row r="102" spans="2:19" ht="19.5" customHeight="1">
      <c r="B102" s="95"/>
      <c r="C102" s="95"/>
      <c r="D102" s="134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</row>
    <row r="103" spans="2:19" ht="19.5" customHeight="1">
      <c r="B103" s="95"/>
      <c r="C103" s="95"/>
      <c r="D103" s="134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</row>
    <row r="104" spans="2:19" ht="19.5" customHeight="1">
      <c r="B104" s="95"/>
      <c r="C104" s="95"/>
      <c r="D104" s="134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</row>
    <row r="105" spans="2:19" ht="19.5" customHeight="1">
      <c r="B105" s="95"/>
      <c r="C105" s="95"/>
      <c r="D105" s="134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</row>
    <row r="106" spans="2:19" ht="19.5" customHeight="1">
      <c r="B106" s="95"/>
      <c r="C106" s="95"/>
      <c r="D106" s="134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</row>
    <row r="107" spans="2:19" ht="19.5" customHeight="1">
      <c r="B107" s="95"/>
      <c r="C107" s="95"/>
      <c r="D107" s="134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</row>
    <row r="108" spans="2:19" ht="19.5" customHeight="1">
      <c r="B108" s="95"/>
      <c r="C108" s="95"/>
      <c r="D108" s="134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</row>
    <row r="109" spans="2:19" ht="19.5" customHeight="1">
      <c r="B109" s="95"/>
      <c r="C109" s="95"/>
      <c r="D109" s="134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</row>
    <row r="110" spans="2:19" ht="19.5" customHeight="1">
      <c r="B110" s="95"/>
      <c r="C110" s="95"/>
      <c r="D110" s="134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</row>
    <row r="111" spans="2:19" ht="19.5" customHeight="1">
      <c r="B111" s="95"/>
      <c r="C111" s="95"/>
      <c r="D111" s="134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</row>
    <row r="112" spans="2:19" ht="19.5" customHeight="1">
      <c r="B112" s="95"/>
      <c r="C112" s="95"/>
      <c r="D112" s="134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</row>
    <row r="113" spans="2:19" ht="19.5" customHeight="1">
      <c r="B113" s="95"/>
      <c r="C113" s="95"/>
      <c r="D113" s="134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</row>
    <row r="114" spans="2:19" ht="19.5" customHeight="1">
      <c r="B114" s="95"/>
      <c r="C114" s="95"/>
      <c r="D114" s="134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</row>
    <row r="115" spans="2:19" ht="19.5" customHeight="1">
      <c r="B115" s="95"/>
      <c r="C115" s="95"/>
      <c r="D115" s="134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</row>
    <row r="116" spans="2:19" ht="19.5" customHeight="1">
      <c r="B116" s="95"/>
      <c r="C116" s="95"/>
      <c r="D116" s="134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</row>
    <row r="117" spans="2:19" ht="19.5" customHeight="1">
      <c r="B117" s="95"/>
      <c r="C117" s="95"/>
      <c r="D117" s="134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</row>
    <row r="118" spans="2:19" ht="19.5" customHeight="1">
      <c r="B118" s="95"/>
      <c r="C118" s="95"/>
      <c r="D118" s="134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</row>
    <row r="119" spans="2:19" ht="19.5" customHeight="1">
      <c r="B119" s="95"/>
      <c r="C119" s="95"/>
      <c r="D119" s="134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</row>
    <row r="120" spans="2:19" ht="19.5" customHeight="1">
      <c r="B120" s="95"/>
      <c r="C120" s="95"/>
      <c r="D120" s="134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</row>
    <row r="121" spans="2:19" ht="19.5" customHeight="1">
      <c r="B121" s="95"/>
      <c r="C121" s="95"/>
      <c r="D121" s="134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</row>
    <row r="122" spans="2:19" ht="19.5" customHeight="1">
      <c r="B122" s="95"/>
      <c r="C122" s="95"/>
      <c r="D122" s="134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</row>
    <row r="123" spans="2:19" ht="19.5" customHeight="1">
      <c r="B123" s="95"/>
      <c r="C123" s="95"/>
      <c r="D123" s="134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</row>
    <row r="124" spans="2:19" ht="19.5" customHeight="1">
      <c r="B124" s="95"/>
      <c r="C124" s="95"/>
      <c r="D124" s="134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</row>
    <row r="125" spans="2:19" ht="19.5" customHeight="1">
      <c r="B125" s="95"/>
      <c r="C125" s="95"/>
      <c r="D125" s="134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</row>
    <row r="126" spans="2:19" ht="19.5" customHeight="1">
      <c r="B126" s="95"/>
      <c r="C126" s="95"/>
      <c r="D126" s="134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</row>
    <row r="127" spans="2:19" ht="19.5" customHeight="1">
      <c r="B127" s="95"/>
      <c r="C127" s="95"/>
      <c r="D127" s="134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</row>
    <row r="128" spans="2:19" ht="19.5" customHeight="1">
      <c r="B128" s="95"/>
      <c r="C128" s="95"/>
      <c r="D128" s="134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</row>
    <row r="129" spans="2:19" ht="19.5" customHeight="1">
      <c r="B129" s="95"/>
      <c r="C129" s="95"/>
      <c r="D129" s="134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</row>
    <row r="130" spans="2:19" ht="19.5" customHeight="1">
      <c r="B130" s="95"/>
      <c r="C130" s="95"/>
      <c r="D130" s="134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</row>
    <row r="131" spans="2:19" ht="19.5" customHeight="1">
      <c r="B131" s="95"/>
      <c r="C131" s="95"/>
      <c r="D131" s="134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</row>
    <row r="132" spans="2:19" ht="19.5" customHeight="1">
      <c r="B132" s="95"/>
      <c r="C132" s="95"/>
      <c r="D132" s="134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</row>
    <row r="133" spans="2:19" ht="19.5" customHeight="1">
      <c r="B133" s="95"/>
      <c r="C133" s="95"/>
      <c r="D133" s="134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</row>
    <row r="134" spans="2:19" ht="19.5" customHeight="1">
      <c r="B134" s="95"/>
      <c r="C134" s="95"/>
      <c r="D134" s="134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</row>
    <row r="135" spans="2:19" ht="19.5" customHeight="1">
      <c r="B135" s="95"/>
      <c r="C135" s="95"/>
      <c r="D135" s="134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</row>
    <row r="136" spans="2:19" ht="19.5" customHeight="1">
      <c r="B136" s="95"/>
      <c r="C136" s="95"/>
      <c r="D136" s="134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</row>
    <row r="137" spans="2:19" ht="19.5" customHeight="1">
      <c r="B137" s="95"/>
      <c r="C137" s="95"/>
      <c r="D137" s="134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</row>
    <row r="138" spans="2:19" ht="19.5" customHeight="1">
      <c r="B138" s="95"/>
      <c r="C138" s="95"/>
      <c r="D138" s="134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</row>
    <row r="139" spans="2:19" ht="19.5" customHeight="1">
      <c r="B139" s="95"/>
      <c r="C139" s="95"/>
      <c r="D139" s="134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</row>
    <row r="140" spans="2:19" ht="19.5" customHeight="1">
      <c r="B140" s="95"/>
      <c r="C140" s="95"/>
      <c r="D140" s="134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</row>
    <row r="141" spans="2:19" ht="19.5" customHeight="1">
      <c r="B141" s="95"/>
      <c r="C141" s="95"/>
      <c r="D141" s="134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</row>
    <row r="142" spans="2:19" ht="19.5" customHeight="1">
      <c r="B142" s="95"/>
      <c r="C142" s="95"/>
      <c r="D142" s="134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</row>
    <row r="143" spans="2:19" ht="19.5" customHeight="1">
      <c r="B143" s="95"/>
      <c r="C143" s="95"/>
      <c r="D143" s="134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</row>
    <row r="144" spans="2:19" ht="19.5" customHeight="1">
      <c r="B144" s="95"/>
      <c r="C144" s="95"/>
      <c r="D144" s="134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</row>
    <row r="145" spans="2:19" ht="19.5" customHeight="1">
      <c r="B145" s="95"/>
      <c r="C145" s="95"/>
      <c r="D145" s="134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</row>
    <row r="146" spans="2:19" ht="19.5" customHeight="1">
      <c r="B146" s="95"/>
      <c r="C146" s="95"/>
      <c r="D146" s="134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</row>
    <row r="147" spans="2:19" ht="19.5" customHeight="1">
      <c r="B147" s="95"/>
      <c r="C147" s="95"/>
      <c r="D147" s="134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</row>
    <row r="148" spans="2:19" ht="19.5" customHeight="1">
      <c r="B148" s="95"/>
      <c r="C148" s="95"/>
      <c r="D148" s="134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</row>
    <row r="149" spans="2:19" ht="19.5" customHeight="1">
      <c r="B149" s="95"/>
      <c r="C149" s="95"/>
      <c r="D149" s="134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</row>
    <row r="150" spans="2:19" ht="19.5" customHeight="1">
      <c r="B150" s="95"/>
      <c r="C150" s="95"/>
      <c r="D150" s="134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</row>
    <row r="151" spans="2:19" ht="19.5" customHeight="1">
      <c r="B151" s="95"/>
      <c r="C151" s="95"/>
      <c r="D151" s="134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</row>
    <row r="152" spans="2:19" ht="19.5" customHeight="1">
      <c r="B152" s="95"/>
      <c r="C152" s="95"/>
      <c r="D152" s="134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</row>
    <row r="153" spans="2:19" ht="19.5" customHeight="1">
      <c r="B153" s="95"/>
      <c r="C153" s="95"/>
      <c r="D153" s="134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</row>
    <row r="154" spans="2:19" ht="19.5" customHeight="1">
      <c r="B154" s="95"/>
      <c r="C154" s="95"/>
      <c r="D154" s="134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</row>
    <row r="155" spans="2:19" ht="19.5" customHeight="1">
      <c r="B155" s="95"/>
      <c r="C155" s="95"/>
      <c r="D155" s="134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</row>
    <row r="156" spans="2:19" ht="19.5" customHeight="1">
      <c r="B156" s="95"/>
      <c r="C156" s="95"/>
      <c r="D156" s="134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</row>
    <row r="157" spans="2:19" ht="19.5" customHeight="1">
      <c r="B157" s="95"/>
      <c r="C157" s="95"/>
      <c r="D157" s="134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</row>
    <row r="158" spans="2:19" ht="19.5" customHeight="1">
      <c r="B158" s="95"/>
      <c r="C158" s="95"/>
      <c r="D158" s="134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</row>
    <row r="159" spans="2:19" ht="19.5" customHeight="1">
      <c r="B159" s="95"/>
      <c r="C159" s="95"/>
      <c r="D159" s="134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</row>
    <row r="160" spans="2:19" ht="19.5" customHeight="1">
      <c r="B160" s="95"/>
      <c r="C160" s="95"/>
      <c r="D160" s="134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</row>
    <row r="161" spans="2:19" ht="19.5" customHeight="1">
      <c r="B161" s="95"/>
      <c r="C161" s="95"/>
      <c r="D161" s="134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</row>
    <row r="162" spans="2:19" ht="19.5" customHeight="1">
      <c r="B162" s="95"/>
      <c r="C162" s="95"/>
      <c r="D162" s="134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</row>
    <row r="163" spans="2:19" ht="19.5" customHeight="1">
      <c r="B163" s="95"/>
      <c r="C163" s="95"/>
      <c r="D163" s="134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</row>
    <row r="164" spans="2:19" ht="19.5" customHeight="1">
      <c r="B164" s="95"/>
      <c r="C164" s="95"/>
      <c r="D164" s="134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</row>
    <row r="165" spans="2:19" ht="19.5" customHeight="1">
      <c r="B165" s="95"/>
      <c r="C165" s="95"/>
      <c r="D165" s="134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</row>
    <row r="166" spans="2:19" ht="19.5" customHeight="1">
      <c r="B166" s="95"/>
      <c r="C166" s="95"/>
      <c r="D166" s="134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</row>
    <row r="167" spans="2:19" ht="19.5" customHeight="1">
      <c r="B167" s="95"/>
      <c r="C167" s="95"/>
      <c r="D167" s="134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</row>
    <row r="168" spans="2:19" ht="19.5" customHeight="1">
      <c r="B168" s="95"/>
      <c r="C168" s="95"/>
      <c r="D168" s="134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</row>
    <row r="169" spans="2:19" ht="19.5" customHeight="1">
      <c r="B169" s="95"/>
      <c r="C169" s="95"/>
      <c r="D169" s="134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</row>
    <row r="170" spans="2:19" ht="19.5" customHeight="1">
      <c r="B170" s="95"/>
      <c r="C170" s="95"/>
      <c r="D170" s="134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</row>
    <row r="171" spans="2:19" ht="19.5" customHeight="1">
      <c r="B171" s="95"/>
      <c r="C171" s="95"/>
      <c r="D171" s="134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</row>
    <row r="172" spans="2:19" ht="19.5" customHeight="1">
      <c r="B172" s="95"/>
      <c r="C172" s="95"/>
      <c r="D172" s="134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</row>
    <row r="173" spans="2:19" ht="19.5" customHeight="1">
      <c r="B173" s="95"/>
      <c r="C173" s="95"/>
      <c r="D173" s="134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</row>
    <row r="174" spans="2:19" ht="19.5" customHeight="1">
      <c r="B174" s="95"/>
      <c r="C174" s="95"/>
      <c r="D174" s="134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</row>
    <row r="175" spans="2:19" ht="19.5" customHeight="1">
      <c r="B175" s="95"/>
      <c r="C175" s="95"/>
      <c r="D175" s="134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</row>
    <row r="176" spans="2:19" ht="19.5" customHeight="1">
      <c r="B176" s="95"/>
      <c r="C176" s="95"/>
      <c r="D176" s="134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</row>
    <row r="177" spans="2:19" ht="19.5" customHeight="1">
      <c r="B177" s="95"/>
      <c r="C177" s="95"/>
      <c r="D177" s="134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</row>
    <row r="178" spans="2:19" ht="19.5" customHeight="1">
      <c r="B178" s="95"/>
      <c r="C178" s="95"/>
      <c r="D178" s="134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</row>
    <row r="179" spans="2:19" ht="19.5" customHeight="1">
      <c r="B179" s="95"/>
      <c r="C179" s="95"/>
      <c r="D179" s="134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</row>
    <row r="180" spans="2:19" ht="19.5" customHeight="1">
      <c r="B180" s="95"/>
      <c r="C180" s="95"/>
      <c r="D180" s="134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</row>
    <row r="181" spans="2:19" ht="19.5" customHeight="1">
      <c r="B181" s="95"/>
      <c r="C181" s="95"/>
      <c r="D181" s="134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</row>
    <row r="182" spans="2:19" ht="19.5" customHeight="1">
      <c r="B182" s="95"/>
      <c r="C182" s="95"/>
      <c r="D182" s="134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</row>
    <row r="183" spans="2:19" ht="19.5" customHeight="1">
      <c r="B183" s="95"/>
      <c r="C183" s="95"/>
      <c r="D183" s="134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</row>
    <row r="184" spans="2:19" ht="19.5" customHeight="1">
      <c r="B184" s="95"/>
      <c r="C184" s="95"/>
      <c r="D184" s="134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</row>
    <row r="185" spans="2:19" ht="19.5" customHeight="1">
      <c r="B185" s="95"/>
      <c r="C185" s="95"/>
      <c r="D185" s="134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</row>
    <row r="186" spans="2:19" ht="19.5" customHeight="1">
      <c r="B186" s="95"/>
      <c r="C186" s="95"/>
      <c r="D186" s="134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</row>
    <row r="187" spans="2:19" ht="19.5" customHeight="1">
      <c r="B187" s="95"/>
      <c r="C187" s="95"/>
      <c r="D187" s="134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</row>
    <row r="188" spans="2:19" ht="19.5" customHeight="1">
      <c r="B188" s="95"/>
      <c r="C188" s="95"/>
      <c r="D188" s="134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</row>
    <row r="189" spans="2:19" ht="19.5" customHeight="1">
      <c r="B189" s="95"/>
      <c r="C189" s="95"/>
      <c r="D189" s="134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</row>
    <row r="190" spans="2:19" ht="19.5" customHeight="1">
      <c r="B190" s="95"/>
      <c r="C190" s="95"/>
      <c r="D190" s="134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</row>
    <row r="191" spans="2:19" ht="19.5" customHeight="1">
      <c r="B191" s="95"/>
      <c r="C191" s="95"/>
      <c r="D191" s="134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</row>
    <row r="192" spans="2:19" ht="19.5" customHeight="1">
      <c r="B192" s="95"/>
      <c r="C192" s="95"/>
      <c r="D192" s="134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</row>
    <row r="193" spans="2:19" ht="19.5" customHeight="1">
      <c r="B193" s="95"/>
      <c r="C193" s="95"/>
      <c r="D193" s="134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</row>
    <row r="194" spans="2:19" ht="19.5" customHeight="1">
      <c r="B194" s="95"/>
      <c r="C194" s="95"/>
      <c r="D194" s="134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</row>
    <row r="195" spans="2:19" ht="19.5" customHeight="1">
      <c r="B195" s="95"/>
      <c r="C195" s="95"/>
      <c r="D195" s="134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</row>
    <row r="196" spans="2:19" ht="19.5" customHeight="1">
      <c r="B196" s="95"/>
      <c r="C196" s="95"/>
      <c r="D196" s="134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</row>
    <row r="197" spans="2:19" ht="19.5" customHeight="1">
      <c r="B197" s="95"/>
      <c r="C197" s="95"/>
      <c r="D197" s="134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</row>
    <row r="198" spans="2:19" ht="19.5" customHeight="1">
      <c r="B198" s="95"/>
      <c r="C198" s="95"/>
      <c r="D198" s="134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</row>
    <row r="199" spans="2:19" ht="19.5" customHeight="1">
      <c r="B199" s="95"/>
      <c r="C199" s="95"/>
      <c r="D199" s="134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</row>
    <row r="200" spans="2:19" ht="19.5" customHeight="1">
      <c r="B200" s="95"/>
      <c r="C200" s="95"/>
      <c r="D200" s="134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</row>
    <row r="201" spans="2:19" ht="19.5" customHeight="1">
      <c r="B201" s="95"/>
      <c r="C201" s="95"/>
      <c r="D201" s="134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</row>
    <row r="202" spans="2:19" ht="19.5" customHeight="1">
      <c r="B202" s="95"/>
      <c r="C202" s="95"/>
      <c r="D202" s="134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</row>
    <row r="203" spans="2:19" ht="19.5" customHeight="1">
      <c r="B203" s="95"/>
      <c r="C203" s="95"/>
      <c r="D203" s="134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</row>
    <row r="204" spans="2:19" ht="19.5" customHeight="1">
      <c r="B204" s="95"/>
      <c r="C204" s="95"/>
      <c r="D204" s="134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</row>
    <row r="205" spans="2:19" ht="19.5" customHeight="1">
      <c r="B205" s="95"/>
      <c r="C205" s="95"/>
      <c r="D205" s="134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</row>
    <row r="206" spans="2:19" ht="19.5" customHeight="1">
      <c r="B206" s="95"/>
      <c r="C206" s="95"/>
      <c r="D206" s="134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</row>
    <row r="207" spans="2:19" ht="19.5" customHeight="1">
      <c r="B207" s="95"/>
      <c r="C207" s="95"/>
      <c r="D207" s="134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</row>
    <row r="208" spans="2:19" ht="19.5" customHeight="1">
      <c r="B208" s="95"/>
      <c r="C208" s="95"/>
      <c r="D208" s="134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</row>
    <row r="209" spans="2:19" ht="19.5" customHeight="1">
      <c r="B209" s="95"/>
      <c r="C209" s="95"/>
      <c r="D209" s="134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</row>
    <row r="210" spans="2:19" ht="19.5" customHeight="1">
      <c r="B210" s="95"/>
      <c r="C210" s="95"/>
      <c r="D210" s="134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</row>
    <row r="211" spans="2:19" ht="19.5" customHeight="1">
      <c r="B211" s="95"/>
      <c r="C211" s="95"/>
      <c r="D211" s="134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</row>
    <row r="212" spans="2:19" ht="19.5" customHeight="1">
      <c r="B212" s="95"/>
      <c r="C212" s="95"/>
      <c r="D212" s="134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</row>
    <row r="213" spans="2:19" ht="19.5" customHeight="1">
      <c r="B213" s="95"/>
      <c r="C213" s="95"/>
      <c r="D213" s="134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</row>
    <row r="214" spans="2:19" ht="19.5" customHeight="1">
      <c r="B214" s="95"/>
      <c r="C214" s="95"/>
      <c r="D214" s="134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</row>
    <row r="215" spans="2:19" ht="19.5" customHeight="1">
      <c r="B215" s="95"/>
      <c r="C215" s="95"/>
      <c r="D215" s="134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</row>
    <row r="216" spans="2:19" ht="19.5" customHeight="1">
      <c r="B216" s="95"/>
      <c r="C216" s="95"/>
      <c r="D216" s="134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</row>
    <row r="217" spans="2:19" ht="19.5" customHeight="1">
      <c r="B217" s="95"/>
      <c r="C217" s="95"/>
      <c r="D217" s="134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</row>
    <row r="218" spans="2:19" ht="19.5" customHeight="1">
      <c r="B218" s="95"/>
      <c r="C218" s="95"/>
      <c r="D218" s="134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</row>
    <row r="219" spans="2:19" ht="19.5" customHeight="1">
      <c r="B219" s="95"/>
      <c r="C219" s="95"/>
      <c r="D219" s="134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</row>
    <row r="220" spans="2:19" ht="19.5" customHeight="1">
      <c r="B220" s="95"/>
      <c r="C220" s="95"/>
      <c r="D220" s="134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</row>
    <row r="221" spans="2:19" ht="19.5" customHeight="1">
      <c r="B221" s="95"/>
      <c r="C221" s="95"/>
      <c r="D221" s="134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</row>
    <row r="222" spans="2:19" ht="19.5" customHeight="1">
      <c r="B222" s="95"/>
      <c r="C222" s="95"/>
      <c r="D222" s="134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</row>
    <row r="223" spans="2:19" ht="19.5" customHeight="1">
      <c r="B223" s="95"/>
      <c r="C223" s="95"/>
      <c r="D223" s="134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</row>
    <row r="224" spans="2:19" ht="19.5" customHeight="1">
      <c r="B224" s="95"/>
      <c r="C224" s="95"/>
      <c r="D224" s="134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</row>
    <row r="225" spans="2:19" ht="19.5" customHeight="1">
      <c r="B225" s="95"/>
      <c r="C225" s="95"/>
      <c r="D225" s="134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</row>
    <row r="226" spans="2:19" ht="19.5" customHeight="1">
      <c r="B226" s="95"/>
      <c r="C226" s="95"/>
      <c r="D226" s="134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</row>
    <row r="227" spans="2:19" ht="19.5" customHeight="1">
      <c r="B227" s="95"/>
      <c r="C227" s="95"/>
      <c r="D227" s="134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</row>
    <row r="228" spans="2:19" ht="19.5" customHeight="1">
      <c r="B228" s="95"/>
      <c r="C228" s="95"/>
      <c r="D228" s="134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</row>
    <row r="229" spans="2:19" ht="19.5" customHeight="1">
      <c r="B229" s="95"/>
      <c r="C229" s="95"/>
      <c r="D229" s="134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</row>
    <row r="230" spans="2:19" ht="19.5" customHeight="1">
      <c r="B230" s="95"/>
      <c r="C230" s="95"/>
      <c r="D230" s="134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</row>
    <row r="231" spans="2:19" ht="19.5" customHeight="1">
      <c r="B231" s="95"/>
      <c r="C231" s="95"/>
      <c r="D231" s="134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</row>
    <row r="232" spans="2:19" ht="19.5" customHeight="1">
      <c r="B232" s="95"/>
      <c r="C232" s="95"/>
      <c r="D232" s="134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</row>
    <row r="233" spans="2:19" ht="19.5" customHeight="1">
      <c r="B233" s="95"/>
      <c r="C233" s="95"/>
      <c r="D233" s="134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</row>
    <row r="234" spans="2:19" ht="19.5" customHeight="1">
      <c r="B234" s="95"/>
      <c r="C234" s="95"/>
      <c r="D234" s="134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</row>
    <row r="235" spans="2:19" ht="19.5" customHeight="1">
      <c r="B235" s="95"/>
      <c r="C235" s="95"/>
      <c r="D235" s="134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</row>
    <row r="236" spans="2:19" ht="19.5" customHeight="1">
      <c r="B236" s="95"/>
      <c r="C236" s="95"/>
      <c r="D236" s="134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</row>
    <row r="237" spans="2:19" ht="19.5" customHeight="1">
      <c r="B237" s="95"/>
      <c r="C237" s="95"/>
      <c r="D237" s="134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</row>
    <row r="238" spans="2:19" ht="19.5" customHeight="1">
      <c r="B238" s="95"/>
      <c r="C238" s="95"/>
      <c r="D238" s="134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</row>
    <row r="239" spans="2:19" ht="19.5" customHeight="1">
      <c r="B239" s="95"/>
      <c r="C239" s="95"/>
      <c r="D239" s="134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</row>
    <row r="240" spans="2:19" ht="19.5" customHeight="1">
      <c r="B240" s="95"/>
      <c r="C240" s="95"/>
      <c r="D240" s="134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</row>
    <row r="241" spans="2:19" ht="19.5" customHeight="1">
      <c r="B241" s="95"/>
      <c r="C241" s="95"/>
      <c r="D241" s="134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</row>
    <row r="242" spans="2:19" ht="19.5" customHeight="1">
      <c r="B242" s="95"/>
      <c r="C242" s="95"/>
      <c r="D242" s="134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</row>
    <row r="243" spans="2:19" ht="19.5" customHeight="1">
      <c r="B243" s="95"/>
      <c r="C243" s="95"/>
      <c r="D243" s="134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</row>
    <row r="244" spans="2:19" ht="19.5" customHeight="1">
      <c r="B244" s="95"/>
      <c r="C244" s="95"/>
      <c r="D244" s="134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</row>
    <row r="245" spans="2:19" ht="19.5" customHeight="1">
      <c r="B245" s="95"/>
      <c r="C245" s="95"/>
      <c r="D245" s="134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</row>
    <row r="246" spans="2:19" ht="19.5" customHeight="1">
      <c r="B246" s="95"/>
      <c r="C246" s="95"/>
      <c r="D246" s="134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</row>
    <row r="247" spans="2:19" ht="19.5" customHeight="1">
      <c r="B247" s="95"/>
      <c r="C247" s="95"/>
      <c r="D247" s="134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</row>
    <row r="248" spans="2:19" ht="19.5" customHeight="1">
      <c r="B248" s="95"/>
      <c r="C248" s="95"/>
      <c r="D248" s="134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</row>
    <row r="249" spans="2:19" ht="19.5" customHeight="1">
      <c r="B249" s="95"/>
      <c r="C249" s="95"/>
      <c r="D249" s="134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</row>
    <row r="250" spans="2:19" ht="19.5" customHeight="1">
      <c r="B250" s="95"/>
      <c r="C250" s="95"/>
      <c r="D250" s="134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</row>
    <row r="251" spans="2:19" ht="19.5" customHeight="1">
      <c r="B251" s="95"/>
      <c r="C251" s="95"/>
      <c r="D251" s="134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</row>
    <row r="252" spans="2:19" ht="19.5" customHeight="1">
      <c r="B252" s="95"/>
      <c r="C252" s="95"/>
      <c r="D252" s="134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</row>
    <row r="253" spans="2:19" ht="19.5" customHeight="1">
      <c r="B253" s="95"/>
      <c r="C253" s="95"/>
      <c r="D253" s="134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</row>
    <row r="254" spans="2:19" ht="19.5" customHeight="1">
      <c r="B254" s="95"/>
      <c r="C254" s="95"/>
      <c r="D254" s="134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</row>
    <row r="255" spans="2:19" ht="19.5" customHeight="1">
      <c r="B255" s="95"/>
      <c r="C255" s="95"/>
      <c r="D255" s="134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</row>
    <row r="256" spans="2:19" ht="19.5" customHeight="1">
      <c r="B256" s="95"/>
      <c r="C256" s="95"/>
      <c r="D256" s="134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</row>
    <row r="257" spans="2:19" ht="19.5" customHeight="1">
      <c r="B257" s="95"/>
      <c r="C257" s="95"/>
      <c r="D257" s="134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</row>
    <row r="258" spans="2:19" ht="19.5" customHeight="1">
      <c r="B258" s="95"/>
      <c r="C258" s="95"/>
      <c r="D258" s="134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</row>
    <row r="259" spans="2:19" ht="19.5" customHeight="1">
      <c r="B259" s="95"/>
      <c r="C259" s="95"/>
      <c r="D259" s="134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</row>
    <row r="260" spans="2:19" ht="19.5" customHeight="1">
      <c r="B260" s="95"/>
      <c r="C260" s="95"/>
      <c r="D260" s="134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</row>
    <row r="261" spans="2:19" ht="19.5" customHeight="1">
      <c r="B261" s="95"/>
      <c r="C261" s="95"/>
      <c r="D261" s="134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</row>
    <row r="262" spans="2:19" ht="19.5" customHeight="1">
      <c r="B262" s="95"/>
      <c r="C262" s="95"/>
      <c r="D262" s="134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</row>
    <row r="263" spans="2:19" ht="19.5" customHeight="1">
      <c r="B263" s="95"/>
      <c r="C263" s="95"/>
      <c r="D263" s="134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</row>
    <row r="264" spans="2:19" ht="19.5" customHeight="1">
      <c r="B264" s="95"/>
      <c r="C264" s="95"/>
      <c r="D264" s="134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</row>
    <row r="265" spans="2:19" ht="19.5" customHeight="1">
      <c r="B265" s="95"/>
      <c r="C265" s="95"/>
      <c r="D265" s="134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</row>
    <row r="266" spans="2:19" ht="19.5" customHeight="1">
      <c r="B266" s="95"/>
      <c r="C266" s="95"/>
      <c r="D266" s="134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</row>
    <row r="267" spans="2:19" ht="15.75" customHeight="1">
      <c r="D267" s="94"/>
    </row>
    <row r="268" spans="2:19" ht="15.75" customHeight="1">
      <c r="D268" s="94"/>
    </row>
    <row r="269" spans="2:19" ht="15.75" customHeight="1">
      <c r="D269" s="94"/>
    </row>
    <row r="270" spans="2:19" ht="15.75" customHeight="1">
      <c r="D270" s="94"/>
    </row>
    <row r="271" spans="2:19" ht="15.75" customHeight="1">
      <c r="D271" s="94"/>
    </row>
    <row r="272" spans="2:19" ht="15.75" customHeight="1">
      <c r="D272" s="94"/>
    </row>
    <row r="273" spans="4:4" ht="15.75" customHeight="1">
      <c r="D273" s="94"/>
    </row>
    <row r="274" spans="4:4" ht="15.75" customHeight="1">
      <c r="D274" s="94"/>
    </row>
    <row r="275" spans="4:4" ht="15.75" customHeight="1">
      <c r="D275" s="94"/>
    </row>
    <row r="276" spans="4:4" ht="15.75" customHeight="1">
      <c r="D276" s="94"/>
    </row>
    <row r="277" spans="4:4" ht="15.75" customHeight="1">
      <c r="D277" s="94"/>
    </row>
    <row r="278" spans="4:4" ht="15.75" customHeight="1">
      <c r="D278" s="94"/>
    </row>
    <row r="279" spans="4:4" ht="15.75" customHeight="1">
      <c r="D279" s="94"/>
    </row>
    <row r="280" spans="4:4" ht="15.75" customHeight="1">
      <c r="D280" s="94"/>
    </row>
    <row r="281" spans="4:4" ht="15.75" customHeight="1">
      <c r="D281" s="94"/>
    </row>
    <row r="282" spans="4:4" ht="15.75" customHeight="1">
      <c r="D282" s="94"/>
    </row>
    <row r="283" spans="4:4" ht="15.75" customHeight="1">
      <c r="D283" s="94"/>
    </row>
    <row r="284" spans="4:4" ht="15.75" customHeight="1">
      <c r="D284" s="94"/>
    </row>
    <row r="285" spans="4:4" ht="15.75" customHeight="1">
      <c r="D285" s="94"/>
    </row>
    <row r="286" spans="4:4" ht="15.75" customHeight="1">
      <c r="D286" s="94"/>
    </row>
    <row r="287" spans="4:4" ht="15.75" customHeight="1">
      <c r="D287" s="94"/>
    </row>
    <row r="288" spans="4:4" ht="15.75" customHeight="1">
      <c r="D288" s="94"/>
    </row>
    <row r="289" spans="4:4" ht="15.75" customHeight="1">
      <c r="D289" s="94"/>
    </row>
    <row r="290" spans="4:4" ht="15.75" customHeight="1">
      <c r="D290" s="94"/>
    </row>
    <row r="291" spans="4:4" ht="15.75" customHeight="1">
      <c r="D291" s="94"/>
    </row>
    <row r="292" spans="4:4" ht="15.75" customHeight="1">
      <c r="D292" s="94"/>
    </row>
    <row r="293" spans="4:4" ht="15.75" customHeight="1">
      <c r="D293" s="94"/>
    </row>
    <row r="294" spans="4:4" ht="15.75" customHeight="1">
      <c r="D294" s="94"/>
    </row>
    <row r="295" spans="4:4" ht="15.75" customHeight="1">
      <c r="D295" s="94"/>
    </row>
    <row r="296" spans="4:4" ht="15.75" customHeight="1">
      <c r="D296" s="94"/>
    </row>
    <row r="297" spans="4:4" ht="15.75" customHeight="1">
      <c r="D297" s="94"/>
    </row>
    <row r="298" spans="4:4" ht="15.75" customHeight="1">
      <c r="D298" s="94"/>
    </row>
    <row r="299" spans="4:4" ht="15.75" customHeight="1">
      <c r="D299" s="94"/>
    </row>
    <row r="300" spans="4:4" ht="15.75" customHeight="1">
      <c r="D300" s="94"/>
    </row>
    <row r="301" spans="4:4" ht="15.75" customHeight="1">
      <c r="D301" s="94"/>
    </row>
    <row r="302" spans="4:4" ht="15.75" customHeight="1">
      <c r="D302" s="94"/>
    </row>
    <row r="303" spans="4:4" ht="15.75" customHeight="1">
      <c r="D303" s="94"/>
    </row>
    <row r="304" spans="4:4" ht="15.75" customHeight="1">
      <c r="D304" s="94"/>
    </row>
    <row r="305" spans="4:4" ht="15.75" customHeight="1">
      <c r="D305" s="94"/>
    </row>
    <row r="306" spans="4:4" ht="15.75" customHeight="1">
      <c r="D306" s="94"/>
    </row>
    <row r="307" spans="4:4" ht="15.75" customHeight="1">
      <c r="D307" s="94"/>
    </row>
    <row r="308" spans="4:4" ht="15.75" customHeight="1">
      <c r="D308" s="94"/>
    </row>
    <row r="309" spans="4:4" ht="15.75" customHeight="1">
      <c r="D309" s="94"/>
    </row>
    <row r="310" spans="4:4" ht="15.75" customHeight="1">
      <c r="D310" s="94"/>
    </row>
    <row r="311" spans="4:4" ht="15.75" customHeight="1">
      <c r="D311" s="94"/>
    </row>
    <row r="312" spans="4:4" ht="15.75" customHeight="1">
      <c r="D312" s="94"/>
    </row>
    <row r="313" spans="4:4" ht="15.75" customHeight="1">
      <c r="D313" s="94"/>
    </row>
    <row r="314" spans="4:4" ht="15.75" customHeight="1">
      <c r="D314" s="94"/>
    </row>
    <row r="315" spans="4:4" ht="15.75" customHeight="1">
      <c r="D315" s="94"/>
    </row>
    <row r="316" spans="4:4" ht="15.75" customHeight="1">
      <c r="D316" s="94"/>
    </row>
    <row r="317" spans="4:4" ht="15.75" customHeight="1">
      <c r="D317" s="94"/>
    </row>
    <row r="318" spans="4:4" ht="15.75" customHeight="1">
      <c r="D318" s="94"/>
    </row>
    <row r="319" spans="4:4" ht="15.75" customHeight="1">
      <c r="D319" s="94"/>
    </row>
    <row r="320" spans="4:4" ht="15.75" customHeight="1">
      <c r="D320" s="94"/>
    </row>
    <row r="321" spans="4:4" ht="15.75" customHeight="1">
      <c r="D321" s="94"/>
    </row>
    <row r="322" spans="4:4" ht="15.75" customHeight="1">
      <c r="D322" s="94"/>
    </row>
    <row r="323" spans="4:4" ht="15.75" customHeight="1">
      <c r="D323" s="94"/>
    </row>
    <row r="324" spans="4:4" ht="15.75" customHeight="1">
      <c r="D324" s="94"/>
    </row>
    <row r="325" spans="4:4" ht="15.75" customHeight="1">
      <c r="D325" s="94"/>
    </row>
    <row r="326" spans="4:4" ht="15.75" customHeight="1">
      <c r="D326" s="94"/>
    </row>
    <row r="327" spans="4:4" ht="15.75" customHeight="1">
      <c r="D327" s="94"/>
    </row>
    <row r="328" spans="4:4" ht="15.75" customHeight="1">
      <c r="D328" s="94"/>
    </row>
    <row r="329" spans="4:4" ht="15.75" customHeight="1">
      <c r="D329" s="94"/>
    </row>
    <row r="330" spans="4:4" ht="15.75" customHeight="1">
      <c r="D330" s="94"/>
    </row>
    <row r="331" spans="4:4" ht="15.75" customHeight="1">
      <c r="D331" s="94"/>
    </row>
    <row r="332" spans="4:4" ht="15.75" customHeight="1">
      <c r="D332" s="94"/>
    </row>
    <row r="333" spans="4:4" ht="15.75" customHeight="1">
      <c r="D333" s="94"/>
    </row>
    <row r="334" spans="4:4" ht="15.75" customHeight="1">
      <c r="D334" s="94"/>
    </row>
    <row r="335" spans="4:4" ht="15.75" customHeight="1">
      <c r="D335" s="94"/>
    </row>
    <row r="336" spans="4:4" ht="15.75" customHeight="1">
      <c r="D336" s="94"/>
    </row>
    <row r="337" spans="4:4" ht="15.75" customHeight="1">
      <c r="D337" s="94"/>
    </row>
    <row r="338" spans="4:4" ht="15.75" customHeight="1">
      <c r="D338" s="94"/>
    </row>
    <row r="339" spans="4:4" ht="15.75" customHeight="1">
      <c r="D339" s="94"/>
    </row>
    <row r="340" spans="4:4" ht="15.75" customHeight="1">
      <c r="D340" s="94"/>
    </row>
    <row r="341" spans="4:4" ht="15.75" customHeight="1">
      <c r="D341" s="94"/>
    </row>
    <row r="342" spans="4:4" ht="15.75" customHeight="1">
      <c r="D342" s="94"/>
    </row>
    <row r="343" spans="4:4" ht="15.75" customHeight="1">
      <c r="D343" s="94"/>
    </row>
    <row r="344" spans="4:4" ht="15.75" customHeight="1">
      <c r="D344" s="94"/>
    </row>
    <row r="345" spans="4:4" ht="15.75" customHeight="1">
      <c r="D345" s="94"/>
    </row>
    <row r="346" spans="4:4" ht="15.75" customHeight="1">
      <c r="D346" s="94"/>
    </row>
    <row r="347" spans="4:4" ht="15.75" customHeight="1">
      <c r="D347" s="94"/>
    </row>
    <row r="348" spans="4:4" ht="15.75" customHeight="1">
      <c r="D348" s="94"/>
    </row>
    <row r="349" spans="4:4" ht="15.75" customHeight="1">
      <c r="D349" s="94"/>
    </row>
    <row r="350" spans="4:4" ht="15.75" customHeight="1">
      <c r="D350" s="94"/>
    </row>
    <row r="351" spans="4:4" ht="15.75" customHeight="1">
      <c r="D351" s="94"/>
    </row>
    <row r="352" spans="4:4" ht="15.75" customHeight="1">
      <c r="D352" s="94"/>
    </row>
    <row r="353" spans="4:4" ht="15.75" customHeight="1">
      <c r="D353" s="94"/>
    </row>
    <row r="354" spans="4:4" ht="15.75" customHeight="1">
      <c r="D354" s="94"/>
    </row>
    <row r="355" spans="4:4" ht="15.75" customHeight="1">
      <c r="D355" s="94"/>
    </row>
    <row r="356" spans="4:4" ht="15.75" customHeight="1">
      <c r="D356" s="94"/>
    </row>
    <row r="357" spans="4:4" ht="15.75" customHeight="1">
      <c r="D357" s="94"/>
    </row>
    <row r="358" spans="4:4" ht="15.75" customHeight="1">
      <c r="D358" s="94"/>
    </row>
    <row r="359" spans="4:4" ht="15.75" customHeight="1">
      <c r="D359" s="94"/>
    </row>
    <row r="360" spans="4:4" ht="15.75" customHeight="1">
      <c r="D360" s="94"/>
    </row>
    <row r="361" spans="4:4" ht="15.75" customHeight="1">
      <c r="D361" s="94"/>
    </row>
    <row r="362" spans="4:4" ht="15.75" customHeight="1">
      <c r="D362" s="94"/>
    </row>
    <row r="363" spans="4:4" ht="15.75" customHeight="1">
      <c r="D363" s="94"/>
    </row>
    <row r="364" spans="4:4" ht="15.75" customHeight="1">
      <c r="D364" s="94"/>
    </row>
    <row r="365" spans="4:4" ht="15.75" customHeight="1">
      <c r="D365" s="94"/>
    </row>
    <row r="366" spans="4:4" ht="15.75" customHeight="1">
      <c r="D366" s="94"/>
    </row>
    <row r="367" spans="4:4" ht="15.75" customHeight="1">
      <c r="D367" s="94"/>
    </row>
    <row r="368" spans="4:4" ht="15.75" customHeight="1">
      <c r="D368" s="94"/>
    </row>
    <row r="369" spans="4:4" ht="15.75" customHeight="1">
      <c r="D369" s="94"/>
    </row>
    <row r="370" spans="4:4" ht="15.75" customHeight="1">
      <c r="D370" s="94"/>
    </row>
    <row r="371" spans="4:4" ht="15.75" customHeight="1">
      <c r="D371" s="94"/>
    </row>
    <row r="372" spans="4:4" ht="15.75" customHeight="1">
      <c r="D372" s="94"/>
    </row>
    <row r="373" spans="4:4" ht="15.75" customHeight="1">
      <c r="D373" s="94"/>
    </row>
    <row r="374" spans="4:4" ht="15.75" customHeight="1">
      <c r="D374" s="94"/>
    </row>
    <row r="375" spans="4:4" ht="15.75" customHeight="1">
      <c r="D375" s="94"/>
    </row>
    <row r="376" spans="4:4" ht="15.75" customHeight="1">
      <c r="D376" s="94"/>
    </row>
    <row r="377" spans="4:4" ht="15.75" customHeight="1">
      <c r="D377" s="94"/>
    </row>
    <row r="378" spans="4:4" ht="15.75" customHeight="1">
      <c r="D378" s="94"/>
    </row>
    <row r="379" spans="4:4" ht="15.75" customHeight="1">
      <c r="D379" s="94"/>
    </row>
    <row r="380" spans="4:4" ht="15.75" customHeight="1">
      <c r="D380" s="94"/>
    </row>
    <row r="381" spans="4:4" ht="15.75" customHeight="1">
      <c r="D381" s="94"/>
    </row>
    <row r="382" spans="4:4" ht="15.75" customHeight="1">
      <c r="D382" s="94"/>
    </row>
    <row r="383" spans="4:4" ht="15.75" customHeight="1">
      <c r="D383" s="94"/>
    </row>
    <row r="384" spans="4:4" ht="15.75" customHeight="1">
      <c r="D384" s="94"/>
    </row>
    <row r="385" spans="4:4" ht="15.75" customHeight="1">
      <c r="D385" s="94"/>
    </row>
    <row r="386" spans="4:4" ht="15.75" customHeight="1">
      <c r="D386" s="94"/>
    </row>
    <row r="387" spans="4:4" ht="15.75" customHeight="1">
      <c r="D387" s="94"/>
    </row>
    <row r="388" spans="4:4" ht="15.75" customHeight="1">
      <c r="D388" s="94"/>
    </row>
    <row r="389" spans="4:4" ht="15.75" customHeight="1">
      <c r="D389" s="94"/>
    </row>
    <row r="390" spans="4:4" ht="15.75" customHeight="1">
      <c r="D390" s="94"/>
    </row>
    <row r="391" spans="4:4" ht="15.75" customHeight="1">
      <c r="D391" s="94"/>
    </row>
    <row r="392" spans="4:4" ht="15.75" customHeight="1">
      <c r="D392" s="94"/>
    </row>
    <row r="393" spans="4:4" ht="15.75" customHeight="1">
      <c r="D393" s="94"/>
    </row>
    <row r="394" spans="4:4" ht="15.75" customHeight="1">
      <c r="D394" s="94"/>
    </row>
    <row r="395" spans="4:4" ht="15.75" customHeight="1">
      <c r="D395" s="94"/>
    </row>
    <row r="396" spans="4:4" ht="15.75" customHeight="1">
      <c r="D396" s="94"/>
    </row>
    <row r="397" spans="4:4" ht="15.75" customHeight="1">
      <c r="D397" s="94"/>
    </row>
    <row r="398" spans="4:4" ht="15.75" customHeight="1">
      <c r="D398" s="94"/>
    </row>
    <row r="399" spans="4:4" ht="15.75" customHeight="1">
      <c r="D399" s="94"/>
    </row>
    <row r="400" spans="4:4" ht="15.75" customHeight="1">
      <c r="D400" s="94"/>
    </row>
    <row r="401" spans="4:4" ht="15.75" customHeight="1">
      <c r="D401" s="94"/>
    </row>
    <row r="402" spans="4:4" ht="15.75" customHeight="1">
      <c r="D402" s="94"/>
    </row>
    <row r="403" spans="4:4" ht="15.75" customHeight="1">
      <c r="D403" s="94"/>
    </row>
    <row r="404" spans="4:4" ht="15.75" customHeight="1">
      <c r="D404" s="94"/>
    </row>
    <row r="405" spans="4:4" ht="15.75" customHeight="1">
      <c r="D405" s="94"/>
    </row>
    <row r="406" spans="4:4" ht="15.75" customHeight="1">
      <c r="D406" s="94"/>
    </row>
    <row r="407" spans="4:4" ht="15.75" customHeight="1">
      <c r="D407" s="94"/>
    </row>
    <row r="408" spans="4:4" ht="15.75" customHeight="1">
      <c r="D408" s="94"/>
    </row>
    <row r="409" spans="4:4" ht="15.75" customHeight="1">
      <c r="D409" s="94"/>
    </row>
    <row r="410" spans="4:4" ht="15.75" customHeight="1">
      <c r="D410" s="94"/>
    </row>
    <row r="411" spans="4:4" ht="15.75" customHeight="1">
      <c r="D411" s="94"/>
    </row>
    <row r="412" spans="4:4" ht="15.75" customHeight="1">
      <c r="D412" s="94"/>
    </row>
    <row r="413" spans="4:4" ht="15.75" customHeight="1">
      <c r="D413" s="94"/>
    </row>
    <row r="414" spans="4:4" ht="15.75" customHeight="1">
      <c r="D414" s="94"/>
    </row>
    <row r="415" spans="4:4" ht="15.75" customHeight="1">
      <c r="D415" s="94"/>
    </row>
    <row r="416" spans="4:4" ht="15.75" customHeight="1">
      <c r="D416" s="94"/>
    </row>
    <row r="417" spans="4:4" ht="15.75" customHeight="1">
      <c r="D417" s="94"/>
    </row>
    <row r="418" spans="4:4" ht="15.75" customHeight="1">
      <c r="D418" s="94"/>
    </row>
    <row r="419" spans="4:4" ht="15.75" customHeight="1">
      <c r="D419" s="94"/>
    </row>
    <row r="420" spans="4:4" ht="15.75" customHeight="1">
      <c r="D420" s="94"/>
    </row>
    <row r="421" spans="4:4" ht="15.75" customHeight="1">
      <c r="D421" s="94"/>
    </row>
    <row r="422" spans="4:4" ht="15.75" customHeight="1">
      <c r="D422" s="94"/>
    </row>
    <row r="423" spans="4:4" ht="15.75" customHeight="1">
      <c r="D423" s="94"/>
    </row>
    <row r="424" spans="4:4" ht="15.75" customHeight="1">
      <c r="D424" s="94"/>
    </row>
    <row r="425" spans="4:4" ht="15.75" customHeight="1">
      <c r="D425" s="94"/>
    </row>
    <row r="426" spans="4:4" ht="15.75" customHeight="1">
      <c r="D426" s="94"/>
    </row>
    <row r="427" spans="4:4" ht="15.75" customHeight="1">
      <c r="D427" s="94"/>
    </row>
    <row r="428" spans="4:4" ht="15.75" customHeight="1">
      <c r="D428" s="94"/>
    </row>
    <row r="429" spans="4:4" ht="15.75" customHeight="1">
      <c r="D429" s="94"/>
    </row>
    <row r="430" spans="4:4" ht="15.75" customHeight="1">
      <c r="D430" s="94"/>
    </row>
    <row r="431" spans="4:4" ht="15.75" customHeight="1">
      <c r="D431" s="94"/>
    </row>
    <row r="432" spans="4:4" ht="15.75" customHeight="1">
      <c r="D432" s="94"/>
    </row>
    <row r="433" spans="4:4" ht="15.75" customHeight="1">
      <c r="D433" s="94"/>
    </row>
    <row r="434" spans="4:4" ht="15.75" customHeight="1">
      <c r="D434" s="94"/>
    </row>
    <row r="435" spans="4:4" ht="15.75" customHeight="1">
      <c r="D435" s="94"/>
    </row>
    <row r="436" spans="4:4" ht="15.75" customHeight="1">
      <c r="D436" s="94"/>
    </row>
    <row r="437" spans="4:4" ht="15.75" customHeight="1">
      <c r="D437" s="94"/>
    </row>
    <row r="438" spans="4:4" ht="15.75" customHeight="1">
      <c r="D438" s="94"/>
    </row>
    <row r="439" spans="4:4" ht="15.75" customHeight="1">
      <c r="D439" s="94"/>
    </row>
    <row r="440" spans="4:4" ht="15.75" customHeight="1">
      <c r="D440" s="94"/>
    </row>
    <row r="441" spans="4:4" ht="15.75" customHeight="1">
      <c r="D441" s="94"/>
    </row>
    <row r="442" spans="4:4" ht="15.75" customHeight="1">
      <c r="D442" s="94"/>
    </row>
    <row r="443" spans="4:4" ht="15.75" customHeight="1">
      <c r="D443" s="94"/>
    </row>
    <row r="444" spans="4:4" ht="15.75" customHeight="1">
      <c r="D444" s="94"/>
    </row>
    <row r="445" spans="4:4" ht="15.75" customHeight="1">
      <c r="D445" s="94"/>
    </row>
    <row r="446" spans="4:4" ht="15.75" customHeight="1">
      <c r="D446" s="94"/>
    </row>
    <row r="447" spans="4:4" ht="15.75" customHeight="1">
      <c r="D447" s="94"/>
    </row>
    <row r="448" spans="4:4" ht="15.75" customHeight="1">
      <c r="D448" s="94"/>
    </row>
    <row r="449" spans="4:4" ht="15.75" customHeight="1">
      <c r="D449" s="94"/>
    </row>
    <row r="450" spans="4:4" ht="15.75" customHeight="1">
      <c r="D450" s="94"/>
    </row>
    <row r="451" spans="4:4" ht="15.75" customHeight="1">
      <c r="D451" s="94"/>
    </row>
    <row r="452" spans="4:4" ht="15.75" customHeight="1">
      <c r="D452" s="94"/>
    </row>
    <row r="453" spans="4:4" ht="15.75" customHeight="1">
      <c r="D453" s="94"/>
    </row>
    <row r="454" spans="4:4" ht="15.75" customHeight="1">
      <c r="D454" s="94"/>
    </row>
    <row r="455" spans="4:4" ht="15.75" customHeight="1">
      <c r="D455" s="94"/>
    </row>
    <row r="456" spans="4:4" ht="15.75" customHeight="1">
      <c r="D456" s="94"/>
    </row>
    <row r="457" spans="4:4" ht="15.75" customHeight="1">
      <c r="D457" s="94"/>
    </row>
    <row r="458" spans="4:4" ht="15.75" customHeight="1">
      <c r="D458" s="94"/>
    </row>
    <row r="459" spans="4:4" ht="15.75" customHeight="1">
      <c r="D459" s="94"/>
    </row>
    <row r="460" spans="4:4" ht="15.75" customHeight="1">
      <c r="D460" s="94"/>
    </row>
    <row r="461" spans="4:4" ht="15.75" customHeight="1">
      <c r="D461" s="94"/>
    </row>
    <row r="462" spans="4:4" ht="15.75" customHeight="1">
      <c r="D462" s="94"/>
    </row>
    <row r="463" spans="4:4" ht="15.75" customHeight="1">
      <c r="D463" s="94"/>
    </row>
    <row r="464" spans="4:4" ht="15.75" customHeight="1">
      <c r="D464" s="94"/>
    </row>
    <row r="465" spans="4:4" ht="15.75" customHeight="1">
      <c r="D465" s="94"/>
    </row>
    <row r="466" spans="4:4" ht="15.75" customHeight="1">
      <c r="D466" s="94"/>
    </row>
    <row r="467" spans="4:4" ht="15.75" customHeight="1">
      <c r="D467" s="94"/>
    </row>
    <row r="468" spans="4:4" ht="15.75" customHeight="1">
      <c r="D468" s="94"/>
    </row>
    <row r="469" spans="4:4" ht="15.75" customHeight="1">
      <c r="D469" s="94"/>
    </row>
    <row r="470" spans="4:4" ht="15.75" customHeight="1">
      <c r="D470" s="94"/>
    </row>
    <row r="471" spans="4:4" ht="15.75" customHeight="1">
      <c r="D471" s="94"/>
    </row>
    <row r="472" spans="4:4" ht="15.75" customHeight="1">
      <c r="D472" s="94"/>
    </row>
    <row r="473" spans="4:4" ht="15.75" customHeight="1">
      <c r="D473" s="94"/>
    </row>
    <row r="474" spans="4:4" ht="15.75" customHeight="1">
      <c r="D474" s="94"/>
    </row>
    <row r="475" spans="4:4" ht="15.75" customHeight="1">
      <c r="D475" s="94"/>
    </row>
    <row r="476" spans="4:4" ht="15.75" customHeight="1">
      <c r="D476" s="94"/>
    </row>
    <row r="477" spans="4:4" ht="15.75" customHeight="1">
      <c r="D477" s="94"/>
    </row>
    <row r="478" spans="4:4" ht="15.75" customHeight="1">
      <c r="D478" s="94"/>
    </row>
    <row r="479" spans="4:4" ht="15.75" customHeight="1">
      <c r="D479" s="94"/>
    </row>
    <row r="480" spans="4:4" ht="15.75" customHeight="1">
      <c r="D480" s="94"/>
    </row>
    <row r="481" spans="4:4" ht="15.75" customHeight="1">
      <c r="D481" s="94"/>
    </row>
    <row r="482" spans="4:4" ht="15.75" customHeight="1">
      <c r="D482" s="94"/>
    </row>
    <row r="483" spans="4:4" ht="15.75" customHeight="1">
      <c r="D483" s="94"/>
    </row>
    <row r="484" spans="4:4" ht="15.75" customHeight="1">
      <c r="D484" s="94"/>
    </row>
    <row r="485" spans="4:4" ht="15.75" customHeight="1">
      <c r="D485" s="94"/>
    </row>
    <row r="486" spans="4:4" ht="15.75" customHeight="1">
      <c r="D486" s="94"/>
    </row>
    <row r="487" spans="4:4" ht="15.75" customHeight="1">
      <c r="D487" s="94"/>
    </row>
    <row r="488" spans="4:4" ht="15.75" customHeight="1">
      <c r="D488" s="94"/>
    </row>
    <row r="489" spans="4:4" ht="15.75" customHeight="1">
      <c r="D489" s="94"/>
    </row>
    <row r="490" spans="4:4" ht="15.75" customHeight="1">
      <c r="D490" s="94"/>
    </row>
    <row r="491" spans="4:4" ht="15.75" customHeight="1">
      <c r="D491" s="94"/>
    </row>
    <row r="492" spans="4:4" ht="15.75" customHeight="1">
      <c r="D492" s="94"/>
    </row>
    <row r="493" spans="4:4" ht="15.75" customHeight="1">
      <c r="D493" s="94"/>
    </row>
    <row r="494" spans="4:4" ht="15.75" customHeight="1">
      <c r="D494" s="94"/>
    </row>
    <row r="495" spans="4:4" ht="15.75" customHeight="1">
      <c r="D495" s="94"/>
    </row>
    <row r="496" spans="4:4" ht="15.75" customHeight="1">
      <c r="D496" s="94"/>
    </row>
    <row r="497" spans="4:4" ht="15.75" customHeight="1">
      <c r="D497" s="94"/>
    </row>
    <row r="498" spans="4:4" ht="15.75" customHeight="1">
      <c r="D498" s="94"/>
    </row>
    <row r="499" spans="4:4" ht="15.75" customHeight="1">
      <c r="D499" s="94"/>
    </row>
    <row r="500" spans="4:4" ht="15.75" customHeight="1">
      <c r="D500" s="94"/>
    </row>
    <row r="501" spans="4:4" ht="15.75" customHeight="1">
      <c r="D501" s="94"/>
    </row>
    <row r="502" spans="4:4" ht="15.75" customHeight="1">
      <c r="D502" s="94"/>
    </row>
    <row r="503" spans="4:4" ht="15.75" customHeight="1">
      <c r="D503" s="94"/>
    </row>
    <row r="504" spans="4:4" ht="15.75" customHeight="1">
      <c r="D504" s="94"/>
    </row>
    <row r="505" spans="4:4" ht="15.75" customHeight="1">
      <c r="D505" s="94"/>
    </row>
    <row r="506" spans="4:4" ht="15.75" customHeight="1">
      <c r="D506" s="94"/>
    </row>
    <row r="507" spans="4:4" ht="15.75" customHeight="1">
      <c r="D507" s="94"/>
    </row>
    <row r="508" spans="4:4" ht="15.75" customHeight="1">
      <c r="D508" s="94"/>
    </row>
    <row r="509" spans="4:4" ht="15.75" customHeight="1">
      <c r="D509" s="94"/>
    </row>
    <row r="510" spans="4:4" ht="15.75" customHeight="1">
      <c r="D510" s="94"/>
    </row>
    <row r="511" spans="4:4" ht="15.75" customHeight="1">
      <c r="D511" s="94"/>
    </row>
    <row r="512" spans="4:4" ht="15.75" customHeight="1">
      <c r="D512" s="94"/>
    </row>
    <row r="513" spans="4:4" ht="15.75" customHeight="1">
      <c r="D513" s="94"/>
    </row>
    <row r="514" spans="4:4" ht="15.75" customHeight="1">
      <c r="D514" s="94"/>
    </row>
    <row r="515" spans="4:4" ht="15.75" customHeight="1">
      <c r="D515" s="94"/>
    </row>
    <row r="516" spans="4:4" ht="15.75" customHeight="1">
      <c r="D516" s="94"/>
    </row>
    <row r="517" spans="4:4" ht="15.75" customHeight="1">
      <c r="D517" s="94"/>
    </row>
    <row r="518" spans="4:4" ht="15.75" customHeight="1">
      <c r="D518" s="94"/>
    </row>
    <row r="519" spans="4:4" ht="15.75" customHeight="1">
      <c r="D519" s="94"/>
    </row>
    <row r="520" spans="4:4" ht="15.75" customHeight="1">
      <c r="D520" s="94"/>
    </row>
    <row r="521" spans="4:4" ht="15.75" customHeight="1">
      <c r="D521" s="94"/>
    </row>
    <row r="522" spans="4:4" ht="15.75" customHeight="1">
      <c r="D522" s="94"/>
    </row>
    <row r="523" spans="4:4" ht="15.75" customHeight="1">
      <c r="D523" s="94"/>
    </row>
    <row r="524" spans="4:4" ht="15.75" customHeight="1">
      <c r="D524" s="94"/>
    </row>
    <row r="525" spans="4:4" ht="15.75" customHeight="1">
      <c r="D525" s="94"/>
    </row>
    <row r="526" spans="4:4" ht="15.75" customHeight="1">
      <c r="D526" s="94"/>
    </row>
    <row r="527" spans="4:4" ht="15.75" customHeight="1">
      <c r="D527" s="94"/>
    </row>
    <row r="528" spans="4:4" ht="15.75" customHeight="1">
      <c r="D528" s="94"/>
    </row>
    <row r="529" spans="4:4" ht="15.75" customHeight="1">
      <c r="D529" s="94"/>
    </row>
    <row r="530" spans="4:4" ht="15.75" customHeight="1">
      <c r="D530" s="94"/>
    </row>
    <row r="531" spans="4:4" ht="15.75" customHeight="1">
      <c r="D531" s="94"/>
    </row>
    <row r="532" spans="4:4" ht="15.75" customHeight="1">
      <c r="D532" s="94"/>
    </row>
    <row r="533" spans="4:4" ht="15.75" customHeight="1">
      <c r="D533" s="94"/>
    </row>
    <row r="534" spans="4:4" ht="15.75" customHeight="1">
      <c r="D534" s="94"/>
    </row>
    <row r="535" spans="4:4" ht="15.75" customHeight="1">
      <c r="D535" s="94"/>
    </row>
    <row r="536" spans="4:4" ht="15.75" customHeight="1">
      <c r="D536" s="94"/>
    </row>
    <row r="537" spans="4:4" ht="15.75" customHeight="1">
      <c r="D537" s="94"/>
    </row>
    <row r="538" spans="4:4" ht="15.75" customHeight="1">
      <c r="D538" s="94"/>
    </row>
    <row r="539" spans="4:4" ht="15.75" customHeight="1">
      <c r="D539" s="94"/>
    </row>
    <row r="540" spans="4:4" ht="15.75" customHeight="1">
      <c r="D540" s="94"/>
    </row>
    <row r="541" spans="4:4" ht="15.75" customHeight="1">
      <c r="D541" s="94"/>
    </row>
    <row r="542" spans="4:4" ht="15.75" customHeight="1">
      <c r="D542" s="94"/>
    </row>
    <row r="543" spans="4:4" ht="15.75" customHeight="1">
      <c r="D543" s="94"/>
    </row>
    <row r="544" spans="4:4" ht="15.75" customHeight="1">
      <c r="D544" s="94"/>
    </row>
    <row r="545" spans="4:4" ht="15.75" customHeight="1">
      <c r="D545" s="94"/>
    </row>
    <row r="546" spans="4:4" ht="15.75" customHeight="1">
      <c r="D546" s="94"/>
    </row>
    <row r="547" spans="4:4" ht="15.75" customHeight="1">
      <c r="D547" s="94"/>
    </row>
    <row r="548" spans="4:4" ht="15.75" customHeight="1">
      <c r="D548" s="94"/>
    </row>
    <row r="549" spans="4:4" ht="15.75" customHeight="1">
      <c r="D549" s="94"/>
    </row>
    <row r="550" spans="4:4" ht="15.75" customHeight="1">
      <c r="D550" s="94"/>
    </row>
    <row r="551" spans="4:4" ht="15.75" customHeight="1">
      <c r="D551" s="94"/>
    </row>
    <row r="552" spans="4:4" ht="15.75" customHeight="1">
      <c r="D552" s="94"/>
    </row>
    <row r="553" spans="4:4" ht="15.75" customHeight="1">
      <c r="D553" s="94"/>
    </row>
    <row r="554" spans="4:4" ht="15.75" customHeight="1">
      <c r="D554" s="94"/>
    </row>
    <row r="555" spans="4:4" ht="15.75" customHeight="1">
      <c r="D555" s="94"/>
    </row>
    <row r="556" spans="4:4" ht="15.75" customHeight="1">
      <c r="D556" s="94"/>
    </row>
    <row r="557" spans="4:4" ht="15.75" customHeight="1">
      <c r="D557" s="94"/>
    </row>
    <row r="558" spans="4:4" ht="15.75" customHeight="1">
      <c r="D558" s="94"/>
    </row>
    <row r="559" spans="4:4" ht="15.75" customHeight="1">
      <c r="D559" s="94"/>
    </row>
    <row r="560" spans="4:4" ht="15.75" customHeight="1">
      <c r="D560" s="94"/>
    </row>
    <row r="561" spans="4:4" ht="15.75" customHeight="1">
      <c r="D561" s="94"/>
    </row>
    <row r="562" spans="4:4" ht="15.75" customHeight="1">
      <c r="D562" s="94"/>
    </row>
    <row r="563" spans="4:4" ht="15.75" customHeight="1">
      <c r="D563" s="94"/>
    </row>
    <row r="564" spans="4:4" ht="15.75" customHeight="1">
      <c r="D564" s="94"/>
    </row>
    <row r="565" spans="4:4" ht="15.75" customHeight="1">
      <c r="D565" s="94"/>
    </row>
    <row r="566" spans="4:4" ht="15.75" customHeight="1">
      <c r="D566" s="94"/>
    </row>
    <row r="567" spans="4:4" ht="15.75" customHeight="1">
      <c r="D567" s="94"/>
    </row>
    <row r="568" spans="4:4" ht="15.75" customHeight="1">
      <c r="D568" s="94"/>
    </row>
    <row r="569" spans="4:4" ht="15.75" customHeight="1">
      <c r="D569" s="94"/>
    </row>
    <row r="570" spans="4:4" ht="15.75" customHeight="1">
      <c r="D570" s="94"/>
    </row>
    <row r="571" spans="4:4" ht="15.75" customHeight="1">
      <c r="D571" s="94"/>
    </row>
    <row r="572" spans="4:4" ht="15.75" customHeight="1">
      <c r="D572" s="94"/>
    </row>
    <row r="573" spans="4:4" ht="15.75" customHeight="1">
      <c r="D573" s="94"/>
    </row>
    <row r="574" spans="4:4" ht="15.75" customHeight="1">
      <c r="D574" s="94"/>
    </row>
    <row r="575" spans="4:4" ht="15.75" customHeight="1">
      <c r="D575" s="94"/>
    </row>
    <row r="576" spans="4:4" ht="15.75" customHeight="1">
      <c r="D576" s="94"/>
    </row>
    <row r="577" spans="4:4" ht="15.75" customHeight="1">
      <c r="D577" s="94"/>
    </row>
    <row r="578" spans="4:4" ht="15.75" customHeight="1">
      <c r="D578" s="94"/>
    </row>
    <row r="579" spans="4:4" ht="15.75" customHeight="1">
      <c r="D579" s="94"/>
    </row>
    <row r="580" spans="4:4" ht="15.75" customHeight="1">
      <c r="D580" s="94"/>
    </row>
    <row r="581" spans="4:4" ht="15.75" customHeight="1">
      <c r="D581" s="94"/>
    </row>
    <row r="582" spans="4:4" ht="15.75" customHeight="1">
      <c r="D582" s="94"/>
    </row>
    <row r="583" spans="4:4" ht="15.75" customHeight="1">
      <c r="D583" s="94"/>
    </row>
    <row r="584" spans="4:4" ht="15.75" customHeight="1">
      <c r="D584" s="94"/>
    </row>
    <row r="585" spans="4:4" ht="15.75" customHeight="1">
      <c r="D585" s="94"/>
    </row>
    <row r="586" spans="4:4" ht="15.75" customHeight="1">
      <c r="D586" s="94"/>
    </row>
    <row r="587" spans="4:4" ht="15.75" customHeight="1">
      <c r="D587" s="94"/>
    </row>
    <row r="588" spans="4:4" ht="15.75" customHeight="1">
      <c r="D588" s="94"/>
    </row>
    <row r="589" spans="4:4" ht="15.75" customHeight="1">
      <c r="D589" s="94"/>
    </row>
    <row r="590" spans="4:4" ht="15.75" customHeight="1">
      <c r="D590" s="94"/>
    </row>
    <row r="591" spans="4:4" ht="15.75" customHeight="1">
      <c r="D591" s="94"/>
    </row>
    <row r="592" spans="4:4" ht="15.75" customHeight="1">
      <c r="D592" s="94"/>
    </row>
    <row r="593" spans="4:4" ht="15.75" customHeight="1">
      <c r="D593" s="94"/>
    </row>
    <row r="594" spans="4:4" ht="15.75" customHeight="1">
      <c r="D594" s="94"/>
    </row>
    <row r="595" spans="4:4" ht="15.75" customHeight="1">
      <c r="D595" s="94"/>
    </row>
    <row r="596" spans="4:4" ht="15.75" customHeight="1">
      <c r="D596" s="94"/>
    </row>
    <row r="597" spans="4:4" ht="15.75" customHeight="1">
      <c r="D597" s="94"/>
    </row>
    <row r="598" spans="4:4" ht="15.75" customHeight="1">
      <c r="D598" s="94"/>
    </row>
    <row r="599" spans="4:4" ht="15.75" customHeight="1">
      <c r="D599" s="94"/>
    </row>
    <row r="600" spans="4:4" ht="15.75" customHeight="1">
      <c r="D600" s="94"/>
    </row>
    <row r="601" spans="4:4" ht="15.75" customHeight="1">
      <c r="D601" s="94"/>
    </row>
    <row r="602" spans="4:4" ht="15.75" customHeight="1">
      <c r="D602" s="94"/>
    </row>
    <row r="603" spans="4:4" ht="15.75" customHeight="1">
      <c r="D603" s="94"/>
    </row>
    <row r="604" spans="4:4" ht="15.75" customHeight="1">
      <c r="D604" s="94"/>
    </row>
    <row r="605" spans="4:4" ht="15.75" customHeight="1">
      <c r="D605" s="94"/>
    </row>
    <row r="606" spans="4:4" ht="15.75" customHeight="1">
      <c r="D606" s="94"/>
    </row>
    <row r="607" spans="4:4" ht="15.75" customHeight="1">
      <c r="D607" s="94"/>
    </row>
    <row r="608" spans="4:4" ht="15.75" customHeight="1">
      <c r="D608" s="94"/>
    </row>
    <row r="609" spans="4:4" ht="15.75" customHeight="1">
      <c r="D609" s="94"/>
    </row>
    <row r="610" spans="4:4" ht="15.75" customHeight="1">
      <c r="D610" s="94"/>
    </row>
    <row r="611" spans="4:4" ht="15.75" customHeight="1">
      <c r="D611" s="94"/>
    </row>
    <row r="612" spans="4:4" ht="15.75" customHeight="1">
      <c r="D612" s="94"/>
    </row>
    <row r="613" spans="4:4" ht="15.75" customHeight="1">
      <c r="D613" s="94"/>
    </row>
    <row r="614" spans="4:4" ht="15.75" customHeight="1">
      <c r="D614" s="94"/>
    </row>
    <row r="615" spans="4:4" ht="15.75" customHeight="1">
      <c r="D615" s="94"/>
    </row>
    <row r="616" spans="4:4" ht="15.75" customHeight="1">
      <c r="D616" s="94"/>
    </row>
    <row r="617" spans="4:4" ht="15.75" customHeight="1">
      <c r="D617" s="94"/>
    </row>
    <row r="618" spans="4:4" ht="15.75" customHeight="1">
      <c r="D618" s="94"/>
    </row>
    <row r="619" spans="4:4" ht="15.75" customHeight="1">
      <c r="D619" s="94"/>
    </row>
    <row r="620" spans="4:4" ht="15.75" customHeight="1">
      <c r="D620" s="94"/>
    </row>
    <row r="621" spans="4:4" ht="15.75" customHeight="1">
      <c r="D621" s="94"/>
    </row>
    <row r="622" spans="4:4" ht="15.75" customHeight="1">
      <c r="D622" s="94"/>
    </row>
    <row r="623" spans="4:4" ht="15.75" customHeight="1">
      <c r="D623" s="94"/>
    </row>
    <row r="624" spans="4:4" ht="15.75" customHeight="1">
      <c r="D624" s="94"/>
    </row>
    <row r="625" spans="4:4" ht="15.75" customHeight="1">
      <c r="D625" s="94"/>
    </row>
    <row r="626" spans="4:4" ht="15.75" customHeight="1">
      <c r="D626" s="94"/>
    </row>
    <row r="627" spans="4:4" ht="15.75" customHeight="1">
      <c r="D627" s="94"/>
    </row>
    <row r="628" spans="4:4" ht="15.75" customHeight="1">
      <c r="D628" s="94"/>
    </row>
    <row r="629" spans="4:4" ht="15.75" customHeight="1">
      <c r="D629" s="94"/>
    </row>
    <row r="630" spans="4:4" ht="15.75" customHeight="1">
      <c r="D630" s="94"/>
    </row>
    <row r="631" spans="4:4" ht="15.75" customHeight="1">
      <c r="D631" s="94"/>
    </row>
    <row r="632" spans="4:4" ht="15.75" customHeight="1">
      <c r="D632" s="94"/>
    </row>
    <row r="633" spans="4:4" ht="15.75" customHeight="1">
      <c r="D633" s="94"/>
    </row>
    <row r="634" spans="4:4" ht="15.75" customHeight="1">
      <c r="D634" s="94"/>
    </row>
    <row r="635" spans="4:4" ht="15.75" customHeight="1">
      <c r="D635" s="94"/>
    </row>
    <row r="636" spans="4:4" ht="15.75" customHeight="1">
      <c r="D636" s="94"/>
    </row>
    <row r="637" spans="4:4" ht="15.75" customHeight="1">
      <c r="D637" s="94"/>
    </row>
    <row r="638" spans="4:4" ht="15.75" customHeight="1">
      <c r="D638" s="94"/>
    </row>
    <row r="639" spans="4:4" ht="15.75" customHeight="1">
      <c r="D639" s="94"/>
    </row>
    <row r="640" spans="4:4" ht="15.75" customHeight="1">
      <c r="D640" s="94"/>
    </row>
    <row r="641" spans="4:4" ht="15.75" customHeight="1">
      <c r="D641" s="94"/>
    </row>
    <row r="642" spans="4:4" ht="15.75" customHeight="1">
      <c r="D642" s="94"/>
    </row>
    <row r="643" spans="4:4" ht="15.75" customHeight="1">
      <c r="D643" s="94"/>
    </row>
    <row r="644" spans="4:4" ht="15.75" customHeight="1">
      <c r="D644" s="94"/>
    </row>
    <row r="645" spans="4:4" ht="15.75" customHeight="1">
      <c r="D645" s="94"/>
    </row>
    <row r="646" spans="4:4" ht="15.75" customHeight="1">
      <c r="D646" s="94"/>
    </row>
    <row r="647" spans="4:4" ht="15.75" customHeight="1">
      <c r="D647" s="94"/>
    </row>
    <row r="648" spans="4:4" ht="15.75" customHeight="1">
      <c r="D648" s="94"/>
    </row>
    <row r="649" spans="4:4" ht="15.75" customHeight="1">
      <c r="D649" s="94"/>
    </row>
    <row r="650" spans="4:4" ht="15.75" customHeight="1">
      <c r="D650" s="94"/>
    </row>
    <row r="651" spans="4:4" ht="15.75" customHeight="1">
      <c r="D651" s="94"/>
    </row>
    <row r="652" spans="4:4" ht="15.75" customHeight="1">
      <c r="D652" s="94"/>
    </row>
    <row r="653" spans="4:4" ht="15.75" customHeight="1">
      <c r="D653" s="94"/>
    </row>
    <row r="654" spans="4:4" ht="15.75" customHeight="1">
      <c r="D654" s="94"/>
    </row>
    <row r="655" spans="4:4" ht="15.75" customHeight="1">
      <c r="D655" s="94"/>
    </row>
    <row r="656" spans="4:4" ht="15.75" customHeight="1">
      <c r="D656" s="94"/>
    </row>
    <row r="657" spans="4:4" ht="15.75" customHeight="1">
      <c r="D657" s="94"/>
    </row>
    <row r="658" spans="4:4" ht="15.75" customHeight="1">
      <c r="D658" s="94"/>
    </row>
    <row r="659" spans="4:4" ht="15.75" customHeight="1">
      <c r="D659" s="94"/>
    </row>
    <row r="660" spans="4:4" ht="15.75" customHeight="1">
      <c r="D660" s="94"/>
    </row>
    <row r="661" spans="4:4" ht="15.75" customHeight="1">
      <c r="D661" s="94"/>
    </row>
    <row r="662" spans="4:4" ht="15.75" customHeight="1">
      <c r="D662" s="94"/>
    </row>
    <row r="663" spans="4:4" ht="15.75" customHeight="1">
      <c r="D663" s="94"/>
    </row>
    <row r="664" spans="4:4" ht="15.75" customHeight="1">
      <c r="D664" s="94"/>
    </row>
    <row r="665" spans="4:4" ht="15.75" customHeight="1">
      <c r="D665" s="94"/>
    </row>
    <row r="666" spans="4:4" ht="15.75" customHeight="1">
      <c r="D666" s="94"/>
    </row>
    <row r="667" spans="4:4" ht="15.75" customHeight="1">
      <c r="D667" s="94"/>
    </row>
    <row r="668" spans="4:4" ht="15.75" customHeight="1">
      <c r="D668" s="94"/>
    </row>
    <row r="669" spans="4:4" ht="15.75" customHeight="1">
      <c r="D669" s="94"/>
    </row>
    <row r="670" spans="4:4" ht="15.75" customHeight="1">
      <c r="D670" s="94"/>
    </row>
    <row r="671" spans="4:4" ht="15.75" customHeight="1">
      <c r="D671" s="94"/>
    </row>
    <row r="672" spans="4:4" ht="15.75" customHeight="1">
      <c r="D672" s="94"/>
    </row>
    <row r="673" spans="4:4" ht="15.75" customHeight="1">
      <c r="D673" s="94"/>
    </row>
    <row r="674" spans="4:4" ht="15.75" customHeight="1">
      <c r="D674" s="94"/>
    </row>
    <row r="675" spans="4:4" ht="15.75" customHeight="1">
      <c r="D675" s="94"/>
    </row>
    <row r="676" spans="4:4" ht="15.75" customHeight="1">
      <c r="D676" s="94"/>
    </row>
    <row r="677" spans="4:4" ht="15.75" customHeight="1">
      <c r="D677" s="94"/>
    </row>
    <row r="678" spans="4:4" ht="15.75" customHeight="1">
      <c r="D678" s="94"/>
    </row>
    <row r="679" spans="4:4" ht="15.75" customHeight="1">
      <c r="D679" s="94"/>
    </row>
    <row r="680" spans="4:4" ht="15.75" customHeight="1">
      <c r="D680" s="94"/>
    </row>
    <row r="681" spans="4:4" ht="15.75" customHeight="1">
      <c r="D681" s="94"/>
    </row>
    <row r="682" spans="4:4" ht="15.75" customHeight="1">
      <c r="D682" s="94"/>
    </row>
    <row r="683" spans="4:4" ht="15.75" customHeight="1">
      <c r="D683" s="94"/>
    </row>
    <row r="684" spans="4:4" ht="15.75" customHeight="1">
      <c r="D684" s="94"/>
    </row>
    <row r="685" spans="4:4" ht="15.75" customHeight="1">
      <c r="D685" s="94"/>
    </row>
    <row r="686" spans="4:4" ht="15.75" customHeight="1">
      <c r="D686" s="94"/>
    </row>
    <row r="687" spans="4:4" ht="15.75" customHeight="1">
      <c r="D687" s="94"/>
    </row>
    <row r="688" spans="4:4" ht="15.75" customHeight="1">
      <c r="D688" s="94"/>
    </row>
    <row r="689" spans="4:4" ht="15.75" customHeight="1">
      <c r="D689" s="94"/>
    </row>
    <row r="690" spans="4:4" ht="15.75" customHeight="1">
      <c r="D690" s="94"/>
    </row>
    <row r="691" spans="4:4" ht="15.75" customHeight="1">
      <c r="D691" s="94"/>
    </row>
    <row r="692" spans="4:4" ht="15.75" customHeight="1">
      <c r="D692" s="94"/>
    </row>
    <row r="693" spans="4:4" ht="15.75" customHeight="1">
      <c r="D693" s="94"/>
    </row>
    <row r="694" spans="4:4" ht="15.75" customHeight="1">
      <c r="D694" s="94"/>
    </row>
    <row r="695" spans="4:4" ht="15.75" customHeight="1">
      <c r="D695" s="94"/>
    </row>
    <row r="696" spans="4:4" ht="15.75" customHeight="1">
      <c r="D696" s="94"/>
    </row>
    <row r="697" spans="4:4" ht="15.75" customHeight="1">
      <c r="D697" s="94"/>
    </row>
    <row r="698" spans="4:4" ht="15.75" customHeight="1">
      <c r="D698" s="94"/>
    </row>
    <row r="699" spans="4:4" ht="15.75" customHeight="1">
      <c r="D699" s="94"/>
    </row>
    <row r="700" spans="4:4" ht="15.75" customHeight="1">
      <c r="D700" s="94"/>
    </row>
    <row r="701" spans="4:4" ht="15.75" customHeight="1">
      <c r="D701" s="94"/>
    </row>
    <row r="702" spans="4:4" ht="15.75" customHeight="1">
      <c r="D702" s="94"/>
    </row>
    <row r="703" spans="4:4" ht="15.75" customHeight="1">
      <c r="D703" s="94"/>
    </row>
    <row r="704" spans="4:4" ht="15.75" customHeight="1">
      <c r="D704" s="94"/>
    </row>
    <row r="705" spans="4:4" ht="15.75" customHeight="1">
      <c r="D705" s="94"/>
    </row>
    <row r="706" spans="4:4" ht="15.75" customHeight="1">
      <c r="D706" s="94"/>
    </row>
    <row r="707" spans="4:4" ht="15.75" customHeight="1">
      <c r="D707" s="94"/>
    </row>
    <row r="708" spans="4:4" ht="15.75" customHeight="1">
      <c r="D708" s="94"/>
    </row>
    <row r="709" spans="4:4" ht="15.75" customHeight="1">
      <c r="D709" s="94"/>
    </row>
    <row r="710" spans="4:4" ht="15.75" customHeight="1">
      <c r="D710" s="94"/>
    </row>
    <row r="711" spans="4:4" ht="15.75" customHeight="1">
      <c r="D711" s="94"/>
    </row>
    <row r="712" spans="4:4" ht="15.75" customHeight="1">
      <c r="D712" s="94"/>
    </row>
    <row r="713" spans="4:4" ht="15.75" customHeight="1">
      <c r="D713" s="94"/>
    </row>
    <row r="714" spans="4:4" ht="15.75" customHeight="1">
      <c r="D714" s="94"/>
    </row>
    <row r="715" spans="4:4" ht="15.75" customHeight="1">
      <c r="D715" s="94"/>
    </row>
    <row r="716" spans="4:4" ht="15.75" customHeight="1">
      <c r="D716" s="94"/>
    </row>
    <row r="717" spans="4:4" ht="15.75" customHeight="1">
      <c r="D717" s="94"/>
    </row>
    <row r="718" spans="4:4" ht="15.75" customHeight="1">
      <c r="D718" s="94"/>
    </row>
    <row r="719" spans="4:4" ht="15.75" customHeight="1">
      <c r="D719" s="94"/>
    </row>
    <row r="720" spans="4:4" ht="15.75" customHeight="1">
      <c r="D720" s="94"/>
    </row>
    <row r="721" spans="4:4" ht="15.75" customHeight="1">
      <c r="D721" s="94"/>
    </row>
    <row r="722" spans="4:4" ht="15.75" customHeight="1">
      <c r="D722" s="94"/>
    </row>
    <row r="723" spans="4:4" ht="15.75" customHeight="1">
      <c r="D723" s="94"/>
    </row>
    <row r="724" spans="4:4" ht="15.75" customHeight="1">
      <c r="D724" s="94"/>
    </row>
    <row r="725" spans="4:4" ht="15.75" customHeight="1">
      <c r="D725" s="94"/>
    </row>
    <row r="726" spans="4:4" ht="15.75" customHeight="1">
      <c r="D726" s="94"/>
    </row>
    <row r="727" spans="4:4" ht="15.75" customHeight="1">
      <c r="D727" s="94"/>
    </row>
    <row r="728" spans="4:4" ht="15.75" customHeight="1">
      <c r="D728" s="94"/>
    </row>
    <row r="729" spans="4:4" ht="15.75" customHeight="1">
      <c r="D729" s="94"/>
    </row>
    <row r="730" spans="4:4" ht="15.75" customHeight="1">
      <c r="D730" s="94"/>
    </row>
    <row r="731" spans="4:4" ht="15.75" customHeight="1">
      <c r="D731" s="94"/>
    </row>
    <row r="732" spans="4:4" ht="15.75" customHeight="1">
      <c r="D732" s="94"/>
    </row>
    <row r="733" spans="4:4" ht="15.75" customHeight="1">
      <c r="D733" s="94"/>
    </row>
    <row r="734" spans="4:4" ht="15.75" customHeight="1">
      <c r="D734" s="94"/>
    </row>
    <row r="735" spans="4:4" ht="15.75" customHeight="1">
      <c r="D735" s="94"/>
    </row>
    <row r="736" spans="4:4" ht="15.75" customHeight="1">
      <c r="D736" s="94"/>
    </row>
    <row r="737" spans="4:4" ht="15.75" customHeight="1">
      <c r="D737" s="94"/>
    </row>
    <row r="738" spans="4:4" ht="15.75" customHeight="1">
      <c r="D738" s="94"/>
    </row>
    <row r="739" spans="4:4" ht="15.75" customHeight="1">
      <c r="D739" s="94"/>
    </row>
    <row r="740" spans="4:4" ht="15.75" customHeight="1">
      <c r="D740" s="94"/>
    </row>
    <row r="741" spans="4:4" ht="15.75" customHeight="1">
      <c r="D741" s="94"/>
    </row>
    <row r="742" spans="4:4" ht="15.75" customHeight="1">
      <c r="D742" s="94"/>
    </row>
    <row r="743" spans="4:4" ht="15.75" customHeight="1">
      <c r="D743" s="94"/>
    </row>
    <row r="744" spans="4:4" ht="15.75" customHeight="1">
      <c r="D744" s="94"/>
    </row>
    <row r="745" spans="4:4" ht="15.75" customHeight="1">
      <c r="D745" s="94"/>
    </row>
    <row r="746" spans="4:4" ht="15.75" customHeight="1">
      <c r="D746" s="94"/>
    </row>
    <row r="747" spans="4:4" ht="15.75" customHeight="1">
      <c r="D747" s="94"/>
    </row>
    <row r="748" spans="4:4" ht="15.75" customHeight="1">
      <c r="D748" s="94"/>
    </row>
    <row r="749" spans="4:4" ht="15.75" customHeight="1">
      <c r="D749" s="94"/>
    </row>
    <row r="750" spans="4:4" ht="15.75" customHeight="1">
      <c r="D750" s="94"/>
    </row>
    <row r="751" spans="4:4" ht="15.75" customHeight="1">
      <c r="D751" s="94"/>
    </row>
    <row r="752" spans="4:4" ht="15.75" customHeight="1">
      <c r="D752" s="94"/>
    </row>
    <row r="753" spans="4:4" ht="15.75" customHeight="1">
      <c r="D753" s="94"/>
    </row>
    <row r="754" spans="4:4" ht="15.75" customHeight="1">
      <c r="D754" s="94"/>
    </row>
    <row r="755" spans="4:4" ht="15.75" customHeight="1">
      <c r="D755" s="94"/>
    </row>
    <row r="756" spans="4:4" ht="15.75" customHeight="1">
      <c r="D756" s="94"/>
    </row>
    <row r="757" spans="4:4" ht="15.75" customHeight="1">
      <c r="D757" s="94"/>
    </row>
    <row r="758" spans="4:4" ht="15.75" customHeight="1">
      <c r="D758" s="94"/>
    </row>
    <row r="759" spans="4:4" ht="15.75" customHeight="1">
      <c r="D759" s="94"/>
    </row>
    <row r="760" spans="4:4" ht="15.75" customHeight="1">
      <c r="D760" s="94"/>
    </row>
    <row r="761" spans="4:4" ht="15.75" customHeight="1">
      <c r="D761" s="94"/>
    </row>
    <row r="762" spans="4:4" ht="15.75" customHeight="1">
      <c r="D762" s="94"/>
    </row>
    <row r="763" spans="4:4" ht="15.75" customHeight="1">
      <c r="D763" s="94"/>
    </row>
    <row r="764" spans="4:4" ht="15.75" customHeight="1">
      <c r="D764" s="94"/>
    </row>
    <row r="765" spans="4:4" ht="15.75" customHeight="1">
      <c r="D765" s="94"/>
    </row>
    <row r="766" spans="4:4" ht="15.75" customHeight="1">
      <c r="D766" s="94"/>
    </row>
    <row r="767" spans="4:4" ht="15.75" customHeight="1">
      <c r="D767" s="94"/>
    </row>
    <row r="768" spans="4:4" ht="15.75" customHeight="1">
      <c r="D768" s="94"/>
    </row>
    <row r="769" spans="4:4" ht="15.75" customHeight="1">
      <c r="D769" s="94"/>
    </row>
    <row r="770" spans="4:4" ht="15.75" customHeight="1">
      <c r="D770" s="94"/>
    </row>
    <row r="771" spans="4:4" ht="15.75" customHeight="1">
      <c r="D771" s="94"/>
    </row>
    <row r="772" spans="4:4" ht="15.75" customHeight="1">
      <c r="D772" s="94"/>
    </row>
    <row r="773" spans="4:4" ht="15.75" customHeight="1">
      <c r="D773" s="94"/>
    </row>
    <row r="774" spans="4:4" ht="15.75" customHeight="1">
      <c r="D774" s="94"/>
    </row>
    <row r="775" spans="4:4" ht="15.75" customHeight="1">
      <c r="D775" s="94"/>
    </row>
    <row r="776" spans="4:4" ht="15.75" customHeight="1">
      <c r="D776" s="94"/>
    </row>
    <row r="777" spans="4:4" ht="15.75" customHeight="1">
      <c r="D777" s="94"/>
    </row>
    <row r="778" spans="4:4" ht="15.75" customHeight="1">
      <c r="D778" s="94"/>
    </row>
    <row r="779" spans="4:4" ht="15.75" customHeight="1">
      <c r="D779" s="94"/>
    </row>
    <row r="780" spans="4:4" ht="15.75" customHeight="1">
      <c r="D780" s="94"/>
    </row>
    <row r="781" spans="4:4" ht="15.75" customHeight="1">
      <c r="D781" s="94"/>
    </row>
    <row r="782" spans="4:4" ht="15.75" customHeight="1">
      <c r="D782" s="94"/>
    </row>
    <row r="783" spans="4:4" ht="15.75" customHeight="1">
      <c r="D783" s="94"/>
    </row>
    <row r="784" spans="4:4" ht="15.75" customHeight="1">
      <c r="D784" s="94"/>
    </row>
    <row r="785" spans="4:4" ht="15.75" customHeight="1">
      <c r="D785" s="94"/>
    </row>
    <row r="786" spans="4:4" ht="15.75" customHeight="1">
      <c r="D786" s="94"/>
    </row>
    <row r="787" spans="4:4" ht="15.75" customHeight="1">
      <c r="D787" s="94"/>
    </row>
    <row r="788" spans="4:4" ht="15.75" customHeight="1">
      <c r="D788" s="94"/>
    </row>
    <row r="789" spans="4:4" ht="15.75" customHeight="1">
      <c r="D789" s="94"/>
    </row>
    <row r="790" spans="4:4" ht="15.75" customHeight="1">
      <c r="D790" s="94"/>
    </row>
    <row r="791" spans="4:4" ht="15.75" customHeight="1">
      <c r="D791" s="94"/>
    </row>
    <row r="792" spans="4:4" ht="15.75" customHeight="1">
      <c r="D792" s="94"/>
    </row>
    <row r="793" spans="4:4" ht="15.75" customHeight="1">
      <c r="D793" s="94"/>
    </row>
    <row r="794" spans="4:4" ht="15.75" customHeight="1">
      <c r="D794" s="94"/>
    </row>
    <row r="795" spans="4:4" ht="15.75" customHeight="1">
      <c r="D795" s="94"/>
    </row>
    <row r="796" spans="4:4" ht="15.75" customHeight="1">
      <c r="D796" s="94"/>
    </row>
    <row r="797" spans="4:4" ht="15.75" customHeight="1">
      <c r="D797" s="94"/>
    </row>
    <row r="798" spans="4:4" ht="15.75" customHeight="1">
      <c r="D798" s="94"/>
    </row>
    <row r="799" spans="4:4" ht="15.75" customHeight="1">
      <c r="D799" s="94"/>
    </row>
    <row r="800" spans="4:4" ht="15.75" customHeight="1">
      <c r="D800" s="94"/>
    </row>
    <row r="801" spans="4:4" ht="15.75" customHeight="1">
      <c r="D801" s="94"/>
    </row>
    <row r="802" spans="4:4" ht="15.75" customHeight="1">
      <c r="D802" s="94"/>
    </row>
    <row r="803" spans="4:4" ht="15.75" customHeight="1">
      <c r="D803" s="94"/>
    </row>
    <row r="804" spans="4:4" ht="15.75" customHeight="1">
      <c r="D804" s="94"/>
    </row>
    <row r="805" spans="4:4" ht="15.75" customHeight="1">
      <c r="D805" s="94"/>
    </row>
    <row r="806" spans="4:4" ht="15.75" customHeight="1">
      <c r="D806" s="94"/>
    </row>
    <row r="807" spans="4:4" ht="15.75" customHeight="1">
      <c r="D807" s="94"/>
    </row>
    <row r="808" spans="4:4" ht="15.75" customHeight="1">
      <c r="D808" s="94"/>
    </row>
    <row r="809" spans="4:4" ht="15.75" customHeight="1">
      <c r="D809" s="94"/>
    </row>
    <row r="810" spans="4:4" ht="15.75" customHeight="1">
      <c r="D810" s="94"/>
    </row>
    <row r="811" spans="4:4" ht="15.75" customHeight="1">
      <c r="D811" s="94"/>
    </row>
    <row r="812" spans="4:4" ht="15.75" customHeight="1">
      <c r="D812" s="94"/>
    </row>
    <row r="813" spans="4:4" ht="15.75" customHeight="1">
      <c r="D813" s="94"/>
    </row>
    <row r="814" spans="4:4" ht="15.75" customHeight="1">
      <c r="D814" s="94"/>
    </row>
    <row r="815" spans="4:4" ht="15.75" customHeight="1">
      <c r="D815" s="94"/>
    </row>
    <row r="816" spans="4:4" ht="15.75" customHeight="1">
      <c r="D816" s="94"/>
    </row>
    <row r="817" spans="4:4" ht="15.75" customHeight="1">
      <c r="D817" s="94"/>
    </row>
    <row r="818" spans="4:4" ht="15.75" customHeight="1">
      <c r="D818" s="94"/>
    </row>
    <row r="819" spans="4:4" ht="15.75" customHeight="1">
      <c r="D819" s="94"/>
    </row>
    <row r="820" spans="4:4" ht="15.75" customHeight="1">
      <c r="D820" s="94"/>
    </row>
    <row r="821" spans="4:4" ht="15.75" customHeight="1">
      <c r="D821" s="94"/>
    </row>
    <row r="822" spans="4:4" ht="15.75" customHeight="1">
      <c r="D822" s="94"/>
    </row>
    <row r="823" spans="4:4" ht="15.75" customHeight="1">
      <c r="D823" s="94"/>
    </row>
    <row r="824" spans="4:4" ht="15.75" customHeight="1">
      <c r="D824" s="94"/>
    </row>
    <row r="825" spans="4:4" ht="15.75" customHeight="1">
      <c r="D825" s="94"/>
    </row>
    <row r="826" spans="4:4" ht="15.75" customHeight="1">
      <c r="D826" s="94"/>
    </row>
    <row r="827" spans="4:4" ht="15.75" customHeight="1">
      <c r="D827" s="94"/>
    </row>
    <row r="828" spans="4:4" ht="15.75" customHeight="1">
      <c r="D828" s="94"/>
    </row>
    <row r="829" spans="4:4" ht="15.75" customHeight="1">
      <c r="D829" s="94"/>
    </row>
    <row r="830" spans="4:4" ht="15.75" customHeight="1">
      <c r="D830" s="94"/>
    </row>
    <row r="831" spans="4:4" ht="15.75" customHeight="1">
      <c r="D831" s="94"/>
    </row>
    <row r="832" spans="4:4" ht="15.75" customHeight="1">
      <c r="D832" s="94"/>
    </row>
    <row r="833" spans="4:4" ht="15.75" customHeight="1">
      <c r="D833" s="94"/>
    </row>
    <row r="834" spans="4:4" ht="15.75" customHeight="1">
      <c r="D834" s="94"/>
    </row>
    <row r="835" spans="4:4" ht="15.75" customHeight="1">
      <c r="D835" s="94"/>
    </row>
    <row r="836" spans="4:4" ht="15.75" customHeight="1">
      <c r="D836" s="94"/>
    </row>
    <row r="837" spans="4:4" ht="15.75" customHeight="1">
      <c r="D837" s="94"/>
    </row>
    <row r="838" spans="4:4" ht="15.75" customHeight="1">
      <c r="D838" s="94"/>
    </row>
    <row r="839" spans="4:4" ht="15.75" customHeight="1">
      <c r="D839" s="94"/>
    </row>
    <row r="840" spans="4:4" ht="15.75" customHeight="1">
      <c r="D840" s="94"/>
    </row>
    <row r="841" spans="4:4" ht="15.75" customHeight="1">
      <c r="D841" s="94"/>
    </row>
    <row r="842" spans="4:4" ht="15.75" customHeight="1">
      <c r="D842" s="94"/>
    </row>
    <row r="843" spans="4:4" ht="15.75" customHeight="1">
      <c r="D843" s="94"/>
    </row>
    <row r="844" spans="4:4" ht="15.75" customHeight="1">
      <c r="D844" s="94"/>
    </row>
    <row r="845" spans="4:4" ht="15.75" customHeight="1">
      <c r="D845" s="94"/>
    </row>
    <row r="846" spans="4:4" ht="15.75" customHeight="1">
      <c r="D846" s="94"/>
    </row>
    <row r="847" spans="4:4" ht="15.75" customHeight="1">
      <c r="D847" s="94"/>
    </row>
    <row r="848" spans="4:4" ht="15.75" customHeight="1">
      <c r="D848" s="94"/>
    </row>
    <row r="849" spans="4:4" ht="15.75" customHeight="1">
      <c r="D849" s="94"/>
    </row>
    <row r="850" spans="4:4" ht="15.75" customHeight="1">
      <c r="D850" s="94"/>
    </row>
    <row r="851" spans="4:4" ht="15.75" customHeight="1">
      <c r="D851" s="94"/>
    </row>
    <row r="852" spans="4:4" ht="15.75" customHeight="1">
      <c r="D852" s="94"/>
    </row>
    <row r="853" spans="4:4" ht="15.75" customHeight="1">
      <c r="D853" s="94"/>
    </row>
    <row r="854" spans="4:4" ht="15.75" customHeight="1">
      <c r="D854" s="94"/>
    </row>
    <row r="855" spans="4:4" ht="15.75" customHeight="1">
      <c r="D855" s="94"/>
    </row>
    <row r="856" spans="4:4" ht="15.75" customHeight="1">
      <c r="D856" s="94"/>
    </row>
    <row r="857" spans="4:4" ht="15.75" customHeight="1">
      <c r="D857" s="94"/>
    </row>
    <row r="858" spans="4:4" ht="15.75" customHeight="1">
      <c r="D858" s="94"/>
    </row>
    <row r="859" spans="4:4" ht="15.75" customHeight="1">
      <c r="D859" s="94"/>
    </row>
    <row r="860" spans="4:4" ht="15.75" customHeight="1">
      <c r="D860" s="94"/>
    </row>
    <row r="861" spans="4:4" ht="15.75" customHeight="1">
      <c r="D861" s="94"/>
    </row>
    <row r="862" spans="4:4" ht="15.75" customHeight="1">
      <c r="D862" s="94"/>
    </row>
    <row r="863" spans="4:4" ht="15.75" customHeight="1">
      <c r="D863" s="94"/>
    </row>
    <row r="864" spans="4:4" ht="15.75" customHeight="1">
      <c r="D864" s="94"/>
    </row>
    <row r="865" spans="4:4" ht="15.75" customHeight="1">
      <c r="D865" s="94"/>
    </row>
    <row r="866" spans="4:4" ht="15.75" customHeight="1">
      <c r="D866" s="94"/>
    </row>
    <row r="867" spans="4:4" ht="15.75" customHeight="1">
      <c r="D867" s="94"/>
    </row>
    <row r="868" spans="4:4" ht="15.75" customHeight="1">
      <c r="D868" s="94"/>
    </row>
    <row r="869" spans="4:4" ht="15.75" customHeight="1">
      <c r="D869" s="94"/>
    </row>
    <row r="870" spans="4:4" ht="15.75" customHeight="1">
      <c r="D870" s="94"/>
    </row>
    <row r="871" spans="4:4" ht="15.75" customHeight="1">
      <c r="D871" s="94"/>
    </row>
    <row r="872" spans="4:4" ht="15.75" customHeight="1">
      <c r="D872" s="94"/>
    </row>
    <row r="873" spans="4:4" ht="15.75" customHeight="1">
      <c r="D873" s="94"/>
    </row>
    <row r="874" spans="4:4" ht="15.75" customHeight="1">
      <c r="D874" s="94"/>
    </row>
    <row r="875" spans="4:4" ht="15.75" customHeight="1">
      <c r="D875" s="94"/>
    </row>
    <row r="876" spans="4:4" ht="15.75" customHeight="1">
      <c r="D876" s="94"/>
    </row>
    <row r="877" spans="4:4" ht="15.75" customHeight="1">
      <c r="D877" s="94"/>
    </row>
    <row r="878" spans="4:4" ht="15.75" customHeight="1">
      <c r="D878" s="94"/>
    </row>
    <row r="879" spans="4:4" ht="15.75" customHeight="1">
      <c r="D879" s="94"/>
    </row>
    <row r="880" spans="4:4" ht="15.75" customHeight="1">
      <c r="D880" s="94"/>
    </row>
    <row r="881" spans="4:4" ht="15.75" customHeight="1">
      <c r="D881" s="94"/>
    </row>
    <row r="882" spans="4:4" ht="15.75" customHeight="1">
      <c r="D882" s="94"/>
    </row>
    <row r="883" spans="4:4" ht="15.75" customHeight="1">
      <c r="D883" s="94"/>
    </row>
    <row r="884" spans="4:4" ht="15.75" customHeight="1">
      <c r="D884" s="94"/>
    </row>
    <row r="885" spans="4:4" ht="15.75" customHeight="1">
      <c r="D885" s="94"/>
    </row>
    <row r="886" spans="4:4" ht="15.75" customHeight="1">
      <c r="D886" s="94"/>
    </row>
    <row r="887" spans="4:4" ht="15.75" customHeight="1">
      <c r="D887" s="94"/>
    </row>
    <row r="888" spans="4:4" ht="15.75" customHeight="1">
      <c r="D888" s="94"/>
    </row>
    <row r="889" spans="4:4" ht="15.75" customHeight="1">
      <c r="D889" s="94"/>
    </row>
    <row r="890" spans="4:4" ht="15.75" customHeight="1">
      <c r="D890" s="94"/>
    </row>
    <row r="891" spans="4:4" ht="15.75" customHeight="1">
      <c r="D891" s="94"/>
    </row>
    <row r="892" spans="4:4" ht="15.75" customHeight="1">
      <c r="D892" s="94"/>
    </row>
    <row r="893" spans="4:4" ht="15.75" customHeight="1">
      <c r="D893" s="94"/>
    </row>
    <row r="894" spans="4:4" ht="15.75" customHeight="1">
      <c r="D894" s="94"/>
    </row>
    <row r="895" spans="4:4" ht="15.75" customHeight="1">
      <c r="D895" s="94"/>
    </row>
    <row r="896" spans="4:4" ht="15.75" customHeight="1">
      <c r="D896" s="94"/>
    </row>
    <row r="897" spans="4:4" ht="15.75" customHeight="1">
      <c r="D897" s="94"/>
    </row>
    <row r="898" spans="4:4" ht="15.75" customHeight="1">
      <c r="D898" s="94"/>
    </row>
    <row r="899" spans="4:4" ht="15.75" customHeight="1">
      <c r="D899" s="94"/>
    </row>
    <row r="900" spans="4:4" ht="15.75" customHeight="1">
      <c r="D900" s="94"/>
    </row>
    <row r="901" spans="4:4" ht="15.75" customHeight="1">
      <c r="D901" s="94"/>
    </row>
    <row r="902" spans="4:4" ht="15.75" customHeight="1">
      <c r="D902" s="94"/>
    </row>
    <row r="903" spans="4:4" ht="15.75" customHeight="1">
      <c r="D903" s="94"/>
    </row>
    <row r="904" spans="4:4" ht="15.75" customHeight="1">
      <c r="D904" s="94"/>
    </row>
    <row r="905" spans="4:4" ht="15.75" customHeight="1">
      <c r="D905" s="94"/>
    </row>
    <row r="906" spans="4:4" ht="15.75" customHeight="1">
      <c r="D906" s="94"/>
    </row>
    <row r="907" spans="4:4" ht="15.75" customHeight="1">
      <c r="D907" s="94"/>
    </row>
    <row r="908" spans="4:4" ht="15.75" customHeight="1">
      <c r="D908" s="94"/>
    </row>
    <row r="909" spans="4:4" ht="15.75" customHeight="1">
      <c r="D909" s="94"/>
    </row>
    <row r="910" spans="4:4" ht="15.75" customHeight="1">
      <c r="D910" s="94"/>
    </row>
    <row r="911" spans="4:4" ht="15.75" customHeight="1">
      <c r="D911" s="94"/>
    </row>
    <row r="912" spans="4:4" ht="15.75" customHeight="1">
      <c r="D912" s="94"/>
    </row>
    <row r="913" spans="4:4" ht="15.75" customHeight="1">
      <c r="D913" s="94"/>
    </row>
    <row r="914" spans="4:4" ht="15.75" customHeight="1">
      <c r="D914" s="94"/>
    </row>
    <row r="915" spans="4:4" ht="15.75" customHeight="1">
      <c r="D915" s="94"/>
    </row>
    <row r="916" spans="4:4" ht="15.75" customHeight="1">
      <c r="D916" s="94"/>
    </row>
    <row r="917" spans="4:4" ht="15.75" customHeight="1">
      <c r="D917" s="94"/>
    </row>
    <row r="918" spans="4:4" ht="15.75" customHeight="1">
      <c r="D918" s="94"/>
    </row>
    <row r="919" spans="4:4" ht="15.75" customHeight="1">
      <c r="D919" s="94"/>
    </row>
    <row r="920" spans="4:4" ht="15.75" customHeight="1">
      <c r="D920" s="94"/>
    </row>
    <row r="921" spans="4:4" ht="15.75" customHeight="1">
      <c r="D921" s="94"/>
    </row>
    <row r="922" spans="4:4" ht="15.75" customHeight="1">
      <c r="D922" s="94"/>
    </row>
    <row r="923" spans="4:4" ht="15.75" customHeight="1">
      <c r="D923" s="94"/>
    </row>
    <row r="924" spans="4:4" ht="15.75" customHeight="1">
      <c r="D924" s="94"/>
    </row>
    <row r="925" spans="4:4" ht="15.75" customHeight="1">
      <c r="D925" s="94"/>
    </row>
    <row r="926" spans="4:4" ht="15.75" customHeight="1">
      <c r="D926" s="94"/>
    </row>
    <row r="927" spans="4:4" ht="15.75" customHeight="1">
      <c r="D927" s="94"/>
    </row>
    <row r="928" spans="4:4" ht="15.75" customHeight="1">
      <c r="D928" s="94"/>
    </row>
    <row r="929" spans="4:4" ht="15.75" customHeight="1">
      <c r="D929" s="94"/>
    </row>
    <row r="930" spans="4:4" ht="15.75" customHeight="1">
      <c r="D930" s="94"/>
    </row>
    <row r="931" spans="4:4" ht="15.75" customHeight="1">
      <c r="D931" s="94"/>
    </row>
    <row r="932" spans="4:4" ht="15.75" customHeight="1">
      <c r="D932" s="94"/>
    </row>
    <row r="933" spans="4:4" ht="15.75" customHeight="1">
      <c r="D933" s="94"/>
    </row>
    <row r="934" spans="4:4" ht="15.75" customHeight="1">
      <c r="D934" s="94"/>
    </row>
    <row r="935" spans="4:4" ht="15.75" customHeight="1">
      <c r="D935" s="94"/>
    </row>
    <row r="936" spans="4:4" ht="15.75" customHeight="1">
      <c r="D936" s="94"/>
    </row>
    <row r="937" spans="4:4" ht="15.75" customHeight="1">
      <c r="D937" s="94"/>
    </row>
    <row r="938" spans="4:4" ht="15.75" customHeight="1">
      <c r="D938" s="94"/>
    </row>
    <row r="939" spans="4:4" ht="15.75" customHeight="1">
      <c r="D939" s="94"/>
    </row>
    <row r="940" spans="4:4" ht="15.75" customHeight="1">
      <c r="D940" s="94"/>
    </row>
    <row r="941" spans="4:4" ht="15.75" customHeight="1">
      <c r="D941" s="94"/>
    </row>
    <row r="942" spans="4:4" ht="15.75" customHeight="1">
      <c r="D942" s="94"/>
    </row>
    <row r="943" spans="4:4" ht="15.75" customHeight="1">
      <c r="D943" s="94"/>
    </row>
    <row r="944" spans="4:4" ht="15.75" customHeight="1">
      <c r="D944" s="94"/>
    </row>
    <row r="945" spans="4:4" ht="15.75" customHeight="1">
      <c r="D945" s="94"/>
    </row>
    <row r="946" spans="4:4" ht="15.75" customHeight="1">
      <c r="D946" s="94"/>
    </row>
    <row r="947" spans="4:4" ht="15.75" customHeight="1">
      <c r="D947" s="94"/>
    </row>
    <row r="948" spans="4:4" ht="15.75" customHeight="1">
      <c r="D948" s="94"/>
    </row>
    <row r="949" spans="4:4" ht="15.75" customHeight="1">
      <c r="D949" s="94"/>
    </row>
    <row r="950" spans="4:4" ht="15.75" customHeight="1">
      <c r="D950" s="94"/>
    </row>
    <row r="951" spans="4:4" ht="15.75" customHeight="1">
      <c r="D951" s="94"/>
    </row>
    <row r="952" spans="4:4" ht="15.75" customHeight="1">
      <c r="D952" s="94"/>
    </row>
    <row r="953" spans="4:4" ht="15.75" customHeight="1">
      <c r="D953" s="94"/>
    </row>
    <row r="954" spans="4:4" ht="15.75" customHeight="1">
      <c r="D954" s="94"/>
    </row>
    <row r="955" spans="4:4" ht="15.75" customHeight="1">
      <c r="D955" s="94"/>
    </row>
    <row r="956" spans="4:4" ht="15.75" customHeight="1">
      <c r="D956" s="94"/>
    </row>
    <row r="957" spans="4:4" ht="15.75" customHeight="1">
      <c r="D957" s="94"/>
    </row>
    <row r="958" spans="4:4" ht="15.75" customHeight="1">
      <c r="D958" s="94"/>
    </row>
    <row r="959" spans="4:4" ht="15.75" customHeight="1">
      <c r="D959" s="94"/>
    </row>
    <row r="960" spans="4:4" ht="15.75" customHeight="1">
      <c r="D960" s="94"/>
    </row>
    <row r="961" spans="4:4" ht="15.75" customHeight="1">
      <c r="D961" s="94"/>
    </row>
    <row r="962" spans="4:4" ht="15.75" customHeight="1">
      <c r="D962" s="94"/>
    </row>
    <row r="963" spans="4:4" ht="15.75" customHeight="1">
      <c r="D963" s="94"/>
    </row>
    <row r="964" spans="4:4" ht="15.75" customHeight="1">
      <c r="D964" s="94"/>
    </row>
    <row r="965" spans="4:4" ht="15.75" customHeight="1">
      <c r="D965" s="94"/>
    </row>
    <row r="966" spans="4:4" ht="15.75" customHeight="1">
      <c r="D966" s="94"/>
    </row>
    <row r="967" spans="4:4" ht="15.75" customHeight="1">
      <c r="D967" s="94"/>
    </row>
    <row r="968" spans="4:4" ht="15.75" customHeight="1">
      <c r="D968" s="94"/>
    </row>
    <row r="969" spans="4:4" ht="15.75" customHeight="1">
      <c r="D969" s="94"/>
    </row>
    <row r="970" spans="4:4" ht="15.75" customHeight="1">
      <c r="D970" s="94"/>
    </row>
    <row r="971" spans="4:4" ht="15.75" customHeight="1">
      <c r="D971" s="94"/>
    </row>
    <row r="972" spans="4:4" ht="15.75" customHeight="1">
      <c r="D972" s="94"/>
    </row>
    <row r="973" spans="4:4" ht="15.75" customHeight="1">
      <c r="D973" s="94"/>
    </row>
    <row r="974" spans="4:4" ht="15.75" customHeight="1">
      <c r="D974" s="94"/>
    </row>
    <row r="975" spans="4:4" ht="15.75" customHeight="1">
      <c r="D975" s="94"/>
    </row>
    <row r="976" spans="4:4" ht="15.75" customHeight="1">
      <c r="D976" s="94"/>
    </row>
    <row r="977" spans="4:4" ht="15.75" customHeight="1">
      <c r="D977" s="94"/>
    </row>
    <row r="978" spans="4:4" ht="15.75" customHeight="1">
      <c r="D978" s="94"/>
    </row>
    <row r="979" spans="4:4" ht="15.75" customHeight="1">
      <c r="D979" s="94"/>
    </row>
    <row r="980" spans="4:4" ht="15.75" customHeight="1">
      <c r="D980" s="94"/>
    </row>
    <row r="981" spans="4:4" ht="15.75" customHeight="1">
      <c r="D981" s="94"/>
    </row>
    <row r="982" spans="4:4" ht="15.75" customHeight="1">
      <c r="D982" s="94"/>
    </row>
    <row r="983" spans="4:4" ht="15.75" customHeight="1">
      <c r="D983" s="94"/>
    </row>
    <row r="984" spans="4:4" ht="15.75" customHeight="1">
      <c r="D984" s="94"/>
    </row>
    <row r="985" spans="4:4" ht="15.75" customHeight="1">
      <c r="D985" s="94"/>
    </row>
    <row r="986" spans="4:4" ht="15.75" customHeight="1">
      <c r="D986" s="94"/>
    </row>
    <row r="987" spans="4:4" ht="15.75" customHeight="1">
      <c r="D987" s="94"/>
    </row>
    <row r="988" spans="4:4" ht="15.75" customHeight="1">
      <c r="D988" s="94"/>
    </row>
    <row r="989" spans="4:4" ht="15.75" customHeight="1">
      <c r="D989" s="94"/>
    </row>
    <row r="990" spans="4:4" ht="15.75" customHeight="1">
      <c r="D990" s="94"/>
    </row>
    <row r="991" spans="4:4" ht="15.75" customHeight="1">
      <c r="D991" s="94"/>
    </row>
    <row r="992" spans="4:4" ht="15.75" customHeight="1">
      <c r="D992" s="94"/>
    </row>
    <row r="993" spans="4:4" ht="15.75" customHeight="1">
      <c r="D993" s="94"/>
    </row>
    <row r="994" spans="4:4" ht="15.75" customHeight="1">
      <c r="D994" s="94"/>
    </row>
    <row r="995" spans="4:4" ht="15.75" customHeight="1">
      <c r="D995" s="94"/>
    </row>
    <row r="996" spans="4:4" ht="15.75" customHeight="1">
      <c r="D996" s="94"/>
    </row>
    <row r="997" spans="4:4" ht="15.75" customHeight="1">
      <c r="D997" s="94"/>
    </row>
    <row r="998" spans="4:4" ht="15.75" customHeight="1">
      <c r="D998" s="94"/>
    </row>
    <row r="999" spans="4:4" ht="15.75" customHeight="1">
      <c r="D999" s="94"/>
    </row>
    <row r="1000" spans="4:4" ht="15.75" customHeight="1">
      <c r="D1000" s="94"/>
    </row>
  </sheetData>
  <mergeCells count="40"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Y2:BZ2"/>
    <mergeCell ref="CA2:CB2"/>
    <mergeCell ref="CC2:CD2"/>
    <mergeCell ref="CE2:CF2"/>
    <mergeCell ref="CG2:CH2"/>
    <mergeCell ref="BK2:BL2"/>
    <mergeCell ref="BM2:BN2"/>
    <mergeCell ref="BO2:BP2"/>
    <mergeCell ref="BQ2:BR2"/>
    <mergeCell ref="BS2:BT2"/>
    <mergeCell ref="BU2:BV2"/>
    <mergeCell ref="BW2:BX2"/>
  </mergeCells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a. COMPARATIVOS OBRAS</vt:lpstr>
      <vt:lpstr>b. Fundação</vt:lpstr>
      <vt:lpstr>c. Supraestrutura</vt:lpstr>
      <vt:lpstr>d. Fachada</vt:lpstr>
      <vt:lpstr>e. ESTIMATIVA PRAZO</vt:lpstr>
      <vt:lpstr>f. DISTRIBUIÇÃO DO CUSTO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n</dc:creator>
  <cp:lastModifiedBy>Michelle Oliveira</cp:lastModifiedBy>
  <dcterms:created xsi:type="dcterms:W3CDTF">2023-09-12T11:23:37Z</dcterms:created>
  <dcterms:modified xsi:type="dcterms:W3CDTF">2024-06-28T21:12:20Z</dcterms:modified>
</cp:coreProperties>
</file>