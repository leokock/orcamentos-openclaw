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TA 08.2021\365 (antigo Afonso Pena)\03. Custo\01.3 Orçamento Paramétrico\Parametrico 2024\Entrega\"/>
    </mc:Choice>
  </mc:AlternateContent>
  <xr:revisionPtr revIDLastSave="0" documentId="13_ncr:1_{093A3991-7DEE-4013-9B2B-4A36B008637D}" xr6:coauthVersionLast="47" xr6:coauthVersionMax="47" xr10:uidLastSave="{00000000-0000-0000-0000-000000000000}"/>
  <bookViews>
    <workbookView xWindow="1140" yWindow="1695" windowWidth="17160" windowHeight="11310" xr2:uid="{7D576F2E-51A1-4758-9615-AD65E0C3CC56}"/>
  </bookViews>
  <sheets>
    <sheet name="PRAZO" sheetId="15" r:id="rId1"/>
    <sheet name="DISTRIBUIÇÃO CUSTO" sheetId="16" r:id="rId2"/>
    <sheet name="CURVA PARAMÉTRICA" sheetId="13" r:id="rId3"/>
  </sheets>
  <definedNames>
    <definedName name="_xlnm._FilterDatabase" localSheetId="1" hidden="1">'DISTRIBUIÇÃO CUSTO'!$B$30:$E$32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6" l="1"/>
  <c r="F20" i="16"/>
  <c r="F18" i="16"/>
  <c r="F17" i="16"/>
  <c r="F15" i="16"/>
  <c r="F13" i="16"/>
  <c r="F11" i="16"/>
  <c r="BU16" i="16"/>
  <c r="BT16" i="16"/>
  <c r="BR16" i="16"/>
  <c r="BS16" i="16" s="1"/>
  <c r="BP16" i="16"/>
  <c r="BQ16" i="16" s="1"/>
  <c r="BN16" i="16"/>
  <c r="BO16" i="16" s="1"/>
  <c r="BL16" i="16"/>
  <c r="BM16" i="16" s="1"/>
  <c r="BJ16" i="16"/>
  <c r="F16" i="16" s="1"/>
  <c r="BW16" i="16"/>
  <c r="CN26" i="16"/>
  <c r="CO26" i="16" s="1"/>
  <c r="CL26" i="16"/>
  <c r="CM26" i="16" s="1"/>
  <c r="CJ26" i="16"/>
  <c r="CK26" i="16" s="1"/>
  <c r="CH26" i="16"/>
  <c r="CI26" i="16" s="1"/>
  <c r="CF26" i="16"/>
  <c r="CG26" i="16" s="1"/>
  <c r="CD26" i="16"/>
  <c r="CE26" i="16" s="1"/>
  <c r="CB26" i="16"/>
  <c r="CC26" i="16" s="1"/>
  <c r="BZ26" i="16"/>
  <c r="CA26" i="16" s="1"/>
  <c r="BX26" i="16"/>
  <c r="BY26" i="16" s="1"/>
  <c r="BW26" i="16"/>
  <c r="BV26" i="16"/>
  <c r="BT26" i="16"/>
  <c r="BU26" i="16" s="1"/>
  <c r="BR26" i="16"/>
  <c r="BS26" i="16" s="1"/>
  <c r="BP26" i="16"/>
  <c r="BQ26" i="16" s="1"/>
  <c r="BN26" i="16"/>
  <c r="BO26" i="16" s="1"/>
  <c r="BL26" i="16"/>
  <c r="BM26" i="16" s="1"/>
  <c r="BJ26" i="16"/>
  <c r="BK26" i="16" s="1"/>
  <c r="BH26" i="16"/>
  <c r="BI26" i="16" s="1"/>
  <c r="BF26" i="16"/>
  <c r="BG26" i="16" s="1"/>
  <c r="BD26" i="16"/>
  <c r="BE26" i="16" s="1"/>
  <c r="BB26" i="16"/>
  <c r="BC26" i="16" s="1"/>
  <c r="AZ26" i="16"/>
  <c r="BA26" i="16" s="1"/>
  <c r="AY26" i="16"/>
  <c r="AX26" i="16"/>
  <c r="AV26" i="16"/>
  <c r="AW26" i="16" s="1"/>
  <c r="AT26" i="16"/>
  <c r="AU26" i="16" s="1"/>
  <c r="AR26" i="16"/>
  <c r="AS26" i="16" s="1"/>
  <c r="AP26" i="16"/>
  <c r="AQ26" i="16" s="1"/>
  <c r="AN26" i="16"/>
  <c r="AO26" i="16" s="1"/>
  <c r="AL26" i="16"/>
  <c r="AM26" i="16" s="1"/>
  <c r="AJ26" i="16"/>
  <c r="AK26" i="16" s="1"/>
  <c r="AH26" i="16"/>
  <c r="AI26" i="16" s="1"/>
  <c r="AF26" i="16"/>
  <c r="AG26" i="16" s="1"/>
  <c r="AD26" i="16"/>
  <c r="AE26" i="16" s="1"/>
  <c r="AB26" i="16"/>
  <c r="AC26" i="16" s="1"/>
  <c r="AA26" i="16"/>
  <c r="Z26" i="16"/>
  <c r="X26" i="16"/>
  <c r="Y26" i="16" s="1"/>
  <c r="V26" i="16"/>
  <c r="W26" i="16" s="1"/>
  <c r="T26" i="16"/>
  <c r="U26" i="16" s="1"/>
  <c r="R26" i="16"/>
  <c r="S26" i="16" s="1"/>
  <c r="P26" i="16"/>
  <c r="Q26" i="16" s="1"/>
  <c r="N26" i="16"/>
  <c r="O26" i="16" s="1"/>
  <c r="L26" i="16"/>
  <c r="M26" i="16" s="1"/>
  <c r="J26" i="16"/>
  <c r="K26" i="16" s="1"/>
  <c r="H26" i="16"/>
  <c r="CN25" i="16"/>
  <c r="CO25" i="16" s="1"/>
  <c r="CL25" i="16"/>
  <c r="CM25" i="16" s="1"/>
  <c r="CK25" i="16"/>
  <c r="CJ25" i="16"/>
  <c r="CH25" i="16"/>
  <c r="CI25" i="16" s="1"/>
  <c r="CF25" i="16"/>
  <c r="CG25" i="16" s="1"/>
  <c r="CD25" i="16"/>
  <c r="F25" i="16" s="1"/>
  <c r="CB25" i="16"/>
  <c r="CC25" i="16" s="1"/>
  <c r="BZ25" i="16"/>
  <c r="CD24" i="16"/>
  <c r="CE24" i="16" s="1"/>
  <c r="CB24" i="16"/>
  <c r="CC24" i="16" s="1"/>
  <c r="BZ24" i="16"/>
  <c r="CA24" i="16" s="1"/>
  <c r="BX24" i="16"/>
  <c r="BY24" i="16" s="1"/>
  <c r="BV24" i="16"/>
  <c r="BW24" i="16" s="1"/>
  <c r="BT24" i="16"/>
  <c r="BU24" i="16" s="1"/>
  <c r="BR24" i="16"/>
  <c r="BS24" i="16" s="1"/>
  <c r="BP24" i="16"/>
  <c r="F24" i="16" s="1"/>
  <c r="BX23" i="16"/>
  <c r="BY23" i="16" s="1"/>
  <c r="BV23" i="16"/>
  <c r="BW23" i="16" s="1"/>
  <c r="BT23" i="16"/>
  <c r="BU23" i="16" s="1"/>
  <c r="BR23" i="16"/>
  <c r="F23" i="16" s="1"/>
  <c r="CF22" i="16"/>
  <c r="CG22" i="16" s="1"/>
  <c r="CD22" i="16"/>
  <c r="CE22" i="16" s="1"/>
  <c r="CB22" i="16"/>
  <c r="CC22" i="16" s="1"/>
  <c r="BZ22" i="16"/>
  <c r="BX22" i="16"/>
  <c r="BY22" i="16" s="1"/>
  <c r="BV22" i="16"/>
  <c r="F22" i="16" s="1"/>
  <c r="CH21" i="16"/>
  <c r="CI21" i="16" s="1"/>
  <c r="CF21" i="16"/>
  <c r="CG21" i="16" s="1"/>
  <c r="CD21" i="16"/>
  <c r="CE21" i="16" s="1"/>
  <c r="CB21" i="16"/>
  <c r="CC21" i="16" s="1"/>
  <c r="BZ21" i="16"/>
  <c r="CA21" i="16" s="1"/>
  <c r="BX21" i="16"/>
  <c r="BY21" i="16" s="1"/>
  <c r="BV21" i="16"/>
  <c r="BW21" i="16" s="1"/>
  <c r="BT21" i="16"/>
  <c r="BU21" i="16" s="1"/>
  <c r="BR21" i="16"/>
  <c r="BS21" i="16" s="1"/>
  <c r="BP21" i="16"/>
  <c r="BQ21" i="16" s="1"/>
  <c r="BN21" i="16"/>
  <c r="BO21" i="16" s="1"/>
  <c r="BM21" i="16"/>
  <c r="BL21" i="16"/>
  <c r="BJ21" i="16"/>
  <c r="BK21" i="16" s="1"/>
  <c r="BI21" i="16"/>
  <c r="BH21" i="16"/>
  <c r="BF21" i="16"/>
  <c r="BG21" i="16" s="1"/>
  <c r="BE21" i="16"/>
  <c r="BD21" i="16"/>
  <c r="BB21" i="16"/>
  <c r="BC21" i="16" s="1"/>
  <c r="AZ21" i="16"/>
  <c r="BA21" i="16" s="1"/>
  <c r="AX21" i="16"/>
  <c r="AY21" i="16" s="1"/>
  <c r="AV21" i="16"/>
  <c r="F21" i="16" s="1"/>
  <c r="BZ20" i="16"/>
  <c r="CA20" i="16" s="1"/>
  <c r="BX20" i="16"/>
  <c r="BY20" i="16" s="1"/>
  <c r="BV20" i="16"/>
  <c r="BW20" i="16" s="1"/>
  <c r="BT20" i="16"/>
  <c r="BU20" i="16" s="1"/>
  <c r="BR20" i="16"/>
  <c r="BS20" i="16" s="1"/>
  <c r="BQ20" i="16"/>
  <c r="BP20" i="16"/>
  <c r="BN20" i="16"/>
  <c r="BO20" i="16" s="1"/>
  <c r="BL20" i="16"/>
  <c r="BM20" i="16" s="1"/>
  <c r="BJ20" i="16"/>
  <c r="BK20" i="16" s="1"/>
  <c r="BH20" i="16"/>
  <c r="BI20" i="16" s="1"/>
  <c r="BF20" i="16"/>
  <c r="BG20" i="16" s="1"/>
  <c r="BD20" i="16"/>
  <c r="BE20" i="16" s="1"/>
  <c r="BB20" i="16"/>
  <c r="BC20" i="16" s="1"/>
  <c r="AZ20" i="16"/>
  <c r="BA20" i="16" s="1"/>
  <c r="AX20" i="16"/>
  <c r="AY20" i="16" s="1"/>
  <c r="AV20" i="16"/>
  <c r="AW20" i="16" s="1"/>
  <c r="AT20" i="16"/>
  <c r="AU20" i="16" s="1"/>
  <c r="AR20" i="16"/>
  <c r="BX19" i="16"/>
  <c r="BY19" i="16" s="1"/>
  <c r="BV19" i="16"/>
  <c r="BW19" i="16" s="1"/>
  <c r="BT19" i="16"/>
  <c r="BU19" i="16" s="1"/>
  <c r="BR19" i="16"/>
  <c r="BS19" i="16" s="1"/>
  <c r="BP19" i="16"/>
  <c r="BQ19" i="16" s="1"/>
  <c r="BN19" i="16"/>
  <c r="BO19" i="16" s="1"/>
  <c r="BL19" i="16"/>
  <c r="BM19" i="16" s="1"/>
  <c r="BJ19" i="16"/>
  <c r="BK19" i="16" s="1"/>
  <c r="BH19" i="16"/>
  <c r="BI19" i="16" s="1"/>
  <c r="BF19" i="16"/>
  <c r="BG19" i="16" s="1"/>
  <c r="BD19" i="16"/>
  <c r="BE19" i="16" s="1"/>
  <c r="BB19" i="16"/>
  <c r="BC19" i="16" s="1"/>
  <c r="AZ19" i="16"/>
  <c r="BA19" i="16" s="1"/>
  <c r="AX19" i="16"/>
  <c r="AY19" i="16" s="1"/>
  <c r="AV19" i="16"/>
  <c r="AW19" i="16" s="1"/>
  <c r="AT19" i="16"/>
  <c r="F19" i="16" s="1"/>
  <c r="BR18" i="16"/>
  <c r="BS18" i="16" s="1"/>
  <c r="BP18" i="16"/>
  <c r="BQ18" i="16" s="1"/>
  <c r="BN18" i="16"/>
  <c r="BO18" i="16" s="1"/>
  <c r="BL18" i="16"/>
  <c r="BM18" i="16" s="1"/>
  <c r="BJ18" i="16"/>
  <c r="BK18" i="16" s="1"/>
  <c r="BH18" i="16"/>
  <c r="BI18" i="16" s="1"/>
  <c r="BF18" i="16"/>
  <c r="BG18" i="16" s="1"/>
  <c r="BD18" i="16"/>
  <c r="BE18" i="16" s="1"/>
  <c r="BB18" i="16"/>
  <c r="BC18" i="16" s="1"/>
  <c r="AZ18" i="16"/>
  <c r="BA18" i="16" s="1"/>
  <c r="AX18" i="16"/>
  <c r="AY18" i="16" s="1"/>
  <c r="AV18" i="16"/>
  <c r="AW18" i="16" s="1"/>
  <c r="AT18" i="16"/>
  <c r="AU18" i="16" s="1"/>
  <c r="AR18" i="16"/>
  <c r="AS18" i="16" s="1"/>
  <c r="AQ18" i="16"/>
  <c r="AP18" i="16"/>
  <c r="AN18" i="16"/>
  <c r="CA17" i="16"/>
  <c r="BY17" i="16"/>
  <c r="BW17" i="16"/>
  <c r="BT17" i="16"/>
  <c r="BU17" i="16" s="1"/>
  <c r="BR17" i="16"/>
  <c r="BS17" i="16" s="1"/>
  <c r="BP17" i="16"/>
  <c r="BQ17" i="16" s="1"/>
  <c r="BN17" i="16"/>
  <c r="BO17" i="16" s="1"/>
  <c r="BL17" i="16"/>
  <c r="BM17" i="16" s="1"/>
  <c r="BJ17" i="16"/>
  <c r="BK17" i="16" s="1"/>
  <c r="BH17" i="16"/>
  <c r="BI17" i="16" s="1"/>
  <c r="BF17" i="16"/>
  <c r="BG17" i="16" s="1"/>
  <c r="BD17" i="16"/>
  <c r="BE17" i="16" s="1"/>
  <c r="BB17" i="16"/>
  <c r="BC17" i="16" s="1"/>
  <c r="AZ17" i="16"/>
  <c r="BA17" i="16" s="1"/>
  <c r="AX17" i="16"/>
  <c r="AY17" i="16" s="1"/>
  <c r="AV17" i="16"/>
  <c r="AW17" i="16" s="1"/>
  <c r="AT17" i="16"/>
  <c r="AU17" i="16" s="1"/>
  <c r="AR17" i="16"/>
  <c r="AS17" i="16" s="1"/>
  <c r="AP17" i="16"/>
  <c r="BP15" i="16"/>
  <c r="BQ15" i="16" s="1"/>
  <c r="BN15" i="16"/>
  <c r="BO15" i="16" s="1"/>
  <c r="BL15" i="16"/>
  <c r="BM15" i="16" s="1"/>
  <c r="BJ15" i="16"/>
  <c r="BK15" i="16" s="1"/>
  <c r="BH15" i="16"/>
  <c r="BI15" i="16" s="1"/>
  <c r="BF15" i="16"/>
  <c r="BG15" i="16" s="1"/>
  <c r="BD15" i="16"/>
  <c r="BE15" i="16" s="1"/>
  <c r="BB15" i="16"/>
  <c r="BC15" i="16" s="1"/>
  <c r="AZ15" i="16"/>
  <c r="BA15" i="16" s="1"/>
  <c r="AX15" i="16"/>
  <c r="AY15" i="16" s="1"/>
  <c r="AV15" i="16"/>
  <c r="AW15" i="16" s="1"/>
  <c r="AT15" i="16"/>
  <c r="AU15" i="16" s="1"/>
  <c r="AR15" i="16"/>
  <c r="AS15" i="16" s="1"/>
  <c r="AP15" i="16"/>
  <c r="AQ15" i="16" s="1"/>
  <c r="AN15" i="16"/>
  <c r="AO15" i="16" s="1"/>
  <c r="AL15" i="16"/>
  <c r="BN14" i="16"/>
  <c r="BO14" i="16" s="1"/>
  <c r="BL14" i="16"/>
  <c r="BM14" i="16" s="1"/>
  <c r="BJ14" i="16"/>
  <c r="BK14" i="16" s="1"/>
  <c r="BH14" i="16"/>
  <c r="BI14" i="16" s="1"/>
  <c r="BF14" i="16"/>
  <c r="BG14" i="16" s="1"/>
  <c r="BD14" i="16"/>
  <c r="BE14" i="16" s="1"/>
  <c r="BC14" i="16"/>
  <c r="BB14" i="16"/>
  <c r="AZ14" i="16"/>
  <c r="BA14" i="16" s="1"/>
  <c r="AX14" i="16"/>
  <c r="AY14" i="16" s="1"/>
  <c r="AV14" i="16"/>
  <c r="AW14" i="16" s="1"/>
  <c r="AT14" i="16"/>
  <c r="AU14" i="16" s="1"/>
  <c r="AR14" i="16"/>
  <c r="AS14" i="16" s="1"/>
  <c r="AP14" i="16"/>
  <c r="AQ14" i="16" s="1"/>
  <c r="AN14" i="16"/>
  <c r="AO14" i="16" s="1"/>
  <c r="AL14" i="16"/>
  <c r="AM14" i="16" s="1"/>
  <c r="AJ14" i="16"/>
  <c r="F14" i="16" s="1"/>
  <c r="BH13" i="16"/>
  <c r="BI13" i="16" s="1"/>
  <c r="BG13" i="16"/>
  <c r="BF13" i="16"/>
  <c r="BD13" i="16"/>
  <c r="BE13" i="16" s="1"/>
  <c r="BB13" i="16"/>
  <c r="BC13" i="16" s="1"/>
  <c r="BA13" i="16"/>
  <c r="AZ13" i="16"/>
  <c r="AX13" i="16"/>
  <c r="AY13" i="16" s="1"/>
  <c r="AV13" i="16"/>
  <c r="AW13" i="16" s="1"/>
  <c r="AT13" i="16"/>
  <c r="AU13" i="16" s="1"/>
  <c r="AR13" i="16"/>
  <c r="AS13" i="16" s="1"/>
  <c r="AP13" i="16"/>
  <c r="AQ13" i="16" s="1"/>
  <c r="AN13" i="16"/>
  <c r="AO13" i="16" s="1"/>
  <c r="AL13" i="16"/>
  <c r="AM13" i="16" s="1"/>
  <c r="AK13" i="16"/>
  <c r="AJ13" i="16"/>
  <c r="AH13" i="16"/>
  <c r="AI13" i="16" s="1"/>
  <c r="AF13" i="16"/>
  <c r="AG13" i="16" s="1"/>
  <c r="AD13" i="16"/>
  <c r="R12" i="16"/>
  <c r="S12" i="16" s="1"/>
  <c r="P12" i="16"/>
  <c r="Q12" i="16" s="1"/>
  <c r="N12" i="16"/>
  <c r="O12" i="16" s="1"/>
  <c r="L12" i="16"/>
  <c r="M12" i="16" s="1"/>
  <c r="J12" i="16"/>
  <c r="K12" i="16" s="1"/>
  <c r="AB11" i="16"/>
  <c r="AC11" i="16" s="1"/>
  <c r="Z11" i="16"/>
  <c r="AA11" i="16" s="1"/>
  <c r="X11" i="16"/>
  <c r="Y11" i="16" s="1"/>
  <c r="V11" i="16"/>
  <c r="W11" i="16" s="1"/>
  <c r="AB10" i="16"/>
  <c r="AC10" i="16" s="1"/>
  <c r="Z10" i="16"/>
  <c r="AA10" i="16" s="1"/>
  <c r="X10" i="16"/>
  <c r="Y10" i="16" s="1"/>
  <c r="V10" i="16"/>
  <c r="W10" i="16" s="1"/>
  <c r="T10" i="16"/>
  <c r="U10" i="16" s="1"/>
  <c r="R10" i="16"/>
  <c r="S10" i="16" s="1"/>
  <c r="P10" i="16"/>
  <c r="Q10" i="16" s="1"/>
  <c r="N10" i="16"/>
  <c r="O10" i="16" s="1"/>
  <c r="L10" i="16"/>
  <c r="M10" i="16" s="1"/>
  <c r="J10" i="16"/>
  <c r="K10" i="16" s="1"/>
  <c r="H12" i="16"/>
  <c r="I12" i="16" s="1"/>
  <c r="T11" i="16"/>
  <c r="H10" i="16"/>
  <c r="CN9" i="16"/>
  <c r="CO9" i="16" s="1"/>
  <c r="CL9" i="16"/>
  <c r="CM9" i="16" s="1"/>
  <c r="CJ9" i="16"/>
  <c r="CK9" i="16" s="1"/>
  <c r="CH9" i="16"/>
  <c r="CI9" i="16" s="1"/>
  <c r="CF9" i="16"/>
  <c r="CG9" i="16" s="1"/>
  <c r="CD9" i="16"/>
  <c r="CE9" i="16" s="1"/>
  <c r="CB9" i="16"/>
  <c r="CC9" i="16" s="1"/>
  <c r="BZ9" i="16"/>
  <c r="CA9" i="16" s="1"/>
  <c r="BX9" i="16"/>
  <c r="BY9" i="16" s="1"/>
  <c r="BV9" i="16"/>
  <c r="BW9" i="16" s="1"/>
  <c r="BT9" i="16"/>
  <c r="BU9" i="16" s="1"/>
  <c r="BR9" i="16"/>
  <c r="BS9" i="16" s="1"/>
  <c r="BP9" i="16"/>
  <c r="BQ9" i="16" s="1"/>
  <c r="BN9" i="16"/>
  <c r="BO9" i="16" s="1"/>
  <c r="BL9" i="16"/>
  <c r="BM9" i="16" s="1"/>
  <c r="BJ9" i="16"/>
  <c r="BK9" i="16" s="1"/>
  <c r="BH9" i="16"/>
  <c r="BI9" i="16" s="1"/>
  <c r="BF9" i="16"/>
  <c r="BG9" i="16" s="1"/>
  <c r="BD9" i="16"/>
  <c r="BE9" i="16" s="1"/>
  <c r="BB9" i="16"/>
  <c r="BC9" i="16" s="1"/>
  <c r="AZ9" i="16"/>
  <c r="BA9" i="16" s="1"/>
  <c r="AX9" i="16"/>
  <c r="AY9" i="16" s="1"/>
  <c r="AV9" i="16"/>
  <c r="AW9" i="16" s="1"/>
  <c r="AT9" i="16"/>
  <c r="AU9" i="16" s="1"/>
  <c r="AR9" i="16"/>
  <c r="AS9" i="16" s="1"/>
  <c r="AP9" i="16"/>
  <c r="AQ9" i="16" s="1"/>
  <c r="AN9" i="16"/>
  <c r="AO9" i="16" s="1"/>
  <c r="AL9" i="16"/>
  <c r="AM9" i="16" s="1"/>
  <c r="AJ9" i="16"/>
  <c r="AK9" i="16" s="1"/>
  <c r="AH9" i="16"/>
  <c r="AI9" i="16" s="1"/>
  <c r="AF9" i="16"/>
  <c r="AG9" i="16" s="1"/>
  <c r="AD9" i="16"/>
  <c r="AE9" i="16" s="1"/>
  <c r="AB9" i="16"/>
  <c r="AC9" i="16" s="1"/>
  <c r="Z9" i="16"/>
  <c r="AA9" i="16" s="1"/>
  <c r="X9" i="16"/>
  <c r="Y9" i="16" s="1"/>
  <c r="V9" i="16"/>
  <c r="T9" i="16"/>
  <c r="F9" i="16" s="1"/>
  <c r="CO12" i="16"/>
  <c r="CM12" i="16"/>
  <c r="CK12" i="16"/>
  <c r="CI12" i="16"/>
  <c r="CG12" i="16"/>
  <c r="CE12" i="16"/>
  <c r="CC12" i="16"/>
  <c r="CA12" i="16"/>
  <c r="BY12" i="16"/>
  <c r="BW12" i="16"/>
  <c r="BU12" i="16"/>
  <c r="BS12" i="16"/>
  <c r="BQ12" i="16"/>
  <c r="BO12" i="16"/>
  <c r="BM12" i="16"/>
  <c r="BK12" i="16"/>
  <c r="BI12" i="16"/>
  <c r="BG12" i="16"/>
  <c r="BE12" i="16"/>
  <c r="BC12" i="16"/>
  <c r="BA12" i="16"/>
  <c r="AY12" i="16"/>
  <c r="AW12" i="16"/>
  <c r="AU12" i="16"/>
  <c r="AS12" i="16"/>
  <c r="AQ12" i="16"/>
  <c r="AO12" i="16"/>
  <c r="AM12" i="16"/>
  <c r="AK12" i="16"/>
  <c r="AI12" i="16"/>
  <c r="AG12" i="16"/>
  <c r="AE12" i="16"/>
  <c r="AC12" i="16"/>
  <c r="AA12" i="16"/>
  <c r="Y12" i="16"/>
  <c r="W12" i="16"/>
  <c r="U12" i="16"/>
  <c r="E12" i="16"/>
  <c r="F12" i="16" l="1"/>
  <c r="F10" i="16"/>
  <c r="CE25" i="16"/>
  <c r="CA22" i="16"/>
  <c r="W9" i="16"/>
  <c r="C27" i="16"/>
  <c r="D12" i="16" s="1"/>
  <c r="I26" i="16"/>
  <c r="E26" i="16"/>
  <c r="CA25" i="16"/>
  <c r="BY25" i="16"/>
  <c r="BW25" i="16"/>
  <c r="BU25" i="16"/>
  <c r="BS25" i="16"/>
  <c r="BQ25" i="16"/>
  <c r="BO25" i="16"/>
  <c r="BM25" i="16"/>
  <c r="BK25" i="16"/>
  <c r="BI25" i="16"/>
  <c r="BG25" i="16"/>
  <c r="BE25" i="16"/>
  <c r="BC25" i="16"/>
  <c r="BA25" i="16"/>
  <c r="AY25" i="16"/>
  <c r="AW25" i="16"/>
  <c r="AU25" i="16"/>
  <c r="AS25" i="16"/>
  <c r="AQ25" i="16"/>
  <c r="AO25" i="16"/>
  <c r="AM25" i="16"/>
  <c r="AK25" i="16"/>
  <c r="AI25" i="16"/>
  <c r="AG25" i="16"/>
  <c r="AE25" i="16"/>
  <c r="AC25" i="16"/>
  <c r="AA25" i="16"/>
  <c r="Y25" i="16"/>
  <c r="W25" i="16"/>
  <c r="U25" i="16"/>
  <c r="S25" i="16"/>
  <c r="Q25" i="16"/>
  <c r="O25" i="16"/>
  <c r="M25" i="16"/>
  <c r="K25" i="16"/>
  <c r="I25" i="16"/>
  <c r="E25" i="16"/>
  <c r="CO24" i="16"/>
  <c r="CM24" i="16"/>
  <c r="CK24" i="16"/>
  <c r="CI24" i="16"/>
  <c r="CG24" i="16"/>
  <c r="BQ24" i="16"/>
  <c r="BO24" i="16"/>
  <c r="BM24" i="16"/>
  <c r="BK24" i="16"/>
  <c r="BI24" i="16"/>
  <c r="BG24" i="16"/>
  <c r="BE24" i="16"/>
  <c r="BC24" i="16"/>
  <c r="BA24" i="16"/>
  <c r="AY24" i="16"/>
  <c r="AW24" i="16"/>
  <c r="AU24" i="16"/>
  <c r="AS24" i="16"/>
  <c r="AQ24" i="16"/>
  <c r="AO24" i="16"/>
  <c r="AM24" i="16"/>
  <c r="AK24" i="16"/>
  <c r="AI24" i="16"/>
  <c r="AG24" i="16"/>
  <c r="AE24" i="16"/>
  <c r="AC24" i="16"/>
  <c r="AA24" i="16"/>
  <c r="Y24" i="16"/>
  <c r="W24" i="16"/>
  <c r="U24" i="16"/>
  <c r="S24" i="16"/>
  <c r="Q24" i="16"/>
  <c r="O24" i="16"/>
  <c r="M24" i="16"/>
  <c r="K24" i="16"/>
  <c r="I24" i="16"/>
  <c r="E24" i="16"/>
  <c r="CO23" i="16"/>
  <c r="CM23" i="16"/>
  <c r="CK23" i="16"/>
  <c r="CI23" i="16"/>
  <c r="CG23" i="16"/>
  <c r="CE23" i="16"/>
  <c r="CC23" i="16"/>
  <c r="CA23" i="16"/>
  <c r="BS23" i="16"/>
  <c r="BQ23" i="16"/>
  <c r="BO23" i="16"/>
  <c r="BM23" i="16"/>
  <c r="BK23" i="16"/>
  <c r="BI23" i="16"/>
  <c r="BG23" i="16"/>
  <c r="BE23" i="16"/>
  <c r="BC23" i="16"/>
  <c r="BA23" i="16"/>
  <c r="AY23" i="16"/>
  <c r="AW23" i="16"/>
  <c r="AU23" i="16"/>
  <c r="AS23" i="16"/>
  <c r="AQ23" i="16"/>
  <c r="AO23" i="16"/>
  <c r="AM23" i="16"/>
  <c r="AK23" i="16"/>
  <c r="AI23" i="16"/>
  <c r="AG23" i="16"/>
  <c r="AE23" i="16"/>
  <c r="AC23" i="16"/>
  <c r="AA23" i="16"/>
  <c r="Y23" i="16"/>
  <c r="W23" i="16"/>
  <c r="U23" i="16"/>
  <c r="S23" i="16"/>
  <c r="Q23" i="16"/>
  <c r="O23" i="16"/>
  <c r="M23" i="16"/>
  <c r="K23" i="16"/>
  <c r="I23" i="16"/>
  <c r="E23" i="16"/>
  <c r="CO22" i="16"/>
  <c r="CM22" i="16"/>
  <c r="CK22" i="16"/>
  <c r="CI22" i="16"/>
  <c r="BW22" i="16"/>
  <c r="BU22" i="16"/>
  <c r="BS22" i="16"/>
  <c r="BQ22" i="16"/>
  <c r="BO22" i="16"/>
  <c r="BM22" i="16"/>
  <c r="BK22" i="16"/>
  <c r="BI22" i="16"/>
  <c r="BG22" i="16"/>
  <c r="BE22" i="16"/>
  <c r="BC22" i="16"/>
  <c r="BA22" i="16"/>
  <c r="AY22" i="16"/>
  <c r="AW22" i="16"/>
  <c r="AU22" i="16"/>
  <c r="AS22" i="16"/>
  <c r="AQ22" i="16"/>
  <c r="AO22" i="16"/>
  <c r="AM22" i="16"/>
  <c r="AK22" i="16"/>
  <c r="AI22" i="16"/>
  <c r="AG22" i="16"/>
  <c r="AE22" i="16"/>
  <c r="AC22" i="16"/>
  <c r="AA22" i="16"/>
  <c r="Y22" i="16"/>
  <c r="W22" i="16"/>
  <c r="U22" i="16"/>
  <c r="S22" i="16"/>
  <c r="Q22" i="16"/>
  <c r="O22" i="16"/>
  <c r="M22" i="16"/>
  <c r="K22" i="16"/>
  <c r="I22" i="16"/>
  <c r="E22" i="16"/>
  <c r="CO21" i="16"/>
  <c r="CM21" i="16"/>
  <c r="CK21" i="16"/>
  <c r="AW21" i="16"/>
  <c r="AU21" i="16"/>
  <c r="AS21" i="16"/>
  <c r="AQ21" i="16"/>
  <c r="AO21" i="16"/>
  <c r="AM21" i="16"/>
  <c r="AK21" i="16"/>
  <c r="AI21" i="16"/>
  <c r="AG21" i="16"/>
  <c r="AE21" i="16"/>
  <c r="AC21" i="16"/>
  <c r="AA21" i="16"/>
  <c r="Y21" i="16"/>
  <c r="W21" i="16"/>
  <c r="U21" i="16"/>
  <c r="S21" i="16"/>
  <c r="Q21" i="16"/>
  <c r="O21" i="16"/>
  <c r="M21" i="16"/>
  <c r="K21" i="16"/>
  <c r="I21" i="16"/>
  <c r="E21" i="16"/>
  <c r="CO20" i="16"/>
  <c r="CM20" i="16"/>
  <c r="CK20" i="16"/>
  <c r="CI20" i="16"/>
  <c r="CG20" i="16"/>
  <c r="CE20" i="16"/>
  <c r="CC20" i="16"/>
  <c r="AS20" i="16"/>
  <c r="AQ20" i="16"/>
  <c r="AO20" i="16"/>
  <c r="AM20" i="16"/>
  <c r="AK20" i="16"/>
  <c r="AI20" i="16"/>
  <c r="AG20" i="16"/>
  <c r="AE20" i="16"/>
  <c r="AC20" i="16"/>
  <c r="AA20" i="16"/>
  <c r="Y20" i="16"/>
  <c r="W20" i="16"/>
  <c r="U20" i="16"/>
  <c r="S20" i="16"/>
  <c r="Q20" i="16"/>
  <c r="O20" i="16"/>
  <c r="M20" i="16"/>
  <c r="K20" i="16"/>
  <c r="I20" i="16"/>
  <c r="E20" i="16"/>
  <c r="CO19" i="16"/>
  <c r="CM19" i="16"/>
  <c r="CK19" i="16"/>
  <c r="CI19" i="16"/>
  <c r="CG19" i="16"/>
  <c r="CE19" i="16"/>
  <c r="CC19" i="16"/>
  <c r="CA19" i="16"/>
  <c r="AU19" i="16"/>
  <c r="AS19" i="16"/>
  <c r="AQ19" i="16"/>
  <c r="AO19" i="16"/>
  <c r="AM19" i="16"/>
  <c r="AK19" i="16"/>
  <c r="AI19" i="16"/>
  <c r="AG19" i="16"/>
  <c r="AE19" i="16"/>
  <c r="AC19" i="16"/>
  <c r="AA19" i="16"/>
  <c r="Y19" i="16"/>
  <c r="W19" i="16"/>
  <c r="U19" i="16"/>
  <c r="S19" i="16"/>
  <c r="Q19" i="16"/>
  <c r="O19" i="16"/>
  <c r="M19" i="16"/>
  <c r="K19" i="16"/>
  <c r="I19" i="16"/>
  <c r="E19" i="16"/>
  <c r="CO18" i="16"/>
  <c r="CM18" i="16"/>
  <c r="CK18" i="16"/>
  <c r="CI18" i="16"/>
  <c r="CG18" i="16"/>
  <c r="CE18" i="16"/>
  <c r="CC18" i="16"/>
  <c r="CA18" i="16"/>
  <c r="BY18" i="16"/>
  <c r="BW18" i="16"/>
  <c r="BU18" i="16"/>
  <c r="AO18" i="16"/>
  <c r="AM18" i="16"/>
  <c r="AK18" i="16"/>
  <c r="AI18" i="16"/>
  <c r="AG18" i="16"/>
  <c r="AE18" i="16"/>
  <c r="AC18" i="16"/>
  <c r="AA18" i="16"/>
  <c r="Y18" i="16"/>
  <c r="W18" i="16"/>
  <c r="U18" i="16"/>
  <c r="S18" i="16"/>
  <c r="Q18" i="16"/>
  <c r="O18" i="16"/>
  <c r="M18" i="16"/>
  <c r="K18" i="16"/>
  <c r="I18" i="16"/>
  <c r="E18" i="16"/>
  <c r="CO17" i="16"/>
  <c r="CM17" i="16"/>
  <c r="CK17" i="16"/>
  <c r="CI17" i="16"/>
  <c r="CG17" i="16"/>
  <c r="CE17" i="16"/>
  <c r="CC17" i="16"/>
  <c r="AQ17" i="16"/>
  <c r="AO17" i="16"/>
  <c r="AM17" i="16"/>
  <c r="AK17" i="16"/>
  <c r="AI17" i="16"/>
  <c r="AG17" i="16"/>
  <c r="AE17" i="16"/>
  <c r="AC17" i="16"/>
  <c r="AA17" i="16"/>
  <c r="Y17" i="16"/>
  <c r="W17" i="16"/>
  <c r="U17" i="16"/>
  <c r="S17" i="16"/>
  <c r="Q17" i="16"/>
  <c r="O17" i="16"/>
  <c r="M17" i="16"/>
  <c r="K17" i="16"/>
  <c r="I17" i="16"/>
  <c r="E17" i="16"/>
  <c r="CO16" i="16"/>
  <c r="CM16" i="16"/>
  <c r="CK16" i="16"/>
  <c r="CI16" i="16"/>
  <c r="CG16" i="16"/>
  <c r="CE16" i="16"/>
  <c r="CC16" i="16"/>
  <c r="CA16" i="16"/>
  <c r="BY16" i="16"/>
  <c r="BK16" i="16"/>
  <c r="BI16" i="16"/>
  <c r="BG16" i="16"/>
  <c r="BE16" i="16"/>
  <c r="BC16" i="16"/>
  <c r="BA16" i="16"/>
  <c r="AY16" i="16"/>
  <c r="AW16" i="16"/>
  <c r="AU16" i="16"/>
  <c r="AS16" i="16"/>
  <c r="AQ16" i="16"/>
  <c r="AO16" i="16"/>
  <c r="AM16" i="16"/>
  <c r="AK16" i="16"/>
  <c r="AI16" i="16"/>
  <c r="AG16" i="16"/>
  <c r="AE16" i="16"/>
  <c r="AC16" i="16"/>
  <c r="AA16" i="16"/>
  <c r="Y16" i="16"/>
  <c r="W16" i="16"/>
  <c r="U16" i="16"/>
  <c r="S16" i="16"/>
  <c r="Q16" i="16"/>
  <c r="O16" i="16"/>
  <c r="M16" i="16"/>
  <c r="K16" i="16"/>
  <c r="I16" i="16"/>
  <c r="E16" i="16"/>
  <c r="CO15" i="16"/>
  <c r="CM15" i="16"/>
  <c r="CK15" i="16"/>
  <c r="CI15" i="16"/>
  <c r="CG15" i="16"/>
  <c r="CE15" i="16"/>
  <c r="CC15" i="16"/>
  <c r="CA15" i="16"/>
  <c r="BY15" i="16"/>
  <c r="BW15" i="16"/>
  <c r="BU15" i="16"/>
  <c r="BS15" i="16"/>
  <c r="AM15" i="16"/>
  <c r="AK15" i="16"/>
  <c r="AI15" i="16"/>
  <c r="AG15" i="16"/>
  <c r="AE15" i="16"/>
  <c r="AC15" i="16"/>
  <c r="AA15" i="16"/>
  <c r="Y15" i="16"/>
  <c r="W15" i="16"/>
  <c r="U15" i="16"/>
  <c r="S15" i="16"/>
  <c r="Q15" i="16"/>
  <c r="O15" i="16"/>
  <c r="M15" i="16"/>
  <c r="K15" i="16"/>
  <c r="I15" i="16"/>
  <c r="E15" i="16"/>
  <c r="CO14" i="16"/>
  <c r="CM14" i="16"/>
  <c r="CK14" i="16"/>
  <c r="CI14" i="16"/>
  <c r="CG14" i="16"/>
  <c r="CE14" i="16"/>
  <c r="CC14" i="16"/>
  <c r="CA14" i="16"/>
  <c r="BY14" i="16"/>
  <c r="BW14" i="16"/>
  <c r="BU14" i="16"/>
  <c r="BS14" i="16"/>
  <c r="BQ14" i="16"/>
  <c r="AK14" i="16"/>
  <c r="AI14" i="16"/>
  <c r="AG14" i="16"/>
  <c r="AE14" i="16"/>
  <c r="AC14" i="16"/>
  <c r="AA14" i="16"/>
  <c r="Y14" i="16"/>
  <c r="W14" i="16"/>
  <c r="U14" i="16"/>
  <c r="S14" i="16"/>
  <c r="Q14" i="16"/>
  <c r="O14" i="16"/>
  <c r="M14" i="16"/>
  <c r="K14" i="16"/>
  <c r="I14" i="16"/>
  <c r="E14" i="16"/>
  <c r="D14" i="16"/>
  <c r="CO13" i="16"/>
  <c r="CM13" i="16"/>
  <c r="CK13" i="16"/>
  <c r="CI13" i="16"/>
  <c r="CG13" i="16"/>
  <c r="CE13" i="16"/>
  <c r="CC13" i="16"/>
  <c r="CA13" i="16"/>
  <c r="BY13" i="16"/>
  <c r="BW13" i="16"/>
  <c r="BU13" i="16"/>
  <c r="BS13" i="16"/>
  <c r="BQ13" i="16"/>
  <c r="BO13" i="16"/>
  <c r="BM13" i="16"/>
  <c r="BK13" i="16"/>
  <c r="AE13" i="16"/>
  <c r="AC13" i="16"/>
  <c r="AA13" i="16"/>
  <c r="Y13" i="16"/>
  <c r="W13" i="16"/>
  <c r="U13" i="16"/>
  <c r="S13" i="16"/>
  <c r="Q13" i="16"/>
  <c r="O13" i="16"/>
  <c r="M13" i="16"/>
  <c r="K13" i="16"/>
  <c r="I13" i="16"/>
  <c r="E13" i="16"/>
  <c r="CO11" i="16"/>
  <c r="CM11" i="16"/>
  <c r="CK11" i="16"/>
  <c r="CI11" i="16"/>
  <c r="CG11" i="16"/>
  <c r="CE11" i="16"/>
  <c r="CC11" i="16"/>
  <c r="CA11" i="16"/>
  <c r="BY11" i="16"/>
  <c r="BW11" i="16"/>
  <c r="BU11" i="16"/>
  <c r="BS11" i="16"/>
  <c r="BQ11" i="16"/>
  <c r="BO11" i="16"/>
  <c r="BM11" i="16"/>
  <c r="BK11" i="16"/>
  <c r="BI11" i="16"/>
  <c r="BG11" i="16"/>
  <c r="BE11" i="16"/>
  <c r="BC11" i="16"/>
  <c r="BA11" i="16"/>
  <c r="AY11" i="16"/>
  <c r="AW11" i="16"/>
  <c r="AU11" i="16"/>
  <c r="AS11" i="16"/>
  <c r="AQ11" i="16"/>
  <c r="AO11" i="16"/>
  <c r="AM11" i="16"/>
  <c r="AK11" i="16"/>
  <c r="AI11" i="16"/>
  <c r="AG11" i="16"/>
  <c r="AE11" i="16"/>
  <c r="U11" i="16"/>
  <c r="S11" i="16"/>
  <c r="Q11" i="16"/>
  <c r="O11" i="16"/>
  <c r="M11" i="16"/>
  <c r="K11" i="16"/>
  <c r="I11" i="16"/>
  <c r="E11" i="16"/>
  <c r="CO10" i="16"/>
  <c r="CM10" i="16"/>
  <c r="CK10" i="16"/>
  <c r="CI10" i="16"/>
  <c r="CG10" i="16"/>
  <c r="CE10" i="16"/>
  <c r="CC10" i="16"/>
  <c r="CA10" i="16"/>
  <c r="BY10" i="16"/>
  <c r="BW10" i="16"/>
  <c r="BU10" i="16"/>
  <c r="BS10" i="16"/>
  <c r="BQ10" i="16"/>
  <c r="BO10" i="16"/>
  <c r="BM10" i="16"/>
  <c r="BK10" i="16"/>
  <c r="BI10" i="16"/>
  <c r="BG10" i="16"/>
  <c r="BE10" i="16"/>
  <c r="BC10" i="16"/>
  <c r="BA10" i="16"/>
  <c r="AY10" i="16"/>
  <c r="AW10" i="16"/>
  <c r="AU10" i="16"/>
  <c r="AS10" i="16"/>
  <c r="AQ10" i="16"/>
  <c r="AO10" i="16"/>
  <c r="AM10" i="16"/>
  <c r="AK10" i="16"/>
  <c r="AI10" i="16"/>
  <c r="AG10" i="16"/>
  <c r="AE10" i="16"/>
  <c r="I10" i="16"/>
  <c r="E10" i="16"/>
  <c r="U9" i="16"/>
  <c r="S9" i="16"/>
  <c r="Q9" i="16"/>
  <c r="O9" i="16"/>
  <c r="M9" i="16"/>
  <c r="K9" i="16"/>
  <c r="I9" i="16"/>
  <c r="E9" i="16"/>
  <c r="F52" i="13" l="1"/>
  <c r="D21" i="16"/>
  <c r="D19" i="16"/>
  <c r="D22" i="16"/>
  <c r="U27" i="16"/>
  <c r="U28" i="16" s="1"/>
  <c r="D39" i="16" s="1"/>
  <c r="C15" i="13" s="1"/>
  <c r="AK27" i="16"/>
  <c r="AK28" i="16" s="1"/>
  <c r="D47" i="16" s="1"/>
  <c r="C23" i="13" s="1"/>
  <c r="BA27" i="16"/>
  <c r="BA28" i="16" s="1"/>
  <c r="D55" i="16" s="1"/>
  <c r="C31" i="13" s="1"/>
  <c r="BQ27" i="16"/>
  <c r="BQ28" i="16" s="1"/>
  <c r="D63" i="16" s="1"/>
  <c r="C39" i="13" s="1"/>
  <c r="CG27" i="16"/>
  <c r="CG28" i="16" s="1"/>
  <c r="D71" i="16" s="1"/>
  <c r="C47" i="13" s="1"/>
  <c r="D79" i="16"/>
  <c r="E27" i="16"/>
  <c r="E28" i="16" s="1"/>
  <c r="W27" i="16"/>
  <c r="W28" i="16" s="1"/>
  <c r="D40" i="16" s="1"/>
  <c r="C16" i="13" s="1"/>
  <c r="AM27" i="16"/>
  <c r="AM28" i="16" s="1"/>
  <c r="D48" i="16" s="1"/>
  <c r="C24" i="13" s="1"/>
  <c r="BC27" i="16"/>
  <c r="BC28" i="16" s="1"/>
  <c r="D56" i="16" s="1"/>
  <c r="C32" i="13" s="1"/>
  <c r="BS27" i="16"/>
  <c r="BS28" i="16" s="1"/>
  <c r="D64" i="16" s="1"/>
  <c r="C40" i="13" s="1"/>
  <c r="CI27" i="16"/>
  <c r="CI28" i="16" s="1"/>
  <c r="D72" i="16" s="1"/>
  <c r="C48" i="13" s="1"/>
  <c r="D80" i="16"/>
  <c r="D10" i="16"/>
  <c r="I27" i="16"/>
  <c r="Y27" i="16"/>
  <c r="Y28" i="16" s="1"/>
  <c r="D41" i="16" s="1"/>
  <c r="C17" i="13" s="1"/>
  <c r="AO27" i="16"/>
  <c r="AO28" i="16" s="1"/>
  <c r="D49" i="16" s="1"/>
  <c r="C25" i="13" s="1"/>
  <c r="BE27" i="16"/>
  <c r="BE28" i="16" s="1"/>
  <c r="D57" i="16" s="1"/>
  <c r="C33" i="13" s="1"/>
  <c r="BU27" i="16"/>
  <c r="BU28" i="16" s="1"/>
  <c r="D65" i="16" s="1"/>
  <c r="C41" i="13" s="1"/>
  <c r="CK27" i="16"/>
  <c r="CK28" i="16" s="1"/>
  <c r="D73" i="16" s="1"/>
  <c r="C49" i="13" s="1"/>
  <c r="D81" i="16"/>
  <c r="D11" i="16"/>
  <c r="O27" i="16"/>
  <c r="O28" i="16" s="1"/>
  <c r="D36" i="16" s="1"/>
  <c r="C12" i="13" s="1"/>
  <c r="BK27" i="16"/>
  <c r="BK28" i="16" s="1"/>
  <c r="D60" i="16" s="1"/>
  <c r="C36" i="13" s="1"/>
  <c r="Q27" i="16"/>
  <c r="Q28" i="16" s="1"/>
  <c r="D37" i="16" s="1"/>
  <c r="C13" i="13" s="1"/>
  <c r="AW27" i="16"/>
  <c r="AW28" i="16" s="1"/>
  <c r="D53" i="16" s="1"/>
  <c r="C29" i="13" s="1"/>
  <c r="CC27" i="16"/>
  <c r="CC28" i="16" s="1"/>
  <c r="D69" i="16" s="1"/>
  <c r="C45" i="13" s="1"/>
  <c r="D77" i="16"/>
  <c r="S27" i="16"/>
  <c r="S28" i="16" s="1"/>
  <c r="D38" i="16" s="1"/>
  <c r="C14" i="13" s="1"/>
  <c r="AI27" i="16"/>
  <c r="AI28" i="16" s="1"/>
  <c r="D46" i="16" s="1"/>
  <c r="C22" i="13" s="1"/>
  <c r="AY27" i="16"/>
  <c r="AY28" i="16" s="1"/>
  <c r="D54" i="16" s="1"/>
  <c r="C30" i="13" s="1"/>
  <c r="BO27" i="16"/>
  <c r="BO28" i="16" s="1"/>
  <c r="D62" i="16" s="1"/>
  <c r="C38" i="13" s="1"/>
  <c r="CE27" i="16"/>
  <c r="CE28" i="16" s="1"/>
  <c r="D70" i="16" s="1"/>
  <c r="C46" i="13" s="1"/>
  <c r="D78" i="16"/>
  <c r="K27" i="16"/>
  <c r="K28" i="16" s="1"/>
  <c r="D34" i="16" s="1"/>
  <c r="C10" i="13" s="1"/>
  <c r="AA27" i="16"/>
  <c r="AA28" i="16" s="1"/>
  <c r="D42" i="16" s="1"/>
  <c r="C18" i="13" s="1"/>
  <c r="AQ27" i="16"/>
  <c r="AQ28" i="16" s="1"/>
  <c r="D50" i="16" s="1"/>
  <c r="C26" i="13" s="1"/>
  <c r="BG27" i="16"/>
  <c r="BG28" i="16" s="1"/>
  <c r="D58" i="16" s="1"/>
  <c r="C34" i="13" s="1"/>
  <c r="BW27" i="16"/>
  <c r="BW28" i="16" s="1"/>
  <c r="D66" i="16" s="1"/>
  <c r="C42" i="13" s="1"/>
  <c r="CM27" i="16"/>
  <c r="CM28" i="16" s="1"/>
  <c r="D74" i="16" s="1"/>
  <c r="C50" i="13" s="1"/>
  <c r="D82" i="16"/>
  <c r="M27" i="16"/>
  <c r="M28" i="16" s="1"/>
  <c r="D35" i="16" s="1"/>
  <c r="C11" i="13" s="1"/>
  <c r="AC27" i="16"/>
  <c r="AC28" i="16" s="1"/>
  <c r="D43" i="16" s="1"/>
  <c r="C19" i="13" s="1"/>
  <c r="AS27" i="16"/>
  <c r="AS28" i="16" s="1"/>
  <c r="D51" i="16" s="1"/>
  <c r="C27" i="13" s="1"/>
  <c r="BI27" i="16"/>
  <c r="BI28" i="16" s="1"/>
  <c r="D59" i="16" s="1"/>
  <c r="C35" i="13" s="1"/>
  <c r="BY27" i="16"/>
  <c r="BY28" i="16" s="1"/>
  <c r="D67" i="16" s="1"/>
  <c r="C43" i="13" s="1"/>
  <c r="CO27" i="16"/>
  <c r="CO28" i="16" s="1"/>
  <c r="D75" i="16" s="1"/>
  <c r="C51" i="13" s="1"/>
  <c r="AU27" i="16"/>
  <c r="AU28" i="16" s="1"/>
  <c r="D52" i="16" s="1"/>
  <c r="C28" i="13" s="1"/>
  <c r="CA27" i="16"/>
  <c r="CA28" i="16" s="1"/>
  <c r="D68" i="16" s="1"/>
  <c r="C44" i="13" s="1"/>
  <c r="D76" i="16"/>
  <c r="AE27" i="16"/>
  <c r="AE28" i="16" s="1"/>
  <c r="D44" i="16" s="1"/>
  <c r="C20" i="13" s="1"/>
  <c r="AG27" i="16"/>
  <c r="AG28" i="16" s="1"/>
  <c r="D45" i="16" s="1"/>
  <c r="C21" i="13" s="1"/>
  <c r="BM27" i="16"/>
  <c r="BM28" i="16" s="1"/>
  <c r="D61" i="16" s="1"/>
  <c r="C37" i="13" s="1"/>
  <c r="D15" i="16"/>
  <c r="D23" i="16"/>
  <c r="D16" i="16"/>
  <c r="D24" i="16"/>
  <c r="D17" i="16"/>
  <c r="D25" i="16"/>
  <c r="D9" i="16"/>
  <c r="D18" i="16"/>
  <c r="D26" i="16"/>
  <c r="D20" i="16"/>
  <c r="D13" i="16"/>
  <c r="E50" i="13" l="1"/>
  <c r="E51" i="13"/>
  <c r="D27" i="16"/>
  <c r="I28" i="16"/>
  <c r="D33" i="16" s="1"/>
  <c r="C9" i="13" s="1"/>
  <c r="E9" i="13" s="1"/>
  <c r="CP28" i="16"/>
  <c r="E17" i="13" l="1"/>
  <c r="E25" i="13"/>
  <c r="E33" i="13"/>
  <c r="E41" i="13"/>
  <c r="E49" i="13"/>
  <c r="E10" i="13"/>
  <c r="E18" i="13"/>
  <c r="E26" i="13"/>
  <c r="E34" i="13"/>
  <c r="E42" i="13"/>
  <c r="E11" i="13"/>
  <c r="E19" i="13"/>
  <c r="E27" i="13"/>
  <c r="E35" i="13"/>
  <c r="E43" i="13"/>
  <c r="E13" i="13"/>
  <c r="E21" i="13"/>
  <c r="E29" i="13"/>
  <c r="E37" i="13"/>
  <c r="E45" i="13"/>
  <c r="E14" i="13"/>
  <c r="E22" i="13"/>
  <c r="E30" i="13"/>
  <c r="E38" i="13"/>
  <c r="E46" i="13"/>
  <c r="E15" i="13"/>
  <c r="E23" i="13"/>
  <c r="E31" i="13"/>
  <c r="E39" i="13"/>
  <c r="E47" i="13"/>
  <c r="E16" i="13"/>
  <c r="E24" i="13"/>
  <c r="E32" i="13"/>
  <c r="E40" i="13"/>
  <c r="E48" i="13"/>
  <c r="E12" i="13"/>
  <c r="E20" i="13"/>
  <c r="E28" i="13"/>
  <c r="E36" i="13"/>
  <c r="E44" i="13"/>
  <c r="D9" i="13" l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</calcChain>
</file>

<file path=xl/sharedStrings.xml><?xml version="1.0" encoding="utf-8"?>
<sst xmlns="http://schemas.openxmlformats.org/spreadsheetml/2006/main" count="282" uniqueCount="91">
  <si>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</si>
  <si>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</si>
  <si>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</si>
  <si>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</si>
  <si>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</si>
  <si>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</si>
  <si>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</si>
  <si>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</si>
  <si>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</si>
  <si>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</si>
  <si>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</si>
  <si>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</si>
  <si>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</si>
  <si>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</si>
  <si>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</si>
  <si>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</si>
  <si>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</si>
  <si>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</si>
  <si>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</si>
  <si>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</si>
  <si>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</si>
  <si>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</si>
  <si>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</si>
  <si>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</si>
  <si>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</si>
  <si>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</si>
  <si>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</si>
  <si>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</si>
  <si>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</si>
  <si>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</si>
  <si>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</si>
  <si>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</si>
  <si>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</si>
  <si>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</si>
  <si>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</si>
  <si>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</si>
  <si>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</si>
  <si>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</si>
  <si>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</si>
  <si>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</si>
  <si>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</si>
  <si>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</si>
  <si>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</si>
  <si>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</si>
  <si>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</si>
  <si>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</si>
  <si>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</si>
  <si>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</si>
  <si>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</si>
  <si>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</si>
  <si>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</si>
  <si>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</si>
  <si>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</si>
  <si>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</si>
  <si>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</si>
  <si>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</si>
  <si>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</si>
  <si>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</si>
  <si>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</si>
  <si>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</si>
  <si>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</si>
  <si>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</si>
  <si>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</si>
  <si>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</si>
  <si>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</si>
  <si>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COBERTURA</t>
  </si>
  <si>
    <t>REVESTIMENTOS E ACABAMENTOS DE FACHADA</t>
  </si>
  <si>
    <t>SERVIÇOS COMPLEMENTARES</t>
  </si>
  <si>
    <t>IMPREVISTOS E CONTINGENCIAS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</si>
  <si>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</si>
  <si>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</si>
  <si>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</si>
  <si>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</si>
  <si>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</si>
  <si>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</si>
  <si>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</si>
  <si>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</si>
  <si>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</si>
  <si>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</si>
  <si>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</si>
  <si>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</si>
  <si>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</si>
  <si>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</si>
  <si>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</si>
  <si>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</si>
  <si>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</si>
  <si>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SERVIÇOS</t>
  </si>
  <si>
    <t>% Distribuído</t>
  </si>
  <si>
    <t>CURVA S | % PARAMÉTRICO</t>
  </si>
  <si>
    <t>CONTENÇÃO</t>
  </si>
  <si>
    <t>COTA - 365 (Afonso Pena)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</si>
</sst>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.00_-;\-* #,##0.00_-;_-* &quot;-&quot;??_-;_-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11"/>
      <color rgb="FFFF0000"/>
      <name val="Poppins"/>
    </font>
    <font>
      <sz val="20"/>
      <name val="Calibri Light"/>
      <family val="2"/>
      <scheme val="major"/>
    </font>
    <font>
      <sz val="16"/>
      <name val="Calibri Light"/>
      <family val="2"/>
      <scheme val="major"/>
    </font>
    <font>
      <sz val="28"/>
      <name val="Calibri Light"/>
      <family val="2"/>
      <scheme val="maj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</fills>
  <borders count="37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44" fontId="2" fillId="0" borderId="0" xfId="0" applyNumberFormat="1" applyFont="1"/>
    <xf numFmtId="10" fontId="2" fillId="0" borderId="0" xfId="2" applyNumberFormat="1" applyFont="1" applyFill="1"/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44" fontId="12" fillId="4" borderId="10" xfId="1" applyFont="1" applyFill="1" applyBorder="1" applyAlignment="1">
      <alignment horizontal="center" vertical="center"/>
    </xf>
    <xf numFmtId="9" fontId="12" fillId="4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20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10" fontId="11" fillId="0" borderId="10" xfId="2" applyNumberFormat="1" applyFont="1" applyFill="1" applyBorder="1" applyAlignment="1">
      <alignment horizontal="center" vertical="center"/>
    </xf>
    <xf numFmtId="44" fontId="11" fillId="0" borderId="10" xfId="0" applyNumberFormat="1" applyFont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44" fontId="12" fillId="2" borderId="13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2" xfId="2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0" fontId="12" fillId="2" borderId="15" xfId="2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2" fontId="12" fillId="4" borderId="15" xfId="0" applyNumberFormat="1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left" vertical="center"/>
    </xf>
    <xf numFmtId="10" fontId="11" fillId="5" borderId="10" xfId="0" applyNumberFormat="1" applyFont="1" applyFill="1" applyBorder="1" applyAlignment="1">
      <alignment horizontal="center" vertical="center"/>
    </xf>
    <xf numFmtId="10" fontId="11" fillId="5" borderId="12" xfId="2" applyNumberFormat="1" applyFont="1" applyFill="1" applyBorder="1" applyAlignment="1">
      <alignment horizontal="center" vertical="center"/>
    </xf>
    <xf numFmtId="44" fontId="11" fillId="5" borderId="10" xfId="0" applyNumberFormat="1" applyFont="1" applyFill="1" applyBorder="1" applyAlignment="1">
      <alignment horizontal="center" vertical="center"/>
    </xf>
    <xf numFmtId="10" fontId="11" fillId="5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13" fillId="0" borderId="29" xfId="0" applyFont="1" applyBorder="1" applyAlignment="1">
      <alignment vertical="center"/>
    </xf>
    <xf numFmtId="164" fontId="12" fillId="4" borderId="27" xfId="0" applyNumberFormat="1" applyFont="1" applyFill="1" applyBorder="1" applyAlignment="1">
      <alignment horizontal="center" vertical="center"/>
    </xf>
    <xf numFmtId="44" fontId="16" fillId="5" borderId="10" xfId="1" applyFont="1" applyFill="1" applyBorder="1" applyAlignment="1">
      <alignment horizontal="center" vertical="center"/>
    </xf>
    <xf numFmtId="44" fontId="16" fillId="0" borderId="10" xfId="1" applyFont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0" fontId="14" fillId="0" borderId="0" xfId="0" applyFont="1"/>
    <xf numFmtId="0" fontId="15" fillId="0" borderId="8" xfId="0" applyFont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21" fillId="0" borderId="0" xfId="0" applyFont="1"/>
    <xf numFmtId="0" fontId="22" fillId="0" borderId="20" xfId="0" applyFont="1" applyBorder="1" applyAlignment="1">
      <alignment horizontal="center" vertical="center"/>
    </xf>
    <xf numFmtId="164" fontId="12" fillId="4" borderId="30" xfId="0" applyNumberFormat="1" applyFont="1" applyFill="1" applyBorder="1" applyAlignment="1">
      <alignment horizontal="center" vertical="center"/>
    </xf>
    <xf numFmtId="164" fontId="12" fillId="4" borderId="31" xfId="0" applyNumberFormat="1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10" fontId="13" fillId="0" borderId="33" xfId="0" applyNumberFormat="1" applyFont="1" applyBorder="1" applyAlignment="1">
      <alignment horizontal="center" vertical="center"/>
    </xf>
    <xf numFmtId="9" fontId="11" fillId="5" borderId="36" xfId="2" applyFont="1" applyFill="1" applyBorder="1" applyAlignment="1">
      <alignment horizontal="center" vertical="center"/>
    </xf>
    <xf numFmtId="9" fontId="11" fillId="0" borderId="36" xfId="2" applyFont="1" applyBorder="1" applyAlignment="1">
      <alignment horizontal="center" vertical="center"/>
    </xf>
    <xf numFmtId="164" fontId="12" fillId="4" borderId="22" xfId="0" applyNumberFormat="1" applyFont="1" applyFill="1" applyBorder="1" applyAlignment="1">
      <alignment horizontal="center" vertical="center"/>
    </xf>
    <xf numFmtId="17" fontId="12" fillId="4" borderId="22" xfId="0" applyNumberFormat="1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5" xfId="0" applyFont="1" applyBorder="1" applyAlignment="1">
      <alignment horizontal="center"/>
    </xf>
    <xf numFmtId="0" fontId="12" fillId="4" borderId="23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164" fontId="12" fillId="4" borderId="28" xfId="0" applyNumberFormat="1" applyFont="1" applyFill="1" applyBorder="1" applyAlignment="1">
      <alignment horizontal="center" vertical="center"/>
    </xf>
    <xf numFmtId="164" fontId="12" fillId="4" borderId="29" xfId="0" applyNumberFormat="1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PARAMÉTRICA'!$B$9:$B$51</c:f>
              <c:numCache>
                <c:formatCode>0</c:formatCode>
                <c:ptCount val="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</c:numCache>
            </c:numRef>
          </c:xVal>
          <c:yVal>
            <c:numRef>
              <c:f>'CURVA PARAMÉTRICA'!$D$9:$D$51</c:f>
              <c:numCache>
                <c:formatCode>0.00%</c:formatCode>
                <c:ptCount val="43"/>
                <c:pt idx="0">
                  <c:v>1.6130646158720258E-2</c:v>
                </c:pt>
                <c:pt idx="1">
                  <c:v>3.1665553175893833E-2</c:v>
                </c:pt>
                <c:pt idx="2">
                  <c:v>4.7200460193067409E-2</c:v>
                </c:pt>
                <c:pt idx="3">
                  <c:v>6.1543888927147621E-2</c:v>
                </c:pt>
                <c:pt idx="4">
                  <c:v>7.5887317661227832E-2</c:v>
                </c:pt>
                <c:pt idx="5">
                  <c:v>9.0230746395308037E-2</c:v>
                </c:pt>
                <c:pt idx="6">
                  <c:v>0.10496578878154579</c:v>
                </c:pt>
                <c:pt idx="7">
                  <c:v>0.11970083116778354</c:v>
                </c:pt>
                <c:pt idx="8">
                  <c:v>0.13443587355402128</c:v>
                </c:pt>
                <c:pt idx="9">
                  <c:v>0.14917091594025902</c:v>
                </c:pt>
                <c:pt idx="10">
                  <c:v>0.16390595832649676</c:v>
                </c:pt>
                <c:pt idx="11">
                  <c:v>0.17691452848719841</c:v>
                </c:pt>
                <c:pt idx="12">
                  <c:v>0.18992309864790005</c:v>
                </c:pt>
                <c:pt idx="13">
                  <c:v>0.2029316688086017</c:v>
                </c:pt>
                <c:pt idx="14">
                  <c:v>0.21875461828556036</c:v>
                </c:pt>
                <c:pt idx="15">
                  <c:v>0.2414242189384517</c:v>
                </c:pt>
                <c:pt idx="16">
                  <c:v>0.26824976453655469</c:v>
                </c:pt>
                <c:pt idx="17">
                  <c:v>0.29576233583079015</c:v>
                </c:pt>
                <c:pt idx="18">
                  <c:v>0.32656723412117578</c:v>
                </c:pt>
                <c:pt idx="19">
                  <c:v>0.3594488276118058</c:v>
                </c:pt>
                <c:pt idx="20">
                  <c:v>0.39413452479684069</c:v>
                </c:pt>
                <c:pt idx="21">
                  <c:v>0.42882022198187558</c:v>
                </c:pt>
                <c:pt idx="22">
                  <c:v>0.46350591916691047</c:v>
                </c:pt>
                <c:pt idx="23">
                  <c:v>0.49819161635194537</c:v>
                </c:pt>
                <c:pt idx="24">
                  <c:v>0.53287731353698031</c:v>
                </c:pt>
                <c:pt idx="25">
                  <c:v>0.5675630107220152</c:v>
                </c:pt>
                <c:pt idx="26">
                  <c:v>0.6022487079070501</c:v>
                </c:pt>
                <c:pt idx="27">
                  <c:v>0.63543767224073711</c:v>
                </c:pt>
                <c:pt idx="28">
                  <c:v>0.668626636574424</c:v>
                </c:pt>
                <c:pt idx="29">
                  <c:v>0.7018156009081109</c:v>
                </c:pt>
                <c:pt idx="30">
                  <c:v>0.73624879029876922</c:v>
                </c:pt>
                <c:pt idx="31">
                  <c:v>0.76549176131506658</c:v>
                </c:pt>
                <c:pt idx="32">
                  <c:v>0.79057878738615228</c:v>
                </c:pt>
                <c:pt idx="33">
                  <c:v>0.82233285431016612</c:v>
                </c:pt>
                <c:pt idx="34">
                  <c:v>0.85408692123417995</c:v>
                </c:pt>
                <c:pt idx="35">
                  <c:v>0.88687467471899284</c:v>
                </c:pt>
                <c:pt idx="36">
                  <c:v>0.9163701012076555</c:v>
                </c:pt>
                <c:pt idx="37">
                  <c:v>0.94586552769631815</c:v>
                </c:pt>
                <c:pt idx="38">
                  <c:v>0.97130234981175234</c:v>
                </c:pt>
                <c:pt idx="39">
                  <c:v>0.97982984012961793</c:v>
                </c:pt>
                <c:pt idx="40">
                  <c:v>0.98655322675307866</c:v>
                </c:pt>
                <c:pt idx="41">
                  <c:v>0.99327661337653939</c:v>
                </c:pt>
                <c:pt idx="4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PARAMÉTRICA'!$C$8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PARAMÉTRICA'!$B$9:$B$51</c:f>
              <c:numCache>
                <c:formatCode>0</c:formatCode>
                <c:ptCount val="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</c:numCache>
            </c:numRef>
          </c:cat>
          <c:val>
            <c:numRef>
              <c:f>'CURVA PARAMÉTRICA'!$C$9:$C$51</c:f>
              <c:numCache>
                <c:formatCode>0.00%</c:formatCode>
                <c:ptCount val="43"/>
                <c:pt idx="0">
                  <c:v>1.6130646158720258E-2</c:v>
                </c:pt>
                <c:pt idx="1">
                  <c:v>1.5534907017173574E-2</c:v>
                </c:pt>
                <c:pt idx="2">
                  <c:v>1.5534907017173574E-2</c:v>
                </c:pt>
                <c:pt idx="3">
                  <c:v>1.4343428734080212E-2</c:v>
                </c:pt>
                <c:pt idx="4">
                  <c:v>1.4343428734080212E-2</c:v>
                </c:pt>
                <c:pt idx="5">
                  <c:v>1.4343428734080212E-2</c:v>
                </c:pt>
                <c:pt idx="6">
                  <c:v>1.473504238623775E-2</c:v>
                </c:pt>
                <c:pt idx="7">
                  <c:v>1.473504238623775E-2</c:v>
                </c:pt>
                <c:pt idx="8">
                  <c:v>1.473504238623775E-2</c:v>
                </c:pt>
                <c:pt idx="9">
                  <c:v>1.473504238623775E-2</c:v>
                </c:pt>
                <c:pt idx="10">
                  <c:v>1.473504238623775E-2</c:v>
                </c:pt>
                <c:pt idx="11">
                  <c:v>1.3008570160701644E-2</c:v>
                </c:pt>
                <c:pt idx="12">
                  <c:v>1.3008570160701644E-2</c:v>
                </c:pt>
                <c:pt idx="13">
                  <c:v>1.3008570160701644E-2</c:v>
                </c:pt>
                <c:pt idx="14">
                  <c:v>1.5822949476958656E-2</c:v>
                </c:pt>
                <c:pt idx="15">
                  <c:v>2.2669600652891329E-2</c:v>
                </c:pt>
                <c:pt idx="16">
                  <c:v>2.6825545598103E-2</c:v>
                </c:pt>
                <c:pt idx="17">
                  <c:v>2.7512571294235434E-2</c:v>
                </c:pt>
                <c:pt idx="18">
                  <c:v>3.0804898290385622E-2</c:v>
                </c:pt>
                <c:pt idx="19">
                  <c:v>3.2881593490630009E-2</c:v>
                </c:pt>
                <c:pt idx="20">
                  <c:v>3.4685697185034906E-2</c:v>
                </c:pt>
                <c:pt idx="21">
                  <c:v>3.4685697185034906E-2</c:v>
                </c:pt>
                <c:pt idx="22">
                  <c:v>3.4685697185034906E-2</c:v>
                </c:pt>
                <c:pt idx="23">
                  <c:v>3.4685697185034906E-2</c:v>
                </c:pt>
                <c:pt idx="24">
                  <c:v>3.4685697185034906E-2</c:v>
                </c:pt>
                <c:pt idx="25">
                  <c:v>3.4685697185034906E-2</c:v>
                </c:pt>
                <c:pt idx="26">
                  <c:v>3.4685697185034906E-2</c:v>
                </c:pt>
                <c:pt idx="27">
                  <c:v>3.3188964333686954E-2</c:v>
                </c:pt>
                <c:pt idx="28">
                  <c:v>3.3188964333686954E-2</c:v>
                </c:pt>
                <c:pt idx="29">
                  <c:v>3.3188964333686954E-2</c:v>
                </c:pt>
                <c:pt idx="30">
                  <c:v>3.4433189390658356E-2</c:v>
                </c:pt>
                <c:pt idx="31">
                  <c:v>2.9242971016297324E-2</c:v>
                </c:pt>
                <c:pt idx="32">
                  <c:v>2.5087026071085657E-2</c:v>
                </c:pt>
                <c:pt idx="33">
                  <c:v>3.1754066924013814E-2</c:v>
                </c:pt>
                <c:pt idx="34">
                  <c:v>3.1754066924013814E-2</c:v>
                </c:pt>
                <c:pt idx="35">
                  <c:v>3.2787753484812839E-2</c:v>
                </c:pt>
                <c:pt idx="36">
                  <c:v>2.949542648866265E-2</c:v>
                </c:pt>
                <c:pt idx="37">
                  <c:v>2.949542648866265E-2</c:v>
                </c:pt>
                <c:pt idx="38">
                  <c:v>2.5436822115434233E-2</c:v>
                </c:pt>
                <c:pt idx="39">
                  <c:v>8.527490317865611E-3</c:v>
                </c:pt>
                <c:pt idx="40">
                  <c:v>6.7233866234607097E-3</c:v>
                </c:pt>
                <c:pt idx="41">
                  <c:v>6.7233866234607097E-3</c:v>
                </c:pt>
                <c:pt idx="42">
                  <c:v>6.7233866234607097E-3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PARAMÉTRICA'!$E$8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PARAMÉTRICA'!$B$9:$B$51</c:f>
              <c:numCache>
                <c:formatCode>0</c:formatCode>
                <c:ptCount val="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</c:numCache>
            </c:numRef>
          </c:cat>
          <c:val>
            <c:numRef>
              <c:f>'CURVA PARAMÉTRICA'!$E$9:$E$51</c:f>
              <c:numCache>
                <c:formatCode>_("R$"* #,##0.00_);_("R$"* \(#,##0.00\);_("R$"* "-"??_);_(@_)</c:formatCode>
                <c:ptCount val="43"/>
                <c:pt idx="0">
                  <c:v>948960.70407444134</c:v>
                </c:pt>
                <c:pt idx="1">
                  <c:v>913913.56277308543</c:v>
                </c:pt>
                <c:pt idx="2">
                  <c:v>913913.56277308543</c:v>
                </c:pt>
                <c:pt idx="3">
                  <c:v>843819.28017037374</c:v>
                </c:pt>
                <c:pt idx="4">
                  <c:v>843819.28017037374</c:v>
                </c:pt>
                <c:pt idx="5">
                  <c:v>843819.28017037374</c:v>
                </c:pt>
                <c:pt idx="6">
                  <c:v>866857.7848539371</c:v>
                </c:pt>
                <c:pt idx="7">
                  <c:v>866857.7848539371</c:v>
                </c:pt>
                <c:pt idx="8">
                  <c:v>866857.7848539371</c:v>
                </c:pt>
                <c:pt idx="9">
                  <c:v>866857.7848539371</c:v>
                </c:pt>
                <c:pt idx="10">
                  <c:v>866857.7848539371</c:v>
                </c:pt>
                <c:pt idx="11">
                  <c:v>765289.98139530048</c:v>
                </c:pt>
                <c:pt idx="12">
                  <c:v>765289.98139530048</c:v>
                </c:pt>
                <c:pt idx="13">
                  <c:v>765289.98139530048</c:v>
                </c:pt>
                <c:pt idx="14">
                  <c:v>930859.00765802059</c:v>
                </c:pt>
                <c:pt idx="15">
                  <c:v>1333645.2851905404</c:v>
                </c:pt>
                <c:pt idx="16">
                  <c:v>1578138.1841418103</c:v>
                </c:pt>
                <c:pt idx="17">
                  <c:v>1618555.6839681652</c:v>
                </c:pt>
                <c:pt idx="18">
                  <c:v>1812242.2178842896</c:v>
                </c:pt>
                <c:pt idx="19">
                  <c:v>1934413.5258393998</c:v>
                </c:pt>
                <c:pt idx="20">
                  <c:v>2040548.3635402594</c:v>
                </c:pt>
                <c:pt idx="21">
                  <c:v>2040548.3635402594</c:v>
                </c:pt>
                <c:pt idx="22">
                  <c:v>2040548.3635402594</c:v>
                </c:pt>
                <c:pt idx="23">
                  <c:v>2040548.3635402594</c:v>
                </c:pt>
                <c:pt idx="24">
                  <c:v>2040548.3635402594</c:v>
                </c:pt>
                <c:pt idx="25">
                  <c:v>2040548.3635402594</c:v>
                </c:pt>
                <c:pt idx="26">
                  <c:v>2040548.3635402594</c:v>
                </c:pt>
                <c:pt idx="27">
                  <c:v>1952496.0532700561</c:v>
                </c:pt>
                <c:pt idx="28">
                  <c:v>1952496.0532700561</c:v>
                </c:pt>
                <c:pt idx="29">
                  <c:v>1952496.0532700561</c:v>
                </c:pt>
                <c:pt idx="30">
                  <c:v>2025693.4115452759</c:v>
                </c:pt>
                <c:pt idx="31">
                  <c:v>1720354.5407790162</c:v>
                </c:pt>
                <c:pt idx="32">
                  <c:v>1475861.6418277465</c:v>
                </c:pt>
                <c:pt idx="33">
                  <c:v>1868081.5020636311</c:v>
                </c:pt>
                <c:pt idx="34">
                  <c:v>1868081.5020636311</c:v>
                </c:pt>
                <c:pt idx="35">
                  <c:v>1928892.9486031015</c:v>
                </c:pt>
                <c:pt idx="36">
                  <c:v>1735206.4146869772</c:v>
                </c:pt>
                <c:pt idx="37">
                  <c:v>1735206.4146869772</c:v>
                </c:pt>
                <c:pt idx="38">
                  <c:v>1496440.030149037</c:v>
                </c:pt>
                <c:pt idx="39">
                  <c:v>501669.50142013031</c:v>
                </c:pt>
                <c:pt idx="40">
                  <c:v>395534.66371927032</c:v>
                </c:pt>
                <c:pt idx="41">
                  <c:v>395534.66371927032</c:v>
                </c:pt>
                <c:pt idx="42">
                  <c:v>395534.66371927032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PARAMÉTRICA'!$B$9:$B$51</c:f>
              <c:numCache>
                <c:formatCode>0</c:formatCode>
                <c:ptCount val="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</c:numCache>
            </c:numRef>
          </c:xVal>
          <c:yVal>
            <c:numRef>
              <c:f>'CURVA PARAMÉTRICA'!$F$9:$F$51</c:f>
              <c:numCache>
                <c:formatCode>_("R$"* #,##0.00_);_("R$"* \(#,##0.00\);_("R$"* "-"??_);_(@_)</c:formatCode>
                <c:ptCount val="43"/>
                <c:pt idx="0">
                  <c:v>948960.70407444134</c:v>
                </c:pt>
                <c:pt idx="1">
                  <c:v>1862874.2668475267</c:v>
                </c:pt>
                <c:pt idx="2">
                  <c:v>2776787.8296206119</c:v>
                </c:pt>
                <c:pt idx="3">
                  <c:v>3620607.1097909855</c:v>
                </c:pt>
                <c:pt idx="4">
                  <c:v>4464426.3899613591</c:v>
                </c:pt>
                <c:pt idx="5">
                  <c:v>5308245.6701317327</c:v>
                </c:pt>
                <c:pt idx="6">
                  <c:v>6175103.4549856698</c:v>
                </c:pt>
                <c:pt idx="7">
                  <c:v>7041961.2398396069</c:v>
                </c:pt>
                <c:pt idx="8">
                  <c:v>7908819.024693544</c:v>
                </c:pt>
                <c:pt idx="9">
                  <c:v>8775676.8095474802</c:v>
                </c:pt>
                <c:pt idx="10">
                  <c:v>9642534.5944014173</c:v>
                </c:pt>
                <c:pt idx="11">
                  <c:v>10407824.575796718</c:v>
                </c:pt>
                <c:pt idx="12">
                  <c:v>11173114.557192018</c:v>
                </c:pt>
                <c:pt idx="13">
                  <c:v>11938404.538587319</c:v>
                </c:pt>
                <c:pt idx="14">
                  <c:v>12869263.54624534</c:v>
                </c:pt>
                <c:pt idx="15">
                  <c:v>14202908.831435882</c:v>
                </c:pt>
                <c:pt idx="16">
                  <c:v>15781047.015577693</c:v>
                </c:pt>
                <c:pt idx="17">
                  <c:v>17399602.699545857</c:v>
                </c:pt>
                <c:pt idx="18">
                  <c:v>19211844.917430148</c:v>
                </c:pt>
                <c:pt idx="19">
                  <c:v>21146258.443269547</c:v>
                </c:pt>
                <c:pt idx="20">
                  <c:v>23186806.806809805</c:v>
                </c:pt>
                <c:pt idx="21">
                  <c:v>25227355.170350064</c:v>
                </c:pt>
                <c:pt idx="22">
                  <c:v>27267903.533890322</c:v>
                </c:pt>
                <c:pt idx="23">
                  <c:v>29308451.89743058</c:v>
                </c:pt>
                <c:pt idx="24">
                  <c:v>31349000.260970838</c:v>
                </c:pt>
                <c:pt idx="25">
                  <c:v>33389548.624511097</c:v>
                </c:pt>
                <c:pt idx="26">
                  <c:v>35430096.988051355</c:v>
                </c:pt>
                <c:pt idx="27">
                  <c:v>37382593.041321412</c:v>
                </c:pt>
                <c:pt idx="28">
                  <c:v>39335089.094591469</c:v>
                </c:pt>
                <c:pt idx="29">
                  <c:v>41287585.147861525</c:v>
                </c:pt>
                <c:pt idx="30">
                  <c:v>43313278.559406802</c:v>
                </c:pt>
                <c:pt idx="31">
                  <c:v>45033633.100185819</c:v>
                </c:pt>
                <c:pt idx="32">
                  <c:v>46509494.742013566</c:v>
                </c:pt>
                <c:pt idx="33">
                  <c:v>48377576.244077198</c:v>
                </c:pt>
                <c:pt idx="34">
                  <c:v>50245657.74614083</c:v>
                </c:pt>
                <c:pt idx="35">
                  <c:v>52174550.694743931</c:v>
                </c:pt>
                <c:pt idx="36">
                  <c:v>53909757.109430909</c:v>
                </c:pt>
                <c:pt idx="37">
                  <c:v>55644963.524117887</c:v>
                </c:pt>
                <c:pt idx="38">
                  <c:v>57141403.554266922</c:v>
                </c:pt>
                <c:pt idx="39">
                  <c:v>57643073.055687055</c:v>
                </c:pt>
                <c:pt idx="40">
                  <c:v>58038607.719406322</c:v>
                </c:pt>
                <c:pt idx="41">
                  <c:v>58434142.383125588</c:v>
                </c:pt>
                <c:pt idx="42">
                  <c:v>58829677.046844855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16E6D8A6-F958-4F2B-990C-CABAD9FB25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338221</xdr:colOff>
      <xdr:row>31</xdr:row>
      <xdr:rowOff>76200</xdr:rowOff>
    </xdr:from>
    <xdr:to>
      <xdr:col>40</xdr:col>
      <xdr:colOff>38117</xdr:colOff>
      <xdr:row>52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5</xdr:col>
      <xdr:colOff>6567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339437</xdr:colOff>
      <xdr:row>7</xdr:row>
      <xdr:rowOff>48490</xdr:rowOff>
    </xdr:from>
    <xdr:to>
      <xdr:col>40</xdr:col>
      <xdr:colOff>38100</xdr:colOff>
      <xdr:row>30</xdr:row>
      <xdr:rowOff>306490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90651</xdr:colOff>
      <xdr:row>7</xdr:row>
      <xdr:rowOff>46431</xdr:rowOff>
    </xdr:from>
    <xdr:to>
      <xdr:col>74</xdr:col>
      <xdr:colOff>0</xdr:colOff>
      <xdr:row>30</xdr:row>
      <xdr:rowOff>304431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95578</xdr:colOff>
      <xdr:row>31</xdr:row>
      <xdr:rowOff>76198</xdr:rowOff>
    </xdr:from>
    <xdr:to>
      <xdr:col>74</xdr:col>
      <xdr:colOff>0</xdr:colOff>
      <xdr:row>52</xdr:row>
      <xdr:rowOff>37198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E48-46AC-4A88-9DF6-8EE554297625}">
  <dimension ref="A1:AX1006"/>
  <sheetViews>
    <sheetView showGridLines="0" tabSelected="1" zoomScale="55" zoomScaleNormal="55" workbookViewId="0">
      <selection activeCell="AD14" sqref="AD14:AI14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45" width="6.28515625" customWidth="1"/>
    <col min="46" max="50" width="4.85546875" customWidth="1"/>
    <col min="51" max="51" width="6.5703125" bestFit="1" customWidth="1"/>
  </cols>
  <sheetData>
    <row r="1" spans="1:50" ht="7.5" customHeight="1" x14ac:dyDescent="0.25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50" ht="9.75" customHeight="1" x14ac:dyDescent="0.6">
      <c r="A2" s="19"/>
      <c r="B2" s="89" t="s">
        <v>74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66"/>
      <c r="AU2" s="66"/>
      <c r="AV2" s="66"/>
      <c r="AW2" s="66"/>
      <c r="AX2" s="66"/>
    </row>
    <row r="3" spans="1:50" ht="19.5" customHeight="1" x14ac:dyDescent="0.6">
      <c r="A3" s="19"/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4"/>
      <c r="AT3" s="66"/>
      <c r="AU3" s="66"/>
      <c r="AV3" s="66"/>
      <c r="AW3" s="66"/>
      <c r="AX3" s="66"/>
    </row>
    <row r="4" spans="1:50" ht="19.5" customHeight="1" x14ac:dyDescent="0.35">
      <c r="A4" s="19"/>
      <c r="B4" s="95" t="s">
        <v>90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7"/>
      <c r="AT4" s="66"/>
      <c r="AU4" s="66"/>
      <c r="AV4" s="66"/>
      <c r="AW4" s="66"/>
      <c r="AX4" s="66"/>
    </row>
    <row r="5" spans="1:50" ht="9.75" customHeight="1" x14ac:dyDescent="0.35">
      <c r="A5" s="19"/>
      <c r="B5" s="55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67"/>
      <c r="AT5" s="66"/>
      <c r="AU5" s="66"/>
      <c r="AV5" s="66"/>
      <c r="AW5" s="66"/>
      <c r="AX5" s="66"/>
    </row>
    <row r="6" spans="1:50" ht="21.75" customHeight="1" thickBot="1" x14ac:dyDescent="0.3">
      <c r="A6" s="19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</row>
    <row r="7" spans="1:50" ht="21.75" customHeight="1" x14ac:dyDescent="0.6">
      <c r="A7" s="19"/>
      <c r="B7" s="68" t="s">
        <v>86</v>
      </c>
      <c r="C7" s="69" t="s">
        <v>1</v>
      </c>
      <c r="D7" s="69" t="s">
        <v>2</v>
      </c>
      <c r="E7" s="69" t="s">
        <v>3</v>
      </c>
      <c r="F7" s="69" t="s">
        <v>4</v>
      </c>
      <c r="G7" s="69" t="s">
        <v>5</v>
      </c>
      <c r="H7" s="69" t="s">
        <v>6</v>
      </c>
      <c r="I7" s="69" t="s">
        <v>7</v>
      </c>
      <c r="J7" s="69" t="s">
        <v>8</v>
      </c>
      <c r="K7" s="69" t="s">
        <v>9</v>
      </c>
      <c r="L7" s="69" t="s">
        <v>10</v>
      </c>
      <c r="M7" s="69" t="s">
        <v>11</v>
      </c>
      <c r="N7" s="69" t="s">
        <v>12</v>
      </c>
      <c r="O7" s="69" t="s">
        <v>13</v>
      </c>
      <c r="P7" s="69" t="s">
        <v>14</v>
      </c>
      <c r="Q7" s="69" t="s">
        <v>15</v>
      </c>
      <c r="R7" s="69" t="s">
        <v>16</v>
      </c>
      <c r="S7" s="69" t="s">
        <v>17</v>
      </c>
      <c r="T7" s="69" t="s">
        <v>18</v>
      </c>
      <c r="U7" s="69" t="s">
        <v>19</v>
      </c>
      <c r="V7" s="69" t="s">
        <v>20</v>
      </c>
      <c r="W7" s="69" t="s">
        <v>21</v>
      </c>
      <c r="X7" s="69" t="s">
        <v>22</v>
      </c>
      <c r="Y7" s="69" t="s">
        <v>23</v>
      </c>
      <c r="Z7" s="69" t="s">
        <v>24</v>
      </c>
      <c r="AA7" s="69" t="s">
        <v>25</v>
      </c>
      <c r="AB7" s="69" t="s">
        <v>26</v>
      </c>
      <c r="AC7" s="69" t="s">
        <v>27</v>
      </c>
      <c r="AD7" s="69" t="s">
        <v>28</v>
      </c>
      <c r="AE7" s="69" t="s">
        <v>29</v>
      </c>
      <c r="AF7" s="69" t="s">
        <v>30</v>
      </c>
      <c r="AG7" s="69" t="s">
        <v>31</v>
      </c>
      <c r="AH7" s="69" t="s">
        <v>32</v>
      </c>
      <c r="AI7" s="69" t="s">
        <v>33</v>
      </c>
      <c r="AJ7" s="69" t="s">
        <v>34</v>
      </c>
      <c r="AK7" s="69" t="s">
        <v>35</v>
      </c>
      <c r="AL7" s="69" t="s">
        <v>36</v>
      </c>
      <c r="AM7" s="69" t="s">
        <v>37</v>
      </c>
      <c r="AN7" s="69" t="s">
        <v>38</v>
      </c>
      <c r="AO7" s="69" t="s">
        <v>39</v>
      </c>
      <c r="AP7" s="69" t="s">
        <v>40</v>
      </c>
      <c r="AQ7" s="69" t="s">
        <v>76</v>
      </c>
      <c r="AR7" s="69" t="s">
        <v>77</v>
      </c>
      <c r="AS7" s="69" t="s">
        <v>78</v>
      </c>
    </row>
    <row r="8" spans="1:50" ht="21.75" customHeight="1" x14ac:dyDescent="0.6">
      <c r="A8" s="19"/>
      <c r="B8" s="70" t="s">
        <v>53</v>
      </c>
      <c r="C8" s="71">
        <v>1</v>
      </c>
      <c r="D8" s="71">
        <v>2</v>
      </c>
      <c r="E8" s="71">
        <v>3</v>
      </c>
      <c r="F8" s="71">
        <v>4</v>
      </c>
      <c r="G8" s="71">
        <v>5</v>
      </c>
      <c r="H8" s="71">
        <v>6</v>
      </c>
      <c r="I8" s="71">
        <v>7</v>
      </c>
      <c r="J8" s="71">
        <v>8</v>
      </c>
      <c r="K8" s="71">
        <v>9</v>
      </c>
      <c r="L8" s="71">
        <v>10</v>
      </c>
      <c r="M8" s="71">
        <v>11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7"/>
    </row>
    <row r="9" spans="1:50" ht="21.75" customHeight="1" x14ac:dyDescent="0.25">
      <c r="A9" s="19"/>
      <c r="B9" s="72" t="s">
        <v>54</v>
      </c>
      <c r="C9" s="86"/>
      <c r="D9" s="86"/>
      <c r="E9" s="86"/>
      <c r="F9" s="86"/>
      <c r="G9" s="86"/>
      <c r="H9" s="86"/>
      <c r="I9" s="71">
        <v>1</v>
      </c>
      <c r="J9" s="71">
        <v>2</v>
      </c>
      <c r="K9" s="71">
        <v>3</v>
      </c>
      <c r="L9" s="71">
        <v>4</v>
      </c>
      <c r="M9" s="71">
        <v>5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7"/>
    </row>
    <row r="10" spans="1:50" ht="21.75" customHeight="1" x14ac:dyDescent="0.6">
      <c r="A10" s="19"/>
      <c r="B10" s="70" t="s">
        <v>89</v>
      </c>
      <c r="C10" s="71">
        <v>1</v>
      </c>
      <c r="D10" s="71">
        <v>2</v>
      </c>
      <c r="E10" s="71">
        <v>3</v>
      </c>
      <c r="F10" s="71">
        <v>4</v>
      </c>
      <c r="G10" s="71">
        <v>5</v>
      </c>
      <c r="H10" s="71">
        <v>6</v>
      </c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7"/>
    </row>
    <row r="11" spans="1:50" ht="21.75" customHeight="1" x14ac:dyDescent="0.25">
      <c r="A11" s="19"/>
      <c r="B11" s="72" t="s">
        <v>55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71">
        <v>1</v>
      </c>
      <c r="O11" s="71">
        <v>2</v>
      </c>
      <c r="P11" s="71">
        <v>3</v>
      </c>
      <c r="Q11" s="71">
        <v>4</v>
      </c>
      <c r="R11" s="71">
        <v>5</v>
      </c>
      <c r="S11" s="71">
        <v>6</v>
      </c>
      <c r="T11" s="71">
        <v>7</v>
      </c>
      <c r="U11" s="71">
        <v>8</v>
      </c>
      <c r="V11" s="71">
        <v>9</v>
      </c>
      <c r="W11" s="71">
        <v>10</v>
      </c>
      <c r="X11" s="71">
        <v>11</v>
      </c>
      <c r="Y11" s="71">
        <v>12</v>
      </c>
      <c r="Z11" s="71">
        <v>13</v>
      </c>
      <c r="AA11" s="71">
        <v>14</v>
      </c>
      <c r="AB11" s="71">
        <v>15</v>
      </c>
      <c r="AC11" s="71">
        <v>16</v>
      </c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7"/>
    </row>
    <row r="12" spans="1:50" ht="21.75" customHeight="1" x14ac:dyDescent="0.25">
      <c r="A12" s="19"/>
      <c r="B12" s="70" t="s">
        <v>56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71">
        <v>1</v>
      </c>
      <c r="R12" s="71">
        <v>2</v>
      </c>
      <c r="S12" s="71">
        <v>3</v>
      </c>
      <c r="T12" s="71">
        <v>4</v>
      </c>
      <c r="U12" s="71">
        <v>5</v>
      </c>
      <c r="V12" s="71">
        <v>6</v>
      </c>
      <c r="W12" s="71">
        <v>7</v>
      </c>
      <c r="X12" s="71">
        <v>8</v>
      </c>
      <c r="Y12" s="71">
        <v>9</v>
      </c>
      <c r="Z12" s="71">
        <v>10</v>
      </c>
      <c r="AA12" s="71">
        <v>11</v>
      </c>
      <c r="AB12" s="71">
        <v>12</v>
      </c>
      <c r="AC12" s="71">
        <v>13</v>
      </c>
      <c r="AD12" s="71">
        <v>14</v>
      </c>
      <c r="AE12" s="71">
        <v>15</v>
      </c>
      <c r="AF12" s="71">
        <v>16</v>
      </c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7"/>
    </row>
    <row r="13" spans="1:50" ht="21.75" customHeight="1" x14ac:dyDescent="0.6">
      <c r="A13" s="19"/>
      <c r="B13" s="72" t="s">
        <v>57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71">
        <v>1</v>
      </c>
      <c r="S13" s="71">
        <v>2</v>
      </c>
      <c r="T13" s="71">
        <v>3</v>
      </c>
      <c r="U13" s="71">
        <v>4</v>
      </c>
      <c r="V13" s="71">
        <v>5</v>
      </c>
      <c r="W13" s="71">
        <v>6</v>
      </c>
      <c r="X13" s="71">
        <v>7</v>
      </c>
      <c r="Y13" s="71">
        <v>8</v>
      </c>
      <c r="Z13" s="71">
        <v>9</v>
      </c>
      <c r="AA13" s="71">
        <v>10</v>
      </c>
      <c r="AB13" s="71">
        <v>11</v>
      </c>
      <c r="AC13" s="71">
        <v>12</v>
      </c>
      <c r="AD13" s="71">
        <v>13</v>
      </c>
      <c r="AE13" s="71">
        <v>14</v>
      </c>
      <c r="AF13" s="71">
        <v>15</v>
      </c>
      <c r="AG13" s="71">
        <v>16</v>
      </c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7"/>
    </row>
    <row r="14" spans="1:50" ht="21.75" customHeight="1" x14ac:dyDescent="0.25">
      <c r="A14" s="19"/>
      <c r="B14" s="70" t="s">
        <v>58</v>
      </c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71">
        <v>1</v>
      </c>
      <c r="AE14" s="71">
        <v>2</v>
      </c>
      <c r="AF14" s="71">
        <v>3</v>
      </c>
      <c r="AG14" s="71">
        <v>4</v>
      </c>
      <c r="AH14" s="71">
        <v>5</v>
      </c>
      <c r="AI14" s="71">
        <v>6</v>
      </c>
      <c r="AJ14" s="86"/>
      <c r="AK14" s="86"/>
      <c r="AL14" s="86"/>
      <c r="AM14" s="86"/>
      <c r="AN14" s="86"/>
      <c r="AO14" s="86"/>
      <c r="AP14" s="86"/>
      <c r="AQ14" s="86"/>
      <c r="AR14" s="86"/>
      <c r="AS14" s="87"/>
    </row>
    <row r="15" spans="1:50" ht="21.75" customHeight="1" x14ac:dyDescent="0.6">
      <c r="A15" s="19"/>
      <c r="B15" s="72" t="s">
        <v>59</v>
      </c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71">
        <v>1</v>
      </c>
      <c r="U15" s="71">
        <v>2</v>
      </c>
      <c r="V15" s="71">
        <v>3</v>
      </c>
      <c r="W15" s="71">
        <v>4</v>
      </c>
      <c r="X15" s="71">
        <v>5</v>
      </c>
      <c r="Y15" s="71">
        <v>6</v>
      </c>
      <c r="Z15" s="71">
        <v>7</v>
      </c>
      <c r="AA15" s="71">
        <v>8</v>
      </c>
      <c r="AB15" s="71">
        <v>9</v>
      </c>
      <c r="AC15" s="71">
        <v>10</v>
      </c>
      <c r="AD15" s="71">
        <v>11</v>
      </c>
      <c r="AE15" s="71">
        <v>12</v>
      </c>
      <c r="AF15" s="71">
        <v>13</v>
      </c>
      <c r="AG15" s="71">
        <v>14</v>
      </c>
      <c r="AH15" s="71">
        <v>15</v>
      </c>
      <c r="AI15" s="71">
        <v>16</v>
      </c>
      <c r="AJ15" s="86"/>
      <c r="AK15" s="86"/>
      <c r="AL15" s="86"/>
      <c r="AM15" s="86"/>
      <c r="AN15" s="86"/>
      <c r="AO15" s="86"/>
      <c r="AP15" s="86"/>
      <c r="AQ15" s="86"/>
      <c r="AR15" s="86"/>
      <c r="AS15" s="87"/>
    </row>
    <row r="16" spans="1:50" ht="23.25" customHeight="1" x14ac:dyDescent="0.25">
      <c r="A16" s="19"/>
      <c r="B16" s="70" t="s">
        <v>60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71">
        <v>1</v>
      </c>
      <c r="T16" s="71">
        <v>2</v>
      </c>
      <c r="U16" s="71">
        <v>3</v>
      </c>
      <c r="V16" s="71">
        <v>4</v>
      </c>
      <c r="W16" s="71">
        <v>5</v>
      </c>
      <c r="X16" s="71">
        <v>6</v>
      </c>
      <c r="Y16" s="71">
        <v>7</v>
      </c>
      <c r="Z16" s="71">
        <v>8</v>
      </c>
      <c r="AA16" s="71">
        <v>9</v>
      </c>
      <c r="AB16" s="71">
        <v>10</v>
      </c>
      <c r="AC16" s="71">
        <v>11</v>
      </c>
      <c r="AD16" s="71">
        <v>12</v>
      </c>
      <c r="AE16" s="71">
        <v>13</v>
      </c>
      <c r="AF16" s="71">
        <v>14</v>
      </c>
      <c r="AG16" s="71">
        <v>15</v>
      </c>
      <c r="AH16" s="71">
        <v>16</v>
      </c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7"/>
    </row>
    <row r="17" spans="1:45" ht="23.25" customHeight="1" x14ac:dyDescent="0.25">
      <c r="A17" s="19"/>
      <c r="B17" s="72" t="s">
        <v>61</v>
      </c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71">
        <v>1</v>
      </c>
      <c r="W17" s="71">
        <v>2</v>
      </c>
      <c r="X17" s="71">
        <v>3</v>
      </c>
      <c r="Y17" s="71">
        <v>4</v>
      </c>
      <c r="Z17" s="71">
        <v>5</v>
      </c>
      <c r="AA17" s="71">
        <v>6</v>
      </c>
      <c r="AB17" s="71">
        <v>7</v>
      </c>
      <c r="AC17" s="71">
        <v>8</v>
      </c>
      <c r="AD17" s="71">
        <v>9</v>
      </c>
      <c r="AE17" s="71">
        <v>10</v>
      </c>
      <c r="AF17" s="71">
        <v>11</v>
      </c>
      <c r="AG17" s="71">
        <v>12</v>
      </c>
      <c r="AH17" s="71">
        <v>13</v>
      </c>
      <c r="AI17" s="71">
        <v>14</v>
      </c>
      <c r="AJ17" s="71">
        <v>15</v>
      </c>
      <c r="AK17" s="71">
        <v>16</v>
      </c>
      <c r="AL17" s="71">
        <v>17</v>
      </c>
      <c r="AM17" s="86"/>
      <c r="AN17" s="86"/>
      <c r="AO17" s="86"/>
      <c r="AP17" s="86"/>
      <c r="AQ17" s="86"/>
      <c r="AR17" s="86"/>
      <c r="AS17" s="87"/>
    </row>
    <row r="18" spans="1:45" ht="23.25" customHeight="1" x14ac:dyDescent="0.25">
      <c r="A18" s="19"/>
      <c r="B18" s="70" t="s">
        <v>62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71">
        <v>1</v>
      </c>
      <c r="V18" s="71">
        <v>2</v>
      </c>
      <c r="W18" s="71">
        <v>3</v>
      </c>
      <c r="X18" s="71">
        <v>4</v>
      </c>
      <c r="Y18" s="71">
        <v>5</v>
      </c>
      <c r="Z18" s="71">
        <v>6</v>
      </c>
      <c r="AA18" s="71">
        <v>7</v>
      </c>
      <c r="AB18" s="71">
        <v>8</v>
      </c>
      <c r="AC18" s="71">
        <v>9</v>
      </c>
      <c r="AD18" s="71">
        <v>10</v>
      </c>
      <c r="AE18" s="71">
        <v>11</v>
      </c>
      <c r="AF18" s="71">
        <v>12</v>
      </c>
      <c r="AG18" s="71">
        <v>13</v>
      </c>
      <c r="AH18" s="71">
        <v>14</v>
      </c>
      <c r="AI18" s="71">
        <v>15</v>
      </c>
      <c r="AJ18" s="71">
        <v>16</v>
      </c>
      <c r="AK18" s="71">
        <v>17</v>
      </c>
      <c r="AL18" s="86"/>
      <c r="AM18" s="86"/>
      <c r="AN18" s="86"/>
      <c r="AO18" s="86"/>
      <c r="AP18" s="86"/>
      <c r="AQ18" s="86"/>
      <c r="AR18" s="86"/>
      <c r="AS18" s="87"/>
    </row>
    <row r="19" spans="1:45" ht="23.25" customHeight="1" x14ac:dyDescent="0.25">
      <c r="A19" s="19"/>
      <c r="B19" s="72" t="s">
        <v>63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71">
        <v>1</v>
      </c>
      <c r="X19" s="71">
        <v>2</v>
      </c>
      <c r="Y19" s="71">
        <v>3</v>
      </c>
      <c r="Z19" s="71">
        <v>4</v>
      </c>
      <c r="AA19" s="71">
        <v>5</v>
      </c>
      <c r="AB19" s="71">
        <v>6</v>
      </c>
      <c r="AC19" s="71">
        <v>7</v>
      </c>
      <c r="AD19" s="71">
        <v>8</v>
      </c>
      <c r="AE19" s="71">
        <v>9</v>
      </c>
      <c r="AF19" s="71">
        <v>10</v>
      </c>
      <c r="AG19" s="71">
        <v>11</v>
      </c>
      <c r="AH19" s="71">
        <v>12</v>
      </c>
      <c r="AI19" s="71">
        <v>13</v>
      </c>
      <c r="AJ19" s="71">
        <v>14</v>
      </c>
      <c r="AK19" s="71">
        <v>15</v>
      </c>
      <c r="AL19" s="71">
        <v>16</v>
      </c>
      <c r="AM19" s="71">
        <v>17</v>
      </c>
      <c r="AN19" s="71">
        <v>18</v>
      </c>
      <c r="AO19" s="71">
        <v>19</v>
      </c>
      <c r="AP19" s="71">
        <v>20</v>
      </c>
      <c r="AQ19" s="86"/>
      <c r="AR19" s="86"/>
      <c r="AS19" s="87"/>
    </row>
    <row r="20" spans="1:45" ht="23.25" customHeight="1" x14ac:dyDescent="0.25">
      <c r="A20" s="19"/>
      <c r="B20" s="70" t="s">
        <v>64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71">
        <v>1</v>
      </c>
      <c r="AK20" s="71">
        <v>2</v>
      </c>
      <c r="AL20" s="71">
        <v>3</v>
      </c>
      <c r="AM20" s="71">
        <v>4</v>
      </c>
      <c r="AN20" s="71">
        <v>5</v>
      </c>
      <c r="AO20" s="71">
        <v>6</v>
      </c>
      <c r="AP20" s="86"/>
      <c r="AQ20" s="86"/>
      <c r="AR20" s="86"/>
      <c r="AS20" s="87"/>
    </row>
    <row r="21" spans="1:45" ht="23.25" customHeight="1" x14ac:dyDescent="0.25">
      <c r="A21" s="19"/>
      <c r="B21" s="72" t="s">
        <v>65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71">
        <v>1</v>
      </c>
      <c r="AI21" s="71">
        <v>2</v>
      </c>
      <c r="AJ21" s="71">
        <v>3</v>
      </c>
      <c r="AK21" s="71">
        <v>4</v>
      </c>
      <c r="AL21" s="86"/>
      <c r="AM21" s="86"/>
      <c r="AN21" s="86"/>
      <c r="AO21" s="86"/>
      <c r="AP21" s="86"/>
      <c r="AQ21" s="86"/>
      <c r="AR21" s="86"/>
      <c r="AS21" s="87"/>
    </row>
    <row r="22" spans="1:45" ht="23.25" customHeight="1" x14ac:dyDescent="0.25">
      <c r="A22" s="19"/>
      <c r="B22" s="70" t="s">
        <v>66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71">
        <v>1</v>
      </c>
      <c r="AH22" s="71">
        <v>2</v>
      </c>
      <c r="AI22" s="71">
        <v>3</v>
      </c>
      <c r="AJ22" s="71">
        <v>4</v>
      </c>
      <c r="AK22" s="71">
        <v>5</v>
      </c>
      <c r="AL22" s="71">
        <v>6</v>
      </c>
      <c r="AM22" s="71">
        <v>7</v>
      </c>
      <c r="AN22" s="71">
        <v>8</v>
      </c>
      <c r="AO22" s="86"/>
      <c r="AP22" s="86"/>
      <c r="AQ22" s="86"/>
      <c r="AR22" s="86"/>
      <c r="AS22" s="87"/>
    </row>
    <row r="23" spans="1:45" ht="23.25" customHeight="1" thickBot="1" x14ac:dyDescent="0.65">
      <c r="A23" s="19"/>
      <c r="B23" s="72" t="s">
        <v>67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73">
        <v>1</v>
      </c>
      <c r="AM23" s="73">
        <v>2</v>
      </c>
      <c r="AN23" s="73">
        <v>3</v>
      </c>
      <c r="AO23" s="73">
        <v>4</v>
      </c>
      <c r="AP23" s="73">
        <v>5</v>
      </c>
      <c r="AQ23" s="73">
        <v>6</v>
      </c>
      <c r="AR23" s="73">
        <v>7</v>
      </c>
      <c r="AS23" s="74">
        <v>8</v>
      </c>
    </row>
    <row r="24" spans="1:45" ht="21.75" customHeight="1" x14ac:dyDescent="0.25">
      <c r="A24" s="19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</row>
    <row r="25" spans="1:45" ht="21.75" customHeight="1" x14ac:dyDescent="0.25">
      <c r="A25" s="19"/>
    </row>
    <row r="26" spans="1:45" ht="21.75" customHeight="1" x14ac:dyDescent="0.25">
      <c r="A26" s="19"/>
    </row>
    <row r="27" spans="1:45" ht="21.75" customHeight="1" x14ac:dyDescent="0.25">
      <c r="A27" s="19"/>
    </row>
    <row r="28" spans="1:45" ht="21.75" customHeight="1" x14ac:dyDescent="0.6">
      <c r="A28" s="19"/>
    </row>
    <row r="29" spans="1:45" ht="21.75" customHeight="1" x14ac:dyDescent="0.6">
      <c r="A29" s="19"/>
    </row>
    <row r="30" spans="1:45" ht="21.75" customHeight="1" x14ac:dyDescent="0.6">
      <c r="A30" s="19"/>
    </row>
    <row r="31" spans="1:45" ht="21.75" customHeight="1" x14ac:dyDescent="0.6">
      <c r="A31" s="19"/>
    </row>
    <row r="32" spans="1:45" ht="21.75" customHeight="1" x14ac:dyDescent="0.6">
      <c r="A32" s="19"/>
    </row>
    <row r="33" spans="1:14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21"/>
      <c r="N33" s="21"/>
    </row>
    <row r="34" spans="1:14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1"/>
      <c r="M34" s="21"/>
      <c r="N34" s="21"/>
    </row>
    <row r="35" spans="1:14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21"/>
      <c r="N35" s="21"/>
    </row>
    <row r="36" spans="1:14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1"/>
      <c r="M36" s="21"/>
      <c r="N36" s="21"/>
    </row>
    <row r="37" spans="1:14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21"/>
      <c r="N37" s="21"/>
    </row>
    <row r="38" spans="1:14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1"/>
      <c r="M38" s="21"/>
      <c r="N38" s="21"/>
    </row>
    <row r="39" spans="1:14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21"/>
      <c r="N39" s="21"/>
    </row>
    <row r="40" spans="1:14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1"/>
      <c r="M40" s="21"/>
      <c r="N40" s="21"/>
    </row>
    <row r="41" spans="1:14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21"/>
      <c r="N41" s="21"/>
    </row>
    <row r="42" spans="1:14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1"/>
      <c r="M42" s="21"/>
      <c r="N42" s="21"/>
    </row>
    <row r="43" spans="1:14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21"/>
      <c r="N43" s="21"/>
    </row>
    <row r="44" spans="1:14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1"/>
      <c r="M44" s="21"/>
      <c r="N44" s="21"/>
    </row>
    <row r="45" spans="1:14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21"/>
      <c r="N45" s="21"/>
    </row>
    <row r="46" spans="1:14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1"/>
      <c r="M46" s="21"/>
      <c r="N46" s="21"/>
    </row>
    <row r="47" spans="1:14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21"/>
      <c r="N47" s="21"/>
    </row>
    <row r="48" spans="1:14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1"/>
      <c r="M48" s="21"/>
      <c r="N48" s="21"/>
    </row>
    <row r="49" spans="1:16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21"/>
      <c r="N49" s="21"/>
    </row>
    <row r="50" spans="1:16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1"/>
      <c r="M50" s="21"/>
      <c r="N50" s="21"/>
    </row>
    <row r="51" spans="1:16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21"/>
      <c r="N51" s="21"/>
    </row>
    <row r="52" spans="1:16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1"/>
      <c r="M52" s="21"/>
      <c r="N52" s="21"/>
    </row>
    <row r="53" spans="1:16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21"/>
      <c r="N53" s="21"/>
    </row>
    <row r="54" spans="1:16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1"/>
      <c r="M54" s="21"/>
      <c r="N54" s="21"/>
    </row>
    <row r="55" spans="1:16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1"/>
      <c r="M55" s="21"/>
      <c r="N55" s="21"/>
    </row>
    <row r="56" spans="1:16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1"/>
      <c r="M56" s="21"/>
      <c r="N56" s="21"/>
    </row>
    <row r="57" spans="1:16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6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6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6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6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6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6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6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6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6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6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6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1"/>
      <c r="O91" s="21"/>
      <c r="P91" s="21"/>
    </row>
    <row r="92" spans="1:16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1"/>
      <c r="O92" s="21"/>
      <c r="P92" s="21"/>
    </row>
    <row r="93" spans="1:16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1"/>
      <c r="O93" s="21"/>
      <c r="P93" s="21"/>
    </row>
    <row r="94" spans="1:16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1"/>
      <c r="O94" s="21"/>
      <c r="P94" s="21"/>
    </row>
    <row r="95" spans="1:16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1"/>
      <c r="O95" s="21"/>
      <c r="P95" s="21"/>
    </row>
    <row r="96" spans="1:16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1"/>
      <c r="O96" s="21"/>
      <c r="P96" s="21"/>
    </row>
    <row r="97" spans="1:16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1"/>
      <c r="O97" s="21"/>
      <c r="P97" s="21"/>
    </row>
    <row r="98" spans="1:16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1"/>
      <c r="O98" s="21"/>
      <c r="P98" s="21"/>
    </row>
    <row r="99" spans="1:16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1"/>
      <c r="O99" s="21"/>
      <c r="P99" s="21"/>
    </row>
    <row r="100" spans="1:16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1"/>
      <c r="O100" s="21"/>
      <c r="P100" s="21"/>
    </row>
    <row r="101" spans="1:16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1"/>
      <c r="O101" s="21"/>
      <c r="P101" s="21"/>
    </row>
    <row r="102" spans="1:16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1"/>
      <c r="O102" s="21"/>
      <c r="P102" s="21"/>
    </row>
    <row r="103" spans="1:16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1"/>
      <c r="O103" s="21"/>
      <c r="P103" s="21"/>
    </row>
    <row r="104" spans="1:16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1"/>
      <c r="O104" s="21"/>
      <c r="P104" s="21"/>
    </row>
    <row r="105" spans="1:16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</row>
    <row r="106" spans="1:16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1"/>
      <c r="O106" s="21"/>
      <c r="P106" s="21"/>
    </row>
    <row r="107" spans="1:16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1"/>
      <c r="O107" s="21"/>
      <c r="P107" s="21"/>
    </row>
    <row r="108" spans="1:16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1"/>
      <c r="O108" s="21"/>
      <c r="P108" s="21"/>
    </row>
    <row r="109" spans="1:16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1"/>
      <c r="O109" s="21"/>
      <c r="P109" s="21"/>
    </row>
    <row r="110" spans="1:16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1"/>
      <c r="O110" s="21"/>
      <c r="P110" s="21"/>
    </row>
    <row r="111" spans="1:16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1"/>
      <c r="O111" s="21"/>
      <c r="P111" s="21"/>
    </row>
    <row r="112" spans="1:16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1"/>
      <c r="O112" s="21"/>
      <c r="P112" s="21"/>
    </row>
    <row r="113" spans="1:19" ht="21.75" customHeight="1" x14ac:dyDescent="0.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21"/>
      <c r="O113" s="21"/>
      <c r="P113" s="21"/>
    </row>
    <row r="114" spans="1:19" ht="21.75" customHeight="1" x14ac:dyDescent="0.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21"/>
      <c r="O114" s="21"/>
      <c r="P114" s="21"/>
    </row>
    <row r="115" spans="1:19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21.75" customHeight="1" x14ac:dyDescent="0.6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21.75" customHeight="1" x14ac:dyDescent="0.6">
      <c r="A206" s="19"/>
      <c r="B206" s="20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1"/>
      <c r="R207" s="21"/>
      <c r="S207" s="21"/>
    </row>
    <row r="208" spans="1:19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1"/>
      <c r="R208" s="21"/>
      <c r="S208" s="21"/>
    </row>
    <row r="209" spans="1:19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1"/>
      <c r="R209" s="21"/>
      <c r="S209" s="21"/>
    </row>
    <row r="210" spans="1:19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1"/>
      <c r="R210" s="21"/>
      <c r="S210" s="21"/>
    </row>
    <row r="211" spans="1:19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1"/>
      <c r="R211" s="21"/>
      <c r="S211" s="21"/>
    </row>
    <row r="212" spans="1:19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1"/>
      <c r="R212" s="21"/>
      <c r="S212" s="21"/>
    </row>
    <row r="213" spans="1:19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1"/>
      <c r="R213" s="21"/>
      <c r="S213" s="21"/>
    </row>
    <row r="214" spans="1:19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1"/>
      <c r="R214" s="21"/>
      <c r="S214" s="21"/>
    </row>
    <row r="215" spans="1:19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1"/>
      <c r="R215" s="21"/>
      <c r="S215" s="21"/>
    </row>
    <row r="216" spans="1:19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1"/>
      <c r="R216" s="21"/>
      <c r="S216" s="21"/>
    </row>
    <row r="217" spans="1:19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1"/>
      <c r="R217" s="21"/>
      <c r="S217" s="21"/>
    </row>
    <row r="218" spans="1:19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1"/>
      <c r="R218" s="21"/>
      <c r="S218" s="21"/>
    </row>
    <row r="219" spans="1:19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1"/>
      <c r="R219" s="21"/>
      <c r="S219" s="21"/>
    </row>
    <row r="220" spans="1:19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1"/>
      <c r="R220" s="21"/>
      <c r="S220" s="21"/>
    </row>
    <row r="221" spans="1:19" ht="21.75" customHeight="1" x14ac:dyDescent="0.6">
      <c r="A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1"/>
      <c r="R221" s="21"/>
      <c r="S221" s="21"/>
    </row>
    <row r="222" spans="1:19" ht="21.75" customHeight="1" x14ac:dyDescent="0.6">
      <c r="A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1"/>
      <c r="R222" s="21"/>
      <c r="S222" s="21"/>
    </row>
    <row r="223" spans="1:19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1"/>
      <c r="R223" s="21"/>
      <c r="S223" s="21"/>
    </row>
    <row r="224" spans="1:19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1"/>
      <c r="R224" s="21"/>
      <c r="S224" s="21"/>
    </row>
    <row r="225" spans="7:19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1"/>
      <c r="R225" s="21"/>
      <c r="S225" s="21"/>
    </row>
    <row r="226" spans="7:19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1"/>
      <c r="R226" s="21"/>
      <c r="S226" s="21"/>
    </row>
    <row r="227" spans="7:19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1"/>
      <c r="R227" s="21"/>
      <c r="S227" s="21"/>
    </row>
    <row r="228" spans="7:19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1"/>
      <c r="R228" s="21"/>
      <c r="S228" s="21"/>
    </row>
    <row r="229" spans="7:19" ht="15.75" customHeight="1" x14ac:dyDescent="0.6"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21"/>
      <c r="R229" s="21"/>
      <c r="S229" s="21"/>
    </row>
    <row r="230" spans="7:19" ht="15.75" customHeight="1" x14ac:dyDescent="0.6"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21"/>
      <c r="R230" s="21"/>
      <c r="S230" s="21"/>
    </row>
    <row r="231" spans="7:19" ht="15.75" customHeight="1" x14ac:dyDescent="0.25"/>
    <row r="232" spans="7:19" ht="15.75" customHeight="1" x14ac:dyDescent="0.25"/>
    <row r="233" spans="7:19" ht="15.75" customHeight="1" x14ac:dyDescent="0.25"/>
    <row r="234" spans="7:19" ht="15.75" customHeight="1" x14ac:dyDescent="0.25"/>
    <row r="235" spans="7:19" ht="15.75" customHeight="1" x14ac:dyDescent="0.25"/>
    <row r="236" spans="7:19" ht="15.75" customHeight="1" x14ac:dyDescent="0.25"/>
    <row r="237" spans="7:19" ht="15.75" customHeight="1" x14ac:dyDescent="0.25"/>
    <row r="238" spans="7:19" ht="15.75" customHeight="1" x14ac:dyDescent="0.25"/>
    <row r="239" spans="7:19" ht="15.75" customHeight="1" x14ac:dyDescent="0.25"/>
    <row r="240" spans="7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</sheetData>
  <mergeCells count="2">
    <mergeCell ref="B2:AS3"/>
    <mergeCell ref="B4:AS4"/>
  </mergeCells>
  <phoneticPr fontId="26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CP844"/>
  <sheetViews>
    <sheetView showGridLines="0" zoomScale="55" zoomScaleNormal="55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C18" sqref="C18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5" width="20" style="1" customWidth="1"/>
    <col min="6" max="6" width="15.5703125" customWidth="1"/>
    <col min="7" max="7" width="3.7109375" customWidth="1"/>
    <col min="8" max="8" width="8.42578125" bestFit="1" customWidth="1"/>
    <col min="9" max="9" width="22.28515625" bestFit="1" customWidth="1"/>
    <col min="10" max="10" width="8.42578125" bestFit="1" customWidth="1"/>
    <col min="11" max="11" width="20.85546875" bestFit="1" customWidth="1"/>
    <col min="12" max="12" width="8" bestFit="1" customWidth="1"/>
    <col min="13" max="13" width="20.85546875" bestFit="1" customWidth="1"/>
    <col min="14" max="14" width="8" bestFit="1" customWidth="1"/>
    <col min="15" max="15" width="20.85546875" bestFit="1" customWidth="1"/>
    <col min="16" max="16" width="8" bestFit="1" customWidth="1"/>
    <col min="17" max="17" width="20.85546875" bestFit="1" customWidth="1"/>
    <col min="18" max="18" width="8" bestFit="1" customWidth="1"/>
    <col min="19" max="19" width="20.85546875" bestFit="1" customWidth="1"/>
    <col min="20" max="20" width="8" bestFit="1" customWidth="1"/>
    <col min="21" max="21" width="21.5703125" bestFit="1" customWidth="1"/>
    <col min="22" max="22" width="7.28515625" bestFit="1" customWidth="1"/>
    <col min="23" max="23" width="21.5703125" bestFit="1" customWidth="1"/>
    <col min="24" max="24" width="7.28515625" bestFit="1" customWidth="1"/>
    <col min="25" max="25" width="21.5703125" bestFit="1" customWidth="1"/>
    <col min="26" max="26" width="7.28515625" bestFit="1" customWidth="1"/>
    <col min="27" max="27" width="21.5703125" bestFit="1" customWidth="1"/>
    <col min="28" max="28" width="7.28515625" bestFit="1" customWidth="1"/>
    <col min="29" max="29" width="21.5703125" bestFit="1" customWidth="1"/>
    <col min="30" max="30" width="7.28515625" bestFit="1" customWidth="1"/>
    <col min="31" max="31" width="21.5703125" bestFit="1" customWidth="1"/>
    <col min="32" max="32" width="7.28515625" bestFit="1" customWidth="1"/>
    <col min="33" max="33" width="21.5703125" bestFit="1" customWidth="1"/>
    <col min="34" max="34" width="7.28515625" bestFit="1" customWidth="1"/>
    <col min="35" max="35" width="21.5703125" bestFit="1" customWidth="1"/>
    <col min="36" max="36" width="7.28515625" bestFit="1" customWidth="1"/>
    <col min="37" max="37" width="21.5703125" bestFit="1" customWidth="1"/>
    <col min="38" max="38" width="7.28515625" bestFit="1" customWidth="1"/>
    <col min="39" max="39" width="21.5703125" bestFit="1" customWidth="1"/>
    <col min="40" max="40" width="7.28515625" bestFit="1" customWidth="1"/>
    <col min="41" max="41" width="21.5703125" bestFit="1" customWidth="1"/>
    <col min="42" max="42" width="7.28515625" bestFit="1" customWidth="1"/>
    <col min="43" max="43" width="21.5703125" bestFit="1" customWidth="1"/>
    <col min="44" max="44" width="7.28515625" bestFit="1" customWidth="1"/>
    <col min="45" max="45" width="21.5703125" bestFit="1" customWidth="1"/>
    <col min="46" max="46" width="7.28515625" bestFit="1" customWidth="1"/>
    <col min="47" max="47" width="21.5703125" bestFit="1" customWidth="1"/>
    <col min="48" max="48" width="7.28515625" bestFit="1" customWidth="1"/>
    <col min="49" max="49" width="21.5703125" bestFit="1" customWidth="1"/>
    <col min="50" max="50" width="7.28515625" bestFit="1" customWidth="1"/>
    <col min="51" max="51" width="20.42578125" bestFit="1" customWidth="1"/>
    <col min="52" max="52" width="7.28515625" bestFit="1" customWidth="1"/>
    <col min="53" max="53" width="20.42578125" bestFit="1" customWidth="1"/>
    <col min="54" max="54" width="7.28515625" bestFit="1" customWidth="1"/>
    <col min="55" max="55" width="20.42578125" bestFit="1" customWidth="1"/>
    <col min="56" max="56" width="7.28515625" bestFit="1" customWidth="1"/>
    <col min="57" max="57" width="20.42578125" bestFit="1" customWidth="1"/>
    <col min="58" max="58" width="7.28515625" bestFit="1" customWidth="1"/>
    <col min="59" max="59" width="20.42578125" bestFit="1" customWidth="1"/>
    <col min="60" max="60" width="7.28515625" bestFit="1" customWidth="1"/>
    <col min="61" max="61" width="20.42578125" bestFit="1" customWidth="1"/>
    <col min="62" max="62" width="8" bestFit="1" customWidth="1"/>
    <col min="63" max="63" width="22.28515625" bestFit="1" customWidth="1"/>
    <col min="64" max="64" width="7.28515625" bestFit="1" customWidth="1"/>
    <col min="65" max="65" width="23.28515625" bestFit="1" customWidth="1"/>
    <col min="66" max="66" width="7.28515625" bestFit="1" customWidth="1"/>
    <col min="67" max="67" width="23.28515625" bestFit="1" customWidth="1"/>
    <col min="68" max="68" width="8" bestFit="1" customWidth="1"/>
    <col min="69" max="69" width="22.7109375" bestFit="1" customWidth="1"/>
    <col min="70" max="70" width="8.42578125" bestFit="1" customWidth="1"/>
    <col min="71" max="71" width="22.7109375" bestFit="1" customWidth="1"/>
    <col min="72" max="72" width="7.28515625" bestFit="1" customWidth="1"/>
    <col min="73" max="73" width="22.7109375" bestFit="1" customWidth="1"/>
    <col min="74" max="74" width="8" bestFit="1" customWidth="1"/>
    <col min="75" max="75" width="22.28515625" bestFit="1" customWidth="1"/>
    <col min="76" max="76" width="7.28515625" bestFit="1" customWidth="1"/>
    <col min="77" max="77" width="22.28515625" bestFit="1" customWidth="1"/>
    <col min="78" max="78" width="7.28515625" bestFit="1" customWidth="1"/>
    <col min="79" max="79" width="23.28515625" bestFit="1" customWidth="1"/>
    <col min="80" max="80" width="7.28515625" bestFit="1" customWidth="1"/>
    <col min="81" max="81" width="23.28515625" bestFit="1" customWidth="1"/>
    <col min="82" max="82" width="7.28515625" bestFit="1" customWidth="1"/>
    <col min="83" max="83" width="22.7109375" bestFit="1" customWidth="1"/>
    <col min="84" max="84" width="7.28515625" bestFit="1" customWidth="1"/>
    <col min="85" max="85" width="23.28515625" bestFit="1" customWidth="1"/>
    <col min="86" max="86" width="7.28515625" bestFit="1" customWidth="1"/>
    <col min="87" max="87" width="23.28515625" bestFit="1" customWidth="1"/>
    <col min="88" max="88" width="7.28515625" bestFit="1" customWidth="1"/>
    <col min="89" max="89" width="23.28515625" bestFit="1" customWidth="1"/>
    <col min="90" max="90" width="7.28515625" bestFit="1" customWidth="1"/>
    <col min="91" max="91" width="22.7109375" bestFit="1" customWidth="1"/>
    <col min="92" max="92" width="7.28515625" bestFit="1" customWidth="1"/>
    <col min="93" max="93" width="23.7109375" bestFit="1" customWidth="1"/>
    <col min="94" max="94" width="19.42578125" bestFit="1" customWidth="1"/>
  </cols>
  <sheetData>
    <row r="2" spans="2:93" ht="15" customHeight="1" x14ac:dyDescent="0.25">
      <c r="B2" s="99" t="s">
        <v>75</v>
      </c>
      <c r="C2" s="100"/>
      <c r="D2" s="100"/>
      <c r="E2" s="100"/>
      <c r="F2" s="100"/>
      <c r="G2" s="100"/>
      <c r="H2" s="101"/>
    </row>
    <row r="3" spans="2:93" ht="22.5" customHeight="1" x14ac:dyDescent="0.25">
      <c r="B3" s="102"/>
      <c r="C3" s="103"/>
      <c r="D3" s="103"/>
      <c r="E3" s="103"/>
      <c r="F3" s="103"/>
      <c r="G3" s="103"/>
      <c r="H3" s="104"/>
    </row>
    <row r="4" spans="2:93" ht="26.25" customHeight="1" x14ac:dyDescent="0.4">
      <c r="B4" s="105" t="s">
        <v>90</v>
      </c>
      <c r="C4" s="106"/>
      <c r="D4" s="106"/>
      <c r="E4" s="106"/>
      <c r="F4" s="106"/>
      <c r="G4" s="106"/>
      <c r="H4" s="107"/>
    </row>
    <row r="5" spans="2:93" ht="13.5" customHeight="1" x14ac:dyDescent="0.25">
      <c r="B5" s="55"/>
      <c r="C5" s="56"/>
      <c r="D5" s="56"/>
      <c r="E5" s="56"/>
      <c r="F5" s="56"/>
      <c r="G5" s="58"/>
      <c r="H5" s="59"/>
    </row>
    <row r="6" spans="2:93" ht="15" customHeight="1" thickBot="1" x14ac:dyDescent="0.3"/>
    <row r="7" spans="2:93" ht="19.5" customHeight="1" x14ac:dyDescent="0.25">
      <c r="B7" s="108" t="s">
        <v>46</v>
      </c>
      <c r="C7" s="110" t="s">
        <v>47</v>
      </c>
      <c r="D7" s="110" t="s">
        <v>48</v>
      </c>
      <c r="E7" s="112" t="s">
        <v>49</v>
      </c>
      <c r="F7" s="115" t="s">
        <v>87</v>
      </c>
      <c r="H7" s="114" t="s">
        <v>1</v>
      </c>
      <c r="I7" s="98"/>
      <c r="J7" s="98" t="s">
        <v>2</v>
      </c>
      <c r="K7" s="98"/>
      <c r="L7" s="98" t="s">
        <v>3</v>
      </c>
      <c r="M7" s="98"/>
      <c r="N7" s="98" t="s">
        <v>4</v>
      </c>
      <c r="O7" s="98"/>
      <c r="P7" s="98" t="s">
        <v>5</v>
      </c>
      <c r="Q7" s="98"/>
      <c r="R7" s="98" t="s">
        <v>6</v>
      </c>
      <c r="S7" s="98"/>
      <c r="T7" s="98" t="s">
        <v>7</v>
      </c>
      <c r="U7" s="98"/>
      <c r="V7" s="98" t="s">
        <v>8</v>
      </c>
      <c r="W7" s="98"/>
      <c r="X7" s="98" t="s">
        <v>9</v>
      </c>
      <c r="Y7" s="98"/>
      <c r="Z7" s="98" t="s">
        <v>10</v>
      </c>
      <c r="AA7" s="98"/>
      <c r="AB7" s="98" t="s">
        <v>11</v>
      </c>
      <c r="AC7" s="98"/>
      <c r="AD7" s="98" t="s">
        <v>12</v>
      </c>
      <c r="AE7" s="98"/>
      <c r="AF7" s="98" t="s">
        <v>13</v>
      </c>
      <c r="AG7" s="98"/>
      <c r="AH7" s="98" t="s">
        <v>14</v>
      </c>
      <c r="AI7" s="98"/>
      <c r="AJ7" s="98" t="s">
        <v>15</v>
      </c>
      <c r="AK7" s="98"/>
      <c r="AL7" s="98" t="s">
        <v>16</v>
      </c>
      <c r="AM7" s="98"/>
      <c r="AN7" s="98" t="s">
        <v>17</v>
      </c>
      <c r="AO7" s="98"/>
      <c r="AP7" s="98" t="s">
        <v>18</v>
      </c>
      <c r="AQ7" s="98"/>
      <c r="AR7" s="98" t="s">
        <v>19</v>
      </c>
      <c r="AS7" s="98"/>
      <c r="AT7" s="98" t="s">
        <v>20</v>
      </c>
      <c r="AU7" s="98"/>
      <c r="AV7" s="98" t="s">
        <v>21</v>
      </c>
      <c r="AW7" s="98"/>
      <c r="AX7" s="98" t="s">
        <v>22</v>
      </c>
      <c r="AY7" s="98"/>
      <c r="AZ7" s="98" t="s">
        <v>23</v>
      </c>
      <c r="BA7" s="98"/>
      <c r="BB7" s="98" t="s">
        <v>24</v>
      </c>
      <c r="BC7" s="98"/>
      <c r="BD7" s="98" t="s">
        <v>25</v>
      </c>
      <c r="BE7" s="98"/>
      <c r="BF7" s="98" t="s">
        <v>26</v>
      </c>
      <c r="BG7" s="98"/>
      <c r="BH7" s="98" t="s">
        <v>27</v>
      </c>
      <c r="BI7" s="98"/>
      <c r="BJ7" s="98" t="s">
        <v>28</v>
      </c>
      <c r="BK7" s="98"/>
      <c r="BL7" s="98" t="s">
        <v>29</v>
      </c>
      <c r="BM7" s="98"/>
      <c r="BN7" s="98" t="s">
        <v>30</v>
      </c>
      <c r="BO7" s="98"/>
      <c r="BP7" s="98" t="s">
        <v>31</v>
      </c>
      <c r="BQ7" s="98"/>
      <c r="BR7" s="98" t="s">
        <v>32</v>
      </c>
      <c r="BS7" s="98"/>
      <c r="BT7" s="98" t="s">
        <v>33</v>
      </c>
      <c r="BU7" s="98"/>
      <c r="BV7" s="98" t="s">
        <v>34</v>
      </c>
      <c r="BW7" s="98"/>
      <c r="BX7" s="98" t="s">
        <v>35</v>
      </c>
      <c r="BY7" s="98"/>
      <c r="BZ7" s="98" t="s">
        <v>36</v>
      </c>
      <c r="CA7" s="98"/>
      <c r="CB7" s="98" t="s">
        <v>37</v>
      </c>
      <c r="CC7" s="98"/>
      <c r="CD7" s="98" t="s">
        <v>38</v>
      </c>
      <c r="CE7" s="98"/>
      <c r="CF7" s="98" t="s">
        <v>39</v>
      </c>
      <c r="CG7" s="98"/>
      <c r="CH7" s="98" t="s">
        <v>40</v>
      </c>
      <c r="CI7" s="119"/>
      <c r="CJ7" s="98" t="s">
        <v>76</v>
      </c>
      <c r="CK7" s="119"/>
      <c r="CL7" s="98" t="s">
        <v>77</v>
      </c>
      <c r="CM7" s="119"/>
      <c r="CN7" s="98" t="s">
        <v>78</v>
      </c>
      <c r="CO7" s="119"/>
    </row>
    <row r="8" spans="2:93" ht="19.5" customHeight="1" x14ac:dyDescent="0.25">
      <c r="B8" s="109"/>
      <c r="C8" s="111"/>
      <c r="D8" s="111"/>
      <c r="E8" s="113"/>
      <c r="F8" s="116"/>
      <c r="H8" s="27" t="s">
        <v>48</v>
      </c>
      <c r="I8" s="35" t="s">
        <v>71</v>
      </c>
      <c r="J8" s="35" t="s">
        <v>48</v>
      </c>
      <c r="K8" s="35" t="s">
        <v>71</v>
      </c>
      <c r="L8" s="35" t="s">
        <v>48</v>
      </c>
      <c r="M8" s="35" t="s">
        <v>71</v>
      </c>
      <c r="N8" s="35" t="s">
        <v>48</v>
      </c>
      <c r="O8" s="35" t="s">
        <v>71</v>
      </c>
      <c r="P8" s="35" t="s">
        <v>48</v>
      </c>
      <c r="Q8" s="35" t="s">
        <v>71</v>
      </c>
      <c r="R8" s="35" t="s">
        <v>48</v>
      </c>
      <c r="S8" s="35" t="s">
        <v>71</v>
      </c>
      <c r="T8" s="35" t="s">
        <v>48</v>
      </c>
      <c r="U8" s="35" t="s">
        <v>71</v>
      </c>
      <c r="V8" s="35" t="s">
        <v>48</v>
      </c>
      <c r="W8" s="35" t="s">
        <v>71</v>
      </c>
      <c r="X8" s="35" t="s">
        <v>48</v>
      </c>
      <c r="Y8" s="35" t="s">
        <v>71</v>
      </c>
      <c r="Z8" s="35" t="s">
        <v>48</v>
      </c>
      <c r="AA8" s="35" t="s">
        <v>71</v>
      </c>
      <c r="AB8" s="35" t="s">
        <v>48</v>
      </c>
      <c r="AC8" s="35" t="s">
        <v>71</v>
      </c>
      <c r="AD8" s="35" t="s">
        <v>48</v>
      </c>
      <c r="AE8" s="35" t="s">
        <v>71</v>
      </c>
      <c r="AF8" s="35" t="s">
        <v>48</v>
      </c>
      <c r="AG8" s="35" t="s">
        <v>71</v>
      </c>
      <c r="AH8" s="35" t="s">
        <v>48</v>
      </c>
      <c r="AI8" s="35" t="s">
        <v>71</v>
      </c>
      <c r="AJ8" s="35" t="s">
        <v>48</v>
      </c>
      <c r="AK8" s="35" t="s">
        <v>71</v>
      </c>
      <c r="AL8" s="35" t="s">
        <v>48</v>
      </c>
      <c r="AM8" s="35" t="s">
        <v>71</v>
      </c>
      <c r="AN8" s="35" t="s">
        <v>48</v>
      </c>
      <c r="AO8" s="35" t="s">
        <v>71</v>
      </c>
      <c r="AP8" s="35" t="s">
        <v>48</v>
      </c>
      <c r="AQ8" s="35" t="s">
        <v>71</v>
      </c>
      <c r="AR8" s="35" t="s">
        <v>48</v>
      </c>
      <c r="AS8" s="35" t="s">
        <v>71</v>
      </c>
      <c r="AT8" s="35" t="s">
        <v>48</v>
      </c>
      <c r="AU8" s="35" t="s">
        <v>71</v>
      </c>
      <c r="AV8" s="35" t="s">
        <v>48</v>
      </c>
      <c r="AW8" s="35" t="s">
        <v>71</v>
      </c>
      <c r="AX8" s="35" t="s">
        <v>48</v>
      </c>
      <c r="AY8" s="35" t="s">
        <v>71</v>
      </c>
      <c r="AZ8" s="35" t="s">
        <v>48</v>
      </c>
      <c r="BA8" s="35" t="s">
        <v>71</v>
      </c>
      <c r="BB8" s="35" t="s">
        <v>48</v>
      </c>
      <c r="BC8" s="35" t="s">
        <v>71</v>
      </c>
      <c r="BD8" s="35" t="s">
        <v>48</v>
      </c>
      <c r="BE8" s="35" t="s">
        <v>71</v>
      </c>
      <c r="BF8" s="35" t="s">
        <v>48</v>
      </c>
      <c r="BG8" s="35" t="s">
        <v>71</v>
      </c>
      <c r="BH8" s="35" t="s">
        <v>48</v>
      </c>
      <c r="BI8" s="35" t="s">
        <v>71</v>
      </c>
      <c r="BJ8" s="35" t="s">
        <v>48</v>
      </c>
      <c r="BK8" s="35" t="s">
        <v>71</v>
      </c>
      <c r="BL8" s="35" t="s">
        <v>48</v>
      </c>
      <c r="BM8" s="35" t="s">
        <v>71</v>
      </c>
      <c r="BN8" s="35" t="s">
        <v>48</v>
      </c>
      <c r="BO8" s="35" t="s">
        <v>71</v>
      </c>
      <c r="BP8" s="35" t="s">
        <v>48</v>
      </c>
      <c r="BQ8" s="35" t="s">
        <v>71</v>
      </c>
      <c r="BR8" s="35" t="s">
        <v>48</v>
      </c>
      <c r="BS8" s="35" t="s">
        <v>71</v>
      </c>
      <c r="BT8" s="35" t="s">
        <v>48</v>
      </c>
      <c r="BU8" s="35" t="s">
        <v>71</v>
      </c>
      <c r="BV8" s="35" t="s">
        <v>48</v>
      </c>
      <c r="BW8" s="35" t="s">
        <v>71</v>
      </c>
      <c r="BX8" s="35" t="s">
        <v>48</v>
      </c>
      <c r="BY8" s="35" t="s">
        <v>71</v>
      </c>
      <c r="BZ8" s="35" t="s">
        <v>48</v>
      </c>
      <c r="CA8" s="35" t="s">
        <v>71</v>
      </c>
      <c r="CB8" s="35" t="s">
        <v>48</v>
      </c>
      <c r="CC8" s="35" t="s">
        <v>71</v>
      </c>
      <c r="CD8" s="35" t="s">
        <v>48</v>
      </c>
      <c r="CE8" s="35" t="s">
        <v>71</v>
      </c>
      <c r="CF8" s="35" t="s">
        <v>48</v>
      </c>
      <c r="CG8" s="35" t="s">
        <v>71</v>
      </c>
      <c r="CH8" s="35" t="s">
        <v>48</v>
      </c>
      <c r="CI8" s="28" t="s">
        <v>71</v>
      </c>
      <c r="CJ8" s="35" t="s">
        <v>48</v>
      </c>
      <c r="CK8" s="28" t="s">
        <v>71</v>
      </c>
      <c r="CL8" s="35" t="s">
        <v>48</v>
      </c>
      <c r="CM8" s="28" t="s">
        <v>71</v>
      </c>
      <c r="CN8" s="35" t="s">
        <v>48</v>
      </c>
      <c r="CO8" s="28" t="s">
        <v>71</v>
      </c>
    </row>
    <row r="9" spans="2:93" ht="19.5" customHeight="1" x14ac:dyDescent="0.25">
      <c r="B9" s="50" t="s">
        <v>50</v>
      </c>
      <c r="C9" s="62">
        <v>3504714.1301355851</v>
      </c>
      <c r="D9" s="51">
        <f t="shared" ref="D9:D26" si="0">C9/$C$27</f>
        <v>5.9573914154668117E-2</v>
      </c>
      <c r="E9" s="64">
        <f>C9/'DISTRIBUIÇÃO CUSTO'!C$31</f>
        <v>200.57792502155229</v>
      </c>
      <c r="F9" s="81">
        <f>SUM(H9,J9,L9,N9,P9,R9,T9,V9,X9,Z9,AB9,AD9,AF9,AH9,AJ9,AL9,,AN9,AP9,AR9,AT9,AV9,AX9,AZ9,BB9,BD9,BF9,BH9,BJ9,BL9,BN9,BP9,BR9,BT9,BV9,BX9,BZ9,CB9,CD9,CF9,CH9,CJ9,CL9,CN9)</f>
        <v>1.0000000000000004</v>
      </c>
      <c r="H9" s="52">
        <v>7.0000000000000007E-2</v>
      </c>
      <c r="I9" s="53">
        <f t="shared" ref="I9:I26" si="1">$C9*H9</f>
        <v>245329.98910949097</v>
      </c>
      <c r="J9" s="54">
        <v>0.06</v>
      </c>
      <c r="K9" s="53">
        <f t="shared" ref="K9:K26" si="2">$C9*J9</f>
        <v>210282.84780813509</v>
      </c>
      <c r="L9" s="54">
        <v>0.06</v>
      </c>
      <c r="M9" s="53">
        <f t="shared" ref="M9:M26" si="3">$C9*L9</f>
        <v>210282.84780813509</v>
      </c>
      <c r="N9" s="54">
        <v>0.04</v>
      </c>
      <c r="O9" s="53">
        <f t="shared" ref="O9:O26" si="4">$C9*N9</f>
        <v>140188.56520542339</v>
      </c>
      <c r="P9" s="54">
        <v>0.04</v>
      </c>
      <c r="Q9" s="53">
        <f t="shared" ref="Q9:Q26" si="5">$C9*P9</f>
        <v>140188.56520542339</v>
      </c>
      <c r="R9" s="54">
        <v>0.04</v>
      </c>
      <c r="S9" s="53">
        <f t="shared" ref="S9:S26" si="6">$C9*R9</f>
        <v>140188.56520542339</v>
      </c>
      <c r="T9" s="54">
        <f>(100%-$R$9-$P$9-$N$9-$L$9-$J$9-$H$9)/($E$31-6)</f>
        <v>1.8648648648648642E-2</v>
      </c>
      <c r="U9" s="53">
        <f t="shared" ref="U9:U26" si="7">$C9*T9</f>
        <v>65358.182426852778</v>
      </c>
      <c r="V9" s="54">
        <f t="shared" ref="V9" si="8">(100%-$R$9-$P$9-$N$9-$L$9-$J$9-$H$9)/($E$31-6)</f>
        <v>1.8648648648648642E-2</v>
      </c>
      <c r="W9" s="53">
        <f t="shared" ref="W9:W11" si="9">$C9*V9</f>
        <v>65358.182426852778</v>
      </c>
      <c r="X9" s="54">
        <f t="shared" ref="X9" si="10">(100%-$R$9-$P$9-$N$9-$L$9-$J$9-$H$9)/($E$31-6)</f>
        <v>1.8648648648648642E-2</v>
      </c>
      <c r="Y9" s="53">
        <f t="shared" ref="Y9:Y11" si="11">$C9*X9</f>
        <v>65358.182426852778</v>
      </c>
      <c r="Z9" s="54">
        <f t="shared" ref="Z9" si="12">(100%-$R$9-$P$9-$N$9-$L$9-$J$9-$H$9)/($E$31-6)</f>
        <v>1.8648648648648642E-2</v>
      </c>
      <c r="AA9" s="53">
        <f t="shared" ref="AA9:AA11" si="13">$C9*Z9</f>
        <v>65358.182426852778</v>
      </c>
      <c r="AB9" s="54">
        <f t="shared" ref="AB9" si="14">(100%-$R$9-$P$9-$N$9-$L$9-$J$9-$H$9)/($E$31-6)</f>
        <v>1.8648648648648642E-2</v>
      </c>
      <c r="AC9" s="53">
        <f t="shared" ref="AC9:AC11" si="15">$C9*AB9</f>
        <v>65358.182426852778</v>
      </c>
      <c r="AD9" s="54">
        <f t="shared" ref="AD9" si="16">(100%-$R$9-$P$9-$N$9-$L$9-$J$9-$H$9)/($E$31-6)</f>
        <v>1.8648648648648642E-2</v>
      </c>
      <c r="AE9" s="53">
        <f t="shared" ref="AE9" si="17">$C9*AD9</f>
        <v>65358.182426852778</v>
      </c>
      <c r="AF9" s="54">
        <f t="shared" ref="AF9" si="18">(100%-$R$9-$P$9-$N$9-$L$9-$J$9-$H$9)/($E$31-6)</f>
        <v>1.8648648648648642E-2</v>
      </c>
      <c r="AG9" s="53">
        <f t="shared" ref="AG9" si="19">$C9*AF9</f>
        <v>65358.182426852778</v>
      </c>
      <c r="AH9" s="54">
        <f t="shared" ref="AH9" si="20">(100%-$R$9-$P$9-$N$9-$L$9-$J$9-$H$9)/($E$31-6)</f>
        <v>1.8648648648648642E-2</v>
      </c>
      <c r="AI9" s="53">
        <f t="shared" ref="AI9" si="21">$C9*AH9</f>
        <v>65358.182426852778</v>
      </c>
      <c r="AJ9" s="54">
        <f t="shared" ref="AJ9" si="22">(100%-$R$9-$P$9-$N$9-$L$9-$J$9-$H$9)/($E$31-6)</f>
        <v>1.8648648648648642E-2</v>
      </c>
      <c r="AK9" s="53">
        <f t="shared" ref="AK9" si="23">$C9*AJ9</f>
        <v>65358.182426852778</v>
      </c>
      <c r="AL9" s="54">
        <f t="shared" ref="AL9" si="24">(100%-$R$9-$P$9-$N$9-$L$9-$J$9-$H$9)/($E$31-6)</f>
        <v>1.8648648648648642E-2</v>
      </c>
      <c r="AM9" s="53">
        <f t="shared" ref="AM9" si="25">$C9*AL9</f>
        <v>65358.182426852778</v>
      </c>
      <c r="AN9" s="54">
        <f t="shared" ref="AN9" si="26">(100%-$R$9-$P$9-$N$9-$L$9-$J$9-$H$9)/($E$31-6)</f>
        <v>1.8648648648648642E-2</v>
      </c>
      <c r="AO9" s="53">
        <f t="shared" ref="AO9" si="27">$C9*AN9</f>
        <v>65358.182426852778</v>
      </c>
      <c r="AP9" s="54">
        <f t="shared" ref="AP9" si="28">(100%-$R$9-$P$9-$N$9-$L$9-$J$9-$H$9)/($E$31-6)</f>
        <v>1.8648648648648642E-2</v>
      </c>
      <c r="AQ9" s="53">
        <f t="shared" ref="AQ9" si="29">$C9*AP9</f>
        <v>65358.182426852778</v>
      </c>
      <c r="AR9" s="54">
        <f t="shared" ref="AR9" si="30">(100%-$R$9-$P$9-$N$9-$L$9-$J$9-$H$9)/($E$31-6)</f>
        <v>1.8648648648648642E-2</v>
      </c>
      <c r="AS9" s="53">
        <f t="shared" ref="AS9" si="31">$C9*AR9</f>
        <v>65358.182426852778</v>
      </c>
      <c r="AT9" s="54">
        <f t="shared" ref="AT9" si="32">(100%-$R$9-$P$9-$N$9-$L$9-$J$9-$H$9)/($E$31-6)</f>
        <v>1.8648648648648642E-2</v>
      </c>
      <c r="AU9" s="53">
        <f t="shared" ref="AU9" si="33">$C9*AT9</f>
        <v>65358.182426852778</v>
      </c>
      <c r="AV9" s="54">
        <f t="shared" ref="AV9" si="34">(100%-$R$9-$P$9-$N$9-$L$9-$J$9-$H$9)/($E$31-6)</f>
        <v>1.8648648648648642E-2</v>
      </c>
      <c r="AW9" s="53">
        <f t="shared" ref="AW9" si="35">$C9*AV9</f>
        <v>65358.182426852778</v>
      </c>
      <c r="AX9" s="54">
        <f t="shared" ref="AX9" si="36">(100%-$R$9-$P$9-$N$9-$L$9-$J$9-$H$9)/($E$31-6)</f>
        <v>1.8648648648648642E-2</v>
      </c>
      <c r="AY9" s="53">
        <f t="shared" ref="AY9" si="37">$C9*AX9</f>
        <v>65358.182426852778</v>
      </c>
      <c r="AZ9" s="54">
        <f t="shared" ref="AZ9" si="38">(100%-$R$9-$P$9-$N$9-$L$9-$J$9-$H$9)/($E$31-6)</f>
        <v>1.8648648648648642E-2</v>
      </c>
      <c r="BA9" s="53">
        <f t="shared" ref="BA9" si="39">$C9*AZ9</f>
        <v>65358.182426852778</v>
      </c>
      <c r="BB9" s="54">
        <f t="shared" ref="BB9" si="40">(100%-$R$9-$P$9-$N$9-$L$9-$J$9-$H$9)/($E$31-6)</f>
        <v>1.8648648648648642E-2</v>
      </c>
      <c r="BC9" s="53">
        <f t="shared" ref="BC9" si="41">$C9*BB9</f>
        <v>65358.182426852778</v>
      </c>
      <c r="BD9" s="54">
        <f t="shared" ref="BD9" si="42">(100%-$R$9-$P$9-$N$9-$L$9-$J$9-$H$9)/($E$31-6)</f>
        <v>1.8648648648648642E-2</v>
      </c>
      <c r="BE9" s="53">
        <f t="shared" ref="BE9" si="43">$C9*BD9</f>
        <v>65358.182426852778</v>
      </c>
      <c r="BF9" s="54">
        <f t="shared" ref="BF9" si="44">(100%-$R$9-$P$9-$N$9-$L$9-$J$9-$H$9)/($E$31-6)</f>
        <v>1.8648648648648642E-2</v>
      </c>
      <c r="BG9" s="53">
        <f t="shared" ref="BG9" si="45">$C9*BF9</f>
        <v>65358.182426852778</v>
      </c>
      <c r="BH9" s="54">
        <f t="shared" ref="BH9" si="46">(100%-$R$9-$P$9-$N$9-$L$9-$J$9-$H$9)/($E$31-6)</f>
        <v>1.8648648648648642E-2</v>
      </c>
      <c r="BI9" s="53">
        <f t="shared" ref="BI9" si="47">$C9*BH9</f>
        <v>65358.182426852778</v>
      </c>
      <c r="BJ9" s="54">
        <f t="shared" ref="BJ9" si="48">(100%-$R$9-$P$9-$N$9-$L$9-$J$9-$H$9)/($E$31-6)</f>
        <v>1.8648648648648642E-2</v>
      </c>
      <c r="BK9" s="53">
        <f t="shared" ref="BK9" si="49">$C9*BJ9</f>
        <v>65358.182426852778</v>
      </c>
      <c r="BL9" s="54">
        <f t="shared" ref="BL9" si="50">(100%-$R$9-$P$9-$N$9-$L$9-$J$9-$H$9)/($E$31-6)</f>
        <v>1.8648648648648642E-2</v>
      </c>
      <c r="BM9" s="53">
        <f t="shared" ref="BM9" si="51">$C9*BL9</f>
        <v>65358.182426852778</v>
      </c>
      <c r="BN9" s="54">
        <f t="shared" ref="BN9" si="52">(100%-$R$9-$P$9-$N$9-$L$9-$J$9-$H$9)/($E$31-6)</f>
        <v>1.8648648648648642E-2</v>
      </c>
      <c r="BO9" s="53">
        <f t="shared" ref="BO9" si="53">$C9*BN9</f>
        <v>65358.182426852778</v>
      </c>
      <c r="BP9" s="54">
        <f t="shared" ref="BP9" si="54">(100%-$R$9-$P$9-$N$9-$L$9-$J$9-$H$9)/($E$31-6)</f>
        <v>1.8648648648648642E-2</v>
      </c>
      <c r="BQ9" s="53">
        <f t="shared" ref="BQ9" si="55">$C9*BP9</f>
        <v>65358.182426852778</v>
      </c>
      <c r="BR9" s="54">
        <f t="shared" ref="BR9" si="56">(100%-$R$9-$P$9-$N$9-$L$9-$J$9-$H$9)/($E$31-6)</f>
        <v>1.8648648648648642E-2</v>
      </c>
      <c r="BS9" s="53">
        <f t="shared" ref="BS9" si="57">$C9*BR9</f>
        <v>65358.182426852778</v>
      </c>
      <c r="BT9" s="54">
        <f t="shared" ref="BT9" si="58">(100%-$R$9-$P$9-$N$9-$L$9-$J$9-$H$9)/($E$31-6)</f>
        <v>1.8648648648648642E-2</v>
      </c>
      <c r="BU9" s="53">
        <f t="shared" ref="BU9" si="59">$C9*BT9</f>
        <v>65358.182426852778</v>
      </c>
      <c r="BV9" s="54">
        <f t="shared" ref="BV9" si="60">(100%-$R$9-$P$9-$N$9-$L$9-$J$9-$H$9)/($E$31-6)</f>
        <v>1.8648648648648642E-2</v>
      </c>
      <c r="BW9" s="53">
        <f t="shared" ref="BW9" si="61">$C9*BV9</f>
        <v>65358.182426852778</v>
      </c>
      <c r="BX9" s="54">
        <f t="shared" ref="BX9" si="62">(100%-$R$9-$P$9-$N$9-$L$9-$J$9-$H$9)/($E$31-6)</f>
        <v>1.8648648648648642E-2</v>
      </c>
      <c r="BY9" s="53">
        <f t="shared" ref="BY9" si="63">$C9*BX9</f>
        <v>65358.182426852778</v>
      </c>
      <c r="BZ9" s="54">
        <f t="shared" ref="BZ9" si="64">(100%-$R$9-$P$9-$N$9-$L$9-$J$9-$H$9)/($E$31-6)</f>
        <v>1.8648648648648642E-2</v>
      </c>
      <c r="CA9" s="53">
        <f t="shared" ref="CA9" si="65">$C9*BZ9</f>
        <v>65358.182426852778</v>
      </c>
      <c r="CB9" s="54">
        <f t="shared" ref="CB9" si="66">(100%-$R$9-$P$9-$N$9-$L$9-$J$9-$H$9)/($E$31-6)</f>
        <v>1.8648648648648642E-2</v>
      </c>
      <c r="CC9" s="53">
        <f t="shared" ref="CC9" si="67">$C9*CB9</f>
        <v>65358.182426852778</v>
      </c>
      <c r="CD9" s="54">
        <f t="shared" ref="CD9" si="68">(100%-$R$9-$P$9-$N$9-$L$9-$J$9-$H$9)/($E$31-6)</f>
        <v>1.8648648648648642E-2</v>
      </c>
      <c r="CE9" s="53">
        <f t="shared" ref="CE9" si="69">$C9*CD9</f>
        <v>65358.182426852778</v>
      </c>
      <c r="CF9" s="54">
        <f t="shared" ref="CF9" si="70">(100%-$R$9-$P$9-$N$9-$L$9-$J$9-$H$9)/($E$31-6)</f>
        <v>1.8648648648648642E-2</v>
      </c>
      <c r="CG9" s="53">
        <f t="shared" ref="CG9" si="71">$C9*CF9</f>
        <v>65358.182426852778</v>
      </c>
      <c r="CH9" s="54">
        <f t="shared" ref="CH9" si="72">(100%-$R$9-$P$9-$N$9-$L$9-$J$9-$H$9)/($E$31-6)</f>
        <v>1.8648648648648642E-2</v>
      </c>
      <c r="CI9" s="53">
        <f t="shared" ref="CI9" si="73">$C9*CH9</f>
        <v>65358.182426852778</v>
      </c>
      <c r="CJ9" s="54">
        <f t="shared" ref="CJ9" si="74">(100%-$R$9-$P$9-$N$9-$L$9-$J$9-$H$9)/($E$31-6)</f>
        <v>1.8648648648648642E-2</v>
      </c>
      <c r="CK9" s="53">
        <f t="shared" ref="CK9" si="75">$C9*CJ9</f>
        <v>65358.182426852778</v>
      </c>
      <c r="CL9" s="54">
        <f t="shared" ref="CL9" si="76">(100%-$R$9-$P$9-$N$9-$L$9-$J$9-$H$9)/($E$31-6)</f>
        <v>1.8648648648648642E-2</v>
      </c>
      <c r="CM9" s="53">
        <f t="shared" ref="CM9" si="77">$C9*CL9</f>
        <v>65358.182426852778</v>
      </c>
      <c r="CN9" s="54">
        <f t="shared" ref="CN9" si="78">(100%-$R$9-$P$9-$N$9-$L$9-$J$9-$H$9)/($E$31-6)</f>
        <v>1.8648648648648642E-2</v>
      </c>
      <c r="CO9" s="53">
        <f t="shared" ref="CO9" si="79">$C9*CN9</f>
        <v>65358.182426852778</v>
      </c>
    </row>
    <row r="10" spans="2:93" ht="19.5" customHeight="1" x14ac:dyDescent="0.25">
      <c r="B10" s="46" t="s">
        <v>53</v>
      </c>
      <c r="C10" s="63">
        <v>1364651.1220984331</v>
      </c>
      <c r="D10" s="30">
        <f t="shared" si="0"/>
        <v>2.3196644799049117E-2</v>
      </c>
      <c r="E10" s="65">
        <f>C10/'DISTRIBUIÇÃO CUSTO'!C$31</f>
        <v>78.100204548850741</v>
      </c>
      <c r="F10" s="82">
        <f t="shared" ref="F10:F26" si="80">SUM(H10,J10,L10,N10,P10,R10,T10,V10,X10,Z10,AB10,AD10,AF10,AH10,AJ10,AL10,,AN10,AP10,AR10,AT10,AV10,AX10,AZ10,BB10,BD10,BF10,BH10,BJ10,BL10,BN10,BP10,BR10,BT10,BV10,BX10,BZ10,CB10,CD10,CF10,CH10,CJ10,CL10,CN10)</f>
        <v>1.0000000000000002</v>
      </c>
      <c r="H10" s="29">
        <f>100%/11</f>
        <v>9.0909090909090912E-2</v>
      </c>
      <c r="I10" s="37">
        <f t="shared" si="1"/>
        <v>124059.19291803938</v>
      </c>
      <c r="J10" s="29">
        <f t="shared" ref="J10" si="81">100%/11</f>
        <v>9.0909090909090912E-2</v>
      </c>
      <c r="K10" s="37">
        <f t="shared" si="2"/>
        <v>124059.19291803938</v>
      </c>
      <c r="L10" s="29">
        <f t="shared" ref="L10" si="82">100%/11</f>
        <v>9.0909090909090912E-2</v>
      </c>
      <c r="M10" s="37">
        <f t="shared" si="3"/>
        <v>124059.19291803938</v>
      </c>
      <c r="N10" s="29">
        <f t="shared" ref="N10" si="83">100%/11</f>
        <v>9.0909090909090912E-2</v>
      </c>
      <c r="O10" s="37">
        <f t="shared" si="4"/>
        <v>124059.19291803938</v>
      </c>
      <c r="P10" s="29">
        <f t="shared" ref="P10" si="84">100%/11</f>
        <v>9.0909090909090912E-2</v>
      </c>
      <c r="Q10" s="37">
        <f t="shared" si="5"/>
        <v>124059.19291803938</v>
      </c>
      <c r="R10" s="29">
        <f t="shared" ref="R10" si="85">100%/11</f>
        <v>9.0909090909090912E-2</v>
      </c>
      <c r="S10" s="37">
        <f t="shared" si="6"/>
        <v>124059.19291803938</v>
      </c>
      <c r="T10" s="29">
        <f t="shared" ref="T10" si="86">100%/11</f>
        <v>9.0909090909090912E-2</v>
      </c>
      <c r="U10" s="37">
        <f t="shared" si="7"/>
        <v>124059.19291803938</v>
      </c>
      <c r="V10" s="29">
        <f t="shared" ref="V10" si="87">100%/11</f>
        <v>9.0909090909090912E-2</v>
      </c>
      <c r="W10" s="37">
        <f t="shared" si="9"/>
        <v>124059.19291803938</v>
      </c>
      <c r="X10" s="29">
        <f t="shared" ref="X10" si="88">100%/11</f>
        <v>9.0909090909090912E-2</v>
      </c>
      <c r="Y10" s="37">
        <f t="shared" si="11"/>
        <v>124059.19291803938</v>
      </c>
      <c r="Z10" s="29">
        <f t="shared" ref="Z10" si="89">100%/11</f>
        <v>9.0909090909090912E-2</v>
      </c>
      <c r="AA10" s="37">
        <f t="shared" si="13"/>
        <v>124059.19291803938</v>
      </c>
      <c r="AB10" s="29">
        <f t="shared" ref="AB10" si="90">100%/11</f>
        <v>9.0909090909090912E-2</v>
      </c>
      <c r="AC10" s="37">
        <f t="shared" si="15"/>
        <v>124059.19291803938</v>
      </c>
      <c r="AD10" s="36"/>
      <c r="AE10" s="37">
        <f t="shared" ref="AE10:AE26" si="91">$C10*AD10</f>
        <v>0</v>
      </c>
      <c r="AF10" s="36"/>
      <c r="AG10" s="37">
        <f t="shared" ref="AG10:AG26" si="92">$C10*AF10</f>
        <v>0</v>
      </c>
      <c r="AH10" s="36"/>
      <c r="AI10" s="37">
        <f t="shared" ref="AI10:AI26" si="93">$C10*AH10</f>
        <v>0</v>
      </c>
      <c r="AJ10" s="36"/>
      <c r="AK10" s="37">
        <f t="shared" ref="AK10:AK26" si="94">$C10*AJ10</f>
        <v>0</v>
      </c>
      <c r="AL10" s="36"/>
      <c r="AM10" s="37">
        <f t="shared" ref="AM10:AM26" si="95">$C10*AL10</f>
        <v>0</v>
      </c>
      <c r="AN10" s="36"/>
      <c r="AO10" s="37">
        <f t="shared" ref="AO10:AO26" si="96">$C10*AN10</f>
        <v>0</v>
      </c>
      <c r="AP10" s="36"/>
      <c r="AQ10" s="37">
        <f t="shared" ref="AQ10:AQ26" si="97">$C10*AP10</f>
        <v>0</v>
      </c>
      <c r="AR10" s="36"/>
      <c r="AS10" s="37">
        <f t="shared" ref="AS10:AS26" si="98">$C10*AR10</f>
        <v>0</v>
      </c>
      <c r="AT10" s="36"/>
      <c r="AU10" s="37">
        <f t="shared" ref="AU10:AU26" si="99">$C10*AT10</f>
        <v>0</v>
      </c>
      <c r="AV10" s="36"/>
      <c r="AW10" s="37">
        <f t="shared" ref="AW10:AW26" si="100">$C10*AV10</f>
        <v>0</v>
      </c>
      <c r="AX10" s="36"/>
      <c r="AY10" s="37">
        <f t="shared" ref="AY10:AY26" si="101">$C10*AX10</f>
        <v>0</v>
      </c>
      <c r="AZ10" s="36"/>
      <c r="BA10" s="37">
        <f t="shared" ref="BA10:BA26" si="102">$C10*AZ10</f>
        <v>0</v>
      </c>
      <c r="BB10" s="36"/>
      <c r="BC10" s="37">
        <f t="shared" ref="BC10:BC26" si="103">$C10*BB10</f>
        <v>0</v>
      </c>
      <c r="BD10" s="36"/>
      <c r="BE10" s="37">
        <f t="shared" ref="BE10:BE26" si="104">$C10*BD10</f>
        <v>0</v>
      </c>
      <c r="BF10" s="36"/>
      <c r="BG10" s="37">
        <f t="shared" ref="BG10:BG26" si="105">$C10*BF10</f>
        <v>0</v>
      </c>
      <c r="BH10" s="36"/>
      <c r="BI10" s="37">
        <f t="shared" ref="BI10:BI26" si="106">$C10*BH10</f>
        <v>0</v>
      </c>
      <c r="BJ10" s="36"/>
      <c r="BK10" s="37">
        <f t="shared" ref="BK10:BK26" si="107">$C10*BJ10</f>
        <v>0</v>
      </c>
      <c r="BL10" s="36"/>
      <c r="BM10" s="37">
        <f t="shared" ref="BM10:BM26" si="108">$C10*BL10</f>
        <v>0</v>
      </c>
      <c r="BN10" s="36"/>
      <c r="BO10" s="37">
        <f t="shared" ref="BO10:BO26" si="109">$C10*BN10</f>
        <v>0</v>
      </c>
      <c r="BP10" s="36"/>
      <c r="BQ10" s="37">
        <f t="shared" ref="BQ10:BQ26" si="110">$C10*BP10</f>
        <v>0</v>
      </c>
      <c r="BR10" s="36"/>
      <c r="BS10" s="37">
        <f t="shared" ref="BS10:BS26" si="111">$C10*BR10</f>
        <v>0</v>
      </c>
      <c r="BT10" s="36"/>
      <c r="BU10" s="37">
        <f t="shared" ref="BU10:BU26" si="112">$C10*BT10</f>
        <v>0</v>
      </c>
      <c r="BV10" s="36"/>
      <c r="BW10" s="37">
        <f t="shared" ref="BW10:BW26" si="113">$C10*BV10</f>
        <v>0</v>
      </c>
      <c r="BX10" s="36"/>
      <c r="BY10" s="37">
        <f t="shared" ref="BY10:BY26" si="114">$C10*BX10</f>
        <v>0</v>
      </c>
      <c r="BZ10" s="36"/>
      <c r="CA10" s="37">
        <f t="shared" ref="CA10:CA26" si="115">$C10*BZ10</f>
        <v>0</v>
      </c>
      <c r="CB10" s="36"/>
      <c r="CC10" s="37">
        <f t="shared" ref="CC10:CC26" si="116">$C10*CB10</f>
        <v>0</v>
      </c>
      <c r="CD10" s="36"/>
      <c r="CE10" s="37">
        <f t="shared" ref="CE10:CE26" si="117">$C10*CD10</f>
        <v>0</v>
      </c>
      <c r="CF10" s="36"/>
      <c r="CG10" s="37">
        <f t="shared" ref="CG10:CG26" si="118">$C10*CF10</f>
        <v>0</v>
      </c>
      <c r="CH10" s="36"/>
      <c r="CI10" s="37">
        <f t="shared" ref="CI10:CI26" si="119">$C10*CH10</f>
        <v>0</v>
      </c>
      <c r="CJ10" s="36"/>
      <c r="CK10" s="37">
        <f t="shared" ref="CK10:CK26" si="120">$C10*CJ10</f>
        <v>0</v>
      </c>
      <c r="CL10" s="36"/>
      <c r="CM10" s="37">
        <f t="shared" ref="CM10:CM26" si="121">$C10*CL10</f>
        <v>0</v>
      </c>
      <c r="CN10" s="36"/>
      <c r="CO10" s="37">
        <f t="shared" ref="CO10:CO26" si="122">$C10*CN10</f>
        <v>0</v>
      </c>
    </row>
    <row r="11" spans="2:93" ht="19.5" customHeight="1" x14ac:dyDescent="0.25">
      <c r="B11" s="50" t="s">
        <v>54</v>
      </c>
      <c r="C11" s="62">
        <v>3138470.4473873368</v>
      </c>
      <c r="D11" s="51">
        <f t="shared" si="0"/>
        <v>5.3348422172847174E-2</v>
      </c>
      <c r="E11" s="64">
        <f>C11/'DISTRIBUIÇÃO CUSTO'!C$31</f>
        <v>179.61747141244339</v>
      </c>
      <c r="F11" s="81">
        <f t="shared" si="80"/>
        <v>1</v>
      </c>
      <c r="H11" s="52"/>
      <c r="I11" s="53">
        <f t="shared" si="1"/>
        <v>0</v>
      </c>
      <c r="J11" s="54"/>
      <c r="K11" s="53">
        <f t="shared" si="2"/>
        <v>0</v>
      </c>
      <c r="L11" s="54"/>
      <c r="M11" s="53">
        <f t="shared" si="3"/>
        <v>0</v>
      </c>
      <c r="N11" s="54"/>
      <c r="O11" s="53">
        <f t="shared" si="4"/>
        <v>0</v>
      </c>
      <c r="P11" s="54"/>
      <c r="Q11" s="53">
        <f t="shared" si="5"/>
        <v>0</v>
      </c>
      <c r="R11" s="54"/>
      <c r="S11" s="53">
        <f t="shared" si="6"/>
        <v>0</v>
      </c>
      <c r="T11" s="54">
        <f>100%/5</f>
        <v>0.2</v>
      </c>
      <c r="U11" s="53">
        <f t="shared" si="7"/>
        <v>627694.08947746735</v>
      </c>
      <c r="V11" s="54">
        <f t="shared" ref="V11" si="123">100%/5</f>
        <v>0.2</v>
      </c>
      <c r="W11" s="53">
        <f t="shared" si="9"/>
        <v>627694.08947746735</v>
      </c>
      <c r="X11" s="54">
        <f t="shared" ref="X11" si="124">100%/5</f>
        <v>0.2</v>
      </c>
      <c r="Y11" s="53">
        <f t="shared" si="11"/>
        <v>627694.08947746735</v>
      </c>
      <c r="Z11" s="54">
        <f t="shared" ref="Z11" si="125">100%/5</f>
        <v>0.2</v>
      </c>
      <c r="AA11" s="53">
        <f t="shared" si="13"/>
        <v>627694.08947746735</v>
      </c>
      <c r="AB11" s="54">
        <f t="shared" ref="AB11" si="126">100%/5</f>
        <v>0.2</v>
      </c>
      <c r="AC11" s="53">
        <f t="shared" si="15"/>
        <v>627694.08947746735</v>
      </c>
      <c r="AD11" s="54"/>
      <c r="AE11" s="53">
        <f t="shared" si="91"/>
        <v>0</v>
      </c>
      <c r="AF11" s="54"/>
      <c r="AG11" s="53">
        <f t="shared" si="92"/>
        <v>0</v>
      </c>
      <c r="AH11" s="54"/>
      <c r="AI11" s="53">
        <f t="shared" si="93"/>
        <v>0</v>
      </c>
      <c r="AJ11" s="54"/>
      <c r="AK11" s="53">
        <f t="shared" si="94"/>
        <v>0</v>
      </c>
      <c r="AL11" s="54"/>
      <c r="AM11" s="53">
        <f t="shared" si="95"/>
        <v>0</v>
      </c>
      <c r="AN11" s="54"/>
      <c r="AO11" s="53">
        <f t="shared" si="96"/>
        <v>0</v>
      </c>
      <c r="AP11" s="54"/>
      <c r="AQ11" s="53">
        <f t="shared" si="97"/>
        <v>0</v>
      </c>
      <c r="AR11" s="54"/>
      <c r="AS11" s="53">
        <f t="shared" si="98"/>
        <v>0</v>
      </c>
      <c r="AT11" s="54"/>
      <c r="AU11" s="53">
        <f t="shared" si="99"/>
        <v>0</v>
      </c>
      <c r="AV11" s="54"/>
      <c r="AW11" s="53">
        <f t="shared" si="100"/>
        <v>0</v>
      </c>
      <c r="AX11" s="54"/>
      <c r="AY11" s="53">
        <f t="shared" si="101"/>
        <v>0</v>
      </c>
      <c r="AZ11" s="54"/>
      <c r="BA11" s="53">
        <f t="shared" si="102"/>
        <v>0</v>
      </c>
      <c r="BB11" s="54"/>
      <c r="BC11" s="53">
        <f t="shared" si="103"/>
        <v>0</v>
      </c>
      <c r="BD11" s="54"/>
      <c r="BE11" s="53">
        <f t="shared" si="104"/>
        <v>0</v>
      </c>
      <c r="BF11" s="54"/>
      <c r="BG11" s="53">
        <f t="shared" si="105"/>
        <v>0</v>
      </c>
      <c r="BH11" s="54"/>
      <c r="BI11" s="53">
        <f t="shared" si="106"/>
        <v>0</v>
      </c>
      <c r="BJ11" s="54"/>
      <c r="BK11" s="53">
        <f t="shared" si="107"/>
        <v>0</v>
      </c>
      <c r="BL11" s="54"/>
      <c r="BM11" s="53">
        <f t="shared" si="108"/>
        <v>0</v>
      </c>
      <c r="BN11" s="54"/>
      <c r="BO11" s="53">
        <f t="shared" si="109"/>
        <v>0</v>
      </c>
      <c r="BP11" s="54"/>
      <c r="BQ11" s="53">
        <f t="shared" si="110"/>
        <v>0</v>
      </c>
      <c r="BR11" s="54"/>
      <c r="BS11" s="53">
        <f t="shared" si="111"/>
        <v>0</v>
      </c>
      <c r="BT11" s="54"/>
      <c r="BU11" s="53">
        <f t="shared" si="112"/>
        <v>0</v>
      </c>
      <c r="BV11" s="54"/>
      <c r="BW11" s="53">
        <f t="shared" si="113"/>
        <v>0</v>
      </c>
      <c r="BX11" s="54"/>
      <c r="BY11" s="53">
        <f t="shared" si="114"/>
        <v>0</v>
      </c>
      <c r="BZ11" s="54"/>
      <c r="CA11" s="53">
        <f t="shared" si="115"/>
        <v>0</v>
      </c>
      <c r="CB11" s="54"/>
      <c r="CC11" s="53">
        <f t="shared" si="116"/>
        <v>0</v>
      </c>
      <c r="CD11" s="54"/>
      <c r="CE11" s="53">
        <f t="shared" si="117"/>
        <v>0</v>
      </c>
      <c r="CF11" s="54"/>
      <c r="CG11" s="53">
        <f t="shared" si="118"/>
        <v>0</v>
      </c>
      <c r="CH11" s="54"/>
      <c r="CI11" s="53">
        <f t="shared" si="119"/>
        <v>0</v>
      </c>
      <c r="CJ11" s="54"/>
      <c r="CK11" s="53">
        <f t="shared" si="120"/>
        <v>0</v>
      </c>
      <c r="CL11" s="54"/>
      <c r="CM11" s="53">
        <f t="shared" si="121"/>
        <v>0</v>
      </c>
      <c r="CN11" s="54"/>
      <c r="CO11" s="53">
        <f t="shared" si="122"/>
        <v>0</v>
      </c>
    </row>
    <row r="12" spans="2:93" ht="19.5" customHeight="1" x14ac:dyDescent="0.25">
      <c r="B12" s="46" t="s">
        <v>89</v>
      </c>
      <c r="C12" s="63">
        <v>3178951.2120920005</v>
      </c>
      <c r="D12" s="30">
        <f t="shared" si="0"/>
        <v>5.4036523259522011E-2</v>
      </c>
      <c r="E12" s="65">
        <f>C12/'DISTRIBUIÇÃO CUSTO'!C$31</f>
        <v>181.93422179100651</v>
      </c>
      <c r="F12" s="82">
        <f t="shared" si="80"/>
        <v>0.99999999999999989</v>
      </c>
      <c r="H12" s="29">
        <f>100%/6</f>
        <v>0.16666666666666666</v>
      </c>
      <c r="I12" s="37">
        <f t="shared" ref="I12" si="127">$C12*H12</f>
        <v>529825.20201533334</v>
      </c>
      <c r="J12" s="29">
        <f t="shared" ref="J12" si="128">100%/6</f>
        <v>0.16666666666666666</v>
      </c>
      <c r="K12" s="37">
        <f t="shared" si="2"/>
        <v>529825.20201533334</v>
      </c>
      <c r="L12" s="29">
        <f t="shared" ref="L12" si="129">100%/6</f>
        <v>0.16666666666666666</v>
      </c>
      <c r="M12" s="37">
        <f t="shared" si="3"/>
        <v>529825.20201533334</v>
      </c>
      <c r="N12" s="29">
        <f t="shared" ref="N12" si="130">100%/6</f>
        <v>0.16666666666666666</v>
      </c>
      <c r="O12" s="37">
        <f t="shared" si="4"/>
        <v>529825.20201533334</v>
      </c>
      <c r="P12" s="29">
        <f t="shared" ref="P12" si="131">100%/6</f>
        <v>0.16666666666666666</v>
      </c>
      <c r="Q12" s="37">
        <f t="shared" si="5"/>
        <v>529825.20201533334</v>
      </c>
      <c r="R12" s="29">
        <f t="shared" ref="R12" si="132">100%/6</f>
        <v>0.16666666666666666</v>
      </c>
      <c r="S12" s="37">
        <f t="shared" si="6"/>
        <v>529825.20201533334</v>
      </c>
      <c r="T12" s="36"/>
      <c r="U12" s="37">
        <f t="shared" ref="U12" si="133">$C12*T12</f>
        <v>0</v>
      </c>
      <c r="V12" s="36"/>
      <c r="W12" s="37">
        <f t="shared" ref="W12" si="134">$C12*V12</f>
        <v>0</v>
      </c>
      <c r="X12" s="36"/>
      <c r="Y12" s="37">
        <f t="shared" ref="Y12" si="135">$C12*X12</f>
        <v>0</v>
      </c>
      <c r="Z12" s="36"/>
      <c r="AA12" s="37">
        <f t="shared" ref="AA12" si="136">$C12*Z12</f>
        <v>0</v>
      </c>
      <c r="AB12" s="36"/>
      <c r="AC12" s="37">
        <f t="shared" ref="AC12" si="137">$C12*AB12</f>
        <v>0</v>
      </c>
      <c r="AD12" s="36"/>
      <c r="AE12" s="37">
        <f t="shared" ref="AE12" si="138">$C12*AD12</f>
        <v>0</v>
      </c>
      <c r="AF12" s="36"/>
      <c r="AG12" s="37">
        <f t="shared" ref="AG12:AG13" si="139">$C12*AF12</f>
        <v>0</v>
      </c>
      <c r="AH12" s="36"/>
      <c r="AI12" s="37">
        <f t="shared" ref="AI12:AI13" si="140">$C12*AH12</f>
        <v>0</v>
      </c>
      <c r="AJ12" s="36"/>
      <c r="AK12" s="37">
        <f t="shared" ref="AK12:AK13" si="141">$C12*AJ12</f>
        <v>0</v>
      </c>
      <c r="AL12" s="36"/>
      <c r="AM12" s="37">
        <f t="shared" ref="AM12:AM14" si="142">$C12*AL12</f>
        <v>0</v>
      </c>
      <c r="AN12" s="36"/>
      <c r="AO12" s="37">
        <f t="shared" ref="AO12:AO15" si="143">$C12*AN12</f>
        <v>0</v>
      </c>
      <c r="AP12" s="36"/>
      <c r="AQ12" s="37">
        <f t="shared" ref="AQ12:AQ15" si="144">$C12*AP12</f>
        <v>0</v>
      </c>
      <c r="AR12" s="36"/>
      <c r="AS12" s="37">
        <f t="shared" ref="AS12:AS15" si="145">$C12*AR12</f>
        <v>0</v>
      </c>
      <c r="AT12" s="36"/>
      <c r="AU12" s="37">
        <f t="shared" ref="AU12:AU15" si="146">$C12*AT12</f>
        <v>0</v>
      </c>
      <c r="AV12" s="36"/>
      <c r="AW12" s="37">
        <f t="shared" ref="AW12:AW15" si="147">$C12*AV12</f>
        <v>0</v>
      </c>
      <c r="AX12" s="36"/>
      <c r="AY12" s="37">
        <f t="shared" ref="AY12:AY15" si="148">$C12*AX12</f>
        <v>0</v>
      </c>
      <c r="AZ12" s="36"/>
      <c r="BA12" s="37">
        <f t="shared" ref="BA12:BA15" si="149">$C12*AZ12</f>
        <v>0</v>
      </c>
      <c r="BB12" s="36"/>
      <c r="BC12" s="37">
        <f t="shared" ref="BC12:BC15" si="150">$C12*BB12</f>
        <v>0</v>
      </c>
      <c r="BD12" s="36"/>
      <c r="BE12" s="37">
        <f t="shared" ref="BE12:BE15" si="151">$C12*BD12</f>
        <v>0</v>
      </c>
      <c r="BF12" s="36"/>
      <c r="BG12" s="37">
        <f t="shared" ref="BG12:BG15" si="152">$C12*BF12</f>
        <v>0</v>
      </c>
      <c r="BH12" s="36"/>
      <c r="BI12" s="37">
        <f t="shared" ref="BI12:BI15" si="153">$C12*BH12</f>
        <v>0</v>
      </c>
      <c r="BJ12" s="36"/>
      <c r="BK12" s="37">
        <f t="shared" ref="BK12" si="154">$C12*BJ12</f>
        <v>0</v>
      </c>
      <c r="BL12" s="36"/>
      <c r="BM12" s="37">
        <f t="shared" ref="BM12" si="155">$C12*BL12</f>
        <v>0</v>
      </c>
      <c r="BN12" s="36"/>
      <c r="BO12" s="37">
        <f t="shared" ref="BO12" si="156">$C12*BN12</f>
        <v>0</v>
      </c>
      <c r="BP12" s="36"/>
      <c r="BQ12" s="37">
        <f t="shared" ref="BQ12" si="157">$C12*BP12</f>
        <v>0</v>
      </c>
      <c r="BR12" s="36"/>
      <c r="BS12" s="37">
        <f t="shared" ref="BS12" si="158">$C12*BR12</f>
        <v>0</v>
      </c>
      <c r="BT12" s="36"/>
      <c r="BU12" s="37">
        <f t="shared" ref="BU12" si="159">$C12*BT12</f>
        <v>0</v>
      </c>
      <c r="BV12" s="36"/>
      <c r="BW12" s="37">
        <f t="shared" ref="BW12" si="160">$C12*BV12</f>
        <v>0</v>
      </c>
      <c r="BX12" s="36"/>
      <c r="BY12" s="37">
        <f t="shared" ref="BY12" si="161">$C12*BX12</f>
        <v>0</v>
      </c>
      <c r="BZ12" s="36"/>
      <c r="CA12" s="37">
        <f t="shared" ref="CA12" si="162">$C12*BZ12</f>
        <v>0</v>
      </c>
      <c r="CB12" s="36"/>
      <c r="CC12" s="37">
        <f t="shared" ref="CC12" si="163">$C12*CB12</f>
        <v>0</v>
      </c>
      <c r="CD12" s="36"/>
      <c r="CE12" s="37">
        <f t="shared" ref="CE12" si="164">$C12*CD12</f>
        <v>0</v>
      </c>
      <c r="CF12" s="36"/>
      <c r="CG12" s="37">
        <f t="shared" ref="CG12" si="165">$C12*CF12</f>
        <v>0</v>
      </c>
      <c r="CH12" s="36"/>
      <c r="CI12" s="37">
        <f t="shared" ref="CI12" si="166">$C12*CH12</f>
        <v>0</v>
      </c>
      <c r="CJ12" s="36"/>
      <c r="CK12" s="37">
        <f t="shared" ref="CK12" si="167">$C12*CJ12</f>
        <v>0</v>
      </c>
      <c r="CL12" s="36"/>
      <c r="CM12" s="37">
        <f t="shared" ref="CM12" si="168">$C12*CL12</f>
        <v>0</v>
      </c>
      <c r="CN12" s="36"/>
      <c r="CO12" s="37">
        <f t="shared" ref="CO12" si="169">$C12*CN12</f>
        <v>0</v>
      </c>
    </row>
    <row r="13" spans="2:93" ht="19.5" customHeight="1" x14ac:dyDescent="0.25">
      <c r="B13" s="50" t="s">
        <v>55</v>
      </c>
      <c r="C13" s="62">
        <v>10402967.662989922</v>
      </c>
      <c r="D13" s="51">
        <f t="shared" si="0"/>
        <v>0.17683196959769562</v>
      </c>
      <c r="E13" s="64">
        <f>C13/'DISTRIBUIÇÃO CUSTO'!C$31</f>
        <v>595.37114595651826</v>
      </c>
      <c r="F13" s="81">
        <f t="shared" si="80"/>
        <v>1</v>
      </c>
      <c r="H13" s="52"/>
      <c r="I13" s="53">
        <f t="shared" si="1"/>
        <v>0</v>
      </c>
      <c r="J13" s="54"/>
      <c r="K13" s="53">
        <f t="shared" si="2"/>
        <v>0</v>
      </c>
      <c r="L13" s="54"/>
      <c r="M13" s="53">
        <f t="shared" si="3"/>
        <v>0</v>
      </c>
      <c r="N13" s="54"/>
      <c r="O13" s="53">
        <f t="shared" si="4"/>
        <v>0</v>
      </c>
      <c r="P13" s="54"/>
      <c r="Q13" s="53">
        <f t="shared" si="5"/>
        <v>0</v>
      </c>
      <c r="R13" s="54"/>
      <c r="S13" s="53">
        <f t="shared" si="6"/>
        <v>0</v>
      </c>
      <c r="T13" s="54"/>
      <c r="U13" s="53">
        <f t="shared" si="7"/>
        <v>0</v>
      </c>
      <c r="V13" s="54"/>
      <c r="W13" s="53">
        <f t="shared" ref="W13:W26" si="170">$C13*V13</f>
        <v>0</v>
      </c>
      <c r="X13" s="54"/>
      <c r="Y13" s="53">
        <f t="shared" ref="Y13:Y26" si="171">$C13*X13</f>
        <v>0</v>
      </c>
      <c r="Z13" s="54"/>
      <c r="AA13" s="53">
        <f t="shared" ref="AA13:AA26" si="172">$C13*Z13</f>
        <v>0</v>
      </c>
      <c r="AB13" s="54"/>
      <c r="AC13" s="53">
        <f t="shared" ref="AC13:AC26" si="173">$C13*AB13</f>
        <v>0</v>
      </c>
      <c r="AD13" s="54">
        <f>100%/16</f>
        <v>6.25E-2</v>
      </c>
      <c r="AE13" s="53">
        <f t="shared" si="91"/>
        <v>650185.47893687012</v>
      </c>
      <c r="AF13" s="54">
        <f t="shared" ref="AF13" si="174">100%/16</f>
        <v>6.25E-2</v>
      </c>
      <c r="AG13" s="53">
        <f t="shared" si="139"/>
        <v>650185.47893687012</v>
      </c>
      <c r="AH13" s="54">
        <f t="shared" ref="AH13" si="175">100%/16</f>
        <v>6.25E-2</v>
      </c>
      <c r="AI13" s="53">
        <f t="shared" si="140"/>
        <v>650185.47893687012</v>
      </c>
      <c r="AJ13" s="54">
        <f t="shared" ref="AJ13:BH19" si="176">100%/16</f>
        <v>6.25E-2</v>
      </c>
      <c r="AK13" s="53">
        <f t="shared" si="141"/>
        <v>650185.47893687012</v>
      </c>
      <c r="AL13" s="54">
        <f t="shared" ref="AL13" si="177">100%/16</f>
        <v>6.25E-2</v>
      </c>
      <c r="AM13" s="53">
        <f t="shared" si="142"/>
        <v>650185.47893687012</v>
      </c>
      <c r="AN13" s="54">
        <f t="shared" ref="AN13" si="178">100%/16</f>
        <v>6.25E-2</v>
      </c>
      <c r="AO13" s="53">
        <f t="shared" si="143"/>
        <v>650185.47893687012</v>
      </c>
      <c r="AP13" s="54">
        <f t="shared" ref="AP13" si="179">100%/16</f>
        <v>6.25E-2</v>
      </c>
      <c r="AQ13" s="53">
        <f t="shared" si="144"/>
        <v>650185.47893687012</v>
      </c>
      <c r="AR13" s="54">
        <f t="shared" ref="AR13" si="180">100%/16</f>
        <v>6.25E-2</v>
      </c>
      <c r="AS13" s="53">
        <f t="shared" si="145"/>
        <v>650185.47893687012</v>
      </c>
      <c r="AT13" s="54">
        <f t="shared" ref="AT13" si="181">100%/16</f>
        <v>6.25E-2</v>
      </c>
      <c r="AU13" s="53">
        <f t="shared" si="146"/>
        <v>650185.47893687012</v>
      </c>
      <c r="AV13" s="54">
        <f t="shared" ref="AV13" si="182">100%/16</f>
        <v>6.25E-2</v>
      </c>
      <c r="AW13" s="53">
        <f t="shared" si="147"/>
        <v>650185.47893687012</v>
      </c>
      <c r="AX13" s="54">
        <f t="shared" ref="AX13" si="183">100%/16</f>
        <v>6.25E-2</v>
      </c>
      <c r="AY13" s="53">
        <f t="shared" si="148"/>
        <v>650185.47893687012</v>
      </c>
      <c r="AZ13" s="54">
        <f t="shared" ref="AZ13" si="184">100%/16</f>
        <v>6.25E-2</v>
      </c>
      <c r="BA13" s="53">
        <f t="shared" si="149"/>
        <v>650185.47893687012</v>
      </c>
      <c r="BB13" s="54">
        <f t="shared" ref="BB13" si="185">100%/16</f>
        <v>6.25E-2</v>
      </c>
      <c r="BC13" s="53">
        <f t="shared" si="150"/>
        <v>650185.47893687012</v>
      </c>
      <c r="BD13" s="54">
        <f t="shared" ref="BD13" si="186">100%/16</f>
        <v>6.25E-2</v>
      </c>
      <c r="BE13" s="53">
        <f t="shared" si="151"/>
        <v>650185.47893687012</v>
      </c>
      <c r="BF13" s="54">
        <f t="shared" ref="BF13" si="187">100%/16</f>
        <v>6.25E-2</v>
      </c>
      <c r="BG13" s="53">
        <f t="shared" si="152"/>
        <v>650185.47893687012</v>
      </c>
      <c r="BH13" s="54">
        <f t="shared" ref="BH13" si="188">100%/16</f>
        <v>6.25E-2</v>
      </c>
      <c r="BI13" s="53">
        <f t="shared" si="153"/>
        <v>650185.47893687012</v>
      </c>
      <c r="BJ13" s="54"/>
      <c r="BK13" s="53">
        <f t="shared" si="107"/>
        <v>0</v>
      </c>
      <c r="BL13" s="54"/>
      <c r="BM13" s="53">
        <f t="shared" si="108"/>
        <v>0</v>
      </c>
      <c r="BN13" s="54"/>
      <c r="BO13" s="53">
        <f t="shared" si="109"/>
        <v>0</v>
      </c>
      <c r="BP13" s="54"/>
      <c r="BQ13" s="53">
        <f t="shared" si="110"/>
        <v>0</v>
      </c>
      <c r="BR13" s="54"/>
      <c r="BS13" s="53">
        <f t="shared" si="111"/>
        <v>0</v>
      </c>
      <c r="BT13" s="54"/>
      <c r="BU13" s="53">
        <f t="shared" si="112"/>
        <v>0</v>
      </c>
      <c r="BV13" s="54"/>
      <c r="BW13" s="53">
        <f t="shared" si="113"/>
        <v>0</v>
      </c>
      <c r="BX13" s="54"/>
      <c r="BY13" s="53">
        <f t="shared" si="114"/>
        <v>0</v>
      </c>
      <c r="BZ13" s="54"/>
      <c r="CA13" s="53">
        <f t="shared" si="115"/>
        <v>0</v>
      </c>
      <c r="CB13" s="54"/>
      <c r="CC13" s="53">
        <f t="shared" si="116"/>
        <v>0</v>
      </c>
      <c r="CD13" s="54"/>
      <c r="CE13" s="53">
        <f t="shared" si="117"/>
        <v>0</v>
      </c>
      <c r="CF13" s="54"/>
      <c r="CG13" s="53">
        <f t="shared" si="118"/>
        <v>0</v>
      </c>
      <c r="CH13" s="54"/>
      <c r="CI13" s="53">
        <f t="shared" si="119"/>
        <v>0</v>
      </c>
      <c r="CJ13" s="54"/>
      <c r="CK13" s="53">
        <f t="shared" si="120"/>
        <v>0</v>
      </c>
      <c r="CL13" s="54"/>
      <c r="CM13" s="53">
        <f t="shared" si="121"/>
        <v>0</v>
      </c>
      <c r="CN13" s="54"/>
      <c r="CO13" s="53">
        <f t="shared" si="122"/>
        <v>0</v>
      </c>
    </row>
    <row r="14" spans="2:93" ht="19.5" customHeight="1" x14ac:dyDescent="0.25">
      <c r="B14" s="46" t="s">
        <v>56</v>
      </c>
      <c r="C14" s="63">
        <v>2649104.4202035205</v>
      </c>
      <c r="D14" s="30">
        <f t="shared" si="0"/>
        <v>4.5030069060112178E-2</v>
      </c>
      <c r="E14" s="65">
        <f>C14/'DISTRIBUIÇÃO CUSTO'!C$31</f>
        <v>151.61061588475073</v>
      </c>
      <c r="F14" s="82">
        <f t="shared" si="80"/>
        <v>1</v>
      </c>
      <c r="H14" s="29"/>
      <c r="I14" s="37">
        <f t="shared" si="1"/>
        <v>0</v>
      </c>
      <c r="J14" s="36"/>
      <c r="K14" s="37">
        <f t="shared" si="2"/>
        <v>0</v>
      </c>
      <c r="L14" s="36"/>
      <c r="M14" s="37">
        <f t="shared" si="3"/>
        <v>0</v>
      </c>
      <c r="N14" s="36"/>
      <c r="O14" s="37">
        <f t="shared" si="4"/>
        <v>0</v>
      </c>
      <c r="P14" s="36"/>
      <c r="Q14" s="37">
        <f t="shared" si="5"/>
        <v>0</v>
      </c>
      <c r="R14" s="36"/>
      <c r="S14" s="37">
        <f t="shared" si="6"/>
        <v>0</v>
      </c>
      <c r="T14" s="36"/>
      <c r="U14" s="37">
        <f t="shared" si="7"/>
        <v>0</v>
      </c>
      <c r="V14" s="36"/>
      <c r="W14" s="37">
        <f t="shared" si="170"/>
        <v>0</v>
      </c>
      <c r="X14" s="36"/>
      <c r="Y14" s="37">
        <f t="shared" si="171"/>
        <v>0</v>
      </c>
      <c r="Z14" s="36"/>
      <c r="AA14" s="37">
        <f t="shared" si="172"/>
        <v>0</v>
      </c>
      <c r="AB14" s="36"/>
      <c r="AC14" s="37">
        <f t="shared" si="173"/>
        <v>0</v>
      </c>
      <c r="AD14" s="36"/>
      <c r="AE14" s="37">
        <f t="shared" si="91"/>
        <v>0</v>
      </c>
      <c r="AF14" s="36"/>
      <c r="AG14" s="37">
        <f t="shared" si="92"/>
        <v>0</v>
      </c>
      <c r="AH14" s="36"/>
      <c r="AI14" s="37">
        <f t="shared" si="93"/>
        <v>0</v>
      </c>
      <c r="AJ14" s="36">
        <f t="shared" si="176"/>
        <v>6.25E-2</v>
      </c>
      <c r="AK14" s="37">
        <f t="shared" si="94"/>
        <v>165569.02626272003</v>
      </c>
      <c r="AL14" s="36">
        <f t="shared" si="176"/>
        <v>6.25E-2</v>
      </c>
      <c r="AM14" s="37">
        <f t="shared" si="142"/>
        <v>165569.02626272003</v>
      </c>
      <c r="AN14" s="36">
        <f t="shared" si="176"/>
        <v>6.25E-2</v>
      </c>
      <c r="AO14" s="37">
        <f t="shared" si="143"/>
        <v>165569.02626272003</v>
      </c>
      <c r="AP14" s="36">
        <f t="shared" si="176"/>
        <v>6.25E-2</v>
      </c>
      <c r="AQ14" s="37">
        <f t="shared" si="144"/>
        <v>165569.02626272003</v>
      </c>
      <c r="AR14" s="36">
        <f t="shared" si="176"/>
        <v>6.25E-2</v>
      </c>
      <c r="AS14" s="37">
        <f t="shared" si="145"/>
        <v>165569.02626272003</v>
      </c>
      <c r="AT14" s="36">
        <f t="shared" si="176"/>
        <v>6.25E-2</v>
      </c>
      <c r="AU14" s="37">
        <f t="shared" si="146"/>
        <v>165569.02626272003</v>
      </c>
      <c r="AV14" s="36">
        <f t="shared" si="176"/>
        <v>6.25E-2</v>
      </c>
      <c r="AW14" s="37">
        <f t="shared" si="147"/>
        <v>165569.02626272003</v>
      </c>
      <c r="AX14" s="36">
        <f t="shared" si="176"/>
        <v>6.25E-2</v>
      </c>
      <c r="AY14" s="37">
        <f t="shared" si="148"/>
        <v>165569.02626272003</v>
      </c>
      <c r="AZ14" s="36">
        <f t="shared" si="176"/>
        <v>6.25E-2</v>
      </c>
      <c r="BA14" s="37">
        <f t="shared" si="149"/>
        <v>165569.02626272003</v>
      </c>
      <c r="BB14" s="36">
        <f t="shared" si="176"/>
        <v>6.25E-2</v>
      </c>
      <c r="BC14" s="37">
        <f t="shared" si="150"/>
        <v>165569.02626272003</v>
      </c>
      <c r="BD14" s="36">
        <f t="shared" si="176"/>
        <v>6.25E-2</v>
      </c>
      <c r="BE14" s="37">
        <f t="shared" si="151"/>
        <v>165569.02626272003</v>
      </c>
      <c r="BF14" s="36">
        <f t="shared" si="176"/>
        <v>6.25E-2</v>
      </c>
      <c r="BG14" s="37">
        <f t="shared" si="152"/>
        <v>165569.02626272003</v>
      </c>
      <c r="BH14" s="36">
        <f t="shared" si="176"/>
        <v>6.25E-2</v>
      </c>
      <c r="BI14" s="37">
        <f t="shared" si="153"/>
        <v>165569.02626272003</v>
      </c>
      <c r="BJ14" s="36">
        <f t="shared" ref="BJ14:BP15" si="189">100%/16</f>
        <v>6.25E-2</v>
      </c>
      <c r="BK14" s="37">
        <f t="shared" si="107"/>
        <v>165569.02626272003</v>
      </c>
      <c r="BL14" s="36">
        <f t="shared" si="189"/>
        <v>6.25E-2</v>
      </c>
      <c r="BM14" s="37">
        <f t="shared" si="108"/>
        <v>165569.02626272003</v>
      </c>
      <c r="BN14" s="36">
        <f t="shared" si="189"/>
        <v>6.25E-2</v>
      </c>
      <c r="BO14" s="37">
        <f t="shared" si="109"/>
        <v>165569.02626272003</v>
      </c>
      <c r="BP14" s="36"/>
      <c r="BQ14" s="37">
        <f t="shared" si="110"/>
        <v>0</v>
      </c>
      <c r="BR14" s="36"/>
      <c r="BS14" s="37">
        <f t="shared" si="111"/>
        <v>0</v>
      </c>
      <c r="BT14" s="36"/>
      <c r="BU14" s="37">
        <f t="shared" si="112"/>
        <v>0</v>
      </c>
      <c r="BV14" s="36"/>
      <c r="BW14" s="37">
        <f t="shared" si="113"/>
        <v>0</v>
      </c>
      <c r="BX14" s="36"/>
      <c r="BY14" s="37">
        <f t="shared" si="114"/>
        <v>0</v>
      </c>
      <c r="BZ14" s="36"/>
      <c r="CA14" s="37">
        <f t="shared" si="115"/>
        <v>0</v>
      </c>
      <c r="CB14" s="36"/>
      <c r="CC14" s="37">
        <f t="shared" si="116"/>
        <v>0</v>
      </c>
      <c r="CD14" s="36"/>
      <c r="CE14" s="37">
        <f t="shared" si="117"/>
        <v>0</v>
      </c>
      <c r="CF14" s="36"/>
      <c r="CG14" s="37">
        <f t="shared" si="118"/>
        <v>0</v>
      </c>
      <c r="CH14" s="36"/>
      <c r="CI14" s="37">
        <f t="shared" si="119"/>
        <v>0</v>
      </c>
      <c r="CJ14" s="36"/>
      <c r="CK14" s="37">
        <f t="shared" si="120"/>
        <v>0</v>
      </c>
      <c r="CL14" s="36"/>
      <c r="CM14" s="37">
        <f t="shared" si="121"/>
        <v>0</v>
      </c>
      <c r="CN14" s="36"/>
      <c r="CO14" s="37">
        <f t="shared" si="122"/>
        <v>0</v>
      </c>
    </row>
    <row r="15" spans="2:93" ht="19.5" customHeight="1" x14ac:dyDescent="0.25">
      <c r="B15" s="50" t="s">
        <v>57</v>
      </c>
      <c r="C15" s="62">
        <v>6444580.4405203201</v>
      </c>
      <c r="D15" s="51">
        <f t="shared" si="0"/>
        <v>0.10954641881492283</v>
      </c>
      <c r="E15" s="64">
        <f>C15/'DISTRIBUIÇÃO CUSTO'!C$31</f>
        <v>368.82910399999997</v>
      </c>
      <c r="F15" s="81">
        <f t="shared" si="80"/>
        <v>1</v>
      </c>
      <c r="H15" s="52"/>
      <c r="I15" s="53">
        <f t="shared" si="1"/>
        <v>0</v>
      </c>
      <c r="J15" s="54"/>
      <c r="K15" s="53">
        <f t="shared" si="2"/>
        <v>0</v>
      </c>
      <c r="L15" s="54"/>
      <c r="M15" s="53">
        <f t="shared" si="3"/>
        <v>0</v>
      </c>
      <c r="N15" s="54"/>
      <c r="O15" s="53">
        <f t="shared" si="4"/>
        <v>0</v>
      </c>
      <c r="P15" s="54"/>
      <c r="Q15" s="53">
        <f t="shared" si="5"/>
        <v>0</v>
      </c>
      <c r="R15" s="54"/>
      <c r="S15" s="53">
        <f t="shared" si="6"/>
        <v>0</v>
      </c>
      <c r="T15" s="54"/>
      <c r="U15" s="53">
        <f t="shared" si="7"/>
        <v>0</v>
      </c>
      <c r="V15" s="54"/>
      <c r="W15" s="53">
        <f t="shared" si="170"/>
        <v>0</v>
      </c>
      <c r="X15" s="54"/>
      <c r="Y15" s="53">
        <f t="shared" si="171"/>
        <v>0</v>
      </c>
      <c r="Z15" s="54"/>
      <c r="AA15" s="53">
        <f t="shared" si="172"/>
        <v>0</v>
      </c>
      <c r="AB15" s="54"/>
      <c r="AC15" s="53">
        <f t="shared" si="173"/>
        <v>0</v>
      </c>
      <c r="AD15" s="54"/>
      <c r="AE15" s="53">
        <f t="shared" si="91"/>
        <v>0</v>
      </c>
      <c r="AF15" s="54"/>
      <c r="AG15" s="53">
        <f t="shared" si="92"/>
        <v>0</v>
      </c>
      <c r="AH15" s="54"/>
      <c r="AI15" s="53">
        <f t="shared" si="93"/>
        <v>0</v>
      </c>
      <c r="AJ15" s="54"/>
      <c r="AK15" s="53">
        <f t="shared" si="94"/>
        <v>0</v>
      </c>
      <c r="AL15" s="54">
        <f t="shared" si="176"/>
        <v>6.25E-2</v>
      </c>
      <c r="AM15" s="53">
        <f t="shared" si="95"/>
        <v>402786.27753252001</v>
      </c>
      <c r="AN15" s="54">
        <f t="shared" si="176"/>
        <v>6.25E-2</v>
      </c>
      <c r="AO15" s="53">
        <f t="shared" si="143"/>
        <v>402786.27753252001</v>
      </c>
      <c r="AP15" s="54">
        <f t="shared" si="176"/>
        <v>6.25E-2</v>
      </c>
      <c r="AQ15" s="53">
        <f t="shared" si="144"/>
        <v>402786.27753252001</v>
      </c>
      <c r="AR15" s="54">
        <f t="shared" si="176"/>
        <v>6.25E-2</v>
      </c>
      <c r="AS15" s="53">
        <f t="shared" si="145"/>
        <v>402786.27753252001</v>
      </c>
      <c r="AT15" s="54">
        <f t="shared" si="176"/>
        <v>6.25E-2</v>
      </c>
      <c r="AU15" s="53">
        <f t="shared" si="146"/>
        <v>402786.27753252001</v>
      </c>
      <c r="AV15" s="54">
        <f t="shared" si="176"/>
        <v>6.25E-2</v>
      </c>
      <c r="AW15" s="53">
        <f t="shared" si="147"/>
        <v>402786.27753252001</v>
      </c>
      <c r="AX15" s="54">
        <f t="shared" si="176"/>
        <v>6.25E-2</v>
      </c>
      <c r="AY15" s="53">
        <f t="shared" si="148"/>
        <v>402786.27753252001</v>
      </c>
      <c r="AZ15" s="54">
        <f t="shared" si="176"/>
        <v>6.25E-2</v>
      </c>
      <c r="BA15" s="53">
        <f t="shared" si="149"/>
        <v>402786.27753252001</v>
      </c>
      <c r="BB15" s="54">
        <f t="shared" si="176"/>
        <v>6.25E-2</v>
      </c>
      <c r="BC15" s="53">
        <f t="shared" si="150"/>
        <v>402786.27753252001</v>
      </c>
      <c r="BD15" s="54">
        <f t="shared" si="176"/>
        <v>6.25E-2</v>
      </c>
      <c r="BE15" s="53">
        <f t="shared" si="151"/>
        <v>402786.27753252001</v>
      </c>
      <c r="BF15" s="54">
        <f t="shared" si="176"/>
        <v>6.25E-2</v>
      </c>
      <c r="BG15" s="53">
        <f t="shared" si="152"/>
        <v>402786.27753252001</v>
      </c>
      <c r="BH15" s="54">
        <f t="shared" si="176"/>
        <v>6.25E-2</v>
      </c>
      <c r="BI15" s="53">
        <f t="shared" si="153"/>
        <v>402786.27753252001</v>
      </c>
      <c r="BJ15" s="54">
        <f t="shared" si="189"/>
        <v>6.25E-2</v>
      </c>
      <c r="BK15" s="53">
        <f t="shared" si="107"/>
        <v>402786.27753252001</v>
      </c>
      <c r="BL15" s="54">
        <f t="shared" si="189"/>
        <v>6.25E-2</v>
      </c>
      <c r="BM15" s="53">
        <f t="shared" si="108"/>
        <v>402786.27753252001</v>
      </c>
      <c r="BN15" s="54">
        <f t="shared" si="189"/>
        <v>6.25E-2</v>
      </c>
      <c r="BO15" s="53">
        <f t="shared" si="109"/>
        <v>402786.27753252001</v>
      </c>
      <c r="BP15" s="54">
        <f t="shared" si="189"/>
        <v>6.25E-2</v>
      </c>
      <c r="BQ15" s="53">
        <f t="shared" si="110"/>
        <v>402786.27753252001</v>
      </c>
      <c r="BR15" s="54"/>
      <c r="BS15" s="53">
        <f t="shared" si="111"/>
        <v>0</v>
      </c>
      <c r="BT15" s="54"/>
      <c r="BU15" s="53">
        <f t="shared" si="112"/>
        <v>0</v>
      </c>
      <c r="BV15" s="54"/>
      <c r="BW15" s="53">
        <f t="shared" si="113"/>
        <v>0</v>
      </c>
      <c r="BX15" s="54"/>
      <c r="BY15" s="53">
        <f t="shared" si="114"/>
        <v>0</v>
      </c>
      <c r="BZ15" s="54"/>
      <c r="CA15" s="53">
        <f t="shared" si="115"/>
        <v>0</v>
      </c>
      <c r="CB15" s="54"/>
      <c r="CC15" s="53">
        <f t="shared" si="116"/>
        <v>0</v>
      </c>
      <c r="CD15" s="54"/>
      <c r="CE15" s="53">
        <f t="shared" si="117"/>
        <v>0</v>
      </c>
      <c r="CF15" s="54"/>
      <c r="CG15" s="53">
        <f t="shared" si="118"/>
        <v>0</v>
      </c>
      <c r="CH15" s="54"/>
      <c r="CI15" s="53">
        <f t="shared" si="119"/>
        <v>0</v>
      </c>
      <c r="CJ15" s="54"/>
      <c r="CK15" s="53">
        <f t="shared" si="120"/>
        <v>0</v>
      </c>
      <c r="CL15" s="54"/>
      <c r="CM15" s="53">
        <f t="shared" si="121"/>
        <v>0</v>
      </c>
      <c r="CN15" s="54"/>
      <c r="CO15" s="53">
        <f t="shared" si="122"/>
        <v>0</v>
      </c>
    </row>
    <row r="16" spans="2:93" ht="19.5" customHeight="1" x14ac:dyDescent="0.25">
      <c r="B16" s="46" t="s">
        <v>58</v>
      </c>
      <c r="C16" s="63">
        <v>3372799.0120000006</v>
      </c>
      <c r="D16" s="30">
        <f t="shared" si="0"/>
        <v>5.7331591491048134E-2</v>
      </c>
      <c r="E16" s="65">
        <f>C16/'DISTRIBUIÇÃO CUSTO'!C$31</f>
        <v>193.02830479800929</v>
      </c>
      <c r="F16" s="82">
        <f t="shared" si="80"/>
        <v>0.99999999999999989</v>
      </c>
      <c r="H16" s="29"/>
      <c r="I16" s="37">
        <f t="shared" si="1"/>
        <v>0</v>
      </c>
      <c r="J16" s="36"/>
      <c r="K16" s="37">
        <f t="shared" si="2"/>
        <v>0</v>
      </c>
      <c r="L16" s="36"/>
      <c r="M16" s="37">
        <f t="shared" si="3"/>
        <v>0</v>
      </c>
      <c r="N16" s="36"/>
      <c r="O16" s="37">
        <f t="shared" si="4"/>
        <v>0</v>
      </c>
      <c r="P16" s="36"/>
      <c r="Q16" s="37">
        <f t="shared" si="5"/>
        <v>0</v>
      </c>
      <c r="R16" s="36"/>
      <c r="S16" s="37">
        <f t="shared" si="6"/>
        <v>0</v>
      </c>
      <c r="T16" s="36"/>
      <c r="U16" s="37">
        <f t="shared" si="7"/>
        <v>0</v>
      </c>
      <c r="V16" s="36"/>
      <c r="W16" s="37">
        <f t="shared" si="170"/>
        <v>0</v>
      </c>
      <c r="X16" s="36"/>
      <c r="Y16" s="37">
        <f t="shared" si="171"/>
        <v>0</v>
      </c>
      <c r="Z16" s="36"/>
      <c r="AA16" s="37">
        <f t="shared" si="172"/>
        <v>0</v>
      </c>
      <c r="AB16" s="36"/>
      <c r="AC16" s="37">
        <f t="shared" si="173"/>
        <v>0</v>
      </c>
      <c r="AD16" s="36"/>
      <c r="AE16" s="37">
        <f t="shared" si="91"/>
        <v>0</v>
      </c>
      <c r="AF16" s="36"/>
      <c r="AG16" s="37">
        <f t="shared" si="92"/>
        <v>0</v>
      </c>
      <c r="AH16" s="36"/>
      <c r="AI16" s="37">
        <f t="shared" si="93"/>
        <v>0</v>
      </c>
      <c r="AJ16" s="36"/>
      <c r="AK16" s="37">
        <f t="shared" si="94"/>
        <v>0</v>
      </c>
      <c r="AL16" s="36"/>
      <c r="AM16" s="37">
        <f t="shared" si="95"/>
        <v>0</v>
      </c>
      <c r="AN16" s="36"/>
      <c r="AO16" s="37">
        <f t="shared" si="96"/>
        <v>0</v>
      </c>
      <c r="AP16" s="36"/>
      <c r="AQ16" s="37">
        <f t="shared" si="97"/>
        <v>0</v>
      </c>
      <c r="AR16" s="36"/>
      <c r="AS16" s="37">
        <f t="shared" si="98"/>
        <v>0</v>
      </c>
      <c r="AT16" s="36"/>
      <c r="AU16" s="37">
        <f t="shared" si="99"/>
        <v>0</v>
      </c>
      <c r="AV16" s="36"/>
      <c r="AW16" s="37">
        <f t="shared" si="100"/>
        <v>0</v>
      </c>
      <c r="AX16" s="36"/>
      <c r="AY16" s="37">
        <f t="shared" si="101"/>
        <v>0</v>
      </c>
      <c r="AZ16" s="36"/>
      <c r="BA16" s="37">
        <f t="shared" si="102"/>
        <v>0</v>
      </c>
      <c r="BB16" s="36"/>
      <c r="BC16" s="37">
        <f t="shared" si="103"/>
        <v>0</v>
      </c>
      <c r="BD16" s="36"/>
      <c r="BE16" s="37">
        <f t="shared" si="104"/>
        <v>0</v>
      </c>
      <c r="BF16" s="36"/>
      <c r="BG16" s="37">
        <f t="shared" si="105"/>
        <v>0</v>
      </c>
      <c r="BH16" s="36"/>
      <c r="BI16" s="37">
        <f t="shared" si="106"/>
        <v>0</v>
      </c>
      <c r="BJ16" s="36">
        <f>100%/6</f>
        <v>0.16666666666666666</v>
      </c>
      <c r="BK16" s="37">
        <f t="shared" si="107"/>
        <v>562133.16866666672</v>
      </c>
      <c r="BL16" s="36">
        <f t="shared" ref="BL16" si="190">100%/6</f>
        <v>0.16666666666666666</v>
      </c>
      <c r="BM16" s="37">
        <f t="shared" si="108"/>
        <v>562133.16866666672</v>
      </c>
      <c r="BN16" s="36">
        <f t="shared" ref="BN16" si="191">100%/6</f>
        <v>0.16666666666666666</v>
      </c>
      <c r="BO16" s="37">
        <f t="shared" si="109"/>
        <v>562133.16866666672</v>
      </c>
      <c r="BP16" s="36">
        <f t="shared" ref="BP16" si="192">100%/6</f>
        <v>0.16666666666666666</v>
      </c>
      <c r="BQ16" s="37">
        <f t="shared" si="110"/>
        <v>562133.16866666672</v>
      </c>
      <c r="BR16" s="36">
        <f t="shared" ref="BR16" si="193">100%/6</f>
        <v>0.16666666666666666</v>
      </c>
      <c r="BS16" s="37">
        <f t="shared" si="111"/>
        <v>562133.16866666672</v>
      </c>
      <c r="BT16" s="36">
        <f t="shared" ref="BT16" si="194">100%/6</f>
        <v>0.16666666666666666</v>
      </c>
      <c r="BU16" s="37">
        <f t="shared" si="112"/>
        <v>562133.16866666672</v>
      </c>
      <c r="BV16" s="36"/>
      <c r="BW16" s="37">
        <f t="shared" si="113"/>
        <v>0</v>
      </c>
      <c r="BX16" s="36"/>
      <c r="BY16" s="37">
        <f t="shared" si="114"/>
        <v>0</v>
      </c>
      <c r="BZ16" s="36"/>
      <c r="CA16" s="37">
        <f t="shared" si="115"/>
        <v>0</v>
      </c>
      <c r="CB16" s="36"/>
      <c r="CC16" s="37">
        <f t="shared" si="116"/>
        <v>0</v>
      </c>
      <c r="CD16" s="36"/>
      <c r="CE16" s="37">
        <f t="shared" si="117"/>
        <v>0</v>
      </c>
      <c r="CF16" s="36"/>
      <c r="CG16" s="37">
        <f t="shared" si="118"/>
        <v>0</v>
      </c>
      <c r="CH16" s="36"/>
      <c r="CI16" s="37">
        <f t="shared" si="119"/>
        <v>0</v>
      </c>
      <c r="CJ16" s="36"/>
      <c r="CK16" s="37">
        <f t="shared" si="120"/>
        <v>0</v>
      </c>
      <c r="CL16" s="36"/>
      <c r="CM16" s="37">
        <f t="shared" si="121"/>
        <v>0</v>
      </c>
      <c r="CN16" s="36"/>
      <c r="CO16" s="37">
        <f t="shared" si="122"/>
        <v>0</v>
      </c>
    </row>
    <row r="17" spans="2:94" ht="19.5" customHeight="1" x14ac:dyDescent="0.25">
      <c r="B17" s="50" t="s">
        <v>59</v>
      </c>
      <c r="C17" s="62">
        <v>646679.99722168013</v>
      </c>
      <c r="D17" s="51">
        <f t="shared" si="0"/>
        <v>1.0992411138118982E-2</v>
      </c>
      <c r="E17" s="64">
        <f>C17/'DISTRIBUIÇÃO CUSTO'!C$31</f>
        <v>37.010074767681488</v>
      </c>
      <c r="F17" s="81">
        <f t="shared" si="80"/>
        <v>1</v>
      </c>
      <c r="H17" s="52"/>
      <c r="I17" s="53">
        <f t="shared" si="1"/>
        <v>0</v>
      </c>
      <c r="J17" s="54"/>
      <c r="K17" s="53">
        <f t="shared" si="2"/>
        <v>0</v>
      </c>
      <c r="L17" s="54"/>
      <c r="M17" s="53">
        <f t="shared" si="3"/>
        <v>0</v>
      </c>
      <c r="N17" s="54"/>
      <c r="O17" s="53">
        <f t="shared" si="4"/>
        <v>0</v>
      </c>
      <c r="P17" s="54"/>
      <c r="Q17" s="53">
        <f t="shared" si="5"/>
        <v>0</v>
      </c>
      <c r="R17" s="54"/>
      <c r="S17" s="53">
        <f t="shared" si="6"/>
        <v>0</v>
      </c>
      <c r="T17" s="54"/>
      <c r="U17" s="53">
        <f t="shared" si="7"/>
        <v>0</v>
      </c>
      <c r="V17" s="54"/>
      <c r="W17" s="53">
        <f t="shared" si="170"/>
        <v>0</v>
      </c>
      <c r="X17" s="54"/>
      <c r="Y17" s="53">
        <f t="shared" si="171"/>
        <v>0</v>
      </c>
      <c r="Z17" s="54"/>
      <c r="AA17" s="53">
        <f t="shared" si="172"/>
        <v>0</v>
      </c>
      <c r="AB17" s="54"/>
      <c r="AC17" s="53">
        <f t="shared" si="173"/>
        <v>0</v>
      </c>
      <c r="AD17" s="54"/>
      <c r="AE17" s="53">
        <f t="shared" si="91"/>
        <v>0</v>
      </c>
      <c r="AF17" s="54"/>
      <c r="AG17" s="53">
        <f t="shared" si="92"/>
        <v>0</v>
      </c>
      <c r="AH17" s="54"/>
      <c r="AI17" s="53">
        <f t="shared" si="93"/>
        <v>0</v>
      </c>
      <c r="AJ17" s="54"/>
      <c r="AK17" s="53">
        <f t="shared" si="94"/>
        <v>0</v>
      </c>
      <c r="AL17" s="54"/>
      <c r="AM17" s="53">
        <f t="shared" si="95"/>
        <v>0</v>
      </c>
      <c r="AN17" s="54"/>
      <c r="AO17" s="53">
        <f t="shared" si="96"/>
        <v>0</v>
      </c>
      <c r="AP17" s="54">
        <f t="shared" si="176"/>
        <v>6.25E-2</v>
      </c>
      <c r="AQ17" s="53">
        <f t="shared" si="97"/>
        <v>40417.499826355008</v>
      </c>
      <c r="AR17" s="54">
        <f t="shared" si="176"/>
        <v>6.25E-2</v>
      </c>
      <c r="AS17" s="53">
        <f t="shared" si="98"/>
        <v>40417.499826355008</v>
      </c>
      <c r="AT17" s="54">
        <f t="shared" si="176"/>
        <v>6.25E-2</v>
      </c>
      <c r="AU17" s="53">
        <f t="shared" si="99"/>
        <v>40417.499826355008</v>
      </c>
      <c r="AV17" s="54">
        <f t="shared" si="176"/>
        <v>6.25E-2</v>
      </c>
      <c r="AW17" s="53">
        <f t="shared" si="100"/>
        <v>40417.499826355008</v>
      </c>
      <c r="AX17" s="54">
        <f t="shared" si="176"/>
        <v>6.25E-2</v>
      </c>
      <c r="AY17" s="53">
        <f t="shared" si="101"/>
        <v>40417.499826355008</v>
      </c>
      <c r="AZ17" s="54">
        <f t="shared" si="176"/>
        <v>6.25E-2</v>
      </c>
      <c r="BA17" s="53">
        <f t="shared" si="102"/>
        <v>40417.499826355008</v>
      </c>
      <c r="BB17" s="54">
        <f t="shared" si="176"/>
        <v>6.25E-2</v>
      </c>
      <c r="BC17" s="53">
        <f t="shared" si="103"/>
        <v>40417.499826355008</v>
      </c>
      <c r="BD17" s="54">
        <f t="shared" si="176"/>
        <v>6.25E-2</v>
      </c>
      <c r="BE17" s="53">
        <f t="shared" si="104"/>
        <v>40417.499826355008</v>
      </c>
      <c r="BF17" s="54">
        <f t="shared" si="176"/>
        <v>6.25E-2</v>
      </c>
      <c r="BG17" s="53">
        <f t="shared" si="105"/>
        <v>40417.499826355008</v>
      </c>
      <c r="BH17" s="54">
        <f t="shared" si="176"/>
        <v>6.25E-2</v>
      </c>
      <c r="BI17" s="53">
        <f t="shared" si="106"/>
        <v>40417.499826355008</v>
      </c>
      <c r="BJ17" s="54">
        <f t="shared" ref="BJ17:BX19" si="195">100%/16</f>
        <v>6.25E-2</v>
      </c>
      <c r="BK17" s="53">
        <f t="shared" si="107"/>
        <v>40417.499826355008</v>
      </c>
      <c r="BL17" s="54">
        <f t="shared" si="195"/>
        <v>6.25E-2</v>
      </c>
      <c r="BM17" s="53">
        <f t="shared" si="108"/>
        <v>40417.499826355008</v>
      </c>
      <c r="BN17" s="54">
        <f t="shared" si="195"/>
        <v>6.25E-2</v>
      </c>
      <c r="BO17" s="53">
        <f t="shared" si="109"/>
        <v>40417.499826355008</v>
      </c>
      <c r="BP17" s="54">
        <f t="shared" si="195"/>
        <v>6.25E-2</v>
      </c>
      <c r="BQ17" s="53">
        <f t="shared" si="110"/>
        <v>40417.499826355008</v>
      </c>
      <c r="BR17" s="54">
        <f t="shared" si="195"/>
        <v>6.25E-2</v>
      </c>
      <c r="BS17" s="53">
        <f t="shared" si="111"/>
        <v>40417.499826355008</v>
      </c>
      <c r="BT17" s="54">
        <f t="shared" si="195"/>
        <v>6.25E-2</v>
      </c>
      <c r="BU17" s="53">
        <f t="shared" si="112"/>
        <v>40417.499826355008</v>
      </c>
      <c r="BV17" s="54"/>
      <c r="BW17" s="53">
        <f t="shared" si="113"/>
        <v>0</v>
      </c>
      <c r="BX17" s="54"/>
      <c r="BY17" s="53">
        <f t="shared" si="114"/>
        <v>0</v>
      </c>
      <c r="BZ17" s="54"/>
      <c r="CA17" s="53">
        <f t="shared" si="115"/>
        <v>0</v>
      </c>
      <c r="CB17" s="54"/>
      <c r="CC17" s="53">
        <f t="shared" si="116"/>
        <v>0</v>
      </c>
      <c r="CD17" s="54"/>
      <c r="CE17" s="53">
        <f t="shared" si="117"/>
        <v>0</v>
      </c>
      <c r="CF17" s="54"/>
      <c r="CG17" s="53">
        <f t="shared" si="118"/>
        <v>0</v>
      </c>
      <c r="CH17" s="54"/>
      <c r="CI17" s="53">
        <f t="shared" si="119"/>
        <v>0</v>
      </c>
      <c r="CJ17" s="54"/>
      <c r="CK17" s="53">
        <f t="shared" si="120"/>
        <v>0</v>
      </c>
      <c r="CL17" s="54"/>
      <c r="CM17" s="53">
        <f t="shared" si="121"/>
        <v>0</v>
      </c>
      <c r="CN17" s="54"/>
      <c r="CO17" s="53">
        <f t="shared" si="122"/>
        <v>0</v>
      </c>
    </row>
    <row r="18" spans="2:94" ht="19.5" customHeight="1" x14ac:dyDescent="0.25">
      <c r="B18" s="46" t="s">
        <v>60</v>
      </c>
      <c r="C18" s="63">
        <v>3911886.3832203196</v>
      </c>
      <c r="D18" s="30">
        <f t="shared" si="0"/>
        <v>6.6495119123386737E-2</v>
      </c>
      <c r="E18" s="65">
        <f>C18/'DISTRIBUIÇÃO CUSTO'!C$31</f>
        <v>223.8807573261451</v>
      </c>
      <c r="F18" s="82">
        <f t="shared" si="80"/>
        <v>1</v>
      </c>
      <c r="H18" s="29"/>
      <c r="I18" s="37">
        <f t="shared" si="1"/>
        <v>0</v>
      </c>
      <c r="J18" s="36"/>
      <c r="K18" s="37">
        <f t="shared" si="2"/>
        <v>0</v>
      </c>
      <c r="L18" s="36"/>
      <c r="M18" s="37">
        <f t="shared" si="3"/>
        <v>0</v>
      </c>
      <c r="N18" s="36"/>
      <c r="O18" s="37">
        <f t="shared" si="4"/>
        <v>0</v>
      </c>
      <c r="P18" s="36"/>
      <c r="Q18" s="37">
        <f t="shared" si="5"/>
        <v>0</v>
      </c>
      <c r="R18" s="36"/>
      <c r="S18" s="37">
        <f t="shared" si="6"/>
        <v>0</v>
      </c>
      <c r="T18" s="36"/>
      <c r="U18" s="37">
        <f t="shared" si="7"/>
        <v>0</v>
      </c>
      <c r="V18" s="36"/>
      <c r="W18" s="37">
        <f t="shared" si="170"/>
        <v>0</v>
      </c>
      <c r="X18" s="36"/>
      <c r="Y18" s="37">
        <f t="shared" si="171"/>
        <v>0</v>
      </c>
      <c r="Z18" s="36"/>
      <c r="AA18" s="37">
        <f t="shared" si="172"/>
        <v>0</v>
      </c>
      <c r="AB18" s="36"/>
      <c r="AC18" s="37">
        <f t="shared" si="173"/>
        <v>0</v>
      </c>
      <c r="AD18" s="36"/>
      <c r="AE18" s="37">
        <f t="shared" si="91"/>
        <v>0</v>
      </c>
      <c r="AF18" s="36"/>
      <c r="AG18" s="37">
        <f t="shared" si="92"/>
        <v>0</v>
      </c>
      <c r="AH18" s="36"/>
      <c r="AI18" s="37">
        <f t="shared" si="93"/>
        <v>0</v>
      </c>
      <c r="AJ18" s="36"/>
      <c r="AK18" s="37">
        <f t="shared" si="94"/>
        <v>0</v>
      </c>
      <c r="AL18" s="36"/>
      <c r="AM18" s="37">
        <f t="shared" si="95"/>
        <v>0</v>
      </c>
      <c r="AN18" s="36">
        <f t="shared" si="176"/>
        <v>6.25E-2</v>
      </c>
      <c r="AO18" s="37">
        <f t="shared" si="96"/>
        <v>244492.89895126998</v>
      </c>
      <c r="AP18" s="36">
        <f t="shared" si="176"/>
        <v>6.25E-2</v>
      </c>
      <c r="AQ18" s="37">
        <f t="shared" si="97"/>
        <v>244492.89895126998</v>
      </c>
      <c r="AR18" s="36">
        <f t="shared" si="176"/>
        <v>6.25E-2</v>
      </c>
      <c r="AS18" s="37">
        <f t="shared" si="98"/>
        <v>244492.89895126998</v>
      </c>
      <c r="AT18" s="36">
        <f t="shared" si="176"/>
        <v>6.25E-2</v>
      </c>
      <c r="AU18" s="37">
        <f t="shared" si="99"/>
        <v>244492.89895126998</v>
      </c>
      <c r="AV18" s="36">
        <f t="shared" si="176"/>
        <v>6.25E-2</v>
      </c>
      <c r="AW18" s="37">
        <f t="shared" si="100"/>
        <v>244492.89895126998</v>
      </c>
      <c r="AX18" s="36">
        <f t="shared" si="176"/>
        <v>6.25E-2</v>
      </c>
      <c r="AY18" s="37">
        <f t="shared" si="101"/>
        <v>244492.89895126998</v>
      </c>
      <c r="AZ18" s="36">
        <f t="shared" si="176"/>
        <v>6.25E-2</v>
      </c>
      <c r="BA18" s="37">
        <f t="shared" si="102"/>
        <v>244492.89895126998</v>
      </c>
      <c r="BB18" s="36">
        <f t="shared" si="176"/>
        <v>6.25E-2</v>
      </c>
      <c r="BC18" s="37">
        <f t="shared" si="103"/>
        <v>244492.89895126998</v>
      </c>
      <c r="BD18" s="36">
        <f t="shared" si="176"/>
        <v>6.25E-2</v>
      </c>
      <c r="BE18" s="37">
        <f t="shared" si="104"/>
        <v>244492.89895126998</v>
      </c>
      <c r="BF18" s="36">
        <f t="shared" si="176"/>
        <v>6.25E-2</v>
      </c>
      <c r="BG18" s="37">
        <f t="shared" si="105"/>
        <v>244492.89895126998</v>
      </c>
      <c r="BH18" s="36">
        <f t="shared" si="176"/>
        <v>6.25E-2</v>
      </c>
      <c r="BI18" s="37">
        <f t="shared" si="106"/>
        <v>244492.89895126998</v>
      </c>
      <c r="BJ18" s="36">
        <f t="shared" si="195"/>
        <v>6.25E-2</v>
      </c>
      <c r="BK18" s="37">
        <f t="shared" si="107"/>
        <v>244492.89895126998</v>
      </c>
      <c r="BL18" s="36">
        <f t="shared" si="195"/>
        <v>6.25E-2</v>
      </c>
      <c r="BM18" s="37">
        <f t="shared" si="108"/>
        <v>244492.89895126998</v>
      </c>
      <c r="BN18" s="36">
        <f t="shared" si="195"/>
        <v>6.25E-2</v>
      </c>
      <c r="BO18" s="37">
        <f t="shared" si="109"/>
        <v>244492.89895126998</v>
      </c>
      <c r="BP18" s="36">
        <f t="shared" si="195"/>
        <v>6.25E-2</v>
      </c>
      <c r="BQ18" s="37">
        <f t="shared" si="110"/>
        <v>244492.89895126998</v>
      </c>
      <c r="BR18" s="36">
        <f t="shared" si="195"/>
        <v>6.25E-2</v>
      </c>
      <c r="BS18" s="37">
        <f t="shared" si="111"/>
        <v>244492.89895126998</v>
      </c>
      <c r="BT18" s="36"/>
      <c r="BU18" s="37">
        <f t="shared" si="112"/>
        <v>0</v>
      </c>
      <c r="BV18" s="36"/>
      <c r="BW18" s="37">
        <f t="shared" si="113"/>
        <v>0</v>
      </c>
      <c r="BX18" s="36"/>
      <c r="BY18" s="37">
        <f t="shared" si="114"/>
        <v>0</v>
      </c>
      <c r="BZ18" s="36"/>
      <c r="CA18" s="37">
        <f t="shared" si="115"/>
        <v>0</v>
      </c>
      <c r="CB18" s="36"/>
      <c r="CC18" s="37">
        <f t="shared" si="116"/>
        <v>0</v>
      </c>
      <c r="CD18" s="36"/>
      <c r="CE18" s="37">
        <f t="shared" si="117"/>
        <v>0</v>
      </c>
      <c r="CF18" s="36"/>
      <c r="CG18" s="37">
        <f t="shared" si="118"/>
        <v>0</v>
      </c>
      <c r="CH18" s="36"/>
      <c r="CI18" s="37">
        <f t="shared" si="119"/>
        <v>0</v>
      </c>
      <c r="CJ18" s="36"/>
      <c r="CK18" s="37">
        <f t="shared" si="120"/>
        <v>0</v>
      </c>
      <c r="CL18" s="36"/>
      <c r="CM18" s="37">
        <f t="shared" si="121"/>
        <v>0</v>
      </c>
      <c r="CN18" s="36"/>
      <c r="CO18" s="37">
        <f t="shared" si="122"/>
        <v>0</v>
      </c>
    </row>
    <row r="19" spans="2:94" ht="19.5" customHeight="1" x14ac:dyDescent="0.25">
      <c r="B19" s="50" t="s">
        <v>61</v>
      </c>
      <c r="C19" s="62">
        <v>1954740.9272817601</v>
      </c>
      <c r="D19" s="51">
        <f t="shared" si="0"/>
        <v>3.3227123203910164E-2</v>
      </c>
      <c r="E19" s="64">
        <f>C19/'DISTRIBUIÇÃO CUSTO'!C$31</f>
        <v>111.871572</v>
      </c>
      <c r="F19" s="81">
        <f t="shared" si="80"/>
        <v>1</v>
      </c>
      <c r="H19" s="52"/>
      <c r="I19" s="53">
        <f t="shared" si="1"/>
        <v>0</v>
      </c>
      <c r="J19" s="54"/>
      <c r="K19" s="53">
        <f t="shared" si="2"/>
        <v>0</v>
      </c>
      <c r="L19" s="54"/>
      <c r="M19" s="53">
        <f t="shared" si="3"/>
        <v>0</v>
      </c>
      <c r="N19" s="54"/>
      <c r="O19" s="53">
        <f t="shared" si="4"/>
        <v>0</v>
      </c>
      <c r="P19" s="54"/>
      <c r="Q19" s="53">
        <f t="shared" si="5"/>
        <v>0</v>
      </c>
      <c r="R19" s="54"/>
      <c r="S19" s="53">
        <f t="shared" si="6"/>
        <v>0</v>
      </c>
      <c r="T19" s="54"/>
      <c r="U19" s="53">
        <f t="shared" si="7"/>
        <v>0</v>
      </c>
      <c r="V19" s="54"/>
      <c r="W19" s="53">
        <f t="shared" si="170"/>
        <v>0</v>
      </c>
      <c r="X19" s="54"/>
      <c r="Y19" s="53">
        <f t="shared" si="171"/>
        <v>0</v>
      </c>
      <c r="Z19" s="54"/>
      <c r="AA19" s="53">
        <f t="shared" si="172"/>
        <v>0</v>
      </c>
      <c r="AB19" s="54"/>
      <c r="AC19" s="53">
        <f t="shared" si="173"/>
        <v>0</v>
      </c>
      <c r="AD19" s="54"/>
      <c r="AE19" s="53">
        <f t="shared" si="91"/>
        <v>0</v>
      </c>
      <c r="AF19" s="54"/>
      <c r="AG19" s="53">
        <f t="shared" si="92"/>
        <v>0</v>
      </c>
      <c r="AH19" s="54"/>
      <c r="AI19" s="53">
        <f t="shared" si="93"/>
        <v>0</v>
      </c>
      <c r="AJ19" s="54"/>
      <c r="AK19" s="53">
        <f t="shared" si="94"/>
        <v>0</v>
      </c>
      <c r="AL19" s="54"/>
      <c r="AM19" s="53">
        <f t="shared" si="95"/>
        <v>0</v>
      </c>
      <c r="AN19" s="54"/>
      <c r="AO19" s="53">
        <f t="shared" si="96"/>
        <v>0</v>
      </c>
      <c r="AP19" s="54"/>
      <c r="AQ19" s="53">
        <f t="shared" si="97"/>
        <v>0</v>
      </c>
      <c r="AR19" s="54"/>
      <c r="AS19" s="53">
        <f t="shared" si="98"/>
        <v>0</v>
      </c>
      <c r="AT19" s="54">
        <f t="shared" si="176"/>
        <v>6.25E-2</v>
      </c>
      <c r="AU19" s="53">
        <f t="shared" si="99"/>
        <v>122171.30795511001</v>
      </c>
      <c r="AV19" s="54">
        <f t="shared" si="176"/>
        <v>6.25E-2</v>
      </c>
      <c r="AW19" s="53">
        <f t="shared" si="100"/>
        <v>122171.30795511001</v>
      </c>
      <c r="AX19" s="54">
        <f t="shared" si="176"/>
        <v>6.25E-2</v>
      </c>
      <c r="AY19" s="53">
        <f t="shared" si="101"/>
        <v>122171.30795511001</v>
      </c>
      <c r="AZ19" s="54">
        <f t="shared" si="176"/>
        <v>6.25E-2</v>
      </c>
      <c r="BA19" s="53">
        <f t="shared" si="102"/>
        <v>122171.30795511001</v>
      </c>
      <c r="BB19" s="54">
        <f t="shared" si="176"/>
        <v>6.25E-2</v>
      </c>
      <c r="BC19" s="53">
        <f t="shared" si="103"/>
        <v>122171.30795511001</v>
      </c>
      <c r="BD19" s="54">
        <f t="shared" si="176"/>
        <v>6.25E-2</v>
      </c>
      <c r="BE19" s="53">
        <f t="shared" si="104"/>
        <v>122171.30795511001</v>
      </c>
      <c r="BF19" s="54">
        <f t="shared" si="176"/>
        <v>6.25E-2</v>
      </c>
      <c r="BG19" s="53">
        <f t="shared" si="105"/>
        <v>122171.30795511001</v>
      </c>
      <c r="BH19" s="54">
        <f t="shared" si="176"/>
        <v>6.25E-2</v>
      </c>
      <c r="BI19" s="53">
        <f t="shared" si="106"/>
        <v>122171.30795511001</v>
      </c>
      <c r="BJ19" s="54">
        <f t="shared" si="195"/>
        <v>6.25E-2</v>
      </c>
      <c r="BK19" s="53">
        <f t="shared" si="107"/>
        <v>122171.30795511001</v>
      </c>
      <c r="BL19" s="54">
        <f t="shared" si="195"/>
        <v>6.25E-2</v>
      </c>
      <c r="BM19" s="53">
        <f t="shared" si="108"/>
        <v>122171.30795511001</v>
      </c>
      <c r="BN19" s="54">
        <f t="shared" si="195"/>
        <v>6.25E-2</v>
      </c>
      <c r="BO19" s="53">
        <f t="shared" si="109"/>
        <v>122171.30795511001</v>
      </c>
      <c r="BP19" s="54">
        <f t="shared" si="195"/>
        <v>6.25E-2</v>
      </c>
      <c r="BQ19" s="53">
        <f t="shared" si="110"/>
        <v>122171.30795511001</v>
      </c>
      <c r="BR19" s="54">
        <f t="shared" si="195"/>
        <v>6.25E-2</v>
      </c>
      <c r="BS19" s="53">
        <f t="shared" si="111"/>
        <v>122171.30795511001</v>
      </c>
      <c r="BT19" s="54">
        <f t="shared" si="195"/>
        <v>6.25E-2</v>
      </c>
      <c r="BU19" s="53">
        <f t="shared" si="112"/>
        <v>122171.30795511001</v>
      </c>
      <c r="BV19" s="54">
        <f t="shared" si="195"/>
        <v>6.25E-2</v>
      </c>
      <c r="BW19" s="53">
        <f t="shared" si="113"/>
        <v>122171.30795511001</v>
      </c>
      <c r="BX19" s="54">
        <f t="shared" si="195"/>
        <v>6.25E-2</v>
      </c>
      <c r="BY19" s="53">
        <f t="shared" si="114"/>
        <v>122171.30795511001</v>
      </c>
      <c r="BZ19" s="54"/>
      <c r="CA19" s="53">
        <f t="shared" si="115"/>
        <v>0</v>
      </c>
      <c r="CB19" s="54"/>
      <c r="CC19" s="53">
        <f t="shared" si="116"/>
        <v>0</v>
      </c>
      <c r="CD19" s="54"/>
      <c r="CE19" s="53">
        <f t="shared" si="117"/>
        <v>0</v>
      </c>
      <c r="CF19" s="54"/>
      <c r="CG19" s="53">
        <f t="shared" si="118"/>
        <v>0</v>
      </c>
      <c r="CH19" s="54"/>
      <c r="CI19" s="53">
        <f t="shared" si="119"/>
        <v>0</v>
      </c>
      <c r="CJ19" s="54"/>
      <c r="CK19" s="53">
        <f t="shared" si="120"/>
        <v>0</v>
      </c>
      <c r="CL19" s="54"/>
      <c r="CM19" s="53">
        <f t="shared" si="121"/>
        <v>0</v>
      </c>
      <c r="CN19" s="54"/>
      <c r="CO19" s="53">
        <f t="shared" si="122"/>
        <v>0</v>
      </c>
    </row>
    <row r="20" spans="2:94" ht="19.5" customHeight="1" x14ac:dyDescent="0.25">
      <c r="B20" s="46" t="s">
        <v>62</v>
      </c>
      <c r="C20" s="63">
        <v>3486357.6104902402</v>
      </c>
      <c r="D20" s="30">
        <f t="shared" si="0"/>
        <v>5.9261885930703397E-2</v>
      </c>
      <c r="E20" s="65">
        <f>C20/'DISTRIBUIÇÃO CUSTO'!C$31</f>
        <v>199.52736498031484</v>
      </c>
      <c r="F20" s="82">
        <f t="shared" si="80"/>
        <v>1.0000000000000002</v>
      </c>
      <c r="H20" s="29"/>
      <c r="I20" s="37">
        <f t="shared" si="1"/>
        <v>0</v>
      </c>
      <c r="J20" s="36"/>
      <c r="K20" s="37">
        <f t="shared" si="2"/>
        <v>0</v>
      </c>
      <c r="L20" s="36"/>
      <c r="M20" s="37">
        <f t="shared" si="3"/>
        <v>0</v>
      </c>
      <c r="N20" s="36"/>
      <c r="O20" s="37">
        <f t="shared" si="4"/>
        <v>0</v>
      </c>
      <c r="P20" s="36"/>
      <c r="Q20" s="37">
        <f t="shared" si="5"/>
        <v>0</v>
      </c>
      <c r="R20" s="36"/>
      <c r="S20" s="37">
        <f t="shared" si="6"/>
        <v>0</v>
      </c>
      <c r="T20" s="36"/>
      <c r="U20" s="37">
        <f t="shared" si="7"/>
        <v>0</v>
      </c>
      <c r="V20" s="36"/>
      <c r="W20" s="37">
        <f t="shared" si="170"/>
        <v>0</v>
      </c>
      <c r="X20" s="36"/>
      <c r="Y20" s="37">
        <f t="shared" si="171"/>
        <v>0</v>
      </c>
      <c r="Z20" s="36"/>
      <c r="AA20" s="37">
        <f t="shared" si="172"/>
        <v>0</v>
      </c>
      <c r="AB20" s="36"/>
      <c r="AC20" s="37">
        <f t="shared" si="173"/>
        <v>0</v>
      </c>
      <c r="AD20" s="36"/>
      <c r="AE20" s="37">
        <f t="shared" si="91"/>
        <v>0</v>
      </c>
      <c r="AF20" s="36"/>
      <c r="AG20" s="37">
        <f t="shared" si="92"/>
        <v>0</v>
      </c>
      <c r="AH20" s="36"/>
      <c r="AI20" s="37">
        <f t="shared" si="93"/>
        <v>0</v>
      </c>
      <c r="AJ20" s="36"/>
      <c r="AK20" s="37">
        <f t="shared" si="94"/>
        <v>0</v>
      </c>
      <c r="AL20" s="36"/>
      <c r="AM20" s="37">
        <f t="shared" si="95"/>
        <v>0</v>
      </c>
      <c r="AN20" s="36"/>
      <c r="AO20" s="37">
        <f t="shared" si="96"/>
        <v>0</v>
      </c>
      <c r="AP20" s="36"/>
      <c r="AQ20" s="37">
        <f t="shared" si="97"/>
        <v>0</v>
      </c>
      <c r="AR20" s="36">
        <f>100%/18</f>
        <v>5.5555555555555552E-2</v>
      </c>
      <c r="AS20" s="37">
        <f t="shared" si="98"/>
        <v>193686.53391612443</v>
      </c>
      <c r="AT20" s="36">
        <f t="shared" ref="AT20" si="196">100%/18</f>
        <v>5.5555555555555552E-2</v>
      </c>
      <c r="AU20" s="37">
        <f t="shared" si="99"/>
        <v>193686.53391612443</v>
      </c>
      <c r="AV20" s="36">
        <f t="shared" ref="AV20" si="197">100%/18</f>
        <v>5.5555555555555552E-2</v>
      </c>
      <c r="AW20" s="37">
        <f t="shared" si="100"/>
        <v>193686.53391612443</v>
      </c>
      <c r="AX20" s="36">
        <f t="shared" ref="AX20" si="198">100%/18</f>
        <v>5.5555555555555552E-2</v>
      </c>
      <c r="AY20" s="37">
        <f t="shared" si="101"/>
        <v>193686.53391612443</v>
      </c>
      <c r="AZ20" s="36">
        <f t="shared" ref="AZ20" si="199">100%/18</f>
        <v>5.5555555555555552E-2</v>
      </c>
      <c r="BA20" s="37">
        <f t="shared" si="102"/>
        <v>193686.53391612443</v>
      </c>
      <c r="BB20" s="36">
        <f t="shared" ref="BB20" si="200">100%/18</f>
        <v>5.5555555555555552E-2</v>
      </c>
      <c r="BC20" s="37">
        <f t="shared" si="103"/>
        <v>193686.53391612443</v>
      </c>
      <c r="BD20" s="36">
        <f t="shared" ref="BD20" si="201">100%/18</f>
        <v>5.5555555555555552E-2</v>
      </c>
      <c r="BE20" s="37">
        <f t="shared" si="104"/>
        <v>193686.53391612443</v>
      </c>
      <c r="BF20" s="36">
        <f t="shared" ref="BF20" si="202">100%/18</f>
        <v>5.5555555555555552E-2</v>
      </c>
      <c r="BG20" s="37">
        <f t="shared" si="105"/>
        <v>193686.53391612443</v>
      </c>
      <c r="BH20" s="36">
        <f t="shared" ref="BH20" si="203">100%/18</f>
        <v>5.5555555555555552E-2</v>
      </c>
      <c r="BI20" s="37">
        <f t="shared" si="106"/>
        <v>193686.53391612443</v>
      </c>
      <c r="BJ20" s="36">
        <f t="shared" ref="BJ20" si="204">100%/18</f>
        <v>5.5555555555555552E-2</v>
      </c>
      <c r="BK20" s="37">
        <f t="shared" si="107"/>
        <v>193686.53391612443</v>
      </c>
      <c r="BL20" s="36">
        <f t="shared" ref="BL20" si="205">100%/18</f>
        <v>5.5555555555555552E-2</v>
      </c>
      <c r="BM20" s="37">
        <f t="shared" si="108"/>
        <v>193686.53391612443</v>
      </c>
      <c r="BN20" s="36">
        <f t="shared" ref="BN20" si="206">100%/18</f>
        <v>5.5555555555555552E-2</v>
      </c>
      <c r="BO20" s="37">
        <f t="shared" si="109"/>
        <v>193686.53391612443</v>
      </c>
      <c r="BP20" s="36">
        <f t="shared" ref="BP20" si="207">100%/18</f>
        <v>5.5555555555555552E-2</v>
      </c>
      <c r="BQ20" s="37">
        <f t="shared" si="110"/>
        <v>193686.53391612443</v>
      </c>
      <c r="BR20" s="36">
        <f t="shared" ref="BR20" si="208">100%/18</f>
        <v>5.5555555555555552E-2</v>
      </c>
      <c r="BS20" s="37">
        <f t="shared" si="111"/>
        <v>193686.53391612443</v>
      </c>
      <c r="BT20" s="36">
        <f t="shared" ref="BT20" si="209">100%/18</f>
        <v>5.5555555555555552E-2</v>
      </c>
      <c r="BU20" s="37">
        <f t="shared" si="112"/>
        <v>193686.53391612443</v>
      </c>
      <c r="BV20" s="36">
        <f t="shared" ref="BV20" si="210">100%/18</f>
        <v>5.5555555555555552E-2</v>
      </c>
      <c r="BW20" s="37">
        <f t="shared" si="113"/>
        <v>193686.53391612443</v>
      </c>
      <c r="BX20" s="36">
        <f t="shared" ref="BX20" si="211">100%/18</f>
        <v>5.5555555555555552E-2</v>
      </c>
      <c r="BY20" s="37">
        <f t="shared" si="114"/>
        <v>193686.53391612443</v>
      </c>
      <c r="BZ20" s="36">
        <f t="shared" ref="BZ20" si="212">100%/18</f>
        <v>5.5555555555555552E-2</v>
      </c>
      <c r="CA20" s="37">
        <f t="shared" si="115"/>
        <v>193686.53391612443</v>
      </c>
      <c r="CB20" s="36"/>
      <c r="CC20" s="37">
        <f t="shared" si="116"/>
        <v>0</v>
      </c>
      <c r="CD20" s="36"/>
      <c r="CE20" s="37">
        <f t="shared" si="117"/>
        <v>0</v>
      </c>
      <c r="CF20" s="36"/>
      <c r="CG20" s="37">
        <f t="shared" si="118"/>
        <v>0</v>
      </c>
      <c r="CH20" s="36"/>
      <c r="CI20" s="37">
        <f t="shared" si="119"/>
        <v>0</v>
      </c>
      <c r="CJ20" s="36"/>
      <c r="CK20" s="37">
        <f t="shared" si="120"/>
        <v>0</v>
      </c>
      <c r="CL20" s="36"/>
      <c r="CM20" s="37">
        <f t="shared" si="121"/>
        <v>0</v>
      </c>
      <c r="CN20" s="36"/>
      <c r="CO20" s="37">
        <f t="shared" si="122"/>
        <v>0</v>
      </c>
    </row>
    <row r="21" spans="2:94" ht="19.5" customHeight="1" x14ac:dyDescent="0.25">
      <c r="B21" s="50" t="s">
        <v>63</v>
      </c>
      <c r="C21" s="62">
        <v>2122696.7540171999</v>
      </c>
      <c r="D21" s="51">
        <f t="shared" si="0"/>
        <v>3.6082073888098011E-2</v>
      </c>
      <c r="E21" s="64">
        <f>C21/'DISTRIBUIÇÃO CUSTO'!C$31</f>
        <v>121.48383421910731</v>
      </c>
      <c r="F21" s="81">
        <f t="shared" si="80"/>
        <v>1.0000000000000002</v>
      </c>
      <c r="H21" s="52"/>
      <c r="I21" s="53">
        <f t="shared" si="1"/>
        <v>0</v>
      </c>
      <c r="J21" s="54"/>
      <c r="K21" s="53">
        <f t="shared" si="2"/>
        <v>0</v>
      </c>
      <c r="L21" s="54"/>
      <c r="M21" s="53">
        <f t="shared" si="3"/>
        <v>0</v>
      </c>
      <c r="N21" s="54"/>
      <c r="O21" s="53">
        <f t="shared" si="4"/>
        <v>0</v>
      </c>
      <c r="P21" s="54"/>
      <c r="Q21" s="53">
        <f t="shared" si="5"/>
        <v>0</v>
      </c>
      <c r="R21" s="54"/>
      <c r="S21" s="53">
        <f t="shared" si="6"/>
        <v>0</v>
      </c>
      <c r="T21" s="54"/>
      <c r="U21" s="53">
        <f t="shared" si="7"/>
        <v>0</v>
      </c>
      <c r="V21" s="54"/>
      <c r="W21" s="53">
        <f t="shared" si="170"/>
        <v>0</v>
      </c>
      <c r="X21" s="54"/>
      <c r="Y21" s="53">
        <f t="shared" si="171"/>
        <v>0</v>
      </c>
      <c r="Z21" s="54"/>
      <c r="AA21" s="53">
        <f t="shared" si="172"/>
        <v>0</v>
      </c>
      <c r="AB21" s="54"/>
      <c r="AC21" s="53">
        <f t="shared" si="173"/>
        <v>0</v>
      </c>
      <c r="AD21" s="54"/>
      <c r="AE21" s="53">
        <f t="shared" si="91"/>
        <v>0</v>
      </c>
      <c r="AF21" s="54"/>
      <c r="AG21" s="53">
        <f t="shared" si="92"/>
        <v>0</v>
      </c>
      <c r="AH21" s="54"/>
      <c r="AI21" s="53">
        <f t="shared" si="93"/>
        <v>0</v>
      </c>
      <c r="AJ21" s="54"/>
      <c r="AK21" s="53">
        <f t="shared" si="94"/>
        <v>0</v>
      </c>
      <c r="AL21" s="54"/>
      <c r="AM21" s="53">
        <f t="shared" si="95"/>
        <v>0</v>
      </c>
      <c r="AN21" s="54"/>
      <c r="AO21" s="53">
        <f t="shared" si="96"/>
        <v>0</v>
      </c>
      <c r="AP21" s="54"/>
      <c r="AQ21" s="53">
        <f t="shared" si="97"/>
        <v>0</v>
      </c>
      <c r="AR21" s="54"/>
      <c r="AS21" s="53">
        <f t="shared" si="98"/>
        <v>0</v>
      </c>
      <c r="AT21" s="54"/>
      <c r="AU21" s="53">
        <f t="shared" si="99"/>
        <v>0</v>
      </c>
      <c r="AV21" s="54">
        <f>100%/20</f>
        <v>0.05</v>
      </c>
      <c r="AW21" s="53">
        <f t="shared" si="100"/>
        <v>106134.83770085999</v>
      </c>
      <c r="AX21" s="54">
        <f t="shared" ref="AX21" si="213">100%/20</f>
        <v>0.05</v>
      </c>
      <c r="AY21" s="53">
        <f t="shared" si="101"/>
        <v>106134.83770085999</v>
      </c>
      <c r="AZ21" s="54">
        <f t="shared" ref="AZ21" si="214">100%/20</f>
        <v>0.05</v>
      </c>
      <c r="BA21" s="53">
        <f t="shared" si="102"/>
        <v>106134.83770085999</v>
      </c>
      <c r="BB21" s="54">
        <f t="shared" ref="BB21" si="215">100%/20</f>
        <v>0.05</v>
      </c>
      <c r="BC21" s="53">
        <f t="shared" si="103"/>
        <v>106134.83770085999</v>
      </c>
      <c r="BD21" s="54">
        <f t="shared" ref="BD21" si="216">100%/20</f>
        <v>0.05</v>
      </c>
      <c r="BE21" s="53">
        <f t="shared" si="104"/>
        <v>106134.83770085999</v>
      </c>
      <c r="BF21" s="54">
        <f t="shared" ref="BF21" si="217">100%/20</f>
        <v>0.05</v>
      </c>
      <c r="BG21" s="53">
        <f t="shared" si="105"/>
        <v>106134.83770085999</v>
      </c>
      <c r="BH21" s="54">
        <f t="shared" ref="BH21" si="218">100%/20</f>
        <v>0.05</v>
      </c>
      <c r="BI21" s="53">
        <f t="shared" si="106"/>
        <v>106134.83770085999</v>
      </c>
      <c r="BJ21" s="54">
        <f t="shared" ref="BJ21" si="219">100%/20</f>
        <v>0.05</v>
      </c>
      <c r="BK21" s="53">
        <f t="shared" si="107"/>
        <v>106134.83770085999</v>
      </c>
      <c r="BL21" s="54">
        <f t="shared" ref="BL21" si="220">100%/20</f>
        <v>0.05</v>
      </c>
      <c r="BM21" s="53">
        <f t="shared" si="108"/>
        <v>106134.83770085999</v>
      </c>
      <c r="BN21" s="54">
        <f t="shared" ref="BN21" si="221">100%/20</f>
        <v>0.05</v>
      </c>
      <c r="BO21" s="53">
        <f t="shared" si="109"/>
        <v>106134.83770085999</v>
      </c>
      <c r="BP21" s="54">
        <f t="shared" ref="BP21" si="222">100%/20</f>
        <v>0.05</v>
      </c>
      <c r="BQ21" s="53">
        <f t="shared" si="110"/>
        <v>106134.83770085999</v>
      </c>
      <c r="BR21" s="54">
        <f t="shared" ref="BR21" si="223">100%/20</f>
        <v>0.05</v>
      </c>
      <c r="BS21" s="53">
        <f t="shared" si="111"/>
        <v>106134.83770085999</v>
      </c>
      <c r="BT21" s="54">
        <f t="shared" ref="BT21" si="224">100%/20</f>
        <v>0.05</v>
      </c>
      <c r="BU21" s="53">
        <f t="shared" si="112"/>
        <v>106134.83770085999</v>
      </c>
      <c r="BV21" s="54">
        <f t="shared" ref="BV21" si="225">100%/20</f>
        <v>0.05</v>
      </c>
      <c r="BW21" s="53">
        <f t="shared" si="113"/>
        <v>106134.83770085999</v>
      </c>
      <c r="BX21" s="54">
        <f t="shared" ref="BX21" si="226">100%/20</f>
        <v>0.05</v>
      </c>
      <c r="BY21" s="53">
        <f t="shared" si="114"/>
        <v>106134.83770085999</v>
      </c>
      <c r="BZ21" s="54">
        <f t="shared" ref="BZ21" si="227">100%/20</f>
        <v>0.05</v>
      </c>
      <c r="CA21" s="53">
        <f t="shared" si="115"/>
        <v>106134.83770085999</v>
      </c>
      <c r="CB21" s="54">
        <f t="shared" ref="CB21" si="228">100%/20</f>
        <v>0.05</v>
      </c>
      <c r="CC21" s="53">
        <f t="shared" si="116"/>
        <v>106134.83770085999</v>
      </c>
      <c r="CD21" s="54">
        <f t="shared" ref="CD21" si="229">100%/20</f>
        <v>0.05</v>
      </c>
      <c r="CE21" s="53">
        <f t="shared" si="117"/>
        <v>106134.83770085999</v>
      </c>
      <c r="CF21" s="54">
        <f t="shared" ref="CF21" si="230">100%/20</f>
        <v>0.05</v>
      </c>
      <c r="CG21" s="53">
        <f t="shared" si="118"/>
        <v>106134.83770085999</v>
      </c>
      <c r="CH21" s="54">
        <f t="shared" ref="CH21" si="231">100%/20</f>
        <v>0.05</v>
      </c>
      <c r="CI21" s="53">
        <f t="shared" si="119"/>
        <v>106134.83770085999</v>
      </c>
      <c r="CJ21" s="54"/>
      <c r="CK21" s="53">
        <f t="shared" si="120"/>
        <v>0</v>
      </c>
      <c r="CL21" s="54"/>
      <c r="CM21" s="53">
        <f t="shared" si="121"/>
        <v>0</v>
      </c>
      <c r="CN21" s="54"/>
      <c r="CO21" s="53">
        <f t="shared" si="122"/>
        <v>0</v>
      </c>
    </row>
    <row r="22" spans="2:94" ht="19.5" customHeight="1" x14ac:dyDescent="0.25">
      <c r="B22" s="46" t="s">
        <v>64</v>
      </c>
      <c r="C22" s="63">
        <v>5968623.1723734401</v>
      </c>
      <c r="D22" s="30">
        <f t="shared" si="0"/>
        <v>0.10145599078541173</v>
      </c>
      <c r="E22" s="65">
        <f>C22/'DISTRIBUIÇÃO CUSTO'!C$31</f>
        <v>341.58964374760717</v>
      </c>
      <c r="F22" s="82">
        <f t="shared" si="80"/>
        <v>0.99999999999999989</v>
      </c>
      <c r="H22" s="29"/>
      <c r="I22" s="37">
        <f t="shared" si="1"/>
        <v>0</v>
      </c>
      <c r="J22" s="36"/>
      <c r="K22" s="37">
        <f t="shared" si="2"/>
        <v>0</v>
      </c>
      <c r="L22" s="36"/>
      <c r="M22" s="37">
        <f t="shared" si="3"/>
        <v>0</v>
      </c>
      <c r="N22" s="36"/>
      <c r="O22" s="37">
        <f t="shared" si="4"/>
        <v>0</v>
      </c>
      <c r="P22" s="36"/>
      <c r="Q22" s="37">
        <f t="shared" si="5"/>
        <v>0</v>
      </c>
      <c r="R22" s="36"/>
      <c r="S22" s="37">
        <f t="shared" si="6"/>
        <v>0</v>
      </c>
      <c r="T22" s="36"/>
      <c r="U22" s="37">
        <f t="shared" si="7"/>
        <v>0</v>
      </c>
      <c r="V22" s="36"/>
      <c r="W22" s="37">
        <f t="shared" si="170"/>
        <v>0</v>
      </c>
      <c r="X22" s="36"/>
      <c r="Y22" s="37">
        <f t="shared" si="171"/>
        <v>0</v>
      </c>
      <c r="Z22" s="36"/>
      <c r="AA22" s="37">
        <f t="shared" si="172"/>
        <v>0</v>
      </c>
      <c r="AB22" s="36"/>
      <c r="AC22" s="37">
        <f t="shared" si="173"/>
        <v>0</v>
      </c>
      <c r="AD22" s="36"/>
      <c r="AE22" s="37">
        <f t="shared" si="91"/>
        <v>0</v>
      </c>
      <c r="AF22" s="36"/>
      <c r="AG22" s="37">
        <f t="shared" si="92"/>
        <v>0</v>
      </c>
      <c r="AH22" s="36"/>
      <c r="AI22" s="37">
        <f t="shared" si="93"/>
        <v>0</v>
      </c>
      <c r="AJ22" s="36"/>
      <c r="AK22" s="37">
        <f t="shared" si="94"/>
        <v>0</v>
      </c>
      <c r="AL22" s="36"/>
      <c r="AM22" s="37">
        <f t="shared" si="95"/>
        <v>0</v>
      </c>
      <c r="AN22" s="36"/>
      <c r="AO22" s="37">
        <f t="shared" si="96"/>
        <v>0</v>
      </c>
      <c r="AP22" s="36"/>
      <c r="AQ22" s="37">
        <f t="shared" si="97"/>
        <v>0</v>
      </c>
      <c r="AR22" s="36"/>
      <c r="AS22" s="37">
        <f t="shared" si="98"/>
        <v>0</v>
      </c>
      <c r="AT22" s="36"/>
      <c r="AU22" s="37">
        <f t="shared" si="99"/>
        <v>0</v>
      </c>
      <c r="AV22" s="36"/>
      <c r="AW22" s="37">
        <f t="shared" si="100"/>
        <v>0</v>
      </c>
      <c r="AX22" s="36"/>
      <c r="AY22" s="37">
        <f t="shared" si="101"/>
        <v>0</v>
      </c>
      <c r="AZ22" s="36"/>
      <c r="BA22" s="37">
        <f t="shared" si="102"/>
        <v>0</v>
      </c>
      <c r="BB22" s="36"/>
      <c r="BC22" s="37">
        <f t="shared" si="103"/>
        <v>0</v>
      </c>
      <c r="BD22" s="36"/>
      <c r="BE22" s="37">
        <f t="shared" si="104"/>
        <v>0</v>
      </c>
      <c r="BF22" s="36"/>
      <c r="BG22" s="37">
        <f t="shared" si="105"/>
        <v>0</v>
      </c>
      <c r="BH22" s="36"/>
      <c r="BI22" s="37">
        <f t="shared" si="106"/>
        <v>0</v>
      </c>
      <c r="BJ22" s="36"/>
      <c r="BK22" s="37">
        <f t="shared" si="107"/>
        <v>0</v>
      </c>
      <c r="BL22" s="36"/>
      <c r="BM22" s="37">
        <f t="shared" si="108"/>
        <v>0</v>
      </c>
      <c r="BN22" s="36"/>
      <c r="BO22" s="37">
        <f t="shared" si="109"/>
        <v>0</v>
      </c>
      <c r="BP22" s="36"/>
      <c r="BQ22" s="37">
        <f t="shared" si="110"/>
        <v>0</v>
      </c>
      <c r="BR22" s="36"/>
      <c r="BS22" s="37">
        <f t="shared" si="111"/>
        <v>0</v>
      </c>
      <c r="BT22" s="36"/>
      <c r="BU22" s="37">
        <f t="shared" si="112"/>
        <v>0</v>
      </c>
      <c r="BV22" s="36">
        <f>100%/6</f>
        <v>0.16666666666666666</v>
      </c>
      <c r="BW22" s="37">
        <f t="shared" si="113"/>
        <v>994770.52872890665</v>
      </c>
      <c r="BX22" s="36">
        <f t="shared" ref="BX22" si="232">100%/6</f>
        <v>0.16666666666666666</v>
      </c>
      <c r="BY22" s="37">
        <f t="shared" si="114"/>
        <v>994770.52872890665</v>
      </c>
      <c r="BZ22" s="36">
        <f t="shared" ref="BZ22" si="233">100%/6</f>
        <v>0.16666666666666666</v>
      </c>
      <c r="CA22" s="37">
        <f t="shared" si="115"/>
        <v>994770.52872890665</v>
      </c>
      <c r="CB22" s="36">
        <f t="shared" ref="CB22" si="234">100%/6</f>
        <v>0.16666666666666666</v>
      </c>
      <c r="CC22" s="37">
        <f t="shared" si="116"/>
        <v>994770.52872890665</v>
      </c>
      <c r="CD22" s="36">
        <f t="shared" ref="CD22" si="235">100%/6</f>
        <v>0.16666666666666666</v>
      </c>
      <c r="CE22" s="37">
        <f t="shared" si="117"/>
        <v>994770.52872890665</v>
      </c>
      <c r="CF22" s="36">
        <f t="shared" ref="CF22" si="236">100%/6</f>
        <v>0.16666666666666666</v>
      </c>
      <c r="CG22" s="37">
        <f t="shared" si="118"/>
        <v>994770.52872890665</v>
      </c>
      <c r="CH22" s="36"/>
      <c r="CI22" s="37">
        <f t="shared" si="119"/>
        <v>0</v>
      </c>
      <c r="CJ22" s="36"/>
      <c r="CK22" s="37">
        <f t="shared" si="120"/>
        <v>0</v>
      </c>
      <c r="CL22" s="36"/>
      <c r="CM22" s="37">
        <f t="shared" si="121"/>
        <v>0</v>
      </c>
      <c r="CN22" s="36"/>
      <c r="CO22" s="37">
        <f t="shared" si="122"/>
        <v>0</v>
      </c>
    </row>
    <row r="23" spans="2:94" ht="19.5" customHeight="1" x14ac:dyDescent="0.25">
      <c r="B23" s="50" t="s">
        <v>65</v>
      </c>
      <c r="C23" s="62">
        <v>389789.62706503994</v>
      </c>
      <c r="D23" s="51">
        <f t="shared" si="0"/>
        <v>6.6257312062865566E-3</v>
      </c>
      <c r="E23" s="64">
        <f>C23/'DISTRIBUIÇÃO CUSTO'!C$31</f>
        <v>22.308009066806761</v>
      </c>
      <c r="F23" s="81">
        <f t="shared" si="80"/>
        <v>1</v>
      </c>
      <c r="H23" s="52"/>
      <c r="I23" s="53">
        <f t="shared" si="1"/>
        <v>0</v>
      </c>
      <c r="J23" s="54"/>
      <c r="K23" s="53">
        <f t="shared" si="2"/>
        <v>0</v>
      </c>
      <c r="L23" s="54"/>
      <c r="M23" s="53">
        <f t="shared" si="3"/>
        <v>0</v>
      </c>
      <c r="N23" s="54"/>
      <c r="O23" s="53">
        <f t="shared" si="4"/>
        <v>0</v>
      </c>
      <c r="P23" s="54"/>
      <c r="Q23" s="53">
        <f t="shared" si="5"/>
        <v>0</v>
      </c>
      <c r="R23" s="54"/>
      <c r="S23" s="53">
        <f t="shared" si="6"/>
        <v>0</v>
      </c>
      <c r="T23" s="54"/>
      <c r="U23" s="53">
        <f t="shared" si="7"/>
        <v>0</v>
      </c>
      <c r="V23" s="54"/>
      <c r="W23" s="53">
        <f t="shared" si="170"/>
        <v>0</v>
      </c>
      <c r="X23" s="54"/>
      <c r="Y23" s="53">
        <f t="shared" si="171"/>
        <v>0</v>
      </c>
      <c r="Z23" s="54"/>
      <c r="AA23" s="53">
        <f t="shared" si="172"/>
        <v>0</v>
      </c>
      <c r="AB23" s="54"/>
      <c r="AC23" s="53">
        <f t="shared" si="173"/>
        <v>0</v>
      </c>
      <c r="AD23" s="54"/>
      <c r="AE23" s="53">
        <f t="shared" si="91"/>
        <v>0</v>
      </c>
      <c r="AF23" s="54"/>
      <c r="AG23" s="53">
        <f t="shared" si="92"/>
        <v>0</v>
      </c>
      <c r="AH23" s="54"/>
      <c r="AI23" s="53">
        <f t="shared" si="93"/>
        <v>0</v>
      </c>
      <c r="AJ23" s="54"/>
      <c r="AK23" s="53">
        <f t="shared" si="94"/>
        <v>0</v>
      </c>
      <c r="AL23" s="54"/>
      <c r="AM23" s="53">
        <f t="shared" si="95"/>
        <v>0</v>
      </c>
      <c r="AN23" s="54"/>
      <c r="AO23" s="53">
        <f t="shared" si="96"/>
        <v>0</v>
      </c>
      <c r="AP23" s="54"/>
      <c r="AQ23" s="53">
        <f t="shared" si="97"/>
        <v>0</v>
      </c>
      <c r="AR23" s="54"/>
      <c r="AS23" s="53">
        <f t="shared" si="98"/>
        <v>0</v>
      </c>
      <c r="AT23" s="54"/>
      <c r="AU23" s="53">
        <f t="shared" si="99"/>
        <v>0</v>
      </c>
      <c r="AV23" s="54"/>
      <c r="AW23" s="53">
        <f t="shared" si="100"/>
        <v>0</v>
      </c>
      <c r="AX23" s="54"/>
      <c r="AY23" s="53">
        <f t="shared" si="101"/>
        <v>0</v>
      </c>
      <c r="AZ23" s="54"/>
      <c r="BA23" s="53">
        <f t="shared" si="102"/>
        <v>0</v>
      </c>
      <c r="BB23" s="54"/>
      <c r="BC23" s="53">
        <f t="shared" si="103"/>
        <v>0</v>
      </c>
      <c r="BD23" s="54"/>
      <c r="BE23" s="53">
        <f t="shared" si="104"/>
        <v>0</v>
      </c>
      <c r="BF23" s="54"/>
      <c r="BG23" s="53">
        <f t="shared" si="105"/>
        <v>0</v>
      </c>
      <c r="BH23" s="54"/>
      <c r="BI23" s="53">
        <f t="shared" si="106"/>
        <v>0</v>
      </c>
      <c r="BJ23" s="54"/>
      <c r="BK23" s="53">
        <f t="shared" si="107"/>
        <v>0</v>
      </c>
      <c r="BL23" s="54"/>
      <c r="BM23" s="53">
        <f t="shared" si="108"/>
        <v>0</v>
      </c>
      <c r="BN23" s="54"/>
      <c r="BO23" s="53">
        <f t="shared" si="109"/>
        <v>0</v>
      </c>
      <c r="BP23" s="54"/>
      <c r="BQ23" s="53">
        <f t="shared" si="110"/>
        <v>0</v>
      </c>
      <c r="BR23" s="54">
        <f>100%/4</f>
        <v>0.25</v>
      </c>
      <c r="BS23" s="53">
        <f t="shared" si="111"/>
        <v>97447.406766259985</v>
      </c>
      <c r="BT23" s="54">
        <f t="shared" ref="BT23" si="237">100%/4</f>
        <v>0.25</v>
      </c>
      <c r="BU23" s="53">
        <f t="shared" si="112"/>
        <v>97447.406766259985</v>
      </c>
      <c r="BV23" s="54">
        <f t="shared" ref="BV23" si="238">100%/4</f>
        <v>0.25</v>
      </c>
      <c r="BW23" s="53">
        <f t="shared" si="113"/>
        <v>97447.406766259985</v>
      </c>
      <c r="BX23" s="54">
        <f t="shared" ref="BX23" si="239">100%/4</f>
        <v>0.25</v>
      </c>
      <c r="BY23" s="53">
        <f t="shared" si="114"/>
        <v>97447.406766259985</v>
      </c>
      <c r="BZ23" s="54"/>
      <c r="CA23" s="53">
        <f t="shared" si="115"/>
        <v>0</v>
      </c>
      <c r="CB23" s="54"/>
      <c r="CC23" s="53">
        <f t="shared" si="116"/>
        <v>0</v>
      </c>
      <c r="CD23" s="54"/>
      <c r="CE23" s="53">
        <f t="shared" si="117"/>
        <v>0</v>
      </c>
      <c r="CF23" s="54"/>
      <c r="CG23" s="53">
        <f t="shared" si="118"/>
        <v>0</v>
      </c>
      <c r="CH23" s="54"/>
      <c r="CI23" s="53">
        <f t="shared" si="119"/>
        <v>0</v>
      </c>
      <c r="CJ23" s="54"/>
      <c r="CK23" s="53">
        <f t="shared" si="120"/>
        <v>0</v>
      </c>
      <c r="CL23" s="54"/>
      <c r="CM23" s="53">
        <f t="shared" si="121"/>
        <v>0</v>
      </c>
      <c r="CN23" s="54"/>
      <c r="CO23" s="53">
        <f t="shared" si="122"/>
        <v>0</v>
      </c>
    </row>
    <row r="24" spans="2:94" ht="19.5" customHeight="1" x14ac:dyDescent="0.25">
      <c r="B24" s="46" t="s">
        <v>66</v>
      </c>
      <c r="C24" s="63">
        <v>1910131.0763035202</v>
      </c>
      <c r="D24" s="30">
        <f t="shared" si="0"/>
        <v>3.2468834985827345E-2</v>
      </c>
      <c r="E24" s="65">
        <f>C24/'DISTRIBUIÇÃO CUSTO'!C$31</f>
        <v>109.31851032007637</v>
      </c>
      <c r="F24" s="82">
        <f t="shared" si="80"/>
        <v>1</v>
      </c>
      <c r="H24" s="29"/>
      <c r="I24" s="37">
        <f t="shared" si="1"/>
        <v>0</v>
      </c>
      <c r="J24" s="36"/>
      <c r="K24" s="37">
        <f t="shared" si="2"/>
        <v>0</v>
      </c>
      <c r="L24" s="36"/>
      <c r="M24" s="37">
        <f t="shared" si="3"/>
        <v>0</v>
      </c>
      <c r="N24" s="36"/>
      <c r="O24" s="37">
        <f t="shared" si="4"/>
        <v>0</v>
      </c>
      <c r="P24" s="36"/>
      <c r="Q24" s="37">
        <f t="shared" si="5"/>
        <v>0</v>
      </c>
      <c r="R24" s="36"/>
      <c r="S24" s="37">
        <f t="shared" si="6"/>
        <v>0</v>
      </c>
      <c r="T24" s="36"/>
      <c r="U24" s="37">
        <f t="shared" si="7"/>
        <v>0</v>
      </c>
      <c r="V24" s="36"/>
      <c r="W24" s="37">
        <f t="shared" si="170"/>
        <v>0</v>
      </c>
      <c r="X24" s="36"/>
      <c r="Y24" s="37">
        <f t="shared" si="171"/>
        <v>0</v>
      </c>
      <c r="Z24" s="36"/>
      <c r="AA24" s="37">
        <f t="shared" si="172"/>
        <v>0</v>
      </c>
      <c r="AB24" s="36"/>
      <c r="AC24" s="37">
        <f t="shared" si="173"/>
        <v>0</v>
      </c>
      <c r="AD24" s="36"/>
      <c r="AE24" s="37">
        <f t="shared" si="91"/>
        <v>0</v>
      </c>
      <c r="AF24" s="36"/>
      <c r="AG24" s="37">
        <f t="shared" si="92"/>
        <v>0</v>
      </c>
      <c r="AH24" s="36"/>
      <c r="AI24" s="37">
        <f t="shared" si="93"/>
        <v>0</v>
      </c>
      <c r="AJ24" s="36"/>
      <c r="AK24" s="37">
        <f t="shared" si="94"/>
        <v>0</v>
      </c>
      <c r="AL24" s="36"/>
      <c r="AM24" s="37">
        <f t="shared" si="95"/>
        <v>0</v>
      </c>
      <c r="AN24" s="36"/>
      <c r="AO24" s="37">
        <f t="shared" si="96"/>
        <v>0</v>
      </c>
      <c r="AP24" s="36"/>
      <c r="AQ24" s="37">
        <f t="shared" si="97"/>
        <v>0</v>
      </c>
      <c r="AR24" s="36"/>
      <c r="AS24" s="37">
        <f t="shared" si="98"/>
        <v>0</v>
      </c>
      <c r="AT24" s="36"/>
      <c r="AU24" s="37">
        <f t="shared" si="99"/>
        <v>0</v>
      </c>
      <c r="AV24" s="36"/>
      <c r="AW24" s="37">
        <f t="shared" si="100"/>
        <v>0</v>
      </c>
      <c r="AX24" s="36"/>
      <c r="AY24" s="37">
        <f t="shared" si="101"/>
        <v>0</v>
      </c>
      <c r="AZ24" s="36"/>
      <c r="BA24" s="37">
        <f t="shared" si="102"/>
        <v>0</v>
      </c>
      <c r="BB24" s="36"/>
      <c r="BC24" s="37">
        <f t="shared" si="103"/>
        <v>0</v>
      </c>
      <c r="BD24" s="36"/>
      <c r="BE24" s="37">
        <f t="shared" si="104"/>
        <v>0</v>
      </c>
      <c r="BF24" s="36"/>
      <c r="BG24" s="37">
        <f t="shared" si="105"/>
        <v>0</v>
      </c>
      <c r="BH24" s="36"/>
      <c r="BI24" s="37">
        <f t="shared" si="106"/>
        <v>0</v>
      </c>
      <c r="BJ24" s="36"/>
      <c r="BK24" s="37">
        <f t="shared" si="107"/>
        <v>0</v>
      </c>
      <c r="BL24" s="36"/>
      <c r="BM24" s="37">
        <f t="shared" si="108"/>
        <v>0</v>
      </c>
      <c r="BN24" s="36"/>
      <c r="BO24" s="37">
        <f t="shared" si="109"/>
        <v>0</v>
      </c>
      <c r="BP24" s="36">
        <f>100%/8</f>
        <v>0.125</v>
      </c>
      <c r="BQ24" s="37">
        <f t="shared" si="110"/>
        <v>238766.38453794003</v>
      </c>
      <c r="BR24" s="36">
        <f t="shared" ref="BR24" si="240">100%/8</f>
        <v>0.125</v>
      </c>
      <c r="BS24" s="37">
        <f t="shared" si="111"/>
        <v>238766.38453794003</v>
      </c>
      <c r="BT24" s="36">
        <f t="shared" ref="BT24" si="241">100%/8</f>
        <v>0.125</v>
      </c>
      <c r="BU24" s="37">
        <f t="shared" si="112"/>
        <v>238766.38453794003</v>
      </c>
      <c r="BV24" s="36">
        <f t="shared" ref="BV24" si="242">100%/8</f>
        <v>0.125</v>
      </c>
      <c r="BW24" s="37">
        <f t="shared" si="113"/>
        <v>238766.38453794003</v>
      </c>
      <c r="BX24" s="36">
        <f t="shared" ref="BX24" si="243">100%/8</f>
        <v>0.125</v>
      </c>
      <c r="BY24" s="37">
        <f t="shared" si="114"/>
        <v>238766.38453794003</v>
      </c>
      <c r="BZ24" s="36">
        <f t="shared" ref="BZ24" si="244">100%/8</f>
        <v>0.125</v>
      </c>
      <c r="CA24" s="37">
        <f t="shared" si="115"/>
        <v>238766.38453794003</v>
      </c>
      <c r="CB24" s="36">
        <f t="shared" ref="CB24:CB25" si="245">100%/8</f>
        <v>0.125</v>
      </c>
      <c r="CC24" s="37">
        <f t="shared" si="116"/>
        <v>238766.38453794003</v>
      </c>
      <c r="CD24" s="36">
        <f t="shared" ref="CD24:CD25" si="246">100%/8</f>
        <v>0.125</v>
      </c>
      <c r="CE24" s="37">
        <f t="shared" si="117"/>
        <v>238766.38453794003</v>
      </c>
      <c r="CF24" s="36"/>
      <c r="CG24" s="37">
        <f t="shared" si="118"/>
        <v>0</v>
      </c>
      <c r="CH24" s="36"/>
      <c r="CI24" s="37">
        <f t="shared" si="119"/>
        <v>0</v>
      </c>
      <c r="CJ24" s="36"/>
      <c r="CK24" s="37">
        <f t="shared" si="120"/>
        <v>0</v>
      </c>
      <c r="CL24" s="36"/>
      <c r="CM24" s="37">
        <f t="shared" si="121"/>
        <v>0</v>
      </c>
      <c r="CN24" s="36"/>
      <c r="CO24" s="37">
        <f t="shared" si="122"/>
        <v>0</v>
      </c>
    </row>
    <row r="25" spans="2:94" ht="19.5" customHeight="1" x14ac:dyDescent="0.25">
      <c r="B25" s="50" t="s">
        <v>67</v>
      </c>
      <c r="C25" s="62">
        <v>2243441.2900867201</v>
      </c>
      <c r="D25" s="51">
        <f t="shared" si="0"/>
        <v>3.813451650092034E-2</v>
      </c>
      <c r="E25" s="64">
        <f>C25/'DISTRIBUIÇÃO CUSTO'!C$31</f>
        <v>128.39415203768996</v>
      </c>
      <c r="F25" s="81">
        <f t="shared" si="80"/>
        <v>1</v>
      </c>
      <c r="H25" s="52"/>
      <c r="I25" s="53">
        <f t="shared" si="1"/>
        <v>0</v>
      </c>
      <c r="J25" s="54"/>
      <c r="K25" s="53">
        <f t="shared" si="2"/>
        <v>0</v>
      </c>
      <c r="L25" s="54"/>
      <c r="M25" s="53">
        <f t="shared" si="3"/>
        <v>0</v>
      </c>
      <c r="N25" s="54"/>
      <c r="O25" s="53">
        <f t="shared" si="4"/>
        <v>0</v>
      </c>
      <c r="P25" s="54"/>
      <c r="Q25" s="53">
        <f t="shared" si="5"/>
        <v>0</v>
      </c>
      <c r="R25" s="54"/>
      <c r="S25" s="53">
        <f t="shared" si="6"/>
        <v>0</v>
      </c>
      <c r="T25" s="54"/>
      <c r="U25" s="53">
        <f t="shared" si="7"/>
        <v>0</v>
      </c>
      <c r="V25" s="54"/>
      <c r="W25" s="53">
        <f t="shared" si="170"/>
        <v>0</v>
      </c>
      <c r="X25" s="54"/>
      <c r="Y25" s="53">
        <f t="shared" si="171"/>
        <v>0</v>
      </c>
      <c r="Z25" s="54"/>
      <c r="AA25" s="53">
        <f t="shared" si="172"/>
        <v>0</v>
      </c>
      <c r="AB25" s="54"/>
      <c r="AC25" s="53">
        <f t="shared" si="173"/>
        <v>0</v>
      </c>
      <c r="AD25" s="54"/>
      <c r="AE25" s="53">
        <f t="shared" si="91"/>
        <v>0</v>
      </c>
      <c r="AF25" s="54"/>
      <c r="AG25" s="53">
        <f t="shared" si="92"/>
        <v>0</v>
      </c>
      <c r="AH25" s="54"/>
      <c r="AI25" s="53">
        <f t="shared" si="93"/>
        <v>0</v>
      </c>
      <c r="AJ25" s="54"/>
      <c r="AK25" s="53">
        <f t="shared" si="94"/>
        <v>0</v>
      </c>
      <c r="AL25" s="54"/>
      <c r="AM25" s="53">
        <f t="shared" si="95"/>
        <v>0</v>
      </c>
      <c r="AN25" s="54"/>
      <c r="AO25" s="53">
        <f t="shared" si="96"/>
        <v>0</v>
      </c>
      <c r="AP25" s="54"/>
      <c r="AQ25" s="53">
        <f t="shared" si="97"/>
        <v>0</v>
      </c>
      <c r="AR25" s="54"/>
      <c r="AS25" s="53">
        <f t="shared" si="98"/>
        <v>0</v>
      </c>
      <c r="AT25" s="54"/>
      <c r="AU25" s="53">
        <f t="shared" si="99"/>
        <v>0</v>
      </c>
      <c r="AV25" s="54"/>
      <c r="AW25" s="53">
        <f t="shared" si="100"/>
        <v>0</v>
      </c>
      <c r="AX25" s="54"/>
      <c r="AY25" s="53">
        <f t="shared" si="101"/>
        <v>0</v>
      </c>
      <c r="AZ25" s="54"/>
      <c r="BA25" s="53">
        <f t="shared" si="102"/>
        <v>0</v>
      </c>
      <c r="BB25" s="54"/>
      <c r="BC25" s="53">
        <f t="shared" si="103"/>
        <v>0</v>
      </c>
      <c r="BD25" s="54"/>
      <c r="BE25" s="53">
        <f t="shared" si="104"/>
        <v>0</v>
      </c>
      <c r="BF25" s="54"/>
      <c r="BG25" s="53">
        <f t="shared" si="105"/>
        <v>0</v>
      </c>
      <c r="BH25" s="54"/>
      <c r="BI25" s="53">
        <f t="shared" si="106"/>
        <v>0</v>
      </c>
      <c r="BJ25" s="54"/>
      <c r="BK25" s="53">
        <f t="shared" si="107"/>
        <v>0</v>
      </c>
      <c r="BL25" s="54"/>
      <c r="BM25" s="53">
        <f t="shared" si="108"/>
        <v>0</v>
      </c>
      <c r="BN25" s="54"/>
      <c r="BO25" s="53">
        <f t="shared" si="109"/>
        <v>0</v>
      </c>
      <c r="BP25" s="54"/>
      <c r="BQ25" s="53">
        <f t="shared" si="110"/>
        <v>0</v>
      </c>
      <c r="BR25" s="54"/>
      <c r="BS25" s="53">
        <f t="shared" si="111"/>
        <v>0</v>
      </c>
      <c r="BT25" s="54"/>
      <c r="BU25" s="53">
        <f t="shared" si="112"/>
        <v>0</v>
      </c>
      <c r="BV25" s="54"/>
      <c r="BW25" s="53">
        <f t="shared" si="113"/>
        <v>0</v>
      </c>
      <c r="BX25" s="54"/>
      <c r="BY25" s="53">
        <f t="shared" si="114"/>
        <v>0</v>
      </c>
      <c r="BZ25" s="54">
        <f>100%/8</f>
        <v>0.125</v>
      </c>
      <c r="CA25" s="53">
        <f t="shared" si="115"/>
        <v>280430.16126084002</v>
      </c>
      <c r="CB25" s="54">
        <f t="shared" si="245"/>
        <v>0.125</v>
      </c>
      <c r="CC25" s="53">
        <f t="shared" si="116"/>
        <v>280430.16126084002</v>
      </c>
      <c r="CD25" s="54">
        <f t="shared" si="246"/>
        <v>0.125</v>
      </c>
      <c r="CE25" s="53">
        <f t="shared" si="117"/>
        <v>280430.16126084002</v>
      </c>
      <c r="CF25" s="54">
        <f t="shared" ref="CF25" si="247">100%/8</f>
        <v>0.125</v>
      </c>
      <c r="CG25" s="53">
        <f t="shared" si="118"/>
        <v>280430.16126084002</v>
      </c>
      <c r="CH25" s="54">
        <f t="shared" ref="CH25" si="248">100%/8</f>
        <v>0.125</v>
      </c>
      <c r="CI25" s="53">
        <f t="shared" si="119"/>
        <v>280430.16126084002</v>
      </c>
      <c r="CJ25" s="54">
        <f t="shared" ref="CJ25" si="249">100%/8</f>
        <v>0.125</v>
      </c>
      <c r="CK25" s="53">
        <f t="shared" si="120"/>
        <v>280430.16126084002</v>
      </c>
      <c r="CL25" s="54">
        <f t="shared" ref="CL25" si="250">100%/8</f>
        <v>0.125</v>
      </c>
      <c r="CM25" s="53">
        <f t="shared" si="121"/>
        <v>280430.16126084002</v>
      </c>
      <c r="CN25" s="54">
        <f t="shared" ref="CN25" si="251">100%/8</f>
        <v>0.125</v>
      </c>
      <c r="CO25" s="53">
        <f t="shared" si="122"/>
        <v>280430.16126084002</v>
      </c>
    </row>
    <row r="26" spans="2:94" ht="19.5" customHeight="1" thickBot="1" x14ac:dyDescent="0.3">
      <c r="B26" s="46" t="s">
        <v>68</v>
      </c>
      <c r="C26" s="63">
        <v>2139091.761357835</v>
      </c>
      <c r="D26" s="30">
        <f t="shared" si="0"/>
        <v>3.6360759887471762E-2</v>
      </c>
      <c r="E26" s="65">
        <f>C26/'DISTRIBUIÇÃO CUSTO'!C$31</f>
        <v>122.4221351563568</v>
      </c>
      <c r="F26" s="82">
        <f t="shared" si="80"/>
        <v>1.0000000000000007</v>
      </c>
      <c r="H26" s="29">
        <f>100%/$E$31</f>
        <v>2.3255813953488372E-2</v>
      </c>
      <c r="I26" s="37">
        <f t="shared" si="1"/>
        <v>49746.320031577561</v>
      </c>
      <c r="J26" s="29">
        <f t="shared" ref="J26" si="252">100%/$E$31</f>
        <v>2.3255813953488372E-2</v>
      </c>
      <c r="K26" s="37">
        <f t="shared" si="2"/>
        <v>49746.320031577561</v>
      </c>
      <c r="L26" s="29">
        <f t="shared" ref="L26" si="253">100%/$E$31</f>
        <v>2.3255813953488372E-2</v>
      </c>
      <c r="M26" s="37">
        <f t="shared" si="3"/>
        <v>49746.320031577561</v>
      </c>
      <c r="N26" s="29">
        <f t="shared" ref="N26" si="254">100%/$E$31</f>
        <v>2.3255813953488372E-2</v>
      </c>
      <c r="O26" s="37">
        <f t="shared" si="4"/>
        <v>49746.320031577561</v>
      </c>
      <c r="P26" s="29">
        <f t="shared" ref="P26" si="255">100%/$E$31</f>
        <v>2.3255813953488372E-2</v>
      </c>
      <c r="Q26" s="37">
        <f t="shared" si="5"/>
        <v>49746.320031577561</v>
      </c>
      <c r="R26" s="29">
        <f t="shared" ref="R26" si="256">100%/$E$31</f>
        <v>2.3255813953488372E-2</v>
      </c>
      <c r="S26" s="37">
        <f t="shared" si="6"/>
        <v>49746.320031577561</v>
      </c>
      <c r="T26" s="29">
        <f t="shared" ref="T26" si="257">100%/$E$31</f>
        <v>2.3255813953488372E-2</v>
      </c>
      <c r="U26" s="37">
        <f t="shared" si="7"/>
        <v>49746.320031577561</v>
      </c>
      <c r="V26" s="29">
        <f t="shared" ref="V26" si="258">100%/$E$31</f>
        <v>2.3255813953488372E-2</v>
      </c>
      <c r="W26" s="37">
        <f t="shared" si="170"/>
        <v>49746.320031577561</v>
      </c>
      <c r="X26" s="29">
        <f t="shared" ref="X26" si="259">100%/$E$31</f>
        <v>2.3255813953488372E-2</v>
      </c>
      <c r="Y26" s="37">
        <f t="shared" si="171"/>
        <v>49746.320031577561</v>
      </c>
      <c r="Z26" s="29">
        <f t="shared" ref="Z26" si="260">100%/$E$31</f>
        <v>2.3255813953488372E-2</v>
      </c>
      <c r="AA26" s="37">
        <f t="shared" si="172"/>
        <v>49746.320031577561</v>
      </c>
      <c r="AB26" s="29">
        <f t="shared" ref="AB26" si="261">100%/$E$31</f>
        <v>2.3255813953488372E-2</v>
      </c>
      <c r="AC26" s="37">
        <f t="shared" si="173"/>
        <v>49746.320031577561</v>
      </c>
      <c r="AD26" s="29">
        <f t="shared" ref="AD26" si="262">100%/$E$31</f>
        <v>2.3255813953488372E-2</v>
      </c>
      <c r="AE26" s="37">
        <f t="shared" si="91"/>
        <v>49746.320031577561</v>
      </c>
      <c r="AF26" s="29">
        <f t="shared" ref="AF26" si="263">100%/$E$31</f>
        <v>2.3255813953488372E-2</v>
      </c>
      <c r="AG26" s="37">
        <f t="shared" si="92"/>
        <v>49746.320031577561</v>
      </c>
      <c r="AH26" s="29">
        <f t="shared" ref="AH26" si="264">100%/$E$31</f>
        <v>2.3255813953488372E-2</v>
      </c>
      <c r="AI26" s="37">
        <f t="shared" si="93"/>
        <v>49746.320031577561</v>
      </c>
      <c r="AJ26" s="29">
        <f t="shared" ref="AJ26" si="265">100%/$E$31</f>
        <v>2.3255813953488372E-2</v>
      </c>
      <c r="AK26" s="37">
        <f t="shared" si="94"/>
        <v>49746.320031577561</v>
      </c>
      <c r="AL26" s="29">
        <f t="shared" ref="AL26" si="266">100%/$E$31</f>
        <v>2.3255813953488372E-2</v>
      </c>
      <c r="AM26" s="37">
        <f t="shared" si="95"/>
        <v>49746.320031577561</v>
      </c>
      <c r="AN26" s="29">
        <f t="shared" ref="AN26" si="267">100%/$E$31</f>
        <v>2.3255813953488372E-2</v>
      </c>
      <c r="AO26" s="37">
        <f t="shared" si="96"/>
        <v>49746.320031577561</v>
      </c>
      <c r="AP26" s="29">
        <f t="shared" ref="AP26" si="268">100%/$E$31</f>
        <v>2.3255813953488372E-2</v>
      </c>
      <c r="AQ26" s="37">
        <f t="shared" si="97"/>
        <v>49746.320031577561</v>
      </c>
      <c r="AR26" s="29">
        <f t="shared" ref="AR26" si="269">100%/$E$31</f>
        <v>2.3255813953488372E-2</v>
      </c>
      <c r="AS26" s="37">
        <f t="shared" si="98"/>
        <v>49746.320031577561</v>
      </c>
      <c r="AT26" s="29">
        <f t="shared" ref="AT26" si="270">100%/$E$31</f>
        <v>2.3255813953488372E-2</v>
      </c>
      <c r="AU26" s="37">
        <f t="shared" si="99"/>
        <v>49746.320031577561</v>
      </c>
      <c r="AV26" s="29">
        <f t="shared" ref="AV26" si="271">100%/$E$31</f>
        <v>2.3255813953488372E-2</v>
      </c>
      <c r="AW26" s="37">
        <f t="shared" si="100"/>
        <v>49746.320031577561</v>
      </c>
      <c r="AX26" s="29">
        <f t="shared" ref="AX26" si="272">100%/$E$31</f>
        <v>2.3255813953488372E-2</v>
      </c>
      <c r="AY26" s="37">
        <f t="shared" si="101"/>
        <v>49746.320031577561</v>
      </c>
      <c r="AZ26" s="29">
        <f t="shared" ref="AZ26" si="273">100%/$E$31</f>
        <v>2.3255813953488372E-2</v>
      </c>
      <c r="BA26" s="37">
        <f t="shared" si="102"/>
        <v>49746.320031577561</v>
      </c>
      <c r="BB26" s="29">
        <f t="shared" ref="BB26" si="274">100%/$E$31</f>
        <v>2.3255813953488372E-2</v>
      </c>
      <c r="BC26" s="37">
        <f t="shared" si="103"/>
        <v>49746.320031577561</v>
      </c>
      <c r="BD26" s="29">
        <f t="shared" ref="BD26" si="275">100%/$E$31</f>
        <v>2.3255813953488372E-2</v>
      </c>
      <c r="BE26" s="37">
        <f t="shared" si="104"/>
        <v>49746.320031577561</v>
      </c>
      <c r="BF26" s="29">
        <f t="shared" ref="BF26" si="276">100%/$E$31</f>
        <v>2.3255813953488372E-2</v>
      </c>
      <c r="BG26" s="37">
        <f t="shared" si="105"/>
        <v>49746.320031577561</v>
      </c>
      <c r="BH26" s="29">
        <f t="shared" ref="BH26" si="277">100%/$E$31</f>
        <v>2.3255813953488372E-2</v>
      </c>
      <c r="BI26" s="37">
        <f t="shared" si="106"/>
        <v>49746.320031577561</v>
      </c>
      <c r="BJ26" s="29">
        <f t="shared" ref="BJ26" si="278">100%/$E$31</f>
        <v>2.3255813953488372E-2</v>
      </c>
      <c r="BK26" s="37">
        <f t="shared" si="107"/>
        <v>49746.320031577561</v>
      </c>
      <c r="BL26" s="29">
        <f t="shared" ref="BL26" si="279">100%/$E$31</f>
        <v>2.3255813953488372E-2</v>
      </c>
      <c r="BM26" s="37">
        <f t="shared" si="108"/>
        <v>49746.320031577561</v>
      </c>
      <c r="BN26" s="29">
        <f t="shared" ref="BN26" si="280">100%/$E$31</f>
        <v>2.3255813953488372E-2</v>
      </c>
      <c r="BO26" s="37">
        <f t="shared" si="109"/>
        <v>49746.320031577561</v>
      </c>
      <c r="BP26" s="29">
        <f t="shared" ref="BP26" si="281">100%/$E$31</f>
        <v>2.3255813953488372E-2</v>
      </c>
      <c r="BQ26" s="37">
        <f t="shared" si="110"/>
        <v>49746.320031577561</v>
      </c>
      <c r="BR26" s="29">
        <f t="shared" ref="BR26" si="282">100%/$E$31</f>
        <v>2.3255813953488372E-2</v>
      </c>
      <c r="BS26" s="37">
        <f t="shared" si="111"/>
        <v>49746.320031577561</v>
      </c>
      <c r="BT26" s="29">
        <f t="shared" ref="BT26" si="283">100%/$E$31</f>
        <v>2.3255813953488372E-2</v>
      </c>
      <c r="BU26" s="37">
        <f t="shared" si="112"/>
        <v>49746.320031577561</v>
      </c>
      <c r="BV26" s="29">
        <f t="shared" ref="BV26" si="284">100%/$E$31</f>
        <v>2.3255813953488372E-2</v>
      </c>
      <c r="BW26" s="37">
        <f t="shared" si="113"/>
        <v>49746.320031577561</v>
      </c>
      <c r="BX26" s="29">
        <f t="shared" ref="BX26" si="285">100%/$E$31</f>
        <v>2.3255813953488372E-2</v>
      </c>
      <c r="BY26" s="37">
        <f t="shared" si="114"/>
        <v>49746.320031577561</v>
      </c>
      <c r="BZ26" s="29">
        <f t="shared" ref="BZ26" si="286">100%/$E$31</f>
        <v>2.3255813953488372E-2</v>
      </c>
      <c r="CA26" s="37">
        <f t="shared" si="115"/>
        <v>49746.320031577561</v>
      </c>
      <c r="CB26" s="29">
        <f t="shared" ref="CB26" si="287">100%/$E$31</f>
        <v>2.3255813953488372E-2</v>
      </c>
      <c r="CC26" s="37">
        <f t="shared" si="116"/>
        <v>49746.320031577561</v>
      </c>
      <c r="CD26" s="29">
        <f t="shared" ref="CD26" si="288">100%/$E$31</f>
        <v>2.3255813953488372E-2</v>
      </c>
      <c r="CE26" s="37">
        <f t="shared" si="117"/>
        <v>49746.320031577561</v>
      </c>
      <c r="CF26" s="29">
        <f t="shared" ref="CF26" si="289">100%/$E$31</f>
        <v>2.3255813953488372E-2</v>
      </c>
      <c r="CG26" s="37">
        <f t="shared" si="118"/>
        <v>49746.320031577561</v>
      </c>
      <c r="CH26" s="29">
        <f t="shared" ref="CH26" si="290">100%/$E$31</f>
        <v>2.3255813953488372E-2</v>
      </c>
      <c r="CI26" s="37">
        <f t="shared" si="119"/>
        <v>49746.320031577561</v>
      </c>
      <c r="CJ26" s="29">
        <f t="shared" ref="CJ26" si="291">100%/$E$31</f>
        <v>2.3255813953488372E-2</v>
      </c>
      <c r="CK26" s="37">
        <f t="shared" si="120"/>
        <v>49746.320031577561</v>
      </c>
      <c r="CL26" s="29">
        <f t="shared" ref="CL26" si="292">100%/$E$31</f>
        <v>2.3255813953488372E-2</v>
      </c>
      <c r="CM26" s="37">
        <f t="shared" si="121"/>
        <v>49746.320031577561</v>
      </c>
      <c r="CN26" s="29">
        <f t="shared" ref="CN26" si="293">100%/$E$31</f>
        <v>2.3255813953488372E-2</v>
      </c>
      <c r="CO26" s="37">
        <f t="shared" si="122"/>
        <v>49746.320031577561</v>
      </c>
    </row>
    <row r="27" spans="2:94" ht="19.5" customHeight="1" x14ac:dyDescent="0.25">
      <c r="B27" s="45" t="s">
        <v>69</v>
      </c>
      <c r="C27" s="31">
        <f>SUM(C9:C26)</f>
        <v>58829677.046844862</v>
      </c>
      <c r="D27" s="32">
        <f>SUM(D9:D26)</f>
        <v>1.0000000000000002</v>
      </c>
      <c r="E27" s="47">
        <f>SUM(E9:E26)</f>
        <v>3366.8750470349169</v>
      </c>
      <c r="F27" s="25"/>
      <c r="H27" s="27"/>
      <c r="I27" s="38">
        <f>SUM(I9:I26)</f>
        <v>948960.70407444134</v>
      </c>
      <c r="J27" s="35"/>
      <c r="K27" s="38">
        <f>SUM(K9:K26)</f>
        <v>913913.56277308543</v>
      </c>
      <c r="L27" s="35"/>
      <c r="M27" s="38">
        <f>SUM(M9:M26)</f>
        <v>913913.56277308543</v>
      </c>
      <c r="N27" s="35"/>
      <c r="O27" s="38">
        <f>SUM(O9:O26)</f>
        <v>843819.28017037374</v>
      </c>
      <c r="P27" s="35"/>
      <c r="Q27" s="38">
        <f>SUM(Q9:Q26)</f>
        <v>843819.28017037374</v>
      </c>
      <c r="R27" s="35"/>
      <c r="S27" s="38">
        <f>SUM(S9:S26)</f>
        <v>843819.28017037374</v>
      </c>
      <c r="T27" s="35"/>
      <c r="U27" s="38">
        <f>SUM(U9:U26)</f>
        <v>866857.7848539371</v>
      </c>
      <c r="V27" s="35"/>
      <c r="W27" s="38">
        <f>SUM(W9:W26)</f>
        <v>866857.7848539371</v>
      </c>
      <c r="X27" s="35"/>
      <c r="Y27" s="38">
        <f>SUM(Y9:Y26)</f>
        <v>866857.7848539371</v>
      </c>
      <c r="Z27" s="35"/>
      <c r="AA27" s="38">
        <f>SUM(AA9:AA26)</f>
        <v>866857.7848539371</v>
      </c>
      <c r="AB27" s="35"/>
      <c r="AC27" s="38">
        <f>SUM(AC9:AC26)</f>
        <v>866857.7848539371</v>
      </c>
      <c r="AD27" s="35"/>
      <c r="AE27" s="38">
        <f>SUM(AE9:AE26)</f>
        <v>765289.98139530048</v>
      </c>
      <c r="AF27" s="35"/>
      <c r="AG27" s="38">
        <f>SUM(AG9:AG26)</f>
        <v>765289.98139530048</v>
      </c>
      <c r="AH27" s="35"/>
      <c r="AI27" s="38">
        <f>SUM(AI9:AI26)</f>
        <v>765289.98139530048</v>
      </c>
      <c r="AJ27" s="35"/>
      <c r="AK27" s="38">
        <f>SUM(AK9:AK26)</f>
        <v>930859.00765802048</v>
      </c>
      <c r="AL27" s="35"/>
      <c r="AM27" s="38">
        <f>SUM(AM9:AM26)</f>
        <v>1333645.2851905404</v>
      </c>
      <c r="AN27" s="35"/>
      <c r="AO27" s="38">
        <f>SUM(AO9:AO26)</f>
        <v>1578138.1841418103</v>
      </c>
      <c r="AP27" s="35"/>
      <c r="AQ27" s="38">
        <f>SUM(AQ9:AQ26)</f>
        <v>1618555.6839681652</v>
      </c>
      <c r="AR27" s="35"/>
      <c r="AS27" s="38">
        <f>SUM(AS9:AS26)</f>
        <v>1812242.2178842896</v>
      </c>
      <c r="AT27" s="35"/>
      <c r="AU27" s="38">
        <f>SUM(AU9:AU26)</f>
        <v>1934413.5258393995</v>
      </c>
      <c r="AV27" s="35"/>
      <c r="AW27" s="38">
        <f>SUM(AW9:AW26)</f>
        <v>2040548.3635402594</v>
      </c>
      <c r="AX27" s="35"/>
      <c r="AY27" s="38">
        <f>SUM(AY9:AY26)</f>
        <v>2040548.3635402594</v>
      </c>
      <c r="AZ27" s="35"/>
      <c r="BA27" s="38">
        <f>SUM(BA9:BA26)</f>
        <v>2040548.3635402594</v>
      </c>
      <c r="BB27" s="35"/>
      <c r="BC27" s="38">
        <f>SUM(BC9:BC26)</f>
        <v>2040548.3635402594</v>
      </c>
      <c r="BD27" s="35"/>
      <c r="BE27" s="38">
        <f>SUM(BE9:BE26)</f>
        <v>2040548.3635402594</v>
      </c>
      <c r="BF27" s="35"/>
      <c r="BG27" s="38">
        <f>SUM(BG9:BG26)</f>
        <v>2040548.3635402594</v>
      </c>
      <c r="BH27" s="35"/>
      <c r="BI27" s="38">
        <f>SUM(BI9:BI26)</f>
        <v>2040548.3635402594</v>
      </c>
      <c r="BJ27" s="35"/>
      <c r="BK27" s="38">
        <f>SUM(BK9:BK26)</f>
        <v>1952496.0532700561</v>
      </c>
      <c r="BL27" s="35"/>
      <c r="BM27" s="38">
        <f>SUM(BM9:BM26)</f>
        <v>1952496.0532700561</v>
      </c>
      <c r="BN27" s="35"/>
      <c r="BO27" s="38">
        <f>SUM(BO9:BO26)</f>
        <v>1952496.0532700561</v>
      </c>
      <c r="BP27" s="35"/>
      <c r="BQ27" s="38">
        <f>SUM(BQ9:BQ26)</f>
        <v>2025693.4115452759</v>
      </c>
      <c r="BR27" s="35"/>
      <c r="BS27" s="38">
        <f>SUM(BS9:BS26)</f>
        <v>1720354.5407790162</v>
      </c>
      <c r="BT27" s="35"/>
      <c r="BU27" s="38">
        <f>SUM(BU9:BU26)</f>
        <v>1475861.6418277465</v>
      </c>
      <c r="BV27" s="35"/>
      <c r="BW27" s="38">
        <f>SUM(BW9:BW26)</f>
        <v>1868081.5020636313</v>
      </c>
      <c r="BX27" s="35"/>
      <c r="BY27" s="38">
        <f>SUM(BY9:BY26)</f>
        <v>1868081.5020636313</v>
      </c>
      <c r="BZ27" s="35"/>
      <c r="CA27" s="38">
        <f>SUM(CA9:CA26)</f>
        <v>1928892.9486031013</v>
      </c>
      <c r="CB27" s="35"/>
      <c r="CC27" s="38">
        <f>SUM(CC9:CC26)</f>
        <v>1735206.4146869772</v>
      </c>
      <c r="CD27" s="35"/>
      <c r="CE27" s="38">
        <f>SUM(CE9:CE26)</f>
        <v>1735206.4146869772</v>
      </c>
      <c r="CF27" s="35"/>
      <c r="CG27" s="38">
        <f>SUM(CG9:CG26)</f>
        <v>1496440.030149037</v>
      </c>
      <c r="CH27" s="35"/>
      <c r="CI27" s="39">
        <f>SUM(CI9:CI26)</f>
        <v>501669.50142013031</v>
      </c>
      <c r="CJ27" s="35"/>
      <c r="CK27" s="39">
        <f>SUM(CK9:CK26)</f>
        <v>395534.66371927032</v>
      </c>
      <c r="CL27" s="35"/>
      <c r="CM27" s="39">
        <f>SUM(CM9:CM26)</f>
        <v>395534.66371927032</v>
      </c>
      <c r="CN27" s="35"/>
      <c r="CO27" s="39">
        <f>SUM(CO9:CO26)</f>
        <v>395534.66371927032</v>
      </c>
      <c r="CP27" s="33" t="s">
        <v>72</v>
      </c>
    </row>
    <row r="28" spans="2:94" ht="22.5" customHeight="1" thickBot="1" x14ac:dyDescent="0.3">
      <c r="B28" s="48" t="s">
        <v>70</v>
      </c>
      <c r="C28" s="83">
        <v>2846.12</v>
      </c>
      <c r="D28" s="84">
        <v>45566</v>
      </c>
      <c r="E28" s="49">
        <f>+E27/C28</f>
        <v>1.1829701653601805</v>
      </c>
      <c r="F28" s="26"/>
      <c r="H28" s="40"/>
      <c r="I28" s="41">
        <f>I27/$C$27</f>
        <v>1.6130646158720258E-2</v>
      </c>
      <c r="J28" s="42"/>
      <c r="K28" s="41">
        <f>K27/$C$27</f>
        <v>1.5534907017173574E-2</v>
      </c>
      <c r="L28" s="42"/>
      <c r="M28" s="41">
        <f>M27/$C$27</f>
        <v>1.5534907017173574E-2</v>
      </c>
      <c r="N28" s="42"/>
      <c r="O28" s="41">
        <f>O27/$C$27</f>
        <v>1.4343428734080212E-2</v>
      </c>
      <c r="P28" s="42"/>
      <c r="Q28" s="41">
        <f>Q27/$C$27</f>
        <v>1.4343428734080212E-2</v>
      </c>
      <c r="R28" s="42"/>
      <c r="S28" s="41">
        <f>S27/$C$27</f>
        <v>1.4343428734080212E-2</v>
      </c>
      <c r="T28" s="42"/>
      <c r="U28" s="41">
        <f>U27/$C$27</f>
        <v>1.473504238623775E-2</v>
      </c>
      <c r="V28" s="43"/>
      <c r="W28" s="41">
        <f>W27/$C$27</f>
        <v>1.473504238623775E-2</v>
      </c>
      <c r="X28" s="43"/>
      <c r="Y28" s="41">
        <f>Y27/$C$27</f>
        <v>1.473504238623775E-2</v>
      </c>
      <c r="Z28" s="43"/>
      <c r="AA28" s="41">
        <f>AA27/$C$27</f>
        <v>1.473504238623775E-2</v>
      </c>
      <c r="AB28" s="43"/>
      <c r="AC28" s="41">
        <f>AC27/$C$27</f>
        <v>1.473504238623775E-2</v>
      </c>
      <c r="AD28" s="43"/>
      <c r="AE28" s="41">
        <f>AE27/$C$27</f>
        <v>1.3008570160701644E-2</v>
      </c>
      <c r="AF28" s="43"/>
      <c r="AG28" s="41">
        <f>AG27/$C$27</f>
        <v>1.3008570160701644E-2</v>
      </c>
      <c r="AH28" s="43"/>
      <c r="AI28" s="41">
        <f>AI27/$C$27</f>
        <v>1.3008570160701644E-2</v>
      </c>
      <c r="AJ28" s="43"/>
      <c r="AK28" s="41">
        <f>AK27/$C$27</f>
        <v>1.5822949476958656E-2</v>
      </c>
      <c r="AL28" s="43"/>
      <c r="AM28" s="41">
        <f>AM27/$C$27</f>
        <v>2.2669600652891329E-2</v>
      </c>
      <c r="AN28" s="43"/>
      <c r="AO28" s="41">
        <f>AO27/$C$27</f>
        <v>2.6825545598103E-2</v>
      </c>
      <c r="AP28" s="43"/>
      <c r="AQ28" s="41">
        <f>AQ27/$C$27</f>
        <v>2.7512571294235434E-2</v>
      </c>
      <c r="AR28" s="43"/>
      <c r="AS28" s="41">
        <f>AS27/$C$27</f>
        <v>3.0804898290385622E-2</v>
      </c>
      <c r="AT28" s="43"/>
      <c r="AU28" s="41">
        <f>AU27/$C$27</f>
        <v>3.2881593490630009E-2</v>
      </c>
      <c r="AV28" s="43"/>
      <c r="AW28" s="41">
        <f>AW27/$C$27</f>
        <v>3.4685697185034906E-2</v>
      </c>
      <c r="AX28" s="43"/>
      <c r="AY28" s="41">
        <f>AY27/$C$27</f>
        <v>3.4685697185034906E-2</v>
      </c>
      <c r="AZ28" s="43"/>
      <c r="BA28" s="41">
        <f>BA27/$C$27</f>
        <v>3.4685697185034906E-2</v>
      </c>
      <c r="BB28" s="43"/>
      <c r="BC28" s="41">
        <f>BC27/$C$27</f>
        <v>3.4685697185034906E-2</v>
      </c>
      <c r="BD28" s="43"/>
      <c r="BE28" s="41">
        <f>BE27/$C$27</f>
        <v>3.4685697185034906E-2</v>
      </c>
      <c r="BF28" s="43"/>
      <c r="BG28" s="41">
        <f>BG27/$C$27</f>
        <v>3.4685697185034906E-2</v>
      </c>
      <c r="BH28" s="43"/>
      <c r="BI28" s="41">
        <f>BI27/$C$27</f>
        <v>3.4685697185034906E-2</v>
      </c>
      <c r="BJ28" s="43"/>
      <c r="BK28" s="41">
        <f>BK27/$C$27</f>
        <v>3.3188964333686954E-2</v>
      </c>
      <c r="BL28" s="43"/>
      <c r="BM28" s="41">
        <f>BM27/$C$27</f>
        <v>3.3188964333686954E-2</v>
      </c>
      <c r="BN28" s="43"/>
      <c r="BO28" s="41">
        <f>BO27/$C$27</f>
        <v>3.3188964333686954E-2</v>
      </c>
      <c r="BP28" s="43"/>
      <c r="BQ28" s="41">
        <f>BQ27/$C$27</f>
        <v>3.4433189390658356E-2</v>
      </c>
      <c r="BR28" s="43"/>
      <c r="BS28" s="41">
        <f>BS27/$C$27</f>
        <v>2.9242971016297324E-2</v>
      </c>
      <c r="BT28" s="43"/>
      <c r="BU28" s="41">
        <f>BU27/$C$27</f>
        <v>2.5087026071085657E-2</v>
      </c>
      <c r="BV28" s="43"/>
      <c r="BW28" s="41">
        <f>BW27/$C$27</f>
        <v>3.1754066924013814E-2</v>
      </c>
      <c r="BX28" s="43"/>
      <c r="BY28" s="41">
        <f>BY27/$C$27</f>
        <v>3.1754066924013814E-2</v>
      </c>
      <c r="BZ28" s="43"/>
      <c r="CA28" s="41">
        <f>CA27/$C$27</f>
        <v>3.2787753484812839E-2</v>
      </c>
      <c r="CB28" s="43"/>
      <c r="CC28" s="41">
        <f>CC27/$C$27</f>
        <v>2.949542648866265E-2</v>
      </c>
      <c r="CD28" s="43"/>
      <c r="CE28" s="41">
        <f>CE27/$C$27</f>
        <v>2.949542648866265E-2</v>
      </c>
      <c r="CF28" s="43"/>
      <c r="CG28" s="41">
        <f>CG27/$C$27</f>
        <v>2.5436822115434233E-2</v>
      </c>
      <c r="CH28" s="43"/>
      <c r="CI28" s="44">
        <f>CI27/$C$27</f>
        <v>8.527490317865611E-3</v>
      </c>
      <c r="CJ28" s="43"/>
      <c r="CK28" s="44">
        <f t="shared" ref="CK28" si="294">CK27/$C$27</f>
        <v>6.7233866234607097E-3</v>
      </c>
      <c r="CL28" s="43"/>
      <c r="CM28" s="44">
        <f t="shared" ref="CM28" si="295">CM27/$C$27</f>
        <v>6.7233866234607097E-3</v>
      </c>
      <c r="CN28" s="43"/>
      <c r="CO28" s="44">
        <f t="shared" ref="CO28" si="296">CO27/$C$27</f>
        <v>6.7233866234607097E-3</v>
      </c>
      <c r="CP28" s="34">
        <f>SUM(I27:CO27)</f>
        <v>58829677.046844855</v>
      </c>
    </row>
    <row r="29" spans="2:94" ht="10.5" customHeight="1" thickBot="1" x14ac:dyDescent="0.3">
      <c r="B29" s="22"/>
      <c r="C29" s="22"/>
      <c r="D29" s="23"/>
      <c r="E29" s="23"/>
      <c r="H29" s="24"/>
      <c r="I29" s="24"/>
      <c r="J29" s="22"/>
      <c r="K29" s="22"/>
      <c r="L29" s="22"/>
      <c r="M29" s="24"/>
      <c r="N29" s="22"/>
      <c r="O29" s="22"/>
      <c r="P29" s="24"/>
      <c r="Q29" s="24"/>
      <c r="R29" s="22"/>
      <c r="S29" s="22"/>
      <c r="T29" s="24"/>
      <c r="U29" s="24"/>
      <c r="V29" s="22"/>
      <c r="W29" s="22"/>
      <c r="X29" s="24"/>
      <c r="Y29" s="24"/>
      <c r="Z29" s="22"/>
      <c r="AA29" s="22"/>
      <c r="AB29" s="24"/>
      <c r="AC29" s="24"/>
      <c r="AD29" s="22"/>
      <c r="AE29" s="22"/>
      <c r="AF29" s="24"/>
      <c r="AG29" s="24"/>
      <c r="AH29" s="22"/>
      <c r="AI29" s="22"/>
      <c r="AJ29" s="24"/>
      <c r="AK29" s="24"/>
      <c r="AL29" s="22"/>
      <c r="AM29" s="22"/>
      <c r="AN29" s="24"/>
      <c r="AO29" s="24"/>
      <c r="AP29" s="22"/>
      <c r="AQ29" s="22"/>
      <c r="AR29" s="24"/>
      <c r="AS29" s="24"/>
      <c r="AT29" s="22"/>
      <c r="AU29" s="22"/>
      <c r="AV29" s="24"/>
      <c r="AW29" s="24"/>
      <c r="AX29" s="22"/>
      <c r="AY29" s="22"/>
      <c r="AZ29" s="24"/>
      <c r="BA29" s="24"/>
      <c r="BB29" s="22"/>
      <c r="BC29" s="22"/>
      <c r="BD29" s="24"/>
      <c r="BE29" s="24"/>
      <c r="BF29" s="22"/>
      <c r="BG29" s="22"/>
      <c r="BH29" s="24"/>
      <c r="BI29" s="24"/>
      <c r="BJ29" s="22"/>
      <c r="BK29" s="22"/>
      <c r="BL29" s="24"/>
      <c r="BM29" s="24"/>
      <c r="BN29" s="22"/>
      <c r="BO29" s="22"/>
      <c r="BP29" s="24"/>
      <c r="BQ29" s="24"/>
      <c r="BR29" s="22"/>
      <c r="BS29" s="22"/>
      <c r="BT29" s="24"/>
      <c r="BU29" s="24"/>
      <c r="BV29" s="22"/>
      <c r="BW29" s="22"/>
      <c r="BX29" s="24"/>
      <c r="BY29" s="24"/>
      <c r="BZ29" s="22"/>
      <c r="CA29" s="22"/>
      <c r="CB29" s="24"/>
      <c r="CC29" s="24"/>
      <c r="CD29" s="22"/>
      <c r="CE29" s="22"/>
      <c r="CF29" s="24"/>
      <c r="CG29" s="24"/>
      <c r="CH29" s="22"/>
      <c r="CI29" s="22"/>
    </row>
    <row r="30" spans="2:94" ht="22.5" thickBot="1" x14ac:dyDescent="0.3">
      <c r="B30" s="22"/>
      <c r="C30" s="117" t="s">
        <v>51</v>
      </c>
      <c r="D30" s="118"/>
      <c r="E30" s="61" t="s">
        <v>73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</row>
    <row r="31" spans="2:94" ht="19.5" customHeight="1" thickBot="1" x14ac:dyDescent="0.3">
      <c r="C31" s="85">
        <v>17473.080000000002</v>
      </c>
      <c r="D31" s="60" t="s">
        <v>52</v>
      </c>
      <c r="E31" s="76">
        <v>43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94" ht="19.5" customHeight="1" x14ac:dyDescent="0.25">
      <c r="C32" s="77" t="s">
        <v>0</v>
      </c>
      <c r="D32" s="78" t="s">
        <v>48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20" ht="19.5" customHeight="1" x14ac:dyDescent="0.25">
      <c r="B33" s="22"/>
      <c r="C33" s="79" t="s">
        <v>1</v>
      </c>
      <c r="D33" s="80">
        <f>I28</f>
        <v>1.6130646158720258E-2</v>
      </c>
      <c r="E33" s="23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20" ht="19.5" customHeight="1" x14ac:dyDescent="0.25">
      <c r="B34" s="22"/>
      <c r="C34" s="79" t="s">
        <v>2</v>
      </c>
      <c r="D34" s="80">
        <f>K28</f>
        <v>1.5534907017173574E-2</v>
      </c>
      <c r="E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ht="19.5" customHeight="1" x14ac:dyDescent="0.25">
      <c r="B35" s="22"/>
      <c r="C35" s="79" t="s">
        <v>3</v>
      </c>
      <c r="D35" s="80">
        <f>M28</f>
        <v>1.5534907017173574E-2</v>
      </c>
      <c r="E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20" ht="19.5" customHeight="1" x14ac:dyDescent="0.25">
      <c r="B36" s="22"/>
      <c r="C36" s="79" t="s">
        <v>4</v>
      </c>
      <c r="D36" s="80">
        <f>O28</f>
        <v>1.4343428734080212E-2</v>
      </c>
      <c r="E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20" ht="19.5" customHeight="1" x14ac:dyDescent="0.25">
      <c r="B37" s="22"/>
      <c r="C37" s="79" t="s">
        <v>5</v>
      </c>
      <c r="D37" s="80">
        <f>Q28</f>
        <v>1.4343428734080212E-2</v>
      </c>
      <c r="E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20" ht="19.5" customHeight="1" x14ac:dyDescent="0.25">
      <c r="B38" s="22"/>
      <c r="C38" s="79" t="s">
        <v>6</v>
      </c>
      <c r="D38" s="80">
        <f>S28</f>
        <v>1.4343428734080212E-2</v>
      </c>
      <c r="E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20" ht="19.5" customHeight="1" x14ac:dyDescent="0.25">
      <c r="B39" s="22"/>
      <c r="C39" s="79" t="s">
        <v>7</v>
      </c>
      <c r="D39" s="80">
        <f>U28</f>
        <v>1.473504238623775E-2</v>
      </c>
      <c r="E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20" ht="19.5" customHeight="1" x14ac:dyDescent="0.25">
      <c r="B40" s="22"/>
      <c r="C40" s="79" t="s">
        <v>8</v>
      </c>
      <c r="D40" s="80">
        <f>W28</f>
        <v>1.473504238623775E-2</v>
      </c>
      <c r="E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20" ht="19.5" customHeight="1" x14ac:dyDescent="0.25">
      <c r="B41" s="22"/>
      <c r="C41" s="79" t="s">
        <v>9</v>
      </c>
      <c r="D41" s="80">
        <f>Y28</f>
        <v>1.473504238623775E-2</v>
      </c>
      <c r="E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20" ht="19.5" customHeight="1" x14ac:dyDescent="0.25">
      <c r="B42" s="22"/>
      <c r="C42" s="79" t="s">
        <v>10</v>
      </c>
      <c r="D42" s="80">
        <f>AA28</f>
        <v>1.473504238623775E-2</v>
      </c>
      <c r="E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20" ht="19.5" customHeight="1" x14ac:dyDescent="0.25">
      <c r="B43" s="22"/>
      <c r="C43" s="79" t="s">
        <v>11</v>
      </c>
      <c r="D43" s="80">
        <f>AC28</f>
        <v>1.473504238623775E-2</v>
      </c>
      <c r="E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20" ht="19.5" customHeight="1" x14ac:dyDescent="0.25">
      <c r="B44" s="22"/>
      <c r="C44" s="79" t="s">
        <v>12</v>
      </c>
      <c r="D44" s="80">
        <f>AE28</f>
        <v>1.3008570160701644E-2</v>
      </c>
      <c r="E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20" ht="19.5" customHeight="1" x14ac:dyDescent="0.25">
      <c r="B45" s="22"/>
      <c r="C45" s="79" t="s">
        <v>13</v>
      </c>
      <c r="D45" s="80">
        <f>AG28</f>
        <v>1.3008570160701644E-2</v>
      </c>
      <c r="E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20" ht="19.5" customHeight="1" x14ac:dyDescent="0.25">
      <c r="B46" s="22"/>
      <c r="C46" s="79" t="s">
        <v>14</v>
      </c>
      <c r="D46" s="80">
        <f>AI28</f>
        <v>1.3008570160701644E-2</v>
      </c>
      <c r="E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20" ht="19.5" customHeight="1" x14ac:dyDescent="0.25">
      <c r="B47" s="22"/>
      <c r="C47" s="79" t="s">
        <v>15</v>
      </c>
      <c r="D47" s="80">
        <f>AK28</f>
        <v>1.5822949476958656E-2</v>
      </c>
      <c r="E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20" ht="19.5" customHeight="1" x14ac:dyDescent="0.25">
      <c r="B48" s="22"/>
      <c r="C48" s="79" t="s">
        <v>16</v>
      </c>
      <c r="D48" s="80">
        <f>AM28</f>
        <v>2.2669600652891329E-2</v>
      </c>
      <c r="E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79" t="s">
        <v>17</v>
      </c>
      <c r="D49" s="80">
        <f>AO28</f>
        <v>2.6825545598103E-2</v>
      </c>
      <c r="E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79" t="s">
        <v>18</v>
      </c>
      <c r="D50" s="80">
        <f>AQ28</f>
        <v>2.7512571294235434E-2</v>
      </c>
      <c r="E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79" t="s">
        <v>19</v>
      </c>
      <c r="D51" s="80">
        <f>AS28</f>
        <v>3.0804898290385622E-2</v>
      </c>
      <c r="E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79" t="s">
        <v>20</v>
      </c>
      <c r="D52" s="80">
        <f>AU28</f>
        <v>3.2881593490630009E-2</v>
      </c>
      <c r="E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79" t="s">
        <v>21</v>
      </c>
      <c r="D53" s="80">
        <f>AW28</f>
        <v>3.4685697185034906E-2</v>
      </c>
      <c r="E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79" t="s">
        <v>22</v>
      </c>
      <c r="D54" s="80">
        <f>AY28</f>
        <v>3.4685697185034906E-2</v>
      </c>
      <c r="E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79" t="s">
        <v>23</v>
      </c>
      <c r="D55" s="80">
        <f>BA28</f>
        <v>3.4685697185034906E-2</v>
      </c>
      <c r="E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79" t="s">
        <v>24</v>
      </c>
      <c r="D56" s="80">
        <f>BC28</f>
        <v>3.4685697185034906E-2</v>
      </c>
      <c r="E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79" t="s">
        <v>25</v>
      </c>
      <c r="D57" s="80">
        <f>BE28</f>
        <v>3.4685697185034906E-2</v>
      </c>
      <c r="E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79" t="s">
        <v>26</v>
      </c>
      <c r="D58" s="80">
        <f>BG28</f>
        <v>3.4685697185034906E-2</v>
      </c>
      <c r="E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79" t="s">
        <v>27</v>
      </c>
      <c r="D59" s="80">
        <f>BI28</f>
        <v>3.4685697185034906E-2</v>
      </c>
      <c r="E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79" t="s">
        <v>28</v>
      </c>
      <c r="D60" s="80">
        <f>BK28</f>
        <v>3.3188964333686954E-2</v>
      </c>
      <c r="E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79" t="s">
        <v>29</v>
      </c>
      <c r="D61" s="80">
        <f>BM28</f>
        <v>3.3188964333686954E-2</v>
      </c>
      <c r="E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79" t="s">
        <v>30</v>
      </c>
      <c r="D62" s="80">
        <f>BO28</f>
        <v>3.3188964333686954E-2</v>
      </c>
      <c r="E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79" t="s">
        <v>31</v>
      </c>
      <c r="D63" s="80">
        <f>BQ28</f>
        <v>3.4433189390658356E-2</v>
      </c>
      <c r="E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79" t="s">
        <v>32</v>
      </c>
      <c r="D64" s="80">
        <f>BS28</f>
        <v>2.9242971016297324E-2</v>
      </c>
      <c r="E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79" t="s">
        <v>33</v>
      </c>
      <c r="D65" s="80">
        <f>BU28</f>
        <v>2.5087026071085657E-2</v>
      </c>
      <c r="E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79" t="s">
        <v>34</v>
      </c>
      <c r="D66" s="80">
        <f>BW28</f>
        <v>3.1754066924013814E-2</v>
      </c>
      <c r="E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79" t="s">
        <v>35</v>
      </c>
      <c r="D67" s="80">
        <f>BY28</f>
        <v>3.1754066924013814E-2</v>
      </c>
      <c r="E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79" t="s">
        <v>36</v>
      </c>
      <c r="D68" s="80">
        <f>CA28</f>
        <v>3.2787753484812839E-2</v>
      </c>
      <c r="E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79" t="s">
        <v>37</v>
      </c>
      <c r="D69" s="80">
        <f>CC28</f>
        <v>2.949542648866265E-2</v>
      </c>
      <c r="E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79" t="s">
        <v>38</v>
      </c>
      <c r="D70" s="80">
        <f>CE28</f>
        <v>2.949542648866265E-2</v>
      </c>
      <c r="E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79" t="s">
        <v>39</v>
      </c>
      <c r="D71" s="80">
        <f>CG28</f>
        <v>2.5436822115434233E-2</v>
      </c>
      <c r="E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79" t="s">
        <v>40</v>
      </c>
      <c r="D72" s="80">
        <f>CI28</f>
        <v>8.527490317865611E-3</v>
      </c>
      <c r="E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79" t="s">
        <v>76</v>
      </c>
      <c r="D73" s="80">
        <f>+CK28</f>
        <v>6.7233866234607097E-3</v>
      </c>
      <c r="E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79" t="s">
        <v>77</v>
      </c>
      <c r="D74" s="80">
        <f>+CM28</f>
        <v>6.7233866234607097E-3</v>
      </c>
      <c r="E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79" t="s">
        <v>78</v>
      </c>
      <c r="D75" s="80">
        <f>+CO28</f>
        <v>6.7233866234607097E-3</v>
      </c>
      <c r="E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79" t="s">
        <v>79</v>
      </c>
      <c r="D76" s="80" t="e">
        <f>+#REF!</f>
        <v>#REF!</v>
      </c>
      <c r="E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79" t="s">
        <v>80</v>
      </c>
      <c r="D77" s="80" t="e">
        <f>#REF!</f>
        <v>#REF!</v>
      </c>
      <c r="E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79" t="s">
        <v>81</v>
      </c>
      <c r="D78" s="80" t="e">
        <f>#REF!</f>
        <v>#REF!</v>
      </c>
      <c r="E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79" t="s">
        <v>82</v>
      </c>
      <c r="D79" s="80" t="e">
        <f>#REF!</f>
        <v>#REF!</v>
      </c>
      <c r="E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79" t="s">
        <v>83</v>
      </c>
      <c r="D80" s="80" t="e">
        <f>#REF!</f>
        <v>#REF!</v>
      </c>
      <c r="E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79" t="s">
        <v>84</v>
      </c>
      <c r="D81" s="80" t="e">
        <f>#REF!</f>
        <v>#REF!</v>
      </c>
      <c r="E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79" t="s">
        <v>85</v>
      </c>
      <c r="D82" s="80" t="e">
        <f>#REF!</f>
        <v>#REF!</v>
      </c>
      <c r="E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22"/>
      <c r="D83" s="23"/>
      <c r="E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22"/>
      <c r="D84" s="23"/>
      <c r="E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22"/>
      <c r="D85" s="23"/>
      <c r="E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22"/>
      <c r="D86" s="23"/>
      <c r="E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22"/>
      <c r="D87" s="23"/>
      <c r="E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22"/>
      <c r="D88" s="23"/>
      <c r="E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22"/>
      <c r="D89" s="23"/>
      <c r="E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22"/>
      <c r="D90" s="23"/>
      <c r="E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22"/>
      <c r="D91" s="23"/>
      <c r="E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22"/>
      <c r="D92" s="23"/>
      <c r="E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22"/>
      <c r="D93" s="23"/>
      <c r="E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22"/>
      <c r="D94" s="23"/>
      <c r="E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22"/>
      <c r="D95" s="23"/>
      <c r="E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x14ac:dyDescent="0.25">
      <c r="B96" s="22"/>
      <c r="C96" s="22"/>
      <c r="D96" s="23"/>
      <c r="E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22"/>
      <c r="D97" s="23"/>
      <c r="E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x14ac:dyDescent="0.25">
      <c r="B98" s="22"/>
      <c r="C98" s="22"/>
      <c r="D98" s="23"/>
      <c r="E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C789" s="22"/>
      <c r="D789" s="23"/>
      <c r="E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C790" s="22"/>
      <c r="D790" s="23"/>
      <c r="E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C791" s="22"/>
      <c r="D791" s="23"/>
      <c r="E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C792" s="22"/>
      <c r="D792" s="23"/>
      <c r="E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C793" s="22"/>
      <c r="D793" s="23"/>
      <c r="E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C794" s="22"/>
      <c r="D794" s="23"/>
      <c r="E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C795" s="22"/>
      <c r="D795" s="23"/>
      <c r="E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C796" s="22"/>
      <c r="D796" s="23"/>
      <c r="E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C797" s="22"/>
      <c r="D797" s="23"/>
      <c r="E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C798" s="22"/>
      <c r="D798" s="23"/>
      <c r="E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C799" s="22"/>
      <c r="D799" s="23"/>
      <c r="E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C800" s="22"/>
      <c r="D800" s="23"/>
      <c r="E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C801" s="22"/>
      <c r="D801" s="23"/>
      <c r="E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C802" s="22"/>
      <c r="D802" s="23"/>
      <c r="E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C803" s="22"/>
      <c r="D803" s="23"/>
      <c r="E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E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E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E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E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E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E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E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E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E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E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E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E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E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E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E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E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2:20" ht="19.5" customHeight="1" x14ac:dyDescent="0.25">
      <c r="B827" s="22"/>
      <c r="E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2:20" ht="19.5" customHeight="1" x14ac:dyDescent="0.25">
      <c r="B828" s="22"/>
      <c r="E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2:20" ht="19.5" customHeight="1" x14ac:dyDescent="0.25">
      <c r="B829" s="22"/>
      <c r="E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2:20" ht="19.5" customHeight="1" x14ac:dyDescent="0.25">
      <c r="B830" s="22"/>
      <c r="E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2:20" ht="19.5" customHeight="1" x14ac:dyDescent="0.25">
      <c r="B831" s="22"/>
      <c r="E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2:20" ht="19.5" customHeight="1" x14ac:dyDescent="0.25">
      <c r="B832" s="22"/>
      <c r="E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2:20" ht="19.5" customHeight="1" x14ac:dyDescent="0.25">
      <c r="B833" s="22"/>
      <c r="E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2:20" ht="19.5" customHeight="1" x14ac:dyDescent="0.25">
      <c r="B834" s="22"/>
      <c r="E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2:20" ht="19.5" customHeight="1" x14ac:dyDescent="0.25">
      <c r="B835" s="22"/>
      <c r="E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2:20" ht="19.5" customHeight="1" x14ac:dyDescent="0.25">
      <c r="B836" s="22"/>
      <c r="E836" s="2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2:20" ht="19.5" customHeight="1" x14ac:dyDescent="0.25">
      <c r="B837" s="22"/>
      <c r="E837" s="2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2:20" ht="19.5" customHeight="1" x14ac:dyDescent="0.25">
      <c r="B838" s="22"/>
      <c r="E838" s="2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2:20" ht="19.5" customHeight="1" x14ac:dyDescent="0.25">
      <c r="B839" s="22"/>
      <c r="E839" s="2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2:20" ht="19.5" customHeight="1" x14ac:dyDescent="0.25">
      <c r="B840" s="22"/>
      <c r="E840" s="23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</row>
    <row r="841" spans="2:20" ht="19.5" customHeight="1" x14ac:dyDescent="0.25">
      <c r="B841" s="22"/>
      <c r="E841" s="23"/>
    </row>
    <row r="842" spans="2:20" ht="19.5" customHeight="1" x14ac:dyDescent="0.25">
      <c r="B842" s="22"/>
      <c r="E842" s="23"/>
    </row>
    <row r="843" spans="2:20" ht="19.5" customHeight="1" x14ac:dyDescent="0.25">
      <c r="B843" s="22"/>
      <c r="E843" s="23"/>
    </row>
    <row r="844" spans="2:20" ht="15" customHeight="1" x14ac:dyDescent="0.25">
      <c r="B844" s="22"/>
      <c r="E844" s="23"/>
    </row>
  </sheetData>
  <mergeCells count="51">
    <mergeCell ref="C30:D30"/>
    <mergeCell ref="CN7:CO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BP7:BQ7"/>
    <mergeCell ref="AT7:AU7"/>
    <mergeCell ref="AV7:AW7"/>
    <mergeCell ref="BH7:BI7"/>
    <mergeCell ref="BJ7:BK7"/>
    <mergeCell ref="BL7:BM7"/>
    <mergeCell ref="BN7:BO7"/>
    <mergeCell ref="AR7:AS7"/>
    <mergeCell ref="AX7:AY7"/>
    <mergeCell ref="AZ7:BA7"/>
    <mergeCell ref="BB7:BC7"/>
    <mergeCell ref="BD7:BE7"/>
    <mergeCell ref="BF7:BG7"/>
    <mergeCell ref="AH7:AI7"/>
    <mergeCell ref="AJ7:AK7"/>
    <mergeCell ref="AL7:AM7"/>
    <mergeCell ref="AN7:AO7"/>
    <mergeCell ref="V7:W7"/>
    <mergeCell ref="X7:Y7"/>
    <mergeCell ref="Z7:AA7"/>
    <mergeCell ref="AB7:AC7"/>
    <mergeCell ref="AD7:AE7"/>
    <mergeCell ref="AP7:AQ7"/>
    <mergeCell ref="T7:U7"/>
    <mergeCell ref="B2:H3"/>
    <mergeCell ref="B4:H4"/>
    <mergeCell ref="B7:B8"/>
    <mergeCell ref="C7:C8"/>
    <mergeCell ref="D7:D8"/>
    <mergeCell ref="E7:E8"/>
    <mergeCell ref="H7:I7"/>
    <mergeCell ref="F7:F8"/>
    <mergeCell ref="J7:K7"/>
    <mergeCell ref="L7:M7"/>
    <mergeCell ref="N7:O7"/>
    <mergeCell ref="P7:Q7"/>
    <mergeCell ref="R7:S7"/>
    <mergeCell ref="AF7:AG7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BW59"/>
  <sheetViews>
    <sheetView showGridLines="0" zoomScale="30" zoomScaleNormal="30" workbookViewId="0">
      <selection activeCell="B5" sqref="B5:BW5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3.5703125" style="4" bestFit="1" customWidth="1"/>
    <col min="6" max="6" width="25.28515625" style="4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28" width="9.140625" style="3"/>
    <col min="29" max="30" width="12.7109375" style="3" customWidth="1"/>
    <col min="31" max="31" width="8.42578125" style="3" customWidth="1"/>
    <col min="32" max="32" width="12.5703125" style="3" customWidth="1"/>
    <col min="33" max="74" width="9.140625" style="3"/>
    <col min="75" max="75" width="3.42578125" style="3" customWidth="1"/>
    <col min="76" max="16384" width="9.140625" style="3"/>
  </cols>
  <sheetData>
    <row r="1" spans="2:75" ht="5.25" customHeight="1" x14ac:dyDescent="0.25"/>
    <row r="2" spans="2:75" ht="14.25" customHeight="1" x14ac:dyDescent="0.25">
      <c r="B2" s="120" t="s">
        <v>88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2"/>
    </row>
    <row r="3" spans="2:75" ht="10.5" customHeight="1" x14ac:dyDescent="0.25"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  <c r="BW3" s="125"/>
    </row>
    <row r="4" spans="2:75" ht="51.75" customHeight="1" x14ac:dyDescent="0.25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24"/>
      <c r="BP4" s="124"/>
      <c r="BQ4" s="124"/>
      <c r="BR4" s="124"/>
      <c r="BS4" s="124"/>
      <c r="BT4" s="124"/>
      <c r="BU4" s="124"/>
      <c r="BV4" s="124"/>
      <c r="BW4" s="125"/>
    </row>
    <row r="5" spans="2:75" ht="49.5" customHeight="1" x14ac:dyDescent="0.25">
      <c r="B5" s="126" t="s">
        <v>90</v>
      </c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7"/>
      <c r="BF5" s="127"/>
      <c r="BG5" s="127"/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27"/>
      <c r="BS5" s="127"/>
      <c r="BT5" s="127"/>
      <c r="BU5" s="127"/>
      <c r="BV5" s="127"/>
      <c r="BW5" s="128"/>
    </row>
    <row r="6" spans="2:75" ht="17.25" customHeight="1" x14ac:dyDescent="0.25">
      <c r="E6" s="5"/>
      <c r="F6" s="5"/>
    </row>
    <row r="7" spans="2:75" ht="15.75" customHeight="1" x14ac:dyDescent="0.25">
      <c r="E7" s="5"/>
      <c r="F7" s="5"/>
    </row>
    <row r="8" spans="2:75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75" ht="27" customHeight="1" x14ac:dyDescent="0.25">
      <c r="B9" s="8">
        <v>1</v>
      </c>
      <c r="C9" s="9">
        <f>'DISTRIBUIÇÃO CUSTO'!D33</f>
        <v>1.6130646158720258E-2</v>
      </c>
      <c r="D9" s="10">
        <f>C9</f>
        <v>1.6130646158720258E-2</v>
      </c>
      <c r="E9" s="11">
        <f t="shared" ref="E9:E49" si="0">C9*$F$52</f>
        <v>948960.70407444134</v>
      </c>
      <c r="F9" s="11">
        <f>E9</f>
        <v>948960.70407444134</v>
      </c>
      <c r="G9" s="2"/>
    </row>
    <row r="10" spans="2:75" ht="27" customHeight="1" x14ac:dyDescent="0.25">
      <c r="B10" s="8">
        <v>2</v>
      </c>
      <c r="C10" s="9">
        <f>'DISTRIBUIÇÃO CUSTO'!D34</f>
        <v>1.5534907017173574E-2</v>
      </c>
      <c r="D10" s="10">
        <f>C10+D9</f>
        <v>3.1665553175893833E-2</v>
      </c>
      <c r="E10" s="11">
        <f t="shared" si="0"/>
        <v>913913.56277308543</v>
      </c>
      <c r="F10" s="11">
        <f>F9+E10</f>
        <v>1862874.2668475267</v>
      </c>
      <c r="G10" s="2"/>
    </row>
    <row r="11" spans="2:75" ht="27" customHeight="1" x14ac:dyDescent="0.25">
      <c r="B11" s="8">
        <v>3</v>
      </c>
      <c r="C11" s="9">
        <f>'DISTRIBUIÇÃO CUSTO'!D35</f>
        <v>1.5534907017173574E-2</v>
      </c>
      <c r="D11" s="10">
        <f t="shared" ref="D11:D49" si="1">C11+D10</f>
        <v>4.7200460193067409E-2</v>
      </c>
      <c r="E11" s="11">
        <f t="shared" si="0"/>
        <v>913913.56277308543</v>
      </c>
      <c r="F11" s="11">
        <f>F10+E11</f>
        <v>2776787.8296206119</v>
      </c>
      <c r="G11" s="2"/>
    </row>
    <row r="12" spans="2:75" ht="27" customHeight="1" x14ac:dyDescent="0.25">
      <c r="B12" s="8">
        <v>4</v>
      </c>
      <c r="C12" s="9">
        <f>'DISTRIBUIÇÃO CUSTO'!D36</f>
        <v>1.4343428734080212E-2</v>
      </c>
      <c r="D12" s="10">
        <f t="shared" si="1"/>
        <v>6.1543888927147621E-2</v>
      </c>
      <c r="E12" s="11">
        <f t="shared" si="0"/>
        <v>843819.28017037374</v>
      </c>
      <c r="F12" s="11">
        <f t="shared" ref="F12:F49" si="2">F11+E12</f>
        <v>3620607.1097909855</v>
      </c>
      <c r="G12" s="2"/>
    </row>
    <row r="13" spans="2:75" ht="27" customHeight="1" x14ac:dyDescent="0.25">
      <c r="B13" s="8">
        <v>5</v>
      </c>
      <c r="C13" s="9">
        <f>'DISTRIBUIÇÃO CUSTO'!D37</f>
        <v>1.4343428734080212E-2</v>
      </c>
      <c r="D13" s="10">
        <f t="shared" si="1"/>
        <v>7.5887317661227832E-2</v>
      </c>
      <c r="E13" s="11">
        <f t="shared" si="0"/>
        <v>843819.28017037374</v>
      </c>
      <c r="F13" s="11">
        <f t="shared" si="2"/>
        <v>4464426.3899613591</v>
      </c>
      <c r="G13" s="2"/>
    </row>
    <row r="14" spans="2:75" ht="27" customHeight="1" x14ac:dyDescent="0.25">
      <c r="B14" s="8">
        <v>6</v>
      </c>
      <c r="C14" s="9">
        <f>'DISTRIBUIÇÃO CUSTO'!D38</f>
        <v>1.4343428734080212E-2</v>
      </c>
      <c r="D14" s="10">
        <f t="shared" si="1"/>
        <v>9.0230746395308037E-2</v>
      </c>
      <c r="E14" s="11">
        <f t="shared" si="0"/>
        <v>843819.28017037374</v>
      </c>
      <c r="F14" s="11">
        <f t="shared" si="2"/>
        <v>5308245.6701317327</v>
      </c>
      <c r="G14" s="2"/>
    </row>
    <row r="15" spans="2:75" ht="27" customHeight="1" x14ac:dyDescent="0.25">
      <c r="B15" s="8">
        <v>7</v>
      </c>
      <c r="C15" s="9">
        <f>'DISTRIBUIÇÃO CUSTO'!D39</f>
        <v>1.473504238623775E-2</v>
      </c>
      <c r="D15" s="10">
        <f t="shared" si="1"/>
        <v>0.10496578878154579</v>
      </c>
      <c r="E15" s="11">
        <f t="shared" si="0"/>
        <v>866857.7848539371</v>
      </c>
      <c r="F15" s="11">
        <f t="shared" si="2"/>
        <v>6175103.4549856698</v>
      </c>
      <c r="G15" s="2"/>
    </row>
    <row r="16" spans="2:75" ht="27" customHeight="1" x14ac:dyDescent="0.25">
      <c r="B16" s="8">
        <v>8</v>
      </c>
      <c r="C16" s="9">
        <f>'DISTRIBUIÇÃO CUSTO'!D40</f>
        <v>1.473504238623775E-2</v>
      </c>
      <c r="D16" s="10">
        <f t="shared" si="1"/>
        <v>0.11970083116778354</v>
      </c>
      <c r="E16" s="11">
        <f t="shared" si="0"/>
        <v>866857.7848539371</v>
      </c>
      <c r="F16" s="11">
        <f t="shared" si="2"/>
        <v>7041961.2398396069</v>
      </c>
      <c r="G16" s="2"/>
    </row>
    <row r="17" spans="2:7" ht="27" customHeight="1" x14ac:dyDescent="0.25">
      <c r="B17" s="8">
        <v>9</v>
      </c>
      <c r="C17" s="9">
        <f>'DISTRIBUIÇÃO CUSTO'!D41</f>
        <v>1.473504238623775E-2</v>
      </c>
      <c r="D17" s="10">
        <f t="shared" si="1"/>
        <v>0.13443587355402128</v>
      </c>
      <c r="E17" s="11">
        <f t="shared" si="0"/>
        <v>866857.7848539371</v>
      </c>
      <c r="F17" s="11">
        <f t="shared" si="2"/>
        <v>7908819.024693544</v>
      </c>
      <c r="G17" s="2"/>
    </row>
    <row r="18" spans="2:7" ht="27" customHeight="1" x14ac:dyDescent="0.25">
      <c r="B18" s="8">
        <v>10</v>
      </c>
      <c r="C18" s="9">
        <f>'DISTRIBUIÇÃO CUSTO'!D42</f>
        <v>1.473504238623775E-2</v>
      </c>
      <c r="D18" s="10">
        <f t="shared" si="1"/>
        <v>0.14917091594025902</v>
      </c>
      <c r="E18" s="11">
        <f t="shared" si="0"/>
        <v>866857.7848539371</v>
      </c>
      <c r="F18" s="11">
        <f t="shared" si="2"/>
        <v>8775676.8095474802</v>
      </c>
      <c r="G18" s="2"/>
    </row>
    <row r="19" spans="2:7" ht="27" customHeight="1" x14ac:dyDescent="0.25">
      <c r="B19" s="8">
        <v>11</v>
      </c>
      <c r="C19" s="9">
        <f>'DISTRIBUIÇÃO CUSTO'!D43</f>
        <v>1.473504238623775E-2</v>
      </c>
      <c r="D19" s="10">
        <f t="shared" si="1"/>
        <v>0.16390595832649676</v>
      </c>
      <c r="E19" s="11">
        <f t="shared" si="0"/>
        <v>866857.7848539371</v>
      </c>
      <c r="F19" s="11">
        <f t="shared" si="2"/>
        <v>9642534.5944014173</v>
      </c>
      <c r="G19" s="2"/>
    </row>
    <row r="20" spans="2:7" ht="27" customHeight="1" x14ac:dyDescent="0.25">
      <c r="B20" s="8">
        <v>12</v>
      </c>
      <c r="C20" s="9">
        <f>'DISTRIBUIÇÃO CUSTO'!D44</f>
        <v>1.3008570160701644E-2</v>
      </c>
      <c r="D20" s="10">
        <f t="shared" si="1"/>
        <v>0.17691452848719841</v>
      </c>
      <c r="E20" s="11">
        <f t="shared" si="0"/>
        <v>765289.98139530048</v>
      </c>
      <c r="F20" s="11">
        <f t="shared" si="2"/>
        <v>10407824.575796718</v>
      </c>
      <c r="G20" s="2"/>
    </row>
    <row r="21" spans="2:7" ht="27" customHeight="1" x14ac:dyDescent="0.25">
      <c r="B21" s="8">
        <v>13</v>
      </c>
      <c r="C21" s="9">
        <f>'DISTRIBUIÇÃO CUSTO'!D45</f>
        <v>1.3008570160701644E-2</v>
      </c>
      <c r="D21" s="10">
        <f t="shared" si="1"/>
        <v>0.18992309864790005</v>
      </c>
      <c r="E21" s="11">
        <f t="shared" si="0"/>
        <v>765289.98139530048</v>
      </c>
      <c r="F21" s="11">
        <f t="shared" si="2"/>
        <v>11173114.557192018</v>
      </c>
      <c r="G21" s="2"/>
    </row>
    <row r="22" spans="2:7" ht="27" customHeight="1" x14ac:dyDescent="0.25">
      <c r="B22" s="8">
        <v>14</v>
      </c>
      <c r="C22" s="9">
        <f>'DISTRIBUIÇÃO CUSTO'!D46</f>
        <v>1.3008570160701644E-2</v>
      </c>
      <c r="D22" s="10">
        <f t="shared" si="1"/>
        <v>0.2029316688086017</v>
      </c>
      <c r="E22" s="11">
        <f t="shared" si="0"/>
        <v>765289.98139530048</v>
      </c>
      <c r="F22" s="11">
        <f t="shared" si="2"/>
        <v>11938404.538587319</v>
      </c>
      <c r="G22" s="2"/>
    </row>
    <row r="23" spans="2:7" ht="27" customHeight="1" x14ac:dyDescent="0.25">
      <c r="B23" s="8">
        <v>15</v>
      </c>
      <c r="C23" s="9">
        <f>'DISTRIBUIÇÃO CUSTO'!D47</f>
        <v>1.5822949476958656E-2</v>
      </c>
      <c r="D23" s="10">
        <f t="shared" si="1"/>
        <v>0.21875461828556036</v>
      </c>
      <c r="E23" s="11">
        <f t="shared" si="0"/>
        <v>930859.00765802059</v>
      </c>
      <c r="F23" s="11">
        <f t="shared" si="2"/>
        <v>12869263.54624534</v>
      </c>
      <c r="G23" s="2"/>
    </row>
    <row r="24" spans="2:7" ht="27" customHeight="1" x14ac:dyDescent="0.25">
      <c r="B24" s="8">
        <v>16</v>
      </c>
      <c r="C24" s="9">
        <f>'DISTRIBUIÇÃO CUSTO'!D48</f>
        <v>2.2669600652891329E-2</v>
      </c>
      <c r="D24" s="10">
        <f t="shared" si="1"/>
        <v>0.2414242189384517</v>
      </c>
      <c r="E24" s="11">
        <f t="shared" si="0"/>
        <v>1333645.2851905404</v>
      </c>
      <c r="F24" s="11">
        <f t="shared" si="2"/>
        <v>14202908.831435882</v>
      </c>
      <c r="G24" s="2"/>
    </row>
    <row r="25" spans="2:7" ht="27" customHeight="1" x14ac:dyDescent="0.25">
      <c r="B25" s="8">
        <v>17</v>
      </c>
      <c r="C25" s="9">
        <f>'DISTRIBUIÇÃO CUSTO'!D49</f>
        <v>2.6825545598103E-2</v>
      </c>
      <c r="D25" s="10">
        <f t="shared" si="1"/>
        <v>0.26824976453655469</v>
      </c>
      <c r="E25" s="11">
        <f t="shared" si="0"/>
        <v>1578138.1841418103</v>
      </c>
      <c r="F25" s="11">
        <f t="shared" si="2"/>
        <v>15781047.015577693</v>
      </c>
      <c r="G25" s="2"/>
    </row>
    <row r="26" spans="2:7" ht="27" customHeight="1" x14ac:dyDescent="0.25">
      <c r="B26" s="8">
        <v>18</v>
      </c>
      <c r="C26" s="9">
        <f>'DISTRIBUIÇÃO CUSTO'!D50</f>
        <v>2.7512571294235434E-2</v>
      </c>
      <c r="D26" s="10">
        <f t="shared" si="1"/>
        <v>0.29576233583079015</v>
      </c>
      <c r="E26" s="11">
        <f t="shared" si="0"/>
        <v>1618555.6839681652</v>
      </c>
      <c r="F26" s="11">
        <f t="shared" si="2"/>
        <v>17399602.699545857</v>
      </c>
      <c r="G26" s="2"/>
    </row>
    <row r="27" spans="2:7" ht="27" customHeight="1" x14ac:dyDescent="0.25">
      <c r="B27" s="8">
        <v>19</v>
      </c>
      <c r="C27" s="9">
        <f>'DISTRIBUIÇÃO CUSTO'!D51</f>
        <v>3.0804898290385622E-2</v>
      </c>
      <c r="D27" s="10">
        <f t="shared" si="1"/>
        <v>0.32656723412117578</v>
      </c>
      <c r="E27" s="11">
        <f t="shared" si="0"/>
        <v>1812242.2178842896</v>
      </c>
      <c r="F27" s="11">
        <f>F26+E27</f>
        <v>19211844.917430148</v>
      </c>
      <c r="G27" s="2"/>
    </row>
    <row r="28" spans="2:7" ht="27" customHeight="1" x14ac:dyDescent="0.25">
      <c r="B28" s="8">
        <v>20</v>
      </c>
      <c r="C28" s="9">
        <f>'DISTRIBUIÇÃO CUSTO'!D52</f>
        <v>3.2881593490630009E-2</v>
      </c>
      <c r="D28" s="10">
        <f t="shared" si="1"/>
        <v>0.3594488276118058</v>
      </c>
      <c r="E28" s="11">
        <f t="shared" si="0"/>
        <v>1934413.5258393998</v>
      </c>
      <c r="F28" s="11">
        <f t="shared" si="2"/>
        <v>21146258.443269547</v>
      </c>
      <c r="G28" s="2"/>
    </row>
    <row r="29" spans="2:7" ht="27" customHeight="1" x14ac:dyDescent="0.25">
      <c r="B29" s="8">
        <v>21</v>
      </c>
      <c r="C29" s="9">
        <f>'DISTRIBUIÇÃO CUSTO'!D53</f>
        <v>3.4685697185034906E-2</v>
      </c>
      <c r="D29" s="10">
        <f t="shared" si="1"/>
        <v>0.39413452479684069</v>
      </c>
      <c r="E29" s="11">
        <f t="shared" si="0"/>
        <v>2040548.3635402594</v>
      </c>
      <c r="F29" s="11">
        <f t="shared" si="2"/>
        <v>23186806.806809805</v>
      </c>
      <c r="G29" s="2"/>
    </row>
    <row r="30" spans="2:7" ht="27" customHeight="1" x14ac:dyDescent="0.25">
      <c r="B30" s="8">
        <v>22</v>
      </c>
      <c r="C30" s="9">
        <f>'DISTRIBUIÇÃO CUSTO'!D54</f>
        <v>3.4685697185034906E-2</v>
      </c>
      <c r="D30" s="10">
        <f t="shared" si="1"/>
        <v>0.42882022198187558</v>
      </c>
      <c r="E30" s="11">
        <f t="shared" si="0"/>
        <v>2040548.3635402594</v>
      </c>
      <c r="F30" s="11">
        <f t="shared" si="2"/>
        <v>25227355.170350064</v>
      </c>
      <c r="G30" s="2"/>
    </row>
    <row r="31" spans="2:7" ht="27" customHeight="1" x14ac:dyDescent="0.25">
      <c r="B31" s="8">
        <v>23</v>
      </c>
      <c r="C31" s="9">
        <f>'DISTRIBUIÇÃO CUSTO'!D55</f>
        <v>3.4685697185034906E-2</v>
      </c>
      <c r="D31" s="10">
        <f t="shared" si="1"/>
        <v>0.46350591916691047</v>
      </c>
      <c r="E31" s="11">
        <f t="shared" si="0"/>
        <v>2040548.3635402594</v>
      </c>
      <c r="F31" s="11">
        <f t="shared" si="2"/>
        <v>27267903.533890322</v>
      </c>
      <c r="G31" s="2"/>
    </row>
    <row r="32" spans="2:7" ht="27" customHeight="1" x14ac:dyDescent="0.25">
      <c r="B32" s="8">
        <v>24</v>
      </c>
      <c r="C32" s="9">
        <f>'DISTRIBUIÇÃO CUSTO'!D56</f>
        <v>3.4685697185034906E-2</v>
      </c>
      <c r="D32" s="10">
        <f t="shared" si="1"/>
        <v>0.49819161635194537</v>
      </c>
      <c r="E32" s="11">
        <f t="shared" si="0"/>
        <v>2040548.3635402594</v>
      </c>
      <c r="F32" s="11">
        <f t="shared" si="2"/>
        <v>29308451.89743058</v>
      </c>
      <c r="G32" s="2"/>
    </row>
    <row r="33" spans="2:7" ht="27" customHeight="1" x14ac:dyDescent="0.25">
      <c r="B33" s="8">
        <v>25</v>
      </c>
      <c r="C33" s="9">
        <f>'DISTRIBUIÇÃO CUSTO'!D57</f>
        <v>3.4685697185034906E-2</v>
      </c>
      <c r="D33" s="10">
        <f t="shared" si="1"/>
        <v>0.53287731353698031</v>
      </c>
      <c r="E33" s="11">
        <f t="shared" si="0"/>
        <v>2040548.3635402594</v>
      </c>
      <c r="F33" s="11">
        <f t="shared" si="2"/>
        <v>31349000.260970838</v>
      </c>
      <c r="G33" s="2"/>
    </row>
    <row r="34" spans="2:7" ht="27" customHeight="1" x14ac:dyDescent="0.25">
      <c r="B34" s="8">
        <v>26</v>
      </c>
      <c r="C34" s="9">
        <f>'DISTRIBUIÇÃO CUSTO'!D58</f>
        <v>3.4685697185034906E-2</v>
      </c>
      <c r="D34" s="10">
        <f t="shared" si="1"/>
        <v>0.5675630107220152</v>
      </c>
      <c r="E34" s="11">
        <f t="shared" si="0"/>
        <v>2040548.3635402594</v>
      </c>
      <c r="F34" s="11">
        <f t="shared" si="2"/>
        <v>33389548.624511097</v>
      </c>
      <c r="G34" s="2"/>
    </row>
    <row r="35" spans="2:7" ht="27" customHeight="1" x14ac:dyDescent="0.25">
      <c r="B35" s="8">
        <v>27</v>
      </c>
      <c r="C35" s="9">
        <f>'DISTRIBUIÇÃO CUSTO'!D59</f>
        <v>3.4685697185034906E-2</v>
      </c>
      <c r="D35" s="10">
        <f t="shared" si="1"/>
        <v>0.6022487079070501</v>
      </c>
      <c r="E35" s="11">
        <f t="shared" si="0"/>
        <v>2040548.3635402594</v>
      </c>
      <c r="F35" s="11">
        <f t="shared" si="2"/>
        <v>35430096.988051355</v>
      </c>
      <c r="G35" s="2"/>
    </row>
    <row r="36" spans="2:7" ht="27" customHeight="1" x14ac:dyDescent="0.25">
      <c r="B36" s="8">
        <v>28</v>
      </c>
      <c r="C36" s="9">
        <f>'DISTRIBUIÇÃO CUSTO'!D60</f>
        <v>3.3188964333686954E-2</v>
      </c>
      <c r="D36" s="10">
        <f t="shared" si="1"/>
        <v>0.63543767224073711</v>
      </c>
      <c r="E36" s="11">
        <f t="shared" si="0"/>
        <v>1952496.0532700561</v>
      </c>
      <c r="F36" s="11">
        <f t="shared" si="2"/>
        <v>37382593.041321412</v>
      </c>
      <c r="G36" s="2"/>
    </row>
    <row r="37" spans="2:7" ht="27" customHeight="1" x14ac:dyDescent="0.25">
      <c r="B37" s="8">
        <v>29</v>
      </c>
      <c r="C37" s="9">
        <f>'DISTRIBUIÇÃO CUSTO'!D61</f>
        <v>3.3188964333686954E-2</v>
      </c>
      <c r="D37" s="10">
        <f t="shared" si="1"/>
        <v>0.668626636574424</v>
      </c>
      <c r="E37" s="11">
        <f t="shared" si="0"/>
        <v>1952496.0532700561</v>
      </c>
      <c r="F37" s="11">
        <f t="shared" si="2"/>
        <v>39335089.094591469</v>
      </c>
      <c r="G37" s="2"/>
    </row>
    <row r="38" spans="2:7" ht="27" customHeight="1" x14ac:dyDescent="0.25">
      <c r="B38" s="8">
        <v>30</v>
      </c>
      <c r="C38" s="9">
        <f>'DISTRIBUIÇÃO CUSTO'!D62</f>
        <v>3.3188964333686954E-2</v>
      </c>
      <c r="D38" s="10">
        <f t="shared" si="1"/>
        <v>0.7018156009081109</v>
      </c>
      <c r="E38" s="11">
        <f t="shared" si="0"/>
        <v>1952496.0532700561</v>
      </c>
      <c r="F38" s="11">
        <f t="shared" si="2"/>
        <v>41287585.147861525</v>
      </c>
      <c r="G38" s="2"/>
    </row>
    <row r="39" spans="2:7" ht="27" customHeight="1" x14ac:dyDescent="0.25">
      <c r="B39" s="8">
        <v>31</v>
      </c>
      <c r="C39" s="9">
        <f>'DISTRIBUIÇÃO CUSTO'!D63</f>
        <v>3.4433189390658356E-2</v>
      </c>
      <c r="D39" s="10">
        <f t="shared" si="1"/>
        <v>0.73624879029876922</v>
      </c>
      <c r="E39" s="11">
        <f t="shared" si="0"/>
        <v>2025693.4115452759</v>
      </c>
      <c r="F39" s="11">
        <f t="shared" si="2"/>
        <v>43313278.559406802</v>
      </c>
      <c r="G39" s="2"/>
    </row>
    <row r="40" spans="2:7" ht="27" customHeight="1" x14ac:dyDescent="0.25">
      <c r="B40" s="8">
        <v>32</v>
      </c>
      <c r="C40" s="9">
        <f>'DISTRIBUIÇÃO CUSTO'!D64</f>
        <v>2.9242971016297324E-2</v>
      </c>
      <c r="D40" s="10">
        <f t="shared" si="1"/>
        <v>0.76549176131506658</v>
      </c>
      <c r="E40" s="11">
        <f t="shared" si="0"/>
        <v>1720354.5407790162</v>
      </c>
      <c r="F40" s="11">
        <f t="shared" si="2"/>
        <v>45033633.100185819</v>
      </c>
      <c r="G40" s="2"/>
    </row>
    <row r="41" spans="2:7" ht="27" customHeight="1" x14ac:dyDescent="0.25">
      <c r="B41" s="8">
        <v>33</v>
      </c>
      <c r="C41" s="9">
        <f>'DISTRIBUIÇÃO CUSTO'!D65</f>
        <v>2.5087026071085657E-2</v>
      </c>
      <c r="D41" s="10">
        <f t="shared" si="1"/>
        <v>0.79057878738615228</v>
      </c>
      <c r="E41" s="11">
        <f t="shared" si="0"/>
        <v>1475861.6418277465</v>
      </c>
      <c r="F41" s="11">
        <f t="shared" si="2"/>
        <v>46509494.742013566</v>
      </c>
      <c r="G41" s="2"/>
    </row>
    <row r="42" spans="2:7" ht="27" customHeight="1" x14ac:dyDescent="0.25">
      <c r="B42" s="8">
        <v>34</v>
      </c>
      <c r="C42" s="9">
        <f>'DISTRIBUIÇÃO CUSTO'!D66</f>
        <v>3.1754066924013814E-2</v>
      </c>
      <c r="D42" s="10">
        <f t="shared" si="1"/>
        <v>0.82233285431016612</v>
      </c>
      <c r="E42" s="11">
        <f t="shared" si="0"/>
        <v>1868081.5020636311</v>
      </c>
      <c r="F42" s="11">
        <f t="shared" si="2"/>
        <v>48377576.244077198</v>
      </c>
      <c r="G42" s="2"/>
    </row>
    <row r="43" spans="2:7" ht="27" customHeight="1" x14ac:dyDescent="0.25">
      <c r="B43" s="8">
        <v>35</v>
      </c>
      <c r="C43" s="9">
        <f>'DISTRIBUIÇÃO CUSTO'!D67</f>
        <v>3.1754066924013814E-2</v>
      </c>
      <c r="D43" s="10">
        <f t="shared" si="1"/>
        <v>0.85408692123417995</v>
      </c>
      <c r="E43" s="11">
        <f t="shared" si="0"/>
        <v>1868081.5020636311</v>
      </c>
      <c r="F43" s="11">
        <f t="shared" si="2"/>
        <v>50245657.74614083</v>
      </c>
      <c r="G43" s="2"/>
    </row>
    <row r="44" spans="2:7" ht="27" customHeight="1" x14ac:dyDescent="0.25">
      <c r="B44" s="8">
        <v>36</v>
      </c>
      <c r="C44" s="9">
        <f>'DISTRIBUIÇÃO CUSTO'!D68</f>
        <v>3.2787753484812839E-2</v>
      </c>
      <c r="D44" s="10">
        <f t="shared" si="1"/>
        <v>0.88687467471899284</v>
      </c>
      <c r="E44" s="11">
        <f t="shared" si="0"/>
        <v>1928892.9486031015</v>
      </c>
      <c r="F44" s="11">
        <f t="shared" si="2"/>
        <v>52174550.694743931</v>
      </c>
      <c r="G44" s="2"/>
    </row>
    <row r="45" spans="2:7" ht="27" customHeight="1" x14ac:dyDescent="0.25">
      <c r="B45" s="8">
        <v>37</v>
      </c>
      <c r="C45" s="9">
        <f>'DISTRIBUIÇÃO CUSTO'!D69</f>
        <v>2.949542648866265E-2</v>
      </c>
      <c r="D45" s="10">
        <f t="shared" si="1"/>
        <v>0.9163701012076555</v>
      </c>
      <c r="E45" s="11">
        <f t="shared" si="0"/>
        <v>1735206.4146869772</v>
      </c>
      <c r="F45" s="11">
        <f t="shared" si="2"/>
        <v>53909757.109430909</v>
      </c>
      <c r="G45" s="2"/>
    </row>
    <row r="46" spans="2:7" ht="27" customHeight="1" x14ac:dyDescent="0.25">
      <c r="B46" s="8">
        <v>38</v>
      </c>
      <c r="C46" s="9">
        <f>'DISTRIBUIÇÃO CUSTO'!D70</f>
        <v>2.949542648866265E-2</v>
      </c>
      <c r="D46" s="10">
        <f t="shared" si="1"/>
        <v>0.94586552769631815</v>
      </c>
      <c r="E46" s="11">
        <f t="shared" si="0"/>
        <v>1735206.4146869772</v>
      </c>
      <c r="F46" s="11">
        <f t="shared" si="2"/>
        <v>55644963.524117887</v>
      </c>
      <c r="G46" s="2"/>
    </row>
    <row r="47" spans="2:7" ht="27" customHeight="1" x14ac:dyDescent="0.25">
      <c r="B47" s="8">
        <v>39</v>
      </c>
      <c r="C47" s="9">
        <f>'DISTRIBUIÇÃO CUSTO'!D71</f>
        <v>2.5436822115434233E-2</v>
      </c>
      <c r="D47" s="10">
        <f t="shared" si="1"/>
        <v>0.97130234981175234</v>
      </c>
      <c r="E47" s="11">
        <f t="shared" si="0"/>
        <v>1496440.030149037</v>
      </c>
      <c r="F47" s="11">
        <f t="shared" si="2"/>
        <v>57141403.554266922</v>
      </c>
      <c r="G47" s="2"/>
    </row>
    <row r="48" spans="2:7" ht="27" customHeight="1" x14ac:dyDescent="0.25">
      <c r="B48" s="8">
        <v>40</v>
      </c>
      <c r="C48" s="9">
        <f>'DISTRIBUIÇÃO CUSTO'!D72</f>
        <v>8.527490317865611E-3</v>
      </c>
      <c r="D48" s="10">
        <f t="shared" si="1"/>
        <v>0.97982984012961793</v>
      </c>
      <c r="E48" s="11">
        <f t="shared" si="0"/>
        <v>501669.50142013031</v>
      </c>
      <c r="F48" s="11">
        <f t="shared" si="2"/>
        <v>57643073.055687055</v>
      </c>
      <c r="G48" s="2"/>
    </row>
    <row r="49" spans="2:75" ht="27" customHeight="1" x14ac:dyDescent="0.25">
      <c r="B49" s="8">
        <v>41</v>
      </c>
      <c r="C49" s="9">
        <f>'DISTRIBUIÇÃO CUSTO'!D73</f>
        <v>6.7233866234607097E-3</v>
      </c>
      <c r="D49" s="10">
        <f t="shared" si="1"/>
        <v>0.98655322675307866</v>
      </c>
      <c r="E49" s="11">
        <f t="shared" si="0"/>
        <v>395534.66371927032</v>
      </c>
      <c r="F49" s="11">
        <f t="shared" si="2"/>
        <v>58038607.719406322</v>
      </c>
      <c r="G49" s="2"/>
    </row>
    <row r="50" spans="2:75" ht="27" customHeight="1" x14ac:dyDescent="0.25">
      <c r="B50" s="8">
        <v>42</v>
      </c>
      <c r="C50" s="9">
        <f>'DISTRIBUIÇÃO CUSTO'!D74</f>
        <v>6.7233866234607097E-3</v>
      </c>
      <c r="D50" s="10">
        <f t="shared" ref="D50:D51" si="3">C50+D49</f>
        <v>0.99327661337653939</v>
      </c>
      <c r="E50" s="11">
        <f t="shared" ref="E50:E51" si="4">C50*$F$52</f>
        <v>395534.66371927032</v>
      </c>
      <c r="F50" s="11">
        <f t="shared" ref="F50:F51" si="5">F49+E50</f>
        <v>58434142.383125588</v>
      </c>
      <c r="G50" s="2"/>
    </row>
    <row r="51" spans="2:75" ht="28.5" customHeight="1" x14ac:dyDescent="0.25">
      <c r="B51" s="8">
        <v>43</v>
      </c>
      <c r="C51" s="9">
        <f>'DISTRIBUIÇÃO CUSTO'!D75</f>
        <v>6.7233866234607097E-3</v>
      </c>
      <c r="D51" s="10">
        <f t="shared" si="3"/>
        <v>1</v>
      </c>
      <c r="E51" s="11">
        <f t="shared" si="4"/>
        <v>395534.66371927032</v>
      </c>
      <c r="F51" s="12">
        <f t="shared" si="5"/>
        <v>58829677.046844855</v>
      </c>
    </row>
    <row r="52" spans="2:75" ht="27" customHeight="1" x14ac:dyDescent="0.25">
      <c r="B52" s="13"/>
      <c r="C52" s="14"/>
      <c r="D52" s="15"/>
      <c r="E52" s="16" t="s">
        <v>45</v>
      </c>
      <c r="F52" s="12">
        <f>'DISTRIBUIÇÃO CUSTO'!C27</f>
        <v>58829677.046844862</v>
      </c>
    </row>
    <row r="53" spans="2:75" ht="15" customHeight="1" x14ac:dyDescent="0.25">
      <c r="B53" s="17"/>
    </row>
    <row r="54" spans="2:75" ht="15" customHeight="1" x14ac:dyDescent="0.25"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</row>
    <row r="55" spans="2:75" ht="9.9499999999999993" customHeight="1" x14ac:dyDescent="0.25">
      <c r="H55" s="18"/>
      <c r="I55" s="18"/>
    </row>
    <row r="56" spans="2:75" x14ac:dyDescent="0.25">
      <c r="H56" s="18"/>
    </row>
    <row r="59" spans="2:75" ht="65.45" customHeight="1" x14ac:dyDescent="0.25"/>
  </sheetData>
  <mergeCells count="3">
    <mergeCell ref="B2:BW4"/>
    <mergeCell ref="B5:BW5"/>
    <mergeCell ref="B54:BW54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PRAZO</vt:lpstr>
      <vt:lpstr>DISTRIBUIÇÃO CUSTO</vt:lpstr>
      <vt:lpstr>CURVA PARAMÉTRICA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2024-10-15T10:33:23Z</dcterms:modified>
</cp:coreProperties>
</file>