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San Felice\04. Custo\03.0 Custo - Orçamento Paramétrico\R02-mar.25\"/>
    </mc:Choice>
  </mc:AlternateContent>
  <xr:revisionPtr revIDLastSave="0" documentId="13_ncr:1_{5DA3774D-D8EA-4CAF-A06B-228999D92B60}" xr6:coauthVersionLast="47" xr6:coauthVersionMax="47" xr10:uidLastSave="{00000000-0000-0000-0000-000000000000}"/>
  <bookViews>
    <workbookView xWindow="-23148" yWindow="-48" windowWidth="23256" windowHeight="12456" tabRatio="831" firstSheet="10" activeTab="17" xr2:uid="{00000000-000D-0000-FFFF-FFFF00000000}"/>
  </bookViews>
  <sheets>
    <sheet name="Marine" sheetId="45" r:id="rId1"/>
    <sheet name="Ravello" sheetId="44" r:id="rId2"/>
    <sheet name="Dados Gerais" sheetId="14" r:id="rId3"/>
    <sheet name="Movimentação de Terra" sheetId="13" r:id="rId4"/>
    <sheet name="Infraestrutura" sheetId="21" r:id="rId5"/>
    <sheet name="Supraestrutura" sheetId="22" r:id="rId6"/>
    <sheet name="Alvenaria" sheetId="23" r:id="rId7"/>
    <sheet name="Instalações" sheetId="40" r:id="rId8"/>
    <sheet name="Sistemas especiais" sheetId="38" r:id="rId9"/>
    <sheet name="Impermeabilização" sheetId="25" r:id="rId10"/>
    <sheet name="Rev. Internos Piso e Parede" sheetId="26" r:id="rId11"/>
    <sheet name="Acabamentos de Teto" sheetId="27" r:id="rId12"/>
    <sheet name="Acabamentos de Piso e Parede" sheetId="28" r:id="rId13"/>
    <sheet name="Pintura Interna" sheetId="29" r:id="rId14"/>
    <sheet name="Esquadrias" sheetId="43" r:id="rId15"/>
    <sheet name="Auxiliar" sheetId="36" state="hidden" r:id="rId16"/>
    <sheet name="Rev. Fachada" sheetId="31" r:id="rId17"/>
    <sheet name="Complementares" sheetId="34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0">#REF!</definedName>
    <definedName name="\a">#REF!</definedName>
    <definedName name="\m">#REF!</definedName>
    <definedName name="_xlnm._FilterDatabase" localSheetId="15" hidden="1">Auxiliar!$A$1:$D$68</definedName>
    <definedName name="aa" localSheetId="0">#REF!</definedName>
    <definedName name="aa">#REF!</definedName>
    <definedName name="aaaa">'[1]M.O.'!#REF!</definedName>
    <definedName name="angelo">[2]Geral!#REF!</definedName>
    <definedName name="area" localSheetId="0">#REF!</definedName>
    <definedName name="area">#REF!</definedName>
    <definedName name="_xlnm.Print_Area" localSheetId="12">'Acabamentos de Piso e Parede'!$A$1:$H$24</definedName>
    <definedName name="_xlnm.Print_Area" localSheetId="11">'Acabamentos de Teto'!$A$1:$H$20</definedName>
    <definedName name="_xlnm.Print_Area" localSheetId="6">Alvenaria!$A$1:$H$27</definedName>
    <definedName name="_xlnm.Print_Area" localSheetId="17">Complementares!$A$1:$H$22</definedName>
    <definedName name="_xlnm.Print_Area" localSheetId="14">Esquadrias!$A$1:$H$24</definedName>
    <definedName name="_xlnm.Print_Area" localSheetId="9">Impermeabilização!$A$1:$H$24</definedName>
    <definedName name="_xlnm.Print_Area" localSheetId="4">Infraestrutura!$A$1:$H$35</definedName>
    <definedName name="_xlnm.Print_Area" localSheetId="7">Instalações!$A$1:$H$23</definedName>
    <definedName name="_xlnm.Print_Area" localSheetId="0">#REF!</definedName>
    <definedName name="_xlnm.Print_Area" localSheetId="3">'Movimentação de Terra'!$A$1:$H$32</definedName>
    <definedName name="_xlnm.Print_Area" localSheetId="13">'Pintura Interna'!$A$1:$H$21</definedName>
    <definedName name="_xlnm.Print_Area" localSheetId="16">'Rev. Fachada'!$A$1:$H$24</definedName>
    <definedName name="_xlnm.Print_Area" localSheetId="10">'Rev. Internos Piso e Parede'!$A$1:$H$24</definedName>
    <definedName name="_xlnm.Print_Area" localSheetId="8">'Sistemas especiais'!$A$1:$H$11</definedName>
    <definedName name="_xlnm.Print_Area" localSheetId="5">Supraestrutura!$A$1:$H$25</definedName>
    <definedName name="_xlnm.Print_Area">#REF!</definedName>
    <definedName name="aux" localSheetId="0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 localSheetId="0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0">#REF!</definedName>
    <definedName name="FFFFFFF">#REF!</definedName>
    <definedName name="item_1" localSheetId="0">#REF!</definedName>
    <definedName name="item_1">#REF!</definedName>
    <definedName name="LS" localSheetId="0">'[1]M.O.'!#REF!</definedName>
    <definedName name="LS">'[1]M.O.'!#REF!</definedName>
    <definedName name="MENU" localSheetId="0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0">#REF!</definedName>
    <definedName name="PAV">#REF!</definedName>
    <definedName name="pr" localSheetId="0">#REF!</definedName>
    <definedName name="pr">#REF!</definedName>
    <definedName name="PRE" localSheetId="0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2">'Acabamentos de Piso e Parede'!$7:$11</definedName>
    <definedName name="_xlnm.Print_Titles" localSheetId="11">'Acabamentos de Teto'!$7:$11</definedName>
    <definedName name="_xlnm.Print_Titles" localSheetId="6">Alvenaria!$7:$11</definedName>
    <definedName name="_xlnm.Print_Titles" localSheetId="17">Complementares!$7:$11</definedName>
    <definedName name="_xlnm.Print_Titles" localSheetId="2">'Dados Gerais'!$7:$11</definedName>
    <definedName name="_xlnm.Print_Titles" localSheetId="14">Esquadrias!$7:$11</definedName>
    <definedName name="_xlnm.Print_Titles" localSheetId="9">Impermeabilização!$7:$11</definedName>
    <definedName name="_xlnm.Print_Titles" localSheetId="4">Infraestrutura!$7:$11</definedName>
    <definedName name="_xlnm.Print_Titles" localSheetId="7">Instalações!$7:$11</definedName>
    <definedName name="_xlnm.Print_Titles" localSheetId="0">#REF!</definedName>
    <definedName name="_xlnm.Print_Titles" localSheetId="3">'Movimentação de Terra'!$7:$11</definedName>
    <definedName name="_xlnm.Print_Titles" localSheetId="13">'Pintura Interna'!$7:$11</definedName>
    <definedName name="_xlnm.Print_Titles" localSheetId="16">'Rev. Fachada'!$7:$11</definedName>
    <definedName name="_xlnm.Print_Titles" localSheetId="10">'Rev. Internos Piso e Parede'!$7:$11</definedName>
    <definedName name="_xlnm.Print_Titles" localSheetId="8">'Sistemas especiais'!$7:$11</definedName>
    <definedName name="_xlnm.Print_Titles" localSheetId="5">Supraestrutura!$7:$11</definedName>
    <definedName name="_xlnm.Print_Titles">#REF!</definedName>
    <definedName name="TOT" localSheetId="0">#REF!</definedName>
    <definedName name="TOT">#REF!</definedName>
    <definedName name="Total" localSheetId="0">#REF!</definedName>
    <definedName name="Total">#REF!</definedName>
    <definedName name="TRP">#REF!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0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34" l="1"/>
  <c r="B16" i="31"/>
  <c r="G28" i="31"/>
  <c r="D22" i="31"/>
  <c r="D20" i="43" l="1"/>
  <c r="G19" i="29"/>
  <c r="B15" i="29"/>
  <c r="D22" i="28"/>
  <c r="D15" i="28"/>
  <c r="G19" i="25" l="1"/>
  <c r="G20" i="25"/>
  <c r="B20" i="25"/>
  <c r="G23" i="13"/>
  <c r="G22" i="13"/>
  <c r="B33" i="22" l="1"/>
  <c r="B35" i="22"/>
  <c r="B34" i="22"/>
  <c r="B38" i="22"/>
  <c r="B37" i="22"/>
  <c r="G38" i="22" l="1"/>
  <c r="G37" i="22"/>
  <c r="G34" i="22"/>
  <c r="G33" i="22"/>
  <c r="B32" i="22" l="1"/>
  <c r="G32" i="22" s="1"/>
  <c r="G35" i="22"/>
  <c r="B36" i="22"/>
  <c r="G36" i="22" s="1"/>
  <c r="H226" i="45"/>
  <c r="G226" i="45"/>
  <c r="G207" i="45"/>
  <c r="G208" i="45"/>
  <c r="B22" i="22"/>
  <c r="B21" i="22"/>
  <c r="B20" i="22" s="1"/>
  <c r="B18" i="22"/>
  <c r="G18" i="22" s="1"/>
  <c r="B17" i="22"/>
  <c r="B19" i="22" s="1"/>
  <c r="B16" i="22"/>
  <c r="B15" i="22" s="1"/>
  <c r="C26" i="14"/>
  <c r="B15" i="13" s="1"/>
  <c r="G17" i="22" l="1"/>
  <c r="G39" i="22"/>
  <c r="B17" i="27"/>
  <c r="G22" i="23"/>
  <c r="G17" i="23" l="1"/>
  <c r="G16" i="23"/>
  <c r="B17" i="23"/>
  <c r="B16" i="23"/>
  <c r="B15" i="23" s="1"/>
  <c r="C25" i="14"/>
  <c r="B15" i="43" l="1"/>
  <c r="G32" i="40"/>
  <c r="B20" i="23"/>
  <c r="B19" i="23"/>
  <c r="B18" i="23"/>
  <c r="B31" i="21" l="1"/>
  <c r="B30" i="21"/>
  <c r="B28" i="21"/>
  <c r="G28" i="21" s="1"/>
  <c r="B30" i="13"/>
  <c r="B23" i="13"/>
  <c r="B22" i="13"/>
  <c r="J10" i="13"/>
  <c r="B29" i="21" l="1"/>
  <c r="G30" i="21"/>
  <c r="C21" i="14"/>
  <c r="C14" i="14"/>
  <c r="I21" i="14" l="1"/>
  <c r="H21" i="14"/>
  <c r="G19" i="23"/>
  <c r="G18" i="14" l="1"/>
  <c r="G529" i="45" l="1"/>
  <c r="G545" i="45"/>
  <c r="K20" i="31"/>
  <c r="G16" i="31" s="1"/>
  <c r="G17" i="31" s="1"/>
  <c r="K19" i="31"/>
  <c r="B15" i="31" s="1"/>
  <c r="B32" i="43"/>
  <c r="B34" i="43" s="1"/>
  <c r="B18" i="43" s="1"/>
  <c r="B31" i="43"/>
  <c r="B19" i="43" s="1"/>
  <c r="B22" i="43"/>
  <c r="B20" i="43"/>
  <c r="G483" i="45"/>
  <c r="G482" i="45"/>
  <c r="B16" i="43"/>
  <c r="G480" i="45"/>
  <c r="G457" i="45"/>
  <c r="G456" i="45"/>
  <c r="B29" i="26" l="1"/>
  <c r="B20" i="26"/>
  <c r="B22" i="31"/>
  <c r="G15" i="31"/>
  <c r="H35" i="28"/>
  <c r="H33" i="28"/>
  <c r="B17" i="26"/>
  <c r="B15" i="28"/>
  <c r="G15" i="28" s="1"/>
  <c r="G421" i="45"/>
  <c r="G428" i="45"/>
  <c r="G425" i="45"/>
  <c r="G390" i="45"/>
  <c r="G378" i="45"/>
  <c r="G20" i="26" l="1"/>
  <c r="B22" i="26"/>
  <c r="G22" i="26" s="1"/>
  <c r="B21" i="26"/>
  <c r="G21" i="26" s="1"/>
  <c r="G17" i="26"/>
  <c r="B19" i="26"/>
  <c r="G19" i="26" s="1"/>
  <c r="G365" i="45"/>
  <c r="G355" i="45"/>
  <c r="K17" i="38"/>
  <c r="J15" i="38"/>
  <c r="G352" i="45"/>
  <c r="G350" i="45"/>
  <c r="G347" i="45" l="1"/>
  <c r="G339" i="45"/>
  <c r="G333" i="45"/>
  <c r="G331" i="45"/>
  <c r="G325" i="45"/>
  <c r="G323" i="45"/>
  <c r="G321" i="45"/>
  <c r="G319" i="45"/>
  <c r="G317" i="45"/>
  <c r="G315" i="45"/>
  <c r="G313" i="45"/>
  <c r="G307" i="45"/>
  <c r="G305" i="45"/>
  <c r="G303" i="45"/>
  <c r="G301" i="45"/>
  <c r="G299" i="45"/>
  <c r="G296" i="45"/>
  <c r="G294" i="45"/>
  <c r="G292" i="45"/>
  <c r="G235" i="45"/>
  <c r="G241" i="45"/>
  <c r="G12" i="44" l="1"/>
  <c r="H166" i="45"/>
  <c r="G165" i="45"/>
  <c r="G14" i="44"/>
  <c r="K15" i="34"/>
  <c r="B16" i="25"/>
  <c r="B21" i="23"/>
  <c r="G212" i="45"/>
  <c r="G200" i="45"/>
  <c r="G188" i="45"/>
  <c r="G167" i="45"/>
  <c r="G190" i="45"/>
  <c r="N16" i="21"/>
  <c r="M16" i="21"/>
  <c r="G21" i="23" l="1"/>
  <c r="B13" i="23"/>
  <c r="C13" i="23" s="1"/>
  <c r="B23" i="23"/>
  <c r="G170" i="45"/>
  <c r="G164" i="45"/>
  <c r="G163" i="45"/>
  <c r="G171" i="45"/>
  <c r="H171" i="45"/>
  <c r="H168" i="45"/>
  <c r="F581" i="45" l="1"/>
  <c r="F580" i="45" s="1"/>
  <c r="F579" i="45"/>
  <c r="F578" i="45"/>
  <c r="F576" i="45"/>
  <c r="F575" i="45"/>
  <c r="F574" i="45"/>
  <c r="F573" i="45" s="1"/>
  <c r="F572" i="45"/>
  <c r="F571" i="45"/>
  <c r="F570" i="45"/>
  <c r="F569" i="45"/>
  <c r="F567" i="45"/>
  <c r="F566" i="45" s="1"/>
  <c r="F565" i="45" s="1"/>
  <c r="F563" i="45"/>
  <c r="F562" i="45" s="1"/>
  <c r="F561" i="45"/>
  <c r="F560" i="45"/>
  <c r="F559" i="45"/>
  <c r="F558" i="45" s="1"/>
  <c r="F557" i="45"/>
  <c r="F556" i="45" s="1"/>
  <c r="F555" i="45"/>
  <c r="F554" i="45"/>
  <c r="F553" i="45"/>
  <c r="F552" i="45"/>
  <c r="F551" i="45" s="1"/>
  <c r="F550" i="45"/>
  <c r="F549" i="45"/>
  <c r="F548" i="45"/>
  <c r="F547" i="45" s="1"/>
  <c r="F544" i="45"/>
  <c r="F543" i="45"/>
  <c r="F542" i="45"/>
  <c r="F541" i="45" s="1"/>
  <c r="F540" i="45"/>
  <c r="F539" i="45"/>
  <c r="F538" i="45"/>
  <c r="F537" i="45"/>
  <c r="F536" i="45"/>
  <c r="F535" i="45" s="1"/>
  <c r="F534" i="45"/>
  <c r="F533" i="45"/>
  <c r="F532" i="45"/>
  <c r="F531" i="45" s="1"/>
  <c r="F530" i="45" s="1"/>
  <c r="F529" i="45" s="1"/>
  <c r="F528" i="45"/>
  <c r="F527" i="45"/>
  <c r="F526" i="45"/>
  <c r="F525" i="45" s="1"/>
  <c r="F520" i="45" s="1"/>
  <c r="F519" i="45" s="1"/>
  <c r="F524" i="45"/>
  <c r="F523" i="45"/>
  <c r="F522" i="45"/>
  <c r="F521" i="45"/>
  <c r="F518" i="45"/>
  <c r="F517" i="45"/>
  <c r="F516" i="45"/>
  <c r="F515" i="45"/>
  <c r="F513" i="45" s="1"/>
  <c r="F514" i="45"/>
  <c r="F512" i="45"/>
  <c r="F511" i="45"/>
  <c r="F510" i="45" s="1"/>
  <c r="F509" i="45" s="1"/>
  <c r="F508" i="45"/>
  <c r="F507" i="45"/>
  <c r="F506" i="45"/>
  <c r="F505" i="45"/>
  <c r="F504" i="45"/>
  <c r="F503" i="45" s="1"/>
  <c r="F502" i="45"/>
  <c r="F501" i="45"/>
  <c r="F500" i="45"/>
  <c r="F499" i="45"/>
  <c r="F498" i="45"/>
  <c r="F497" i="45"/>
  <c r="F496" i="45"/>
  <c r="F495" i="45"/>
  <c r="F494" i="45" s="1"/>
  <c r="F493" i="45" s="1"/>
  <c r="F492" i="45"/>
  <c r="F491" i="45"/>
  <c r="F490" i="45"/>
  <c r="F489" i="45"/>
  <c r="F488" i="45"/>
  <c r="F487" i="45" s="1"/>
  <c r="F486" i="45"/>
  <c r="F485" i="45"/>
  <c r="F484" i="45"/>
  <c r="F483" i="45"/>
  <c r="F482" i="45" s="1"/>
  <c r="F481" i="45"/>
  <c r="F480" i="45" s="1"/>
  <c r="F477" i="45"/>
  <c r="F476" i="45" s="1"/>
  <c r="F475" i="45"/>
  <c r="F474" i="45"/>
  <c r="F473" i="45"/>
  <c r="F472" i="45"/>
  <c r="F471" i="45"/>
  <c r="F470" i="45"/>
  <c r="F469" i="45"/>
  <c r="F468" i="45"/>
  <c r="F467" i="45"/>
  <c r="F463" i="45" s="1"/>
  <c r="F466" i="45"/>
  <c r="F465" i="45"/>
  <c r="F464" i="45"/>
  <c r="F462" i="45"/>
  <c r="F461" i="45"/>
  <c r="F460" i="45"/>
  <c r="F459" i="45"/>
  <c r="F458" i="45"/>
  <c r="F457" i="45"/>
  <c r="F456" i="45"/>
  <c r="F455" i="45"/>
  <c r="F454" i="45"/>
  <c r="F453" i="45"/>
  <c r="F452" i="45"/>
  <c r="F449" i="45"/>
  <c r="F448" i="45" s="1"/>
  <c r="F447" i="45"/>
  <c r="F446" i="45"/>
  <c r="F445" i="45"/>
  <c r="F444" i="45"/>
  <c r="F443" i="45"/>
  <c r="F442" i="45"/>
  <c r="F441" i="45"/>
  <c r="F440" i="45"/>
  <c r="F439" i="45"/>
  <c r="F438" i="45"/>
  <c r="F437" i="45"/>
  <c r="F436" i="45"/>
  <c r="F435" i="45" s="1"/>
  <c r="F434" i="45"/>
  <c r="F433" i="45"/>
  <c r="F432" i="45" s="1"/>
  <c r="F431" i="45"/>
  <c r="F430" i="45"/>
  <c r="F429" i="45"/>
  <c r="F428" i="45" s="1"/>
  <c r="F427" i="45"/>
  <c r="F426" i="45"/>
  <c r="F425" i="45"/>
  <c r="F424" i="45"/>
  <c r="F423" i="45" s="1"/>
  <c r="F422" i="45"/>
  <c r="F421" i="45"/>
  <c r="F420" i="45"/>
  <c r="F419" i="45"/>
  <c r="F417" i="45" s="1"/>
  <c r="F418" i="45"/>
  <c r="F416" i="45"/>
  <c r="F415" i="45"/>
  <c r="F414" i="45"/>
  <c r="F413" i="45" s="1"/>
  <c r="F410" i="45"/>
  <c r="F409" i="45"/>
  <c r="F408" i="45"/>
  <c r="F407" i="45"/>
  <c r="F406" i="45" s="1"/>
  <c r="F405" i="45"/>
  <c r="F404" i="45"/>
  <c r="F403" i="45"/>
  <c r="F402" i="45"/>
  <c r="F401" i="45"/>
  <c r="F400" i="45" s="1"/>
  <c r="F397" i="45"/>
  <c r="F396" i="45" s="1"/>
  <c r="F395" i="45"/>
  <c r="F394" i="45"/>
  <c r="F393" i="45"/>
  <c r="F392" i="45"/>
  <c r="F391" i="45"/>
  <c r="F390" i="45" s="1"/>
  <c r="F389" i="45"/>
  <c r="F388" i="45"/>
  <c r="F387" i="45"/>
  <c r="F385" i="45" s="1"/>
  <c r="F386" i="45"/>
  <c r="F384" i="45"/>
  <c r="F383" i="45"/>
  <c r="F382" i="45"/>
  <c r="F378" i="45" s="1"/>
  <c r="F381" i="45"/>
  <c r="F380" i="45"/>
  <c r="F379" i="45"/>
  <c r="F375" i="45"/>
  <c r="F374" i="45" s="1"/>
  <c r="F373" i="45"/>
  <c r="F372" i="45"/>
  <c r="F371" i="45"/>
  <c r="F370" i="45" s="1"/>
  <c r="F369" i="45"/>
  <c r="E368" i="45"/>
  <c r="F368" i="45" s="1"/>
  <c r="F367" i="45" s="1"/>
  <c r="F366" i="45" s="1"/>
  <c r="F365" i="45" s="1"/>
  <c r="F364" i="45"/>
  <c r="F363" i="45"/>
  <c r="F362" i="45"/>
  <c r="F361" i="45"/>
  <c r="F360" i="45" s="1"/>
  <c r="F359" i="45" s="1"/>
  <c r="F358" i="45"/>
  <c r="F357" i="45"/>
  <c r="F356" i="45" s="1"/>
  <c r="F355" i="45" s="1"/>
  <c r="F354" i="45"/>
  <c r="F353" i="45" s="1"/>
  <c r="F352" i="45"/>
  <c r="F351" i="45" s="1"/>
  <c r="F350" i="45"/>
  <c r="F349" i="45" s="1"/>
  <c r="F346" i="45"/>
  <c r="F345" i="45"/>
  <c r="F344" i="45"/>
  <c r="F343" i="45"/>
  <c r="F342" i="45"/>
  <c r="F341" i="45" s="1"/>
  <c r="F340" i="45" s="1"/>
  <c r="F339" i="45" s="1"/>
  <c r="F338" i="45"/>
  <c r="F337" i="45" s="1"/>
  <c r="F336" i="45"/>
  <c r="F335" i="45" s="1"/>
  <c r="F334" i="45"/>
  <c r="F333" i="45" s="1"/>
  <c r="F332" i="45"/>
  <c r="F331" i="45" s="1"/>
  <c r="F330" i="45" s="1"/>
  <c r="F329" i="45" s="1"/>
  <c r="F328" i="45"/>
  <c r="F327" i="45"/>
  <c r="F326" i="45"/>
  <c r="F325" i="45" s="1"/>
  <c r="F324" i="45"/>
  <c r="F323" i="45"/>
  <c r="F322" i="45"/>
  <c r="F321" i="45" s="1"/>
  <c r="F320" i="45"/>
  <c r="F319" i="45" s="1"/>
  <c r="F318" i="45"/>
  <c r="F317" i="45" s="1"/>
  <c r="F316" i="45"/>
  <c r="F315" i="45" s="1"/>
  <c r="F314" i="45"/>
  <c r="F313" i="45"/>
  <c r="F310" i="45"/>
  <c r="F309" i="45" s="1"/>
  <c r="F308" i="45"/>
  <c r="F307" i="45"/>
  <c r="F306" i="45"/>
  <c r="F305" i="45" s="1"/>
  <c r="F304" i="45"/>
  <c r="F303" i="45" s="1"/>
  <c r="F302" i="45"/>
  <c r="F301" i="45" s="1"/>
  <c r="F300" i="45"/>
  <c r="F299" i="45" s="1"/>
  <c r="F298" i="45"/>
  <c r="F297" i="45"/>
  <c r="F296" i="45"/>
  <c r="F295" i="45"/>
  <c r="F294" i="45" s="1"/>
  <c r="F293" i="45"/>
  <c r="F292" i="45"/>
  <c r="F289" i="45"/>
  <c r="F288" i="45"/>
  <c r="F287" i="45"/>
  <c r="F286" i="45"/>
  <c r="F285" i="45"/>
  <c r="F284" i="45"/>
  <c r="F283" i="45"/>
  <c r="F282" i="45"/>
  <c r="F281" i="45"/>
  <c r="F280" i="45"/>
  <c r="F279" i="45"/>
  <c r="F278" i="45"/>
  <c r="F277" i="45" s="1"/>
  <c r="F276" i="45"/>
  <c r="F275" i="45"/>
  <c r="F274" i="45"/>
  <c r="F273" i="45" s="1"/>
  <c r="F272" i="45"/>
  <c r="F271" i="45" s="1"/>
  <c r="F270" i="45"/>
  <c r="F269" i="45" s="1"/>
  <c r="F268" i="45"/>
  <c r="F267" i="45" s="1"/>
  <c r="F266" i="45"/>
  <c r="F265" i="45"/>
  <c r="F264" i="45"/>
  <c r="F263" i="45"/>
  <c r="F262" i="45"/>
  <c r="F261" i="45" s="1"/>
  <c r="F260" i="45"/>
  <c r="F259" i="45"/>
  <c r="F258" i="45" s="1"/>
  <c r="F253" i="45"/>
  <c r="F252" i="45"/>
  <c r="F251" i="45"/>
  <c r="F250" i="45"/>
  <c r="F249" i="45" s="1"/>
  <c r="F248" i="45"/>
  <c r="F247" i="45"/>
  <c r="F246" i="45"/>
  <c r="F245" i="45"/>
  <c r="F244" i="45"/>
  <c r="F243" i="45" s="1"/>
  <c r="F242" i="45"/>
  <c r="F241" i="45"/>
  <c r="F240" i="45"/>
  <c r="F239" i="45" s="1"/>
  <c r="F238" i="45"/>
  <c r="F237" i="45"/>
  <c r="F236" i="45"/>
  <c r="F235" i="45" s="1"/>
  <c r="F234" i="45" s="1"/>
  <c r="F233" i="45" s="1"/>
  <c r="F232" i="45"/>
  <c r="F231" i="45"/>
  <c r="F230" i="45"/>
  <c r="F229" i="45"/>
  <c r="F228" i="45"/>
  <c r="F227" i="45"/>
  <c r="F226" i="45"/>
  <c r="F225" i="45"/>
  <c r="F224" i="45" s="1"/>
  <c r="F223" i="45"/>
  <c r="F222" i="45"/>
  <c r="F221" i="45"/>
  <c r="F220" i="45"/>
  <c r="F219" i="45"/>
  <c r="F218" i="45"/>
  <c r="F215" i="45" s="1"/>
  <c r="F217" i="45"/>
  <c r="F216" i="45"/>
  <c r="F214" i="45"/>
  <c r="F213" i="45"/>
  <c r="F212" i="45"/>
  <c r="F211" i="45"/>
  <c r="F210" i="45"/>
  <c r="F209" i="45"/>
  <c r="F208" i="45" s="1"/>
  <c r="F205" i="45"/>
  <c r="F204" i="45"/>
  <c r="F203" i="45"/>
  <c r="F202" i="45" s="1"/>
  <c r="F201" i="45"/>
  <c r="F200" i="45"/>
  <c r="F199" i="45"/>
  <c r="F198" i="45"/>
  <c r="F197" i="45"/>
  <c r="F196" i="45"/>
  <c r="F195" i="45"/>
  <c r="F194" i="45"/>
  <c r="F193" i="45"/>
  <c r="F192" i="45"/>
  <c r="F190" i="45" s="1"/>
  <c r="F191" i="45"/>
  <c r="F189" i="45"/>
  <c r="F188" i="45"/>
  <c r="H186" i="45"/>
  <c r="F186" i="45"/>
  <c r="F185" i="45"/>
  <c r="F184" i="45"/>
  <c r="F183" i="45"/>
  <c r="F182" i="45"/>
  <c r="F181" i="45"/>
  <c r="F180" i="45"/>
  <c r="F179" i="45"/>
  <c r="F178" i="45"/>
  <c r="F177" i="45"/>
  <c r="F176" i="45"/>
  <c r="F175" i="45"/>
  <c r="F174" i="45" s="1"/>
  <c r="F173" i="45" s="1"/>
  <c r="F171" i="45"/>
  <c r="F170" i="45" s="1"/>
  <c r="F169" i="45"/>
  <c r="F168" i="45"/>
  <c r="F167" i="45"/>
  <c r="F166" i="45"/>
  <c r="F165" i="45" s="1"/>
  <c r="F161" i="45"/>
  <c r="F160" i="45"/>
  <c r="F159" i="45"/>
  <c r="F158" i="45"/>
  <c r="F157" i="45"/>
  <c r="F156" i="45"/>
  <c r="F155" i="45" s="1"/>
  <c r="F154" i="45"/>
  <c r="F153" i="45"/>
  <c r="F152" i="45"/>
  <c r="F151" i="45"/>
  <c r="F150" i="45"/>
  <c r="F149" i="45"/>
  <c r="F148" i="45"/>
  <c r="F147" i="45"/>
  <c r="F146" i="45"/>
  <c r="F143" i="45"/>
  <c r="F142" i="45" s="1"/>
  <c r="F141" i="45" s="1"/>
  <c r="F140" i="45"/>
  <c r="F139" i="45"/>
  <c r="F138" i="45" s="1"/>
  <c r="F137" i="45"/>
  <c r="F136" i="45"/>
  <c r="F135" i="45"/>
  <c r="F134" i="45"/>
  <c r="F133" i="45"/>
  <c r="F132" i="45"/>
  <c r="F131" i="45"/>
  <c r="F130" i="45"/>
  <c r="F129" i="45"/>
  <c r="F128" i="45"/>
  <c r="F127" i="45"/>
  <c r="F126" i="45"/>
  <c r="F125" i="45"/>
  <c r="F124" i="45"/>
  <c r="F123" i="45"/>
  <c r="F122" i="45"/>
  <c r="F121" i="45"/>
  <c r="F120" i="45"/>
  <c r="F119" i="45"/>
  <c r="F118" i="45"/>
  <c r="F117" i="45"/>
  <c r="F116" i="45"/>
  <c r="F115" i="45"/>
  <c r="F114" i="45"/>
  <c r="F113" i="45"/>
  <c r="F112" i="45" s="1"/>
  <c r="F111" i="45"/>
  <c r="F110" i="45" s="1"/>
  <c r="F109" i="45"/>
  <c r="F108" i="45"/>
  <c r="F107" i="45"/>
  <c r="F106" i="45"/>
  <c r="F105" i="45"/>
  <c r="F104" i="45"/>
  <c r="F103" i="45"/>
  <c r="F102" i="45"/>
  <c r="F101" i="45"/>
  <c r="F100" i="45"/>
  <c r="F99" i="45"/>
  <c r="F98" i="45"/>
  <c r="F96" i="45"/>
  <c r="F95" i="45"/>
  <c r="F94" i="45"/>
  <c r="F93" i="45"/>
  <c r="F92" i="45" s="1"/>
  <c r="F91" i="45"/>
  <c r="F89" i="45" s="1"/>
  <c r="F90" i="45"/>
  <c r="F88" i="45"/>
  <c r="F87" i="45"/>
  <c r="F86" i="45"/>
  <c r="F85" i="45"/>
  <c r="F84" i="45"/>
  <c r="F83" i="45"/>
  <c r="F82" i="45"/>
  <c r="F81" i="45"/>
  <c r="F79" i="45" s="1"/>
  <c r="F80" i="45"/>
  <c r="F78" i="45"/>
  <c r="F77" i="45"/>
  <c r="F76" i="45"/>
  <c r="F73" i="45"/>
  <c r="F72" i="45"/>
  <c r="F71" i="45"/>
  <c r="F70" i="45"/>
  <c r="F69" i="45"/>
  <c r="F68" i="45"/>
  <c r="F67" i="45"/>
  <c r="F66" i="45"/>
  <c r="F65" i="45"/>
  <c r="F64" i="45"/>
  <c r="F63" i="45"/>
  <c r="F62" i="45"/>
  <c r="F61" i="45"/>
  <c r="F60" i="45"/>
  <c r="F59" i="45"/>
  <c r="F56" i="45" s="1"/>
  <c r="F55" i="45" s="1"/>
  <c r="F58" i="45"/>
  <c r="F57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 s="1"/>
  <c r="F41" i="45"/>
  <c r="F40" i="45"/>
  <c r="F39" i="45"/>
  <c r="F38" i="45"/>
  <c r="F37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 s="1"/>
  <c r="F16" i="45"/>
  <c r="F15" i="45"/>
  <c r="F14" i="45"/>
  <c r="F13" i="45"/>
  <c r="F12" i="45"/>
  <c r="F11" i="45" s="1"/>
  <c r="F257" i="45" l="1"/>
  <c r="F256" i="45" s="1"/>
  <c r="F451" i="45"/>
  <c r="F450" i="45" s="1"/>
  <c r="F412" i="45"/>
  <c r="F411" i="45" s="1"/>
  <c r="F10" i="45"/>
  <c r="F9" i="45" s="1"/>
  <c r="F8" i="45" s="1"/>
  <c r="F97" i="45"/>
  <c r="F75" i="45"/>
  <c r="F74" i="45" s="1"/>
  <c r="F312" i="45"/>
  <c r="F311" i="45" s="1"/>
  <c r="F479" i="45"/>
  <c r="F478" i="45" s="1"/>
  <c r="F546" i="45"/>
  <c r="F545" i="45" s="1"/>
  <c r="F164" i="45"/>
  <c r="F163" i="45" s="1"/>
  <c r="F399" i="45"/>
  <c r="F398" i="45" s="1"/>
  <c r="F568" i="45"/>
  <c r="F564" i="45" s="1"/>
  <c r="F145" i="45"/>
  <c r="F144" i="45" s="1"/>
  <c r="F187" i="45"/>
  <c r="F172" i="45" s="1"/>
  <c r="F207" i="45"/>
  <c r="F206" i="45" s="1"/>
  <c r="F291" i="45"/>
  <c r="F290" i="45" s="1"/>
  <c r="F377" i="45"/>
  <c r="F376" i="45" s="1"/>
  <c r="F162" i="45" l="1"/>
  <c r="F582" i="45" s="1"/>
  <c r="G9" i="45"/>
  <c r="C19" i="14" l="1"/>
  <c r="G21" i="14"/>
  <c r="G20" i="14"/>
  <c r="G17" i="14"/>
  <c r="B16" i="29"/>
  <c r="B18" i="26"/>
  <c r="G18" i="26" s="1"/>
  <c r="B16" i="26"/>
  <c r="I35" i="28"/>
  <c r="I34" i="28"/>
  <c r="I33" i="28"/>
  <c r="H31" i="28"/>
  <c r="H32" i="28"/>
  <c r="I32" i="28"/>
  <c r="I31" i="28"/>
  <c r="G34" i="28"/>
  <c r="F34" i="28"/>
  <c r="B34" i="28"/>
  <c r="M33" i="28"/>
  <c r="M26" i="28"/>
  <c r="M31" i="28"/>
  <c r="M30" i="28"/>
  <c r="M29" i="28"/>
  <c r="M28" i="28"/>
  <c r="M27" i="28"/>
  <c r="B16" i="28"/>
  <c r="B19" i="28"/>
  <c r="B18" i="28"/>
  <c r="B17" i="28"/>
  <c r="F33" i="28"/>
  <c r="E33" i="28"/>
  <c r="B33" i="28"/>
  <c r="B32" i="28"/>
  <c r="D31" i="28"/>
  <c r="B31" i="28"/>
  <c r="C31" i="28"/>
  <c r="G177" i="44"/>
  <c r="B43" i="38"/>
  <c r="K18" i="38"/>
  <c r="J18" i="38"/>
  <c r="B18" i="38" s="1"/>
  <c r="J17" i="38"/>
  <c r="B17" i="38" s="1"/>
  <c r="K15" i="38"/>
  <c r="B16" i="38" s="1"/>
  <c r="G16" i="38" s="1"/>
  <c r="K16" i="23"/>
  <c r="M15" i="23" s="1"/>
  <c r="K20" i="23"/>
  <c r="K22" i="23" s="1"/>
  <c r="L22" i="23" s="1"/>
  <c r="K17" i="34" l="1"/>
  <c r="B18" i="27"/>
  <c r="G22" i="28"/>
  <c r="I16" i="28" s="1"/>
  <c r="M18" i="23"/>
  <c r="M14" i="23"/>
  <c r="B15" i="26"/>
  <c r="B24" i="23" l="1"/>
  <c r="S26" i="40"/>
  <c r="S25" i="40"/>
  <c r="S29" i="40"/>
  <c r="P31" i="40"/>
  <c r="S31" i="40" s="1"/>
  <c r="P30" i="40"/>
  <c r="S30" i="40" s="1"/>
  <c r="S33" i="40" l="1"/>
  <c r="G19" i="43"/>
  <c r="G20" i="43"/>
  <c r="G149" i="44" l="1"/>
  <c r="G97" i="44" l="1"/>
  <c r="G101" i="44"/>
  <c r="G99" i="44"/>
  <c r="G92" i="44"/>
  <c r="G286" i="44"/>
  <c r="G287" i="44"/>
  <c r="G16" i="26" l="1"/>
  <c r="G395" i="44" l="1"/>
  <c r="G347" i="44"/>
  <c r="G281" i="44"/>
  <c r="G260" i="44"/>
  <c r="G257" i="44"/>
  <c r="G205" i="44"/>
  <c r="B15" i="27"/>
  <c r="B16" i="27" s="1"/>
  <c r="G18" i="27"/>
  <c r="G17" i="27"/>
  <c r="G222" i="44"/>
  <c r="G220" i="44"/>
  <c r="G224" i="44"/>
  <c r="G237" i="44"/>
  <c r="G199" i="44"/>
  <c r="B22" i="25"/>
  <c r="B19" i="25"/>
  <c r="B45" i="38"/>
  <c r="H140" i="44"/>
  <c r="G40" i="38"/>
  <c r="H181" i="44"/>
  <c r="H193" i="44"/>
  <c r="H189" i="44"/>
  <c r="H188" i="44"/>
  <c r="M15" i="38"/>
  <c r="D16" i="27" l="1"/>
  <c r="G15" i="27"/>
  <c r="B15" i="38"/>
  <c r="G15" i="38" s="1"/>
  <c r="G30" i="40"/>
  <c r="G29" i="40"/>
  <c r="G28" i="40"/>
  <c r="G27" i="40"/>
  <c r="G355" i="44"/>
  <c r="G195" i="44"/>
  <c r="G193" i="44"/>
  <c r="G191" i="44"/>
  <c r="G189" i="44"/>
  <c r="G188" i="44"/>
  <c r="G181" i="44"/>
  <c r="G178" i="44"/>
  <c r="G171" i="44"/>
  <c r="G169" i="44"/>
  <c r="G167" i="44"/>
  <c r="G163" i="44"/>
  <c r="G161" i="44"/>
  <c r="G157" i="44"/>
  <c r="G155" i="44"/>
  <c r="G153" i="44"/>
  <c r="G151" i="44"/>
  <c r="G145" i="44"/>
  <c r="G143" i="44"/>
  <c r="G141" i="44"/>
  <c r="G140" i="44"/>
  <c r="G139" i="44"/>
  <c r="G131" i="44"/>
  <c r="G125" i="44"/>
  <c r="G123" i="44"/>
  <c r="G75" i="44"/>
  <c r="G15" i="23"/>
  <c r="G73" i="44"/>
  <c r="G70" i="44"/>
  <c r="G66" i="44"/>
  <c r="G67" i="44"/>
  <c r="G68" i="44"/>
  <c r="G65" i="44"/>
  <c r="G54" i="44"/>
  <c r="G56" i="44"/>
  <c r="G52" i="44"/>
  <c r="G42" i="44"/>
  <c r="G58" i="44"/>
  <c r="G53" i="44"/>
  <c r="G51" i="44"/>
  <c r="G41" i="44"/>
  <c r="G19" i="44"/>
  <c r="G16" i="44"/>
  <c r="F404" i="44"/>
  <c r="F403" i="44" s="1"/>
  <c r="E402" i="44"/>
  <c r="F402" i="44" s="1"/>
  <c r="F401" i="44" s="1"/>
  <c r="G402" i="44" s="1"/>
  <c r="E400" i="44"/>
  <c r="F400" i="44" s="1"/>
  <c r="E399" i="44"/>
  <c r="F399" i="44" s="1"/>
  <c r="G400" i="44" s="1"/>
  <c r="E397" i="44"/>
  <c r="F397" i="44" s="1"/>
  <c r="F396" i="44" s="1"/>
  <c r="G397" i="44" s="1"/>
  <c r="F395" i="44"/>
  <c r="F394" i="44" s="1"/>
  <c r="F392" i="44"/>
  <c r="F391" i="44" s="1"/>
  <c r="F390" i="44"/>
  <c r="F389" i="44" s="1"/>
  <c r="F388" i="44" s="1"/>
  <c r="F386" i="44"/>
  <c r="F385" i="44" s="1"/>
  <c r="F384" i="44"/>
  <c r="F383" i="44"/>
  <c r="F381" i="44"/>
  <c r="F380" i="44" s="1"/>
  <c r="F373" i="44"/>
  <c r="F372" i="44"/>
  <c r="F371" i="44"/>
  <c r="F370" i="44"/>
  <c r="F366" i="44"/>
  <c r="F365" i="44" s="1"/>
  <c r="F364" i="44"/>
  <c r="F363" i="44" s="1"/>
  <c r="F362" i="44"/>
  <c r="F361" i="44" s="1"/>
  <c r="F360" i="44"/>
  <c r="F359" i="44" s="1"/>
  <c r="F358" i="44"/>
  <c r="F357" i="44"/>
  <c r="F354" i="44"/>
  <c r="F353" i="44" s="1"/>
  <c r="F352" i="44" s="1"/>
  <c r="F351" i="44"/>
  <c r="F350" i="44"/>
  <c r="F349" i="44"/>
  <c r="F348" i="44"/>
  <c r="F347" i="44"/>
  <c r="F345" i="44"/>
  <c r="F344" i="44"/>
  <c r="E343" i="44"/>
  <c r="F343" i="44" s="1"/>
  <c r="D340" i="44"/>
  <c r="F340" i="44" s="1"/>
  <c r="F339" i="44" s="1"/>
  <c r="D338" i="44"/>
  <c r="F338" i="44" s="1"/>
  <c r="D337" i="44"/>
  <c r="F337" i="44" s="1"/>
  <c r="D336" i="44"/>
  <c r="F336" i="44" s="1"/>
  <c r="D335" i="44"/>
  <c r="F335" i="44" s="1"/>
  <c r="F333" i="44"/>
  <c r="F332" i="44" s="1"/>
  <c r="F331" i="44"/>
  <c r="F330" i="44"/>
  <c r="F329" i="44"/>
  <c r="F328" i="44"/>
  <c r="F327" i="44"/>
  <c r="F326" i="44"/>
  <c r="F325" i="44"/>
  <c r="F324" i="44"/>
  <c r="D321" i="44"/>
  <c r="F321" i="44" s="1"/>
  <c r="F320" i="44" s="1"/>
  <c r="F319" i="44"/>
  <c r="F318" i="44" s="1"/>
  <c r="D317" i="44"/>
  <c r="F317" i="44" s="1"/>
  <c r="F316" i="44" s="1"/>
  <c r="F315" i="44"/>
  <c r="F314" i="44"/>
  <c r="F312" i="44"/>
  <c r="F311" i="44"/>
  <c r="F309" i="44"/>
  <c r="F308" i="44" s="1"/>
  <c r="F305" i="44"/>
  <c r="F304" i="44" s="1"/>
  <c r="D300" i="44"/>
  <c r="F300" i="44" s="1"/>
  <c r="D299" i="44"/>
  <c r="F299" i="44" s="1"/>
  <c r="D297" i="44"/>
  <c r="F297" i="44" s="1"/>
  <c r="D294" i="44"/>
  <c r="F294" i="44" s="1"/>
  <c r="D293" i="44"/>
  <c r="D301" i="44" s="1"/>
  <c r="F301" i="44" s="1"/>
  <c r="D292" i="44"/>
  <c r="F292" i="44" s="1"/>
  <c r="F289" i="44"/>
  <c r="F288" i="44"/>
  <c r="F287" i="44"/>
  <c r="F286" i="44"/>
  <c r="D285" i="44"/>
  <c r="F285" i="44" s="1"/>
  <c r="D284" i="44"/>
  <c r="F284" i="44" s="1"/>
  <c r="D282" i="44"/>
  <c r="D298" i="44" s="1"/>
  <c r="F298" i="44" s="1"/>
  <c r="D281" i="44"/>
  <c r="F281" i="44" s="1"/>
  <c r="F280" i="44"/>
  <c r="D280" i="44"/>
  <c r="D279" i="44"/>
  <c r="F279" i="44" s="1"/>
  <c r="F275" i="44"/>
  <c r="F274" i="44" s="1"/>
  <c r="D273" i="44"/>
  <c r="F273" i="44" s="1"/>
  <c r="D272" i="44"/>
  <c r="F272" i="44" s="1"/>
  <c r="D270" i="44"/>
  <c r="F270" i="44" s="1"/>
  <c r="D269" i="44"/>
  <c r="F269" i="44" s="1"/>
  <c r="F265" i="44"/>
  <c r="D264" i="44"/>
  <c r="F264" i="44" s="1"/>
  <c r="D263" i="44"/>
  <c r="F263" i="44" s="1"/>
  <c r="F261" i="44"/>
  <c r="F260" i="44"/>
  <c r="F258" i="44"/>
  <c r="D257" i="44"/>
  <c r="D271" i="44" s="1"/>
  <c r="F271" i="44" s="1"/>
  <c r="F255" i="44"/>
  <c r="F254" i="44"/>
  <c r="F252" i="44"/>
  <c r="F251" i="44" s="1"/>
  <c r="F250" i="44"/>
  <c r="D249" i="44"/>
  <c r="D268" i="44" s="1"/>
  <c r="F268" i="44" s="1"/>
  <c r="D247" i="44"/>
  <c r="F247" i="44" s="1"/>
  <c r="D246" i="44"/>
  <c r="F246" i="44" s="1"/>
  <c r="D245" i="44"/>
  <c r="F245" i="44" s="1"/>
  <c r="F243" i="44"/>
  <c r="F242" i="44" s="1"/>
  <c r="D241" i="44"/>
  <c r="F241" i="44" s="1"/>
  <c r="F240" i="44" s="1"/>
  <c r="F239" i="44"/>
  <c r="F238" i="44"/>
  <c r="F237" i="44"/>
  <c r="D237" i="44"/>
  <c r="F233" i="44"/>
  <c r="F232" i="44" s="1"/>
  <c r="D231" i="44"/>
  <c r="F231" i="44" s="1"/>
  <c r="D230" i="44"/>
  <c r="F230" i="44" s="1"/>
  <c r="D229" i="44"/>
  <c r="F229" i="44" s="1"/>
  <c r="F227" i="44"/>
  <c r="F226" i="44"/>
  <c r="F224" i="44"/>
  <c r="F223" i="44" s="1"/>
  <c r="D224" i="44"/>
  <c r="F222" i="44"/>
  <c r="F221" i="44"/>
  <c r="F220" i="44"/>
  <c r="F216" i="44"/>
  <c r="F215" i="44" s="1"/>
  <c r="F214" i="44"/>
  <c r="F213" i="44"/>
  <c r="D212" i="44"/>
  <c r="F212" i="44" s="1"/>
  <c r="F209" i="44"/>
  <c r="F208" i="44" s="1"/>
  <c r="D207" i="44"/>
  <c r="F207" i="44" s="1"/>
  <c r="F206" i="44" s="1"/>
  <c r="D205" i="44"/>
  <c r="D211" i="44" s="1"/>
  <c r="F211" i="44" s="1"/>
  <c r="F203" i="44"/>
  <c r="F202" i="44"/>
  <c r="F201" i="44"/>
  <c r="F200" i="44"/>
  <c r="F199" i="44"/>
  <c r="F195" i="44"/>
  <c r="F194" i="44" s="1"/>
  <c r="F193" i="44"/>
  <c r="F192" i="44"/>
  <c r="E191" i="44"/>
  <c r="F191" i="44" s="1"/>
  <c r="F190" i="44" s="1"/>
  <c r="F189" i="44"/>
  <c r="F188" i="44"/>
  <c r="F187" i="44" s="1"/>
  <c r="F184" i="44"/>
  <c r="F183" i="44" s="1"/>
  <c r="F182" i="44" s="1"/>
  <c r="F181" i="44"/>
  <c r="F180" i="44" s="1"/>
  <c r="F179" i="44" s="1"/>
  <c r="F178" i="44"/>
  <c r="F177" i="44"/>
  <c r="F173" i="44"/>
  <c r="F172" i="44" s="1"/>
  <c r="F171" i="44"/>
  <c r="F170" i="44" s="1"/>
  <c r="F169" i="44"/>
  <c r="F168" i="44" s="1"/>
  <c r="F167" i="44"/>
  <c r="F166" i="44" s="1"/>
  <c r="F163" i="44"/>
  <c r="F162" i="44" s="1"/>
  <c r="F161" i="44"/>
  <c r="F160" i="44" s="1"/>
  <c r="F159" i="44" s="1"/>
  <c r="F158" i="44" s="1"/>
  <c r="F157" i="44"/>
  <c r="F156" i="44" s="1"/>
  <c r="F155" i="44"/>
  <c r="F154" i="44"/>
  <c r="F153" i="44"/>
  <c r="F152" i="44"/>
  <c r="F151" i="44"/>
  <c r="F150" i="44" s="1"/>
  <c r="F149" i="44"/>
  <c r="F148" i="44" s="1"/>
  <c r="F145" i="44"/>
  <c r="F144" i="44" s="1"/>
  <c r="F143" i="44"/>
  <c r="F142" i="44" s="1"/>
  <c r="F141" i="44"/>
  <c r="F140" i="44"/>
  <c r="F139" i="44"/>
  <c r="E137" i="44"/>
  <c r="F137" i="44" s="1"/>
  <c r="F136" i="44" s="1"/>
  <c r="E135" i="44"/>
  <c r="F135" i="44" s="1"/>
  <c r="E133" i="44"/>
  <c r="F133" i="44" s="1"/>
  <c r="F132" i="44" s="1"/>
  <c r="E131" i="44"/>
  <c r="F131" i="44" s="1"/>
  <c r="F130" i="44" s="1"/>
  <c r="E129" i="44"/>
  <c r="F129" i="44" s="1"/>
  <c r="F128" i="44" s="1"/>
  <c r="F125" i="44"/>
  <c r="F124" i="44" s="1"/>
  <c r="F123" i="44"/>
  <c r="F122" i="44" s="1"/>
  <c r="E121" i="44"/>
  <c r="F121" i="44" s="1"/>
  <c r="F120" i="44" s="1"/>
  <c r="E119" i="44"/>
  <c r="F119" i="44" s="1"/>
  <c r="F118" i="44" s="1"/>
  <c r="E117" i="44"/>
  <c r="F117" i="44" s="1"/>
  <c r="F116" i="44" s="1"/>
  <c r="E115" i="44"/>
  <c r="F115" i="44" s="1"/>
  <c r="F114" i="44" s="1"/>
  <c r="E113" i="44"/>
  <c r="F113" i="44" s="1"/>
  <c r="F109" i="44"/>
  <c r="F108" i="44" s="1"/>
  <c r="D107" i="44"/>
  <c r="F107" i="44" s="1"/>
  <c r="D106" i="44"/>
  <c r="F106" i="44" s="1"/>
  <c r="D103" i="44"/>
  <c r="F103" i="44" s="1"/>
  <c r="F101" i="44"/>
  <c r="F100" i="44" s="1"/>
  <c r="F99" i="44"/>
  <c r="F98" i="44" s="1"/>
  <c r="F97" i="44"/>
  <c r="F96" i="44" s="1"/>
  <c r="D95" i="44"/>
  <c r="F95" i="44" s="1"/>
  <c r="F94" i="44" s="1"/>
  <c r="F93" i="44"/>
  <c r="F92" i="44"/>
  <c r="D90" i="44"/>
  <c r="D104" i="44" s="1"/>
  <c r="F104" i="44" s="1"/>
  <c r="D89" i="44"/>
  <c r="F89" i="44" s="1"/>
  <c r="F85" i="44"/>
  <c r="F84" i="44" s="1"/>
  <c r="D83" i="44"/>
  <c r="F83" i="44" s="1"/>
  <c r="F82" i="44"/>
  <c r="F81" i="44"/>
  <c r="D80" i="44"/>
  <c r="F80" i="44" s="1"/>
  <c r="D79" i="44"/>
  <c r="F79" i="44" s="1"/>
  <c r="F77" i="44"/>
  <c r="F76" i="44"/>
  <c r="F75" i="44"/>
  <c r="F73" i="44"/>
  <c r="F72" i="44" s="1"/>
  <c r="F71" i="44"/>
  <c r="F70" i="44"/>
  <c r="F69" i="44" s="1"/>
  <c r="F68" i="44"/>
  <c r="F67" i="44"/>
  <c r="F66" i="44"/>
  <c r="F65" i="44"/>
  <c r="F61" i="44"/>
  <c r="F60" i="44" s="1"/>
  <c r="F59" i="44"/>
  <c r="F58" i="44" s="1"/>
  <c r="F57" i="44"/>
  <c r="F56" i="44"/>
  <c r="F55" i="44"/>
  <c r="F54" i="44"/>
  <c r="F53" i="44" s="1"/>
  <c r="F52" i="44"/>
  <c r="F51" i="44" s="1"/>
  <c r="F41" i="44"/>
  <c r="D40" i="44"/>
  <c r="F40" i="44" s="1"/>
  <c r="D39" i="44"/>
  <c r="F39" i="44" s="1"/>
  <c r="F34" i="44"/>
  <c r="F33" i="44"/>
  <c r="F32" i="44" s="1"/>
  <c r="F22" i="44"/>
  <c r="F20" i="44"/>
  <c r="F18" i="44"/>
  <c r="F17" i="44" s="1"/>
  <c r="F16" i="44" s="1"/>
  <c r="F14" i="44"/>
  <c r="F13" i="44" s="1"/>
  <c r="F12" i="44"/>
  <c r="F11" i="44" s="1"/>
  <c r="G133" i="44" l="1"/>
  <c r="G137" i="44"/>
  <c r="F134" i="44"/>
  <c r="G135" i="44"/>
  <c r="F112" i="44"/>
  <c r="F111" i="44" s="1"/>
  <c r="F110" i="44" s="1"/>
  <c r="G113" i="44"/>
  <c r="G115" i="44"/>
  <c r="G117" i="44"/>
  <c r="G119" i="44"/>
  <c r="G121" i="44"/>
  <c r="G129" i="44"/>
  <c r="G20" i="23"/>
  <c r="F249" i="44"/>
  <c r="F248" i="44" s="1"/>
  <c r="F293" i="44"/>
  <c r="F346" i="44"/>
  <c r="D302" i="44"/>
  <c r="F302" i="44" s="1"/>
  <c r="F176" i="44"/>
  <c r="F175" i="44" s="1"/>
  <c r="D303" i="44"/>
  <c r="F303" i="44" s="1"/>
  <c r="F174" i="44"/>
  <c r="F236" i="44"/>
  <c r="F259" i="44"/>
  <c r="F38" i="44"/>
  <c r="G38" i="44" s="1"/>
  <c r="F310" i="44"/>
  <c r="F219" i="44"/>
  <c r="F398" i="44"/>
  <c r="G399" i="44" s="1"/>
  <c r="F283" i="44"/>
  <c r="F138" i="44"/>
  <c r="F127" i="44" s="1"/>
  <c r="F126" i="44" s="1"/>
  <c r="F253" i="44"/>
  <c r="F382" i="44"/>
  <c r="F37" i="44"/>
  <c r="F36" i="44" s="1"/>
  <c r="G36" i="44" s="1"/>
  <c r="F10" i="44"/>
  <c r="F9" i="44" s="1"/>
  <c r="F91" i="44"/>
  <c r="F313" i="44"/>
  <c r="F225" i="44"/>
  <c r="F218" i="44" s="1"/>
  <c r="F217" i="44" s="1"/>
  <c r="F74" i="44"/>
  <c r="F165" i="44"/>
  <c r="F164" i="44" s="1"/>
  <c r="D267" i="44"/>
  <c r="F267" i="44" s="1"/>
  <c r="D296" i="44"/>
  <c r="F296" i="44" s="1"/>
  <c r="F147" i="44"/>
  <c r="F146" i="44" s="1"/>
  <c r="F19" i="44"/>
  <c r="F15" i="44" s="1"/>
  <c r="F78" i="44"/>
  <c r="F198" i="44"/>
  <c r="F282" i="44"/>
  <c r="F278" i="44" s="1"/>
  <c r="F244" i="44"/>
  <c r="F323" i="44"/>
  <c r="F322" i="44" s="1"/>
  <c r="F342" i="44"/>
  <c r="F341" i="44" s="1"/>
  <c r="F369" i="44"/>
  <c r="F64" i="44"/>
  <c r="F186" i="44"/>
  <c r="F185" i="44" s="1"/>
  <c r="F334" i="44"/>
  <c r="F356" i="44"/>
  <c r="F355" i="44" s="1"/>
  <c r="F210" i="44"/>
  <c r="F228" i="44"/>
  <c r="F90" i="44"/>
  <c r="F88" i="44" s="1"/>
  <c r="D105" i="44"/>
  <c r="F105" i="44" s="1"/>
  <c r="F102" i="44" s="1"/>
  <c r="D266" i="44"/>
  <c r="F266" i="44" s="1"/>
  <c r="F262" i="44" s="1"/>
  <c r="D291" i="44"/>
  <c r="F291" i="44" s="1"/>
  <c r="F205" i="44"/>
  <c r="F204" i="44" s="1"/>
  <c r="F257" i="44"/>
  <c r="F256" i="44" s="1"/>
  <c r="F393" i="44" l="1"/>
  <c r="F387" i="44" s="1"/>
  <c r="F295" i="44"/>
  <c r="F63" i="44"/>
  <c r="F62" i="44" s="1"/>
  <c r="F307" i="44"/>
  <c r="F306" i="44" s="1"/>
  <c r="F290" i="44"/>
  <c r="F277" i="44" s="1"/>
  <c r="F276" i="44" s="1"/>
  <c r="F368" i="44"/>
  <c r="F367" i="44" s="1"/>
  <c r="F235" i="44"/>
  <c r="F234" i="44" s="1"/>
  <c r="F197" i="44"/>
  <c r="F196" i="44" s="1"/>
  <c r="F87" i="44"/>
  <c r="F86" i="44" s="1"/>
  <c r="F8" i="44" l="1"/>
  <c r="F405" i="44" s="1"/>
  <c r="D20" i="21" l="1"/>
  <c r="B16" i="21" l="1"/>
  <c r="B17" i="21" s="1"/>
  <c r="D15" i="21"/>
  <c r="G15" i="13"/>
  <c r="I15" i="13" s="1"/>
  <c r="G17" i="21" l="1"/>
  <c r="B20" i="21"/>
  <c r="G20" i="21" s="1"/>
  <c r="J22" i="13"/>
  <c r="G30" i="13"/>
  <c r="B19" i="21" l="1"/>
  <c r="G19" i="21" s="1"/>
  <c r="B18" i="21"/>
  <c r="G18" i="21" s="1"/>
  <c r="I30" i="13"/>
  <c r="J30" i="13"/>
  <c r="G19" i="28" l="1"/>
  <c r="G17" i="28"/>
  <c r="G18" i="28"/>
  <c r="A23" i="28"/>
  <c r="G16" i="29" l="1"/>
  <c r="G15" i="29" l="1"/>
  <c r="G15" i="26"/>
  <c r="B17" i="25" l="1"/>
  <c r="J23" i="13" l="1"/>
  <c r="G24" i="13" l="1"/>
  <c r="G29" i="21"/>
  <c r="G32" i="21" s="1"/>
  <c r="G21" i="21"/>
  <c r="G22" i="21" s="1"/>
  <c r="G36" i="21" l="1"/>
  <c r="I24" i="13"/>
  <c r="H22" i="21" l="1"/>
  <c r="G18" i="25" l="1"/>
  <c r="G17" i="43"/>
  <c r="G18" i="29"/>
  <c r="G21" i="28"/>
  <c r="G17" i="29"/>
  <c r="G20" i="28"/>
  <c r="G18" i="34"/>
  <c r="G20" i="34"/>
  <c r="G16" i="34"/>
  <c r="G17" i="34"/>
  <c r="G19" i="34"/>
  <c r="G41" i="40"/>
  <c r="G21" i="25"/>
  <c r="G20" i="29" l="1"/>
  <c r="G21" i="34"/>
  <c r="B15" i="25"/>
  <c r="G19" i="22"/>
  <c r="G21" i="22"/>
  <c r="G16" i="22"/>
  <c r="G15" i="22" l="1"/>
  <c r="G20" i="22"/>
  <c r="J30" i="31" l="1"/>
  <c r="J17" i="13" l="1"/>
  <c r="G18" i="43" l="1"/>
  <c r="G22" i="43"/>
  <c r="G21" i="43"/>
  <c r="G16" i="43"/>
  <c r="G15" i="43"/>
  <c r="B22" i="23"/>
  <c r="G23" i="43" l="1"/>
  <c r="G26" i="43" s="1"/>
  <c r="H26" i="43" l="1"/>
  <c r="G31" i="40" l="1"/>
  <c r="G16" i="13" l="1"/>
  <c r="G26" i="38" l="1"/>
  <c r="G25" i="38"/>
  <c r="G24" i="38"/>
  <c r="G28" i="38" l="1"/>
  <c r="H28" i="38" s="1"/>
  <c r="G42" i="40"/>
  <c r="G40" i="40"/>
  <c r="G33" i="40"/>
  <c r="G21" i="40"/>
  <c r="G20" i="40"/>
  <c r="G18" i="40"/>
  <c r="G17" i="40"/>
  <c r="G16" i="40"/>
  <c r="G15" i="40"/>
  <c r="G34" i="40" l="1"/>
  <c r="G43" i="40"/>
  <c r="G22" i="40"/>
  <c r="G46" i="40" l="1"/>
  <c r="H46" i="40" l="1"/>
  <c r="D17" i="26"/>
  <c r="G16" i="28" l="1"/>
  <c r="I15" i="28" l="1"/>
  <c r="G23" i="28"/>
  <c r="G31" i="13"/>
  <c r="G34" i="13" s="1"/>
  <c r="G22" i="22" l="1"/>
  <c r="H36" i="21" l="1"/>
  <c r="G24" i="34"/>
  <c r="H24" i="34" l="1"/>
  <c r="G33" i="38" l="1"/>
  <c r="G34" i="38" l="1"/>
  <c r="G17" i="38"/>
  <c r="G46" i="38" l="1"/>
  <c r="G18" i="38"/>
  <c r="G19" i="38" s="1"/>
  <c r="H19" i="38" s="1"/>
  <c r="G47" i="38" l="1"/>
  <c r="H47" i="38" s="1"/>
  <c r="G50" i="38" l="1"/>
  <c r="H50" i="38"/>
  <c r="H11" i="36" l="1"/>
  <c r="H10" i="36"/>
  <c r="H9" i="36"/>
  <c r="H8" i="36"/>
  <c r="H7" i="36"/>
  <c r="H6" i="36"/>
  <c r="H12" i="36"/>
  <c r="H5" i="36"/>
  <c r="J14" i="26" l="1"/>
  <c r="K16" i="28" s="1"/>
  <c r="G22" i="25" l="1"/>
  <c r="G16" i="27" l="1"/>
  <c r="G19" i="27" s="1"/>
  <c r="G22" i="27" s="1"/>
  <c r="H22" i="27" l="1"/>
  <c r="G23" i="29" l="1"/>
  <c r="H23" i="29" l="1"/>
  <c r="G15" i="25"/>
  <c r="G16" i="25"/>
  <c r="G17" i="25"/>
  <c r="G23" i="25" s="1"/>
  <c r="G26" i="25" l="1"/>
  <c r="H26" i="25" l="1"/>
  <c r="G23" i="22" l="1"/>
  <c r="G26" i="22" s="1"/>
  <c r="H26" i="22" l="1"/>
  <c r="H34" i="13"/>
  <c r="G22" i="31"/>
  <c r="G23" i="31" s="1"/>
  <c r="G29" i="31"/>
  <c r="G32" i="31" l="1"/>
  <c r="H32" i="31" s="1"/>
  <c r="G26" i="28" l="1"/>
  <c r="H26" i="28" l="1"/>
  <c r="D18" i="26" l="1"/>
  <c r="J13" i="26"/>
  <c r="K15" i="28" s="1"/>
  <c r="G23" i="26" l="1"/>
  <c r="G26" i="26" s="1"/>
  <c r="H26" i="26" l="1"/>
  <c r="G18" i="23"/>
  <c r="G23" i="23"/>
  <c r="G24" i="23"/>
  <c r="E30" i="23"/>
  <c r="G25" i="23" l="1"/>
  <c r="G28" i="23" s="1"/>
  <c r="H28" i="23" l="1"/>
</calcChain>
</file>

<file path=xl/sharedStrings.xml><?xml version="1.0" encoding="utf-8"?>
<sst xmlns="http://schemas.openxmlformats.org/spreadsheetml/2006/main" count="4039" uniqueCount="1652">
  <si>
    <t>Cliente</t>
  </si>
  <si>
    <t>Obra</t>
  </si>
  <si>
    <t>Data</t>
  </si>
  <si>
    <t>Revisão</t>
  </si>
  <si>
    <t>N° total de pavimentos</t>
  </si>
  <si>
    <t>Área do terreno</t>
  </si>
  <si>
    <t>N° de pavimentos tipo</t>
  </si>
  <si>
    <t>Área de projeção da torre</t>
  </si>
  <si>
    <t>Perímetro de projeção da torre</t>
  </si>
  <si>
    <t>Área total construída</t>
  </si>
  <si>
    <t>m²</t>
  </si>
  <si>
    <t>un</t>
  </si>
  <si>
    <t>m</t>
  </si>
  <si>
    <t>Área de subsolos</t>
  </si>
  <si>
    <t>N° de subsolos</t>
  </si>
  <si>
    <t>Locação da obra</t>
  </si>
  <si>
    <t>Parâmetro</t>
  </si>
  <si>
    <t>R$ / AC</t>
  </si>
  <si>
    <t>AT</t>
  </si>
  <si>
    <t>AC</t>
  </si>
  <si>
    <t>NP</t>
  </si>
  <si>
    <t>NPT</t>
  </si>
  <si>
    <t>APT</t>
  </si>
  <si>
    <t>PPT</t>
  </si>
  <si>
    <t>LC</t>
  </si>
  <si>
    <t>AS</t>
  </si>
  <si>
    <t>NS</t>
  </si>
  <si>
    <t>Descrição</t>
  </si>
  <si>
    <t>Identificador</t>
  </si>
  <si>
    <t>Informação</t>
  </si>
  <si>
    <t>Valor total</t>
  </si>
  <si>
    <t>Referência</t>
  </si>
  <si>
    <t>-</t>
  </si>
  <si>
    <t>TOTAL</t>
  </si>
  <si>
    <t>EQUIPAMENTOS</t>
  </si>
  <si>
    <t>R$ / m³</t>
  </si>
  <si>
    <t>Quantidade</t>
  </si>
  <si>
    <t>ESCAVAÇÃO E REATERRO DE VALAS</t>
  </si>
  <si>
    <t>REBAIXAMENTO DE LENÇOL</t>
  </si>
  <si>
    <t>Rebaixamento de Lençol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</si>
  <si>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</si>
  <si>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</si>
  <si>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</si>
  <si>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</si>
  <si>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</si>
  <si>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</si>
  <si>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</si>
  <si>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</si>
  <si>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R$ / m²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</si>
  <si>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</si>
  <si>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</si>
  <si>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</si>
  <si>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</si>
  <si>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</si>
  <si>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</si>
  <si>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ALVENARIA</t>
  </si>
  <si>
    <t>m² / APT</t>
  </si>
  <si>
    <t>Alvenaria embasamento</t>
  </si>
  <si>
    <t>Alvenaria cobertura / reservatório</t>
  </si>
  <si>
    <t>INSTALAÇÕES ELÉTRICAS</t>
  </si>
  <si>
    <t>Entrada de Energia</t>
  </si>
  <si>
    <t>Eletrodutos e Eletrocalhas</t>
  </si>
  <si>
    <t>Cabos e Fiações</t>
  </si>
  <si>
    <t>Quadros e Disjuntores</t>
  </si>
  <si>
    <t>Equipamentos e Iluminação</t>
  </si>
  <si>
    <t>Mão de Obra para Instalações Elétricas</t>
  </si>
  <si>
    <t>Instalações de Água Fria</t>
  </si>
  <si>
    <t>Instalações de Água Quente</t>
  </si>
  <si>
    <t>Instalações de Águas Pluviais</t>
  </si>
  <si>
    <t>Instalações Sanitárias</t>
  </si>
  <si>
    <t>Louças e Metais</t>
  </si>
  <si>
    <t>Mão de Obra para Instalações Hidráulicas</t>
  </si>
  <si>
    <t>INSTALAÇÕES PREVENTIVAS E GLP</t>
  </si>
  <si>
    <t>Instalações Preventivas</t>
  </si>
  <si>
    <t>CLIMATIZAÇÃO, EXAUSTÃO MECÂNICA E PRESSURIZAÇÃO</t>
  </si>
  <si>
    <t>Churrasqueiras</t>
  </si>
  <si>
    <t>IMPERMEABILIZAÇÃO</t>
  </si>
  <si>
    <t>Poço do elevador</t>
  </si>
  <si>
    <t>Baldrames</t>
  </si>
  <si>
    <t>Ralos</t>
  </si>
  <si>
    <t>Impermeabilizações cimenticias</t>
  </si>
  <si>
    <t>Impermeabilização de peitoril</t>
  </si>
  <si>
    <t>Regularização de Superfície</t>
  </si>
  <si>
    <t>Impermeabilizações com manta asfaltica</t>
  </si>
  <si>
    <t>Proteção Mecânica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</si>
  <si>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</si>
  <si>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Chapisco</t>
  </si>
  <si>
    <t>Reboco</t>
  </si>
  <si>
    <t>Contrapiso</t>
  </si>
  <si>
    <t>Negativo</t>
  </si>
  <si>
    <t>kg / m³</t>
  </si>
  <si>
    <t>%</t>
  </si>
  <si>
    <t>ACABAMENTOS EM PISO E PAREDE</t>
  </si>
  <si>
    <t>Revestimentos de Parede</t>
  </si>
  <si>
    <t>Pintura Interna</t>
  </si>
  <si>
    <t>ESQUADRIAS</t>
  </si>
  <si>
    <t>Esquadrias de Alumínio</t>
  </si>
  <si>
    <t>Esquadrias de Madeira</t>
  </si>
  <si>
    <t>REVESTIMENTOS ARGAMASSADOS</t>
  </si>
  <si>
    <t>PINTURA</t>
  </si>
  <si>
    <t>Elevadores</t>
  </si>
  <si>
    <t>Equipamentos para Piscina</t>
  </si>
  <si>
    <t>R$</t>
  </si>
  <si>
    <t>SERVIÇOS COMPLEMENTARES</t>
  </si>
  <si>
    <t>Limpeza</t>
  </si>
  <si>
    <t>REVESTIMENTOS INTERNOS EM PISO E PAREDE</t>
  </si>
  <si>
    <t>Alvenaria lazer</t>
  </si>
  <si>
    <t>Área do embasamento</t>
  </si>
  <si>
    <t>AE</t>
  </si>
  <si>
    <t>Área Lazer</t>
  </si>
  <si>
    <t>AL</t>
  </si>
  <si>
    <t>m² / AL</t>
  </si>
  <si>
    <t>Média</t>
  </si>
  <si>
    <t>m² / AC</t>
  </si>
  <si>
    <t>m³ / AC</t>
  </si>
  <si>
    <r>
      <t>m</t>
    </r>
    <r>
      <rPr>
        <sz val="10"/>
        <color theme="1"/>
        <rFont val="Roboto"/>
      </rPr>
      <t xml:space="preserve"> / AC</t>
    </r>
  </si>
  <si>
    <t>PPE</t>
  </si>
  <si>
    <t>Perímetro de projeção embasamento</t>
  </si>
  <si>
    <t>Área de projeção do embasamento</t>
  </si>
  <si>
    <t>N° de pavimentos de embasamento</t>
  </si>
  <si>
    <t>NPE</t>
  </si>
  <si>
    <t>APE</t>
  </si>
  <si>
    <t>N° de pavimentos duplex</t>
  </si>
  <si>
    <t>NPD</t>
  </si>
  <si>
    <t>N° de pavimentos tipo diferenciado</t>
  </si>
  <si>
    <t>ND</t>
  </si>
  <si>
    <t>Acabamentos Elétricos</t>
  </si>
  <si>
    <t>Instalações de Proteção e Aterramento - SPDA</t>
  </si>
  <si>
    <t>Serralherias</t>
  </si>
  <si>
    <t xml:space="preserve">m² 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</si>
  <si>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</si>
  <si>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</si>
  <si>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</si>
  <si>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</si>
  <si>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</si>
  <si>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</si>
  <si>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</si>
  <si>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</si>
  <si>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</si>
  <si>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</si>
  <si>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</si>
  <si>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</si>
  <si>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</si>
  <si>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</si>
  <si>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</si>
  <si>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</si>
  <si>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</si>
  <si>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</si>
  <si>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</si>
  <si>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</si>
  <si>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</si>
  <si>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</si>
  <si>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</si>
  <si>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</si>
  <si>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</si>
  <si>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</si>
  <si>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</si>
  <si>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</si>
  <si>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</si>
  <si>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</si>
  <si>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</si>
  <si>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</si>
  <si>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</si>
  <si>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</si>
  <si>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</si>
  <si>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</si>
  <si>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</si>
  <si>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</si>
  <si>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</si>
  <si>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</si>
  <si>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</si>
  <si>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</si>
  <si>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</si>
  <si>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</si>
  <si>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</si>
  <si>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</si>
  <si>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</si>
  <si>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</si>
  <si>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</si>
  <si>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</si>
  <si>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</si>
  <si>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</si>
  <si>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</si>
  <si>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</si>
  <si>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</si>
  <si>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</si>
  <si>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</si>
  <si>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>R$ / un</t>
  </si>
  <si>
    <t>Portão de alumínio</t>
  </si>
  <si>
    <t xml:space="preserve">Concreto </t>
  </si>
  <si>
    <t>Infraestrutura para Instalação de Ar Condicionado</t>
  </si>
  <si>
    <t>OUTROS SISTEMAS ESPECIAIS</t>
  </si>
  <si>
    <t>Outros sistemas</t>
  </si>
  <si>
    <t>Instalação de Ar Condicionado</t>
  </si>
  <si>
    <t>Ventokit</t>
  </si>
  <si>
    <t>PCF</t>
  </si>
  <si>
    <t>Chapisco e reboco</t>
  </si>
  <si>
    <t>Manta acústica</t>
  </si>
  <si>
    <t>Grupo de geradores</t>
  </si>
  <si>
    <t>Serviços complementares</t>
  </si>
  <si>
    <t>REGULARIZAÇÃO E APILOAMENTO DE FUNDO DE VALAS</t>
  </si>
  <si>
    <t>Móveis e decoração</t>
  </si>
  <si>
    <t>R$ / AL</t>
  </si>
  <si>
    <t>Comunicação visual</t>
  </si>
  <si>
    <t>Paisagismo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</si>
  <si>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</si>
  <si>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</si>
  <si>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</si>
  <si>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</si>
  <si>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</si>
  <si>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TOTAL ALVENARIA</t>
  </si>
  <si>
    <t>TOTAL INSTALAÇÕES</t>
  </si>
  <si>
    <t>TOTAL SISTEMAS ESPECIAIS</t>
  </si>
  <si>
    <t>TOTAL IMPERMEABILIZAÇÃO</t>
  </si>
  <si>
    <t>TOTAL ACABAMENTOS</t>
  </si>
  <si>
    <t>TOTAL PINTURA</t>
  </si>
  <si>
    <t>Piscina</t>
  </si>
  <si>
    <t>Guarda-corpo - vidro</t>
  </si>
  <si>
    <t>PINTURA INTERNA - OPÇÃO 1</t>
  </si>
  <si>
    <t>TOTAL FACHADA</t>
  </si>
  <si>
    <t>CFTV</t>
  </si>
  <si>
    <t>Interfone</t>
  </si>
  <si>
    <t>TV e internet</t>
  </si>
  <si>
    <t>COMUNICAÇÃO</t>
  </si>
  <si>
    <t>INSTALAÇÕES HIDROSSANITÁRIAS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</si>
  <si>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</si>
  <si>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 xml:space="preserve">ACABAMENTOS DE TETO </t>
  </si>
  <si>
    <t>TOTAL REVESTIMENTOS</t>
  </si>
  <si>
    <t>TOTAL TETO</t>
  </si>
  <si>
    <t>TOTAL ESQUADRIAS</t>
  </si>
  <si>
    <t>TOTAL COMPLEMENTARES</t>
  </si>
  <si>
    <t>m² / APT*(NPT+2ND)</t>
  </si>
  <si>
    <t>Subestação</t>
  </si>
  <si>
    <t>Infra de carro elétrico</t>
  </si>
  <si>
    <t>Alvenaria refratárias</t>
  </si>
  <si>
    <t>40 dias d erebaixamento</t>
  </si>
  <si>
    <t>200,00 por dia</t>
  </si>
  <si>
    <t xml:space="preserve">m² / un </t>
  </si>
  <si>
    <t xml:space="preserve">Alvenaria escadas </t>
  </si>
  <si>
    <t>FUNDAÇÃO PROFUNDA</t>
  </si>
  <si>
    <t>Número de Estacas</t>
  </si>
  <si>
    <t>un / APE</t>
  </si>
  <si>
    <t>m / un</t>
  </si>
  <si>
    <t>Mobilização</t>
  </si>
  <si>
    <t>FUNDAÇÃO RASA</t>
  </si>
  <si>
    <t>Fabricação, montagem e desmontagem de forma para blocos e baldrames resinado</t>
  </si>
  <si>
    <t>R00</t>
  </si>
  <si>
    <t>m³ / APE</t>
  </si>
  <si>
    <t xml:space="preserve">m³ </t>
  </si>
  <si>
    <t>m² / APE</t>
  </si>
  <si>
    <t>Estaca Hélice Continua Diâmetro 60</t>
  </si>
  <si>
    <t>Reutilizações</t>
  </si>
  <si>
    <t>Instalações de GLP</t>
  </si>
  <si>
    <t>AREAS COMUNS</t>
  </si>
  <si>
    <t>Sistema de placas fotovoltaicas</t>
  </si>
  <si>
    <t>Automação, telecomunicação e sistemas de segurança</t>
  </si>
  <si>
    <t>Ligações definitivas</t>
  </si>
  <si>
    <t>desmobilização</t>
  </si>
  <si>
    <t>Alinterna</t>
  </si>
  <si>
    <t>Soleiras e peitoris</t>
  </si>
  <si>
    <t>Pintura piso epoxi</t>
  </si>
  <si>
    <t>m2</t>
  </si>
  <si>
    <t xml:space="preserve">Textura escadas </t>
  </si>
  <si>
    <t>Rodapés</t>
  </si>
  <si>
    <t>ACABAMENTOS ESPECIAIS</t>
  </si>
  <si>
    <t>Revestimentos especiais</t>
  </si>
  <si>
    <t>R$ / m² (telhado)</t>
  </si>
  <si>
    <t>Forma</t>
  </si>
  <si>
    <t>Amalfi</t>
  </si>
  <si>
    <t>Tramonti</t>
  </si>
  <si>
    <t>MARINE</t>
  </si>
  <si>
    <t>RAVELLO</t>
  </si>
  <si>
    <t>Total estacas</t>
  </si>
  <si>
    <t>R$/m</t>
  </si>
  <si>
    <t>Armação 6,3mm</t>
  </si>
  <si>
    <t>Cubetas</t>
  </si>
  <si>
    <t>ORÇAMENTO EXECUTIVO</t>
  </si>
  <si>
    <t>Empresa</t>
  </si>
  <si>
    <t>AMALFI</t>
  </si>
  <si>
    <t>ORÇAMENTO EXECUTIVO RAVELLO - R00</t>
  </si>
  <si>
    <t>Código</t>
  </si>
  <si>
    <t>Un.</t>
  </si>
  <si>
    <t>Quantidade orçada</t>
  </si>
  <si>
    <t>Preço unitário</t>
  </si>
  <si>
    <t>Preço total</t>
  </si>
  <si>
    <t>VB</t>
  </si>
  <si>
    <t>MES</t>
  </si>
  <si>
    <t>Equipamentos de proteção</t>
  </si>
  <si>
    <t>M</t>
  </si>
  <si>
    <t>M2</t>
  </si>
  <si>
    <t>02</t>
  </si>
  <si>
    <t>CUSTOS DIRETOS</t>
  </si>
  <si>
    <t>02.01</t>
  </si>
  <si>
    <t>MOVIMENTAÇÃO DE TERRA</t>
  </si>
  <si>
    <t>02.01.001</t>
  </si>
  <si>
    <t>02.01.001.0001</t>
  </si>
  <si>
    <t>Movimentação de terra</t>
  </si>
  <si>
    <t>02.01.001.0001.00002</t>
  </si>
  <si>
    <t>Escavação Mecânica com Bota Fora de blocos e baldrames</t>
  </si>
  <si>
    <t>02.01.001.0002</t>
  </si>
  <si>
    <t>Lastro de brita</t>
  </si>
  <si>
    <t>02.01.001.0002.00001</t>
  </si>
  <si>
    <t>Lastro de Brita e=10cm</t>
  </si>
  <si>
    <t>02.02</t>
  </si>
  <si>
    <t>INFRAESTRUTURA</t>
  </si>
  <si>
    <t>02.02.001</t>
  </si>
  <si>
    <t>02.02.001.0001</t>
  </si>
  <si>
    <t>Fundação profunda</t>
  </si>
  <si>
    <t>02.02.001.0001.00001</t>
  </si>
  <si>
    <t>Execução de estacas</t>
  </si>
  <si>
    <t>02.02.002</t>
  </si>
  <si>
    <t/>
  </si>
  <si>
    <t>02.02.002.0001</t>
  </si>
  <si>
    <t>02.02.002.0001.00001</t>
  </si>
  <si>
    <t>Fabricacao e montagem de forma para bloco de fundacao - em madeira serrada</t>
  </si>
  <si>
    <t>02.02.002.0002</t>
  </si>
  <si>
    <t>Armadura</t>
  </si>
  <si>
    <t>02.02.002.0002.00001</t>
  </si>
  <si>
    <t>Armacao aco CA-60 ø 5.0mm para infraestrutura corte e dobra em obra</t>
  </si>
  <si>
    <t>KG</t>
  </si>
  <si>
    <t>02.02.002.0002.00002</t>
  </si>
  <si>
    <t>Armacao aco CA-50 ø 6.3mm para infraestrutura corte e dobra em obra</t>
  </si>
  <si>
    <t>02.02.002.0002.00003</t>
  </si>
  <si>
    <t>Armacao aco CA-50 ø 8.0mm para infraestrutura corte e dobra em obra</t>
  </si>
  <si>
    <t>02.02.002.0002.00004</t>
  </si>
  <si>
    <t>Armacao aco CA-50 ø 10.0mm para infraestrutura corte e dobra em obra</t>
  </si>
  <si>
    <t>02.02.002.0002.00005</t>
  </si>
  <si>
    <t>Armacao aco CA-50 ø 12.5mm para infraestrutura corte e dobra em obra</t>
  </si>
  <si>
    <t>02.02.002.0002.00006</t>
  </si>
  <si>
    <t>Armacao aco CA-50 ø 16.0mm para infraestrutura corte e dobra em obra</t>
  </si>
  <si>
    <t>02.02.002.0002.00007</t>
  </si>
  <si>
    <t>Armacao aco CA-50 ø 20.0mm para infraestrutura corte e dobra em obra</t>
  </si>
  <si>
    <t>02.02.002.0002.00008</t>
  </si>
  <si>
    <t>Armacao aco CA-50 ø 25.0mm para infraestrutura corte e dobra em obra</t>
  </si>
  <si>
    <t>02.02.002.0002.00009</t>
  </si>
  <si>
    <t>Armação aco com tela TQ 138</t>
  </si>
  <si>
    <t>02.02.002.0003</t>
  </si>
  <si>
    <t>02.02.002.0003.00001</t>
  </si>
  <si>
    <t>Concreto usinado bombeavel - para infraestrutura - Fck 35MPa - Brita 0 SLUMP = 12 +/- 2 incluindo servico de bombeamento</t>
  </si>
  <si>
    <t>M3</t>
  </si>
  <si>
    <t>02.02.002.0004</t>
  </si>
  <si>
    <t>02.02.002.0004.00001</t>
  </si>
  <si>
    <t>Mao de obra para execucacao de infraestrutura de concreto armado (inclusindo blocos-baldrames-contenções-cisterna-dutos)</t>
  </si>
  <si>
    <t>02.03</t>
  </si>
  <si>
    <t>02.03.001</t>
  </si>
  <si>
    <t>02.03.001.0001</t>
  </si>
  <si>
    <t>02.03.001.0001.00001</t>
  </si>
  <si>
    <t>Fabricação de Fôrma Para Estruturas de Concreto Armado - em Chapa de Madeira Compensada Plastificada - E=18mm</t>
  </si>
  <si>
    <t>02.03.001.0001.00005</t>
  </si>
  <si>
    <t>Montagem e desmontagem de fôrma para Estruturas de Concreto Armado - em chapa de madeira compensada plastificada</t>
  </si>
  <si>
    <t>02.03.001.0002</t>
  </si>
  <si>
    <t>02.03.001.0002.00001</t>
  </si>
  <si>
    <t>Armacao aco CA-60 ø 5.0mm para supraestrutura corte e dobra em obra</t>
  </si>
  <si>
    <t>02.03.001.0002.00002</t>
  </si>
  <si>
    <t>Armacao aco CA-50 ø 6.3mm para supraestrutura corte e dobra em obra</t>
  </si>
  <si>
    <t>02.03.001.0002.00003</t>
  </si>
  <si>
    <t>Armacao aco CA-50 ø 8.0mm para supraestrutura corte e dobra em obra</t>
  </si>
  <si>
    <t>02.03.001.0002.00004</t>
  </si>
  <si>
    <t>Armacao aco CA-50 ø 10.0mm para supraestrutura corte e dobra em obra</t>
  </si>
  <si>
    <t>02.03.001.0002.00005</t>
  </si>
  <si>
    <t>Armacao aco CA-50 ø 12.5mm para supraestrutura corte e dobra em obra</t>
  </si>
  <si>
    <t>02.03.001.0002.00006</t>
  </si>
  <si>
    <t>Armacao aco CA-50 ø 16.0mm para supraestrutura corte e dobra em obra</t>
  </si>
  <si>
    <t>02.03.001.0002.00007</t>
  </si>
  <si>
    <t>Armacao aco CA-50 ø 20.0mm para supraestrutura corte e dobra em obra</t>
  </si>
  <si>
    <t>02.03.001.0002.00008</t>
  </si>
  <si>
    <t>Armacao aco CA-50 ø 25.0mm para supraestrutura corte e dobra em obra</t>
  </si>
  <si>
    <t>02.03.001.0002.00009</t>
  </si>
  <si>
    <t>02.03.001.0003</t>
  </si>
  <si>
    <t>02.03.001.0003.00001</t>
  </si>
  <si>
    <t>Concreto usinado bombeavel - para supraestrutura - Fck 35MPa - Brita 0 SLUMP = 12 +/- 2 incluindo servico de bombeamento</t>
  </si>
  <si>
    <t>02.03.001.0004</t>
  </si>
  <si>
    <t>Complementares</t>
  </si>
  <si>
    <t>02.03.001.0004.00001</t>
  </si>
  <si>
    <t>Locação de cubetas</t>
  </si>
  <si>
    <t>02.03.001.0004.00002</t>
  </si>
  <si>
    <t>Aquisição de cubetas</t>
  </si>
  <si>
    <t>02.03.001.0004.00003</t>
  </si>
  <si>
    <t>Locação de escoramento metálico</t>
  </si>
  <si>
    <t>02.03.001.0004.00004</t>
  </si>
  <si>
    <t>02.03.001.0005</t>
  </si>
  <si>
    <t>02.03.001.0005.00001</t>
  </si>
  <si>
    <t>Mao de obra para execucacao de supraestrutura de concreto armado</t>
  </si>
  <si>
    <t>02.03.001.0006</t>
  </si>
  <si>
    <t>Imprevistos e contingências</t>
  </si>
  <si>
    <t>02.03.001.0006.00001</t>
  </si>
  <si>
    <t>02.04</t>
  </si>
  <si>
    <t>PAREDES E PAINÉIS</t>
  </si>
  <si>
    <t>02.04.001</t>
  </si>
  <si>
    <t>02.04.001.0001</t>
  </si>
  <si>
    <t>Alvenaria de vedação com blocos cerâmicos</t>
  </si>
  <si>
    <t>02.04.001.0001.00001</t>
  </si>
  <si>
    <t>Alvenaria de vedação de blocos cerâmicos furados na horizontal de 11,5x19x29 cm (espessura 11,5cm) com argamassa industrializada de assentamento</t>
  </si>
  <si>
    <t>02.04.001.0001.00002</t>
  </si>
  <si>
    <t>Alvenaria de vedação de blocos cerâmicos furados na horizontal de 14x19x29 cm (espessura 14cm) com argamassa industrializada de assentamento</t>
  </si>
  <si>
    <t>02.04.001.0001.00003</t>
  </si>
  <si>
    <t>Alvenaria de vedação de blocos cerâmicos furados na horizontal de 9x19x29 cm (espessura 9cm) com argamassa industrializada de assentamento</t>
  </si>
  <si>
    <t>02.04.001.0001.00004</t>
  </si>
  <si>
    <t>Alvenaria de vedação de blocos cerâmicos furados na horizontal de 19x19x29 cm (espessura 19cm) com argamassa industrializada de assentamento</t>
  </si>
  <si>
    <t>02.04.001.0002</t>
  </si>
  <si>
    <t>Alvenaria de vedação com bocos resistente ao fogo</t>
  </si>
  <si>
    <t>02.04.001.0002.00001</t>
  </si>
  <si>
    <t>Alvenaria com bloco silico calcário de 12.5x30x60cm (espessura de 12.5cm) com argamassa industrializada de assentamento</t>
  </si>
  <si>
    <t>02.04.001.0002.00002</t>
  </si>
  <si>
    <t>Alvenaria com bloco silico calcário de 10x30x60cm (espessura de 10cm) com argamassa industrializada de assentamento</t>
  </si>
  <si>
    <t>02.04.001.0004</t>
  </si>
  <si>
    <t>Revestimento em tijolo refratário</t>
  </si>
  <si>
    <t>02.04.001.0004.00001</t>
  </si>
  <si>
    <t>Assentamento de tijolos refratários de 5.0x11.5x23 cm com argamassa refratária</t>
  </si>
  <si>
    <t>02.04.001.0006</t>
  </si>
  <si>
    <t>Serviços complementares para alvenaria de vedação</t>
  </si>
  <si>
    <t>02.04.001.0006.00001</t>
  </si>
  <si>
    <t>Verga/Contraverga de Concreto</t>
  </si>
  <si>
    <t>02.04.001.0006.00002</t>
  </si>
  <si>
    <t>Encunhamento com Expansor</t>
  </si>
  <si>
    <t>02.04.001.0006.00003</t>
  </si>
  <si>
    <t>Tela soldada para ligacao alvenaria/estrutura - para blocos de 9 a 14cm</t>
  </si>
  <si>
    <t>UN</t>
  </si>
  <si>
    <t>02.04.001.0007</t>
  </si>
  <si>
    <t>02.04.001.0007.00001</t>
  </si>
  <si>
    <t>Mao de obra empreitada vedacoes internas e externas - assentamento de blocos silico-calcários</t>
  </si>
  <si>
    <t>02.04.001.0007.00002</t>
  </si>
  <si>
    <t>Mao de obra empreitada vedacoes internas  - assentamento de blocos cerâmicos</t>
  </si>
  <si>
    <t>02.04.001.0007.00003</t>
  </si>
  <si>
    <t>Mao de obra empreitada vedacoes externas - assentamento de blocos cerâmicos até o pavimento lazer</t>
  </si>
  <si>
    <t>02.04.001.0007.00004</t>
  </si>
  <si>
    <t>Mao de obra empreitada vedacoes externas - assentamento de blocos cerâmicos nos pavimentos tipo</t>
  </si>
  <si>
    <t>02.04.001.0007.00005</t>
  </si>
  <si>
    <t>Mao de obra empreitada vedacoes internas e externas - assentamento de tijolo refratário em churrasqueira</t>
  </si>
  <si>
    <t>02.04.001.0008</t>
  </si>
  <si>
    <t>02.04.001.0008.00001</t>
  </si>
  <si>
    <t>02.05</t>
  </si>
  <si>
    <t>IMPERMEABILIZAÇÃO E TRATAMENTOS</t>
  </si>
  <si>
    <t>02.05.001</t>
  </si>
  <si>
    <t>02.05.001.0001</t>
  </si>
  <si>
    <t>Regularização e proteção mecânica</t>
  </si>
  <si>
    <t>02.05.001.0001.00001</t>
  </si>
  <si>
    <t>Regularizacao de superficie para impermeabilizacao</t>
  </si>
  <si>
    <t>02.05.001.0001.00002</t>
  </si>
  <si>
    <t>Protecao mecanica de superficie com argamassa de cimento e areia - traço 1:3 E=5cm</t>
  </si>
  <si>
    <t>02.05.001.0002</t>
  </si>
  <si>
    <t>Impermeabilização com argamassa polimérica</t>
  </si>
  <si>
    <t>02.05.001.0002.00001</t>
  </si>
  <si>
    <t>Mão de obra para impermeabilização de reservatorios</t>
  </si>
  <si>
    <t>02.05.001.0002.00002</t>
  </si>
  <si>
    <t>Mão de obra para impermeabilização com argamassa polimérica</t>
  </si>
  <si>
    <t>02.05.001.0003</t>
  </si>
  <si>
    <t>Impermeabilização de fundação e contenção</t>
  </si>
  <si>
    <t>02.05.001.0003.00001</t>
  </si>
  <si>
    <t>Impermeabilizacao com tinta asfaltica em baldrames</t>
  </si>
  <si>
    <t>02.05.001.0004</t>
  </si>
  <si>
    <t>Impermeabilização com manta asfáltica</t>
  </si>
  <si>
    <t>02.05.001.0004.00001</t>
  </si>
  <si>
    <t>Mão de obra para impermeabilização com manta asfáltica</t>
  </si>
  <si>
    <t>02.05.001.0007</t>
  </si>
  <si>
    <t>Impermeabilização de esquadrias</t>
  </si>
  <si>
    <t>02.05.001.0007.00001</t>
  </si>
  <si>
    <t>Impermeabilizacao com manta liquida em peitoris</t>
  </si>
  <si>
    <t>02.05.001.0008</t>
  </si>
  <si>
    <t>Impermeabilização de ralos</t>
  </si>
  <si>
    <t>02.05.001.0008.00001</t>
  </si>
  <si>
    <t>Tratamento de ralo com manta de poliester</t>
  </si>
  <si>
    <t>02.05.001.0012</t>
  </si>
  <si>
    <t>Mão de obra impermeabilização</t>
  </si>
  <si>
    <t>02.05.001.0012.00001</t>
  </si>
  <si>
    <t>Mão de obra para regularização de superfície</t>
  </si>
  <si>
    <t>02.05.001.0012.00002</t>
  </si>
  <si>
    <t>Mão de obra para proteção mecânica</t>
  </si>
  <si>
    <t>02.05.001.0012.00003</t>
  </si>
  <si>
    <t>Mão de obra para impermeabilização de baldrames com tinta asfáltica</t>
  </si>
  <si>
    <t>02.05.001.0012.00006</t>
  </si>
  <si>
    <t>Mão de obra para impermeabilização de peitoris</t>
  </si>
  <si>
    <t>02.05.001.0012.00007</t>
  </si>
  <si>
    <t>Mão de obra para tratamento de ralos</t>
  </si>
  <si>
    <t>02.05.001.0013</t>
  </si>
  <si>
    <t>02.05.001.0013.00001</t>
  </si>
  <si>
    <t>02.06</t>
  </si>
  <si>
    <t>SISTEMAS E INSTALAÇÕES HIDROSSANITÁRIAS E DRENAGEM</t>
  </si>
  <si>
    <t>02.06.001</t>
  </si>
  <si>
    <t>02.06.001.0001</t>
  </si>
  <si>
    <t>Instalações de água fria</t>
  </si>
  <si>
    <t>02.06.001.0001.00001</t>
  </si>
  <si>
    <t>Instalações Água Fria</t>
  </si>
  <si>
    <t>02.06.001.0002</t>
  </si>
  <si>
    <t>Instalações de água quente</t>
  </si>
  <si>
    <t>02.06.001.0002.00001</t>
  </si>
  <si>
    <t>Instalações Água Quente</t>
  </si>
  <si>
    <t>02.06.001.0003</t>
  </si>
  <si>
    <t>Instalações de esgoto e pluviais</t>
  </si>
  <si>
    <t>02.06.001.0003.00001</t>
  </si>
  <si>
    <t>Instalações Esgoto e Águas pluviais</t>
  </si>
  <si>
    <t>02.06.001.0005</t>
  </si>
  <si>
    <t>Hidrômetros</t>
  </si>
  <si>
    <t>02.06.001.0005.00001</t>
  </si>
  <si>
    <t>Hidrômetro</t>
  </si>
  <si>
    <t>02.06.001.0007</t>
  </si>
  <si>
    <t>Sistema de bombas</t>
  </si>
  <si>
    <t>02.06.001.0007.00001</t>
  </si>
  <si>
    <t>Bombas de recalque e pressurização</t>
  </si>
  <si>
    <t>02.06.001.0008</t>
  </si>
  <si>
    <t>02.06.001.0008.00001</t>
  </si>
  <si>
    <t>Mao de obra de instalacoes hidrossanitárias</t>
  </si>
  <si>
    <t>02.06.001.0009</t>
  </si>
  <si>
    <t>02.06.001.0009.00001</t>
  </si>
  <si>
    <t>02.07</t>
  </si>
  <si>
    <t>SISTEMAS E INSTALAÇÕES ELÉTRICAS</t>
  </si>
  <si>
    <t>02.07.001</t>
  </si>
  <si>
    <t>02.07.001.0001</t>
  </si>
  <si>
    <t>02.07.001.0001.00001</t>
  </si>
  <si>
    <t>Entrada de energia</t>
  </si>
  <si>
    <t>02.07.001.0002</t>
  </si>
  <si>
    <t>Quadros elétricos e disjuntores</t>
  </si>
  <si>
    <t>02.07.001.0002.00001</t>
  </si>
  <si>
    <t>02.07.001.0003</t>
  </si>
  <si>
    <t>Eletrodutos e eletrocalhas</t>
  </si>
  <si>
    <t>02.07.001.0003.00001</t>
  </si>
  <si>
    <t>02.07.001.0004</t>
  </si>
  <si>
    <t>Fios e cabos elétricos</t>
  </si>
  <si>
    <t>02.07.001.0004.00001</t>
  </si>
  <si>
    <t>02.07.001.0005</t>
  </si>
  <si>
    <t>Pontos de tomadas e interruptores</t>
  </si>
  <si>
    <t>02.07.001.0005.00001</t>
  </si>
  <si>
    <t>02.07.001.0007</t>
  </si>
  <si>
    <t>Instalações especiais</t>
  </si>
  <si>
    <t>02.07.001.0007.00001</t>
  </si>
  <si>
    <t>Sistema de carro elétrico</t>
  </si>
  <si>
    <t>02.07.001.0007.00002</t>
  </si>
  <si>
    <t>Sistema de placas solares</t>
  </si>
  <si>
    <t>02.07.001.0007.00003</t>
  </si>
  <si>
    <t>Grupo gerador</t>
  </si>
  <si>
    <t>02.07.001.0008</t>
  </si>
  <si>
    <t>02.07.001.0008.00001</t>
  </si>
  <si>
    <t>Mão de obra de instalações elétricas</t>
  </si>
  <si>
    <t>02.07.001.0010</t>
  </si>
  <si>
    <t>02.07.001.0010.00001</t>
  </si>
  <si>
    <t>02.08</t>
  </si>
  <si>
    <t>INSTALAÇÕES PREVENTIVAS</t>
  </si>
  <si>
    <t>02.08.001</t>
  </si>
  <si>
    <t>02.08.001.0001</t>
  </si>
  <si>
    <t>Sistema de instalações preventivas</t>
  </si>
  <si>
    <t>02.08.001.0001.00001</t>
  </si>
  <si>
    <t>Sistema de hidrantes</t>
  </si>
  <si>
    <t>02.08.001.0003</t>
  </si>
  <si>
    <t>Instalações de proteção e aterramento -SPDA</t>
  </si>
  <si>
    <t>02.08.001.0003.00001</t>
  </si>
  <si>
    <t>02.08.001.0005</t>
  </si>
  <si>
    <t>02.08.001.0005.00001</t>
  </si>
  <si>
    <t>Sistema de bombas de incêndio</t>
  </si>
  <si>
    <t>02.08.001.0006</t>
  </si>
  <si>
    <t>Mão de obra do Sistema Preventivo</t>
  </si>
  <si>
    <t>02.08.001.0006.00001</t>
  </si>
  <si>
    <t>Mão de obra Sistema Preventivo</t>
  </si>
  <si>
    <t>02.08.001.0007</t>
  </si>
  <si>
    <t>02.08.001.0007.00001</t>
  </si>
  <si>
    <t>02.09</t>
  </si>
  <si>
    <t>INSTALAÇÕES DE GÁS</t>
  </si>
  <si>
    <t>02.09.001</t>
  </si>
  <si>
    <t>02.09.001.0003</t>
  </si>
  <si>
    <t>Instalações de rede de gás</t>
  </si>
  <si>
    <t>02.09.001.0003.00001</t>
  </si>
  <si>
    <t>Instalações Rede de Gás</t>
  </si>
  <si>
    <t>02.09.001.0006</t>
  </si>
  <si>
    <t>02.09.001.0006.00001</t>
  </si>
  <si>
    <t>02.10</t>
  </si>
  <si>
    <t>INSTALAÇÕES DE COMUNICAÇÕES</t>
  </si>
  <si>
    <t>02.10.001</t>
  </si>
  <si>
    <t>02.10.001.0001</t>
  </si>
  <si>
    <t>Sistema de interfone / controle de acesso</t>
  </si>
  <si>
    <t>02.10.001.0001.00001</t>
  </si>
  <si>
    <t>Sistema de Interfonia e controle de acesso</t>
  </si>
  <si>
    <t>02.10.001.0002</t>
  </si>
  <si>
    <t>Instalação de CFTV</t>
  </si>
  <si>
    <t>02.10.001.0002.00001</t>
  </si>
  <si>
    <t>Sistema CFTV</t>
  </si>
  <si>
    <t>02.10.001.0004</t>
  </si>
  <si>
    <t>Telefonia/lógica/internet</t>
  </si>
  <si>
    <t>02.10.001.0004.00002</t>
  </si>
  <si>
    <t>Sistema lógica/telefonia/internet</t>
  </si>
  <si>
    <t>02.10.001.0005</t>
  </si>
  <si>
    <t>02.10.001.0005.00001</t>
  </si>
  <si>
    <t>02.11</t>
  </si>
  <si>
    <t>EQUIPAMENTOS E SISTEMAS ESPECIAIS</t>
  </si>
  <si>
    <t>02.11.001</t>
  </si>
  <si>
    <t>PISCINA</t>
  </si>
  <si>
    <t>02.11.001.0001</t>
  </si>
  <si>
    <t>Equipamentos de piscina</t>
  </si>
  <si>
    <t>02.11.001.0001.00001</t>
  </si>
  <si>
    <t>Equipamento de Piscina</t>
  </si>
  <si>
    <t>02.11.001.0001.00002</t>
  </si>
  <si>
    <t>Equipamento spa quadrado</t>
  </si>
  <si>
    <t>02.11.002</t>
  </si>
  <si>
    <t>ELEVADORES</t>
  </si>
  <si>
    <t>02.11.002.0001</t>
  </si>
  <si>
    <t>02.11.002.0001.00001</t>
  </si>
  <si>
    <t>02.11.003</t>
  </si>
  <si>
    <t>IMPREVISTOS E CONTINGÊNCIAS</t>
  </si>
  <si>
    <t>02.11.003.0002</t>
  </si>
  <si>
    <t>02.11.003.0002.00001</t>
  </si>
  <si>
    <t>02.12</t>
  </si>
  <si>
    <t>02.12.001</t>
  </si>
  <si>
    <t>02.12.001.0001</t>
  </si>
  <si>
    <t>Climatização</t>
  </si>
  <si>
    <t>02.12.001.0001.00001</t>
  </si>
  <si>
    <t>Infraestrutura de Ar Condicionado</t>
  </si>
  <si>
    <t>02.12.001.0001.00002</t>
  </si>
  <si>
    <t>Equipamentos deAr Condicionado</t>
  </si>
  <si>
    <t>02.12.001.0002</t>
  </si>
  <si>
    <t>Exaustão mecânica</t>
  </si>
  <si>
    <t>02.12.001.0002.00001</t>
  </si>
  <si>
    <t>Exaustão Mecânica</t>
  </si>
  <si>
    <t>02.12.001.0003</t>
  </si>
  <si>
    <t>Exaustão de churrasqueiras</t>
  </si>
  <si>
    <t>02.12.001.0003.00001</t>
  </si>
  <si>
    <t>Exaustores Churrasqueira</t>
  </si>
  <si>
    <t>02.12.001.0004</t>
  </si>
  <si>
    <t>02.12.001.0004.00001</t>
  </si>
  <si>
    <t>02.13</t>
  </si>
  <si>
    <t>REVESTIMENTOS INTERNOS DE PAREDE</t>
  </si>
  <si>
    <t>02.13.001</t>
  </si>
  <si>
    <t>02.13.001.0001</t>
  </si>
  <si>
    <t>Reboco interno</t>
  </si>
  <si>
    <t>02.13.001.0001.00001</t>
  </si>
  <si>
    <t>Chapisco interno de argamassa preparada em obra de cimento e areia - traço 1:4 - aplicação em paredes internas</t>
  </si>
  <si>
    <t>02.13.001.0001.00002</t>
  </si>
  <si>
    <t>Chapisco rolado aplicado em estruturas de concreto - aplicação em paredes internas</t>
  </si>
  <si>
    <t>02.13.001.0001.00003</t>
  </si>
  <si>
    <t>Massa unica para reboco interno em argamassa estabilizada - espessura de 20mm - com execucao de taliscas</t>
  </si>
  <si>
    <t>02.13.001.0001.00004</t>
  </si>
  <si>
    <t>Enchimento com EPS</t>
  </si>
  <si>
    <t>02.13.001.0001.00005</t>
  </si>
  <si>
    <t>Estucamento de estrutura de concreto</t>
  </si>
  <si>
    <t>02.13.001.0004</t>
  </si>
  <si>
    <t>Acabamentos cerâmicos</t>
  </si>
  <si>
    <t>02.13.001.0004.00015</t>
  </si>
  <si>
    <t>Revestimento ceramico em parede placa 30x90cm</t>
  </si>
  <si>
    <t>02.13.001.0005</t>
  </si>
  <si>
    <t>Acabamentos especiais</t>
  </si>
  <si>
    <t>02.13.001.0005.00005</t>
  </si>
  <si>
    <t>Moldura de acabamento de elevadores em granito - espessura 2cm</t>
  </si>
  <si>
    <t>02.13.001.0006</t>
  </si>
  <si>
    <t>Peitoris</t>
  </si>
  <si>
    <t>02.13.001.0006.00001</t>
  </si>
  <si>
    <t>Peitoril em granito - acabamento polido - espessura 2cm</t>
  </si>
  <si>
    <t>02.13.001.0007</t>
  </si>
  <si>
    <t>02.13.001.0007.00001</t>
  </si>
  <si>
    <t>Mao de obra para colocacao e rejuntamento de revestimento ceramico em parede</t>
  </si>
  <si>
    <t>02.13.001.0007.00002</t>
  </si>
  <si>
    <t>Mao de obra para colocacao de peitoril</t>
  </si>
  <si>
    <t>02.13.001.0007.00007</t>
  </si>
  <si>
    <t>Mao de obra para reboco interno - incluindo chapisco</t>
  </si>
  <si>
    <t>02.13.001.0007.00008</t>
  </si>
  <si>
    <t>Mao de obra para estucamento de estrutura de concreto</t>
  </si>
  <si>
    <t>02.13.001.0008</t>
  </si>
  <si>
    <t>02.13.001.0008.00001</t>
  </si>
  <si>
    <t>02.14</t>
  </si>
  <si>
    <t>REVESTIMENTOS E ACABAMENTOS INTERNOS EM TETO</t>
  </si>
  <si>
    <t>02.14.001</t>
  </si>
  <si>
    <t>02.14.001.0001</t>
  </si>
  <si>
    <t>Revestimento interno argamassado em teto</t>
  </si>
  <si>
    <t>02.14.001.0001.00002</t>
  </si>
  <si>
    <t>Estucamento de estrutura de concreto em teto</t>
  </si>
  <si>
    <t>02.14.001.0001.00003</t>
  </si>
  <si>
    <t>Chapisco rolado aplicado em teto</t>
  </si>
  <si>
    <t>02.14.001.0001.00004</t>
  </si>
  <si>
    <t>Massa unica para reboco de teto em argamassa estabilizada - espessura de 20mm - com execucao de taliscas</t>
  </si>
  <si>
    <t>02.14.001.0002</t>
  </si>
  <si>
    <t>Acabamento de gesso em teto</t>
  </si>
  <si>
    <t>02.14.001.0002.00001</t>
  </si>
  <si>
    <t>Forro de gesso em placa mineral - material e mão de obra</t>
  </si>
  <si>
    <t>Acabamento especiais</t>
  </si>
  <si>
    <t>Forro de vinilico - cor wood  - material e mão de obra</t>
  </si>
  <si>
    <t>02.14.001.0002.00002</t>
  </si>
  <si>
    <t>Revestimento ceramico em teto placa 30x90cm</t>
  </si>
  <si>
    <t>02.14.001.0003</t>
  </si>
  <si>
    <t>02.14.001.0003.00001</t>
  </si>
  <si>
    <t>Mao de obra para reboco de teto - incluindo chapisco</t>
  </si>
  <si>
    <t>02.14.001.0003.00002</t>
  </si>
  <si>
    <t>02.14.001.0003.00003</t>
  </si>
  <si>
    <t>Mao de obra para colocacao e rejuntamento de revestimento ceramico</t>
  </si>
  <si>
    <t>02.14.001.0004</t>
  </si>
  <si>
    <t>02.14.001.0004.00001</t>
  </si>
  <si>
    <t>02.15</t>
  </si>
  <si>
    <t>PISOS E PAVIMENTAÇÕES</t>
  </si>
  <si>
    <t>02.15.001</t>
  </si>
  <si>
    <t>02.15.001.0001</t>
  </si>
  <si>
    <t>02.15.001.0001.00001</t>
  </si>
  <si>
    <t>Contrapiso comum em argamassa estabilizada - nao aderido - espssura 5cm</t>
  </si>
  <si>
    <t>02.15.001.0001.00002</t>
  </si>
  <si>
    <t>Contrapiso comum em argamassa estabilizada - nao aderido - espssura 8cm</t>
  </si>
  <si>
    <t>02.15.001.0001.00003</t>
  </si>
  <si>
    <t>Regulzarização de área de lazer</t>
  </si>
  <si>
    <t>02.15.001.0003</t>
  </si>
  <si>
    <t>Isolamento acústico</t>
  </si>
  <si>
    <t>02.15.001.0003.00001</t>
  </si>
  <si>
    <t>Manta Acústica</t>
  </si>
  <si>
    <t>02.15.001.0005</t>
  </si>
  <si>
    <t>Acabamentos cimentados em piso</t>
  </si>
  <si>
    <t>02.15.001.0005.00002</t>
  </si>
  <si>
    <t>Piso cimentado ranhurado com argamassa de cimento e areia traço 1:3</t>
  </si>
  <si>
    <t>Acabamentos cerâmicos em piso</t>
  </si>
  <si>
    <t>02.15.001.0005.00001</t>
  </si>
  <si>
    <t>Revestimento interno de piso porcelanato MS. BARCELONA CRISTAL 90X90 - ACE</t>
  </si>
  <si>
    <t>Revestimento pastilha em piscina</t>
  </si>
  <si>
    <t>02.15.001.0005.00012</t>
  </si>
  <si>
    <t>Revestimento externo de piso porcelanato MS. BARCELONA CRISTAL 90X90 - EXT</t>
  </si>
  <si>
    <t>02.15.001.0006</t>
  </si>
  <si>
    <t>Acabamentos de madeira</t>
  </si>
  <si>
    <t>02.15.001.0006.00002</t>
  </si>
  <si>
    <t>Piso vinilico 20x120cm</t>
  </si>
  <si>
    <t>02.15.001.0006.00003</t>
  </si>
  <si>
    <t>Deck de madeira</t>
  </si>
  <si>
    <t>02.15.001.0007</t>
  </si>
  <si>
    <t>Acabamentos em pedra</t>
  </si>
  <si>
    <t>02.15.001.0007.00001</t>
  </si>
  <si>
    <t>Revestimento de granito em piso do elevador</t>
  </si>
  <si>
    <t>02.15.001.0008</t>
  </si>
  <si>
    <t>02.15.001.0008.00001</t>
  </si>
  <si>
    <t>Piso emborrachado</t>
  </si>
  <si>
    <t>02.15.001.0008.00002</t>
  </si>
  <si>
    <t>Piso monolítico e Grama sintética</t>
  </si>
  <si>
    <t>02.15.001.0009</t>
  </si>
  <si>
    <t>02.15.001.0009.00002</t>
  </si>
  <si>
    <t>Rodapé em porcelanato 7cm</t>
  </si>
  <si>
    <t>02.15.001.0009.00003</t>
  </si>
  <si>
    <t>Rodapé em poliestireno 7cm</t>
  </si>
  <si>
    <t>02.15.001.0010</t>
  </si>
  <si>
    <t>Soleiras</t>
  </si>
  <si>
    <t>02.15.001.0010.00001</t>
  </si>
  <si>
    <t>Soleira em porcelanato 90x90</t>
  </si>
  <si>
    <t>02.15.001.0010.00003</t>
  </si>
  <si>
    <t>Soleira em granito branco siena - espessura 2cm</t>
  </si>
  <si>
    <t>02.15.001.0011</t>
  </si>
  <si>
    <t>02.15.001.0011.00001</t>
  </si>
  <si>
    <t>Mão de Obra para execução de contrapiso não aderido</t>
  </si>
  <si>
    <t>02.15.001.0011.00002</t>
  </si>
  <si>
    <t>Mão de Obra para execução de alisamento de concreto</t>
  </si>
  <si>
    <t>02.15.001.0011.00003</t>
  </si>
  <si>
    <t>Mão de Obra para execução de piso cimentado</t>
  </si>
  <si>
    <t>02.15.001.0011.00004</t>
  </si>
  <si>
    <t>Mao de obra para colocacao e rejuntamento de piso porcelanato</t>
  </si>
  <si>
    <t>02.15.001.0011.00005</t>
  </si>
  <si>
    <t>Mao de obra para colocacao e rejuntamento de pastilha em piscina</t>
  </si>
  <si>
    <t>02.15.001.0011.00006</t>
  </si>
  <si>
    <t>Mao de obra para instalacao de piso vinilico</t>
  </si>
  <si>
    <t>02.15.001.0011.00007</t>
  </si>
  <si>
    <t>Mao de obra para execução de piso em granito</t>
  </si>
  <si>
    <t>02.15.001.0011.00008</t>
  </si>
  <si>
    <t>Mão de obra para colocação de rodapé em poliestireno</t>
  </si>
  <si>
    <t>02.15.001.0011.00009</t>
  </si>
  <si>
    <t>Mão de obra para colocação de rodapé em cerâmica/porcelanato</t>
  </si>
  <si>
    <t>02.15.001.0011.00010</t>
  </si>
  <si>
    <t>Mão de Obra Colocação de soleira de Porcelanato</t>
  </si>
  <si>
    <t>02.15.001.0011.00011</t>
  </si>
  <si>
    <t>Mão de Obra colocalção de soleira de Granito</t>
  </si>
  <si>
    <t>02.15.001.0012</t>
  </si>
  <si>
    <t>02.15.001.0012.00001</t>
  </si>
  <si>
    <t>02.16</t>
  </si>
  <si>
    <t>SISTEMAS DE PINTURA INTERNA</t>
  </si>
  <si>
    <t>02.16.001</t>
  </si>
  <si>
    <t>PINTURA INTERNA</t>
  </si>
  <si>
    <t>02.16.001.0001</t>
  </si>
  <si>
    <t>Sistema de pintura em piso</t>
  </si>
  <si>
    <t>02.16.001.0001.00001</t>
  </si>
  <si>
    <t>Pintura epoxi em piso 2 demaos - aplicacao em garagens</t>
  </si>
  <si>
    <t>02.16.001.0001.00002</t>
  </si>
  <si>
    <t>Demaração de vagas com pintura epoxi</t>
  </si>
  <si>
    <t>02.16.001.0001.00003</t>
  </si>
  <si>
    <t>Pintura antiderrapante em piso 2 demaos - aplicacao em escadas e áreas técnicas</t>
  </si>
  <si>
    <t>02.16.001.0001.00004</t>
  </si>
  <si>
    <t>Pintura resina para área técnica - aplicacao em cobertura</t>
  </si>
  <si>
    <t>02.16.001.0002</t>
  </si>
  <si>
    <t>Sistema de pintura em parede</t>
  </si>
  <si>
    <t>02.16.001.0002.00001</t>
  </si>
  <si>
    <t>Fundo selador latex PVA em paredes internas - 1 demao</t>
  </si>
  <si>
    <t>02.16.001.0002.00002</t>
  </si>
  <si>
    <t>Aplicação de lixamento de massa latex PVA em paredes internas - 2 demaos</t>
  </si>
  <si>
    <t>02.16.001.0002.00006</t>
  </si>
  <si>
    <t>Pintura com tinta latex acrílica - acabamento fosco em paredes - 3 demãos</t>
  </si>
  <si>
    <t>02.16.001.0002.00007</t>
  </si>
  <si>
    <t>Textura acrilica aplicacao em paredes internas - 1 demao</t>
  </si>
  <si>
    <t>02.16.001.0002.00008</t>
  </si>
  <si>
    <t>Pintura de Faixas de Garagem Parede - 2 demãos</t>
  </si>
  <si>
    <t>02.16.001.0002.00009</t>
  </si>
  <si>
    <t>Pintura de rodapé 10 cm nas escadas com tinta latex acrílica - acabamento fosco em paredes - 2 demãos</t>
  </si>
  <si>
    <t>02.16.001.0003</t>
  </si>
  <si>
    <t>Sistema de pintura em teto</t>
  </si>
  <si>
    <t>02.16.001.0003.00001</t>
  </si>
  <si>
    <t>Fundo selador latex PVA em teto - 1 demao</t>
  </si>
  <si>
    <t>02.16.001.0003.00002</t>
  </si>
  <si>
    <t>Aplicação de lixamento de massa latex PVA em teto - 2 demaos</t>
  </si>
  <si>
    <t>02.16.001.0003.00003</t>
  </si>
  <si>
    <t>Pintura com tinta latex acrílica - acabamento fosco em teto - 3 demaos</t>
  </si>
  <si>
    <t>02.16.001.0003.00005</t>
  </si>
  <si>
    <t>Textura acrilica aplicacao em tetos - 1 demao</t>
  </si>
  <si>
    <t>02.16.001.0005</t>
  </si>
  <si>
    <t>02.16.001.0005.00001</t>
  </si>
  <si>
    <t>Mao de obra para pintura epoxi em piso</t>
  </si>
  <si>
    <t>02.16.001.0005.00002</t>
  </si>
  <si>
    <t>Mao de obra para demarcação de vaga com tinta epoxi</t>
  </si>
  <si>
    <t>02.16.001.0005.00003</t>
  </si>
  <si>
    <t>Mao de obra para aplicação de resina em piso</t>
  </si>
  <si>
    <t>02.16.001.0005.00004</t>
  </si>
  <si>
    <t>Mao de obra para pintura acrilica em paredes - 3 demaos</t>
  </si>
  <si>
    <t>02.16.001.0005.00005</t>
  </si>
  <si>
    <t>Mao de obra para aplicacao de textura acrilica em paredes internas - 1 demão</t>
  </si>
  <si>
    <t>02.16.001.0005.00006</t>
  </si>
  <si>
    <t>Mao de obra para pintura acrílica em teto - 3 demaos</t>
  </si>
  <si>
    <t>02.16.001.0005.00007</t>
  </si>
  <si>
    <t>Mao de obra para aplicacao de textura acrilica em teto - 1 demão</t>
  </si>
  <si>
    <t>02.16.001.0005.00008</t>
  </si>
  <si>
    <t>Mao de obra para pintura antiderrapante em piso</t>
  </si>
  <si>
    <t>02.16.001.0006</t>
  </si>
  <si>
    <t>02.16.001.0006.00001</t>
  </si>
  <si>
    <t>02.17</t>
  </si>
  <si>
    <t>ESQUADRIAS, VIDROS E FERRAGENS</t>
  </si>
  <si>
    <t>02.17.001</t>
  </si>
  <si>
    <t>ESQUADRIAS DE ALUMÍNIO</t>
  </si>
  <si>
    <t>02.17.001.0001</t>
  </si>
  <si>
    <t>Contramarco</t>
  </si>
  <si>
    <t>02.17.001.0001.00001</t>
  </si>
  <si>
    <t>Fixacao de de contramarcos com argamassa</t>
  </si>
  <si>
    <t>02.17.001.0002</t>
  </si>
  <si>
    <t>Esquadrias de alumínio</t>
  </si>
  <si>
    <t>02.17.001.0002.00001</t>
  </si>
  <si>
    <t>Esquadrias de Alumínio - fornecimento e instalação</t>
  </si>
  <si>
    <t>02.17.001.0002.00002</t>
  </si>
  <si>
    <t>Portão garagem</t>
  </si>
  <si>
    <t>02.17.001.0003</t>
  </si>
  <si>
    <t>Guarda corpo</t>
  </si>
  <si>
    <t>02.17.001.0003.00001</t>
  </si>
  <si>
    <t>Guarda Corpo de vidro temperado h-120cm</t>
  </si>
  <si>
    <t>02.17.001.0003.00002</t>
  </si>
  <si>
    <t>Gradil de alumínio</t>
  </si>
  <si>
    <t>02.17.001.0004</t>
  </si>
  <si>
    <t>Pele de vidro</t>
  </si>
  <si>
    <t>02.17.001.0004.00001</t>
  </si>
  <si>
    <t>Pele de Vidro - fornecimento e instalação</t>
  </si>
  <si>
    <t>Brise metálico</t>
  </si>
  <si>
    <t>Brise de alumínio</t>
  </si>
  <si>
    <t>02.17.001.0006</t>
  </si>
  <si>
    <t>02.17.001.0006.00002</t>
  </si>
  <si>
    <t>Mao de obra para fixacao de contramarcos</t>
  </si>
  <si>
    <t>02.17.002</t>
  </si>
  <si>
    <t>ESQUADRIAS DE MADEIRA</t>
  </si>
  <si>
    <t>02.17.002.0001</t>
  </si>
  <si>
    <t>Esquadrias de madeira</t>
  </si>
  <si>
    <t>02.17.002.0001.00001</t>
  </si>
  <si>
    <t>Porta de madeira- folha leve/média - 70x210cm- fixacao com espuma expansiva</t>
  </si>
  <si>
    <t>02.17.002.0001.00002</t>
  </si>
  <si>
    <t>Porta de madeira- folha leve/média - 80x210cm- fixacao com espuma expansiva</t>
  </si>
  <si>
    <t>02.17.002.0001.00003</t>
  </si>
  <si>
    <t>Porta de madeira- folha leve/média - 90x210cm- fixacao com espuma expansiva</t>
  </si>
  <si>
    <t>02.17.002.0001.00004</t>
  </si>
  <si>
    <t>Porta de madeira- folha leve/média - 95x250cm- fixacao com espuma expansiva</t>
  </si>
  <si>
    <t>02.17.002.0001.00005</t>
  </si>
  <si>
    <t>Porta de madeira- folha leve/média - 120x250cm- fixacao com espuma expansiva</t>
  </si>
  <si>
    <t>02.17.002.0001.00006</t>
  </si>
  <si>
    <t>Porta de madeira- de correr em trilho lateral -  folha leve/média - 70x210cm- fixacao com espuma expansiva</t>
  </si>
  <si>
    <t>02.17.002.0001.00007</t>
  </si>
  <si>
    <t>Porta Pivotante 120x240cm</t>
  </si>
  <si>
    <t>02.17.002.0001.00008</t>
  </si>
  <si>
    <t>Porta Pivotante 140x210cm</t>
  </si>
  <si>
    <t>02.17.002.0002</t>
  </si>
  <si>
    <t>Corrimão de madeira</t>
  </si>
  <si>
    <t>02.17.002.0002.00001</t>
  </si>
  <si>
    <t>Corrimão de escadaria em Madeira</t>
  </si>
  <si>
    <t>02.17.002.0003</t>
  </si>
  <si>
    <t>Acessórios e ferragens</t>
  </si>
  <si>
    <t>02.17.002.0003.00001</t>
  </si>
  <si>
    <t>Ferragem Porta Interna</t>
  </si>
  <si>
    <t>CJ</t>
  </si>
  <si>
    <t>02.17.002.0003.00002</t>
  </si>
  <si>
    <t>Ferragem Porta Externa</t>
  </si>
  <si>
    <t>02.17.002.0003.00003</t>
  </si>
  <si>
    <t>Ferragem Porta Banho</t>
  </si>
  <si>
    <t>02.17.002.0003.00004</t>
  </si>
  <si>
    <t>Ferragem Porta de correr</t>
  </si>
  <si>
    <t>02.17.002.0005</t>
  </si>
  <si>
    <t>02.17.002.0005.00001</t>
  </si>
  <si>
    <t>Mao de obra para instalação de portas de madeira</t>
  </si>
  <si>
    <t>02.17.003</t>
  </si>
  <si>
    <t>ESQUADRIAS METÁLICAS</t>
  </si>
  <si>
    <t>02.17.003.0001</t>
  </si>
  <si>
    <t>Esquadrias metálicas</t>
  </si>
  <si>
    <t>02.17.003.0001.00001</t>
  </si>
  <si>
    <t>Grelha de Ferro</t>
  </si>
  <si>
    <t>02.17.003.0001.00002</t>
  </si>
  <si>
    <t>Porta Corta Fogo P90 90X210cm</t>
  </si>
  <si>
    <t>02.17.003.0001.00003</t>
  </si>
  <si>
    <t>02.17.003.0002</t>
  </si>
  <si>
    <t>Serralheria</t>
  </si>
  <si>
    <t>02.17.003.0002.00001</t>
  </si>
  <si>
    <t>Suporte para bicicleta</t>
  </si>
  <si>
    <t>02.17.003.0002.00002</t>
  </si>
  <si>
    <t>Escada Marinheiro</t>
  </si>
  <si>
    <t>02.17.003.0002.00003</t>
  </si>
  <si>
    <t>Alçapão de Ferro</t>
  </si>
  <si>
    <t>02.17.003.0002.00004</t>
  </si>
  <si>
    <t>Corrimão inox</t>
  </si>
  <si>
    <t>02.17.003.0002.00005</t>
  </si>
  <si>
    <t>Moldura de churrasqueiras inox</t>
  </si>
  <si>
    <t>02.17.004</t>
  </si>
  <si>
    <t>02.17.004.0001</t>
  </si>
  <si>
    <t>02.17.004.0001.00001</t>
  </si>
  <si>
    <t>02.18</t>
  </si>
  <si>
    <t>LOUÇAS E METAIS</t>
  </si>
  <si>
    <t>02.18.001</t>
  </si>
  <si>
    <t>02.18.001.0001</t>
  </si>
  <si>
    <t>Louças</t>
  </si>
  <si>
    <t>02.18.001.0001.00001</t>
  </si>
  <si>
    <t>Louças sanitárias</t>
  </si>
  <si>
    <t>02.18.001.0002</t>
  </si>
  <si>
    <t>Metais e acessórios</t>
  </si>
  <si>
    <t>02.18.001.0002.00001</t>
  </si>
  <si>
    <t>Acabamentos e acessórios</t>
  </si>
  <si>
    <t>02.18.001.0003</t>
  </si>
  <si>
    <t>Bancadas, pias e divisórias</t>
  </si>
  <si>
    <t>02.18.001.0003.00001</t>
  </si>
  <si>
    <t>Tampo de Granito</t>
  </si>
  <si>
    <t>02.18.001.0004</t>
  </si>
  <si>
    <t>02.18.001.0004.00001</t>
  </si>
  <si>
    <t>Intalação de louças e metais sanitários</t>
  </si>
  <si>
    <t>02.18.001.0005</t>
  </si>
  <si>
    <t>02.18.001.0005.00001</t>
  </si>
  <si>
    <t>02.20</t>
  </si>
  <si>
    <t>REVESTIMENTOS E ACABAMENTOS EM FACHADA</t>
  </si>
  <si>
    <t>02.20.001</t>
  </si>
  <si>
    <t>02.20.001.0001</t>
  </si>
  <si>
    <t>Revestimento argamassado em fachada</t>
  </si>
  <si>
    <t>02.20.001.0001.00001</t>
  </si>
  <si>
    <t>Chapisco interno de argamassa preparada em obra de cimento e areia - traço 1:4 - aplicação em paredes externas</t>
  </si>
  <si>
    <t>02.20.001.0001.00002</t>
  </si>
  <si>
    <t>Chapisco rolado aplicado em estruturas de concreto - aplicação em paredes externas</t>
  </si>
  <si>
    <t>02.20.001.0001.00003</t>
  </si>
  <si>
    <t>Massa unica para reboco externo em argamassa estabilizada - espessura 35mm</t>
  </si>
  <si>
    <t>02.20.001.0002</t>
  </si>
  <si>
    <t>Pintura e textura em fachada</t>
  </si>
  <si>
    <t>02.20.001.0002.00001</t>
  </si>
  <si>
    <t>Fundo selador latex acrilico em paredes externas - 1 demao</t>
  </si>
  <si>
    <t>02.20.001.0002.00002</t>
  </si>
  <si>
    <t>Pintura projetada em paredes externas - cor elefante - 2 demão</t>
  </si>
  <si>
    <t>02.20.001.0002.00003</t>
  </si>
  <si>
    <t>Pintura projetada em paredes externas - cor rafia - 2 demão</t>
  </si>
  <si>
    <t>02.20.001.0002.00004</t>
  </si>
  <si>
    <t>Pintura projetada em paredes externas - cor erva daninha - 2 demão</t>
  </si>
  <si>
    <t>02.20.001.0002.00005</t>
  </si>
  <si>
    <t>Pintura projetada em paredes externas - cor patativa - 2 demão</t>
  </si>
  <si>
    <t>02.20.001.0002.00006</t>
  </si>
  <si>
    <t>Pintura projetada em paredes externas - cor cinza asfalto - 2 demão</t>
  </si>
  <si>
    <t>02.20.001.0004</t>
  </si>
  <si>
    <t>Tratamentos de fachada</t>
  </si>
  <si>
    <t>02.20.001.0004.00002</t>
  </si>
  <si>
    <t>Tela soldada para ligação alvenaria/estrutura em chapisco externo</t>
  </si>
  <si>
    <t>02.20.001.0005</t>
  </si>
  <si>
    <t>02.20.001.0005.00001</t>
  </si>
  <si>
    <t>Mao de obra para reboco externo - inclui chapisco</t>
  </si>
  <si>
    <t>02.20.001.0005.00003</t>
  </si>
  <si>
    <t>Mao de obra para aplicacao de pintura projetada em paredes externas - 2 demão</t>
  </si>
  <si>
    <t>02.20.001.0006</t>
  </si>
  <si>
    <t>02.20.001.0006.00001</t>
  </si>
  <si>
    <t>02.21</t>
  </si>
  <si>
    <t>SERVIÇOS COMPLEMENTARES E FINAIS</t>
  </si>
  <si>
    <t>02.21.001</t>
  </si>
  <si>
    <t>02.21.001.0001</t>
  </si>
  <si>
    <t>Calçadas e Passeios</t>
  </si>
  <si>
    <t>02.21.001.0001.00001</t>
  </si>
  <si>
    <t>Calçada de Cimentado</t>
  </si>
  <si>
    <t>02.21.001.0004</t>
  </si>
  <si>
    <t>Reforço de rede elétrica e hidráulica</t>
  </si>
  <si>
    <t>02.21.001.0004.00001</t>
  </si>
  <si>
    <t>02.21.002</t>
  </si>
  <si>
    <t>02.21.002.0001</t>
  </si>
  <si>
    <t>Mobiliário e decoração</t>
  </si>
  <si>
    <t>02.21.002.0001.00001</t>
  </si>
  <si>
    <t>02.21.002.0002</t>
  </si>
  <si>
    <t>02.21.002.0002.00001</t>
  </si>
  <si>
    <t>02.21.002.0003</t>
  </si>
  <si>
    <t>Serviços Finais</t>
  </si>
  <si>
    <t>02.21.002.0003.00002</t>
  </si>
  <si>
    <t>Limpeza final</t>
  </si>
  <si>
    <t>02.21.002.0003.00003</t>
  </si>
  <si>
    <t>Desmobilização</t>
  </si>
  <si>
    <t>02.21.002.0004</t>
  </si>
  <si>
    <t>02.21.002.0004.00001</t>
  </si>
  <si>
    <t>Ligações Definitivas</t>
  </si>
  <si>
    <t>02.21.002.0005</t>
  </si>
  <si>
    <t>02.21.002.0005.00001</t>
  </si>
  <si>
    <t>TOTAL DA OBRA</t>
  </si>
  <si>
    <t>v</t>
  </si>
  <si>
    <t>Alvenaria tipo</t>
  </si>
  <si>
    <t>PRIVATIVA</t>
  </si>
  <si>
    <t>Instalação carro elétrico</t>
  </si>
  <si>
    <t>Estucamento</t>
  </si>
  <si>
    <t>Microtextura</t>
  </si>
  <si>
    <t>TERREO</t>
  </si>
  <si>
    <t>PORCELANATO</t>
  </si>
  <si>
    <t>CERAMICA</t>
  </si>
  <si>
    <t>G1</t>
  </si>
  <si>
    <t>PAVER</t>
  </si>
  <si>
    <t>EMBORRACHADO</t>
  </si>
  <si>
    <t>ANTIDERRAPANTE</t>
  </si>
  <si>
    <t>VINILICO</t>
  </si>
  <si>
    <t>TIPO</t>
  </si>
  <si>
    <t>COBERTURA</t>
  </si>
  <si>
    <t>Pintura acrílica antiderrapante</t>
  </si>
  <si>
    <t>Piso de concreto alisado ranhurado</t>
  </si>
  <si>
    <t xml:space="preserve">Porcelanato </t>
  </si>
  <si>
    <t>Piso vinilico</t>
  </si>
  <si>
    <t>Emborrachado</t>
  </si>
  <si>
    <t>Paver</t>
  </si>
  <si>
    <t>TOTAL4</t>
  </si>
  <si>
    <t>Porta Corta Fogo P90 120x310cm</t>
  </si>
  <si>
    <t>Gradil</t>
  </si>
  <si>
    <t>Corrimão madeira</t>
  </si>
  <si>
    <t>QUADRO COMANDO BOMBA - Quadro Elevatório de Drenagem Pluvial, 2x1CV/380V</t>
  </si>
  <si>
    <t>Filtro de água Pluvial - FV1</t>
  </si>
  <si>
    <t>MOTOBOMBA BRAVA DV-05 (vazão 5,3m³/altura operação 12 m.c.a.).1,2CV</t>
  </si>
  <si>
    <t>Caixa de reclaque esgoto</t>
  </si>
  <si>
    <t>MOTOBOMBA SHENEIDER  BCS-350 (vazão 8,4m³/altura de operação 7 m.c.a.).1CV</t>
  </si>
  <si>
    <t>Esgoto</t>
  </si>
  <si>
    <t>Drenagem</t>
  </si>
  <si>
    <t>alvenaria tipo</t>
  </si>
  <si>
    <t>alvenaria lazer</t>
  </si>
  <si>
    <t>drywall lazer</t>
  </si>
  <si>
    <t>lin</t>
  </si>
  <si>
    <t>San Felicce</t>
  </si>
  <si>
    <t>ALISADO</t>
  </si>
  <si>
    <t>G2+LAZER</t>
  </si>
  <si>
    <t>QUARTO</t>
  </si>
  <si>
    <t>BANHEIRO</t>
  </si>
  <si>
    <t>COZINHA E AREA DE SERVIÇO</t>
  </si>
  <si>
    <t>SACADA E AREA TECNICA</t>
  </si>
  <si>
    <t>LIVNG E CIRCULAÇÃO</t>
  </si>
  <si>
    <t>ESCADA</t>
  </si>
  <si>
    <t>RANHURARDO</t>
  </si>
  <si>
    <t>BARRILETE</t>
  </si>
  <si>
    <t>RESERVATÓRIO + TAMPA</t>
  </si>
  <si>
    <t>ORÇAMENTO EXECUTIVO MARINE - R00</t>
  </si>
  <si>
    <t>OBSERVAÇÕES</t>
  </si>
  <si>
    <t>Considerações</t>
  </si>
  <si>
    <t>Quantitativos</t>
  </si>
  <si>
    <t>01</t>
  </si>
  <si>
    <t>CUSTOS INDIRETOS</t>
  </si>
  <si>
    <t>OS CUSTOS INDIRETOS FORAM LANÇADOS SEGUINDO FORMULÁRIO DE CUSTOS INDIRETOS PREENCHIDO EM 19/06/2023 PELO ENGENHEIRO VINÍCIUS</t>
  </si>
  <si>
    <t>01.01</t>
  </si>
  <si>
    <t>SERVIÇOS TECNICOS</t>
  </si>
  <si>
    <t>01.01.001</t>
  </si>
  <si>
    <t>ESTUDOS-PROJETOS-CONSULTORIAS</t>
  </si>
  <si>
    <t>01.01.001.0001</t>
  </si>
  <si>
    <t>Estudos</t>
  </si>
  <si>
    <t>01.01.001.0001.00001</t>
  </si>
  <si>
    <t>Levantamento Topográfico</t>
  </si>
  <si>
    <t>Contrato ALFAPLAN TOPOGRAFIA - Incluido medição do terreno. Locação do gabarito e locação dos pilares.</t>
  </si>
  <si>
    <t>01.01.001.0001.00002</t>
  </si>
  <si>
    <t>Sondagem de Percussão</t>
  </si>
  <si>
    <t xml:space="preserve">Contrato com SOLO SONDAGEM. </t>
  </si>
  <si>
    <t>01.01.001.0001.00003</t>
  </si>
  <si>
    <t>Estudo ambiental</t>
  </si>
  <si>
    <t>EXCLUIR</t>
  </si>
  <si>
    <t>01.01.001.0001.00004</t>
  </si>
  <si>
    <t>Memorial Descritivo</t>
  </si>
  <si>
    <t>01.01.001.0001.00005</t>
  </si>
  <si>
    <t>Estudo Geológico</t>
  </si>
  <si>
    <t>01.01.001.0002</t>
  </si>
  <si>
    <t>Projetos</t>
  </si>
  <si>
    <t>01.01.001.0002.00001</t>
  </si>
  <si>
    <t>Legalização e incorporação</t>
  </si>
  <si>
    <t>Despachante Marcos contratado pela Amalfi</t>
  </si>
  <si>
    <t>01.01.001.0002.00002</t>
  </si>
  <si>
    <t>Projetos Arquitetura</t>
  </si>
  <si>
    <t>Estará junto com Projetos de ARQ, HID e PCI no contrato da M&amp;N Arquitetura</t>
  </si>
  <si>
    <t>01.01.001.0002.00003</t>
  </si>
  <si>
    <t>Projeto De Interiores</t>
  </si>
  <si>
    <t>01.01.001.0002.00004</t>
  </si>
  <si>
    <t>Projetos Fachadas</t>
  </si>
  <si>
    <t>Valor de acordo com contrato Aetos</t>
  </si>
  <si>
    <t>01.01.001.0002.00005</t>
  </si>
  <si>
    <t>Projetos Fundação</t>
  </si>
  <si>
    <t>01.01.001.0002.00006</t>
  </si>
  <si>
    <t>Projetos Estrutura</t>
  </si>
  <si>
    <t>Valor de acordo com contrato CFA.</t>
  </si>
  <si>
    <t>01.01.001.0002.00007</t>
  </si>
  <si>
    <t>Projetos Elétricos</t>
  </si>
  <si>
    <t>Valode acordo com contrato PROCAUTI</t>
  </si>
  <si>
    <t>01.01.001.0002.00008</t>
  </si>
  <si>
    <t>Projetos de terraplanagem</t>
  </si>
  <si>
    <t>01.01.001.0002.00009</t>
  </si>
  <si>
    <t>Projetos comunicação e dados</t>
  </si>
  <si>
    <t>01.01.001.0002.00010</t>
  </si>
  <si>
    <t>Projetos Luminotecnico</t>
  </si>
  <si>
    <t>01.01.001.0002.00011</t>
  </si>
  <si>
    <t>Projetos de telefonia</t>
  </si>
  <si>
    <t>01.01.001.0002.00012</t>
  </si>
  <si>
    <t>Projetos Hidráulicos</t>
  </si>
  <si>
    <t>01.01.001.0002.00013</t>
  </si>
  <si>
    <t>Projetos Incêndio</t>
  </si>
  <si>
    <t>01.01.001.0002.00014</t>
  </si>
  <si>
    <t>Projetos Ar Condicionado</t>
  </si>
  <si>
    <t>01.01.001.0002.00015</t>
  </si>
  <si>
    <t>Projetos Segurança</t>
  </si>
  <si>
    <t>Conforme contratos de PGR e PCMSO e laudos da SPS</t>
  </si>
  <si>
    <t>01.01.001.0002.00016</t>
  </si>
  <si>
    <t>Projeto Impermeabilização</t>
  </si>
  <si>
    <t>01.01.001.0002.00017</t>
  </si>
  <si>
    <t>Projeto De Esquadrias</t>
  </si>
  <si>
    <t>01.01.001.0002.00018</t>
  </si>
  <si>
    <t>Projetos Isolamento Acústico</t>
  </si>
  <si>
    <t>01.01.001.0002.00019</t>
  </si>
  <si>
    <t>Projetos de sonorização</t>
  </si>
  <si>
    <t>01.01.001.0002.00020</t>
  </si>
  <si>
    <t>Projetos Piscinas</t>
  </si>
  <si>
    <t>01.01.001.0002.00021</t>
  </si>
  <si>
    <t>Projetos Comunicação Visual</t>
  </si>
  <si>
    <t>01.01.001.0002.00022</t>
  </si>
  <si>
    <t>Projetos Paisagismo</t>
  </si>
  <si>
    <t>01.01.001.0002.00028</t>
  </si>
  <si>
    <t>Projetos de Exaustão</t>
  </si>
  <si>
    <t>01.01.001.0002.00029</t>
  </si>
  <si>
    <t>Projeto SPDA</t>
  </si>
  <si>
    <t>Item adicionado em revisão</t>
  </si>
  <si>
    <t>01.01.001.0003</t>
  </si>
  <si>
    <t>Consultorias</t>
  </si>
  <si>
    <t>01.01.001.0003.00001</t>
  </si>
  <si>
    <t>Consultoria de Esquadrias</t>
  </si>
  <si>
    <t>01.01.001.0003.00002</t>
  </si>
  <si>
    <t>Consultoria/Compatibilização de Projetos</t>
  </si>
  <si>
    <t>01.01.001.0003.00003</t>
  </si>
  <si>
    <t>Consultoria Controle de Qualidade</t>
  </si>
  <si>
    <t>Qualidade é feita por equipe interna. Laudos de qualidade: Acustico, estrutural, entorno, luminico e térmico (Base do Cielo)</t>
  </si>
  <si>
    <t>01.01.001.0003.00004</t>
  </si>
  <si>
    <t>Modelagem BIM arquitetonico</t>
  </si>
  <si>
    <t>01.01.001.0003.00005</t>
  </si>
  <si>
    <t>Modelagem BIM complementares</t>
  </si>
  <si>
    <t>01.01.001.0003.00006</t>
  </si>
  <si>
    <t>Consultoria de legalização</t>
  </si>
  <si>
    <t>01.01.001.0003.00008</t>
  </si>
  <si>
    <t>Consultoria Diversas</t>
  </si>
  <si>
    <t>01.01.001.0003.00009</t>
  </si>
  <si>
    <t>Orçamento e Planejamento</t>
  </si>
  <si>
    <t>Conforme contrato com a Cartesian + contrato do sfotware Prevision</t>
  </si>
  <si>
    <t>01.01.001.0004</t>
  </si>
  <si>
    <t>Ensaios</t>
  </si>
  <si>
    <t>01.01.001.0004.00001</t>
  </si>
  <si>
    <t>Controle Tecnológico de Concreto</t>
  </si>
  <si>
    <t>Consideração contrato Labotec</t>
  </si>
  <si>
    <t>Consideração de 4 corpos de prova por caminhão betoneira (8m³) para 2.400,29m³ de concreto levantados em projeto</t>
  </si>
  <si>
    <t>01.01.001.0004.00002</t>
  </si>
  <si>
    <t>Ensaio de arrancamento</t>
  </si>
  <si>
    <t>01.01.001.0004.00003</t>
  </si>
  <si>
    <t>Laudos extras</t>
  </si>
  <si>
    <t>01.01.002</t>
  </si>
  <si>
    <t>CONSUMOS-TAXAS-DOCUMENTOS</t>
  </si>
  <si>
    <t>01.01.002.0001</t>
  </si>
  <si>
    <t>Licenciamentos, Taxas, Impostos, Aprovações e Seguros</t>
  </si>
  <si>
    <t>01.01.002.0001.00001</t>
  </si>
  <si>
    <t>Aprovação de Projetos prefeitura</t>
  </si>
  <si>
    <t>Boleto RRT arquitetura. Taxa de análise é junto com alvará</t>
  </si>
  <si>
    <t>01.01.002.0001.00002</t>
  </si>
  <si>
    <t>Aprovação Corpo de Bombeiros</t>
  </si>
  <si>
    <t>Conforme boleto do PCI no amplidrive</t>
  </si>
  <si>
    <t>01.01.002.0001.00003</t>
  </si>
  <si>
    <t>Projetos-Licença Ambiental</t>
  </si>
  <si>
    <t>Boleto LAP LAI 46224 e boleto da ART Carlão (responsável pelo ambiental) no amplidrive</t>
  </si>
  <si>
    <t>01.01.002.0001.00004</t>
  </si>
  <si>
    <t>Alvará Construção</t>
  </si>
  <si>
    <t>Valor boleto no amplidrive</t>
  </si>
  <si>
    <t>01.01.002.0001.00005</t>
  </si>
  <si>
    <t>Despesas com Cartório</t>
  </si>
  <si>
    <t>01.01.002.0001.00006</t>
  </si>
  <si>
    <t>Aprovação de Projetos agua e esgoto</t>
  </si>
  <si>
    <t>custo de viabilidade + aprovação com base no boleto HIDRO 46224 do amplidrive</t>
  </si>
  <si>
    <t>01.01.002.0001.00007</t>
  </si>
  <si>
    <t>Taxa de Habite-se prefeitura</t>
  </si>
  <si>
    <t>Prefeitura com base no Cielo. Solicitado média a Juciane</t>
  </si>
  <si>
    <t>01.01.002.0001.00014</t>
  </si>
  <si>
    <t>Taxa de Habite-se bombeiros</t>
  </si>
  <si>
    <t>01.01.002.0001.00008</t>
  </si>
  <si>
    <t>Seguro da Obra</t>
  </si>
  <si>
    <t>Apólice do Marine no amplidrive</t>
  </si>
  <si>
    <t>01.01.002.0001.00009</t>
  </si>
  <si>
    <t>IPTU</t>
  </si>
  <si>
    <t xml:space="preserve">Com base no IPTU de 2023 </t>
  </si>
  <si>
    <t>01.01.002.0001.00010</t>
  </si>
  <si>
    <t>Taxas ART</t>
  </si>
  <si>
    <t>01.01.002.0001.00012</t>
  </si>
  <si>
    <t>INSS</t>
  </si>
  <si>
    <t>01.01.002.0001.00013</t>
  </si>
  <si>
    <t>Incorporação</t>
  </si>
  <si>
    <t>Valores do contato da CVB Engenharia e MG Serviços Administrativos</t>
  </si>
  <si>
    <t>01.01.002.0002</t>
  </si>
  <si>
    <t>Documentos</t>
  </si>
  <si>
    <t>01.01.002.0002.00005</t>
  </si>
  <si>
    <t>Projetos-As Built</t>
  </si>
  <si>
    <t xml:space="preserve">Valor alterado em Revisão </t>
  </si>
  <si>
    <t>01.01.002.0002.00006</t>
  </si>
  <si>
    <t>Laudo Técnico de Vistoria de Entrega</t>
  </si>
  <si>
    <t>01.01.002.0002.00007</t>
  </si>
  <si>
    <t>Manuais Técnicos de Condominio</t>
  </si>
  <si>
    <t>01.02</t>
  </si>
  <si>
    <t>SERVIÇOS INICIAIS</t>
  </si>
  <si>
    <t>01.02.001</t>
  </si>
  <si>
    <t>SEGURANÇA-MEIO AMBIENTE-SAÚDE</t>
  </si>
  <si>
    <t>01.02.001.0001</t>
  </si>
  <si>
    <t>Segurança do trabalho</t>
  </si>
  <si>
    <t>01.02.001.0001.00001</t>
  </si>
  <si>
    <t>Técnico em Segurança</t>
  </si>
  <si>
    <t>Colaborador Interno, valor estimado</t>
  </si>
  <si>
    <t>01.02.001.0001.00003</t>
  </si>
  <si>
    <t>Serviço de segurança do trabalho terceirizados</t>
  </si>
  <si>
    <t>01.02.001.0002</t>
  </si>
  <si>
    <t>01.02.001.0002.00001</t>
  </si>
  <si>
    <t>Equipamento de Segurança Pessoal</t>
  </si>
  <si>
    <t>01.02.001.0002.00002</t>
  </si>
  <si>
    <t>Bandeja Salva Vidas-Fixa</t>
  </si>
  <si>
    <t>EPC''s'</t>
  </si>
  <si>
    <t>01.02.001.0002.00003</t>
  </si>
  <si>
    <t>Bandeja Salva Vidas-Móvel</t>
  </si>
  <si>
    <t>01.02.001.0002.00004</t>
  </si>
  <si>
    <t>Guarda-corpo de vãos - fixado em forma de madeira - em trama de madeira com tela de polipropileno</t>
  </si>
  <si>
    <t>01.02.001.0002.00006</t>
  </si>
  <si>
    <t>Guarda-corpo de laje pós desforma com escora metálica - trevesões e tela</t>
  </si>
  <si>
    <t>01.02.001.0002.00007</t>
  </si>
  <si>
    <t>Fechament removivel de vãos em madeira</t>
  </si>
  <si>
    <t>01.02.001.0002.00008</t>
  </si>
  <si>
    <t>Proteção-Linha de Vida</t>
  </si>
  <si>
    <t>01.02.001.0002.00009</t>
  </si>
  <si>
    <t>Tela fachadeira</t>
  </si>
  <si>
    <t>01.02.001.0002.00010</t>
  </si>
  <si>
    <t>Tela SLQA</t>
  </si>
  <si>
    <t>01.02.001.0003</t>
  </si>
  <si>
    <t>Meio ambiente</t>
  </si>
  <si>
    <t>01.02.001.0003.00001</t>
  </si>
  <si>
    <t>Elaboracao do Programa de Prevencao dos Riscos Ambientais (PPRA)</t>
  </si>
  <si>
    <t>01.02.001.0003.00002</t>
  </si>
  <si>
    <t>Programa de Controle Médico de Saúde Ocupacional (PCMSO)</t>
  </si>
  <si>
    <t>01.02.001.0004</t>
  </si>
  <si>
    <t>Saúde ocupacional</t>
  </si>
  <si>
    <t>01.02.001.0004.00002</t>
  </si>
  <si>
    <t>Material de Primeiro Socorro</t>
  </si>
  <si>
    <t>01.02.001.0004.00003</t>
  </si>
  <si>
    <t>Dedetização</t>
  </si>
  <si>
    <t>01.02.001.0004.00004</t>
  </si>
  <si>
    <t>Elaboracao do Programa de Condicoes e Meio Ambiente de Trabalho na Industria de Construcao (PCMAT)</t>
  </si>
  <si>
    <t>01.02.001.0004.00005</t>
  </si>
  <si>
    <t>Retirada de Entulho</t>
  </si>
  <si>
    <t>01.02.002</t>
  </si>
  <si>
    <t>ADMINISTRAÇÃO E CANTEIRO DE OBRA</t>
  </si>
  <si>
    <t>01.02.002.0001</t>
  </si>
  <si>
    <t>Equipe de Gestão e Apoio</t>
  </si>
  <si>
    <t>01.02.002.0001.00001</t>
  </si>
  <si>
    <t>Engenheiro Civil</t>
  </si>
  <si>
    <t>01.02.002.0001.00002</t>
  </si>
  <si>
    <t>Mestre geral</t>
  </si>
  <si>
    <t>01.02.002.0001.00003</t>
  </si>
  <si>
    <t>Almoxarife</t>
  </si>
  <si>
    <t>01.02.002.0001.00004</t>
  </si>
  <si>
    <t>Analista de Engenharia</t>
  </si>
  <si>
    <t>Considerar Analista</t>
  </si>
  <si>
    <t>01.02.002.0001.00005</t>
  </si>
  <si>
    <t>Estagiário de Engenharia</t>
  </si>
  <si>
    <t>Consideramos apenas 1 estagiário R$ 1200</t>
  </si>
  <si>
    <t>01.02.002.0001.00006</t>
  </si>
  <si>
    <t>Operador de Guincho</t>
  </si>
  <si>
    <t>01.02.002.0001.00008</t>
  </si>
  <si>
    <t>Vigilância Contratada</t>
  </si>
  <si>
    <t>Contrato no Amplidrive Evoseg</t>
  </si>
  <si>
    <t>01.02.002.0001.00009</t>
  </si>
  <si>
    <t>Tecnico de qualidade</t>
  </si>
  <si>
    <t>01.02.002.0001.00010</t>
  </si>
  <si>
    <t>Tecnico de Edificação</t>
  </si>
  <si>
    <t>01.02.002.0001.00013</t>
  </si>
  <si>
    <t>Servente - apoio</t>
  </si>
  <si>
    <t>01.02.002.0001.00014</t>
  </si>
  <si>
    <t>Auxiliar de projetos</t>
  </si>
  <si>
    <t>01.02.002.0002</t>
  </si>
  <si>
    <t>Operação inicial do canteiro</t>
  </si>
  <si>
    <t>01.02.002.0002.00001</t>
  </si>
  <si>
    <t>Sinalização de obra</t>
  </si>
  <si>
    <t>01.02.002.0003</t>
  </si>
  <si>
    <t>Despesas de consumo e manutenção</t>
  </si>
  <si>
    <t>01.02.002.0003.00002</t>
  </si>
  <si>
    <t>Limpeza Permanente da Obra</t>
  </si>
  <si>
    <t>Considerado valor contrato Terceiriza para obra do Maiori, 3 por semana</t>
  </si>
  <si>
    <t>01.02.002.0003.00003</t>
  </si>
  <si>
    <t>Consumo de Água</t>
  </si>
  <si>
    <t>01.02.002.0003.00004</t>
  </si>
  <si>
    <t>Consumo de Luz/Força</t>
  </si>
  <si>
    <t>01.02.002.0003.00005</t>
  </si>
  <si>
    <t>Consumo de Internet</t>
  </si>
  <si>
    <t>01.02.002.0003.00006</t>
  </si>
  <si>
    <t>Material de Escritório</t>
  </si>
  <si>
    <t>Notebook engenharia, Notebook estagiário, Notebook Almoxarife, Celular engenharia, Celular Almoxarife, mesas, cadeiras, Papelaria, geladeira, microondas, chaleira elétrica, armário, quadros, cozinha</t>
  </si>
  <si>
    <t>01.02.002.0003.00007</t>
  </si>
  <si>
    <t>Material de Limpeza</t>
  </si>
  <si>
    <t>01.02.002.0003.00008</t>
  </si>
  <si>
    <t>Cópias</t>
  </si>
  <si>
    <t>Diminuir valor</t>
  </si>
  <si>
    <t>01.02.002.0003.00009</t>
  </si>
  <si>
    <t>Despesas com Vizinhos</t>
  </si>
  <si>
    <t>Contrato JM reconstrução Muro de divisa, aluguel do terreno vizinho e outros</t>
  </si>
  <si>
    <t>01.02.002.0003.00010</t>
  </si>
  <si>
    <t>Esgotamento de sistema sanitário temporário</t>
  </si>
  <si>
    <t>Validado com valor médio do Maiori</t>
  </si>
  <si>
    <t>01.02.002.0003.00011</t>
  </si>
  <si>
    <t>Manutenção provisória do canteiro</t>
  </si>
  <si>
    <t>01.02.002.0003.00012</t>
  </si>
  <si>
    <t>Manutenção provisória elétrica</t>
  </si>
  <si>
    <t>01.02.002.0003.00013</t>
  </si>
  <si>
    <t>Manutenção provisória hidrossanitaria</t>
  </si>
  <si>
    <t>01.02.002.0003.00014</t>
  </si>
  <si>
    <t>Manutenção provisória vigilancia e acessos</t>
  </si>
  <si>
    <t>01.02.002.0003.00015</t>
  </si>
  <si>
    <t>Fretes</t>
  </si>
  <si>
    <t xml:space="preserve">Utilizamos carro próprio, valor de gasolina, ferry, e outros fretes menores. </t>
  </si>
  <si>
    <t>01.02.002.0003.00016</t>
  </si>
  <si>
    <t>Gerenciamento eletronico</t>
  </si>
  <si>
    <t>01.02.002.0003.00017</t>
  </si>
  <si>
    <t>Execução elétrica canteiro</t>
  </si>
  <si>
    <t>01.02.002.0003.00018</t>
  </si>
  <si>
    <t>Projeto elétrico de canteiro</t>
  </si>
  <si>
    <t>01.02.002.0003.00019</t>
  </si>
  <si>
    <t>Laudo de aterramento, das linhas de vida e equipamentos.</t>
  </si>
  <si>
    <t>01.02.002.0004</t>
  </si>
  <si>
    <t>Instalações provisórias</t>
  </si>
  <si>
    <t>01.02.002.0004.00001</t>
  </si>
  <si>
    <t>Instalações Provisórias</t>
  </si>
  <si>
    <t>01.02.002.0004.00002</t>
  </si>
  <si>
    <t>Locação de Banheiro químico</t>
  </si>
  <si>
    <t>01.02.002.0004.00003</t>
  </si>
  <si>
    <t>Equipamentos de Escritório</t>
  </si>
  <si>
    <t>01.02.002.0004.00006</t>
  </si>
  <si>
    <t>Tapume Metálico</t>
  </si>
  <si>
    <t>01.02.002.0004.00007</t>
  </si>
  <si>
    <t>Mobiliário de apoio a obra</t>
  </si>
  <si>
    <t>01.02.002.0004.00008</t>
  </si>
  <si>
    <t>Conteiner</t>
  </si>
  <si>
    <t>01.02.002.0005</t>
  </si>
  <si>
    <t>Ligações Provisórias</t>
  </si>
  <si>
    <t>01.02.002.0005.00002</t>
  </si>
  <si>
    <t>Entradas Provisórias Água</t>
  </si>
  <si>
    <t>01.02.002.0005.00003</t>
  </si>
  <si>
    <t>Entradas Provisórias Luz/Força</t>
  </si>
  <si>
    <t>01.02.003</t>
  </si>
  <si>
    <t>SERVIÇOS PRELIMINARES</t>
  </si>
  <si>
    <t>01.02.003.0002</t>
  </si>
  <si>
    <t>Limpeza de terreno</t>
  </si>
  <si>
    <t>01.02.003.0002.00001</t>
  </si>
  <si>
    <t>Limpeza de Terreno</t>
  </si>
  <si>
    <t>01.03</t>
  </si>
  <si>
    <t>01.03.001</t>
  </si>
  <si>
    <t>01.03.001.0001</t>
  </si>
  <si>
    <t>Equipamentos de Carga e Transporte</t>
  </si>
  <si>
    <t>01.03.001.0001.00001</t>
  </si>
  <si>
    <t>Condutor de Entulho-Aquisição</t>
  </si>
  <si>
    <t>01.03.001.0001.00002</t>
  </si>
  <si>
    <t>Manutenção de veículo de apoio - Kia Bongo</t>
  </si>
  <si>
    <t>01.03.001.0001.00003</t>
  </si>
  <si>
    <t>Manutenção inicial de elevador cremalheira</t>
  </si>
  <si>
    <t>Valor contrtato AZB Manutenção sem montagem e desmontagem</t>
  </si>
  <si>
    <t>01.03.001.0001.00004</t>
  </si>
  <si>
    <t>Manutenção periódica de elevador cremalheira</t>
  </si>
  <si>
    <t>Valor AZB para manutenção de referência do Ravello - Manutenção preventiva 1.020,00 mês + 1 x Treinamento NR 18 para operador 550,00 + 10 x Manutenção corretiva 800,00 + 10 x 900,00 montagem de coluna</t>
  </si>
  <si>
    <t>01.03.001.0001.00005</t>
  </si>
  <si>
    <t>Manutenção periódica de de Mini-grua</t>
  </si>
  <si>
    <t>Valor AZB para manutenção de referência do Ravello - 2x Manutenção preventiva 920,00 ida  + 10 x Manutenção corretiva 800,00 ida</t>
  </si>
  <si>
    <t>01.03.001.0001.00006</t>
  </si>
  <si>
    <t>Montagem e Desmontagem de Mini-grua</t>
  </si>
  <si>
    <t>01.03.001.0001.00008</t>
  </si>
  <si>
    <t>Montagem e desmontagem de elevador cremalheira</t>
  </si>
  <si>
    <t>Montagem e desmontagem  de acordo com obras anteriores</t>
  </si>
  <si>
    <t>01.03.001.0001.00009</t>
  </si>
  <si>
    <t>Mobilização e desmobilização de Mini-grua</t>
  </si>
  <si>
    <t>01.03.001.0002</t>
  </si>
  <si>
    <t>Equipamentos de obra</t>
  </si>
  <si>
    <t>01.03.001.0002.00002</t>
  </si>
  <si>
    <t>Andaime Metálico - Locação</t>
  </si>
  <si>
    <t>01.03.001.0002.00003</t>
  </si>
  <si>
    <t>Locação de balancim motorizado</t>
  </si>
  <si>
    <t>01.03.001.0002.00004</t>
  </si>
  <si>
    <t>Carrinho plataforma - aquisição</t>
  </si>
  <si>
    <t>01.03.001.0002.00005</t>
  </si>
  <si>
    <t>Manutenção carrinho plataforma</t>
  </si>
  <si>
    <t>01.03.001.0002.00006</t>
  </si>
  <si>
    <t>Carrinho de mão</t>
  </si>
  <si>
    <t>01.03.001.0002.00007</t>
  </si>
  <si>
    <t>Ferramentas</t>
  </si>
  <si>
    <t>Rebaixamento de lençol</t>
  </si>
  <si>
    <t>02.01.001.0001.00001</t>
  </si>
  <si>
    <t>Rebaixamento de Lençol Freático</t>
  </si>
  <si>
    <t xml:space="preserve">Valor contrato ponteiras empresa VASOLER </t>
  </si>
  <si>
    <t>02.01.001.0002.00002</t>
  </si>
  <si>
    <t xml:space="preserve">Contrato CAVATEC + possível aditivio devido as condições do solo e também clima que prejudicaram o andamento das atividades devido a água </t>
  </si>
  <si>
    <t>02.01.001.0002.00003</t>
  </si>
  <si>
    <t>Reaterro Compactado de blocos e baldrames</t>
  </si>
  <si>
    <t>02.01.001.0003</t>
  </si>
  <si>
    <t>02.01.001.0003.00001</t>
  </si>
  <si>
    <t>Perfuração</t>
  </si>
  <si>
    <t>02.02.001.0001.00002</t>
  </si>
  <si>
    <t>Estacas Hélice 40 cm</t>
  </si>
  <si>
    <t>02.02.001.0001.00004</t>
  </si>
  <si>
    <t>Estacas Hélice 60 cm</t>
  </si>
  <si>
    <t>02.02.001.0001.00005</t>
  </si>
  <si>
    <t>Estacas Hélice 70 cm</t>
  </si>
  <si>
    <t>Perfuração e execução de estaca hélice</t>
  </si>
  <si>
    <r>
      <t xml:space="preserve">Contrato projeto, execução e material </t>
    </r>
    <r>
      <rPr>
        <b/>
        <sz val="8"/>
        <color rgb="FF0070C0"/>
        <rFont val="Poppins"/>
      </rPr>
      <t>Geotesc</t>
    </r>
    <r>
      <rPr>
        <sz val="8"/>
        <color rgb="FF0070C0"/>
        <rFont val="Poppins"/>
      </rPr>
      <t xml:space="preserve"> + aditivo</t>
    </r>
  </si>
  <si>
    <t>02.02.001.0002</t>
  </si>
  <si>
    <t>02.02.001.0002.00001</t>
  </si>
  <si>
    <t>Armacao aco CA-60 ø 6.3mm para estaca corte e dobra em obra</t>
  </si>
  <si>
    <t>02.02.001.0002.00005</t>
  </si>
  <si>
    <t>Armacao aco CA-50 ø 12.5mm para estaca corte e dobra em obra</t>
  </si>
  <si>
    <t>02.02.001.0002.00006</t>
  </si>
  <si>
    <t>Armacao aco CA-50 ø 16.0mm para estaca corte e dobra em obra</t>
  </si>
  <si>
    <t>02.02.001.0003</t>
  </si>
  <si>
    <t>02.02.001.0003.00002</t>
  </si>
  <si>
    <t>Concreto usinado bombeavel - para infraestrutura - Fck 30MPa - Brita 1 SLUMP = 10 +/- 2 incluindo servico de bombeamento</t>
  </si>
  <si>
    <t>02.02.001.0004</t>
  </si>
  <si>
    <t>Imprevsitos e contingências</t>
  </si>
  <si>
    <t>02.02.001.0004.00001</t>
  </si>
  <si>
    <t>Fabricacao e montagem de forma para bloco de fundacao e baldrames - em madeira serrada</t>
  </si>
  <si>
    <t>Valor de base da ordem de compra feita (PC 1938 -  MADEIRONA). Neste empreendimento foi reaproveitado paineis de outras obras.</t>
  </si>
  <si>
    <t>Alterado devido ajuste no custo do arame recozido</t>
  </si>
  <si>
    <t>Não - Bases antigos 6,03, utilizado média de 50centavos a mais</t>
  </si>
  <si>
    <t>Armacao aco CA-60 ø 4.2mm tela Q138 para supraestrutura</t>
  </si>
  <si>
    <t>02.02.002.0003.00002</t>
  </si>
  <si>
    <t>Contrato concreto Fundação e supra estrutura MS Prestadora</t>
  </si>
  <si>
    <t>Mao de obra para execucacao de infraestrutura de concreto armado</t>
  </si>
  <si>
    <t>Valor referente a mão de obra de fundação contrato JM</t>
  </si>
  <si>
    <t>Area do pavimento térreo x 1,5</t>
  </si>
  <si>
    <t>02.02.002.0005</t>
  </si>
  <si>
    <t>02.02.002.0005.00001</t>
  </si>
  <si>
    <t>Fabricação de Fôrma Para Pilares e Estruturas Similares - em Chapa de Madeira Compensada Plastificada - E=18mm</t>
  </si>
  <si>
    <r>
      <t>Considerado a mão de obra do contrato da JM e material. Chapa considerado conforme base R$ 140 a unidade ou R$ 47,14 m² (cod. 9396)  -</t>
    </r>
    <r>
      <rPr>
        <sz val="8"/>
        <color rgb="FFFF0000"/>
        <rFont val="Poppins"/>
      </rPr>
      <t xml:space="preserve"> VALOR TOTAL COM CONSIDERAÇÕES FICAM DIFERENTES DO APRESENTADO NA PLANILHA DE REVISÃO</t>
    </r>
  </si>
  <si>
    <t>02.03.001.0001.00002</t>
  </si>
  <si>
    <t>Fabricação de Fôrma Para lajes rampas escadas e Estruturas Similares - em Chapa de Madeira Compensada Plastificada - E=18mm</t>
  </si>
  <si>
    <r>
      <t xml:space="preserve">Considerado a mão de obra do contrato da JM e material . Chapa considerado conforme base R$ 140 a unidade ou R$ 47,14 m² (cod. 9396)  </t>
    </r>
    <r>
      <rPr>
        <sz val="8"/>
        <color rgb="FFFF0000"/>
        <rFont val="Poppins"/>
      </rPr>
      <t>- VALOR TOTAL COM CONSIDERAÇÕES FICAM DIFERENTES DO APRESENTADO NA PLANILHA DE REVISÃO</t>
    </r>
  </si>
  <si>
    <t>02.03.001.0001.00003</t>
  </si>
  <si>
    <t>Fabricação de Fôrma Para vigas e Estruturas Similares - em Chapa de Madeira Compensada Plastificada - E=18mm</t>
  </si>
  <si>
    <r>
      <t xml:space="preserve">Considerado a mão de obra do contrato da JM e material. Chapa considerado conforme base R$ 140 a unidade ou R$ 47,14 m² (cod. 9396) </t>
    </r>
    <r>
      <rPr>
        <sz val="8"/>
        <color rgb="FFFF0000"/>
        <rFont val="Poppins"/>
      </rPr>
      <t xml:space="preserve"> - VALOR TOTAL COM CONSIDERAÇÕES FICAM DIFERENTES DO APRESENTADO NA PLANILHA DE REVISÃO</t>
    </r>
  </si>
  <si>
    <t>Montagem e desmontagem de fôrma para pilares - em chapa de madeira compensada plastificada</t>
  </si>
  <si>
    <t>02.03.001.0001.00006</t>
  </si>
  <si>
    <t>Montagem e desmontagem de fôrma para lajes rampas e escadas - em chapa de madeira compensada plastificada</t>
  </si>
  <si>
    <t>02.03.001.0001.00007</t>
  </si>
  <si>
    <t>Montagem e desmontagem de fôrma para vigas  - em chapa de madeira compensada plastificada</t>
  </si>
  <si>
    <t>Considerado na composisão valor de base do mega para o arame de 18mm = R$ 8,78/kg - cód. 8983 (barra mantemos o valor)</t>
  </si>
  <si>
    <t>Considerado na composisão valor de base do mega para o arame de 18mm = R$ 8,78/kg - cód. 8983. Barra utilizado valor base do Mega de R$ 3,96/kg cod. 578</t>
  </si>
  <si>
    <t>02.03.001.0003.00002</t>
  </si>
  <si>
    <t>Concreto usinado bombeavel - para supraestrutura - Fck 30MPa - Brita 1 SLUMP = 10 +/- 2 incluindo servico de bombeamento</t>
  </si>
  <si>
    <t>Valor de contrato das cubetas empresa Atex</t>
  </si>
  <si>
    <t>Valor de Contrato dos escoramentos SH Formas</t>
  </si>
  <si>
    <t>Valor referente a mão de obra da superestrutura (excluindo fundação) contrato JM</t>
  </si>
  <si>
    <t>Area construída</t>
  </si>
  <si>
    <r>
      <t>C</t>
    </r>
    <r>
      <rPr>
        <sz val="8"/>
        <color rgb="FF0070C0"/>
        <rFont val="Poppins"/>
      </rPr>
      <t>om base na base de dados do Mega cerca de R$425 reais para 1m³ de argamassa estabilizada e 0,89 centavos por alvenaria de 11,5x19x19cm (cod. 8711) (1m² = 27.7 blocos e 0,01m³ de argamassa = R$30,56)</t>
    </r>
    <r>
      <rPr>
        <sz val="8"/>
        <rFont val="Poppins"/>
      </rPr>
      <t xml:space="preserve"> -</t>
    </r>
    <r>
      <rPr>
        <sz val="8"/>
        <color rgb="FFFF0000"/>
        <rFont val="Poppins"/>
      </rPr>
      <t xml:space="preserve"> VALOR TOTAL COM CONSIDERAÇÕES FICAM DIFERENTES DO APRESENTADO NA PLANILHA DE REVISÃO</t>
    </r>
  </si>
  <si>
    <t>ALVENARIAS</t>
  </si>
  <si>
    <r>
      <rPr>
        <sz val="8"/>
        <color rgb="FF0070C0"/>
        <rFont val="Poppins"/>
      </rPr>
      <t>Com base na base de dados do Mega cerca de R$425 reais para 1m³ de argamassa estabilizada e em média 1,08  por alvenaria 14x19x19 (cod.643) (1m² = 24 blocos e 0,01m³ de argamassa = R$34,17)</t>
    </r>
    <r>
      <rPr>
        <sz val="8"/>
        <rFont val="Poppins"/>
      </rPr>
      <t xml:space="preserve"> -  </t>
    </r>
    <r>
      <rPr>
        <sz val="8"/>
        <color rgb="FFFF0000"/>
        <rFont val="Poppins"/>
      </rPr>
      <t>VALOR TOTAL COM CONSIDERAÇÕES FICAM DIFERENTES DO APRESENTADO NA PLANILHA DE REVISÃO</t>
    </r>
  </si>
  <si>
    <t>Alvenaria de vedação de blocos cerâmicos furados na horizontal de 7x19x39 cm (espessura 7cm) com argamassa industrializada de assentamento</t>
  </si>
  <si>
    <t>Alterado devido a mundaça de custo de argamassa estabilizada</t>
  </si>
  <si>
    <t>Alvenaria de vedação com bocos de concreto</t>
  </si>
  <si>
    <t>Alvenaria de vedação de blocos de concreto furados na horizontal de 14x19x39 cm (espessura 14cm) com argamassa industrializada de assentamento</t>
  </si>
  <si>
    <t>Com base na base de dados do Mega cerca de R$425 reais para 1m³ de argamassa estabilizada e em média 2,87 por bloco (cód. 10689) - (1m² = 13,5 blocos e 0,01m³ de argamassa = R$42,99)</t>
  </si>
  <si>
    <t>02.04.001.0003</t>
  </si>
  <si>
    <t>02.04.001.0003.00001</t>
  </si>
  <si>
    <t>Com base na base de dados do Mega cerca de R$425 reais para 1m³ de argamassa estabilizada e em média 9,97 (10x30x60) por bloco (cod. 10666) - (1m² = 5,6 blocos e 0,01m³ de argamassa = R$60,08)</t>
  </si>
  <si>
    <t>Com base na base de dados do Mega cerca de R$425 reais para 1m³ de argamassa estabilizada e em média 2,75 por bloco (cod.10775) - (1m² = 37,8 blocos e 0,01m³ de argamassa = R$108,2) - mantido qunatidade de argamassa refratária</t>
  </si>
  <si>
    <t>Mao de obra empreitada vedacoes internas e externas - assentamento de blocos de concreto</t>
  </si>
  <si>
    <t>R$35,00 com base no orçamento da JM do Ravello</t>
  </si>
  <si>
    <t>Mao de obra empreitada vedacoes internas e externas - assentamento de blocos cerâmicos</t>
  </si>
  <si>
    <t>Regularização no contrapiso, dimuir espessura</t>
  </si>
  <si>
    <t>Impermeabilização de cisternas</t>
  </si>
  <si>
    <t>Impermeabilizacao de cisternas com argamassa polimerica impermeabilizante</t>
  </si>
  <si>
    <t>BLOCOS E BALDRAMES</t>
  </si>
  <si>
    <t>Impermeabilização de lajes e terraços</t>
  </si>
  <si>
    <t>Impermeabilizacao de terraços com manta asfaltica espessura 4mm - uma camada - aplicacao com primer asfaltico</t>
  </si>
  <si>
    <t>02.05.001.0005</t>
  </si>
  <si>
    <t>Impermeabilização de piscinas e espelhos d´água</t>
  </si>
  <si>
    <t>02.05.001.0005.00001</t>
  </si>
  <si>
    <t>Impermeabilizacao de piscina com manta asfaltica espessura 4mm - uma camada - aplicacao com primer asfaltico</t>
  </si>
  <si>
    <t>02.05.001.0006</t>
  </si>
  <si>
    <t>Impermeabilização de banheiro, cozinha e sacada</t>
  </si>
  <si>
    <t>02.05.001.0006.00001</t>
  </si>
  <si>
    <t>Impermeabilizacao com argamassa polimerica impermeabilizante</t>
  </si>
  <si>
    <t>Mantido valor inicial</t>
  </si>
  <si>
    <t>02.05.001.0009</t>
  </si>
  <si>
    <t>Impermeabilização de floreiras</t>
  </si>
  <si>
    <t>02.05.001.0009.00001</t>
  </si>
  <si>
    <t>Impermeabilizacao de floreiras com manta asfaltica</t>
  </si>
  <si>
    <t>02.05.001.0010</t>
  </si>
  <si>
    <t>Impermeabilização de reservatórios</t>
  </si>
  <si>
    <t>02.05.001.0010.00002</t>
  </si>
  <si>
    <t>Impermeabilizacao de reservatórios com argamassa polimerica impermeabilizante</t>
  </si>
  <si>
    <t>Regularização no contrapiso, considerado apenas 10%</t>
  </si>
  <si>
    <t>Embutido na mão de obra dos serventes</t>
  </si>
  <si>
    <t>02.05.001.0012.00004</t>
  </si>
  <si>
    <t>Base de orçamento do Maiori Kiko Impermeabilizações R$ 70 MO + Material</t>
  </si>
  <si>
    <t>02.05.001.0012.00005</t>
  </si>
  <si>
    <t>02.05.001.0012.00009</t>
  </si>
  <si>
    <t>Base de orçamento do Maiori Kiko Impermeabilizações R$ 114 MO + Material</t>
  </si>
  <si>
    <t>Alterações em custos unitários de meteriais</t>
  </si>
  <si>
    <t>Instalações Esgoto</t>
  </si>
  <si>
    <t>02.06.001.0003.00002</t>
  </si>
  <si>
    <t>Instalações Águas Pluviais</t>
  </si>
  <si>
    <t>02.06.001.0006</t>
  </si>
  <si>
    <t>Tratamento de esgoto</t>
  </si>
  <si>
    <t>02.06.001.0006.00002</t>
  </si>
  <si>
    <t>Sistema de tratamento de esgoto</t>
  </si>
  <si>
    <t>Sistema de reúso</t>
  </si>
  <si>
    <t>Sistema de captação de água da chuva</t>
  </si>
  <si>
    <t>Base no Contratoo Ampla no Amplidrive (MO + Ferramentas) Hidro e PCI</t>
  </si>
  <si>
    <t>02.06.001.0010</t>
  </si>
  <si>
    <t>02.06.001.0010.00001</t>
  </si>
  <si>
    <t>Solução preparadora-colas-lixa-veda fio-fita veda rosca-zarcao-fixacoes</t>
  </si>
  <si>
    <t xml:space="preserve">Alterar verba para solução preparadora, colas, lixa, veda fio e fita veda rosca, zarcão, fixações, </t>
  </si>
  <si>
    <t>Reduzido valor de acordo com orçamento Maiori</t>
  </si>
  <si>
    <t>02.07.001.0006</t>
  </si>
  <si>
    <t>Luminárias, lâmpadas e acessórios</t>
  </si>
  <si>
    <t>02.07.001.0006.00001</t>
  </si>
  <si>
    <t>Luminárias e acessórios</t>
  </si>
  <si>
    <t>Conforme contrato com Gabiatti (RM-1037) para elétrico-pci-telecom</t>
  </si>
  <si>
    <t>Sistemas de instalações preventivas</t>
  </si>
  <si>
    <t>02.09.001.0001</t>
  </si>
  <si>
    <t>02.09.001.0001.00001</t>
  </si>
  <si>
    <t>02.09.001.0002</t>
  </si>
  <si>
    <t>Mão de obra para instalações de rede de gás</t>
  </si>
  <si>
    <t>02.09.001.0002.00001</t>
  </si>
  <si>
    <t>INCLUIDO NA MÃO DE OBRA</t>
  </si>
  <si>
    <t>INTERFONIA</t>
  </si>
  <si>
    <t>LOGICA</t>
  </si>
  <si>
    <t>Com base no contrato da Otis do Maiori</t>
  </si>
  <si>
    <t>Com base no orçamento do Maiori e Cielo</t>
  </si>
  <si>
    <t>REVEST PAREDES INTERNAS'</t>
  </si>
  <si>
    <t>Utilizado base Maiori R$ 10,50+correção</t>
  </si>
  <si>
    <t>CONFIRMADOAUSENCIA DE REVEST COZINHA</t>
  </si>
  <si>
    <t>02.13.001.0005.00006</t>
  </si>
  <si>
    <t>Moldura de churrsqueira em granito - espessura 2cm</t>
  </si>
  <si>
    <t>Com base na mão de obra realizada pela JM no Cielo (RQ-065)</t>
  </si>
  <si>
    <t>02.13.001.0007.00003</t>
  </si>
  <si>
    <t>Mao de obra para colocacao de molduras</t>
  </si>
  <si>
    <t>Com base no contrato do Maiori pela JM R$ 34,00</t>
  </si>
  <si>
    <t>TETOS</t>
  </si>
  <si>
    <t>Alterado devido ajuste no custo da argamassa usinada</t>
  </si>
  <si>
    <t>Valor ajustado conforme contrato com a concreteira do projeto Maiori R$ 21,50/m²</t>
  </si>
  <si>
    <t>PISO</t>
  </si>
  <si>
    <t>Revestimento interno de piso porcelanato MUNARI BRANCI 90X90</t>
  </si>
  <si>
    <t>Base Mega R$ 43,55+correção (cpd. 9670) . Foi descontado o valor corresponde ao 41_PISO PORCELANATO HALL  pois este já está sendo considerado uma verba no projeto de interiores na entrega de previsão de custos, o porcelanto das áreas de lazer já foi descontado também? Não encontramos no quantitativos de piso</t>
  </si>
  <si>
    <t>Revestimento interno de piso porcelanato MUNARI BRANCI 90X90 - EXT</t>
  </si>
  <si>
    <t>Com base no orçamento p/ Maiori com colas e  laminado R$ 69 - R8 piso vinilico. Foi descontado o valor corresponde ao 63_VINILICO LAZER pois este já está sendo considerado uma verba no projeto de interiores.</t>
  </si>
  <si>
    <t>Grama sintética</t>
  </si>
  <si>
    <t>Rodapé em cerâmica 10cm</t>
  </si>
  <si>
    <t>Alteração de Rodapé 5cm e 7cm para 10cm, igual Cielo.</t>
  </si>
  <si>
    <t>RODAPÉS</t>
  </si>
  <si>
    <t>Rodapé em porcelanato 10cm</t>
  </si>
  <si>
    <t>02.15.001.0009.00005</t>
  </si>
  <si>
    <t>Rodapé em poliestireno 10cm</t>
  </si>
  <si>
    <t>Alteração de Rodapé 5cm e 7cm para 10cm, igual Cielo. R$ 16,47 (cód.10244)</t>
  </si>
  <si>
    <t>Com base no contrato da JM para o Maiori. R$ 24,39</t>
  </si>
  <si>
    <t>Mão de Obra para execução de polimento de piso</t>
  </si>
  <si>
    <t>Mao de obra para colocação de piso emborrachado</t>
  </si>
  <si>
    <t>Mao de obra para colocação de piso grama sintética</t>
  </si>
  <si>
    <t>Com base no contrato RM-237 JR Casal Portas, do Cielo R$ 10,50m + correção = R$ 13</t>
  </si>
  <si>
    <t>02.15.001.0011.00012</t>
  </si>
  <si>
    <t>02.15.001.0011.00013</t>
  </si>
  <si>
    <t>02.15.001.0011.00014</t>
  </si>
  <si>
    <t>Foi descontado o valor corresponde ao 31_PINTURA PAREDE A. COMUM+35_PINTURA PAREDE PARA HALL COMUM+32_PINTURA PAREDE ESTRUTURA A. COMUM+ 36_PINTURA PAREDE PARA HALL COMUM ESTRUTURA,  pois este já está sendo considerado uma verba no projeto de interiores na entrega de previsão de custos</t>
  </si>
  <si>
    <t>Foi descontado o valor corresponde ao 51_TEXTURA PAREDE A. COMUM,  pois este já está sendo considerado uma verba no projeto de interiores na entrega de previsão de custos</t>
  </si>
  <si>
    <t>Pintura de Faixas de Garagem Parede</t>
  </si>
  <si>
    <t>Com base no contrato do Cielo</t>
  </si>
  <si>
    <t>Pintura de rodapés</t>
  </si>
  <si>
    <t>Com base no orçamento do Maiori. Foi descontado o valor corresponde ao 31_PINTURA PAREDE A. COMUM+35_PINTURA PAREDE PARA HALL COMUM+32_PINTURA PAREDE ESTRUTURA A. COMUM+ 36_PINTURA PAREDE PARA HALL COMUM ESTRUTURA,  pois este já está sendo considerado uma verba no projeto de interiores na entrega de previsão de custos</t>
  </si>
  <si>
    <t xml:space="preserve"> Foi descontado o valor corresponde ao 51_TEXTURA PAREDE A. COMUM,  pois este já está sendo considerado uma verba no projeto de interiores na entrega de previsão de custos</t>
  </si>
  <si>
    <t>02.16.001.0005.00009</t>
  </si>
  <si>
    <t>Base mega R$ 613,33 (cod. 10359)</t>
  </si>
  <si>
    <t>02.17.001.0005</t>
  </si>
  <si>
    <t>02.17.001.0005.00001</t>
  </si>
  <si>
    <t>De acordo com contrato da Ferreira Camargo para o Maiori, uma média de R$515,00/m²</t>
  </si>
  <si>
    <t>Porta de madeira- folha leve/média - 60x210cm- fixacao com espuma expansiva</t>
  </si>
  <si>
    <t>Porta de madeira correr- folha leve/média - 70x210cm- fixacao com espuma expansiva</t>
  </si>
  <si>
    <t>Porta de madeiracorrer - folha leve/média - 80x210cm- fixacao com espuma expansiva</t>
  </si>
  <si>
    <t>Porta Corta Fogo P90</t>
  </si>
  <si>
    <t>Retirado 25.000,00 que já está previsto no orçamento de interiores para área comum, caso já tenha sido descontado anteriormente desconsiderar.</t>
  </si>
  <si>
    <t>02.19</t>
  </si>
  <si>
    <t>02.19.001</t>
  </si>
  <si>
    <t>02.19.001.0001</t>
  </si>
  <si>
    <t>Estrutura e trama para cobertura</t>
  </si>
  <si>
    <t>02.19.001.0001.00001</t>
  </si>
  <si>
    <t>Madeiramento para Telha Fibrocimento</t>
  </si>
  <si>
    <t>02.19.001.0002</t>
  </si>
  <si>
    <t>Telhamento para cobertura</t>
  </si>
  <si>
    <t>02.19.001.0002.00001</t>
  </si>
  <si>
    <t>Cobertura em Telha Fibrocimento</t>
  </si>
  <si>
    <t>Considerando base do Mega para unidade da telha de fibrocimento em R$ 35,47 (Cod8597)</t>
  </si>
  <si>
    <t>02.19.001.0003</t>
  </si>
  <si>
    <t>02.19.001.0003.00001</t>
  </si>
  <si>
    <t>Calhas em alumínio - fornecimento e instalação</t>
  </si>
  <si>
    <t>02.19.001.0003.00002</t>
  </si>
  <si>
    <t>Rufos em alumínio- fornecimento e instalação</t>
  </si>
  <si>
    <t>02.19.001.0003.00003</t>
  </si>
  <si>
    <t>Pingadeiras em alumínio- fornecimento e instalação</t>
  </si>
  <si>
    <t>02.19.001.0004</t>
  </si>
  <si>
    <t>Detalhes e pergolados</t>
  </si>
  <si>
    <t>02.19.001.0004.00001</t>
  </si>
  <si>
    <t>Pergolado de entrada</t>
  </si>
  <si>
    <t>02.19.001.0005</t>
  </si>
  <si>
    <t>02.19.001.0005.00001</t>
  </si>
  <si>
    <t>Mao de obra para execucao de cobertura telha de fibrocimento</t>
  </si>
  <si>
    <t>02.19.001.0006</t>
  </si>
  <si>
    <t>02.19.001.0006.00001</t>
  </si>
  <si>
    <t>REVEST PAREDES EXTERNAS</t>
  </si>
  <si>
    <t>Orçamento Argacity para o Maiori, argamassa estabilizada R$ 420</t>
  </si>
  <si>
    <t>Textura acrilica aplicacao em paredes externas - 1 demao</t>
  </si>
  <si>
    <t>Aplicação de lixamento de massa latex PVA em paredes externas - 2 demaos</t>
  </si>
  <si>
    <t>Pintura com tinta latex acrílica - acabamento fosco em paredes - 2 demãos</t>
  </si>
  <si>
    <t>Alterado devido critério de mão de obra - requadros menor que 0,5m considerados como 1m</t>
  </si>
  <si>
    <t>02.20.001.0005.00002</t>
  </si>
  <si>
    <t>Mao de obra para aplicacao de textura em paredes externas - 1 demão</t>
  </si>
  <si>
    <t>Mao de obra para pintura acrilica em paredes externas - 2 demaos</t>
  </si>
  <si>
    <t>Base pintura Maiori acrílica R$ 34,00+correção</t>
  </si>
  <si>
    <t>Calçada piso intertravado</t>
  </si>
  <si>
    <t xml:space="preserve">PISO </t>
  </si>
  <si>
    <t>Estimativa de mobiliário de acordo com definições no Anteprojeto (R04) com previsão de verba para revestimentos especiais nas áreas de lazer (descontado uma parte do valor que iria paisagismo).</t>
  </si>
  <si>
    <t>MOBILIARIO</t>
  </si>
  <si>
    <t>Conforme previsão de custos do projeto de Interiores para o Marine</t>
  </si>
  <si>
    <t>02.21.002.0003.00001</t>
  </si>
  <si>
    <t>Comunicação Visual</t>
  </si>
  <si>
    <t>Contrato Pimentel</t>
  </si>
  <si>
    <t>02.21.002.0004.00002</t>
  </si>
  <si>
    <t xml:space="preserve">Com base nos contratos do Cielo repectivamente de Limpeza fina, Limpeza fachada, Limpeza geral apartamentos, Lazer, Limpeza corrimão e porta corta fogo, Limpeza Hall apartamentos, Limpeza Hall Entrada e lixeiras e Limpeza garagens </t>
  </si>
  <si>
    <t>02.21.002.0004.00003</t>
  </si>
  <si>
    <t>Considerando melhorias de rede</t>
  </si>
  <si>
    <t>02.21.002.0006</t>
  </si>
  <si>
    <t>02.21.002.0006.00001</t>
  </si>
  <si>
    <t>Lastro de BRITA</t>
  </si>
  <si>
    <t>KG/M</t>
  </si>
  <si>
    <t>Armação 16mm</t>
  </si>
  <si>
    <t>m² / AE</t>
  </si>
  <si>
    <t>PAREDE</t>
  </si>
  <si>
    <t>GRADIL</t>
  </si>
  <si>
    <t>GUARDA COPRO</t>
  </si>
  <si>
    <t>EMBASAMENTO</t>
  </si>
  <si>
    <t>TORRE</t>
  </si>
  <si>
    <t>RESERV</t>
  </si>
  <si>
    <t>TIPO (x9)</t>
  </si>
  <si>
    <t>Drywall lazer</t>
  </si>
  <si>
    <t>Drywall tipo</t>
  </si>
  <si>
    <t>Forro de gesso acartonado</t>
  </si>
  <si>
    <t>Pavimento</t>
  </si>
  <si>
    <t>Area (m²)</t>
  </si>
  <si>
    <t>Correção Amalfi (m²)</t>
  </si>
  <si>
    <t>diferença</t>
  </si>
  <si>
    <t>Piso de concreto lapidado</t>
  </si>
  <si>
    <t>Mão de obra contrapiso</t>
  </si>
  <si>
    <t>Mão de obra reboco</t>
  </si>
  <si>
    <t>apenas vagas</t>
  </si>
  <si>
    <t>Mão deo obra pintura e textura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</si>
</sst>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D_M_-;\-* #,##0.00\ _D_M_-;_-* &quot;-&quot;??\ _D_M_-;_-@_-"/>
    <numFmt numFmtId="165" formatCode="_-* #,##0.0000_-;\-* #,##0.0000_-;_-* &quot;-&quot;??_-;_-@_-"/>
    <numFmt numFmtId="166" formatCode="_-* #,##0.0000_-;\-* #,##0.0000_-;_-* &quot;-&quot;????_-;_-@_-"/>
    <numFmt numFmtId="167" formatCode="_-* #.##0.00_-;\-* #.##0.00_-;_-* &quot;-&quot;??_-;_-@_-"/>
    <numFmt numFmtId="168" formatCode="_-* #,##0.00000_-;\-* #,##0.00000_-;_-* &quot;-&quot;??_-;_-@_-"/>
    <numFmt numFmtId="169" formatCode="_-* #,##0.000_-;\-* #,##0.00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4"/>
      <color rgb="FF293549"/>
      <name val="Roboto"/>
    </font>
    <font>
      <sz val="10"/>
      <color rgb="FF000000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theme="1"/>
      <name val="Roboto"/>
    </font>
    <font>
      <b/>
      <u/>
      <sz val="10"/>
      <color theme="1"/>
      <name val="Roboto"/>
    </font>
    <font>
      <b/>
      <sz val="10"/>
      <color rgb="FFFF0000"/>
      <name val="Roboto"/>
    </font>
    <font>
      <sz val="8"/>
      <name val="Calibri"/>
      <family val="2"/>
      <scheme val="minor"/>
    </font>
    <font>
      <b/>
      <sz val="14"/>
      <color rgb="FF255AE5"/>
      <name val="Roboto"/>
    </font>
    <font>
      <b/>
      <sz val="11"/>
      <color rgb="FFFF0000"/>
      <name val="Roboto"/>
    </font>
    <font>
      <b/>
      <sz val="12"/>
      <name val="Poppins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8"/>
      <color rgb="FF010000"/>
      <name val="Poppins"/>
    </font>
    <font>
      <u/>
      <sz val="10"/>
      <color theme="10"/>
      <name val="Arial"/>
      <family val="2"/>
    </font>
    <font>
      <b/>
      <sz val="8"/>
      <name val="Poppins"/>
    </font>
    <font>
      <sz val="8"/>
      <name val="Poppins"/>
    </font>
    <font>
      <sz val="8"/>
      <color rgb="FF010000"/>
      <name val="Poppins"/>
    </font>
    <font>
      <b/>
      <sz val="7"/>
      <color theme="0"/>
      <name val="Poppins"/>
    </font>
    <font>
      <sz val="8"/>
      <color rgb="FF0070C0"/>
      <name val="Poppins"/>
    </font>
    <font>
      <sz val="8"/>
      <color rgb="FFFF0000"/>
      <name val="Poppins"/>
    </font>
    <font>
      <u/>
      <sz val="10"/>
      <color rgb="FFFF0000"/>
      <name val="Arial"/>
      <family val="2"/>
    </font>
    <font>
      <b/>
      <sz val="8"/>
      <color rgb="FF0070C0"/>
      <name val="Poppins"/>
    </font>
    <font>
      <u/>
      <sz val="10"/>
      <name val="Arial"/>
      <family val="2"/>
    </font>
    <font>
      <b/>
      <sz val="8"/>
      <color rgb="FFFF0000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ECECE"/>
        <bgColor rgb="FFCECECE"/>
      </patternFill>
    </fill>
    <fill>
      <patternFill patternType="solid">
        <fgColor rgb="FF1212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3400"/>
        <bgColor indexed="64"/>
      </patternFill>
    </fill>
    <fill>
      <patternFill patternType="solid">
        <fgColor theme="6" tint="0.39997558519241921"/>
        <bgColor indexed="64"/>
      </patternFill>
    </fill>
  </fills>
  <borders count="11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medium">
        <color rgb="FFCECE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rgb="FF010000"/>
      </left>
      <right style="medium">
        <color rgb="FF010000"/>
      </right>
      <top/>
      <bottom style="medium">
        <color rgb="FF010000"/>
      </bottom>
      <diagonal/>
    </border>
    <border>
      <left style="medium">
        <color rgb="FF010000"/>
      </left>
      <right/>
      <top style="hair">
        <color rgb="FF010000"/>
      </top>
      <bottom style="medium">
        <color rgb="FF010000"/>
      </bottom>
      <diagonal/>
    </border>
    <border>
      <left/>
      <right/>
      <top style="hair">
        <color rgb="FF010000"/>
      </top>
      <bottom style="medium">
        <color rgb="FF010000"/>
      </bottom>
      <diagonal/>
    </border>
    <border>
      <left/>
      <right style="thin">
        <color rgb="FF010000"/>
      </right>
      <top style="hair">
        <color rgb="FF010000"/>
      </top>
      <bottom style="medium">
        <color rgb="FF01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10000"/>
      </left>
      <right style="thin">
        <color rgb="FF010000"/>
      </right>
      <top/>
      <bottom style="medium">
        <color rgb="FF010000"/>
      </bottom>
      <diagonal/>
    </border>
    <border>
      <left style="thin">
        <color rgb="FF010000"/>
      </left>
      <right style="thin">
        <color rgb="FF010000"/>
      </right>
      <top/>
      <bottom style="medium">
        <color rgb="FF010000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371">
    <xf numFmtId="0" fontId="0" fillId="0" borderId="0" xfId="0"/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43" fontId="6" fillId="0" borderId="5" xfId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43" fontId="6" fillId="0" borderId="7" xfId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43" fontId="6" fillId="0" borderId="0" xfId="1" applyFont="1" applyBorder="1" applyAlignment="1">
      <alignment horizontal="center" vertical="center"/>
    </xf>
    <xf numFmtId="43" fontId="6" fillId="0" borderId="2" xfId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43" fontId="6" fillId="0" borderId="7" xfId="1" applyFont="1" applyBorder="1" applyAlignment="1">
      <alignment vertical="center"/>
    </xf>
    <xf numFmtId="165" fontId="6" fillId="0" borderId="20" xfId="1" applyNumberFormat="1" applyFont="1" applyBorder="1" applyAlignment="1">
      <alignment horizontal="center" vertical="center"/>
    </xf>
    <xf numFmtId="165" fontId="6" fillId="0" borderId="23" xfId="1" applyNumberFormat="1" applyFont="1" applyBorder="1" applyAlignment="1">
      <alignment horizontal="center" vertical="center"/>
    </xf>
    <xf numFmtId="165" fontId="6" fillId="0" borderId="26" xfId="1" applyNumberFormat="1" applyFont="1" applyBorder="1" applyAlignment="1">
      <alignment horizontal="center" vertical="center"/>
    </xf>
    <xf numFmtId="165" fontId="6" fillId="0" borderId="33" xfId="1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43" fontId="6" fillId="0" borderId="20" xfId="1" applyFont="1" applyBorder="1" applyAlignment="1">
      <alignment horizontal="center" vertical="center" wrapText="1"/>
    </xf>
    <xf numFmtId="43" fontId="6" fillId="0" borderId="2" xfId="1" applyFont="1" applyBorder="1" applyAlignment="1">
      <alignment vertical="center"/>
    </xf>
    <xf numFmtId="43" fontId="8" fillId="0" borderId="0" xfId="1" applyFont="1" applyBorder="1" applyAlignment="1">
      <alignment vertical="center"/>
    </xf>
    <xf numFmtId="43" fontId="6" fillId="0" borderId="0" xfId="1" applyFont="1" applyBorder="1" applyAlignment="1">
      <alignment vertical="center"/>
    </xf>
    <xf numFmtId="43" fontId="6" fillId="0" borderId="23" xfId="1" applyFont="1" applyBorder="1" applyAlignment="1">
      <alignment horizontal="center" vertical="center" wrapText="1"/>
    </xf>
    <xf numFmtId="43" fontId="6" fillId="0" borderId="0" xfId="1" applyFont="1" applyAlignment="1">
      <alignment vertical="center"/>
    </xf>
    <xf numFmtId="43" fontId="6" fillId="0" borderId="37" xfId="1" applyFont="1" applyBorder="1" applyAlignment="1">
      <alignment horizontal="center" vertical="center" wrapText="1"/>
    </xf>
    <xf numFmtId="43" fontId="8" fillId="0" borderId="0" xfId="1" applyFont="1" applyBorder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6" fillId="0" borderId="26" xfId="1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43" fontId="6" fillId="0" borderId="28" xfId="1" applyFont="1" applyBorder="1" applyAlignment="1">
      <alignment horizontal="center" vertical="center" wrapText="1"/>
    </xf>
    <xf numFmtId="43" fontId="6" fillId="0" borderId="29" xfId="1" applyFont="1" applyBorder="1" applyAlignment="1">
      <alignment horizontal="center" vertical="center" wrapText="1"/>
    </xf>
    <xf numFmtId="43" fontId="6" fillId="0" borderId="32" xfId="1" applyFont="1" applyBorder="1" applyAlignment="1">
      <alignment horizontal="center" vertical="center" wrapText="1"/>
    </xf>
    <xf numFmtId="43" fontId="6" fillId="0" borderId="33" xfId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43" fontId="6" fillId="0" borderId="30" xfId="1" quotePrefix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3" fontId="6" fillId="0" borderId="0" xfId="0" applyNumberFormat="1" applyFont="1" applyAlignment="1">
      <alignment vertical="center"/>
    </xf>
    <xf numFmtId="4" fontId="6" fillId="0" borderId="0" xfId="0" applyNumberFormat="1" applyFont="1" applyAlignment="1">
      <alignment vertical="center"/>
    </xf>
    <xf numFmtId="0" fontId="6" fillId="0" borderId="29" xfId="0" applyFont="1" applyBorder="1" applyAlignment="1">
      <alignment horizontal="center" vertical="center" wrapText="1"/>
    </xf>
    <xf numFmtId="43" fontId="6" fillId="0" borderId="7" xfId="0" applyNumberFormat="1" applyFont="1" applyBorder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43" fontId="6" fillId="0" borderId="23" xfId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43" fontId="6" fillId="0" borderId="29" xfId="1" applyFont="1" applyFill="1" applyBorder="1" applyAlignment="1">
      <alignment horizontal="center" vertical="center" wrapText="1"/>
    </xf>
    <xf numFmtId="165" fontId="6" fillId="0" borderId="23" xfId="1" applyNumberFormat="1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43" fontId="0" fillId="0" borderId="0" xfId="1" applyFont="1"/>
    <xf numFmtId="43" fontId="3" fillId="0" borderId="32" xfId="1" applyFont="1" applyBorder="1" applyAlignment="1">
      <alignment horizontal="center" vertical="center" wrapText="1"/>
    </xf>
    <xf numFmtId="43" fontId="10" fillId="0" borderId="0" xfId="1" applyFont="1" applyBorder="1" applyAlignment="1">
      <alignment vertical="center"/>
    </xf>
    <xf numFmtId="43" fontId="3" fillId="0" borderId="28" xfId="1" applyFont="1" applyBorder="1" applyAlignment="1">
      <alignment horizontal="center" vertical="center" wrapText="1"/>
    </xf>
    <xf numFmtId="165" fontId="3" fillId="0" borderId="23" xfId="1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43" fontId="6" fillId="0" borderId="28" xfId="4" applyFont="1" applyBorder="1" applyAlignment="1">
      <alignment horizontal="center" vertical="center" wrapText="1"/>
    </xf>
    <xf numFmtId="43" fontId="6" fillId="0" borderId="29" xfId="4" applyFont="1" applyBorder="1" applyAlignment="1">
      <alignment horizontal="center" vertical="center" wrapText="1"/>
    </xf>
    <xf numFmtId="43" fontId="6" fillId="0" borderId="28" xfId="4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43" fontId="6" fillId="0" borderId="29" xfId="4" applyFont="1" applyBorder="1" applyAlignment="1">
      <alignment horizontal="center" vertical="center"/>
    </xf>
    <xf numFmtId="43" fontId="6" fillId="0" borderId="29" xfId="1" quotePrefix="1" applyFont="1" applyFill="1" applyBorder="1" applyAlignment="1">
      <alignment horizontal="center" vertical="center" wrapText="1"/>
    </xf>
    <xf numFmtId="43" fontId="3" fillId="0" borderId="29" xfId="1" applyFont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165" fontId="6" fillId="0" borderId="37" xfId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5" fontId="3" fillId="0" borderId="33" xfId="1" applyNumberFormat="1" applyFont="1" applyBorder="1" applyAlignment="1">
      <alignment horizontal="center" vertical="center"/>
    </xf>
    <xf numFmtId="2" fontId="6" fillId="0" borderId="29" xfId="1" applyNumberFormat="1" applyFont="1" applyBorder="1" applyAlignment="1">
      <alignment horizontal="center" vertical="center" wrapText="1"/>
    </xf>
    <xf numFmtId="2" fontId="6" fillId="0" borderId="28" xfId="1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vertical="center"/>
    </xf>
    <xf numFmtId="165" fontId="3" fillId="0" borderId="20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43" fontId="6" fillId="2" borderId="16" xfId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43" fontId="6" fillId="2" borderId="14" xfId="1" applyFont="1" applyFill="1" applyBorder="1" applyAlignment="1">
      <alignment horizontal="center" vertical="center"/>
    </xf>
    <xf numFmtId="43" fontId="8" fillId="4" borderId="31" xfId="1" applyFont="1" applyFill="1" applyBorder="1" applyAlignment="1">
      <alignment horizontal="center" vertical="center"/>
    </xf>
    <xf numFmtId="43" fontId="8" fillId="4" borderId="19" xfId="1" applyFont="1" applyFill="1" applyBorder="1" applyAlignment="1">
      <alignment horizontal="center" vertical="center"/>
    </xf>
    <xf numFmtId="43" fontId="8" fillId="3" borderId="19" xfId="1" applyFont="1" applyFill="1" applyBorder="1" applyAlignment="1">
      <alignment horizontal="center" vertical="center"/>
    </xf>
    <xf numFmtId="0" fontId="6" fillId="5" borderId="9" xfId="0" applyFont="1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5" borderId="0" xfId="0" applyFont="1" applyFill="1" applyAlignment="1">
      <alignment vertical="center"/>
    </xf>
    <xf numFmtId="0" fontId="5" fillId="5" borderId="41" xfId="0" applyFont="1" applyFill="1" applyBorder="1" applyAlignment="1">
      <alignment vertical="center"/>
    </xf>
    <xf numFmtId="0" fontId="6" fillId="6" borderId="42" xfId="0" applyFont="1" applyFill="1" applyBorder="1" applyAlignment="1">
      <alignment vertical="center"/>
    </xf>
    <xf numFmtId="0" fontId="6" fillId="6" borderId="43" xfId="0" applyFont="1" applyFill="1" applyBorder="1" applyAlignment="1">
      <alignment vertical="center"/>
    </xf>
    <xf numFmtId="14" fontId="6" fillId="6" borderId="42" xfId="0" applyNumberFormat="1" applyFont="1" applyFill="1" applyBorder="1" applyAlignment="1">
      <alignment vertical="center"/>
    </xf>
    <xf numFmtId="14" fontId="6" fillId="6" borderId="43" xfId="0" applyNumberFormat="1" applyFont="1" applyFill="1" applyBorder="1" applyAlignment="1">
      <alignment vertical="center"/>
    </xf>
    <xf numFmtId="0" fontId="6" fillId="5" borderId="41" xfId="0" applyFont="1" applyFill="1" applyBorder="1" applyAlignment="1">
      <alignment vertical="center"/>
    </xf>
    <xf numFmtId="14" fontId="6" fillId="6" borderId="42" xfId="0" applyNumberFormat="1" applyFont="1" applyFill="1" applyBorder="1" applyAlignment="1">
      <alignment horizontal="left" vertical="center"/>
    </xf>
    <xf numFmtId="14" fontId="6" fillId="6" borderId="43" xfId="0" applyNumberFormat="1" applyFont="1" applyFill="1" applyBorder="1" applyAlignment="1">
      <alignment horizontal="left" vertical="center"/>
    </xf>
    <xf numFmtId="0" fontId="6" fillId="5" borderId="41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8" fillId="3" borderId="44" xfId="0" applyFont="1" applyFill="1" applyBorder="1" applyAlignment="1">
      <alignment horizontal="left" vertical="center"/>
    </xf>
    <xf numFmtId="0" fontId="8" fillId="3" borderId="47" xfId="0" applyFont="1" applyFill="1" applyBorder="1" applyAlignment="1">
      <alignment horizontal="center" vertical="center"/>
    </xf>
    <xf numFmtId="0" fontId="8" fillId="3" borderId="48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left" vertical="center" wrapText="1"/>
    </xf>
    <xf numFmtId="43" fontId="6" fillId="0" borderId="49" xfId="1" applyFont="1" applyBorder="1" applyAlignment="1">
      <alignment horizontal="center" vertical="center"/>
    </xf>
    <xf numFmtId="43" fontId="8" fillId="4" borderId="52" xfId="1" applyFont="1" applyFill="1" applyBorder="1" applyAlignment="1">
      <alignment horizontal="center" vertical="center"/>
    </xf>
    <xf numFmtId="43" fontId="6" fillId="0" borderId="53" xfId="1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 wrapText="1"/>
    </xf>
    <xf numFmtId="43" fontId="6" fillId="0" borderId="54" xfId="1" applyFont="1" applyBorder="1" applyAlignment="1">
      <alignment horizontal="center" vertical="center"/>
    </xf>
    <xf numFmtId="0" fontId="5" fillId="5" borderId="55" xfId="0" applyFont="1" applyFill="1" applyBorder="1" applyAlignment="1">
      <alignment vertical="center"/>
    </xf>
    <xf numFmtId="0" fontId="6" fillId="6" borderId="56" xfId="0" applyFont="1" applyFill="1" applyBorder="1" applyAlignment="1">
      <alignment vertical="center"/>
    </xf>
    <xf numFmtId="0" fontId="6" fillId="6" borderId="57" xfId="0" applyFont="1" applyFill="1" applyBorder="1" applyAlignment="1">
      <alignment vertical="center"/>
    </xf>
    <xf numFmtId="0" fontId="5" fillId="5" borderId="58" xfId="0" applyFont="1" applyFill="1" applyBorder="1" applyAlignment="1">
      <alignment vertical="center"/>
    </xf>
    <xf numFmtId="14" fontId="6" fillId="6" borderId="59" xfId="0" applyNumberFormat="1" applyFont="1" applyFill="1" applyBorder="1" applyAlignment="1">
      <alignment vertical="center"/>
    </xf>
    <xf numFmtId="0" fontId="6" fillId="5" borderId="58" xfId="0" applyFont="1" applyFill="1" applyBorder="1" applyAlignment="1">
      <alignment vertical="center"/>
    </xf>
    <xf numFmtId="14" fontId="6" fillId="6" borderId="59" xfId="0" applyNumberFormat="1" applyFont="1" applyFill="1" applyBorder="1" applyAlignment="1">
      <alignment horizontal="left" vertical="center"/>
    </xf>
    <xf numFmtId="0" fontId="6" fillId="5" borderId="60" xfId="0" applyFont="1" applyFill="1" applyBorder="1" applyAlignment="1">
      <alignment horizontal="left" vertical="center"/>
    </xf>
    <xf numFmtId="14" fontId="6" fillId="6" borderId="61" xfId="0" applyNumberFormat="1" applyFont="1" applyFill="1" applyBorder="1" applyAlignment="1">
      <alignment vertical="center"/>
    </xf>
    <xf numFmtId="14" fontId="6" fillId="6" borderId="62" xfId="0" applyNumberFormat="1" applyFont="1" applyFill="1" applyBorder="1" applyAlignment="1">
      <alignment vertical="center"/>
    </xf>
    <xf numFmtId="0" fontId="6" fillId="0" borderId="63" xfId="0" applyFont="1" applyBorder="1" applyAlignment="1">
      <alignment horizontal="left" vertical="center" wrapText="1"/>
    </xf>
    <xf numFmtId="43" fontId="6" fillId="0" borderId="64" xfId="1" applyFont="1" applyBorder="1" applyAlignment="1">
      <alignment horizontal="center" vertical="center"/>
    </xf>
    <xf numFmtId="43" fontId="6" fillId="0" borderId="49" xfId="1" applyFont="1" applyFill="1" applyBorder="1" applyAlignment="1">
      <alignment horizontal="center" vertical="center"/>
    </xf>
    <xf numFmtId="43" fontId="8" fillId="3" borderId="19" xfId="1" applyFont="1" applyFill="1" applyBorder="1" applyAlignment="1">
      <alignment vertical="center"/>
    </xf>
    <xf numFmtId="0" fontId="6" fillId="0" borderId="65" xfId="0" applyFont="1" applyBorder="1" applyAlignment="1">
      <alignment horizontal="left" vertical="center" wrapText="1"/>
    </xf>
    <xf numFmtId="0" fontId="6" fillId="0" borderId="66" xfId="0" applyFont="1" applyBorder="1" applyAlignment="1">
      <alignment horizontal="left" vertical="center" wrapText="1"/>
    </xf>
    <xf numFmtId="0" fontId="6" fillId="0" borderId="67" xfId="0" applyFont="1" applyBorder="1" applyAlignment="1">
      <alignment horizontal="left" vertical="center" wrapText="1"/>
    </xf>
    <xf numFmtId="0" fontId="6" fillId="0" borderId="66" xfId="0" applyFont="1" applyBorder="1" applyAlignment="1">
      <alignment vertical="center" wrapText="1"/>
    </xf>
    <xf numFmtId="0" fontId="6" fillId="0" borderId="63" xfId="0" applyFont="1" applyBorder="1" applyAlignment="1">
      <alignment vertical="center" wrapText="1"/>
    </xf>
    <xf numFmtId="0" fontId="6" fillId="0" borderId="63" xfId="0" applyFont="1" applyBorder="1" applyAlignment="1">
      <alignment vertical="center"/>
    </xf>
    <xf numFmtId="0" fontId="6" fillId="0" borderId="40" xfId="0" applyFont="1" applyBorder="1" applyAlignment="1">
      <alignment vertical="center" wrapText="1"/>
    </xf>
    <xf numFmtId="0" fontId="6" fillId="0" borderId="68" xfId="0" applyFont="1" applyBorder="1" applyAlignment="1">
      <alignment horizontal="left" vertical="center" wrapText="1"/>
    </xf>
    <xf numFmtId="0" fontId="3" fillId="0" borderId="66" xfId="0" applyFont="1" applyBorder="1" applyAlignment="1">
      <alignment horizontal="left" vertical="center" wrapText="1"/>
    </xf>
    <xf numFmtId="43" fontId="8" fillId="4" borderId="70" xfId="1" applyFont="1" applyFill="1" applyBorder="1" applyAlignment="1">
      <alignment horizontal="center" vertical="center"/>
    </xf>
    <xf numFmtId="2" fontId="3" fillId="0" borderId="29" xfId="1" applyNumberFormat="1" applyFont="1" applyBorder="1" applyAlignment="1">
      <alignment horizontal="center" vertical="center" wrapText="1"/>
    </xf>
    <xf numFmtId="43" fontId="3" fillId="0" borderId="28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43" fontId="6" fillId="2" borderId="16" xfId="1" applyFont="1" applyFill="1" applyBorder="1" applyAlignment="1">
      <alignment horizontal="right" vertical="center"/>
    </xf>
    <xf numFmtId="165" fontId="6" fillId="0" borderId="23" xfId="1" applyNumberFormat="1" applyFont="1" applyBorder="1" applyAlignment="1">
      <alignment horizontal="left" vertical="center" wrapText="1"/>
    </xf>
    <xf numFmtId="166" fontId="6" fillId="0" borderId="0" xfId="0" applyNumberFormat="1" applyFont="1" applyAlignment="1">
      <alignment horizontal="center" vertical="center"/>
    </xf>
    <xf numFmtId="43" fontId="3" fillId="0" borderId="23" xfId="1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43" fontId="3" fillId="0" borderId="49" xfId="1" applyFont="1" applyBorder="1" applyAlignment="1">
      <alignment horizontal="center" vertical="center"/>
    </xf>
    <xf numFmtId="10" fontId="6" fillId="0" borderId="23" xfId="6" applyNumberFormat="1" applyFont="1" applyBorder="1" applyAlignment="1">
      <alignment horizontal="right" vertical="center"/>
    </xf>
    <xf numFmtId="0" fontId="8" fillId="4" borderId="50" xfId="0" applyFont="1" applyFill="1" applyBorder="1" applyAlignment="1">
      <alignment vertical="center" wrapText="1"/>
    </xf>
    <xf numFmtId="0" fontId="8" fillId="4" borderId="51" xfId="0" applyFont="1" applyFill="1" applyBorder="1" applyAlignment="1">
      <alignment vertical="center" wrapText="1"/>
    </xf>
    <xf numFmtId="0" fontId="8" fillId="3" borderId="44" xfId="0" applyFont="1" applyFill="1" applyBorder="1" applyAlignment="1">
      <alignment vertical="center"/>
    </xf>
    <xf numFmtId="43" fontId="8" fillId="3" borderId="45" xfId="1" applyFont="1" applyFill="1" applyBorder="1" applyAlignment="1">
      <alignment vertical="center"/>
    </xf>
    <xf numFmtId="43" fontId="8" fillId="3" borderId="46" xfId="1" applyFont="1" applyFill="1" applyBorder="1" applyAlignment="1">
      <alignment vertical="center"/>
    </xf>
    <xf numFmtId="0" fontId="8" fillId="3" borderId="45" xfId="0" applyFont="1" applyFill="1" applyBorder="1" applyAlignment="1">
      <alignment vertical="center"/>
    </xf>
    <xf numFmtId="0" fontId="8" fillId="3" borderId="46" xfId="0" applyFont="1" applyFill="1" applyBorder="1" applyAlignment="1">
      <alignment vertical="center"/>
    </xf>
    <xf numFmtId="43" fontId="6" fillId="0" borderId="6" xfId="0" applyNumberFormat="1" applyFont="1" applyBorder="1" applyAlignment="1">
      <alignment vertical="center"/>
    </xf>
    <xf numFmtId="0" fontId="6" fillId="0" borderId="39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49" fontId="6" fillId="6" borderId="42" xfId="0" applyNumberFormat="1" applyFont="1" applyFill="1" applyBorder="1" applyAlignment="1">
      <alignment vertical="center"/>
    </xf>
    <xf numFmtId="0" fontId="6" fillId="0" borderId="68" xfId="0" applyFont="1" applyBorder="1" applyAlignment="1">
      <alignment vertical="center" wrapText="1"/>
    </xf>
    <xf numFmtId="165" fontId="3" fillId="0" borderId="37" xfId="1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 wrapText="1"/>
    </xf>
    <xf numFmtId="0" fontId="3" fillId="0" borderId="63" xfId="0" applyFont="1" applyBorder="1" applyAlignment="1">
      <alignment vertical="center" wrapText="1"/>
    </xf>
    <xf numFmtId="165" fontId="3" fillId="0" borderId="33" xfId="1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 wrapText="1"/>
    </xf>
    <xf numFmtId="43" fontId="3" fillId="2" borderId="16" xfId="1" applyFont="1" applyFill="1" applyBorder="1" applyAlignment="1">
      <alignment horizontal="center" vertical="center"/>
    </xf>
    <xf numFmtId="43" fontId="3" fillId="0" borderId="33" xfId="1" applyFont="1" applyFill="1" applyBorder="1" applyAlignment="1">
      <alignment horizontal="left" vertical="center" wrapText="1"/>
    </xf>
    <xf numFmtId="43" fontId="3" fillId="0" borderId="23" xfId="1" applyFont="1" applyFill="1" applyBorder="1" applyAlignment="1">
      <alignment horizontal="left" vertical="center" wrapText="1"/>
    </xf>
    <xf numFmtId="43" fontId="3" fillId="0" borderId="30" xfId="1" applyFont="1" applyBorder="1" applyAlignment="1">
      <alignment horizontal="center" vertical="center" wrapText="1"/>
    </xf>
    <xf numFmtId="0" fontId="2" fillId="0" borderId="0" xfId="2"/>
    <xf numFmtId="0" fontId="15" fillId="7" borderId="76" xfId="2" applyFont="1" applyFill="1" applyBorder="1" applyAlignment="1">
      <alignment horizontal="left" vertical="center" wrapText="1"/>
    </xf>
    <xf numFmtId="0" fontId="16" fillId="8" borderId="77" xfId="7" applyFont="1" applyFill="1" applyBorder="1" applyAlignment="1">
      <alignment horizontal="left" vertical="center" wrapText="1"/>
    </xf>
    <xf numFmtId="0" fontId="16" fillId="8" borderId="78" xfId="7" applyFont="1" applyFill="1" applyBorder="1" applyAlignment="1">
      <alignment horizontal="center" vertical="center" wrapText="1"/>
    </xf>
    <xf numFmtId="167" fontId="16" fillId="8" borderId="78" xfId="8" applyFont="1" applyFill="1" applyBorder="1" applyAlignment="1">
      <alignment horizontal="left" vertical="center" wrapText="1"/>
    </xf>
    <xf numFmtId="0" fontId="17" fillId="8" borderId="78" xfId="7" applyFont="1" applyFill="1" applyBorder="1" applyAlignment="1">
      <alignment horizontal="center" vertical="center" wrapText="1"/>
    </xf>
    <xf numFmtId="0" fontId="16" fillId="8" borderId="11" xfId="7" applyFont="1" applyFill="1" applyBorder="1" applyAlignment="1">
      <alignment horizontal="left" vertical="center" wrapText="1"/>
    </xf>
    <xf numFmtId="0" fontId="16" fillId="8" borderId="79" xfId="7" applyFont="1" applyFill="1" applyBorder="1" applyAlignment="1">
      <alignment horizontal="center" vertical="center" wrapText="1"/>
    </xf>
    <xf numFmtId="167" fontId="16" fillId="8" borderId="79" xfId="8" applyFont="1" applyFill="1" applyBorder="1" applyAlignment="1">
      <alignment horizontal="left" vertical="center" wrapText="1"/>
    </xf>
    <xf numFmtId="0" fontId="15" fillId="7" borderId="80" xfId="2" applyFont="1" applyFill="1" applyBorder="1" applyAlignment="1">
      <alignment horizontal="left" vertical="center" wrapText="1"/>
    </xf>
    <xf numFmtId="14" fontId="16" fillId="8" borderId="81" xfId="7" applyNumberFormat="1" applyFont="1" applyFill="1" applyBorder="1" applyAlignment="1">
      <alignment horizontal="left" vertical="center" wrapText="1"/>
    </xf>
    <xf numFmtId="14" fontId="16" fillId="8" borderId="82" xfId="7" applyNumberFormat="1" applyFont="1" applyFill="1" applyBorder="1" applyAlignment="1">
      <alignment horizontal="center" vertical="center" wrapText="1"/>
    </xf>
    <xf numFmtId="167" fontId="16" fillId="8" borderId="82" xfId="8" applyFont="1" applyFill="1" applyBorder="1" applyAlignment="1">
      <alignment horizontal="left" vertical="center" wrapText="1"/>
    </xf>
    <xf numFmtId="14" fontId="16" fillId="8" borderId="82" xfId="7" applyNumberFormat="1" applyFont="1" applyFill="1" applyBorder="1" applyAlignment="1">
      <alignment vertical="top" wrapText="1"/>
    </xf>
    <xf numFmtId="0" fontId="15" fillId="7" borderId="76" xfId="2" applyFont="1" applyFill="1" applyBorder="1" applyAlignment="1">
      <alignment horizontal="center" vertical="center" wrapText="1"/>
    </xf>
    <xf numFmtId="43" fontId="15" fillId="7" borderId="76" xfId="9" applyFont="1" applyFill="1" applyBorder="1" applyAlignment="1">
      <alignment horizontal="center" vertical="center" wrapText="1"/>
    </xf>
    <xf numFmtId="43" fontId="15" fillId="7" borderId="75" xfId="9" applyFont="1" applyFill="1" applyBorder="1" applyAlignment="1">
      <alignment horizontal="center" vertical="center" wrapText="1"/>
    </xf>
    <xf numFmtId="0" fontId="15" fillId="7" borderId="76" xfId="2" applyFont="1" applyFill="1" applyBorder="1" applyAlignment="1">
      <alignment horizontal="center" vertical="top" wrapText="1"/>
    </xf>
    <xf numFmtId="0" fontId="19" fillId="4" borderId="84" xfId="2" applyFont="1" applyFill="1" applyBorder="1" applyAlignment="1">
      <alignment horizontal="left" vertical="top" wrapText="1"/>
    </xf>
    <xf numFmtId="0" fontId="19" fillId="4" borderId="74" xfId="2" applyFont="1" applyFill="1" applyBorder="1" applyAlignment="1">
      <alignment vertical="top" wrapText="1"/>
    </xf>
    <xf numFmtId="43" fontId="19" fillId="4" borderId="74" xfId="9" applyFont="1" applyFill="1" applyBorder="1" applyAlignment="1">
      <alignment vertical="top" wrapText="1"/>
    </xf>
    <xf numFmtId="43" fontId="19" fillId="4" borderId="85" xfId="9" applyFont="1" applyFill="1" applyBorder="1" applyAlignment="1">
      <alignment vertical="top" wrapText="1"/>
    </xf>
    <xf numFmtId="0" fontId="21" fillId="4" borderId="86" xfId="10" applyFont="1" applyFill="1" applyBorder="1" applyAlignment="1">
      <alignment vertical="top" wrapText="1"/>
    </xf>
    <xf numFmtId="0" fontId="22" fillId="0" borderId="0" xfId="2" applyFont="1"/>
    <xf numFmtId="0" fontId="19" fillId="3" borderId="84" xfId="2" applyFont="1" applyFill="1" applyBorder="1" applyAlignment="1">
      <alignment horizontal="left" vertical="top" wrapText="1"/>
    </xf>
    <xf numFmtId="0" fontId="19" fillId="3" borderId="74" xfId="2" applyFont="1" applyFill="1" applyBorder="1" applyAlignment="1">
      <alignment vertical="top" wrapText="1"/>
    </xf>
    <xf numFmtId="43" fontId="19" fillId="3" borderId="74" xfId="9" applyFont="1" applyFill="1" applyBorder="1" applyAlignment="1">
      <alignment vertical="top" wrapText="1"/>
    </xf>
    <xf numFmtId="43" fontId="19" fillId="3" borderId="85" xfId="9" applyFont="1" applyFill="1" applyBorder="1" applyAlignment="1">
      <alignment vertical="top" wrapText="1"/>
    </xf>
    <xf numFmtId="0" fontId="22" fillId="3" borderId="86" xfId="10" applyFont="1" applyFill="1" applyBorder="1" applyAlignment="1">
      <alignment vertical="top" wrapText="1"/>
    </xf>
    <xf numFmtId="0" fontId="19" fillId="2" borderId="84" xfId="2" applyFont="1" applyFill="1" applyBorder="1" applyAlignment="1">
      <alignment horizontal="left" vertical="top" wrapText="1"/>
    </xf>
    <xf numFmtId="0" fontId="19" fillId="2" borderId="74" xfId="2" applyFont="1" applyFill="1" applyBorder="1" applyAlignment="1">
      <alignment vertical="top" wrapText="1"/>
    </xf>
    <xf numFmtId="43" fontId="19" fillId="2" borderId="74" xfId="9" applyFont="1" applyFill="1" applyBorder="1" applyAlignment="1">
      <alignment vertical="top" wrapText="1"/>
    </xf>
    <xf numFmtId="43" fontId="19" fillId="2" borderId="85" xfId="9" applyFont="1" applyFill="1" applyBorder="1" applyAlignment="1">
      <alignment vertical="top" wrapText="1"/>
    </xf>
    <xf numFmtId="0" fontId="22" fillId="2" borderId="86" xfId="10" applyFont="1" applyFill="1" applyBorder="1" applyAlignment="1">
      <alignment vertical="top" wrapText="1"/>
    </xf>
    <xf numFmtId="49" fontId="19" fillId="10" borderId="84" xfId="2" applyNumberFormat="1" applyFont="1" applyFill="1" applyBorder="1" applyAlignment="1">
      <alignment horizontal="left" vertical="top" wrapText="1"/>
    </xf>
    <xf numFmtId="0" fontId="19" fillId="10" borderId="74" xfId="2" applyFont="1" applyFill="1" applyBorder="1" applyAlignment="1">
      <alignment vertical="top" wrapText="1"/>
    </xf>
    <xf numFmtId="43" fontId="19" fillId="10" borderId="74" xfId="9" applyFont="1" applyFill="1" applyBorder="1" applyAlignment="1">
      <alignment vertical="top" wrapText="1"/>
    </xf>
    <xf numFmtId="43" fontId="19" fillId="10" borderId="85" xfId="9" applyFont="1" applyFill="1" applyBorder="1" applyAlignment="1">
      <alignment vertical="top" wrapText="1"/>
    </xf>
    <xf numFmtId="0" fontId="22" fillId="10" borderId="86" xfId="10" applyFont="1" applyFill="1" applyBorder="1" applyAlignment="1">
      <alignment vertical="top" wrapText="1"/>
    </xf>
    <xf numFmtId="0" fontId="23" fillId="0" borderId="74" xfId="2" applyFont="1" applyBorder="1" applyAlignment="1">
      <alignment vertical="top" wrapText="1"/>
    </xf>
    <xf numFmtId="43" fontId="23" fillId="0" borderId="74" xfId="9" applyFont="1" applyFill="1" applyBorder="1" applyAlignment="1">
      <alignment vertical="top" wrapText="1"/>
    </xf>
    <xf numFmtId="43" fontId="23" fillId="0" borderId="85" xfId="9" applyFont="1" applyFill="1" applyBorder="1" applyAlignment="1">
      <alignment vertical="top" wrapText="1"/>
    </xf>
    <xf numFmtId="0" fontId="22" fillId="0" borderId="86" xfId="10" applyFont="1" applyBorder="1" applyAlignment="1">
      <alignment vertical="top" wrapText="1"/>
    </xf>
    <xf numFmtId="0" fontId="22" fillId="0" borderId="86" xfId="10" applyFont="1" applyFill="1" applyBorder="1" applyAlignment="1">
      <alignment vertical="top" wrapText="1"/>
    </xf>
    <xf numFmtId="0" fontId="23" fillId="0" borderId="84" xfId="2" applyFont="1" applyBorder="1" applyAlignment="1">
      <alignment horizontal="left" vertical="top" wrapText="1"/>
    </xf>
    <xf numFmtId="43" fontId="22" fillId="0" borderId="86" xfId="10" applyNumberFormat="1" applyFont="1" applyBorder="1" applyAlignment="1">
      <alignment vertical="top" wrapText="1"/>
    </xf>
    <xf numFmtId="43" fontId="23" fillId="11" borderId="74" xfId="9" applyFont="1" applyFill="1" applyBorder="1" applyAlignment="1">
      <alignment vertical="top" wrapText="1"/>
    </xf>
    <xf numFmtId="43" fontId="22" fillId="10" borderId="86" xfId="10" applyNumberFormat="1" applyFont="1" applyFill="1" applyBorder="1" applyAlignment="1">
      <alignment vertical="top" wrapText="1"/>
    </xf>
    <xf numFmtId="0" fontId="22" fillId="0" borderId="74" xfId="2" applyFont="1" applyBorder="1" applyAlignment="1">
      <alignment vertical="top" wrapText="1"/>
    </xf>
    <xf numFmtId="168" fontId="23" fillId="0" borderId="74" xfId="9" applyNumberFormat="1" applyFont="1" applyFill="1" applyBorder="1" applyAlignment="1">
      <alignment vertical="top" wrapText="1"/>
    </xf>
    <xf numFmtId="43" fontId="23" fillId="0" borderId="74" xfId="9" applyFont="1" applyFill="1" applyBorder="1" applyAlignment="1">
      <alignment horizontal="right" vertical="top" wrapText="1"/>
    </xf>
    <xf numFmtId="43" fontId="23" fillId="10" borderId="74" xfId="9" applyFont="1" applyFill="1" applyBorder="1" applyAlignment="1">
      <alignment vertical="top" wrapText="1"/>
    </xf>
    <xf numFmtId="43" fontId="23" fillId="3" borderId="74" xfId="9" applyFont="1" applyFill="1" applyBorder="1" applyAlignment="1">
      <alignment vertical="top" wrapText="1"/>
    </xf>
    <xf numFmtId="43" fontId="23" fillId="2" borderId="74" xfId="9" applyFont="1" applyFill="1" applyBorder="1" applyAlignment="1">
      <alignment vertical="top" wrapText="1"/>
    </xf>
    <xf numFmtId="43" fontId="22" fillId="0" borderId="74" xfId="9" applyFont="1" applyFill="1" applyBorder="1" applyAlignment="1">
      <alignment vertical="top" wrapText="1"/>
    </xf>
    <xf numFmtId="43" fontId="22" fillId="0" borderId="85" xfId="9" applyFont="1" applyFill="1" applyBorder="1" applyAlignment="1">
      <alignment vertical="top" wrapText="1"/>
    </xf>
    <xf numFmtId="0" fontId="22" fillId="0" borderId="84" xfId="2" applyFont="1" applyBorder="1" applyAlignment="1">
      <alignment horizontal="left" vertical="top" wrapText="1"/>
    </xf>
    <xf numFmtId="0" fontId="22" fillId="2" borderId="86" xfId="10" applyFont="1" applyFill="1" applyBorder="1" applyAlignment="1">
      <alignment horizontal="left" vertical="center" wrapText="1"/>
    </xf>
    <xf numFmtId="0" fontId="22" fillId="10" borderId="86" xfId="10" applyFont="1" applyFill="1" applyBorder="1" applyAlignment="1">
      <alignment horizontal="left" vertical="center" wrapText="1"/>
    </xf>
    <xf numFmtId="0" fontId="22" fillId="0" borderId="86" xfId="10" applyFont="1" applyBorder="1" applyAlignment="1">
      <alignment horizontal="left" vertical="center" wrapText="1"/>
    </xf>
    <xf numFmtId="0" fontId="22" fillId="0" borderId="87" xfId="10" applyFont="1" applyBorder="1" applyAlignment="1">
      <alignment vertical="top" wrapText="1"/>
    </xf>
    <xf numFmtId="43" fontId="24" fillId="12" borderId="88" xfId="9" applyFont="1" applyFill="1" applyBorder="1" applyAlignment="1">
      <alignment horizontal="center" vertical="center" wrapText="1"/>
    </xf>
    <xf numFmtId="0" fontId="2" fillId="0" borderId="0" xfId="2" applyAlignment="1">
      <alignment vertical="top" wrapText="1"/>
    </xf>
    <xf numFmtId="43" fontId="0" fillId="0" borderId="0" xfId="9" applyFont="1"/>
    <xf numFmtId="0" fontId="18" fillId="9" borderId="83" xfId="7" applyFont="1" applyFill="1" applyBorder="1" applyAlignment="1">
      <alignment horizontal="center" vertical="center" wrapText="1"/>
    </xf>
    <xf numFmtId="0" fontId="14" fillId="0" borderId="92" xfId="2" applyFont="1" applyBorder="1" applyAlignment="1">
      <alignment vertical="center"/>
    </xf>
    <xf numFmtId="0" fontId="14" fillId="0" borderId="93" xfId="2" applyFont="1" applyBorder="1" applyAlignment="1">
      <alignment vertical="center"/>
    </xf>
    <xf numFmtId="2" fontId="16" fillId="8" borderId="78" xfId="8" applyNumberFormat="1" applyFont="1" applyFill="1" applyBorder="1" applyAlignment="1">
      <alignment horizontal="left" vertical="top" wrapText="1"/>
    </xf>
    <xf numFmtId="2" fontId="16" fillId="8" borderId="79" xfId="8" applyNumberFormat="1" applyFont="1" applyFill="1" applyBorder="1" applyAlignment="1">
      <alignment horizontal="left" vertical="top" wrapText="1"/>
    </xf>
    <xf numFmtId="167" fontId="16" fillId="8" borderId="78" xfId="8" applyFont="1" applyFill="1" applyBorder="1" applyAlignment="1">
      <alignment horizontal="right" vertical="center" wrapText="1"/>
    </xf>
    <xf numFmtId="167" fontId="16" fillId="8" borderId="79" xfId="8" applyFont="1" applyFill="1" applyBorder="1" applyAlignment="1">
      <alignment horizontal="right" vertical="center" wrapText="1"/>
    </xf>
    <xf numFmtId="43" fontId="22" fillId="2" borderId="86" xfId="10" applyNumberFormat="1" applyFont="1" applyFill="1" applyBorder="1" applyAlignment="1">
      <alignment vertical="top" wrapText="1"/>
    </xf>
    <xf numFmtId="43" fontId="22" fillId="0" borderId="0" xfId="2" applyNumberFormat="1" applyFont="1"/>
    <xf numFmtId="0" fontId="3" fillId="0" borderId="68" xfId="0" applyFont="1" applyBorder="1" applyAlignment="1">
      <alignment horizontal="left" vertical="center" wrapText="1"/>
    </xf>
    <xf numFmtId="43" fontId="3" fillId="0" borderId="38" xfId="1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43" fontId="3" fillId="0" borderId="49" xfId="1" applyFont="1" applyFill="1" applyBorder="1" applyAlignment="1">
      <alignment horizontal="center" vertical="center"/>
    </xf>
    <xf numFmtId="0" fontId="3" fillId="0" borderId="73" xfId="0" applyFont="1" applyBorder="1" applyAlignment="1">
      <alignment horizontal="left" vertical="center" wrapText="1"/>
    </xf>
    <xf numFmtId="43" fontId="0" fillId="0" borderId="0" xfId="0" applyNumberFormat="1"/>
    <xf numFmtId="0" fontId="3" fillId="0" borderId="63" xfId="0" applyFont="1" applyBorder="1" applyAlignment="1">
      <alignment horizontal="left" vertical="center" wrapText="1"/>
    </xf>
    <xf numFmtId="43" fontId="3" fillId="0" borderId="33" xfId="1" applyFont="1" applyBorder="1" applyAlignment="1">
      <alignment horizontal="left" vertical="center" wrapText="1"/>
    </xf>
    <xf numFmtId="43" fontId="3" fillId="0" borderId="20" xfId="1" applyFont="1" applyBorder="1" applyAlignment="1">
      <alignment horizontal="center" vertical="center" wrapText="1"/>
    </xf>
    <xf numFmtId="0" fontId="3" fillId="0" borderId="67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43" fontId="3" fillId="0" borderId="54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43" fontId="3" fillId="0" borderId="29" xfId="1" applyFont="1" applyBorder="1" applyAlignment="1">
      <alignment horizontal="center" vertical="center"/>
    </xf>
    <xf numFmtId="165" fontId="3" fillId="0" borderId="30" xfId="1" applyNumberFormat="1" applyFont="1" applyBorder="1" applyAlignment="1">
      <alignment horizontal="center" vertical="center"/>
    </xf>
    <xf numFmtId="0" fontId="7" fillId="0" borderId="40" xfId="0" applyFont="1" applyBorder="1" applyAlignment="1">
      <alignment vertical="center" wrapText="1"/>
    </xf>
    <xf numFmtId="43" fontId="7" fillId="0" borderId="29" xfId="1" applyFont="1" applyBorder="1" applyAlignment="1">
      <alignment horizontal="center" vertical="center" wrapText="1"/>
    </xf>
    <xf numFmtId="165" fontId="7" fillId="0" borderId="23" xfId="1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43" fontId="7" fillId="0" borderId="49" xfId="1" applyFont="1" applyBorder="1" applyAlignment="1">
      <alignment horizontal="center" vertical="center"/>
    </xf>
    <xf numFmtId="165" fontId="7" fillId="0" borderId="37" xfId="1" applyNumberFormat="1" applyFont="1" applyBorder="1" applyAlignment="1">
      <alignment horizontal="center" vertical="center"/>
    </xf>
    <xf numFmtId="167" fontId="16" fillId="8" borderId="97" xfId="8" applyFont="1" applyFill="1" applyBorder="1" applyAlignment="1">
      <alignment horizontal="left" vertical="center" wrapText="1"/>
    </xf>
    <xf numFmtId="167" fontId="16" fillId="8" borderId="98" xfId="8" applyFont="1" applyFill="1" applyBorder="1" applyAlignment="1">
      <alignment horizontal="left" vertical="center" wrapText="1"/>
    </xf>
    <xf numFmtId="14" fontId="16" fillId="8" borderId="99" xfId="7" applyNumberFormat="1" applyFont="1" applyFill="1" applyBorder="1" applyAlignment="1">
      <alignment horizontal="center" vertical="center" wrapText="1"/>
    </xf>
    <xf numFmtId="0" fontId="15" fillId="7" borderId="102" xfId="2" applyFont="1" applyFill="1" applyBorder="1" applyAlignment="1">
      <alignment horizontal="center" vertical="center" wrapText="1"/>
    </xf>
    <xf numFmtId="0" fontId="21" fillId="4" borderId="86" xfId="10" applyFont="1" applyFill="1" applyBorder="1" applyAlignment="1">
      <alignment horizontal="left" vertical="center" wrapText="1"/>
    </xf>
    <xf numFmtId="0" fontId="20" fillId="4" borderId="103" xfId="10" applyFill="1" applyBorder="1" applyAlignment="1">
      <alignment horizontal="left" vertical="center" wrapText="1"/>
    </xf>
    <xf numFmtId="43" fontId="22" fillId="3" borderId="86" xfId="10" applyNumberFormat="1" applyFont="1" applyFill="1" applyBorder="1" applyAlignment="1">
      <alignment horizontal="left" vertical="center" wrapText="1"/>
    </xf>
    <xf numFmtId="0" fontId="20" fillId="3" borderId="103" xfId="10" applyFill="1" applyBorder="1" applyAlignment="1">
      <alignment horizontal="left" vertical="center" wrapText="1"/>
    </xf>
    <xf numFmtId="0" fontId="20" fillId="2" borderId="103" xfId="10" applyFill="1" applyBorder="1" applyAlignment="1">
      <alignment horizontal="left" vertical="center" wrapText="1"/>
    </xf>
    <xf numFmtId="0" fontId="20" fillId="10" borderId="103" xfId="10" applyFill="1" applyBorder="1" applyAlignment="1">
      <alignment horizontal="left" vertical="center" wrapText="1"/>
    </xf>
    <xf numFmtId="49" fontId="23" fillId="0" borderId="84" xfId="2" applyNumberFormat="1" applyFont="1" applyBorder="1" applyAlignment="1">
      <alignment horizontal="left" vertical="top" wrapText="1"/>
    </xf>
    <xf numFmtId="0" fontId="25" fillId="0" borderId="86" xfId="10" applyFont="1" applyBorder="1" applyAlignment="1">
      <alignment horizontal="left" vertical="center" wrapText="1"/>
    </xf>
    <xf numFmtId="0" fontId="20" fillId="0" borderId="103" xfId="10" applyBorder="1" applyAlignment="1">
      <alignment horizontal="left" vertical="center" wrapText="1"/>
    </xf>
    <xf numFmtId="49" fontId="26" fillId="0" borderId="84" xfId="2" applyNumberFormat="1" applyFont="1" applyBorder="1" applyAlignment="1">
      <alignment horizontal="left" vertical="top" wrapText="1"/>
    </xf>
    <xf numFmtId="0" fontId="26" fillId="0" borderId="74" xfId="2" applyFont="1" applyBorder="1" applyAlignment="1">
      <alignment vertical="top" wrapText="1"/>
    </xf>
    <xf numFmtId="43" fontId="26" fillId="0" borderId="74" xfId="9" applyFont="1" applyFill="1" applyBorder="1" applyAlignment="1">
      <alignment vertical="top" wrapText="1"/>
    </xf>
    <xf numFmtId="43" fontId="26" fillId="0" borderId="85" xfId="9" applyFont="1" applyFill="1" applyBorder="1" applyAlignment="1">
      <alignment vertical="top" wrapText="1"/>
    </xf>
    <xf numFmtId="0" fontId="26" fillId="0" borderId="86" xfId="10" applyFont="1" applyBorder="1" applyAlignment="1">
      <alignment horizontal="left" vertical="center" wrapText="1"/>
    </xf>
    <xf numFmtId="0" fontId="27" fillId="0" borderId="103" xfId="10" applyFont="1" applyBorder="1" applyAlignment="1">
      <alignment horizontal="left" vertical="center" wrapText="1"/>
    </xf>
    <xf numFmtId="0" fontId="26" fillId="0" borderId="0" xfId="2" applyFont="1"/>
    <xf numFmtId="0" fontId="23" fillId="13" borderId="74" xfId="2" applyFont="1" applyFill="1" applyBorder="1" applyAlignment="1">
      <alignment vertical="top" wrapText="1"/>
    </xf>
    <xf numFmtId="43" fontId="23" fillId="13" borderId="74" xfId="9" applyFont="1" applyFill="1" applyBorder="1" applyAlignment="1">
      <alignment vertical="top" wrapText="1"/>
    </xf>
    <xf numFmtId="43" fontId="23" fillId="13" borderId="85" xfId="9" applyFont="1" applyFill="1" applyBorder="1" applyAlignment="1">
      <alignment vertical="top" wrapText="1"/>
    </xf>
    <xf numFmtId="0" fontId="22" fillId="0" borderId="103" xfId="10" applyFont="1" applyBorder="1" applyAlignment="1">
      <alignment horizontal="left" vertical="center" wrapText="1"/>
    </xf>
    <xf numFmtId="0" fontId="26" fillId="0" borderId="84" xfId="2" applyFont="1" applyBorder="1" applyAlignment="1">
      <alignment horizontal="left" vertical="top" wrapText="1"/>
    </xf>
    <xf numFmtId="0" fontId="20" fillId="0" borderId="103" xfId="10" quotePrefix="1" applyBorder="1" applyAlignment="1">
      <alignment horizontal="left" vertical="center" wrapText="1"/>
    </xf>
    <xf numFmtId="0" fontId="23" fillId="2" borderId="74" xfId="2" applyFont="1" applyFill="1" applyBorder="1" applyAlignment="1">
      <alignment vertical="top" wrapText="1"/>
    </xf>
    <xf numFmtId="0" fontId="22" fillId="13" borderId="74" xfId="2" applyFont="1" applyFill="1" applyBorder="1" applyAlignment="1">
      <alignment vertical="top" wrapText="1"/>
    </xf>
    <xf numFmtId="43" fontId="22" fillId="13" borderId="74" xfId="9" applyFont="1" applyFill="1" applyBorder="1" applyAlignment="1">
      <alignment vertical="top" wrapText="1"/>
    </xf>
    <xf numFmtId="0" fontId="27" fillId="0" borderId="103" xfId="10" quotePrefix="1" applyFont="1" applyBorder="1" applyAlignment="1">
      <alignment horizontal="left" vertical="center" wrapText="1"/>
    </xf>
    <xf numFmtId="0" fontId="22" fillId="3" borderId="86" xfId="10" applyFont="1" applyFill="1" applyBorder="1" applyAlignment="1">
      <alignment horizontal="left" vertical="center" wrapText="1"/>
    </xf>
    <xf numFmtId="43" fontId="22" fillId="13" borderId="85" xfId="9" applyFont="1" applyFill="1" applyBorder="1" applyAlignment="1">
      <alignment vertical="top" wrapText="1"/>
    </xf>
    <xf numFmtId="0" fontId="25" fillId="0" borderId="104" xfId="10" applyFont="1" applyBorder="1" applyAlignment="1">
      <alignment horizontal="left" vertical="center" wrapText="1"/>
    </xf>
    <xf numFmtId="0" fontId="29" fillId="0" borderId="103" xfId="10" quotePrefix="1" applyFont="1" applyBorder="1" applyAlignment="1">
      <alignment horizontal="left" vertical="center" wrapText="1"/>
    </xf>
    <xf numFmtId="49" fontId="30" fillId="10" borderId="84" xfId="2" applyNumberFormat="1" applyFont="1" applyFill="1" applyBorder="1" applyAlignment="1">
      <alignment horizontal="left" vertical="top" wrapText="1"/>
    </xf>
    <xf numFmtId="0" fontId="30" fillId="10" borderId="74" xfId="2" applyFont="1" applyFill="1" applyBorder="1" applyAlignment="1">
      <alignment vertical="top" wrapText="1"/>
    </xf>
    <xf numFmtId="43" fontId="30" fillId="10" borderId="74" xfId="9" applyFont="1" applyFill="1" applyBorder="1" applyAlignment="1">
      <alignment vertical="top" wrapText="1"/>
    </xf>
    <xf numFmtId="43" fontId="30" fillId="10" borderId="85" xfId="9" applyFont="1" applyFill="1" applyBorder="1" applyAlignment="1">
      <alignment vertical="top" wrapText="1"/>
    </xf>
    <xf numFmtId="0" fontId="26" fillId="10" borderId="86" xfId="10" applyFont="1" applyFill="1" applyBorder="1" applyAlignment="1">
      <alignment horizontal="left" vertical="center" wrapText="1"/>
    </xf>
    <xf numFmtId="0" fontId="27" fillId="10" borderId="103" xfId="10" applyFont="1" applyFill="1" applyBorder="1" applyAlignment="1">
      <alignment horizontal="left" vertical="center" wrapText="1"/>
    </xf>
    <xf numFmtId="169" fontId="23" fillId="3" borderId="74" xfId="9" applyNumberFormat="1" applyFont="1" applyFill="1" applyBorder="1" applyAlignment="1">
      <alignment vertical="top" wrapText="1"/>
    </xf>
    <xf numFmtId="165" fontId="23" fillId="3" borderId="74" xfId="9" applyNumberFormat="1" applyFont="1" applyFill="1" applyBorder="1" applyAlignment="1">
      <alignment vertical="top" wrapText="1"/>
    </xf>
    <xf numFmtId="169" fontId="22" fillId="0" borderId="0" xfId="2" applyNumberFormat="1" applyFont="1"/>
    <xf numFmtId="0" fontId="26" fillId="0" borderId="103" xfId="10" applyFont="1" applyBorder="1" applyAlignment="1">
      <alignment horizontal="left" vertical="center" wrapText="1"/>
    </xf>
    <xf numFmtId="0" fontId="20" fillId="0" borderId="105" xfId="10" applyBorder="1" applyAlignment="1">
      <alignment vertical="center" wrapText="1"/>
    </xf>
    <xf numFmtId="168" fontId="23" fillId="3" borderId="74" xfId="9" applyNumberFormat="1" applyFont="1" applyFill="1" applyBorder="1" applyAlignment="1">
      <alignment vertical="top" wrapText="1"/>
    </xf>
    <xf numFmtId="0" fontId="22" fillId="0" borderId="86" xfId="10" applyFont="1" applyFill="1" applyBorder="1" applyAlignment="1">
      <alignment horizontal="left" vertical="center" wrapText="1"/>
    </xf>
    <xf numFmtId="0" fontId="23" fillId="3" borderId="74" xfId="2" applyFont="1" applyFill="1" applyBorder="1" applyAlignment="1">
      <alignment vertical="top" wrapText="1"/>
    </xf>
    <xf numFmtId="0" fontId="25" fillId="10" borderId="86" xfId="10" applyFont="1" applyFill="1" applyBorder="1" applyAlignment="1">
      <alignment horizontal="left" vertical="center" wrapText="1"/>
    </xf>
    <xf numFmtId="0" fontId="26" fillId="0" borderId="87" xfId="10" applyFont="1" applyBorder="1" applyAlignment="1">
      <alignment horizontal="left" vertical="center" wrapText="1"/>
    </xf>
    <xf numFmtId="0" fontId="27" fillId="0" borderId="108" xfId="10" applyFont="1" applyBorder="1" applyAlignment="1">
      <alignment horizontal="left" vertical="center" wrapText="1"/>
    </xf>
    <xf numFmtId="0" fontId="2" fillId="0" borderId="0" xfId="2" applyAlignment="1">
      <alignment wrapText="1"/>
    </xf>
    <xf numFmtId="43" fontId="22" fillId="0" borderId="86" xfId="10" applyNumberFormat="1" applyFont="1" applyFill="1" applyBorder="1" applyAlignment="1">
      <alignment vertical="top" wrapText="1"/>
    </xf>
    <xf numFmtId="43" fontId="7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0" fontId="6" fillId="0" borderId="0" xfId="0" applyFont="1" applyAlignment="1">
      <alignment vertical="center" wrapText="1"/>
    </xf>
    <xf numFmtId="43" fontId="6" fillId="0" borderId="38" xfId="1" applyFont="1" applyBorder="1" applyAlignment="1">
      <alignment horizontal="center" vertical="center" wrapText="1"/>
    </xf>
    <xf numFmtId="0" fontId="6" fillId="11" borderId="63" xfId="0" applyFont="1" applyFill="1" applyBorder="1" applyAlignment="1">
      <alignment vertical="center" wrapText="1"/>
    </xf>
    <xf numFmtId="0" fontId="14" fillId="0" borderId="75" xfId="2" applyFont="1" applyBorder="1" applyAlignment="1">
      <alignment horizontal="left" vertical="center"/>
    </xf>
    <xf numFmtId="0" fontId="14" fillId="0" borderId="95" xfId="2" applyFont="1" applyBorder="1" applyAlignment="1">
      <alignment horizontal="left" vertical="center"/>
    </xf>
    <xf numFmtId="0" fontId="14" fillId="0" borderId="96" xfId="2" applyFont="1" applyBorder="1" applyAlignment="1">
      <alignment horizontal="left" vertical="center"/>
    </xf>
    <xf numFmtId="0" fontId="18" fillId="9" borderId="83" xfId="7" applyFont="1" applyFill="1" applyBorder="1" applyAlignment="1">
      <alignment horizontal="center" vertical="center" wrapText="1"/>
    </xf>
    <xf numFmtId="0" fontId="18" fillId="9" borderId="100" xfId="7" applyFont="1" applyFill="1" applyBorder="1" applyAlignment="1">
      <alignment horizontal="center" vertical="center" wrapText="1"/>
    </xf>
    <xf numFmtId="0" fontId="18" fillId="9" borderId="101" xfId="7" applyFont="1" applyFill="1" applyBorder="1" applyAlignment="1">
      <alignment horizontal="center" vertical="center" wrapText="1"/>
    </xf>
    <xf numFmtId="0" fontId="25" fillId="0" borderId="106" xfId="10" applyFont="1" applyBorder="1" applyAlignment="1">
      <alignment horizontal="center" vertical="center" wrapText="1"/>
    </xf>
    <xf numFmtId="0" fontId="25" fillId="0" borderId="107" xfId="10" applyFont="1" applyBorder="1" applyAlignment="1">
      <alignment horizontal="center" vertical="center" wrapText="1"/>
    </xf>
    <xf numFmtId="0" fontId="24" fillId="12" borderId="109" xfId="2" applyFont="1" applyFill="1" applyBorder="1" applyAlignment="1">
      <alignment horizontal="center" vertical="center" wrapText="1"/>
    </xf>
    <xf numFmtId="0" fontId="24" fillId="12" borderId="110" xfId="2" applyFont="1" applyFill="1" applyBorder="1" applyAlignment="1">
      <alignment horizontal="center" vertical="center" wrapText="1"/>
    </xf>
    <xf numFmtId="0" fontId="18" fillId="9" borderId="92" xfId="7" applyFont="1" applyFill="1" applyBorder="1" applyAlignment="1">
      <alignment horizontal="center" vertical="center" wrapText="1"/>
    </xf>
    <xf numFmtId="0" fontId="18" fillId="9" borderId="93" xfId="7" applyFont="1" applyFill="1" applyBorder="1" applyAlignment="1">
      <alignment horizontal="center" vertical="center" wrapText="1"/>
    </xf>
    <xf numFmtId="0" fontId="18" fillId="9" borderId="94" xfId="7" applyFont="1" applyFill="1" applyBorder="1" applyAlignment="1">
      <alignment horizontal="center" vertical="center" wrapText="1"/>
    </xf>
    <xf numFmtId="0" fontId="24" fillId="12" borderId="89" xfId="2" applyFont="1" applyFill="1" applyBorder="1" applyAlignment="1">
      <alignment horizontal="center" vertical="center" wrapText="1"/>
    </xf>
    <xf numFmtId="0" fontId="24" fillId="12" borderId="90" xfId="2" applyFont="1" applyFill="1" applyBorder="1" applyAlignment="1">
      <alignment horizontal="center" vertical="center" wrapText="1"/>
    </xf>
    <xf numFmtId="0" fontId="24" fillId="12" borderId="91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/>
    </xf>
    <xf numFmtId="0" fontId="8" fillId="3" borderId="46" xfId="0" applyFont="1" applyFill="1" applyBorder="1" applyAlignment="1">
      <alignment horizontal="center" vertical="center"/>
    </xf>
    <xf numFmtId="0" fontId="8" fillId="4" borderId="50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43" fontId="8" fillId="3" borderId="45" xfId="1" applyFont="1" applyFill="1" applyBorder="1" applyAlignment="1">
      <alignment horizontal="center" vertical="center"/>
    </xf>
    <xf numFmtId="43" fontId="8" fillId="3" borderId="46" xfId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</cellXfs>
  <cellStyles count="11">
    <cellStyle name="Hiperlink" xfId="10" builtinId="8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2">
    <dxf>
      <fill>
        <patternFill>
          <bgColor rgb="FFFFFF85"/>
        </patternFill>
      </fill>
    </dxf>
    <dxf>
      <fill>
        <patternFill>
          <bgColor rgb="FFFFFF85"/>
        </patternFill>
      </fill>
    </dxf>
  </dxfs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1916869</xdr:colOff>
      <xdr:row>0</xdr:row>
      <xdr:rowOff>133350</xdr:rowOff>
    </xdr:from>
    <xdr:to>
      <xdr:col>7</xdr:col>
      <xdr:colOff>3844289</xdr:colOff>
      <xdr:row>0</xdr:row>
      <xdr:rowOff>609430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312CF1-0747-4282-95FB-C3E4CA94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9419" y="133350"/>
          <a:ext cx="1927420" cy="472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1248835</xdr:colOff>
      <xdr:row>0</xdr:row>
      <xdr:rowOff>91017</xdr:rowOff>
    </xdr:from>
    <xdr:to>
      <xdr:col>6</xdr:col>
      <xdr:colOff>3166730</xdr:colOff>
      <xdr:row>0</xdr:row>
      <xdr:rowOff>567097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5581C6-BFFC-4009-8FDF-8141FA5A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668" y="91017"/>
          <a:ext cx="1927420" cy="472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908539</xdr:colOff>
      <xdr:row>1</xdr:row>
      <xdr:rowOff>83527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582B43FF-D606-4548-AED4-4FD627BB20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23443" y="244719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660918</xdr:colOff>
      <xdr:row>1</xdr:row>
      <xdr:rowOff>144236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65E34C26-C798-4894-9803-6756737F48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569209" y="309466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2E6B3FB3-F3C8-46D2-B58A-F913A15C1F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7635" y="260192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0C443BE0-75A6-4D56-A762-04534BFB82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65564" y="256465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9BF9E4C2-E37D-4B69-8550-703CD7F65E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7114" y="256465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E62F829F-6664-47CB-AB61-1E6546BA659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94189" y="256465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31439</xdr:colOff>
      <xdr:row>1</xdr:row>
      <xdr:rowOff>94540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7BE4B091-29D6-4DAF-B69F-5B74F2875D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56114" y="256465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801722</xdr:colOff>
      <xdr:row>1</xdr:row>
      <xdr:rowOff>77975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15DF3F47-AE49-4B5D-989F-9346BB076B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09048" y="243627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4" name="image1.png">
          <a:extLst>
            <a:ext uri="{FF2B5EF4-FFF2-40B4-BE49-F238E27FC236}">
              <a16:creationId xmlns:a16="http://schemas.microsoft.com/office/drawing/2014/main" id="{C3229880-DB18-48A6-AF2D-C274B1EC1D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9226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5B5C0B92-A16C-47CB-89E9-5DA27A30E94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07381" y="22451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C92A66AF-D622-4C25-BD83-288939D816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07351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44E13389-9A37-4668-A3EC-9F64C1643E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69276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FBC90667-09C3-469A-8DEA-8DE25B3CAA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84566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4" name="image1.png">
          <a:extLst>
            <a:ext uri="{FF2B5EF4-FFF2-40B4-BE49-F238E27FC236}">
              <a16:creationId xmlns:a16="http://schemas.microsoft.com/office/drawing/2014/main" id="{E7DB9D7F-8284-4152-B4EE-6DFF9A4FDAE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07301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3" name="image1.png">
          <a:extLst>
            <a:ext uri="{FF2B5EF4-FFF2-40B4-BE49-F238E27FC236}">
              <a16:creationId xmlns:a16="http://schemas.microsoft.com/office/drawing/2014/main" id="{416EAB65-26C9-4F05-9375-522C199145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3976" y="229433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Marine/03.%20Custo/03.5%20Custo%20-%20Determina&#231;&#227;o%20do%20or&#231;amento/R01/CTN-ALF-MRN%20-Or&#231;amento%20comentado-R00%20(Comentado).xlsx?99019EA9" TargetMode="External"/><Relationship Id="rId1" Type="http://schemas.openxmlformats.org/officeDocument/2006/relationships/externalLinkPath" Target="file:///\\99019EA9\CTN-ALF-MRN%20-Or&#231;amento%20comentado-R00%20(Comentado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Ravello/03.%20Custo/03.5%20Custo%20-%20Determina&#231;&#227;o%20do%20or&#231;amento/CTN-ALF-RVL%20-Or&#231;amento%20comentado-R00%20.xlsx?EC37B5F6" TargetMode="External"/><Relationship Id="rId1" Type="http://schemas.openxmlformats.org/officeDocument/2006/relationships/externalLinkPath" Target="file:///\\EC37B5F6\CTN-ALF-RVL%20-Or&#231;amento%20comentado-R00%20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Ravello/02.%20Escopo/02.4%20Escopo%20-%20Extra&#231;&#227;o%20de%20quantitativos/08_CTN-ALF-RVL%20-%20Quantitativo_hidrossanit&#225;rio_R00.xlsx?D2BA18CB" TargetMode="External"/><Relationship Id="rId1" Type="http://schemas.openxmlformats.org/officeDocument/2006/relationships/externalLinkPath" Target="file:///\\D2BA18CB\08_CTN-ALF-RVL%20-%20Quantitativo_hidrossanit&#225;rio_R00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Ravello/02.%20Escopo/02.4%20Escopo%20-%20Extra&#231;&#227;o%20de%20quantitativos/09_CTN-ALF-RVL%20-%20Quantitativo_el&#233;trica_R00.xlsx?D2BA18CB" TargetMode="External"/><Relationship Id="rId1" Type="http://schemas.openxmlformats.org/officeDocument/2006/relationships/externalLinkPath" Target="file:///\\D2BA18CB\09_CTN-ALF-RVL%20-%20Quantitativo_el&#233;trica_R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malfi%20Constru&#231;&#245;es%20e%20Incorpora&#231;&#245;es/Marine/02.%20Escopo/02.4%20Escopo%20-%20Extra&#231;&#227;o%20de%20quantitativos/CTN_AMF_MRN-%20Estrutu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ORÇAMENTO_EXECUTIVO_COMENTADO"/>
      <sheetName val="Curva ABC - Serviços"/>
      <sheetName val="Avaliações de Composição"/>
      <sheetName val="EPC's"/>
      <sheetName val="ESTACAS"/>
      <sheetName val="BLOCOS E BALDRAMES"/>
      <sheetName val="INFRA"/>
      <sheetName val="SUPRAESTRUTURA"/>
      <sheetName val="ALVENARIAS"/>
      <sheetName val="IMPERMEABILIZAÇÃO"/>
      <sheetName val="HIDRAULICA"/>
      <sheetName val="HID - AMALFI"/>
      <sheetName val="REUSO"/>
      <sheetName val="REUSO - AMALFI"/>
      <sheetName val="SANITÁRIO"/>
      <sheetName val="SAN - AMALFI"/>
      <sheetName val="HIDROMETRO"/>
      <sheetName val="ELETRICA"/>
      <sheetName val="LOGICA"/>
      <sheetName val="INTERFONIA"/>
      <sheetName val="REVEST PAREDES INTERNAS"/>
      <sheetName val="ESQUADRIAS"/>
      <sheetName val="FORRO"/>
      <sheetName val="PISO"/>
      <sheetName val="RODAPÉS"/>
      <sheetName val="LOUÇAS E METAIS"/>
      <sheetName val="COBERTURA"/>
      <sheetName val="REVEST PAREDES EXTERNAS"/>
      <sheetName val="MOBILIÁRIO"/>
    </sheetNames>
    <sheetDataSet>
      <sheetData sheetId="0"/>
      <sheetData sheetId="1">
        <row r="8">
          <cell r="G8">
            <v>2283666.6031999998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's"/>
      <sheetName val="ORÇAMENTO_EXECUTIVO_COMENTADO"/>
    </sheetNames>
    <sheetDataSet>
      <sheetData sheetId="0">
        <row r="10">
          <cell r="D10">
            <v>13434.29</v>
          </cell>
        </row>
      </sheetData>
      <sheetData sheetId="1">
        <row r="15">
          <cell r="D15">
            <v>66400</v>
          </cell>
        </row>
      </sheetData>
      <sheetData sheetId="2">
        <row r="50">
          <cell r="D50">
            <v>75.680000000000007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AGUA FRIA"/>
      <sheetName val="AGUA QUENTE"/>
      <sheetName val="PISCINA"/>
      <sheetName val="HIDROMETROS"/>
      <sheetName val="BOMBAS"/>
      <sheetName val="ESGOTO E PLUVIAL"/>
    </sheetNames>
    <sheetDataSet>
      <sheetData sheetId="0">
        <row r="11">
          <cell r="C11">
            <v>166865.69666666666</v>
          </cell>
        </row>
        <row r="12">
          <cell r="C12">
            <v>129580.53000000003</v>
          </cell>
        </row>
        <row r="13">
          <cell r="C13">
            <v>43892.800000000003</v>
          </cell>
        </row>
        <row r="15">
          <cell r="C15">
            <v>26327.480000000003</v>
          </cell>
        </row>
        <row r="16">
          <cell r="C16">
            <v>300118.73043333332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INTERFONIA"/>
      <sheetName val="Caixas"/>
      <sheetName val="ENTRADA"/>
      <sheetName val="QUADROS"/>
      <sheetName val="ELETRODUTOS"/>
      <sheetName val="FIOS E CABOS"/>
      <sheetName val="PONTOS"/>
      <sheetName val="SISTEMAS"/>
      <sheetName val="EQUIPAMENTOS"/>
    </sheetNames>
    <sheetDataSet>
      <sheetData sheetId="0">
        <row r="11">
          <cell r="C11">
            <v>50210.078922250003</v>
          </cell>
        </row>
        <row r="13">
          <cell r="C13">
            <v>308348.13999999996</v>
          </cell>
        </row>
        <row r="14">
          <cell r="C14">
            <v>107141.135096</v>
          </cell>
        </row>
        <row r="15">
          <cell r="C15">
            <v>414594.87100000004</v>
          </cell>
        </row>
        <row r="16">
          <cell r="C16">
            <v>144337.05499999999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N_ORC_Tabela de piso"/>
      <sheetName val="ESTACAS"/>
      <sheetName val="ESCAVAÇÕES"/>
      <sheetName val="Resumo INFRA"/>
      <sheetName val="SUPRAESTRUTURA"/>
      <sheetName val="FORMAS"/>
      <sheetName val="Planilha1"/>
      <sheetName val="RESUMO"/>
    </sheetNames>
    <sheetDataSet>
      <sheetData sheetId="0"/>
      <sheetData sheetId="1">
        <row r="13">
          <cell r="F13">
            <v>1260</v>
          </cell>
        </row>
        <row r="19">
          <cell r="D19">
            <v>4216.5999999999995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4E9E-0299-4812-B261-EF105FCB1C62}">
  <dimension ref="A1:K582"/>
  <sheetViews>
    <sheetView topLeftCell="A205" zoomScaleNormal="100" workbookViewId="0">
      <selection activeCell="G215" sqref="G215"/>
    </sheetView>
  </sheetViews>
  <sheetFormatPr defaultColWidth="9.140625" defaultRowHeight="15" x14ac:dyDescent="0.25"/>
  <cols>
    <col min="1" max="1" width="19.28515625" style="181" customWidth="1"/>
    <col min="2" max="2" width="60.140625" style="181" customWidth="1"/>
    <col min="3" max="3" width="6.85546875" style="181" customWidth="1"/>
    <col min="4" max="4" width="13.140625" style="244" bestFit="1" customWidth="1"/>
    <col min="5" max="5" width="11.85546875" style="244" bestFit="1" customWidth="1"/>
    <col min="6" max="6" width="15.85546875" style="244" customWidth="1"/>
    <col min="7" max="7" width="64.5703125" style="330" customWidth="1"/>
    <col min="8" max="8" width="68.5703125" style="330" customWidth="1"/>
    <col min="9" max="9" width="13.42578125" style="181" customWidth="1"/>
    <col min="10" max="10" width="10" style="181" bestFit="1" customWidth="1"/>
    <col min="11" max="11" width="9.7109375" style="181" bestFit="1" customWidth="1"/>
    <col min="12" max="16384" width="9.140625" style="181"/>
  </cols>
  <sheetData>
    <row r="1" spans="1:8" ht="70.5" customHeight="1" thickBot="1" x14ac:dyDescent="0.25">
      <c r="A1" s="337" t="s">
        <v>276</v>
      </c>
      <c r="B1" s="338"/>
      <c r="C1" s="338"/>
      <c r="D1" s="338"/>
      <c r="E1" s="338"/>
      <c r="F1" s="338"/>
      <c r="G1" s="338"/>
      <c r="H1" s="339"/>
    </row>
    <row r="2" spans="1:8" ht="20.25" thickBot="1" x14ac:dyDescent="0.25">
      <c r="A2" s="182" t="s">
        <v>1</v>
      </c>
      <c r="B2" s="183" t="s">
        <v>270</v>
      </c>
      <c r="C2" s="184"/>
      <c r="D2" s="185"/>
      <c r="E2" s="186"/>
      <c r="F2" s="185"/>
      <c r="G2" s="185"/>
      <c r="H2" s="279"/>
    </row>
    <row r="3" spans="1:8" ht="20.25" thickBot="1" x14ac:dyDescent="0.25">
      <c r="A3" s="182" t="s">
        <v>277</v>
      </c>
      <c r="B3" s="187" t="s">
        <v>278</v>
      </c>
      <c r="C3" s="188"/>
      <c r="D3" s="189"/>
      <c r="E3" s="189"/>
      <c r="F3" s="189"/>
      <c r="G3" s="189"/>
      <c r="H3" s="280"/>
    </row>
    <row r="4" spans="1:8" ht="20.25" thickBot="1" x14ac:dyDescent="0.25">
      <c r="A4" s="182" t="s">
        <v>3</v>
      </c>
      <c r="B4" s="187" t="s">
        <v>246</v>
      </c>
      <c r="C4" s="188"/>
      <c r="D4" s="189"/>
      <c r="E4" s="189"/>
      <c r="F4" s="189" t="s">
        <v>19</v>
      </c>
      <c r="G4" s="189">
        <v>4498.66</v>
      </c>
      <c r="H4" s="280"/>
    </row>
    <row r="5" spans="1:8" ht="20.25" thickBot="1" x14ac:dyDescent="0.25">
      <c r="A5" s="190" t="s">
        <v>2</v>
      </c>
      <c r="B5" s="191">
        <v>45322</v>
      </c>
      <c r="C5" s="192"/>
      <c r="D5" s="193"/>
      <c r="E5" s="192"/>
      <c r="F5" s="192" t="s">
        <v>121</v>
      </c>
      <c r="G5" s="189">
        <v>479.88</v>
      </c>
      <c r="H5" s="281"/>
    </row>
    <row r="6" spans="1:8" ht="20.25" thickBot="1" x14ac:dyDescent="0.25">
      <c r="A6" s="340" t="s">
        <v>1037</v>
      </c>
      <c r="B6" s="341"/>
      <c r="C6" s="341"/>
      <c r="D6" s="341"/>
      <c r="E6" s="341"/>
      <c r="F6" s="342"/>
      <c r="G6" s="340" t="s">
        <v>1038</v>
      </c>
      <c r="H6" s="341"/>
    </row>
    <row r="7" spans="1:8" ht="31.5" x14ac:dyDescent="0.2">
      <c r="A7" s="195" t="s">
        <v>280</v>
      </c>
      <c r="B7" s="195" t="s">
        <v>27</v>
      </c>
      <c r="C7" s="195" t="s">
        <v>281</v>
      </c>
      <c r="D7" s="196" t="s">
        <v>282</v>
      </c>
      <c r="E7" s="196" t="s">
        <v>283</v>
      </c>
      <c r="F7" s="197" t="s">
        <v>284</v>
      </c>
      <c r="G7" s="195" t="s">
        <v>1039</v>
      </c>
      <c r="H7" s="282" t="s">
        <v>1040</v>
      </c>
    </row>
    <row r="8" spans="1:8" s="204" customFormat="1" ht="31.5" x14ac:dyDescent="0.45">
      <c r="A8" s="199" t="s">
        <v>1041</v>
      </c>
      <c r="B8" s="200" t="s">
        <v>1042</v>
      </c>
      <c r="C8" s="200" t="s">
        <v>311</v>
      </c>
      <c r="D8" s="201"/>
      <c r="E8" s="201"/>
      <c r="F8" s="202">
        <f>F9+F74+F144</f>
        <v>2346985.5392969996</v>
      </c>
      <c r="G8" s="283" t="s">
        <v>1043</v>
      </c>
      <c r="H8" s="284"/>
    </row>
    <row r="9" spans="1:8" s="204" customFormat="1" ht="15.75" x14ac:dyDescent="0.45">
      <c r="A9" s="205" t="s">
        <v>1044</v>
      </c>
      <c r="B9" s="206" t="s">
        <v>1045</v>
      </c>
      <c r="C9" s="206" t="s">
        <v>311</v>
      </c>
      <c r="D9" s="207"/>
      <c r="E9" s="207"/>
      <c r="F9" s="208">
        <f>F10+F55</f>
        <v>387573.05008000007</v>
      </c>
      <c r="G9" s="285">
        <f>F8-[4]ORÇAMENTO_EXECUTIVO_COMENTADO!$G$8</f>
        <v>63318.936096999794</v>
      </c>
      <c r="H9" s="286"/>
    </row>
    <row r="10" spans="1:8" s="204" customFormat="1" ht="15.75" x14ac:dyDescent="0.45">
      <c r="A10" s="210" t="s">
        <v>1046</v>
      </c>
      <c r="B10" s="211" t="s">
        <v>1047</v>
      </c>
      <c r="C10" s="211" t="s">
        <v>311</v>
      </c>
      <c r="D10" s="212"/>
      <c r="E10" s="212"/>
      <c r="F10" s="213">
        <f>F11+F17+F42+F51</f>
        <v>304289.70008000004</v>
      </c>
      <c r="G10" s="238"/>
      <c r="H10" s="287"/>
    </row>
    <row r="11" spans="1:8" s="204" customFormat="1" ht="15.75" x14ac:dyDescent="0.45">
      <c r="A11" s="215" t="s">
        <v>1048</v>
      </c>
      <c r="B11" s="216" t="s">
        <v>1049</v>
      </c>
      <c r="C11" s="216" t="s">
        <v>311</v>
      </c>
      <c r="D11" s="217"/>
      <c r="E11" s="217"/>
      <c r="F11" s="218">
        <f>SUM(F12:F16)</f>
        <v>40433.9</v>
      </c>
      <c r="G11" s="239"/>
      <c r="H11" s="288"/>
    </row>
    <row r="12" spans="1:8" s="204" customFormat="1" ht="31.5" x14ac:dyDescent="0.45">
      <c r="A12" s="289" t="s">
        <v>1050</v>
      </c>
      <c r="B12" s="220" t="s">
        <v>1051</v>
      </c>
      <c r="C12" s="220" t="s">
        <v>285</v>
      </c>
      <c r="D12" s="221">
        <v>1</v>
      </c>
      <c r="E12" s="233">
        <v>27500</v>
      </c>
      <c r="F12" s="222">
        <f>E12*D12</f>
        <v>27500</v>
      </c>
      <c r="G12" s="290" t="s">
        <v>1052</v>
      </c>
      <c r="H12" s="291"/>
    </row>
    <row r="13" spans="1:8" s="204" customFormat="1" ht="15.75" x14ac:dyDescent="0.45">
      <c r="A13" s="289" t="s">
        <v>1053</v>
      </c>
      <c r="B13" s="220" t="s">
        <v>1054</v>
      </c>
      <c r="C13" s="220" t="s">
        <v>285</v>
      </c>
      <c r="D13" s="221">
        <v>1</v>
      </c>
      <c r="E13" s="233">
        <v>12933.9</v>
      </c>
      <c r="F13" s="222">
        <f t="shared" ref="F13:F41" si="0">E13*D13</f>
        <v>12933.9</v>
      </c>
      <c r="G13" s="290" t="s">
        <v>1055</v>
      </c>
      <c r="H13" s="291"/>
    </row>
    <row r="14" spans="1:8" s="298" customFormat="1" ht="15.75" x14ac:dyDescent="0.45">
      <c r="A14" s="292" t="s">
        <v>1056</v>
      </c>
      <c r="B14" s="293" t="s">
        <v>1057</v>
      </c>
      <c r="C14" s="293" t="s">
        <v>285</v>
      </c>
      <c r="D14" s="294">
        <v>0</v>
      </c>
      <c r="E14" s="294">
        <v>1500</v>
      </c>
      <c r="F14" s="295">
        <f t="shared" si="0"/>
        <v>0</v>
      </c>
      <c r="G14" s="296" t="s">
        <v>1058</v>
      </c>
      <c r="H14" s="297"/>
    </row>
    <row r="15" spans="1:8" s="298" customFormat="1" ht="15.75" x14ac:dyDescent="0.45">
      <c r="A15" s="292" t="s">
        <v>1059</v>
      </c>
      <c r="B15" s="293" t="s">
        <v>1060</v>
      </c>
      <c r="C15" s="293" t="s">
        <v>285</v>
      </c>
      <c r="D15" s="294">
        <v>0</v>
      </c>
      <c r="E15" s="294">
        <v>2138</v>
      </c>
      <c r="F15" s="295">
        <f t="shared" si="0"/>
        <v>0</v>
      </c>
      <c r="G15" s="296" t="s">
        <v>1058</v>
      </c>
      <c r="H15" s="297"/>
    </row>
    <row r="16" spans="1:8" s="298" customFormat="1" ht="15.75" x14ac:dyDescent="0.45">
      <c r="A16" s="292" t="s">
        <v>1061</v>
      </c>
      <c r="B16" s="293" t="s">
        <v>1062</v>
      </c>
      <c r="C16" s="293" t="s">
        <v>285</v>
      </c>
      <c r="D16" s="294">
        <v>0</v>
      </c>
      <c r="E16" s="294">
        <v>3122</v>
      </c>
      <c r="F16" s="295">
        <f t="shared" si="0"/>
        <v>0</v>
      </c>
      <c r="G16" s="296" t="s">
        <v>1058</v>
      </c>
      <c r="H16" s="297"/>
    </row>
    <row r="17" spans="1:8" s="204" customFormat="1" ht="15.75" x14ac:dyDescent="0.45">
      <c r="A17" s="215" t="s">
        <v>1063</v>
      </c>
      <c r="B17" s="216" t="s">
        <v>1064</v>
      </c>
      <c r="C17" s="216" t="s">
        <v>311</v>
      </c>
      <c r="D17" s="217"/>
      <c r="E17" s="217"/>
      <c r="F17" s="218">
        <f>SUM(F18:F41)</f>
        <v>166779.75</v>
      </c>
      <c r="G17" s="239"/>
      <c r="H17" s="288"/>
    </row>
    <row r="18" spans="1:8" s="204" customFormat="1" ht="15.75" x14ac:dyDescent="0.45">
      <c r="A18" s="289" t="s">
        <v>1065</v>
      </c>
      <c r="B18" s="220" t="s">
        <v>1066</v>
      </c>
      <c r="C18" s="220" t="s">
        <v>285</v>
      </c>
      <c r="D18" s="221">
        <v>1</v>
      </c>
      <c r="E18" s="233">
        <v>15500</v>
      </c>
      <c r="F18" s="222">
        <f t="shared" si="0"/>
        <v>15500</v>
      </c>
      <c r="G18" s="290" t="s">
        <v>1067</v>
      </c>
      <c r="H18" s="291"/>
    </row>
    <row r="19" spans="1:8" s="204" customFormat="1" ht="15.75" x14ac:dyDescent="0.45">
      <c r="A19" s="289" t="s">
        <v>1068</v>
      </c>
      <c r="B19" s="220" t="s">
        <v>1069</v>
      </c>
      <c r="C19" s="220" t="s">
        <v>285</v>
      </c>
      <c r="D19" s="221">
        <v>1</v>
      </c>
      <c r="E19" s="233">
        <v>67500</v>
      </c>
      <c r="F19" s="222">
        <f t="shared" si="0"/>
        <v>67500</v>
      </c>
      <c r="G19" s="290" t="s">
        <v>1070</v>
      </c>
      <c r="H19" s="291"/>
    </row>
    <row r="20" spans="1:8" s="204" customFormat="1" ht="15.75" x14ac:dyDescent="0.45">
      <c r="A20" s="289" t="s">
        <v>1071</v>
      </c>
      <c r="B20" s="220" t="s">
        <v>1072</v>
      </c>
      <c r="C20" s="220" t="s">
        <v>285</v>
      </c>
      <c r="D20" s="221">
        <v>1</v>
      </c>
      <c r="E20" s="221">
        <v>34500</v>
      </c>
      <c r="F20" s="222">
        <f t="shared" si="0"/>
        <v>34500</v>
      </c>
      <c r="G20" s="290"/>
      <c r="H20" s="291"/>
    </row>
    <row r="21" spans="1:8" s="204" customFormat="1" ht="15.75" x14ac:dyDescent="0.45">
      <c r="A21" s="289" t="s">
        <v>1073</v>
      </c>
      <c r="B21" s="220" t="s">
        <v>1074</v>
      </c>
      <c r="C21" s="220" t="s">
        <v>285</v>
      </c>
      <c r="D21" s="221">
        <v>1</v>
      </c>
      <c r="E21" s="233">
        <v>6200</v>
      </c>
      <c r="F21" s="222">
        <f t="shared" si="0"/>
        <v>6200</v>
      </c>
      <c r="G21" s="290" t="s">
        <v>1075</v>
      </c>
      <c r="H21" s="291"/>
    </row>
    <row r="22" spans="1:8" s="298" customFormat="1" ht="15.75" x14ac:dyDescent="0.45">
      <c r="A22" s="292" t="s">
        <v>1076</v>
      </c>
      <c r="B22" s="293" t="s">
        <v>1077</v>
      </c>
      <c r="C22" s="293" t="s">
        <v>285</v>
      </c>
      <c r="D22" s="294">
        <v>0</v>
      </c>
      <c r="E22" s="294">
        <v>5000</v>
      </c>
      <c r="F22" s="295">
        <f t="shared" si="0"/>
        <v>0</v>
      </c>
      <c r="G22" s="296" t="s">
        <v>1058</v>
      </c>
      <c r="H22" s="297"/>
    </row>
    <row r="23" spans="1:8" s="204" customFormat="1" ht="15.75" x14ac:dyDescent="0.45">
      <c r="A23" s="289" t="s">
        <v>1078</v>
      </c>
      <c r="B23" s="220" t="s">
        <v>1079</v>
      </c>
      <c r="C23" s="220" t="s">
        <v>285</v>
      </c>
      <c r="D23" s="221">
        <v>1</v>
      </c>
      <c r="E23" s="233">
        <v>29341.439999999999</v>
      </c>
      <c r="F23" s="222">
        <f t="shared" si="0"/>
        <v>29341.439999999999</v>
      </c>
      <c r="G23" s="290" t="s">
        <v>1080</v>
      </c>
      <c r="H23" s="291"/>
    </row>
    <row r="24" spans="1:8" s="204" customFormat="1" ht="15.75" x14ac:dyDescent="0.45">
      <c r="A24" s="289" t="s">
        <v>1081</v>
      </c>
      <c r="B24" s="220" t="s">
        <v>1082</v>
      </c>
      <c r="C24" s="220" t="s">
        <v>285</v>
      </c>
      <c r="D24" s="221">
        <v>1</v>
      </c>
      <c r="E24" s="233">
        <v>9000</v>
      </c>
      <c r="F24" s="222">
        <f t="shared" si="0"/>
        <v>9000</v>
      </c>
      <c r="G24" s="290" t="s">
        <v>1083</v>
      </c>
      <c r="H24" s="291"/>
    </row>
    <row r="25" spans="1:8" s="298" customFormat="1" ht="15.75" x14ac:dyDescent="0.45">
      <c r="A25" s="292" t="s">
        <v>1084</v>
      </c>
      <c r="B25" s="293" t="s">
        <v>1085</v>
      </c>
      <c r="C25" s="293" t="s">
        <v>285</v>
      </c>
      <c r="D25" s="294"/>
      <c r="E25" s="294">
        <v>980</v>
      </c>
      <c r="F25" s="295">
        <f t="shared" si="0"/>
        <v>0</v>
      </c>
      <c r="G25" s="296" t="s">
        <v>1058</v>
      </c>
      <c r="H25" s="297"/>
    </row>
    <row r="26" spans="1:8" s="298" customFormat="1" ht="15.75" x14ac:dyDescent="0.45">
      <c r="A26" s="292" t="s">
        <v>1086</v>
      </c>
      <c r="B26" s="293" t="s">
        <v>1087</v>
      </c>
      <c r="C26" s="293" t="s">
        <v>285</v>
      </c>
      <c r="D26" s="294"/>
      <c r="E26" s="294">
        <v>1000</v>
      </c>
      <c r="F26" s="295">
        <f t="shared" si="0"/>
        <v>0</v>
      </c>
      <c r="G26" s="296" t="s">
        <v>1058</v>
      </c>
      <c r="H26" s="297"/>
    </row>
    <row r="27" spans="1:8" s="298" customFormat="1" ht="15.75" x14ac:dyDescent="0.45">
      <c r="A27" s="292" t="s">
        <v>1088</v>
      </c>
      <c r="B27" s="293" t="s">
        <v>1089</v>
      </c>
      <c r="C27" s="293" t="s">
        <v>285</v>
      </c>
      <c r="D27" s="294"/>
      <c r="E27" s="294">
        <v>1000</v>
      </c>
      <c r="F27" s="295">
        <f t="shared" si="0"/>
        <v>0</v>
      </c>
      <c r="G27" s="296" t="s">
        <v>1058</v>
      </c>
      <c r="H27" s="297"/>
    </row>
    <row r="28" spans="1:8" s="298" customFormat="1" ht="15.75" x14ac:dyDescent="0.45">
      <c r="A28" s="292" t="s">
        <v>1090</v>
      </c>
      <c r="B28" s="293" t="s">
        <v>1091</v>
      </c>
      <c r="C28" s="293" t="s">
        <v>285</v>
      </c>
      <c r="D28" s="294"/>
      <c r="E28" s="294">
        <v>1000</v>
      </c>
      <c r="F28" s="295">
        <f t="shared" si="0"/>
        <v>0</v>
      </c>
      <c r="G28" s="296" t="s">
        <v>1058</v>
      </c>
      <c r="H28" s="297"/>
    </row>
    <row r="29" spans="1:8" s="298" customFormat="1" ht="15.75" x14ac:dyDescent="0.45">
      <c r="A29" s="292" t="s">
        <v>1092</v>
      </c>
      <c r="B29" s="293" t="s">
        <v>1093</v>
      </c>
      <c r="C29" s="293" t="s">
        <v>285</v>
      </c>
      <c r="D29" s="294"/>
      <c r="E29" s="294">
        <v>20000</v>
      </c>
      <c r="F29" s="295">
        <f t="shared" si="0"/>
        <v>0</v>
      </c>
      <c r="G29" s="296" t="s">
        <v>1058</v>
      </c>
      <c r="H29" s="297"/>
    </row>
    <row r="30" spans="1:8" s="298" customFormat="1" ht="15.75" x14ac:dyDescent="0.45">
      <c r="A30" s="292" t="s">
        <v>1094</v>
      </c>
      <c r="B30" s="293" t="s">
        <v>1095</v>
      </c>
      <c r="C30" s="293" t="s">
        <v>285</v>
      </c>
      <c r="D30" s="294"/>
      <c r="E30" s="294">
        <v>21000</v>
      </c>
      <c r="F30" s="295">
        <f t="shared" si="0"/>
        <v>0</v>
      </c>
      <c r="G30" s="296" t="s">
        <v>1058</v>
      </c>
      <c r="H30" s="297"/>
    </row>
    <row r="31" spans="1:8" s="298" customFormat="1" ht="15.75" x14ac:dyDescent="0.45">
      <c r="A31" s="292" t="s">
        <v>1096</v>
      </c>
      <c r="B31" s="293" t="s">
        <v>1097</v>
      </c>
      <c r="C31" s="293" t="s">
        <v>285</v>
      </c>
      <c r="D31" s="294"/>
      <c r="E31" s="294">
        <v>1000</v>
      </c>
      <c r="F31" s="295">
        <f t="shared" si="0"/>
        <v>0</v>
      </c>
      <c r="G31" s="296" t="s">
        <v>1058</v>
      </c>
      <c r="H31" s="297"/>
    </row>
    <row r="32" spans="1:8" s="204" customFormat="1" ht="15.75" x14ac:dyDescent="0.45">
      <c r="A32" s="289" t="s">
        <v>1098</v>
      </c>
      <c r="B32" s="220" t="s">
        <v>1099</v>
      </c>
      <c r="C32" s="220" t="s">
        <v>285</v>
      </c>
      <c r="D32" s="221">
        <v>1</v>
      </c>
      <c r="E32" s="233">
        <v>4000</v>
      </c>
      <c r="F32" s="222">
        <f t="shared" si="0"/>
        <v>4000</v>
      </c>
      <c r="G32" s="290" t="s">
        <v>1100</v>
      </c>
      <c r="H32" s="291"/>
    </row>
    <row r="33" spans="1:8" s="298" customFormat="1" ht="15.75" x14ac:dyDescent="0.45">
      <c r="A33" s="292" t="s">
        <v>1101</v>
      </c>
      <c r="B33" s="293" t="s">
        <v>1102</v>
      </c>
      <c r="C33" s="293" t="s">
        <v>285</v>
      </c>
      <c r="D33" s="294"/>
      <c r="E33" s="294">
        <v>5000</v>
      </c>
      <c r="F33" s="295">
        <f t="shared" si="0"/>
        <v>0</v>
      </c>
      <c r="G33" s="296" t="s">
        <v>1058</v>
      </c>
      <c r="H33" s="297"/>
    </row>
    <row r="34" spans="1:8" s="298" customFormat="1" ht="15.75" x14ac:dyDescent="0.45">
      <c r="A34" s="292" t="s">
        <v>1103</v>
      </c>
      <c r="B34" s="293" t="s">
        <v>1104</v>
      </c>
      <c r="C34" s="293" t="s">
        <v>285</v>
      </c>
      <c r="D34" s="294"/>
      <c r="E34" s="294">
        <v>14280</v>
      </c>
      <c r="F34" s="295">
        <f t="shared" si="0"/>
        <v>0</v>
      </c>
      <c r="G34" s="296" t="s">
        <v>1058</v>
      </c>
      <c r="H34" s="297"/>
    </row>
    <row r="35" spans="1:8" s="298" customFormat="1" ht="15.75" x14ac:dyDescent="0.45">
      <c r="A35" s="292" t="s">
        <v>1105</v>
      </c>
      <c r="B35" s="293" t="s">
        <v>1106</v>
      </c>
      <c r="C35" s="293" t="s">
        <v>285</v>
      </c>
      <c r="D35" s="294"/>
      <c r="E35" s="294">
        <v>7000</v>
      </c>
      <c r="F35" s="295">
        <f t="shared" si="0"/>
        <v>0</v>
      </c>
      <c r="G35" s="296" t="s">
        <v>1058</v>
      </c>
      <c r="H35" s="297"/>
    </row>
    <row r="36" spans="1:8" s="298" customFormat="1" ht="15.75" x14ac:dyDescent="0.45">
      <c r="A36" s="292" t="s">
        <v>1107</v>
      </c>
      <c r="B36" s="293" t="s">
        <v>1108</v>
      </c>
      <c r="C36" s="293" t="s">
        <v>285</v>
      </c>
      <c r="D36" s="294"/>
      <c r="E36" s="294">
        <v>7000</v>
      </c>
      <c r="F36" s="295">
        <f t="shared" si="0"/>
        <v>0</v>
      </c>
      <c r="G36" s="296" t="s">
        <v>1058</v>
      </c>
      <c r="H36" s="297"/>
    </row>
    <row r="37" spans="1:8" s="298" customFormat="1" ht="15.75" x14ac:dyDescent="0.45">
      <c r="A37" s="292" t="s">
        <v>1109</v>
      </c>
      <c r="B37" s="293" t="s">
        <v>1110</v>
      </c>
      <c r="C37" s="293" t="s">
        <v>285</v>
      </c>
      <c r="D37" s="294"/>
      <c r="E37" s="294">
        <v>1000</v>
      </c>
      <c r="F37" s="295">
        <f t="shared" si="0"/>
        <v>0</v>
      </c>
      <c r="G37" s="296" t="s">
        <v>1058</v>
      </c>
      <c r="H37" s="297"/>
    </row>
    <row r="38" spans="1:8" s="298" customFormat="1" ht="15.75" x14ac:dyDescent="0.45">
      <c r="A38" s="292" t="s">
        <v>1111</v>
      </c>
      <c r="B38" s="293" t="s">
        <v>1112</v>
      </c>
      <c r="C38" s="293" t="s">
        <v>285</v>
      </c>
      <c r="D38" s="294"/>
      <c r="E38" s="294">
        <v>1000</v>
      </c>
      <c r="F38" s="295">
        <f t="shared" si="0"/>
        <v>0</v>
      </c>
      <c r="G38" s="296" t="s">
        <v>1058</v>
      </c>
      <c r="H38" s="297"/>
    </row>
    <row r="39" spans="1:8" s="298" customFormat="1" ht="15.75" x14ac:dyDescent="0.45">
      <c r="A39" s="292" t="s">
        <v>1113</v>
      </c>
      <c r="B39" s="293" t="s">
        <v>1114</v>
      </c>
      <c r="C39" s="293" t="s">
        <v>285</v>
      </c>
      <c r="D39" s="294"/>
      <c r="E39" s="294">
        <v>1000</v>
      </c>
      <c r="F39" s="295">
        <f t="shared" si="0"/>
        <v>0</v>
      </c>
      <c r="G39" s="296" t="s">
        <v>1058</v>
      </c>
      <c r="H39" s="297"/>
    </row>
    <row r="40" spans="1:8" s="298" customFormat="1" ht="15.75" x14ac:dyDescent="0.45">
      <c r="A40" s="292" t="s">
        <v>1115</v>
      </c>
      <c r="B40" s="293" t="s">
        <v>1116</v>
      </c>
      <c r="C40" s="293" t="s">
        <v>285</v>
      </c>
      <c r="D40" s="294"/>
      <c r="E40" s="294">
        <v>2000</v>
      </c>
      <c r="F40" s="295">
        <f t="shared" si="0"/>
        <v>0</v>
      </c>
      <c r="G40" s="296" t="s">
        <v>1058</v>
      </c>
      <c r="H40" s="297"/>
    </row>
    <row r="41" spans="1:8" s="204" customFormat="1" ht="15.75" x14ac:dyDescent="0.45">
      <c r="A41" s="289" t="s">
        <v>1117</v>
      </c>
      <c r="B41" s="299" t="s">
        <v>1118</v>
      </c>
      <c r="C41" s="299" t="s">
        <v>285</v>
      </c>
      <c r="D41" s="300">
        <v>1</v>
      </c>
      <c r="E41" s="300">
        <v>738.31</v>
      </c>
      <c r="F41" s="301">
        <f t="shared" si="0"/>
        <v>738.31</v>
      </c>
      <c r="G41" s="240" t="s">
        <v>1119</v>
      </c>
      <c r="H41" s="291"/>
    </row>
    <row r="42" spans="1:8" s="204" customFormat="1" ht="15.75" x14ac:dyDescent="0.45">
      <c r="A42" s="215" t="s">
        <v>1120</v>
      </c>
      <c r="B42" s="216" t="s">
        <v>1121</v>
      </c>
      <c r="C42" s="216" t="s">
        <v>311</v>
      </c>
      <c r="D42" s="217"/>
      <c r="E42" s="217"/>
      <c r="F42" s="218">
        <f>SUM(F43:F50)</f>
        <v>73726.05</v>
      </c>
      <c r="G42" s="239"/>
      <c r="H42" s="288"/>
    </row>
    <row r="43" spans="1:8" s="298" customFormat="1" ht="15.75" x14ac:dyDescent="0.45">
      <c r="A43" s="292" t="s">
        <v>1122</v>
      </c>
      <c r="B43" s="293" t="s">
        <v>1123</v>
      </c>
      <c r="C43" s="293" t="s">
        <v>285</v>
      </c>
      <c r="D43" s="294"/>
      <c r="E43" s="294">
        <v>2688.5</v>
      </c>
      <c r="F43" s="295">
        <f t="shared" ref="F43:F54" si="1">E43*D43</f>
        <v>0</v>
      </c>
      <c r="G43" s="296" t="s">
        <v>1058</v>
      </c>
      <c r="H43" s="297"/>
    </row>
    <row r="44" spans="1:8" s="298" customFormat="1" ht="15.75" x14ac:dyDescent="0.45">
      <c r="A44" s="292" t="s">
        <v>1124</v>
      </c>
      <c r="B44" s="293" t="s">
        <v>1125</v>
      </c>
      <c r="C44" s="293" t="s">
        <v>285</v>
      </c>
      <c r="D44" s="294"/>
      <c r="E44" s="294">
        <v>5900</v>
      </c>
      <c r="F44" s="295">
        <f t="shared" si="1"/>
        <v>0</v>
      </c>
      <c r="G44" s="296" t="s">
        <v>1058</v>
      </c>
      <c r="H44" s="297"/>
    </row>
    <row r="45" spans="1:8" s="204" customFormat="1" ht="31.5" x14ac:dyDescent="0.45">
      <c r="A45" s="289" t="s">
        <v>1126</v>
      </c>
      <c r="B45" s="220" t="s">
        <v>1127</v>
      </c>
      <c r="C45" s="220" t="s">
        <v>285</v>
      </c>
      <c r="D45" s="221">
        <v>1</v>
      </c>
      <c r="E45" s="233">
        <v>28825</v>
      </c>
      <c r="F45" s="222">
        <f t="shared" si="1"/>
        <v>28825</v>
      </c>
      <c r="G45" s="290" t="s">
        <v>1128</v>
      </c>
      <c r="H45" s="291"/>
    </row>
    <row r="46" spans="1:8" s="298" customFormat="1" ht="15.75" x14ac:dyDescent="0.45">
      <c r="A46" s="292" t="s">
        <v>1129</v>
      </c>
      <c r="B46" s="293" t="s">
        <v>1130</v>
      </c>
      <c r="C46" s="293" t="s">
        <v>285</v>
      </c>
      <c r="D46" s="294"/>
      <c r="E46" s="294">
        <v>4795</v>
      </c>
      <c r="F46" s="295">
        <f t="shared" si="1"/>
        <v>0</v>
      </c>
      <c r="G46" s="296" t="s">
        <v>1058</v>
      </c>
      <c r="H46" s="297"/>
    </row>
    <row r="47" spans="1:8" s="298" customFormat="1" ht="15.75" x14ac:dyDescent="0.45">
      <c r="A47" s="292" t="s">
        <v>1131</v>
      </c>
      <c r="B47" s="293" t="s">
        <v>1132</v>
      </c>
      <c r="C47" s="293" t="s">
        <v>285</v>
      </c>
      <c r="D47" s="294"/>
      <c r="E47" s="294">
        <v>10754</v>
      </c>
      <c r="F47" s="295">
        <f t="shared" si="1"/>
        <v>0</v>
      </c>
      <c r="G47" s="296" t="s">
        <v>1058</v>
      </c>
      <c r="H47" s="297"/>
    </row>
    <row r="48" spans="1:8" s="298" customFormat="1" ht="15.75" x14ac:dyDescent="0.45">
      <c r="A48" s="292" t="s">
        <v>1133</v>
      </c>
      <c r="B48" s="293" t="s">
        <v>1134</v>
      </c>
      <c r="C48" s="293" t="s">
        <v>285</v>
      </c>
      <c r="D48" s="294"/>
      <c r="E48" s="294">
        <v>4570</v>
      </c>
      <c r="F48" s="295">
        <f t="shared" si="1"/>
        <v>0</v>
      </c>
      <c r="G48" s="296" t="s">
        <v>1058</v>
      </c>
      <c r="H48" s="297"/>
    </row>
    <row r="49" spans="1:8" s="298" customFormat="1" ht="15.75" x14ac:dyDescent="0.45">
      <c r="A49" s="292" t="s">
        <v>1135</v>
      </c>
      <c r="B49" s="293" t="s">
        <v>1136</v>
      </c>
      <c r="C49" s="293" t="s">
        <v>285</v>
      </c>
      <c r="D49" s="294"/>
      <c r="E49" s="294">
        <v>20000</v>
      </c>
      <c r="F49" s="295">
        <f t="shared" si="1"/>
        <v>0</v>
      </c>
      <c r="G49" s="296" t="s">
        <v>1058</v>
      </c>
      <c r="H49" s="297"/>
    </row>
    <row r="50" spans="1:8" s="204" customFormat="1" ht="15.75" x14ac:dyDescent="0.45">
      <c r="A50" s="289" t="s">
        <v>1137</v>
      </c>
      <c r="B50" s="220" t="s">
        <v>1138</v>
      </c>
      <c r="C50" s="220" t="s">
        <v>285</v>
      </c>
      <c r="D50" s="221">
        <v>1</v>
      </c>
      <c r="E50" s="233">
        <v>44901.05</v>
      </c>
      <c r="F50" s="222">
        <f t="shared" si="1"/>
        <v>44901.05</v>
      </c>
      <c r="G50" s="290" t="s">
        <v>1139</v>
      </c>
      <c r="H50" s="291"/>
    </row>
    <row r="51" spans="1:8" s="204" customFormat="1" ht="15.75" x14ac:dyDescent="0.45">
      <c r="A51" s="215" t="s">
        <v>1140</v>
      </c>
      <c r="B51" s="216" t="s">
        <v>1141</v>
      </c>
      <c r="C51" s="216" t="s">
        <v>311</v>
      </c>
      <c r="D51" s="217"/>
      <c r="E51" s="217"/>
      <c r="F51" s="218">
        <f>F52+F53+F54</f>
        <v>23350.000080000002</v>
      </c>
      <c r="G51" s="239"/>
      <c r="H51" s="288"/>
    </row>
    <row r="52" spans="1:8" s="204" customFormat="1" ht="31.5" x14ac:dyDescent="0.45">
      <c r="A52" s="289" t="s">
        <v>1142</v>
      </c>
      <c r="B52" s="220" t="s">
        <v>1143</v>
      </c>
      <c r="C52" s="220" t="s">
        <v>417</v>
      </c>
      <c r="D52" s="221">
        <v>828</v>
      </c>
      <c r="E52" s="233">
        <v>22.946860000000001</v>
      </c>
      <c r="F52" s="222">
        <f>E52*D52</f>
        <v>19000.000080000002</v>
      </c>
      <c r="G52" s="290" t="s">
        <v>1144</v>
      </c>
      <c r="H52" s="302" t="s">
        <v>1145</v>
      </c>
    </row>
    <row r="53" spans="1:8" s="204" customFormat="1" ht="15.75" x14ac:dyDescent="0.45">
      <c r="A53" s="289" t="s">
        <v>1146</v>
      </c>
      <c r="B53" s="299" t="s">
        <v>1147</v>
      </c>
      <c r="C53" s="299" t="s">
        <v>285</v>
      </c>
      <c r="D53" s="300">
        <v>1</v>
      </c>
      <c r="E53" s="300">
        <v>2850</v>
      </c>
      <c r="F53" s="301">
        <f t="shared" si="1"/>
        <v>2850</v>
      </c>
      <c r="G53" s="240" t="s">
        <v>1119</v>
      </c>
      <c r="H53" s="302"/>
    </row>
    <row r="54" spans="1:8" s="204" customFormat="1" ht="15.75" x14ac:dyDescent="0.45">
      <c r="A54" s="289" t="s">
        <v>1148</v>
      </c>
      <c r="B54" s="299" t="s">
        <v>1149</v>
      </c>
      <c r="C54" s="299" t="s">
        <v>285</v>
      </c>
      <c r="D54" s="300">
        <v>1</v>
      </c>
      <c r="E54" s="300">
        <v>1500</v>
      </c>
      <c r="F54" s="301">
        <f t="shared" si="1"/>
        <v>1500</v>
      </c>
      <c r="G54" s="240" t="s">
        <v>1119</v>
      </c>
      <c r="H54" s="302"/>
    </row>
    <row r="55" spans="1:8" s="204" customFormat="1" ht="15.75" x14ac:dyDescent="0.45">
      <c r="A55" s="210" t="s">
        <v>1150</v>
      </c>
      <c r="B55" s="211" t="s">
        <v>1151</v>
      </c>
      <c r="C55" s="211" t="s">
        <v>311</v>
      </c>
      <c r="D55" s="212"/>
      <c r="E55" s="212"/>
      <c r="F55" s="213">
        <f>F56+F70</f>
        <v>83283.350000000006</v>
      </c>
      <c r="G55" s="238"/>
      <c r="H55" s="287"/>
    </row>
    <row r="56" spans="1:8" s="204" customFormat="1" ht="15.75" x14ac:dyDescent="0.45">
      <c r="A56" s="215" t="s">
        <v>1152</v>
      </c>
      <c r="B56" s="216" t="s">
        <v>1153</v>
      </c>
      <c r="C56" s="216" t="s">
        <v>311</v>
      </c>
      <c r="D56" s="217"/>
      <c r="E56" s="217"/>
      <c r="F56" s="218">
        <f>SUM(F57:F69)</f>
        <v>75033.350000000006</v>
      </c>
      <c r="G56" s="239"/>
      <c r="H56" s="288"/>
    </row>
    <row r="57" spans="1:8" s="204" customFormat="1" ht="15.75" x14ac:dyDescent="0.45">
      <c r="A57" s="225" t="s">
        <v>1154</v>
      </c>
      <c r="B57" s="220" t="s">
        <v>1155</v>
      </c>
      <c r="C57" s="220" t="s">
        <v>285</v>
      </c>
      <c r="D57" s="221">
        <v>1</v>
      </c>
      <c r="E57" s="233">
        <v>108.69</v>
      </c>
      <c r="F57" s="222">
        <f t="shared" ref="F57:F73" si="2">E57*D57</f>
        <v>108.69</v>
      </c>
      <c r="G57" s="290" t="s">
        <v>1156</v>
      </c>
      <c r="H57" s="291"/>
    </row>
    <row r="58" spans="1:8" s="204" customFormat="1" ht="15.75" x14ac:dyDescent="0.45">
      <c r="A58" s="225" t="s">
        <v>1157</v>
      </c>
      <c r="B58" s="220" t="s">
        <v>1158</v>
      </c>
      <c r="C58" s="220" t="s">
        <v>285</v>
      </c>
      <c r="D58" s="221">
        <v>1</v>
      </c>
      <c r="E58" s="233">
        <v>3688.92</v>
      </c>
      <c r="F58" s="222">
        <f t="shared" si="2"/>
        <v>3688.92</v>
      </c>
      <c r="G58" s="290" t="s">
        <v>1159</v>
      </c>
      <c r="H58" s="291"/>
    </row>
    <row r="59" spans="1:8" s="204" customFormat="1" ht="31.5" x14ac:dyDescent="0.45">
      <c r="A59" s="225" t="s">
        <v>1160</v>
      </c>
      <c r="B59" s="220" t="s">
        <v>1161</v>
      </c>
      <c r="C59" s="220" t="s">
        <v>285</v>
      </c>
      <c r="D59" s="221">
        <v>1</v>
      </c>
      <c r="E59" s="233">
        <v>1643.09</v>
      </c>
      <c r="F59" s="222">
        <f t="shared" si="2"/>
        <v>1643.09</v>
      </c>
      <c r="G59" s="290" t="s">
        <v>1162</v>
      </c>
      <c r="H59" s="291"/>
    </row>
    <row r="60" spans="1:8" s="204" customFormat="1" ht="15.75" x14ac:dyDescent="0.45">
      <c r="A60" s="225" t="s">
        <v>1163</v>
      </c>
      <c r="B60" s="220" t="s">
        <v>1164</v>
      </c>
      <c r="C60" s="220" t="s">
        <v>285</v>
      </c>
      <c r="D60" s="221">
        <v>1</v>
      </c>
      <c r="E60" s="233">
        <v>6581.03</v>
      </c>
      <c r="F60" s="222">
        <f t="shared" si="2"/>
        <v>6581.03</v>
      </c>
      <c r="G60" s="290" t="s">
        <v>1165</v>
      </c>
      <c r="H60" s="291"/>
    </row>
    <row r="61" spans="1:8" s="204" customFormat="1" ht="15.75" x14ac:dyDescent="0.45">
      <c r="A61" s="225" t="s">
        <v>1166</v>
      </c>
      <c r="B61" s="220" t="s">
        <v>1167</v>
      </c>
      <c r="C61" s="220" t="s">
        <v>285</v>
      </c>
      <c r="D61" s="221">
        <v>1</v>
      </c>
      <c r="E61" s="221">
        <v>10000</v>
      </c>
      <c r="F61" s="222">
        <f t="shared" si="2"/>
        <v>10000</v>
      </c>
      <c r="G61" s="240"/>
      <c r="H61" s="291"/>
    </row>
    <row r="62" spans="1:8" s="204" customFormat="1" ht="31.5" x14ac:dyDescent="0.45">
      <c r="A62" s="225" t="s">
        <v>1168</v>
      </c>
      <c r="B62" s="220" t="s">
        <v>1169</v>
      </c>
      <c r="C62" s="220" t="s">
        <v>285</v>
      </c>
      <c r="D62" s="221">
        <v>1</v>
      </c>
      <c r="E62" s="233">
        <v>2512.89</v>
      </c>
      <c r="F62" s="222">
        <f t="shared" si="2"/>
        <v>2512.89</v>
      </c>
      <c r="G62" s="290" t="s">
        <v>1170</v>
      </c>
      <c r="H62" s="291"/>
    </row>
    <row r="63" spans="1:8" s="204" customFormat="1" ht="15.75" x14ac:dyDescent="0.45">
      <c r="A63" s="225" t="s">
        <v>1171</v>
      </c>
      <c r="B63" s="220" t="s">
        <v>1172</v>
      </c>
      <c r="C63" s="220" t="s">
        <v>285</v>
      </c>
      <c r="D63" s="221">
        <v>1</v>
      </c>
      <c r="E63" s="233">
        <v>3104.09</v>
      </c>
      <c r="F63" s="222">
        <f t="shared" si="2"/>
        <v>3104.09</v>
      </c>
      <c r="G63" s="290" t="s">
        <v>1173</v>
      </c>
      <c r="H63" s="291"/>
    </row>
    <row r="64" spans="1:8" s="204" customFormat="1" ht="15.75" x14ac:dyDescent="0.45">
      <c r="A64" s="225" t="s">
        <v>1174</v>
      </c>
      <c r="B64" s="299" t="s">
        <v>1175</v>
      </c>
      <c r="C64" s="299" t="s">
        <v>285</v>
      </c>
      <c r="D64" s="300">
        <v>1</v>
      </c>
      <c r="E64" s="300">
        <v>0</v>
      </c>
      <c r="F64" s="301">
        <f t="shared" si="2"/>
        <v>0</v>
      </c>
      <c r="G64" s="240" t="s">
        <v>1119</v>
      </c>
      <c r="H64" s="291"/>
    </row>
    <row r="65" spans="1:8" s="204" customFormat="1" ht="15.75" x14ac:dyDescent="0.45">
      <c r="A65" s="225" t="s">
        <v>1176</v>
      </c>
      <c r="B65" s="220" t="s">
        <v>1177</v>
      </c>
      <c r="C65" s="220" t="s">
        <v>285</v>
      </c>
      <c r="D65" s="221">
        <v>1</v>
      </c>
      <c r="E65" s="233">
        <v>13004.64</v>
      </c>
      <c r="F65" s="222">
        <f t="shared" si="2"/>
        <v>13004.64</v>
      </c>
      <c r="G65" s="290" t="s">
        <v>1178</v>
      </c>
      <c r="H65" s="291"/>
    </row>
    <row r="66" spans="1:8" s="204" customFormat="1" ht="15.75" x14ac:dyDescent="0.45">
      <c r="A66" s="225" t="s">
        <v>1179</v>
      </c>
      <c r="B66" s="220" t="s">
        <v>1180</v>
      </c>
      <c r="C66" s="220" t="s">
        <v>285</v>
      </c>
      <c r="D66" s="221">
        <v>1</v>
      </c>
      <c r="E66" s="233">
        <v>9000</v>
      </c>
      <c r="F66" s="222">
        <f t="shared" si="2"/>
        <v>9000</v>
      </c>
      <c r="G66" s="290" t="s">
        <v>1181</v>
      </c>
      <c r="H66" s="291"/>
    </row>
    <row r="67" spans="1:8" s="204" customFormat="1" ht="15.75" x14ac:dyDescent="0.45">
      <c r="A67" s="225" t="s">
        <v>1182</v>
      </c>
      <c r="B67" s="220" t="s">
        <v>1183</v>
      </c>
      <c r="C67" s="220" t="s">
        <v>285</v>
      </c>
      <c r="D67" s="221">
        <v>1</v>
      </c>
      <c r="E67" s="221">
        <v>1000</v>
      </c>
      <c r="F67" s="222">
        <f t="shared" si="2"/>
        <v>1000</v>
      </c>
      <c r="G67" s="240"/>
      <c r="H67" s="291"/>
    </row>
    <row r="68" spans="1:8" s="204" customFormat="1" ht="15.75" x14ac:dyDescent="0.45">
      <c r="A68" s="225" t="s">
        <v>1184</v>
      </c>
      <c r="B68" s="220" t="s">
        <v>1185</v>
      </c>
      <c r="C68" s="220" t="s">
        <v>285</v>
      </c>
      <c r="D68" s="221">
        <v>1</v>
      </c>
      <c r="E68" s="221">
        <v>4890</v>
      </c>
      <c r="F68" s="222">
        <f t="shared" si="2"/>
        <v>4890</v>
      </c>
      <c r="G68" s="240"/>
      <c r="H68" s="291"/>
    </row>
    <row r="69" spans="1:8" s="204" customFormat="1" ht="15.75" x14ac:dyDescent="0.45">
      <c r="A69" s="225" t="s">
        <v>1186</v>
      </c>
      <c r="B69" s="220" t="s">
        <v>1187</v>
      </c>
      <c r="C69" s="220" t="s">
        <v>285</v>
      </c>
      <c r="D69" s="221">
        <v>1</v>
      </c>
      <c r="E69" s="233">
        <v>19500</v>
      </c>
      <c r="F69" s="222">
        <f t="shared" si="2"/>
        <v>19500</v>
      </c>
      <c r="G69" s="290" t="s">
        <v>1188</v>
      </c>
      <c r="H69" s="291"/>
    </row>
    <row r="70" spans="1:8" s="204" customFormat="1" ht="15.75" x14ac:dyDescent="0.45">
      <c r="A70" s="215" t="s">
        <v>1189</v>
      </c>
      <c r="B70" s="216" t="s">
        <v>1190</v>
      </c>
      <c r="C70" s="216" t="s">
        <v>311</v>
      </c>
      <c r="D70" s="217"/>
      <c r="E70" s="217"/>
      <c r="F70" s="218">
        <f>SUM(F71:F73)</f>
        <v>8250</v>
      </c>
      <c r="G70" s="239"/>
      <c r="H70" s="288"/>
    </row>
    <row r="71" spans="1:8" s="204" customFormat="1" ht="15.75" x14ac:dyDescent="0.45">
      <c r="A71" s="225" t="s">
        <v>1191</v>
      </c>
      <c r="B71" s="220" t="s">
        <v>1192</v>
      </c>
      <c r="C71" s="220" t="s">
        <v>285</v>
      </c>
      <c r="D71" s="221">
        <v>1</v>
      </c>
      <c r="E71" s="233">
        <v>6750</v>
      </c>
      <c r="F71" s="222">
        <f t="shared" si="2"/>
        <v>6750</v>
      </c>
      <c r="G71" s="240" t="s">
        <v>1193</v>
      </c>
      <c r="H71" s="291"/>
    </row>
    <row r="72" spans="1:8" s="298" customFormat="1" ht="15.75" x14ac:dyDescent="0.45">
      <c r="A72" s="303" t="s">
        <v>1194</v>
      </c>
      <c r="B72" s="293" t="s">
        <v>1195</v>
      </c>
      <c r="C72" s="293" t="s">
        <v>285</v>
      </c>
      <c r="D72" s="294"/>
      <c r="E72" s="294">
        <v>3120</v>
      </c>
      <c r="F72" s="295">
        <f t="shared" si="2"/>
        <v>0</v>
      </c>
      <c r="G72" s="296" t="s">
        <v>1058</v>
      </c>
      <c r="H72" s="297"/>
    </row>
    <row r="73" spans="1:8" s="204" customFormat="1" ht="15.75" x14ac:dyDescent="0.45">
      <c r="A73" s="225" t="s">
        <v>1196</v>
      </c>
      <c r="B73" s="220" t="s">
        <v>1197</v>
      </c>
      <c r="C73" s="220" t="s">
        <v>285</v>
      </c>
      <c r="D73" s="221">
        <v>1</v>
      </c>
      <c r="E73" s="221">
        <v>1500</v>
      </c>
      <c r="F73" s="222">
        <f t="shared" si="2"/>
        <v>1500</v>
      </c>
      <c r="G73" s="240"/>
      <c r="H73" s="291"/>
    </row>
    <row r="74" spans="1:8" s="204" customFormat="1" ht="15.75" x14ac:dyDescent="0.45">
      <c r="A74" s="205" t="s">
        <v>1198</v>
      </c>
      <c r="B74" s="206" t="s">
        <v>1199</v>
      </c>
      <c r="C74" s="206" t="s">
        <v>311</v>
      </c>
      <c r="D74" s="207"/>
      <c r="E74" s="207"/>
      <c r="F74" s="208">
        <f>F75+F97+F141</f>
        <v>1705182.3202169999</v>
      </c>
      <c r="G74" s="285"/>
      <c r="H74" s="286"/>
    </row>
    <row r="75" spans="1:8" s="204" customFormat="1" ht="15.75" x14ac:dyDescent="0.45">
      <c r="A75" s="210" t="s">
        <v>1200</v>
      </c>
      <c r="B75" s="211" t="s">
        <v>1201</v>
      </c>
      <c r="C75" s="211" t="s">
        <v>311</v>
      </c>
      <c r="D75" s="212"/>
      <c r="E75" s="212"/>
      <c r="F75" s="213">
        <f>F76+F79+F89+F92</f>
        <v>267669.46021699999</v>
      </c>
      <c r="G75" s="238"/>
      <c r="H75" s="287"/>
    </row>
    <row r="76" spans="1:8" s="204" customFormat="1" ht="15.75" x14ac:dyDescent="0.45">
      <c r="A76" s="215" t="s">
        <v>1202</v>
      </c>
      <c r="B76" s="216" t="s">
        <v>1203</v>
      </c>
      <c r="C76" s="216" t="s">
        <v>311</v>
      </c>
      <c r="D76" s="217"/>
      <c r="E76" s="217"/>
      <c r="F76" s="218">
        <f>F77+F78</f>
        <v>60000</v>
      </c>
      <c r="G76" s="239"/>
      <c r="H76" s="288"/>
    </row>
    <row r="77" spans="1:8" s="204" customFormat="1" ht="15.75" x14ac:dyDescent="0.45">
      <c r="A77" s="225" t="s">
        <v>1204</v>
      </c>
      <c r="B77" s="220" t="s">
        <v>1205</v>
      </c>
      <c r="C77" s="220" t="s">
        <v>286</v>
      </c>
      <c r="D77" s="221">
        <v>30</v>
      </c>
      <c r="E77" s="233">
        <v>1000</v>
      </c>
      <c r="F77" s="222">
        <f t="shared" ref="F77:F96" si="3">E77*D77</f>
        <v>30000</v>
      </c>
      <c r="G77" s="290" t="s">
        <v>1206</v>
      </c>
      <c r="H77" s="291"/>
    </row>
    <row r="78" spans="1:8" s="204" customFormat="1" ht="15.75" x14ac:dyDescent="0.45">
      <c r="A78" s="225" t="s">
        <v>1207</v>
      </c>
      <c r="B78" s="220" t="s">
        <v>1208</v>
      </c>
      <c r="C78" s="220" t="s">
        <v>286</v>
      </c>
      <c r="D78" s="221">
        <v>30</v>
      </c>
      <c r="E78" s="221">
        <v>1000</v>
      </c>
      <c r="F78" s="222">
        <f t="shared" si="3"/>
        <v>30000</v>
      </c>
      <c r="G78" s="240"/>
      <c r="H78" s="291"/>
    </row>
    <row r="79" spans="1:8" s="204" customFormat="1" ht="15.75" x14ac:dyDescent="0.45">
      <c r="A79" s="215" t="s">
        <v>1209</v>
      </c>
      <c r="B79" s="216" t="s">
        <v>287</v>
      </c>
      <c r="C79" s="216" t="s">
        <v>311</v>
      </c>
      <c r="D79" s="217"/>
      <c r="E79" s="217"/>
      <c r="F79" s="218">
        <f>SUM(F80:F88)</f>
        <v>155469.46021699999</v>
      </c>
      <c r="G79" s="239"/>
      <c r="H79" s="288"/>
    </row>
    <row r="80" spans="1:8" s="204" customFormat="1" ht="15.75" x14ac:dyDescent="0.45">
      <c r="A80" s="225" t="s">
        <v>1210</v>
      </c>
      <c r="B80" s="220" t="s">
        <v>1211</v>
      </c>
      <c r="C80" s="220" t="s">
        <v>285</v>
      </c>
      <c r="D80" s="221">
        <v>1</v>
      </c>
      <c r="E80" s="221">
        <v>3500</v>
      </c>
      <c r="F80" s="222">
        <f t="shared" si="3"/>
        <v>3500</v>
      </c>
      <c r="G80" s="240"/>
      <c r="H80" s="291"/>
    </row>
    <row r="81" spans="1:8" s="204" customFormat="1" ht="15.75" x14ac:dyDescent="0.45">
      <c r="A81" s="225" t="s">
        <v>1212</v>
      </c>
      <c r="B81" s="220" t="s">
        <v>1213</v>
      </c>
      <c r="C81" s="220" t="s">
        <v>288</v>
      </c>
      <c r="D81" s="221">
        <v>147.6</v>
      </c>
      <c r="E81" s="221">
        <v>483.67500000000001</v>
      </c>
      <c r="F81" s="222">
        <f t="shared" si="3"/>
        <v>71390.429999999993</v>
      </c>
      <c r="G81" s="240"/>
      <c r="H81" s="304" t="s">
        <v>1214</v>
      </c>
    </row>
    <row r="82" spans="1:8" s="204" customFormat="1" ht="15.75" x14ac:dyDescent="0.45">
      <c r="A82" s="225" t="s">
        <v>1215</v>
      </c>
      <c r="B82" s="220" t="s">
        <v>1216</v>
      </c>
      <c r="C82" s="220" t="s">
        <v>288</v>
      </c>
      <c r="D82" s="221">
        <v>73.89</v>
      </c>
      <c r="E82" s="221">
        <v>169.3175</v>
      </c>
      <c r="F82" s="222">
        <f t="shared" si="3"/>
        <v>12510.870074999999</v>
      </c>
      <c r="G82" s="240"/>
      <c r="H82" s="304" t="s">
        <v>1214</v>
      </c>
    </row>
    <row r="83" spans="1:8" s="204" customFormat="1" ht="31.5" x14ac:dyDescent="0.45">
      <c r="A83" s="225" t="s">
        <v>1217</v>
      </c>
      <c r="B83" s="220" t="s">
        <v>1218</v>
      </c>
      <c r="C83" s="220" t="s">
        <v>288</v>
      </c>
      <c r="D83" s="221">
        <v>192.3</v>
      </c>
      <c r="E83" s="221">
        <v>18.671800000000001</v>
      </c>
      <c r="F83" s="222">
        <f t="shared" si="3"/>
        <v>3590.5871400000005</v>
      </c>
      <c r="G83" s="240"/>
      <c r="H83" s="304" t="s">
        <v>1214</v>
      </c>
    </row>
    <row r="84" spans="1:8" s="204" customFormat="1" ht="18.75" customHeight="1" x14ac:dyDescent="0.45">
      <c r="A84" s="225" t="s">
        <v>1219</v>
      </c>
      <c r="B84" s="220" t="s">
        <v>1220</v>
      </c>
      <c r="C84" s="220" t="s">
        <v>288</v>
      </c>
      <c r="D84" s="221">
        <v>221.67</v>
      </c>
      <c r="E84" s="221">
        <v>18.671800000000001</v>
      </c>
      <c r="F84" s="222">
        <f t="shared" si="3"/>
        <v>4138.9779060000001</v>
      </c>
      <c r="G84" s="240"/>
      <c r="H84" s="304" t="s">
        <v>1214</v>
      </c>
    </row>
    <row r="85" spans="1:8" s="204" customFormat="1" ht="15.75" x14ac:dyDescent="0.45">
      <c r="A85" s="225" t="s">
        <v>1221</v>
      </c>
      <c r="B85" s="220" t="s">
        <v>1222</v>
      </c>
      <c r="C85" s="220" t="s">
        <v>289</v>
      </c>
      <c r="D85" s="221">
        <v>90.63</v>
      </c>
      <c r="E85" s="221">
        <v>58.181800000000003</v>
      </c>
      <c r="F85" s="222">
        <f t="shared" si="3"/>
        <v>5273.0165340000003</v>
      </c>
      <c r="G85" s="240"/>
      <c r="H85" s="304" t="s">
        <v>1214</v>
      </c>
    </row>
    <row r="86" spans="1:8" s="204" customFormat="1" ht="15.75" x14ac:dyDescent="0.45">
      <c r="A86" s="225" t="s">
        <v>1223</v>
      </c>
      <c r="B86" s="220" t="s">
        <v>1224</v>
      </c>
      <c r="C86" s="220" t="s">
        <v>288</v>
      </c>
      <c r="D86" s="221">
        <v>221.67</v>
      </c>
      <c r="E86" s="221">
        <v>87.168000000000006</v>
      </c>
      <c r="F86" s="222">
        <f t="shared" si="3"/>
        <v>19322.530559999999</v>
      </c>
      <c r="G86" s="240"/>
      <c r="H86" s="304" t="s">
        <v>1214</v>
      </c>
    </row>
    <row r="87" spans="1:8" s="204" customFormat="1" ht="15.75" x14ac:dyDescent="0.45">
      <c r="A87" s="225" t="s">
        <v>1225</v>
      </c>
      <c r="B87" s="220" t="s">
        <v>1226</v>
      </c>
      <c r="C87" s="220" t="s">
        <v>289</v>
      </c>
      <c r="D87" s="221">
        <v>3013.83</v>
      </c>
      <c r="E87" s="221">
        <v>6.08</v>
      </c>
      <c r="F87" s="222">
        <f t="shared" si="3"/>
        <v>18324.0864</v>
      </c>
      <c r="G87" s="240"/>
      <c r="H87" s="304" t="s">
        <v>1214</v>
      </c>
    </row>
    <row r="88" spans="1:8" s="204" customFormat="1" ht="15.75" x14ac:dyDescent="0.45">
      <c r="A88" s="225" t="s">
        <v>1227</v>
      </c>
      <c r="B88" s="299" t="s">
        <v>1228</v>
      </c>
      <c r="C88" s="299" t="s">
        <v>288</v>
      </c>
      <c r="D88" s="300">
        <v>73.89</v>
      </c>
      <c r="E88" s="300">
        <v>235.74180000000001</v>
      </c>
      <c r="F88" s="301">
        <f t="shared" si="3"/>
        <v>17418.961601999999</v>
      </c>
      <c r="G88" s="240" t="s">
        <v>1119</v>
      </c>
      <c r="H88" s="304"/>
    </row>
    <row r="89" spans="1:8" s="204" customFormat="1" ht="15.75" x14ac:dyDescent="0.45">
      <c r="A89" s="215" t="s">
        <v>1229</v>
      </c>
      <c r="B89" s="216" t="s">
        <v>1230</v>
      </c>
      <c r="C89" s="216" t="s">
        <v>311</v>
      </c>
      <c r="D89" s="217"/>
      <c r="E89" s="217"/>
      <c r="F89" s="218">
        <f>F90+F91</f>
        <v>4700</v>
      </c>
      <c r="G89" s="239"/>
      <c r="H89" s="288"/>
    </row>
    <row r="90" spans="1:8" s="204" customFormat="1" ht="15.75" x14ac:dyDescent="0.45">
      <c r="A90" s="225" t="s">
        <v>1231</v>
      </c>
      <c r="B90" s="220" t="s">
        <v>1232</v>
      </c>
      <c r="C90" s="220" t="s">
        <v>285</v>
      </c>
      <c r="D90" s="221">
        <v>1</v>
      </c>
      <c r="E90" s="221">
        <v>3100</v>
      </c>
      <c r="F90" s="222">
        <f t="shared" si="3"/>
        <v>3100</v>
      </c>
      <c r="G90" s="240"/>
      <c r="H90" s="291"/>
    </row>
    <row r="91" spans="1:8" s="204" customFormat="1" ht="15.75" x14ac:dyDescent="0.45">
      <c r="A91" s="225" t="s">
        <v>1233</v>
      </c>
      <c r="B91" s="220" t="s">
        <v>1234</v>
      </c>
      <c r="C91" s="220" t="s">
        <v>285</v>
      </c>
      <c r="D91" s="221">
        <v>1</v>
      </c>
      <c r="E91" s="221">
        <v>1600</v>
      </c>
      <c r="F91" s="222">
        <f t="shared" si="3"/>
        <v>1600</v>
      </c>
      <c r="G91" s="240"/>
      <c r="H91" s="291"/>
    </row>
    <row r="92" spans="1:8" s="204" customFormat="1" ht="15.75" x14ac:dyDescent="0.45">
      <c r="A92" s="215" t="s">
        <v>1235</v>
      </c>
      <c r="B92" s="216" t="s">
        <v>1236</v>
      </c>
      <c r="C92" s="216" t="s">
        <v>311</v>
      </c>
      <c r="D92" s="217"/>
      <c r="E92" s="217"/>
      <c r="F92" s="218">
        <f>SUM(F93:F96)</f>
        <v>47500</v>
      </c>
      <c r="G92" s="239"/>
      <c r="H92" s="288"/>
    </row>
    <row r="93" spans="1:8" s="204" customFormat="1" ht="15.75" x14ac:dyDescent="0.45">
      <c r="A93" s="225" t="s">
        <v>1237</v>
      </c>
      <c r="B93" s="220" t="s">
        <v>1238</v>
      </c>
      <c r="C93" s="220" t="s">
        <v>285</v>
      </c>
      <c r="D93" s="221">
        <v>1</v>
      </c>
      <c r="E93" s="221">
        <v>500</v>
      </c>
      <c r="F93" s="222">
        <f t="shared" si="3"/>
        <v>500</v>
      </c>
      <c r="G93" s="240"/>
      <c r="H93" s="291"/>
    </row>
    <row r="94" spans="1:8" s="204" customFormat="1" ht="15.75" x14ac:dyDescent="0.45">
      <c r="A94" s="225" t="s">
        <v>1239</v>
      </c>
      <c r="B94" s="220" t="s">
        <v>1240</v>
      </c>
      <c r="C94" s="220" t="s">
        <v>285</v>
      </c>
      <c r="D94" s="221">
        <v>1</v>
      </c>
      <c r="E94" s="221">
        <v>5000</v>
      </c>
      <c r="F94" s="222">
        <f t="shared" si="3"/>
        <v>5000</v>
      </c>
      <c r="G94" s="240"/>
      <c r="H94" s="291"/>
    </row>
    <row r="95" spans="1:8" s="204" customFormat="1" ht="31.5" x14ac:dyDescent="0.45">
      <c r="A95" s="225" t="s">
        <v>1241</v>
      </c>
      <c r="B95" s="220" t="s">
        <v>1242</v>
      </c>
      <c r="C95" s="220" t="s">
        <v>285</v>
      </c>
      <c r="D95" s="221">
        <v>1</v>
      </c>
      <c r="E95" s="221">
        <v>2000</v>
      </c>
      <c r="F95" s="222">
        <f t="shared" si="3"/>
        <v>2000</v>
      </c>
      <c r="G95" s="240"/>
      <c r="H95" s="291"/>
    </row>
    <row r="96" spans="1:8" s="204" customFormat="1" ht="15.75" x14ac:dyDescent="0.45">
      <c r="A96" s="225" t="s">
        <v>1243</v>
      </c>
      <c r="B96" s="220" t="s">
        <v>1244</v>
      </c>
      <c r="C96" s="220" t="s">
        <v>285</v>
      </c>
      <c r="D96" s="221">
        <v>1</v>
      </c>
      <c r="E96" s="221">
        <v>40000</v>
      </c>
      <c r="F96" s="222">
        <f t="shared" si="3"/>
        <v>40000</v>
      </c>
      <c r="G96" s="240"/>
      <c r="H96" s="291"/>
    </row>
    <row r="97" spans="1:8" s="204" customFormat="1" ht="15.75" x14ac:dyDescent="0.45">
      <c r="A97" s="210" t="s">
        <v>1245</v>
      </c>
      <c r="B97" s="211" t="s">
        <v>1246</v>
      </c>
      <c r="C97" s="211" t="s">
        <v>311</v>
      </c>
      <c r="D97" s="212"/>
      <c r="E97" s="212"/>
      <c r="F97" s="213">
        <f>F98+F110+F112+F131+F138</f>
        <v>1436012.8599999999</v>
      </c>
      <c r="G97" s="238"/>
      <c r="H97" s="287"/>
    </row>
    <row r="98" spans="1:8" s="204" customFormat="1" ht="15.75" x14ac:dyDescent="0.45">
      <c r="A98" s="215" t="s">
        <v>1247</v>
      </c>
      <c r="B98" s="216" t="s">
        <v>1248</v>
      </c>
      <c r="C98" s="216" t="s">
        <v>311</v>
      </c>
      <c r="D98" s="217"/>
      <c r="E98" s="217"/>
      <c r="F98" s="218">
        <f>SUM(F99:F109)</f>
        <v>1107599</v>
      </c>
      <c r="G98" s="239"/>
      <c r="H98" s="288"/>
    </row>
    <row r="99" spans="1:8" s="204" customFormat="1" ht="15.75" x14ac:dyDescent="0.45">
      <c r="A99" s="225" t="s">
        <v>1249</v>
      </c>
      <c r="B99" s="220" t="s">
        <v>1250</v>
      </c>
      <c r="C99" s="220" t="s">
        <v>286</v>
      </c>
      <c r="D99" s="221">
        <v>30</v>
      </c>
      <c r="E99" s="221">
        <v>7200</v>
      </c>
      <c r="F99" s="222">
        <f t="shared" ref="F99:F140" si="4">E99*D99</f>
        <v>216000</v>
      </c>
      <c r="G99" s="240"/>
      <c r="H99" s="291"/>
    </row>
    <row r="100" spans="1:8" s="204" customFormat="1" ht="15.75" x14ac:dyDescent="0.45">
      <c r="A100" s="225" t="s">
        <v>1251</v>
      </c>
      <c r="B100" s="220" t="s">
        <v>1252</v>
      </c>
      <c r="C100" s="220" t="s">
        <v>286</v>
      </c>
      <c r="D100" s="221">
        <v>30</v>
      </c>
      <c r="E100" s="221">
        <v>5000</v>
      </c>
      <c r="F100" s="222">
        <f t="shared" si="4"/>
        <v>150000</v>
      </c>
      <c r="G100" s="240"/>
      <c r="H100" s="291"/>
    </row>
    <row r="101" spans="1:8" s="204" customFormat="1" ht="15.75" x14ac:dyDescent="0.45">
      <c r="A101" s="225" t="s">
        <v>1253</v>
      </c>
      <c r="B101" s="220" t="s">
        <v>1254</v>
      </c>
      <c r="C101" s="220" t="s">
        <v>286</v>
      </c>
      <c r="D101" s="221">
        <v>30</v>
      </c>
      <c r="E101" s="221">
        <v>2500</v>
      </c>
      <c r="F101" s="222">
        <f t="shared" si="4"/>
        <v>75000</v>
      </c>
      <c r="G101" s="240"/>
      <c r="H101" s="291"/>
    </row>
    <row r="102" spans="1:8" s="204" customFormat="1" ht="15.75" x14ac:dyDescent="0.45">
      <c r="A102" s="225" t="s">
        <v>1255</v>
      </c>
      <c r="B102" s="233" t="s">
        <v>1256</v>
      </c>
      <c r="C102" s="220" t="s">
        <v>286</v>
      </c>
      <c r="D102" s="221">
        <v>30</v>
      </c>
      <c r="E102" s="221">
        <v>9000</v>
      </c>
      <c r="F102" s="222">
        <f t="shared" si="4"/>
        <v>270000</v>
      </c>
      <c r="G102" s="290" t="s">
        <v>1257</v>
      </c>
      <c r="H102" s="291"/>
    </row>
    <row r="103" spans="1:8" s="204" customFormat="1" ht="15.75" x14ac:dyDescent="0.45">
      <c r="A103" s="225" t="s">
        <v>1258</v>
      </c>
      <c r="B103" s="220" t="s">
        <v>1259</v>
      </c>
      <c r="C103" s="220" t="s">
        <v>286</v>
      </c>
      <c r="D103" s="221">
        <v>30</v>
      </c>
      <c r="E103" s="233">
        <v>1200</v>
      </c>
      <c r="F103" s="222">
        <f t="shared" si="4"/>
        <v>36000</v>
      </c>
      <c r="G103" s="290" t="s">
        <v>1260</v>
      </c>
      <c r="H103" s="291"/>
    </row>
    <row r="104" spans="1:8" s="204" customFormat="1" ht="15.75" x14ac:dyDescent="0.45">
      <c r="A104" s="225" t="s">
        <v>1261</v>
      </c>
      <c r="B104" s="220" t="s">
        <v>1262</v>
      </c>
      <c r="C104" s="220" t="s">
        <v>286</v>
      </c>
      <c r="D104" s="221">
        <v>30</v>
      </c>
      <c r="E104" s="221">
        <v>4500</v>
      </c>
      <c r="F104" s="222">
        <f t="shared" si="4"/>
        <v>135000</v>
      </c>
      <c r="G104" s="240"/>
      <c r="H104" s="291"/>
    </row>
    <row r="105" spans="1:8" s="204" customFormat="1" ht="15.75" x14ac:dyDescent="0.45">
      <c r="A105" s="225" t="s">
        <v>1263</v>
      </c>
      <c r="B105" s="220" t="s">
        <v>1264</v>
      </c>
      <c r="C105" s="220" t="s">
        <v>285</v>
      </c>
      <c r="D105" s="221">
        <v>1</v>
      </c>
      <c r="E105" s="233">
        <v>21599</v>
      </c>
      <c r="F105" s="222">
        <f t="shared" si="4"/>
        <v>21599</v>
      </c>
      <c r="G105" s="290" t="s">
        <v>1265</v>
      </c>
      <c r="H105" s="291"/>
    </row>
    <row r="106" spans="1:8" s="298" customFormat="1" ht="15.75" x14ac:dyDescent="0.45">
      <c r="A106" s="303" t="s">
        <v>1266</v>
      </c>
      <c r="B106" s="293" t="s">
        <v>1267</v>
      </c>
      <c r="C106" s="293" t="s">
        <v>286</v>
      </c>
      <c r="D106" s="294"/>
      <c r="E106" s="294">
        <v>4000</v>
      </c>
      <c r="F106" s="295">
        <f t="shared" si="4"/>
        <v>0</v>
      </c>
      <c r="G106" s="296" t="s">
        <v>1058</v>
      </c>
      <c r="H106" s="297"/>
    </row>
    <row r="107" spans="1:8" s="298" customFormat="1" ht="15.75" x14ac:dyDescent="0.45">
      <c r="A107" s="303" t="s">
        <v>1268</v>
      </c>
      <c r="B107" s="293" t="s">
        <v>1269</v>
      </c>
      <c r="C107" s="293" t="s">
        <v>286</v>
      </c>
      <c r="D107" s="294"/>
      <c r="E107" s="294">
        <v>2000</v>
      </c>
      <c r="F107" s="295">
        <f t="shared" si="4"/>
        <v>0</v>
      </c>
      <c r="G107" s="296" t="s">
        <v>1058</v>
      </c>
      <c r="H107" s="297"/>
    </row>
    <row r="108" spans="1:8" s="204" customFormat="1" ht="15.75" x14ac:dyDescent="0.45">
      <c r="A108" s="225" t="s">
        <v>1270</v>
      </c>
      <c r="B108" s="220" t="s">
        <v>1271</v>
      </c>
      <c r="C108" s="220" t="s">
        <v>286</v>
      </c>
      <c r="D108" s="221">
        <v>30</v>
      </c>
      <c r="E108" s="233">
        <v>4200</v>
      </c>
      <c r="F108" s="222">
        <f t="shared" si="4"/>
        <v>126000</v>
      </c>
      <c r="G108" s="240" t="s">
        <v>1193</v>
      </c>
      <c r="H108" s="291"/>
    </row>
    <row r="109" spans="1:8" s="204" customFormat="1" ht="15.75" x14ac:dyDescent="0.45">
      <c r="A109" s="225" t="s">
        <v>1272</v>
      </c>
      <c r="B109" s="299" t="s">
        <v>1273</v>
      </c>
      <c r="C109" s="299" t="s">
        <v>286</v>
      </c>
      <c r="D109" s="300">
        <v>30</v>
      </c>
      <c r="E109" s="300">
        <v>2600</v>
      </c>
      <c r="F109" s="301">
        <f t="shared" si="4"/>
        <v>78000</v>
      </c>
      <c r="G109" s="240" t="s">
        <v>1119</v>
      </c>
      <c r="H109" s="291"/>
    </row>
    <row r="110" spans="1:8" s="204" customFormat="1" ht="15.75" x14ac:dyDescent="0.45">
      <c r="A110" s="215" t="s">
        <v>1274</v>
      </c>
      <c r="B110" s="216" t="s">
        <v>1275</v>
      </c>
      <c r="C110" s="216" t="s">
        <v>311</v>
      </c>
      <c r="D110" s="217"/>
      <c r="E110" s="217"/>
      <c r="F110" s="218">
        <f>F111</f>
        <v>1500</v>
      </c>
      <c r="G110" s="239"/>
      <c r="H110" s="288"/>
    </row>
    <row r="111" spans="1:8" s="204" customFormat="1" ht="15.75" x14ac:dyDescent="0.45">
      <c r="A111" s="225" t="s">
        <v>1276</v>
      </c>
      <c r="B111" s="220" t="s">
        <v>1277</v>
      </c>
      <c r="C111" s="220" t="s">
        <v>285</v>
      </c>
      <c r="D111" s="221">
        <v>1</v>
      </c>
      <c r="E111" s="233">
        <v>1500</v>
      </c>
      <c r="F111" s="222">
        <f t="shared" si="4"/>
        <v>1500</v>
      </c>
      <c r="G111" s="240" t="s">
        <v>1193</v>
      </c>
      <c r="H111" s="291"/>
    </row>
    <row r="112" spans="1:8" s="204" customFormat="1" ht="15.75" x14ac:dyDescent="0.45">
      <c r="A112" s="215" t="s">
        <v>1278</v>
      </c>
      <c r="B112" s="216" t="s">
        <v>1279</v>
      </c>
      <c r="C112" s="216" t="s">
        <v>311</v>
      </c>
      <c r="D112" s="217"/>
      <c r="E112" s="217"/>
      <c r="F112" s="218">
        <f>SUM(F113:F130)</f>
        <v>250022.86</v>
      </c>
      <c r="G112" s="239"/>
      <c r="H112" s="288"/>
    </row>
    <row r="113" spans="1:8" s="204" customFormat="1" ht="15.75" x14ac:dyDescent="0.45">
      <c r="A113" s="225" t="s">
        <v>1280</v>
      </c>
      <c r="B113" s="220" t="s">
        <v>1281</v>
      </c>
      <c r="C113" s="220" t="s">
        <v>286</v>
      </c>
      <c r="D113" s="221">
        <v>30</v>
      </c>
      <c r="E113" s="233">
        <v>1560</v>
      </c>
      <c r="F113" s="222">
        <f t="shared" si="4"/>
        <v>46800</v>
      </c>
      <c r="G113" s="290" t="s">
        <v>1282</v>
      </c>
      <c r="H113" s="291"/>
    </row>
    <row r="114" spans="1:8" s="204" customFormat="1" ht="15.75" x14ac:dyDescent="0.45">
      <c r="A114" s="225" t="s">
        <v>1283</v>
      </c>
      <c r="B114" s="220" t="s">
        <v>1284</v>
      </c>
      <c r="C114" s="220" t="s">
        <v>286</v>
      </c>
      <c r="D114" s="221">
        <v>30</v>
      </c>
      <c r="E114" s="221">
        <v>400</v>
      </c>
      <c r="F114" s="222">
        <f t="shared" si="4"/>
        <v>12000</v>
      </c>
      <c r="G114" s="240"/>
      <c r="H114" s="291"/>
    </row>
    <row r="115" spans="1:8" s="204" customFormat="1" ht="15.75" x14ac:dyDescent="0.45">
      <c r="A115" s="225" t="s">
        <v>1285</v>
      </c>
      <c r="B115" s="220" t="s">
        <v>1286</v>
      </c>
      <c r="C115" s="220" t="s">
        <v>286</v>
      </c>
      <c r="D115" s="221">
        <v>30</v>
      </c>
      <c r="E115" s="221">
        <v>1200</v>
      </c>
      <c r="F115" s="222">
        <f t="shared" si="4"/>
        <v>36000</v>
      </c>
      <c r="G115" s="240"/>
      <c r="H115" s="291"/>
    </row>
    <row r="116" spans="1:8" s="204" customFormat="1" ht="15.75" x14ac:dyDescent="0.45">
      <c r="A116" s="225" t="s">
        <v>1287</v>
      </c>
      <c r="B116" s="220" t="s">
        <v>1288</v>
      </c>
      <c r="C116" s="220" t="s">
        <v>286</v>
      </c>
      <c r="D116" s="221">
        <v>30</v>
      </c>
      <c r="E116" s="221">
        <v>150</v>
      </c>
      <c r="F116" s="222">
        <f t="shared" si="4"/>
        <v>4500</v>
      </c>
      <c r="G116" s="240"/>
      <c r="H116" s="291"/>
    </row>
    <row r="117" spans="1:8" s="204" customFormat="1" ht="47.25" x14ac:dyDescent="0.45">
      <c r="A117" s="225" t="s">
        <v>1289</v>
      </c>
      <c r="B117" s="220" t="s">
        <v>1290</v>
      </c>
      <c r="C117" s="305" t="s">
        <v>285</v>
      </c>
      <c r="D117" s="234">
        <v>1</v>
      </c>
      <c r="E117" s="234">
        <v>35850</v>
      </c>
      <c r="F117" s="222">
        <f t="shared" si="4"/>
        <v>35850</v>
      </c>
      <c r="G117" s="290" t="s">
        <v>1291</v>
      </c>
      <c r="H117" s="291"/>
    </row>
    <row r="118" spans="1:8" s="204" customFormat="1" ht="15.75" x14ac:dyDescent="0.45">
      <c r="A118" s="225" t="s">
        <v>1292</v>
      </c>
      <c r="B118" s="220" t="s">
        <v>1293</v>
      </c>
      <c r="C118" s="220" t="s">
        <v>286</v>
      </c>
      <c r="D118" s="221">
        <v>30</v>
      </c>
      <c r="E118" s="221">
        <v>100</v>
      </c>
      <c r="F118" s="222">
        <f t="shared" si="4"/>
        <v>3000</v>
      </c>
      <c r="G118" s="240"/>
      <c r="H118" s="291"/>
    </row>
    <row r="119" spans="1:8" s="204" customFormat="1" ht="15.75" x14ac:dyDescent="0.45">
      <c r="A119" s="225" t="s">
        <v>1294</v>
      </c>
      <c r="B119" s="220" t="s">
        <v>1295</v>
      </c>
      <c r="C119" s="220" t="s">
        <v>286</v>
      </c>
      <c r="D119" s="221">
        <v>30</v>
      </c>
      <c r="E119" s="234">
        <v>1000</v>
      </c>
      <c r="F119" s="222">
        <f t="shared" si="4"/>
        <v>30000</v>
      </c>
      <c r="G119" s="290" t="s">
        <v>1296</v>
      </c>
      <c r="H119" s="291"/>
    </row>
    <row r="120" spans="1:8" s="204" customFormat="1" ht="15.75" x14ac:dyDescent="0.45">
      <c r="A120" s="225" t="s">
        <v>1297</v>
      </c>
      <c r="B120" s="220" t="s">
        <v>1298</v>
      </c>
      <c r="C120" s="220" t="s">
        <v>285</v>
      </c>
      <c r="D120" s="221">
        <v>1</v>
      </c>
      <c r="E120" s="234">
        <v>9274.5499999999993</v>
      </c>
      <c r="F120" s="222">
        <f t="shared" si="4"/>
        <v>9274.5499999999993</v>
      </c>
      <c r="G120" s="290" t="s">
        <v>1299</v>
      </c>
      <c r="H120" s="291"/>
    </row>
    <row r="121" spans="1:8" s="204" customFormat="1" ht="15.75" x14ac:dyDescent="0.45">
      <c r="A121" s="225" t="s">
        <v>1300</v>
      </c>
      <c r="B121" s="220" t="s">
        <v>1301</v>
      </c>
      <c r="C121" s="220" t="s">
        <v>286</v>
      </c>
      <c r="D121" s="221">
        <v>30</v>
      </c>
      <c r="E121" s="234">
        <v>175</v>
      </c>
      <c r="F121" s="222">
        <f t="shared" si="4"/>
        <v>5250</v>
      </c>
      <c r="G121" s="290" t="s">
        <v>1302</v>
      </c>
      <c r="H121" s="291"/>
    </row>
    <row r="122" spans="1:8" s="204" customFormat="1" ht="15.75" x14ac:dyDescent="0.45">
      <c r="A122" s="225" t="s">
        <v>1303</v>
      </c>
      <c r="B122" s="220" t="s">
        <v>1304</v>
      </c>
      <c r="C122" s="220" t="s">
        <v>286</v>
      </c>
      <c r="D122" s="221">
        <v>30</v>
      </c>
      <c r="E122" s="221">
        <v>350</v>
      </c>
      <c r="F122" s="222">
        <f t="shared" si="4"/>
        <v>10500</v>
      </c>
      <c r="G122" s="240"/>
      <c r="H122" s="291"/>
    </row>
    <row r="123" spans="1:8" s="204" customFormat="1" ht="15.75" x14ac:dyDescent="0.45">
      <c r="A123" s="225" t="s">
        <v>1305</v>
      </c>
      <c r="B123" s="220" t="s">
        <v>1306</v>
      </c>
      <c r="C123" s="220" t="s">
        <v>286</v>
      </c>
      <c r="D123" s="221">
        <v>30</v>
      </c>
      <c r="E123" s="221">
        <v>250</v>
      </c>
      <c r="F123" s="222">
        <f t="shared" si="4"/>
        <v>7500</v>
      </c>
      <c r="G123" s="240"/>
      <c r="H123" s="291"/>
    </row>
    <row r="124" spans="1:8" s="204" customFormat="1" ht="15.75" x14ac:dyDescent="0.45">
      <c r="A124" s="225" t="s">
        <v>1307</v>
      </c>
      <c r="B124" s="220" t="s">
        <v>1308</v>
      </c>
      <c r="C124" s="220" t="s">
        <v>286</v>
      </c>
      <c r="D124" s="221">
        <v>30</v>
      </c>
      <c r="E124" s="221">
        <v>120</v>
      </c>
      <c r="F124" s="222">
        <f t="shared" si="4"/>
        <v>3600</v>
      </c>
      <c r="G124" s="240"/>
      <c r="H124" s="291"/>
    </row>
    <row r="125" spans="1:8" s="204" customFormat="1" ht="15.75" x14ac:dyDescent="0.45">
      <c r="A125" s="225" t="s">
        <v>1309</v>
      </c>
      <c r="B125" s="220" t="s">
        <v>1310</v>
      </c>
      <c r="C125" s="220" t="s">
        <v>286</v>
      </c>
      <c r="D125" s="221">
        <v>30</v>
      </c>
      <c r="E125" s="221">
        <v>150</v>
      </c>
      <c r="F125" s="222">
        <f t="shared" si="4"/>
        <v>4500</v>
      </c>
      <c r="G125" s="240"/>
      <c r="H125" s="291"/>
    </row>
    <row r="126" spans="1:8" s="204" customFormat="1" ht="15.75" x14ac:dyDescent="0.45">
      <c r="A126" s="225" t="s">
        <v>1311</v>
      </c>
      <c r="B126" s="220" t="s">
        <v>1312</v>
      </c>
      <c r="C126" s="220" t="s">
        <v>285</v>
      </c>
      <c r="D126" s="221">
        <v>1</v>
      </c>
      <c r="E126" s="234">
        <v>10000</v>
      </c>
      <c r="F126" s="222">
        <f t="shared" si="4"/>
        <v>10000</v>
      </c>
      <c r="G126" s="290" t="s">
        <v>1313</v>
      </c>
      <c r="H126" s="291"/>
    </row>
    <row r="127" spans="1:8" s="298" customFormat="1" ht="15.75" x14ac:dyDescent="0.45">
      <c r="A127" s="303" t="s">
        <v>1314</v>
      </c>
      <c r="B127" s="293" t="s">
        <v>1315</v>
      </c>
      <c r="C127" s="293" t="s">
        <v>286</v>
      </c>
      <c r="D127" s="294"/>
      <c r="E127" s="294">
        <v>700</v>
      </c>
      <c r="F127" s="295">
        <f t="shared" si="4"/>
        <v>0</v>
      </c>
      <c r="G127" s="296" t="s">
        <v>1058</v>
      </c>
      <c r="H127" s="297"/>
    </row>
    <row r="128" spans="1:8" s="298" customFormat="1" ht="15.75" x14ac:dyDescent="0.45">
      <c r="A128" s="225" t="s">
        <v>1316</v>
      </c>
      <c r="B128" s="306" t="s">
        <v>1317</v>
      </c>
      <c r="C128" s="299" t="s">
        <v>285</v>
      </c>
      <c r="D128" s="300">
        <v>1</v>
      </c>
      <c r="E128" s="307">
        <v>20000</v>
      </c>
      <c r="F128" s="301">
        <f t="shared" si="4"/>
        <v>20000</v>
      </c>
      <c r="G128" s="240" t="s">
        <v>1119</v>
      </c>
      <c r="H128" s="297"/>
    </row>
    <row r="129" spans="1:8" s="298" customFormat="1" ht="15.75" x14ac:dyDescent="0.45">
      <c r="A129" s="225" t="s">
        <v>1318</v>
      </c>
      <c r="B129" s="306" t="s">
        <v>1319</v>
      </c>
      <c r="C129" s="299" t="s">
        <v>285</v>
      </c>
      <c r="D129" s="300">
        <v>1</v>
      </c>
      <c r="E129" s="307">
        <v>1248.31</v>
      </c>
      <c r="F129" s="301">
        <f t="shared" si="4"/>
        <v>1248.31</v>
      </c>
      <c r="G129" s="240" t="s">
        <v>1119</v>
      </c>
      <c r="H129" s="297"/>
    </row>
    <row r="130" spans="1:8" s="298" customFormat="1" ht="15.75" x14ac:dyDescent="0.45">
      <c r="A130" s="225" t="s">
        <v>1320</v>
      </c>
      <c r="B130" s="306" t="s">
        <v>1321</v>
      </c>
      <c r="C130" s="299" t="s">
        <v>285</v>
      </c>
      <c r="D130" s="300">
        <v>1</v>
      </c>
      <c r="E130" s="307">
        <v>10000</v>
      </c>
      <c r="F130" s="301">
        <f t="shared" si="4"/>
        <v>10000</v>
      </c>
      <c r="G130" s="240" t="s">
        <v>1119</v>
      </c>
      <c r="H130" s="297"/>
    </row>
    <row r="131" spans="1:8" s="204" customFormat="1" ht="15.75" x14ac:dyDescent="0.45">
      <c r="A131" s="215" t="s">
        <v>1322</v>
      </c>
      <c r="B131" s="216" t="s">
        <v>1323</v>
      </c>
      <c r="C131" s="216" t="s">
        <v>311</v>
      </c>
      <c r="D131" s="217"/>
      <c r="E131" s="217"/>
      <c r="F131" s="218">
        <f>SUM(F132:F137)</f>
        <v>66761</v>
      </c>
      <c r="G131" s="239"/>
      <c r="H131" s="288"/>
    </row>
    <row r="132" spans="1:8" s="204" customFormat="1" ht="15.75" x14ac:dyDescent="0.45">
      <c r="A132" s="225" t="s">
        <v>1324</v>
      </c>
      <c r="B132" s="220" t="s">
        <v>1325</v>
      </c>
      <c r="C132" s="220" t="s">
        <v>285</v>
      </c>
      <c r="D132" s="221">
        <v>1</v>
      </c>
      <c r="E132" s="221">
        <v>58511</v>
      </c>
      <c r="F132" s="222">
        <f t="shared" si="4"/>
        <v>58511</v>
      </c>
      <c r="G132" s="240"/>
      <c r="H132" s="291"/>
    </row>
    <row r="133" spans="1:8" s="204" customFormat="1" ht="15.75" x14ac:dyDescent="0.45">
      <c r="A133" s="225" t="s">
        <v>1326</v>
      </c>
      <c r="B133" s="220" t="s">
        <v>1327</v>
      </c>
      <c r="C133" s="220" t="s">
        <v>286</v>
      </c>
      <c r="D133" s="221">
        <v>8</v>
      </c>
      <c r="E133" s="233">
        <v>712.5</v>
      </c>
      <c r="F133" s="222">
        <f t="shared" si="4"/>
        <v>5700</v>
      </c>
      <c r="G133" s="240" t="s">
        <v>1193</v>
      </c>
      <c r="H133" s="291"/>
    </row>
    <row r="134" spans="1:8" s="298" customFormat="1" ht="15.75" x14ac:dyDescent="0.45">
      <c r="A134" s="303" t="s">
        <v>1328</v>
      </c>
      <c r="B134" s="293" t="s">
        <v>1329</v>
      </c>
      <c r="C134" s="293" t="s">
        <v>285</v>
      </c>
      <c r="D134" s="294"/>
      <c r="E134" s="294">
        <v>36108.800000000003</v>
      </c>
      <c r="F134" s="295">
        <f t="shared" si="4"/>
        <v>0</v>
      </c>
      <c r="G134" s="296" t="s">
        <v>1058</v>
      </c>
      <c r="H134" s="297"/>
    </row>
    <row r="135" spans="1:8" s="298" customFormat="1" ht="15.75" x14ac:dyDescent="0.45">
      <c r="A135" s="303" t="s">
        <v>1330</v>
      </c>
      <c r="B135" s="293" t="s">
        <v>1331</v>
      </c>
      <c r="C135" s="293" t="s">
        <v>288</v>
      </c>
      <c r="D135" s="294"/>
      <c r="E135" s="294">
        <v>146.68100000000001</v>
      </c>
      <c r="F135" s="295">
        <f t="shared" si="4"/>
        <v>0</v>
      </c>
      <c r="G135" s="296" t="s">
        <v>1058</v>
      </c>
      <c r="H135" s="308" t="s">
        <v>1214</v>
      </c>
    </row>
    <row r="136" spans="1:8" s="298" customFormat="1" ht="15.75" x14ac:dyDescent="0.45">
      <c r="A136" s="303" t="s">
        <v>1332</v>
      </c>
      <c r="B136" s="293" t="s">
        <v>1333</v>
      </c>
      <c r="C136" s="293" t="s">
        <v>285</v>
      </c>
      <c r="D136" s="294"/>
      <c r="E136" s="294">
        <v>4500</v>
      </c>
      <c r="F136" s="295">
        <f t="shared" si="4"/>
        <v>0</v>
      </c>
      <c r="G136" s="296" t="s">
        <v>1058</v>
      </c>
      <c r="H136" s="297"/>
    </row>
    <row r="137" spans="1:8" s="204" customFormat="1" ht="15.75" x14ac:dyDescent="0.45">
      <c r="A137" s="237" t="s">
        <v>1334</v>
      </c>
      <c r="B137" s="306" t="s">
        <v>1335</v>
      </c>
      <c r="C137" s="299" t="s">
        <v>286</v>
      </c>
      <c r="D137" s="300">
        <v>6</v>
      </c>
      <c r="E137" s="307">
        <v>425</v>
      </c>
      <c r="F137" s="301">
        <f t="shared" si="4"/>
        <v>2550</v>
      </c>
      <c r="G137" s="240" t="s">
        <v>1119</v>
      </c>
      <c r="H137" s="291"/>
    </row>
    <row r="138" spans="1:8" s="204" customFormat="1" ht="15.75" x14ac:dyDescent="0.45">
      <c r="A138" s="215" t="s">
        <v>1336</v>
      </c>
      <c r="B138" s="216" t="s">
        <v>1337</v>
      </c>
      <c r="C138" s="216" t="s">
        <v>311</v>
      </c>
      <c r="D138" s="217"/>
      <c r="E138" s="217"/>
      <c r="F138" s="218">
        <f>F139+F140</f>
        <v>10130</v>
      </c>
      <c r="G138" s="239"/>
      <c r="H138" s="288"/>
    </row>
    <row r="139" spans="1:8" s="204" customFormat="1" ht="15.75" x14ac:dyDescent="0.45">
      <c r="A139" s="225" t="s">
        <v>1338</v>
      </c>
      <c r="B139" s="220" t="s">
        <v>1339</v>
      </c>
      <c r="C139" s="220" t="s">
        <v>285</v>
      </c>
      <c r="D139" s="221">
        <v>1</v>
      </c>
      <c r="E139" s="221">
        <v>5400</v>
      </c>
      <c r="F139" s="222">
        <f t="shared" si="4"/>
        <v>5400</v>
      </c>
      <c r="G139" s="240"/>
      <c r="H139" s="291"/>
    </row>
    <row r="140" spans="1:8" s="204" customFormat="1" ht="15.75" x14ac:dyDescent="0.45">
      <c r="A140" s="225" t="s">
        <v>1340</v>
      </c>
      <c r="B140" s="220" t="s">
        <v>1341</v>
      </c>
      <c r="C140" s="220" t="s">
        <v>285</v>
      </c>
      <c r="D140" s="221">
        <v>1</v>
      </c>
      <c r="E140" s="221">
        <v>4730</v>
      </c>
      <c r="F140" s="222">
        <f t="shared" si="4"/>
        <v>4730</v>
      </c>
      <c r="G140" s="240"/>
      <c r="H140" s="291"/>
    </row>
    <row r="141" spans="1:8" s="204" customFormat="1" ht="15.75" x14ac:dyDescent="0.45">
      <c r="A141" s="210" t="s">
        <v>1342</v>
      </c>
      <c r="B141" s="211" t="s">
        <v>1343</v>
      </c>
      <c r="C141" s="211" t="s">
        <v>311</v>
      </c>
      <c r="D141" s="212"/>
      <c r="E141" s="212"/>
      <c r="F141" s="213">
        <f>F142</f>
        <v>1500</v>
      </c>
      <c r="G141" s="238"/>
      <c r="H141" s="287"/>
    </row>
    <row r="142" spans="1:8" s="204" customFormat="1" ht="15.75" x14ac:dyDescent="0.45">
      <c r="A142" s="215" t="s">
        <v>1344</v>
      </c>
      <c r="B142" s="216" t="s">
        <v>1345</v>
      </c>
      <c r="C142" s="216" t="s">
        <v>311</v>
      </c>
      <c r="D142" s="217"/>
      <c r="E142" s="217"/>
      <c r="F142" s="218">
        <f>F143</f>
        <v>1500</v>
      </c>
      <c r="G142" s="239"/>
      <c r="H142" s="288"/>
    </row>
    <row r="143" spans="1:8" s="204" customFormat="1" ht="15.75" x14ac:dyDescent="0.45">
      <c r="A143" s="225" t="s">
        <v>1346</v>
      </c>
      <c r="B143" s="220" t="s">
        <v>1347</v>
      </c>
      <c r="C143" s="220" t="s">
        <v>289</v>
      </c>
      <c r="D143" s="221">
        <v>600</v>
      </c>
      <c r="E143" s="221">
        <v>2.5</v>
      </c>
      <c r="F143" s="222">
        <f t="shared" ref="F143" si="5">E143*D143</f>
        <v>1500</v>
      </c>
      <c r="G143" s="240"/>
      <c r="H143" s="291"/>
    </row>
    <row r="144" spans="1:8" s="204" customFormat="1" ht="15.75" x14ac:dyDescent="0.45">
      <c r="A144" s="205" t="s">
        <v>1348</v>
      </c>
      <c r="B144" s="206" t="s">
        <v>34</v>
      </c>
      <c r="C144" s="206" t="s">
        <v>311</v>
      </c>
      <c r="D144" s="207"/>
      <c r="E144" s="207"/>
      <c r="F144" s="208">
        <f>F145</f>
        <v>254230.16899999999</v>
      </c>
      <c r="G144" s="309"/>
      <c r="H144" s="286"/>
    </row>
    <row r="145" spans="1:8" s="204" customFormat="1" ht="15.75" x14ac:dyDescent="0.45">
      <c r="A145" s="210" t="s">
        <v>1349</v>
      </c>
      <c r="B145" s="211" t="s">
        <v>34</v>
      </c>
      <c r="C145" s="211" t="s">
        <v>311</v>
      </c>
      <c r="D145" s="212"/>
      <c r="E145" s="212"/>
      <c r="F145" s="213">
        <f>F146+F155</f>
        <v>254230.16899999999</v>
      </c>
      <c r="G145" s="238"/>
      <c r="H145" s="287"/>
    </row>
    <row r="146" spans="1:8" s="204" customFormat="1" ht="15.75" x14ac:dyDescent="0.45">
      <c r="A146" s="215" t="s">
        <v>1350</v>
      </c>
      <c r="B146" s="216" t="s">
        <v>1351</v>
      </c>
      <c r="C146" s="216" t="s">
        <v>311</v>
      </c>
      <c r="D146" s="217"/>
      <c r="E146" s="217"/>
      <c r="F146" s="218">
        <f>SUM(F147:F154)</f>
        <v>155180.149</v>
      </c>
      <c r="G146" s="239"/>
      <c r="H146" s="288"/>
    </row>
    <row r="147" spans="1:8" s="204" customFormat="1" ht="15.75" x14ac:dyDescent="0.45">
      <c r="A147" s="225" t="s">
        <v>1352</v>
      </c>
      <c r="B147" s="220" t="s">
        <v>1353</v>
      </c>
      <c r="C147" s="220" t="s">
        <v>285</v>
      </c>
      <c r="D147" s="221">
        <v>1</v>
      </c>
      <c r="E147" s="221">
        <v>7554.2</v>
      </c>
      <c r="F147" s="222">
        <f t="shared" ref="F147:F161" si="6">E147*D147</f>
        <v>7554.2</v>
      </c>
      <c r="G147" s="240"/>
      <c r="H147" s="291"/>
    </row>
    <row r="148" spans="1:8" s="204" customFormat="1" ht="15.75" x14ac:dyDescent="0.45">
      <c r="A148" s="225" t="s">
        <v>1354</v>
      </c>
      <c r="B148" s="220" t="s">
        <v>1355</v>
      </c>
      <c r="C148" s="220" t="s">
        <v>286</v>
      </c>
      <c r="D148" s="221">
        <v>30</v>
      </c>
      <c r="E148" s="221">
        <v>166.66499999999999</v>
      </c>
      <c r="F148" s="222">
        <f t="shared" si="6"/>
        <v>4999.95</v>
      </c>
      <c r="G148" s="240"/>
      <c r="H148" s="291"/>
    </row>
    <row r="149" spans="1:8" s="204" customFormat="1" ht="15.75" x14ac:dyDescent="0.45">
      <c r="A149" s="225" t="s">
        <v>1356</v>
      </c>
      <c r="B149" s="220" t="s">
        <v>1357</v>
      </c>
      <c r="C149" s="220" t="s">
        <v>285</v>
      </c>
      <c r="D149" s="221">
        <v>1</v>
      </c>
      <c r="E149" s="233">
        <v>52400</v>
      </c>
      <c r="F149" s="222">
        <f t="shared" si="6"/>
        <v>52400</v>
      </c>
      <c r="G149" s="290" t="s">
        <v>1358</v>
      </c>
      <c r="H149" s="291"/>
    </row>
    <row r="150" spans="1:8" s="204" customFormat="1" ht="47.25" x14ac:dyDescent="0.45">
      <c r="A150" s="225" t="s">
        <v>1359</v>
      </c>
      <c r="B150" s="220" t="s">
        <v>1360</v>
      </c>
      <c r="C150" s="220" t="s">
        <v>286</v>
      </c>
      <c r="D150" s="221">
        <v>17</v>
      </c>
      <c r="E150" s="233">
        <v>2707.6469999999999</v>
      </c>
      <c r="F150" s="222">
        <f t="shared" si="6"/>
        <v>46029.998999999996</v>
      </c>
      <c r="G150" s="290" t="s">
        <v>1361</v>
      </c>
      <c r="H150" s="291"/>
    </row>
    <row r="151" spans="1:8" s="204" customFormat="1" ht="31.5" x14ac:dyDescent="0.45">
      <c r="A151" s="225" t="s">
        <v>1362</v>
      </c>
      <c r="B151" s="220" t="s">
        <v>1363</v>
      </c>
      <c r="C151" s="220" t="s">
        <v>286</v>
      </c>
      <c r="D151" s="221">
        <v>6</v>
      </c>
      <c r="E151" s="233">
        <v>1640</v>
      </c>
      <c r="F151" s="222">
        <f t="shared" si="6"/>
        <v>9840</v>
      </c>
      <c r="G151" s="290" t="s">
        <v>1364</v>
      </c>
      <c r="H151" s="291"/>
    </row>
    <row r="152" spans="1:8" s="204" customFormat="1" ht="15.75" x14ac:dyDescent="0.45">
      <c r="A152" s="225" t="s">
        <v>1365</v>
      </c>
      <c r="B152" s="220" t="s">
        <v>1366</v>
      </c>
      <c r="C152" s="220" t="s">
        <v>285</v>
      </c>
      <c r="D152" s="221">
        <v>1</v>
      </c>
      <c r="E152" s="221">
        <v>7000</v>
      </c>
      <c r="F152" s="222">
        <f t="shared" si="6"/>
        <v>7000</v>
      </c>
      <c r="G152" s="240"/>
      <c r="H152" s="291"/>
    </row>
    <row r="153" spans="1:8" s="204" customFormat="1" ht="15.75" x14ac:dyDescent="0.45">
      <c r="A153" s="225" t="s">
        <v>1367</v>
      </c>
      <c r="B153" s="220" t="s">
        <v>1368</v>
      </c>
      <c r="C153" s="220" t="s">
        <v>285</v>
      </c>
      <c r="D153" s="221">
        <v>1</v>
      </c>
      <c r="E153" s="233">
        <v>17600</v>
      </c>
      <c r="F153" s="222">
        <f t="shared" si="6"/>
        <v>17600</v>
      </c>
      <c r="G153" s="290" t="s">
        <v>1369</v>
      </c>
      <c r="H153" s="291"/>
    </row>
    <row r="154" spans="1:8" s="204" customFormat="1" ht="15.75" x14ac:dyDescent="0.45">
      <c r="A154" s="225" t="s">
        <v>1370</v>
      </c>
      <c r="B154" s="220" t="s">
        <v>1371</v>
      </c>
      <c r="C154" s="220" t="s">
        <v>285</v>
      </c>
      <c r="D154" s="221">
        <v>1</v>
      </c>
      <c r="E154" s="221">
        <v>9756</v>
      </c>
      <c r="F154" s="222">
        <f t="shared" si="6"/>
        <v>9756</v>
      </c>
      <c r="G154" s="240"/>
      <c r="H154" s="291"/>
    </row>
    <row r="155" spans="1:8" s="204" customFormat="1" ht="15.75" x14ac:dyDescent="0.45">
      <c r="A155" s="215" t="s">
        <v>1372</v>
      </c>
      <c r="B155" s="216" t="s">
        <v>1373</v>
      </c>
      <c r="C155" s="216" t="s">
        <v>311</v>
      </c>
      <c r="D155" s="217"/>
      <c r="E155" s="217"/>
      <c r="F155" s="218">
        <f>SUM(F156:F161)</f>
        <v>99050.01999999999</v>
      </c>
      <c r="G155" s="239"/>
      <c r="H155" s="288"/>
    </row>
    <row r="156" spans="1:8" s="298" customFormat="1" ht="15.75" x14ac:dyDescent="0.45">
      <c r="A156" s="303" t="s">
        <v>1374</v>
      </c>
      <c r="B156" s="293" t="s">
        <v>1375</v>
      </c>
      <c r="C156" s="293" t="s">
        <v>286</v>
      </c>
      <c r="D156" s="294">
        <v>0</v>
      </c>
      <c r="E156" s="294">
        <v>540</v>
      </c>
      <c r="F156" s="295">
        <f t="shared" si="6"/>
        <v>0</v>
      </c>
      <c r="G156" s="296" t="s">
        <v>1058</v>
      </c>
      <c r="H156" s="297"/>
    </row>
    <row r="157" spans="1:8" s="204" customFormat="1" ht="15.75" x14ac:dyDescent="0.45">
      <c r="A157" s="225" t="s">
        <v>1376</v>
      </c>
      <c r="B157" s="220" t="s">
        <v>1377</v>
      </c>
      <c r="C157" s="220" t="s">
        <v>286</v>
      </c>
      <c r="D157" s="221">
        <v>7</v>
      </c>
      <c r="E157" s="221">
        <v>6942.86</v>
      </c>
      <c r="F157" s="222">
        <f t="shared" si="6"/>
        <v>48600.02</v>
      </c>
      <c r="G157" s="240"/>
      <c r="H157" s="302"/>
    </row>
    <row r="158" spans="1:8" s="204" customFormat="1" ht="15.75" x14ac:dyDescent="0.45">
      <c r="A158" s="225" t="s">
        <v>1378</v>
      </c>
      <c r="B158" s="220" t="s">
        <v>1379</v>
      </c>
      <c r="C158" s="220" t="s">
        <v>285</v>
      </c>
      <c r="D158" s="221">
        <v>1</v>
      </c>
      <c r="E158" s="221">
        <v>1150</v>
      </c>
      <c r="F158" s="222">
        <f t="shared" si="6"/>
        <v>1150</v>
      </c>
      <c r="G158" s="240"/>
      <c r="H158" s="291"/>
    </row>
    <row r="159" spans="1:8" s="204" customFormat="1" ht="15.75" x14ac:dyDescent="0.45">
      <c r="A159" s="225" t="s">
        <v>1380</v>
      </c>
      <c r="B159" s="220" t="s">
        <v>1381</v>
      </c>
      <c r="C159" s="220" t="s">
        <v>286</v>
      </c>
      <c r="D159" s="221">
        <v>30</v>
      </c>
      <c r="E159" s="221">
        <v>50</v>
      </c>
      <c r="F159" s="222">
        <f t="shared" si="6"/>
        <v>1500</v>
      </c>
      <c r="G159" s="240"/>
      <c r="H159" s="291"/>
    </row>
    <row r="160" spans="1:8" s="204" customFormat="1" ht="15.75" x14ac:dyDescent="0.45">
      <c r="A160" s="225" t="s">
        <v>1382</v>
      </c>
      <c r="B160" s="220" t="s">
        <v>1383</v>
      </c>
      <c r="C160" s="220" t="s">
        <v>285</v>
      </c>
      <c r="D160" s="221">
        <v>1</v>
      </c>
      <c r="E160" s="221">
        <v>15000</v>
      </c>
      <c r="F160" s="222">
        <f t="shared" si="6"/>
        <v>15000</v>
      </c>
      <c r="G160" s="240"/>
      <c r="H160" s="291"/>
    </row>
    <row r="161" spans="1:8" s="204" customFormat="1" ht="15.75" x14ac:dyDescent="0.45">
      <c r="A161" s="225" t="s">
        <v>1384</v>
      </c>
      <c r="B161" s="220" t="s">
        <v>1385</v>
      </c>
      <c r="C161" s="220" t="s">
        <v>285</v>
      </c>
      <c r="D161" s="221">
        <v>1</v>
      </c>
      <c r="E161" s="221">
        <v>32800</v>
      </c>
      <c r="F161" s="222">
        <f t="shared" si="6"/>
        <v>32800</v>
      </c>
      <c r="G161" s="240"/>
      <c r="H161" s="291"/>
    </row>
    <row r="162" spans="1:8" s="204" customFormat="1" ht="15.75" customHeight="1" x14ac:dyDescent="0.45">
      <c r="A162" s="199" t="s">
        <v>290</v>
      </c>
      <c r="B162" s="200" t="s">
        <v>291</v>
      </c>
      <c r="C162" s="200" t="s">
        <v>311</v>
      </c>
      <c r="D162" s="201"/>
      <c r="E162" s="201"/>
      <c r="F162" s="202">
        <f>F163+F172+F206+F233+F256+F290+F311+F329+F339+F347+F355+F365+F376+F398+F411+F450+F478+F519+F529+F545+F564</f>
        <v>11760297.513744</v>
      </c>
      <c r="G162" s="283"/>
      <c r="H162" s="284"/>
    </row>
    <row r="163" spans="1:8" s="204" customFormat="1" ht="15.75" x14ac:dyDescent="0.45">
      <c r="A163" s="205" t="s">
        <v>292</v>
      </c>
      <c r="B163" s="206" t="s">
        <v>293</v>
      </c>
      <c r="C163" s="206" t="s">
        <v>311</v>
      </c>
      <c r="D163" s="207"/>
      <c r="E163" s="207"/>
      <c r="F163" s="208">
        <f>F164</f>
        <v>75751.399999999994</v>
      </c>
      <c r="G163" s="309">
        <f>F163/$G$4</f>
        <v>16.838658622789897</v>
      </c>
      <c r="H163" s="286"/>
    </row>
    <row r="164" spans="1:8" s="204" customFormat="1" ht="15.75" x14ac:dyDescent="0.45">
      <c r="A164" s="210" t="s">
        <v>294</v>
      </c>
      <c r="B164" s="211" t="s">
        <v>293</v>
      </c>
      <c r="C164" s="211" t="s">
        <v>311</v>
      </c>
      <c r="D164" s="212"/>
      <c r="E164" s="212"/>
      <c r="F164" s="213">
        <f>F165+F167+F170</f>
        <v>75751.399999999994</v>
      </c>
      <c r="G164" s="309">
        <f>F165/$G$4</f>
        <v>2.8341772883480858</v>
      </c>
      <c r="H164" s="287"/>
    </row>
    <row r="165" spans="1:8" s="204" customFormat="1" ht="15.75" x14ac:dyDescent="0.45">
      <c r="A165" s="215" t="s">
        <v>295</v>
      </c>
      <c r="B165" s="216" t="s">
        <v>1386</v>
      </c>
      <c r="C165" s="216" t="s">
        <v>311</v>
      </c>
      <c r="D165" s="217"/>
      <c r="E165" s="217"/>
      <c r="F165" s="218">
        <f>F166</f>
        <v>12750</v>
      </c>
      <c r="G165" s="239">
        <f>D168/$G$5</f>
        <v>0.39701592064682839</v>
      </c>
      <c r="H165" s="288"/>
    </row>
    <row r="166" spans="1:8" s="204" customFormat="1" ht="15.75" x14ac:dyDescent="0.45">
      <c r="A166" s="225" t="s">
        <v>1387</v>
      </c>
      <c r="B166" s="220" t="s">
        <v>1388</v>
      </c>
      <c r="C166" s="220" t="s">
        <v>285</v>
      </c>
      <c r="D166" s="221">
        <v>1</v>
      </c>
      <c r="E166" s="233">
        <v>12750</v>
      </c>
      <c r="F166" s="222">
        <f t="shared" ref="F166" si="7">E166*D166</f>
        <v>12750</v>
      </c>
      <c r="G166" s="290" t="s">
        <v>1389</v>
      </c>
      <c r="H166" s="304">
        <f>F166/$G$5</f>
        <v>26.569142285571392</v>
      </c>
    </row>
    <row r="167" spans="1:8" s="204" customFormat="1" ht="15.75" x14ac:dyDescent="0.45">
      <c r="A167" s="215" t="s">
        <v>299</v>
      </c>
      <c r="B167" s="216" t="s">
        <v>296</v>
      </c>
      <c r="C167" s="216" t="s">
        <v>311</v>
      </c>
      <c r="D167" s="217"/>
      <c r="E167" s="217"/>
      <c r="F167" s="218">
        <f>F168+F169</f>
        <v>61499.856000000007</v>
      </c>
      <c r="G167" s="309">
        <f>F167/$G$4</f>
        <v>13.670705498970806</v>
      </c>
      <c r="H167" s="288"/>
    </row>
    <row r="168" spans="1:8" s="204" customFormat="1" ht="31.5" x14ac:dyDescent="0.45">
      <c r="A168" s="225" t="s">
        <v>1390</v>
      </c>
      <c r="B168" s="220" t="s">
        <v>298</v>
      </c>
      <c r="C168" s="220" t="s">
        <v>339</v>
      </c>
      <c r="D168" s="221">
        <v>190.52</v>
      </c>
      <c r="E168" s="233">
        <v>322.8</v>
      </c>
      <c r="F168" s="222">
        <f t="shared" ref="F168:F169" si="8">E168*D168</f>
        <v>61499.856000000007</v>
      </c>
      <c r="G168" s="290" t="s">
        <v>1391</v>
      </c>
      <c r="H168" s="304">
        <f>F168/$G$5</f>
        <v>128.15673918479621</v>
      </c>
    </row>
    <row r="169" spans="1:8" s="298" customFormat="1" ht="15.75" x14ac:dyDescent="0.45">
      <c r="A169" s="303" t="s">
        <v>1392</v>
      </c>
      <c r="B169" s="293" t="s">
        <v>1393</v>
      </c>
      <c r="C169" s="293" t="s">
        <v>339</v>
      </c>
      <c r="D169" s="294">
        <v>0</v>
      </c>
      <c r="E169" s="294">
        <v>13.6427</v>
      </c>
      <c r="F169" s="222">
        <f t="shared" si="8"/>
        <v>0</v>
      </c>
      <c r="G169" s="296" t="s">
        <v>1058</v>
      </c>
      <c r="H169" s="308"/>
    </row>
    <row r="170" spans="1:8" s="204" customFormat="1" ht="15.75" x14ac:dyDescent="0.45">
      <c r="A170" s="215" t="s">
        <v>1394</v>
      </c>
      <c r="B170" s="216" t="s">
        <v>300</v>
      </c>
      <c r="C170" s="216" t="s">
        <v>311</v>
      </c>
      <c r="D170" s="217"/>
      <c r="E170" s="217"/>
      <c r="F170" s="218">
        <f>F171</f>
        <v>1501.5440000000001</v>
      </c>
      <c r="G170" s="309">
        <f>F170/$G$4</f>
        <v>0.33377583547100698</v>
      </c>
      <c r="H170" s="288"/>
    </row>
    <row r="171" spans="1:8" s="204" customFormat="1" ht="15.75" x14ac:dyDescent="0.45">
      <c r="A171" s="225" t="s">
        <v>1395</v>
      </c>
      <c r="B171" s="220" t="s">
        <v>302</v>
      </c>
      <c r="C171" s="220" t="s">
        <v>289</v>
      </c>
      <c r="D171" s="221">
        <v>170.63</v>
      </c>
      <c r="E171" s="221">
        <v>8.8000000000000007</v>
      </c>
      <c r="F171" s="222">
        <f t="shared" ref="F171" si="9">E171*D171</f>
        <v>1501.5440000000001</v>
      </c>
      <c r="G171" s="240">
        <f>D171/$G$5</f>
        <v>0.35556805868133701</v>
      </c>
      <c r="H171" s="304">
        <f>F171/$G$5</f>
        <v>3.1289989163957657</v>
      </c>
    </row>
    <row r="172" spans="1:8" s="204" customFormat="1" ht="15.75" x14ac:dyDescent="0.45">
      <c r="A172" s="205" t="s">
        <v>303</v>
      </c>
      <c r="B172" s="206" t="s">
        <v>304</v>
      </c>
      <c r="C172" s="206" t="s">
        <v>311</v>
      </c>
      <c r="D172" s="207"/>
      <c r="E172" s="207"/>
      <c r="F172" s="208">
        <f>F173+F187</f>
        <v>1547469.931932</v>
      </c>
      <c r="G172" s="309"/>
      <c r="H172" s="286"/>
    </row>
    <row r="173" spans="1:8" s="204" customFormat="1" ht="15.75" x14ac:dyDescent="0.45">
      <c r="A173" s="210" t="s">
        <v>305</v>
      </c>
      <c r="B173" s="211" t="s">
        <v>239</v>
      </c>
      <c r="C173" s="211" t="s">
        <v>311</v>
      </c>
      <c r="D173" s="212"/>
      <c r="E173" s="212"/>
      <c r="F173" s="213">
        <f>F174+F179+F183+F185</f>
        <v>520408.16000000003</v>
      </c>
      <c r="G173" s="238"/>
      <c r="H173" s="287"/>
    </row>
    <row r="174" spans="1:8" s="204" customFormat="1" ht="15.75" x14ac:dyDescent="0.45">
      <c r="A174" s="215" t="s">
        <v>306</v>
      </c>
      <c r="B174" s="216" t="s">
        <v>1396</v>
      </c>
      <c r="C174" s="216" t="s">
        <v>311</v>
      </c>
      <c r="D174" s="217"/>
      <c r="E174" s="217"/>
      <c r="F174" s="218">
        <f>SUM(F175:F178)</f>
        <v>520408.16000000003</v>
      </c>
      <c r="G174" s="239"/>
      <c r="H174" s="288"/>
    </row>
    <row r="175" spans="1:8" s="298" customFormat="1" ht="15.75" x14ac:dyDescent="0.45">
      <c r="A175" s="303" t="s">
        <v>1397</v>
      </c>
      <c r="B175" s="293" t="s">
        <v>1398</v>
      </c>
      <c r="C175" s="293" t="s">
        <v>288</v>
      </c>
      <c r="D175" s="294"/>
      <c r="E175" s="294">
        <v>70</v>
      </c>
      <c r="F175" s="295">
        <f t="shared" ref="F175:F186" si="10">E175*D175</f>
        <v>0</v>
      </c>
      <c r="G175" s="296" t="s">
        <v>1058</v>
      </c>
      <c r="H175" s="308"/>
    </row>
    <row r="176" spans="1:8" s="298" customFormat="1" ht="15.75" x14ac:dyDescent="0.45">
      <c r="A176" s="303" t="s">
        <v>1399</v>
      </c>
      <c r="B176" s="293" t="s">
        <v>1400</v>
      </c>
      <c r="C176" s="293" t="s">
        <v>288</v>
      </c>
      <c r="D176" s="294"/>
      <c r="E176" s="294">
        <v>80</v>
      </c>
      <c r="F176" s="295">
        <f t="shared" si="10"/>
        <v>0</v>
      </c>
      <c r="G176" s="296" t="s">
        <v>1058</v>
      </c>
      <c r="H176" s="308"/>
    </row>
    <row r="177" spans="1:8" s="298" customFormat="1" ht="15.75" x14ac:dyDescent="0.45">
      <c r="A177" s="303" t="s">
        <v>1401</v>
      </c>
      <c r="B177" s="293" t="s">
        <v>1402</v>
      </c>
      <c r="C177" s="293" t="s">
        <v>288</v>
      </c>
      <c r="D177" s="294"/>
      <c r="E177" s="294">
        <v>90</v>
      </c>
      <c r="F177" s="295">
        <f t="shared" si="10"/>
        <v>0</v>
      </c>
      <c r="G177" s="296" t="s">
        <v>1058</v>
      </c>
      <c r="H177" s="308"/>
    </row>
    <row r="178" spans="1:8" s="204" customFormat="1" ht="15.75" x14ac:dyDescent="0.45">
      <c r="A178" s="237"/>
      <c r="B178" s="306" t="s">
        <v>1403</v>
      </c>
      <c r="C178" s="306" t="s">
        <v>285</v>
      </c>
      <c r="D178" s="307">
        <v>1</v>
      </c>
      <c r="E178" s="307">
        <v>520408.16000000003</v>
      </c>
      <c r="F178" s="310">
        <f t="shared" si="10"/>
        <v>520408.16000000003</v>
      </c>
      <c r="G178" s="311" t="s">
        <v>1404</v>
      </c>
      <c r="H178" s="312"/>
    </row>
    <row r="179" spans="1:8" s="298" customFormat="1" ht="15.75" x14ac:dyDescent="0.45">
      <c r="A179" s="313" t="s">
        <v>1405</v>
      </c>
      <c r="B179" s="314" t="s">
        <v>316</v>
      </c>
      <c r="C179" s="314" t="s">
        <v>311</v>
      </c>
      <c r="D179" s="315"/>
      <c r="E179" s="315"/>
      <c r="F179" s="316">
        <f>SUM(F180:F182)</f>
        <v>0</v>
      </c>
      <c r="G179" s="317"/>
      <c r="H179" s="318"/>
    </row>
    <row r="180" spans="1:8" s="298" customFormat="1" ht="15.75" x14ac:dyDescent="0.45">
      <c r="A180" s="303" t="s">
        <v>1406</v>
      </c>
      <c r="B180" s="293" t="s">
        <v>1407</v>
      </c>
      <c r="C180" s="293" t="s">
        <v>319</v>
      </c>
      <c r="D180" s="294"/>
      <c r="E180" s="294">
        <v>7.9661</v>
      </c>
      <c r="F180" s="295">
        <f t="shared" si="10"/>
        <v>0</v>
      </c>
      <c r="G180" s="296" t="s">
        <v>1058</v>
      </c>
      <c r="H180" s="308"/>
    </row>
    <row r="181" spans="1:8" s="298" customFormat="1" ht="15.75" x14ac:dyDescent="0.45">
      <c r="A181" s="303" t="s">
        <v>1408</v>
      </c>
      <c r="B181" s="293" t="s">
        <v>1409</v>
      </c>
      <c r="C181" s="293" t="s">
        <v>319</v>
      </c>
      <c r="D181" s="294"/>
      <c r="E181" s="294">
        <v>6.4260999999999999</v>
      </c>
      <c r="F181" s="295">
        <f t="shared" si="10"/>
        <v>0</v>
      </c>
      <c r="G181" s="296" t="s">
        <v>1058</v>
      </c>
      <c r="H181" s="308"/>
    </row>
    <row r="182" spans="1:8" s="298" customFormat="1" ht="15.75" x14ac:dyDescent="0.45">
      <c r="A182" s="303" t="s">
        <v>1410</v>
      </c>
      <c r="B182" s="293" t="s">
        <v>1411</v>
      </c>
      <c r="C182" s="293" t="s">
        <v>319</v>
      </c>
      <c r="D182" s="294"/>
      <c r="E182" s="294">
        <v>6.4260999999999999</v>
      </c>
      <c r="F182" s="295">
        <f t="shared" si="10"/>
        <v>0</v>
      </c>
      <c r="G182" s="296" t="s">
        <v>1058</v>
      </c>
      <c r="H182" s="308"/>
    </row>
    <row r="183" spans="1:8" s="298" customFormat="1" ht="15.75" x14ac:dyDescent="0.45">
      <c r="A183" s="313" t="s">
        <v>1412</v>
      </c>
      <c r="B183" s="314" t="s">
        <v>44</v>
      </c>
      <c r="C183" s="314" t="s">
        <v>311</v>
      </c>
      <c r="D183" s="315"/>
      <c r="E183" s="315"/>
      <c r="F183" s="316">
        <f>F184</f>
        <v>0</v>
      </c>
      <c r="G183" s="317"/>
      <c r="H183" s="318"/>
    </row>
    <row r="184" spans="1:8" s="298" customFormat="1" ht="31.5" x14ac:dyDescent="0.45">
      <c r="A184" s="303" t="s">
        <v>1413</v>
      </c>
      <c r="B184" s="293" t="s">
        <v>1414</v>
      </c>
      <c r="C184" s="293" t="s">
        <v>339</v>
      </c>
      <c r="D184" s="294"/>
      <c r="E184" s="294">
        <v>612.6</v>
      </c>
      <c r="F184" s="295">
        <f t="shared" si="10"/>
        <v>0</v>
      </c>
      <c r="G184" s="296" t="s">
        <v>1058</v>
      </c>
      <c r="H184" s="308"/>
    </row>
    <row r="185" spans="1:8" s="298" customFormat="1" ht="15.75" x14ac:dyDescent="0.45">
      <c r="A185" s="313" t="s">
        <v>1415</v>
      </c>
      <c r="B185" s="314" t="s">
        <v>1416</v>
      </c>
      <c r="C185" s="314" t="s">
        <v>311</v>
      </c>
      <c r="D185" s="315"/>
      <c r="E185" s="315"/>
      <c r="F185" s="316">
        <f>F186</f>
        <v>0</v>
      </c>
      <c r="G185" s="317"/>
      <c r="H185" s="318"/>
    </row>
    <row r="186" spans="1:8" s="298" customFormat="1" ht="15.75" x14ac:dyDescent="0.45">
      <c r="A186" s="303" t="s">
        <v>1417</v>
      </c>
      <c r="B186" s="293" t="s">
        <v>384</v>
      </c>
      <c r="C186" s="293" t="s">
        <v>285</v>
      </c>
      <c r="D186" s="294">
        <v>0</v>
      </c>
      <c r="E186" s="294">
        <v>6294.9139999999998</v>
      </c>
      <c r="F186" s="222">
        <f t="shared" si="10"/>
        <v>0</v>
      </c>
      <c r="G186" s="296" t="s">
        <v>1058</v>
      </c>
      <c r="H186" s="308">
        <f>E198/E197</f>
        <v>1.0432483384458078</v>
      </c>
    </row>
    <row r="187" spans="1:8" s="204" customFormat="1" ht="15.75" x14ac:dyDescent="0.45">
      <c r="A187" s="210" t="s">
        <v>310</v>
      </c>
      <c r="B187" s="211" t="s">
        <v>244</v>
      </c>
      <c r="C187" s="211"/>
      <c r="D187" s="212"/>
      <c r="E187" s="212"/>
      <c r="F187" s="213">
        <f>F188+F190+F200+F202+F204</f>
        <v>1027061.7719320001</v>
      </c>
      <c r="G187" s="238"/>
      <c r="H187" s="287"/>
    </row>
    <row r="188" spans="1:8" s="204" customFormat="1" ht="15.75" x14ac:dyDescent="0.45">
      <c r="A188" s="215" t="s">
        <v>312</v>
      </c>
      <c r="B188" s="216" t="s">
        <v>267</v>
      </c>
      <c r="C188" s="216"/>
      <c r="D188" s="217"/>
      <c r="E188" s="217"/>
      <c r="F188" s="218">
        <f>F189</f>
        <v>30885.407520000001</v>
      </c>
      <c r="G188" s="239">
        <f>D189/$G$5</f>
        <v>1.4598232891556222</v>
      </c>
      <c r="H188" s="288"/>
    </row>
    <row r="189" spans="1:8" s="204" customFormat="1" ht="31.5" x14ac:dyDescent="0.45">
      <c r="A189" s="225" t="s">
        <v>313</v>
      </c>
      <c r="B189" s="220" t="s">
        <v>1418</v>
      </c>
      <c r="C189" s="220" t="s">
        <v>289</v>
      </c>
      <c r="D189" s="221">
        <v>700.54</v>
      </c>
      <c r="E189" s="319">
        <v>44.088000000000001</v>
      </c>
      <c r="F189" s="236">
        <f t="shared" ref="F189" si="11">E189*D189</f>
        <v>30885.407520000001</v>
      </c>
      <c r="G189" s="290" t="s">
        <v>1419</v>
      </c>
      <c r="H189" s="304" t="s">
        <v>304</v>
      </c>
    </row>
    <row r="190" spans="1:8" s="204" customFormat="1" ht="15.75" x14ac:dyDescent="0.45">
      <c r="A190" s="215" t="s">
        <v>315</v>
      </c>
      <c r="B190" s="216" t="s">
        <v>316</v>
      </c>
      <c r="C190" s="216"/>
      <c r="D190" s="217"/>
      <c r="E190" s="217"/>
      <c r="F190" s="218">
        <f>SUM(F191:F199)</f>
        <v>163177.63741999998</v>
      </c>
      <c r="G190" s="239">
        <f>SUM(D191:D199)/D201</f>
        <v>87.111417243464814</v>
      </c>
      <c r="H190" s="288"/>
    </row>
    <row r="191" spans="1:8" s="204" customFormat="1" ht="15.75" x14ac:dyDescent="0.45">
      <c r="A191" s="225" t="s">
        <v>317</v>
      </c>
      <c r="B191" s="220" t="s">
        <v>318</v>
      </c>
      <c r="C191" s="220" t="s">
        <v>319</v>
      </c>
      <c r="D191" s="221">
        <v>649</v>
      </c>
      <c r="E191" s="320">
        <v>7.7991999999999999</v>
      </c>
      <c r="F191" s="236">
        <f t="shared" ref="F191:F205" si="12">E191*D191</f>
        <v>5061.6808000000001</v>
      </c>
      <c r="G191" s="240" t="s">
        <v>1420</v>
      </c>
      <c r="H191" s="304" t="s">
        <v>304</v>
      </c>
    </row>
    <row r="192" spans="1:8" s="204" customFormat="1" ht="15.75" x14ac:dyDescent="0.45">
      <c r="A192" s="225" t="s">
        <v>320</v>
      </c>
      <c r="B192" s="220" t="s">
        <v>321</v>
      </c>
      <c r="C192" s="220" t="s">
        <v>319</v>
      </c>
      <c r="D192" s="221">
        <v>2399.6</v>
      </c>
      <c r="E192" s="320">
        <v>6.8532000000000002</v>
      </c>
      <c r="F192" s="236">
        <f t="shared" si="12"/>
        <v>16444.938719999998</v>
      </c>
      <c r="G192" s="240" t="s">
        <v>1420</v>
      </c>
      <c r="H192" s="304" t="s">
        <v>304</v>
      </c>
    </row>
    <row r="193" spans="1:11" s="204" customFormat="1" ht="15.75" x14ac:dyDescent="0.45">
      <c r="A193" s="225" t="s">
        <v>322</v>
      </c>
      <c r="B193" s="220" t="s">
        <v>323</v>
      </c>
      <c r="C193" s="220" t="s">
        <v>319</v>
      </c>
      <c r="D193" s="221">
        <v>1452.8</v>
      </c>
      <c r="E193" s="320">
        <v>6.8532000000000002</v>
      </c>
      <c r="F193" s="236">
        <f t="shared" si="12"/>
        <v>9956.3289600000007</v>
      </c>
      <c r="G193" s="240" t="s">
        <v>1420</v>
      </c>
      <c r="H193" s="304" t="s">
        <v>304</v>
      </c>
    </row>
    <row r="194" spans="1:11" s="204" customFormat="1" ht="15.75" x14ac:dyDescent="0.45">
      <c r="A194" s="225" t="s">
        <v>324</v>
      </c>
      <c r="B194" s="220" t="s">
        <v>325</v>
      </c>
      <c r="C194" s="220" t="s">
        <v>319</v>
      </c>
      <c r="D194" s="221">
        <v>1862.4</v>
      </c>
      <c r="E194" s="320">
        <v>6.5561999999999996</v>
      </c>
      <c r="F194" s="236">
        <f t="shared" si="12"/>
        <v>12210.266879999999</v>
      </c>
      <c r="G194" s="240" t="s">
        <v>1420</v>
      </c>
      <c r="H194" s="304" t="s">
        <v>304</v>
      </c>
    </row>
    <row r="195" spans="1:11" s="204" customFormat="1" ht="15.75" x14ac:dyDescent="0.45">
      <c r="A195" s="225" t="s">
        <v>326</v>
      </c>
      <c r="B195" s="220" t="s">
        <v>327</v>
      </c>
      <c r="C195" s="220" t="s">
        <v>319</v>
      </c>
      <c r="D195" s="221">
        <v>4055.5</v>
      </c>
      <c r="E195" s="320">
        <v>6.2591999999999999</v>
      </c>
      <c r="F195" s="236">
        <f t="shared" si="12"/>
        <v>25384.185600000001</v>
      </c>
      <c r="G195" s="240" t="s">
        <v>1420</v>
      </c>
      <c r="H195" s="304" t="s">
        <v>304</v>
      </c>
    </row>
    <row r="196" spans="1:11" s="204" customFormat="1" ht="15.75" x14ac:dyDescent="0.45">
      <c r="A196" s="225" t="s">
        <v>328</v>
      </c>
      <c r="B196" s="220" t="s">
        <v>329</v>
      </c>
      <c r="C196" s="220" t="s">
        <v>319</v>
      </c>
      <c r="D196" s="221">
        <v>3038.8</v>
      </c>
      <c r="E196" s="320">
        <v>4.6862000000000004</v>
      </c>
      <c r="F196" s="236">
        <f t="shared" si="12"/>
        <v>14240.424560000001</v>
      </c>
      <c r="G196" s="240" t="s">
        <v>1420</v>
      </c>
      <c r="H196" s="304" t="s">
        <v>304</v>
      </c>
    </row>
    <row r="197" spans="1:11" s="204" customFormat="1" ht="15.75" x14ac:dyDescent="0.45">
      <c r="A197" s="225" t="s">
        <v>330</v>
      </c>
      <c r="B197" s="220" t="s">
        <v>331</v>
      </c>
      <c r="C197" s="220" t="s">
        <v>319</v>
      </c>
      <c r="D197" s="221">
        <v>8421</v>
      </c>
      <c r="E197" s="320">
        <v>6.2591999999999999</v>
      </c>
      <c r="F197" s="236">
        <f t="shared" si="12"/>
        <v>52708.7232</v>
      </c>
      <c r="G197" s="240" t="s">
        <v>1420</v>
      </c>
      <c r="H197" s="304" t="s">
        <v>304</v>
      </c>
    </row>
    <row r="198" spans="1:11" s="204" customFormat="1" ht="15.75" x14ac:dyDescent="0.45">
      <c r="A198" s="225" t="s">
        <v>332</v>
      </c>
      <c r="B198" s="220" t="s">
        <v>333</v>
      </c>
      <c r="C198" s="220" t="s">
        <v>319</v>
      </c>
      <c r="D198" s="221">
        <v>3013</v>
      </c>
      <c r="E198" s="320">
        <v>6.5298999999999996</v>
      </c>
      <c r="F198" s="236">
        <f t="shared" si="12"/>
        <v>19674.5887</v>
      </c>
      <c r="G198" s="290" t="s">
        <v>1421</v>
      </c>
      <c r="H198" s="304" t="s">
        <v>304</v>
      </c>
    </row>
    <row r="199" spans="1:11" s="204" customFormat="1" ht="15.75" x14ac:dyDescent="0.45">
      <c r="A199" s="225" t="s">
        <v>334</v>
      </c>
      <c r="B199" s="220" t="s">
        <v>1422</v>
      </c>
      <c r="C199" s="220" t="s">
        <v>319</v>
      </c>
      <c r="D199" s="221">
        <v>1034</v>
      </c>
      <c r="E199" s="320">
        <v>7.25</v>
      </c>
      <c r="F199" s="236">
        <f t="shared" si="12"/>
        <v>7496.5</v>
      </c>
      <c r="G199" s="240"/>
      <c r="H199" s="304" t="s">
        <v>304</v>
      </c>
    </row>
    <row r="200" spans="1:11" s="204" customFormat="1" ht="15.75" x14ac:dyDescent="0.45">
      <c r="A200" s="215" t="s">
        <v>336</v>
      </c>
      <c r="B200" s="216" t="s">
        <v>44</v>
      </c>
      <c r="C200" s="216"/>
      <c r="D200" s="217"/>
      <c r="E200" s="217"/>
      <c r="F200" s="218">
        <f>F201</f>
        <v>690000.00561200001</v>
      </c>
      <c r="G200" s="239">
        <f>D201/$G$5</f>
        <v>0.62019671584562808</v>
      </c>
      <c r="H200" s="288"/>
    </row>
    <row r="201" spans="1:11" s="204" customFormat="1" ht="31.5" x14ac:dyDescent="0.45">
      <c r="A201" s="225" t="s">
        <v>1423</v>
      </c>
      <c r="B201" s="220" t="s">
        <v>1414</v>
      </c>
      <c r="C201" s="220" t="s">
        <v>339</v>
      </c>
      <c r="D201" s="221">
        <v>297.62</v>
      </c>
      <c r="E201" s="233">
        <v>2318.3926000000001</v>
      </c>
      <c r="F201" s="236">
        <f t="shared" si="12"/>
        <v>690000.00561200001</v>
      </c>
      <c r="G201" s="290" t="s">
        <v>1424</v>
      </c>
      <c r="H201" s="304" t="s">
        <v>304</v>
      </c>
      <c r="K201" s="321"/>
    </row>
    <row r="202" spans="1:11" s="204" customFormat="1" ht="15.75" x14ac:dyDescent="0.45">
      <c r="A202" s="215" t="s">
        <v>340</v>
      </c>
      <c r="B202" s="216" t="s">
        <v>45</v>
      </c>
      <c r="C202" s="216"/>
      <c r="D202" s="217"/>
      <c r="E202" s="217"/>
      <c r="F202" s="218">
        <f>F203</f>
        <v>142998.72138</v>
      </c>
      <c r="G202" s="239"/>
      <c r="H202" s="288"/>
    </row>
    <row r="203" spans="1:11" s="204" customFormat="1" ht="15.75" x14ac:dyDescent="0.45">
      <c r="A203" s="225" t="s">
        <v>341</v>
      </c>
      <c r="B203" s="220" t="s">
        <v>1425</v>
      </c>
      <c r="C203" s="220" t="s">
        <v>289</v>
      </c>
      <c r="D203" s="221">
        <v>719.82</v>
      </c>
      <c r="E203" s="319">
        <v>198.65899999999999</v>
      </c>
      <c r="F203" s="236">
        <f t="shared" si="12"/>
        <v>142998.72138</v>
      </c>
      <c r="G203" s="290" t="s">
        <v>1426</v>
      </c>
      <c r="H203" s="302" t="s">
        <v>1427</v>
      </c>
    </row>
    <row r="204" spans="1:11" s="298" customFormat="1" ht="15.75" x14ac:dyDescent="0.45">
      <c r="A204" s="313" t="s">
        <v>1428</v>
      </c>
      <c r="B204" s="314" t="s">
        <v>1416</v>
      </c>
      <c r="C204" s="314" t="s">
        <v>311</v>
      </c>
      <c r="D204" s="315"/>
      <c r="E204" s="315"/>
      <c r="F204" s="316">
        <f>F205</f>
        <v>0</v>
      </c>
      <c r="G204" s="317"/>
      <c r="H204" s="318"/>
    </row>
    <row r="205" spans="1:11" s="298" customFormat="1" ht="15.75" x14ac:dyDescent="0.45">
      <c r="A205" s="303" t="s">
        <v>1429</v>
      </c>
      <c r="B205" s="293" t="s">
        <v>384</v>
      </c>
      <c r="C205" s="293" t="s">
        <v>285</v>
      </c>
      <c r="D205" s="294">
        <v>0</v>
      </c>
      <c r="E205" s="294">
        <v>6294.9139999999998</v>
      </c>
      <c r="F205" s="295">
        <f t="shared" si="12"/>
        <v>0</v>
      </c>
      <c r="G205" s="296" t="s">
        <v>1058</v>
      </c>
      <c r="H205" s="322"/>
    </row>
    <row r="206" spans="1:11" s="204" customFormat="1" ht="15.75" x14ac:dyDescent="0.45">
      <c r="A206" s="205" t="s">
        <v>343</v>
      </c>
      <c r="B206" s="206" t="s">
        <v>49</v>
      </c>
      <c r="C206" s="206"/>
      <c r="D206" s="207"/>
      <c r="E206" s="207"/>
      <c r="F206" s="208">
        <f>F207</f>
        <v>2179724.349128</v>
      </c>
      <c r="G206" s="309"/>
      <c r="H206" s="286"/>
    </row>
    <row r="207" spans="1:11" s="204" customFormat="1" ht="15.75" x14ac:dyDescent="0.45">
      <c r="A207" s="210" t="s">
        <v>344</v>
      </c>
      <c r="B207" s="211" t="s">
        <v>49</v>
      </c>
      <c r="C207" s="211"/>
      <c r="D207" s="212"/>
      <c r="E207" s="212"/>
      <c r="F207" s="213">
        <f>F208+F215+F224+F226+F229+F231</f>
        <v>2179724.349128</v>
      </c>
      <c r="G207" s="238">
        <f>SUM(D209:D211)/SUM(D212:D214)</f>
        <v>0.14380480924762176</v>
      </c>
      <c r="H207" s="287"/>
    </row>
    <row r="208" spans="1:11" s="204" customFormat="1" ht="15.75" x14ac:dyDescent="0.45">
      <c r="A208" s="215" t="s">
        <v>345</v>
      </c>
      <c r="B208" s="216" t="s">
        <v>267</v>
      </c>
      <c r="C208" s="216"/>
      <c r="D208" s="217"/>
      <c r="E208" s="217"/>
      <c r="F208" s="218">
        <f>SUM(F209:F214)</f>
        <v>104901.641218</v>
      </c>
      <c r="G208" s="239">
        <f>SUM(D209:D211)/$G$4</f>
        <v>0.30098073648597584</v>
      </c>
      <c r="H208" s="288"/>
    </row>
    <row r="209" spans="1:8" s="204" customFormat="1" ht="63" x14ac:dyDescent="0.45">
      <c r="A209" s="225" t="s">
        <v>346</v>
      </c>
      <c r="B209" s="220" t="s">
        <v>1430</v>
      </c>
      <c r="C209" s="220" t="s">
        <v>289</v>
      </c>
      <c r="D209" s="221">
        <v>335.56</v>
      </c>
      <c r="E209" s="319">
        <v>101.4325</v>
      </c>
      <c r="F209" s="236">
        <f t="shared" ref="F209:F232" si="13">E209*D209</f>
        <v>34036.689700000003</v>
      </c>
      <c r="G209" s="290" t="s">
        <v>1431</v>
      </c>
      <c r="H209" s="291" t="s">
        <v>49</v>
      </c>
    </row>
    <row r="210" spans="1:8" s="204" customFormat="1" ht="63" x14ac:dyDescent="0.45">
      <c r="A210" s="225" t="s">
        <v>1432</v>
      </c>
      <c r="B210" s="220" t="s">
        <v>1433</v>
      </c>
      <c r="C210" s="220" t="s">
        <v>289</v>
      </c>
      <c r="D210" s="221">
        <v>647.72</v>
      </c>
      <c r="E210" s="319">
        <v>56.009900000000002</v>
      </c>
      <c r="F210" s="236">
        <f t="shared" si="13"/>
        <v>36278.732428000003</v>
      </c>
      <c r="G210" s="290" t="s">
        <v>1434</v>
      </c>
      <c r="H210" s="291" t="s">
        <v>49</v>
      </c>
    </row>
    <row r="211" spans="1:8" s="204" customFormat="1" ht="63" x14ac:dyDescent="0.45">
      <c r="A211" s="225" t="s">
        <v>1435</v>
      </c>
      <c r="B211" s="220" t="s">
        <v>1436</v>
      </c>
      <c r="C211" s="220" t="s">
        <v>289</v>
      </c>
      <c r="D211" s="221">
        <v>370.73</v>
      </c>
      <c r="E211" s="319">
        <v>71.415400000000005</v>
      </c>
      <c r="F211" s="236">
        <f t="shared" si="13"/>
        <v>26475.831242000004</v>
      </c>
      <c r="G211" s="290" t="s">
        <v>1437</v>
      </c>
      <c r="H211" s="291" t="s">
        <v>49</v>
      </c>
    </row>
    <row r="212" spans="1:8" s="204" customFormat="1" ht="31.5" x14ac:dyDescent="0.45">
      <c r="A212" s="225" t="s">
        <v>348</v>
      </c>
      <c r="B212" s="220" t="s">
        <v>1438</v>
      </c>
      <c r="C212" s="220" t="s">
        <v>289</v>
      </c>
      <c r="D212" s="221">
        <v>2446.8000000000002</v>
      </c>
      <c r="E212" s="221">
        <v>0.41970000000000002</v>
      </c>
      <c r="F212" s="236">
        <f t="shared" si="13"/>
        <v>1026.9219600000001</v>
      </c>
      <c r="G212" s="239">
        <f>SUM(D212:D214)/$G$4</f>
        <v>2.0929810210151469</v>
      </c>
      <c r="H212" s="291" t="s">
        <v>49</v>
      </c>
    </row>
    <row r="213" spans="1:8" s="204" customFormat="1" ht="31.5" x14ac:dyDescent="0.45">
      <c r="A213" s="225" t="s">
        <v>1439</v>
      </c>
      <c r="B213" s="220" t="s">
        <v>1440</v>
      </c>
      <c r="C213" s="220" t="s">
        <v>289</v>
      </c>
      <c r="D213" s="221">
        <v>4181.32</v>
      </c>
      <c r="E213" s="221">
        <v>0.41970000000000002</v>
      </c>
      <c r="F213" s="236">
        <f t="shared" si="13"/>
        <v>1754.9000039999999</v>
      </c>
      <c r="G213" s="240"/>
      <c r="H213" s="291" t="s">
        <v>49</v>
      </c>
    </row>
    <row r="214" spans="1:8" s="204" customFormat="1" ht="31.5" x14ac:dyDescent="0.45">
      <c r="A214" s="225" t="s">
        <v>1441</v>
      </c>
      <c r="B214" s="220" t="s">
        <v>1442</v>
      </c>
      <c r="C214" s="220" t="s">
        <v>289</v>
      </c>
      <c r="D214" s="221">
        <v>2787.49</v>
      </c>
      <c r="E214" s="221">
        <v>1.9116</v>
      </c>
      <c r="F214" s="236">
        <f t="shared" si="13"/>
        <v>5328.5658839999996</v>
      </c>
      <c r="G214" s="240"/>
      <c r="H214" s="291" t="s">
        <v>49</v>
      </c>
    </row>
    <row r="215" spans="1:8" s="204" customFormat="1" ht="15.75" customHeight="1" x14ac:dyDescent="0.45">
      <c r="A215" s="215" t="s">
        <v>350</v>
      </c>
      <c r="B215" s="216" t="s">
        <v>316</v>
      </c>
      <c r="C215" s="216"/>
      <c r="D215" s="217"/>
      <c r="E215" s="217"/>
      <c r="F215" s="218">
        <f>SUM(F216:F223)</f>
        <v>540376.25303000002</v>
      </c>
      <c r="G215" s="239"/>
      <c r="H215" s="288"/>
    </row>
    <row r="216" spans="1:8" s="204" customFormat="1" ht="31.5" x14ac:dyDescent="0.45">
      <c r="A216" s="225" t="s">
        <v>351</v>
      </c>
      <c r="B216" s="220" t="s">
        <v>352</v>
      </c>
      <c r="C216" s="220" t="s">
        <v>319</v>
      </c>
      <c r="D216" s="221">
        <v>4950</v>
      </c>
      <c r="E216" s="319">
        <v>7.8312999999999997</v>
      </c>
      <c r="F216" s="236">
        <f t="shared" si="13"/>
        <v>38764.934999999998</v>
      </c>
      <c r="G216" s="290" t="s">
        <v>1443</v>
      </c>
      <c r="H216" s="291" t="s">
        <v>49</v>
      </c>
    </row>
    <row r="217" spans="1:8" s="204" customFormat="1" ht="31.5" x14ac:dyDescent="0.45">
      <c r="A217" s="225" t="s">
        <v>353</v>
      </c>
      <c r="B217" s="220" t="s">
        <v>354</v>
      </c>
      <c r="C217" s="220" t="s">
        <v>319</v>
      </c>
      <c r="D217" s="221">
        <v>6076.4</v>
      </c>
      <c r="E217" s="319">
        <v>6.8589000000000002</v>
      </c>
      <c r="F217" s="236">
        <f t="shared" si="13"/>
        <v>41677.419959999999</v>
      </c>
      <c r="G217" s="290" t="s">
        <v>1443</v>
      </c>
      <c r="H217" s="291" t="s">
        <v>49</v>
      </c>
    </row>
    <row r="218" spans="1:8" s="204" customFormat="1" ht="31.5" x14ac:dyDescent="0.45">
      <c r="A218" s="225" t="s">
        <v>355</v>
      </c>
      <c r="B218" s="220" t="s">
        <v>356</v>
      </c>
      <c r="C218" s="220" t="s">
        <v>319</v>
      </c>
      <c r="D218" s="221">
        <v>7759.2</v>
      </c>
      <c r="E218" s="319">
        <v>6.8316999999999997</v>
      </c>
      <c r="F218" s="236">
        <f t="shared" si="13"/>
        <v>53008.526639999996</v>
      </c>
      <c r="G218" s="290" t="s">
        <v>1443</v>
      </c>
      <c r="H218" s="291" t="s">
        <v>49</v>
      </c>
    </row>
    <row r="219" spans="1:8" s="204" customFormat="1" ht="31.5" x14ac:dyDescent="0.45">
      <c r="A219" s="225" t="s">
        <v>357</v>
      </c>
      <c r="B219" s="220" t="s">
        <v>358</v>
      </c>
      <c r="C219" s="220" t="s">
        <v>319</v>
      </c>
      <c r="D219" s="221">
        <v>9484.6</v>
      </c>
      <c r="E219" s="319">
        <v>6.5106999999999999</v>
      </c>
      <c r="F219" s="236">
        <f t="shared" si="13"/>
        <v>61751.385220000004</v>
      </c>
      <c r="G219" s="290" t="s">
        <v>1443</v>
      </c>
      <c r="H219" s="291" t="s">
        <v>49</v>
      </c>
    </row>
    <row r="220" spans="1:8" s="204" customFormat="1" ht="31.5" x14ac:dyDescent="0.45">
      <c r="A220" s="225" t="s">
        <v>359</v>
      </c>
      <c r="B220" s="220" t="s">
        <v>360</v>
      </c>
      <c r="C220" s="220" t="s">
        <v>319</v>
      </c>
      <c r="D220" s="221">
        <v>33220</v>
      </c>
      <c r="E220" s="319">
        <v>6.1924999999999999</v>
      </c>
      <c r="F220" s="236">
        <f t="shared" si="13"/>
        <v>205714.85</v>
      </c>
      <c r="G220" s="290" t="s">
        <v>1443</v>
      </c>
      <c r="H220" s="291" t="s">
        <v>49</v>
      </c>
    </row>
    <row r="221" spans="1:8" s="204" customFormat="1" ht="47.25" x14ac:dyDescent="0.45">
      <c r="A221" s="225" t="s">
        <v>361</v>
      </c>
      <c r="B221" s="220" t="s">
        <v>362</v>
      </c>
      <c r="C221" s="220" t="s">
        <v>319</v>
      </c>
      <c r="D221" s="221">
        <v>9453.9</v>
      </c>
      <c r="E221" s="319">
        <v>4.6009000000000002</v>
      </c>
      <c r="F221" s="236">
        <f t="shared" si="13"/>
        <v>43496.448510000002</v>
      </c>
      <c r="G221" s="290" t="s">
        <v>1444</v>
      </c>
      <c r="H221" s="291" t="s">
        <v>49</v>
      </c>
    </row>
    <row r="222" spans="1:8" s="204" customFormat="1" ht="31.5" x14ac:dyDescent="0.45">
      <c r="A222" s="225" t="s">
        <v>363</v>
      </c>
      <c r="B222" s="220" t="s">
        <v>364</v>
      </c>
      <c r="C222" s="220" t="s">
        <v>319</v>
      </c>
      <c r="D222" s="221">
        <v>3937</v>
      </c>
      <c r="E222" s="319">
        <v>6.1620999999999997</v>
      </c>
      <c r="F222" s="236">
        <f t="shared" si="13"/>
        <v>24260.187699999999</v>
      </c>
      <c r="G222" s="290" t="s">
        <v>1443</v>
      </c>
      <c r="H222" s="291" t="s">
        <v>49</v>
      </c>
    </row>
    <row r="223" spans="1:8" s="204" customFormat="1" ht="15.75" x14ac:dyDescent="0.45">
      <c r="A223" s="225" t="s">
        <v>365</v>
      </c>
      <c r="B223" s="220" t="s">
        <v>1422</v>
      </c>
      <c r="C223" s="220" t="s">
        <v>319</v>
      </c>
      <c r="D223" s="221">
        <v>9890</v>
      </c>
      <c r="E223" s="221">
        <v>7.25</v>
      </c>
      <c r="F223" s="236">
        <f t="shared" si="13"/>
        <v>71702.5</v>
      </c>
      <c r="G223" s="240"/>
      <c r="H223" s="291" t="s">
        <v>49</v>
      </c>
    </row>
    <row r="224" spans="1:8" s="298" customFormat="1" ht="15.75" x14ac:dyDescent="0.45">
      <c r="A224" s="313" t="s">
        <v>368</v>
      </c>
      <c r="B224" s="314" t="s">
        <v>44</v>
      </c>
      <c r="C224" s="314" t="s">
        <v>311</v>
      </c>
      <c r="D224" s="315"/>
      <c r="E224" s="315"/>
      <c r="F224" s="316">
        <f>F225</f>
        <v>0</v>
      </c>
      <c r="G224" s="317"/>
      <c r="H224" s="318"/>
    </row>
    <row r="225" spans="1:8" s="298" customFormat="1" ht="31.5" x14ac:dyDescent="0.45">
      <c r="A225" s="303" t="s">
        <v>1445</v>
      </c>
      <c r="B225" s="293" t="s">
        <v>1446</v>
      </c>
      <c r="C225" s="293" t="s">
        <v>339</v>
      </c>
      <c r="D225" s="294">
        <v>0</v>
      </c>
      <c r="E225" s="294">
        <v>541.65</v>
      </c>
      <c r="F225" s="295">
        <f t="shared" si="13"/>
        <v>0</v>
      </c>
      <c r="G225" s="296" t="s">
        <v>1058</v>
      </c>
      <c r="H225" s="297" t="s">
        <v>49</v>
      </c>
    </row>
    <row r="226" spans="1:8" s="204" customFormat="1" ht="15.75" x14ac:dyDescent="0.45">
      <c r="A226" s="215" t="s">
        <v>371</v>
      </c>
      <c r="B226" s="216" t="s">
        <v>372</v>
      </c>
      <c r="C226" s="216"/>
      <c r="D226" s="217"/>
      <c r="E226" s="217"/>
      <c r="F226" s="218">
        <f>F227+F228</f>
        <v>278000.09279999998</v>
      </c>
      <c r="G226" s="239">
        <f>SUM(F227)/$G$4</f>
        <v>21.117402959992532</v>
      </c>
      <c r="H226" s="288">
        <f>F228/G4</f>
        <v>40.678796975099253</v>
      </c>
    </row>
    <row r="227" spans="1:8" s="204" customFormat="1" ht="15.75" x14ac:dyDescent="0.45">
      <c r="A227" s="225" t="s">
        <v>373</v>
      </c>
      <c r="B227" s="220" t="s">
        <v>374</v>
      </c>
      <c r="C227" s="220" t="s">
        <v>286</v>
      </c>
      <c r="D227" s="221">
        <v>10</v>
      </c>
      <c r="E227" s="319">
        <v>9500.0015999999996</v>
      </c>
      <c r="F227" s="236">
        <f t="shared" si="13"/>
        <v>95000.016000000003</v>
      </c>
      <c r="G227" s="290" t="s">
        <v>1447</v>
      </c>
      <c r="H227" s="291" t="s">
        <v>49</v>
      </c>
    </row>
    <row r="228" spans="1:8" s="204" customFormat="1" ht="15.75" x14ac:dyDescent="0.45">
      <c r="A228" s="225" t="s">
        <v>375</v>
      </c>
      <c r="B228" s="220" t="s">
        <v>378</v>
      </c>
      <c r="C228" s="220" t="s">
        <v>289</v>
      </c>
      <c r="D228" s="221">
        <v>4018.8</v>
      </c>
      <c r="E228" s="319">
        <v>45.536000000000001</v>
      </c>
      <c r="F228" s="236">
        <f t="shared" si="13"/>
        <v>183000.07680000001</v>
      </c>
      <c r="G228" s="290" t="s">
        <v>1448</v>
      </c>
      <c r="H228" s="291"/>
    </row>
    <row r="229" spans="1:8" s="204" customFormat="1" ht="15.75" x14ac:dyDescent="0.45">
      <c r="A229" s="215" t="s">
        <v>380</v>
      </c>
      <c r="B229" s="216" t="s">
        <v>45</v>
      </c>
      <c r="C229" s="216"/>
      <c r="D229" s="217"/>
      <c r="E229" s="217"/>
      <c r="F229" s="218">
        <f>F230</f>
        <v>1216919.9320799999</v>
      </c>
      <c r="G229" s="239"/>
      <c r="H229" s="288"/>
    </row>
    <row r="230" spans="1:8" s="204" customFormat="1" ht="31.5" x14ac:dyDescent="0.45">
      <c r="A230" s="225" t="s">
        <v>381</v>
      </c>
      <c r="B230" s="220" t="s">
        <v>382</v>
      </c>
      <c r="C230" s="220" t="s">
        <v>289</v>
      </c>
      <c r="D230" s="221">
        <v>4498.68</v>
      </c>
      <c r="E230" s="319">
        <v>270.50599999999997</v>
      </c>
      <c r="F230" s="236">
        <f t="shared" si="13"/>
        <v>1216919.9320799999</v>
      </c>
      <c r="G230" s="290" t="s">
        <v>1449</v>
      </c>
      <c r="H230" s="302" t="s">
        <v>1450</v>
      </c>
    </row>
    <row r="231" spans="1:8" s="204" customFormat="1" ht="15.75" x14ac:dyDescent="0.45">
      <c r="A231" s="215" t="s">
        <v>383</v>
      </c>
      <c r="B231" s="216" t="s">
        <v>384</v>
      </c>
      <c r="C231" s="216"/>
      <c r="D231" s="217"/>
      <c r="E231" s="217"/>
      <c r="F231" s="218">
        <f>F232</f>
        <v>39526.43</v>
      </c>
      <c r="G231" s="239"/>
      <c r="H231" s="288"/>
    </row>
    <row r="232" spans="1:8" s="204" customFormat="1" ht="15.75" x14ac:dyDescent="0.45">
      <c r="A232" s="225" t="s">
        <v>385</v>
      </c>
      <c r="B232" s="220" t="s">
        <v>384</v>
      </c>
      <c r="C232" s="220" t="s">
        <v>285</v>
      </c>
      <c r="D232" s="221">
        <v>1</v>
      </c>
      <c r="E232" s="221">
        <v>39526.43</v>
      </c>
      <c r="F232" s="236">
        <f t="shared" si="13"/>
        <v>39526.43</v>
      </c>
      <c r="G232" s="240"/>
      <c r="H232" s="291"/>
    </row>
    <row r="233" spans="1:8" s="204" customFormat="1" ht="15.75" x14ac:dyDescent="0.45">
      <c r="A233" s="205" t="s">
        <v>386</v>
      </c>
      <c r="B233" s="206" t="s">
        <v>387</v>
      </c>
      <c r="C233" s="206"/>
      <c r="D233" s="207"/>
      <c r="E233" s="207"/>
      <c r="F233" s="208">
        <f>F234</f>
        <v>526843.60329299991</v>
      </c>
      <c r="G233" s="309"/>
      <c r="H233" s="286"/>
    </row>
    <row r="234" spans="1:8" s="204" customFormat="1" ht="15.75" x14ac:dyDescent="0.45">
      <c r="A234" s="210" t="s">
        <v>388</v>
      </c>
      <c r="B234" s="211" t="s">
        <v>387</v>
      </c>
      <c r="C234" s="211"/>
      <c r="D234" s="212"/>
      <c r="E234" s="212"/>
      <c r="F234" s="213">
        <f>F235+F239+F241+F243+F245+F249+F254</f>
        <v>526843.60329299991</v>
      </c>
      <c r="G234" s="238"/>
      <c r="H234" s="287"/>
    </row>
    <row r="235" spans="1:8" s="204" customFormat="1" ht="15.75" x14ac:dyDescent="0.45">
      <c r="A235" s="215" t="s">
        <v>389</v>
      </c>
      <c r="B235" s="216" t="s">
        <v>390</v>
      </c>
      <c r="C235" s="216"/>
      <c r="D235" s="217"/>
      <c r="E235" s="217"/>
      <c r="F235" s="218">
        <f>SUM(F236:F238)</f>
        <v>146832.24331999998</v>
      </c>
      <c r="G235" s="239">
        <f>(D236+D237+D238)/$G$4</f>
        <v>1.1136004943694342</v>
      </c>
      <c r="H235" s="288"/>
    </row>
    <row r="236" spans="1:8" s="204" customFormat="1" ht="63" x14ac:dyDescent="0.45">
      <c r="A236" s="225" t="s">
        <v>391</v>
      </c>
      <c r="B236" s="220" t="s">
        <v>392</v>
      </c>
      <c r="C236" s="220" t="s">
        <v>289</v>
      </c>
      <c r="D236" s="221">
        <v>3276.12</v>
      </c>
      <c r="E236" s="319">
        <v>28.902999999999999</v>
      </c>
      <c r="F236" s="236">
        <f t="shared" ref="F236:F238" si="14">E236*D236</f>
        <v>94689.696359999987</v>
      </c>
      <c r="G236" s="240" t="s">
        <v>1451</v>
      </c>
      <c r="H236" s="291" t="s">
        <v>1452</v>
      </c>
    </row>
    <row r="237" spans="1:8" s="204" customFormat="1" ht="63" x14ac:dyDescent="0.45">
      <c r="A237" s="225" t="s">
        <v>393</v>
      </c>
      <c r="B237" s="220" t="s">
        <v>394</v>
      </c>
      <c r="C237" s="220" t="s">
        <v>289</v>
      </c>
      <c r="D237" s="221">
        <v>1720.86</v>
      </c>
      <c r="E237" s="319">
        <v>30.17</v>
      </c>
      <c r="F237" s="236">
        <f t="shared" si="14"/>
        <v>51918.3462</v>
      </c>
      <c r="G237" s="240" t="s">
        <v>1453</v>
      </c>
      <c r="H237" s="291" t="s">
        <v>1452</v>
      </c>
    </row>
    <row r="238" spans="1:8" s="204" customFormat="1" ht="34.5" customHeight="1" x14ac:dyDescent="0.45">
      <c r="A238" s="225" t="s">
        <v>395</v>
      </c>
      <c r="B238" s="220" t="s">
        <v>1454</v>
      </c>
      <c r="C238" s="220" t="s">
        <v>289</v>
      </c>
      <c r="D238" s="221">
        <v>12.73</v>
      </c>
      <c r="E238" s="319">
        <v>17.611999999999998</v>
      </c>
      <c r="F238" s="236">
        <f t="shared" si="14"/>
        <v>224.20075999999997</v>
      </c>
      <c r="G238" s="240" t="s">
        <v>1455</v>
      </c>
      <c r="H238" s="291" t="s">
        <v>1452</v>
      </c>
    </row>
    <row r="239" spans="1:8" s="204" customFormat="1" ht="15.75" x14ac:dyDescent="0.45">
      <c r="A239" s="215" t="s">
        <v>399</v>
      </c>
      <c r="B239" s="216" t="s">
        <v>1456</v>
      </c>
      <c r="C239" s="216"/>
      <c r="D239" s="217"/>
      <c r="E239" s="217"/>
      <c r="F239" s="218">
        <f>F240</f>
        <v>655.67374999999993</v>
      </c>
      <c r="G239" s="239"/>
      <c r="H239" s="288"/>
    </row>
    <row r="240" spans="1:8" s="204" customFormat="1" ht="47.25" x14ac:dyDescent="0.45">
      <c r="A240" s="225" t="s">
        <v>401</v>
      </c>
      <c r="B240" s="220" t="s">
        <v>1457</v>
      </c>
      <c r="C240" s="220" t="s">
        <v>289</v>
      </c>
      <c r="D240" s="221">
        <v>15.25</v>
      </c>
      <c r="E240" s="319">
        <v>42.994999999999997</v>
      </c>
      <c r="F240" s="236">
        <f t="shared" ref="F240" si="15">E240*D240</f>
        <v>655.67374999999993</v>
      </c>
      <c r="G240" s="290" t="s">
        <v>1458</v>
      </c>
      <c r="H240" s="291" t="s">
        <v>1452</v>
      </c>
    </row>
    <row r="241" spans="1:8" s="204" customFormat="1" ht="15.75" x14ac:dyDescent="0.45">
      <c r="A241" s="215" t="s">
        <v>1459</v>
      </c>
      <c r="B241" s="216" t="s">
        <v>400</v>
      </c>
      <c r="C241" s="216"/>
      <c r="D241" s="217"/>
      <c r="E241" s="217"/>
      <c r="F241" s="218">
        <f>F242</f>
        <v>57451.00922</v>
      </c>
      <c r="G241" s="239">
        <f>D242/$G$4</f>
        <v>0.21255440508951556</v>
      </c>
      <c r="H241" s="288"/>
    </row>
    <row r="242" spans="1:8" s="204" customFormat="1" ht="47.25" x14ac:dyDescent="0.45">
      <c r="A242" s="225" t="s">
        <v>1460</v>
      </c>
      <c r="B242" s="220" t="s">
        <v>402</v>
      </c>
      <c r="C242" s="220" t="s">
        <v>289</v>
      </c>
      <c r="D242" s="221">
        <v>956.21</v>
      </c>
      <c r="E242" s="319">
        <v>60.082000000000001</v>
      </c>
      <c r="F242" s="236">
        <f t="shared" ref="F242" si="16">E242*D242</f>
        <v>57451.00922</v>
      </c>
      <c r="G242" s="290" t="s">
        <v>1461</v>
      </c>
      <c r="H242" s="291" t="s">
        <v>1452</v>
      </c>
    </row>
    <row r="243" spans="1:8" s="204" customFormat="1" ht="15.75" x14ac:dyDescent="0.45">
      <c r="A243" s="215" t="s">
        <v>405</v>
      </c>
      <c r="B243" s="216" t="s">
        <v>406</v>
      </c>
      <c r="C243" s="216"/>
      <c r="D243" s="217"/>
      <c r="E243" s="217"/>
      <c r="F243" s="218">
        <f>F244</f>
        <v>6453.54</v>
      </c>
      <c r="G243" s="239"/>
      <c r="H243" s="288"/>
    </row>
    <row r="244" spans="1:8" s="204" customFormat="1" ht="63" x14ac:dyDescent="0.45">
      <c r="A244" s="225" t="s">
        <v>407</v>
      </c>
      <c r="B244" s="220" t="s">
        <v>408</v>
      </c>
      <c r="C244" s="220" t="s">
        <v>289</v>
      </c>
      <c r="D244" s="221">
        <v>41.04</v>
      </c>
      <c r="E244" s="319">
        <v>157.25</v>
      </c>
      <c r="F244" s="236">
        <f t="shared" ref="F244:F253" si="17">E244*D244</f>
        <v>6453.54</v>
      </c>
      <c r="G244" s="290" t="s">
        <v>1462</v>
      </c>
      <c r="H244" s="291"/>
    </row>
    <row r="245" spans="1:8" s="204" customFormat="1" ht="15.75" x14ac:dyDescent="0.45">
      <c r="A245" s="215" t="s">
        <v>409</v>
      </c>
      <c r="B245" s="216" t="s">
        <v>410</v>
      </c>
      <c r="C245" s="216"/>
      <c r="D245" s="217"/>
      <c r="E245" s="217"/>
      <c r="F245" s="218">
        <f>SUM(F246:F248)</f>
        <v>100730.69700299999</v>
      </c>
      <c r="G245" s="239"/>
      <c r="H245" s="288"/>
    </row>
    <row r="246" spans="1:8" s="204" customFormat="1" ht="15.75" x14ac:dyDescent="0.45">
      <c r="A246" s="225" t="s">
        <v>411</v>
      </c>
      <c r="B246" s="220" t="s">
        <v>412</v>
      </c>
      <c r="C246" s="220" t="s">
        <v>288</v>
      </c>
      <c r="D246" s="221">
        <v>1065.6099999999999</v>
      </c>
      <c r="E246" s="221">
        <v>41.982300000000002</v>
      </c>
      <c r="F246" s="236">
        <f t="shared" si="17"/>
        <v>44736.758703</v>
      </c>
      <c r="G246" s="240"/>
      <c r="H246" s="304" t="s">
        <v>95</v>
      </c>
    </row>
    <row r="247" spans="1:8" s="204" customFormat="1" ht="15.75" x14ac:dyDescent="0.45">
      <c r="A247" s="225" t="s">
        <v>413</v>
      </c>
      <c r="B247" s="220" t="s">
        <v>414</v>
      </c>
      <c r="C247" s="220" t="s">
        <v>288</v>
      </c>
      <c r="D247" s="221">
        <v>3041.79</v>
      </c>
      <c r="E247" s="221">
        <v>14.77</v>
      </c>
      <c r="F247" s="236">
        <f t="shared" si="17"/>
        <v>44927.238299999997</v>
      </c>
      <c r="G247" s="240"/>
      <c r="H247" s="291" t="s">
        <v>1452</v>
      </c>
    </row>
    <row r="248" spans="1:8" s="204" customFormat="1" ht="15.75" x14ac:dyDescent="0.45">
      <c r="A248" s="225" t="s">
        <v>415</v>
      </c>
      <c r="B248" s="220" t="s">
        <v>416</v>
      </c>
      <c r="C248" s="220" t="s">
        <v>417</v>
      </c>
      <c r="D248" s="221">
        <v>2991</v>
      </c>
      <c r="E248" s="221">
        <v>3.7</v>
      </c>
      <c r="F248" s="236">
        <f t="shared" si="17"/>
        <v>11066.7</v>
      </c>
      <c r="G248" s="240"/>
      <c r="H248" s="291" t="s">
        <v>1452</v>
      </c>
    </row>
    <row r="249" spans="1:8" s="204" customFormat="1" ht="15.75" x14ac:dyDescent="0.45">
      <c r="A249" s="215" t="s">
        <v>418</v>
      </c>
      <c r="B249" s="216" t="s">
        <v>45</v>
      </c>
      <c r="C249" s="216"/>
      <c r="D249" s="217"/>
      <c r="E249" s="217"/>
      <c r="F249" s="218">
        <f>SUM(F250:F253)</f>
        <v>206367.99000000002</v>
      </c>
      <c r="G249" s="239"/>
      <c r="H249" s="288"/>
    </row>
    <row r="250" spans="1:8" s="204" customFormat="1" ht="31.5" x14ac:dyDescent="0.45">
      <c r="A250" s="225" t="s">
        <v>419</v>
      </c>
      <c r="B250" s="220" t="s">
        <v>1463</v>
      </c>
      <c r="C250" s="220" t="s">
        <v>289</v>
      </c>
      <c r="D250" s="221">
        <v>15.25</v>
      </c>
      <c r="E250" s="221">
        <v>34</v>
      </c>
      <c r="F250" s="236">
        <f t="shared" si="17"/>
        <v>518.5</v>
      </c>
      <c r="G250" s="240"/>
      <c r="H250" s="291"/>
    </row>
    <row r="251" spans="1:8" s="204" customFormat="1" ht="31.5" x14ac:dyDescent="0.45">
      <c r="A251" s="225" t="s">
        <v>421</v>
      </c>
      <c r="B251" s="220" t="s">
        <v>420</v>
      </c>
      <c r="C251" s="220" t="s">
        <v>289</v>
      </c>
      <c r="D251" s="221">
        <v>956.21</v>
      </c>
      <c r="E251" s="319">
        <v>35</v>
      </c>
      <c r="F251" s="236">
        <f t="shared" si="17"/>
        <v>33467.35</v>
      </c>
      <c r="G251" s="290" t="s">
        <v>1464</v>
      </c>
      <c r="H251" s="291"/>
    </row>
    <row r="252" spans="1:8" s="204" customFormat="1" ht="31.5" x14ac:dyDescent="0.45">
      <c r="A252" s="225" t="s">
        <v>423</v>
      </c>
      <c r="B252" s="220" t="s">
        <v>1465</v>
      </c>
      <c r="C252" s="220" t="s">
        <v>289</v>
      </c>
      <c r="D252" s="221">
        <v>5009.71</v>
      </c>
      <c r="E252" s="221">
        <v>34</v>
      </c>
      <c r="F252" s="236">
        <f t="shared" si="17"/>
        <v>170330.14</v>
      </c>
      <c r="G252" s="240"/>
      <c r="H252" s="291"/>
    </row>
    <row r="253" spans="1:8" s="204" customFormat="1" ht="31.5" x14ac:dyDescent="0.45">
      <c r="A253" s="225" t="s">
        <v>425</v>
      </c>
      <c r="B253" s="220" t="s">
        <v>428</v>
      </c>
      <c r="C253" s="220" t="s">
        <v>289</v>
      </c>
      <c r="D253" s="221">
        <v>41.04</v>
      </c>
      <c r="E253" s="221">
        <v>50</v>
      </c>
      <c r="F253" s="236">
        <f t="shared" si="17"/>
        <v>2052</v>
      </c>
      <c r="G253" s="240"/>
      <c r="H253" s="291"/>
    </row>
    <row r="254" spans="1:8" s="204" customFormat="1" ht="15.75" x14ac:dyDescent="0.45">
      <c r="A254" s="215" t="s">
        <v>429</v>
      </c>
      <c r="B254" s="216" t="s">
        <v>384</v>
      </c>
      <c r="C254" s="216"/>
      <c r="D254" s="217"/>
      <c r="E254" s="217"/>
      <c r="F254" s="218">
        <v>8352.4500000000007</v>
      </c>
      <c r="G254" s="239"/>
      <c r="H254" s="288"/>
    </row>
    <row r="255" spans="1:8" s="204" customFormat="1" ht="15.75" x14ac:dyDescent="0.45">
      <c r="A255" s="225" t="s">
        <v>430</v>
      </c>
      <c r="B255" s="220" t="s">
        <v>384</v>
      </c>
      <c r="C255" s="220" t="s">
        <v>285</v>
      </c>
      <c r="D255" s="221">
        <v>1</v>
      </c>
      <c r="E255" s="221">
        <v>8352.4500000000007</v>
      </c>
      <c r="F255" s="222">
        <v>8352.4500000000007</v>
      </c>
      <c r="G255" s="240"/>
      <c r="H255" s="291"/>
    </row>
    <row r="256" spans="1:8" s="204" customFormat="1" ht="15.75" x14ac:dyDescent="0.45">
      <c r="A256" s="205" t="s">
        <v>431</v>
      </c>
      <c r="B256" s="206" t="s">
        <v>432</v>
      </c>
      <c r="C256" s="206"/>
      <c r="D256" s="207"/>
      <c r="E256" s="207"/>
      <c r="F256" s="208">
        <f>F257</f>
        <v>301136.37873100006</v>
      </c>
      <c r="G256" s="309"/>
      <c r="H256" s="286"/>
    </row>
    <row r="257" spans="1:8" s="204" customFormat="1" ht="15.75" x14ac:dyDescent="0.45">
      <c r="A257" s="210" t="s">
        <v>433</v>
      </c>
      <c r="B257" s="211" t="s">
        <v>432</v>
      </c>
      <c r="C257" s="211"/>
      <c r="D257" s="212"/>
      <c r="E257" s="212"/>
      <c r="F257" s="213">
        <f>F258+F261+F263+F265+F267+F269+F271+F273+F279+F275+F277+F288</f>
        <v>301136.37873100006</v>
      </c>
      <c r="G257" s="238"/>
      <c r="H257" s="287"/>
    </row>
    <row r="258" spans="1:8" s="204" customFormat="1" ht="15.75" x14ac:dyDescent="0.45">
      <c r="A258" s="215" t="s">
        <v>434</v>
      </c>
      <c r="B258" s="216" t="s">
        <v>435</v>
      </c>
      <c r="C258" s="216"/>
      <c r="D258" s="217"/>
      <c r="E258" s="217"/>
      <c r="F258" s="218">
        <f>F259+F260</f>
        <v>24046.025481000004</v>
      </c>
      <c r="G258" s="239"/>
      <c r="H258" s="288"/>
    </row>
    <row r="259" spans="1:8" s="204" customFormat="1" ht="15.75" x14ac:dyDescent="0.45">
      <c r="A259" s="225" t="s">
        <v>436</v>
      </c>
      <c r="B259" s="220" t="s">
        <v>437</v>
      </c>
      <c r="C259" s="220" t="s">
        <v>289</v>
      </c>
      <c r="D259" s="231">
        <v>2349.63</v>
      </c>
      <c r="E259" s="221">
        <v>5.6595000000000004</v>
      </c>
      <c r="F259" s="236">
        <f t="shared" ref="F259:F260" si="18">E259*D259</f>
        <v>13297.730985000002</v>
      </c>
      <c r="G259" s="240"/>
      <c r="H259" s="291" t="s">
        <v>76</v>
      </c>
    </row>
    <row r="260" spans="1:8" s="204" customFormat="1" ht="31.5" x14ac:dyDescent="0.45">
      <c r="A260" s="225" t="s">
        <v>438</v>
      </c>
      <c r="B260" s="220" t="s">
        <v>439</v>
      </c>
      <c r="C260" s="220" t="s">
        <v>289</v>
      </c>
      <c r="D260" s="221">
        <v>628.82000000000005</v>
      </c>
      <c r="E260" s="319">
        <v>17.0928</v>
      </c>
      <c r="F260" s="236">
        <f t="shared" si="18"/>
        <v>10748.294496</v>
      </c>
      <c r="G260" s="290" t="s">
        <v>1466</v>
      </c>
      <c r="H260" s="291" t="s">
        <v>76</v>
      </c>
    </row>
    <row r="261" spans="1:8" s="298" customFormat="1" ht="16.5" customHeight="1" x14ac:dyDescent="0.45">
      <c r="A261" s="313" t="s">
        <v>440</v>
      </c>
      <c r="B261" s="314" t="s">
        <v>1467</v>
      </c>
      <c r="C261" s="314" t="s">
        <v>311</v>
      </c>
      <c r="D261" s="315"/>
      <c r="E261" s="315"/>
      <c r="F261" s="316">
        <f>F262</f>
        <v>0</v>
      </c>
      <c r="G261" s="317"/>
      <c r="H261" s="318"/>
    </row>
    <row r="262" spans="1:8" s="298" customFormat="1" ht="31.5" x14ac:dyDescent="0.45">
      <c r="A262" s="303" t="s">
        <v>444</v>
      </c>
      <c r="B262" s="293" t="s">
        <v>1468</v>
      </c>
      <c r="C262" s="293" t="s">
        <v>289</v>
      </c>
      <c r="D262" s="294">
        <v>0</v>
      </c>
      <c r="E262" s="294">
        <v>36.225000000000001</v>
      </c>
      <c r="F262" s="295">
        <f t="shared" ref="F262" si="19">E262*D262</f>
        <v>0</v>
      </c>
      <c r="G262" s="296" t="s">
        <v>1058</v>
      </c>
      <c r="H262" s="297" t="s">
        <v>76</v>
      </c>
    </row>
    <row r="263" spans="1:8" s="204" customFormat="1" ht="18" customHeight="1" x14ac:dyDescent="0.45">
      <c r="A263" s="215" t="s">
        <v>446</v>
      </c>
      <c r="B263" s="216" t="s">
        <v>447</v>
      </c>
      <c r="C263" s="216"/>
      <c r="D263" s="217"/>
      <c r="E263" s="217"/>
      <c r="F263" s="218">
        <f>F264</f>
        <v>5012.7598500000004</v>
      </c>
      <c r="G263" s="239"/>
      <c r="H263" s="288"/>
    </row>
    <row r="264" spans="1:8" s="204" customFormat="1" ht="15.75" x14ac:dyDescent="0.45">
      <c r="A264" s="225" t="s">
        <v>448</v>
      </c>
      <c r="B264" s="220" t="s">
        <v>449</v>
      </c>
      <c r="C264" s="220" t="s">
        <v>289</v>
      </c>
      <c r="D264" s="221">
        <v>375.91</v>
      </c>
      <c r="E264" s="221">
        <v>13.335000000000001</v>
      </c>
      <c r="F264" s="236">
        <f t="shared" ref="F264:F289" si="20">E264*D264</f>
        <v>5012.7598500000004</v>
      </c>
      <c r="G264" s="240"/>
      <c r="H264" s="304" t="s">
        <v>1469</v>
      </c>
    </row>
    <row r="265" spans="1:8" s="298" customFormat="1" ht="15.75" x14ac:dyDescent="0.45">
      <c r="A265" s="313" t="s">
        <v>450</v>
      </c>
      <c r="B265" s="314" t="s">
        <v>1470</v>
      </c>
      <c r="C265" s="314" t="s">
        <v>311</v>
      </c>
      <c r="D265" s="315"/>
      <c r="E265" s="315"/>
      <c r="F265" s="316">
        <f>F266</f>
        <v>0</v>
      </c>
      <c r="G265" s="317"/>
      <c r="H265" s="318"/>
    </row>
    <row r="266" spans="1:8" s="298" customFormat="1" ht="31.5" x14ac:dyDescent="0.45">
      <c r="A266" s="303" t="s">
        <v>452</v>
      </c>
      <c r="B266" s="293" t="s">
        <v>1471</v>
      </c>
      <c r="C266" s="293" t="s">
        <v>289</v>
      </c>
      <c r="D266" s="294"/>
      <c r="E266" s="294">
        <v>83.14</v>
      </c>
      <c r="F266" s="295">
        <f t="shared" si="20"/>
        <v>0</v>
      </c>
      <c r="G266" s="296" t="s">
        <v>1058</v>
      </c>
      <c r="H266" s="297" t="s">
        <v>76</v>
      </c>
    </row>
    <row r="267" spans="1:8" s="298" customFormat="1" ht="15.75" x14ac:dyDescent="0.45">
      <c r="A267" s="313" t="s">
        <v>1472</v>
      </c>
      <c r="B267" s="314" t="s">
        <v>1473</v>
      </c>
      <c r="C267" s="314" t="s">
        <v>311</v>
      </c>
      <c r="D267" s="315"/>
      <c r="E267" s="315"/>
      <c r="F267" s="316">
        <f>F268</f>
        <v>0</v>
      </c>
      <c r="G267" s="317"/>
      <c r="H267" s="318"/>
    </row>
    <row r="268" spans="1:8" s="298" customFormat="1" ht="31.5" customHeight="1" x14ac:dyDescent="0.45">
      <c r="A268" s="303" t="s">
        <v>1474</v>
      </c>
      <c r="B268" s="293" t="s">
        <v>1475</v>
      </c>
      <c r="C268" s="293" t="s">
        <v>289</v>
      </c>
      <c r="D268" s="294"/>
      <c r="E268" s="294">
        <v>83.14</v>
      </c>
      <c r="F268" s="295">
        <f t="shared" si="20"/>
        <v>0</v>
      </c>
      <c r="G268" s="296" t="s">
        <v>1058</v>
      </c>
      <c r="H268" s="297" t="s">
        <v>76</v>
      </c>
    </row>
    <row r="269" spans="1:8" s="298" customFormat="1" ht="15.75" x14ac:dyDescent="0.45">
      <c r="A269" s="313" t="s">
        <v>1476</v>
      </c>
      <c r="B269" s="314" t="s">
        <v>1477</v>
      </c>
      <c r="C269" s="314" t="s">
        <v>311</v>
      </c>
      <c r="D269" s="315"/>
      <c r="E269" s="315"/>
      <c r="F269" s="316">
        <f>F270</f>
        <v>0</v>
      </c>
      <c r="G269" s="317"/>
      <c r="H269" s="318"/>
    </row>
    <row r="270" spans="1:8" s="298" customFormat="1" ht="15.75" x14ac:dyDescent="0.45">
      <c r="A270" s="303" t="s">
        <v>1478</v>
      </c>
      <c r="B270" s="293" t="s">
        <v>1479</v>
      </c>
      <c r="C270" s="293" t="s">
        <v>289</v>
      </c>
      <c r="D270" s="294"/>
      <c r="E270" s="294">
        <v>36.225000000000001</v>
      </c>
      <c r="F270" s="295">
        <f t="shared" si="20"/>
        <v>0</v>
      </c>
      <c r="G270" s="296" t="s">
        <v>1058</v>
      </c>
      <c r="H270" s="297" t="s">
        <v>76</v>
      </c>
    </row>
    <row r="271" spans="1:8" s="204" customFormat="1" ht="15.75" x14ac:dyDescent="0.45">
      <c r="A271" s="215" t="s">
        <v>454</v>
      </c>
      <c r="B271" s="216" t="s">
        <v>455</v>
      </c>
      <c r="C271" s="216"/>
      <c r="D271" s="217"/>
      <c r="E271" s="217"/>
      <c r="F271" s="218">
        <f>F272</f>
        <v>3846.5119999999997</v>
      </c>
      <c r="G271" s="239"/>
      <c r="H271" s="288"/>
    </row>
    <row r="272" spans="1:8" s="204" customFormat="1" ht="15.75" x14ac:dyDescent="0.45">
      <c r="A272" s="225" t="s">
        <v>456</v>
      </c>
      <c r="B272" s="220" t="s">
        <v>457</v>
      </c>
      <c r="C272" s="220" t="s">
        <v>289</v>
      </c>
      <c r="D272" s="221">
        <v>126.53</v>
      </c>
      <c r="E272" s="221">
        <v>30.4</v>
      </c>
      <c r="F272" s="236">
        <f t="shared" si="20"/>
        <v>3846.5119999999997</v>
      </c>
      <c r="G272" s="240" t="s">
        <v>1480</v>
      </c>
      <c r="H272" s="291" t="s">
        <v>76</v>
      </c>
    </row>
    <row r="273" spans="1:8" s="204" customFormat="1" ht="15.75" x14ac:dyDescent="0.45">
      <c r="A273" s="215" t="s">
        <v>458</v>
      </c>
      <c r="B273" s="216" t="s">
        <v>459</v>
      </c>
      <c r="C273" s="216"/>
      <c r="D273" s="217"/>
      <c r="E273" s="217"/>
      <c r="F273" s="218">
        <f>F274</f>
        <v>1078.2364</v>
      </c>
      <c r="G273" s="239"/>
      <c r="H273" s="288"/>
    </row>
    <row r="274" spans="1:8" s="204" customFormat="1" ht="15.75" x14ac:dyDescent="0.45">
      <c r="A274" s="225" t="s">
        <v>460</v>
      </c>
      <c r="B274" s="220" t="s">
        <v>461</v>
      </c>
      <c r="C274" s="220" t="s">
        <v>417</v>
      </c>
      <c r="D274" s="221">
        <v>166</v>
      </c>
      <c r="E274" s="221">
        <v>6.4954000000000001</v>
      </c>
      <c r="F274" s="236">
        <f t="shared" si="20"/>
        <v>1078.2364</v>
      </c>
      <c r="G274" s="296"/>
      <c r="H274" s="323"/>
    </row>
    <row r="275" spans="1:8" s="298" customFormat="1" ht="15.75" x14ac:dyDescent="0.45">
      <c r="A275" s="313" t="s">
        <v>1481</v>
      </c>
      <c r="B275" s="314" t="s">
        <v>1482</v>
      </c>
      <c r="C275" s="314" t="s">
        <v>311</v>
      </c>
      <c r="D275" s="315"/>
      <c r="E275" s="315"/>
      <c r="F275" s="316">
        <f>F276</f>
        <v>0</v>
      </c>
      <c r="G275" s="317"/>
      <c r="H275" s="318"/>
    </row>
    <row r="276" spans="1:8" s="298" customFormat="1" ht="15.75" x14ac:dyDescent="0.45">
      <c r="A276" s="303" t="s">
        <v>1483</v>
      </c>
      <c r="B276" s="293" t="s">
        <v>1484</v>
      </c>
      <c r="C276" s="293" t="s">
        <v>289</v>
      </c>
      <c r="D276" s="294"/>
      <c r="E276" s="294">
        <v>83.14</v>
      </c>
      <c r="F276" s="295">
        <f t="shared" si="20"/>
        <v>0</v>
      </c>
      <c r="G276" s="296" t="s">
        <v>1058</v>
      </c>
      <c r="H276" s="297" t="s">
        <v>76</v>
      </c>
    </row>
    <row r="277" spans="1:8" s="298" customFormat="1" ht="15.75" x14ac:dyDescent="0.45">
      <c r="A277" s="313" t="s">
        <v>1485</v>
      </c>
      <c r="B277" s="314" t="s">
        <v>1486</v>
      </c>
      <c r="C277" s="314" t="s">
        <v>311</v>
      </c>
      <c r="D277" s="315"/>
      <c r="E277" s="315"/>
      <c r="F277" s="316">
        <f>F278</f>
        <v>0</v>
      </c>
      <c r="G277" s="317"/>
      <c r="H277" s="318"/>
    </row>
    <row r="278" spans="1:8" s="298" customFormat="1" ht="31.5" x14ac:dyDescent="0.45">
      <c r="A278" s="303" t="s">
        <v>1487</v>
      </c>
      <c r="B278" s="293" t="s">
        <v>1488</v>
      </c>
      <c r="C278" s="293" t="s">
        <v>289</v>
      </c>
      <c r="D278" s="294"/>
      <c r="E278" s="294">
        <v>36.225000000000001</v>
      </c>
      <c r="F278" s="295">
        <f t="shared" si="20"/>
        <v>0</v>
      </c>
      <c r="G278" s="296" t="s">
        <v>1058</v>
      </c>
      <c r="H278" s="297" t="s">
        <v>76</v>
      </c>
    </row>
    <row r="279" spans="1:8" s="204" customFormat="1" ht="15.75" x14ac:dyDescent="0.45">
      <c r="A279" s="215" t="s">
        <v>462</v>
      </c>
      <c r="B279" s="216" t="s">
        <v>463</v>
      </c>
      <c r="C279" s="216"/>
      <c r="D279" s="217"/>
      <c r="E279" s="217"/>
      <c r="F279" s="218">
        <f>SUM(F280:F287)</f>
        <v>260058.26500000001</v>
      </c>
      <c r="G279" s="239"/>
      <c r="H279" s="288"/>
    </row>
    <row r="280" spans="1:8" s="204" customFormat="1" ht="15.75" x14ac:dyDescent="0.45">
      <c r="A280" s="225" t="s">
        <v>464</v>
      </c>
      <c r="B280" s="220" t="s">
        <v>465</v>
      </c>
      <c r="C280" s="220" t="s">
        <v>289</v>
      </c>
      <c r="D280" s="221">
        <v>2160.75</v>
      </c>
      <c r="E280" s="221">
        <v>18</v>
      </c>
      <c r="F280" s="236">
        <f t="shared" si="20"/>
        <v>38893.5</v>
      </c>
      <c r="G280" s="240"/>
      <c r="H280" s="323"/>
    </row>
    <row r="281" spans="1:8" s="204" customFormat="1" ht="15.75" x14ac:dyDescent="0.45">
      <c r="A281" s="225" t="s">
        <v>466</v>
      </c>
      <c r="B281" s="220" t="s">
        <v>467</v>
      </c>
      <c r="C281" s="220" t="s">
        <v>289</v>
      </c>
      <c r="D281" s="221">
        <v>628.75</v>
      </c>
      <c r="E281" s="319">
        <v>4.5</v>
      </c>
      <c r="F281" s="236">
        <f t="shared" si="20"/>
        <v>2829.375</v>
      </c>
      <c r="G281" s="290" t="s">
        <v>1489</v>
      </c>
      <c r="H281" s="323"/>
    </row>
    <row r="282" spans="1:8" s="204" customFormat="1" ht="15.75" x14ac:dyDescent="0.45">
      <c r="A282" s="225" t="s">
        <v>468</v>
      </c>
      <c r="B282" s="220" t="s">
        <v>469</v>
      </c>
      <c r="C282" s="220" t="s">
        <v>289</v>
      </c>
      <c r="D282" s="221">
        <v>375.91</v>
      </c>
      <c r="E282" s="319">
        <v>15</v>
      </c>
      <c r="F282" s="236">
        <f t="shared" si="20"/>
        <v>5638.6500000000005</v>
      </c>
      <c r="G282" s="290" t="s">
        <v>1490</v>
      </c>
      <c r="H282" s="323"/>
    </row>
    <row r="283" spans="1:8" s="204" customFormat="1" ht="15.75" x14ac:dyDescent="0.45">
      <c r="A283" s="225" t="s">
        <v>1491</v>
      </c>
      <c r="B283" s="220" t="s">
        <v>443</v>
      </c>
      <c r="C283" s="220" t="s">
        <v>289</v>
      </c>
      <c r="D283" s="221">
        <v>181.47</v>
      </c>
      <c r="E283" s="319">
        <v>70</v>
      </c>
      <c r="F283" s="236">
        <f t="shared" si="20"/>
        <v>12702.9</v>
      </c>
      <c r="G283" s="343" t="s">
        <v>1492</v>
      </c>
      <c r="H283" s="323"/>
    </row>
    <row r="284" spans="1:8" s="204" customFormat="1" ht="15.75" x14ac:dyDescent="0.45">
      <c r="A284" s="225" t="s">
        <v>1493</v>
      </c>
      <c r="B284" s="220" t="s">
        <v>445</v>
      </c>
      <c r="C284" s="220" t="s">
        <v>289</v>
      </c>
      <c r="D284" s="221">
        <v>1585.42</v>
      </c>
      <c r="E284" s="319">
        <v>70</v>
      </c>
      <c r="F284" s="236">
        <f t="shared" si="20"/>
        <v>110979.40000000001</v>
      </c>
      <c r="G284" s="344"/>
      <c r="H284" s="291"/>
    </row>
    <row r="285" spans="1:8" s="204" customFormat="1" ht="15.75" x14ac:dyDescent="0.45">
      <c r="A285" s="225" t="s">
        <v>470</v>
      </c>
      <c r="B285" s="220" t="s">
        <v>471</v>
      </c>
      <c r="C285" s="220" t="s">
        <v>289</v>
      </c>
      <c r="D285" s="221">
        <v>126.53</v>
      </c>
      <c r="E285" s="221">
        <v>32</v>
      </c>
      <c r="F285" s="236">
        <f t="shared" si="20"/>
        <v>4048.96</v>
      </c>
      <c r="G285" s="290"/>
      <c r="H285" s="291"/>
    </row>
    <row r="286" spans="1:8" s="204" customFormat="1" ht="15.75" x14ac:dyDescent="0.45">
      <c r="A286" s="225" t="s">
        <v>472</v>
      </c>
      <c r="B286" s="220" t="s">
        <v>473</v>
      </c>
      <c r="C286" s="220" t="s">
        <v>417</v>
      </c>
      <c r="D286" s="221">
        <v>166</v>
      </c>
      <c r="E286" s="221">
        <v>80</v>
      </c>
      <c r="F286" s="236">
        <f t="shared" si="20"/>
        <v>13280</v>
      </c>
      <c r="G286" s="290"/>
      <c r="H286" s="291"/>
    </row>
    <row r="287" spans="1:8" s="204" customFormat="1" ht="15.75" x14ac:dyDescent="0.45">
      <c r="A287" s="225" t="s">
        <v>1494</v>
      </c>
      <c r="B287" s="220" t="s">
        <v>453</v>
      </c>
      <c r="C287" s="220" t="s">
        <v>289</v>
      </c>
      <c r="D287" s="221">
        <v>628.82000000000005</v>
      </c>
      <c r="E287" s="319">
        <v>114</v>
      </c>
      <c r="F287" s="236">
        <f t="shared" si="20"/>
        <v>71685.48000000001</v>
      </c>
      <c r="G287" s="290" t="s">
        <v>1495</v>
      </c>
      <c r="H287" s="291"/>
    </row>
    <row r="288" spans="1:8" s="204" customFormat="1" ht="15.75" x14ac:dyDescent="0.45">
      <c r="A288" s="215" t="s">
        <v>474</v>
      </c>
      <c r="B288" s="216" t="s">
        <v>384</v>
      </c>
      <c r="C288" s="216"/>
      <c r="D288" s="217"/>
      <c r="E288" s="217"/>
      <c r="F288" s="218">
        <f>F289</f>
        <v>7094.58</v>
      </c>
      <c r="G288" s="239"/>
      <c r="H288" s="288"/>
    </row>
    <row r="289" spans="1:8" s="204" customFormat="1" ht="15.75" x14ac:dyDescent="0.45">
      <c r="A289" s="225" t="s">
        <v>475</v>
      </c>
      <c r="B289" s="220" t="s">
        <v>384</v>
      </c>
      <c r="C289" s="220" t="s">
        <v>285</v>
      </c>
      <c r="D289" s="221">
        <v>1</v>
      </c>
      <c r="E289" s="221">
        <v>7094.58</v>
      </c>
      <c r="F289" s="236">
        <f t="shared" si="20"/>
        <v>7094.58</v>
      </c>
      <c r="G289" s="240"/>
      <c r="H289" s="291"/>
    </row>
    <row r="290" spans="1:8" s="204" customFormat="1" ht="15.75" x14ac:dyDescent="0.45">
      <c r="A290" s="205" t="s">
        <v>476</v>
      </c>
      <c r="B290" s="206" t="s">
        <v>477</v>
      </c>
      <c r="C290" s="206"/>
      <c r="D290" s="207"/>
      <c r="E290" s="207"/>
      <c r="F290" s="208">
        <f>F291</f>
        <v>532446.64136799995</v>
      </c>
      <c r="G290" s="309"/>
      <c r="H290" s="286"/>
    </row>
    <row r="291" spans="1:8" s="204" customFormat="1" ht="15.75" x14ac:dyDescent="0.45">
      <c r="A291" s="210" t="s">
        <v>478</v>
      </c>
      <c r="B291" s="211" t="s">
        <v>477</v>
      </c>
      <c r="C291" s="211"/>
      <c r="D291" s="212"/>
      <c r="E291" s="212"/>
      <c r="F291" s="213">
        <f>F292+F294+F296+F299+F301+F303+F305+F307+F309</f>
        <v>532446.64136799995</v>
      </c>
      <c r="G291" s="238"/>
      <c r="H291" s="287"/>
    </row>
    <row r="292" spans="1:8" s="204" customFormat="1" ht="15.75" x14ac:dyDescent="0.45">
      <c r="A292" s="215" t="s">
        <v>479</v>
      </c>
      <c r="B292" s="216" t="s">
        <v>480</v>
      </c>
      <c r="C292" s="216"/>
      <c r="D292" s="217"/>
      <c r="E292" s="217"/>
      <c r="F292" s="218">
        <f>F293</f>
        <v>38701</v>
      </c>
      <c r="G292" s="239">
        <f>F292/$G$4</f>
        <v>8.60278394010661</v>
      </c>
      <c r="H292" s="288"/>
    </row>
    <row r="293" spans="1:8" s="204" customFormat="1" ht="15.75" x14ac:dyDescent="0.45">
      <c r="A293" s="225" t="s">
        <v>481</v>
      </c>
      <c r="B293" s="220" t="s">
        <v>482</v>
      </c>
      <c r="C293" s="220" t="s">
        <v>285</v>
      </c>
      <c r="D293" s="221">
        <v>1</v>
      </c>
      <c r="E293" s="319">
        <v>38701</v>
      </c>
      <c r="F293" s="236">
        <f t="shared" ref="F293" si="21">E293*D293</f>
        <v>38701</v>
      </c>
      <c r="G293" s="240" t="s">
        <v>1496</v>
      </c>
      <c r="H293" s="291"/>
    </row>
    <row r="294" spans="1:8" s="204" customFormat="1" ht="15.75" x14ac:dyDescent="0.45">
      <c r="A294" s="215" t="s">
        <v>483</v>
      </c>
      <c r="B294" s="216" t="s">
        <v>484</v>
      </c>
      <c r="C294" s="216"/>
      <c r="D294" s="217"/>
      <c r="E294" s="217"/>
      <c r="F294" s="218">
        <f>F295</f>
        <v>31486.43</v>
      </c>
      <c r="G294" s="239">
        <f>F294/$G$4</f>
        <v>6.9990686115421044</v>
      </c>
      <c r="H294" s="288"/>
    </row>
    <row r="295" spans="1:8" s="204" customFormat="1" ht="15.75" x14ac:dyDescent="0.45">
      <c r="A295" s="225" t="s">
        <v>485</v>
      </c>
      <c r="B295" s="220" t="s">
        <v>486</v>
      </c>
      <c r="C295" s="220" t="s">
        <v>285</v>
      </c>
      <c r="D295" s="221">
        <v>1</v>
      </c>
      <c r="E295" s="221">
        <v>31486.43</v>
      </c>
      <c r="F295" s="236">
        <f t="shared" ref="F295" si="22">E295*D295</f>
        <v>31486.43</v>
      </c>
      <c r="G295" s="240"/>
      <c r="H295" s="291"/>
    </row>
    <row r="296" spans="1:8" s="204" customFormat="1" ht="15.75" x14ac:dyDescent="0.45">
      <c r="A296" s="215" t="s">
        <v>487</v>
      </c>
      <c r="B296" s="216" t="s">
        <v>488</v>
      </c>
      <c r="C296" s="216"/>
      <c r="D296" s="217"/>
      <c r="E296" s="217"/>
      <c r="F296" s="218">
        <f>F297+F298</f>
        <v>80547.989999999991</v>
      </c>
      <c r="G296" s="239">
        <f>F296/$G$4</f>
        <v>17.904885010203035</v>
      </c>
      <c r="H296" s="288"/>
    </row>
    <row r="297" spans="1:8" s="204" customFormat="1" ht="15.75" x14ac:dyDescent="0.45">
      <c r="A297" s="225" t="s">
        <v>489</v>
      </c>
      <c r="B297" s="220" t="s">
        <v>1497</v>
      </c>
      <c r="C297" s="220" t="s">
        <v>285</v>
      </c>
      <c r="D297" s="221">
        <v>1</v>
      </c>
      <c r="E297" s="221">
        <v>62162.38</v>
      </c>
      <c r="F297" s="236">
        <f t="shared" ref="F297:F298" si="23">E297*D297</f>
        <v>62162.38</v>
      </c>
      <c r="G297" s="240"/>
      <c r="H297" s="291"/>
    </row>
    <row r="298" spans="1:8" s="204" customFormat="1" ht="15.75" x14ac:dyDescent="0.45">
      <c r="A298" s="225" t="s">
        <v>1498</v>
      </c>
      <c r="B298" s="220" t="s">
        <v>1499</v>
      </c>
      <c r="C298" s="220" t="s">
        <v>285</v>
      </c>
      <c r="D298" s="221">
        <v>1</v>
      </c>
      <c r="E298" s="319">
        <v>18385.61</v>
      </c>
      <c r="F298" s="236">
        <f t="shared" si="23"/>
        <v>18385.61</v>
      </c>
      <c r="G298" s="240" t="s">
        <v>1496</v>
      </c>
      <c r="H298" s="291"/>
    </row>
    <row r="299" spans="1:8" s="204" customFormat="1" ht="15.75" x14ac:dyDescent="0.45">
      <c r="A299" s="215" t="s">
        <v>491</v>
      </c>
      <c r="B299" s="216" t="s">
        <v>492</v>
      </c>
      <c r="C299" s="216"/>
      <c r="D299" s="217"/>
      <c r="E299" s="217"/>
      <c r="F299" s="218">
        <f>F300</f>
        <v>21692.61</v>
      </c>
      <c r="G299" s="239">
        <f>F299/$G$4</f>
        <v>4.822015889175888</v>
      </c>
      <c r="H299" s="288"/>
    </row>
    <row r="300" spans="1:8" s="204" customFormat="1" ht="15.75" x14ac:dyDescent="0.45">
      <c r="A300" s="225" t="s">
        <v>493</v>
      </c>
      <c r="B300" s="220" t="s">
        <v>494</v>
      </c>
      <c r="C300" s="220" t="s">
        <v>285</v>
      </c>
      <c r="D300" s="221">
        <v>1</v>
      </c>
      <c r="E300" s="221">
        <v>21692.61</v>
      </c>
      <c r="F300" s="236">
        <f t="shared" ref="F300" si="24">E300*D300</f>
        <v>21692.61</v>
      </c>
      <c r="G300" s="240"/>
      <c r="H300" s="291"/>
    </row>
    <row r="301" spans="1:8" s="204" customFormat="1" ht="15.75" x14ac:dyDescent="0.45">
      <c r="A301" s="215" t="s">
        <v>1500</v>
      </c>
      <c r="B301" s="216" t="s">
        <v>1501</v>
      </c>
      <c r="C301" s="216"/>
      <c r="D301" s="217"/>
      <c r="E301" s="217"/>
      <c r="F301" s="218">
        <f>F302</f>
        <v>92500</v>
      </c>
      <c r="G301" s="239">
        <f>F301/$G$4</f>
        <v>20.561678366446898</v>
      </c>
      <c r="H301" s="288"/>
    </row>
    <row r="302" spans="1:8" s="204" customFormat="1" ht="15.75" x14ac:dyDescent="0.45">
      <c r="A302" s="225" t="s">
        <v>1502</v>
      </c>
      <c r="B302" s="220" t="s">
        <v>1503</v>
      </c>
      <c r="C302" s="220" t="s">
        <v>285</v>
      </c>
      <c r="D302" s="221">
        <v>1</v>
      </c>
      <c r="E302" s="221">
        <v>92500</v>
      </c>
      <c r="F302" s="236">
        <f t="shared" ref="F302" si="25">E302*D302</f>
        <v>92500</v>
      </c>
      <c r="G302" s="240"/>
      <c r="H302" s="291"/>
    </row>
    <row r="303" spans="1:8" s="204" customFormat="1" ht="15.75" x14ac:dyDescent="0.45">
      <c r="A303" s="215" t="s">
        <v>495</v>
      </c>
      <c r="B303" s="216" t="s">
        <v>496</v>
      </c>
      <c r="C303" s="216"/>
      <c r="D303" s="217"/>
      <c r="E303" s="217"/>
      <c r="F303" s="218">
        <f>F304</f>
        <v>10000</v>
      </c>
      <c r="G303" s="239">
        <f>F303/$G$4</f>
        <v>2.2228841477239891</v>
      </c>
      <c r="H303" s="288"/>
    </row>
    <row r="304" spans="1:8" s="204" customFormat="1" ht="15.75" x14ac:dyDescent="0.45">
      <c r="A304" s="225" t="s">
        <v>497</v>
      </c>
      <c r="B304" s="220" t="s">
        <v>498</v>
      </c>
      <c r="C304" s="220" t="s">
        <v>285</v>
      </c>
      <c r="D304" s="221">
        <v>1</v>
      </c>
      <c r="E304" s="319">
        <v>10000</v>
      </c>
      <c r="F304" s="236">
        <f t="shared" ref="F304" si="26">E304*D304</f>
        <v>10000</v>
      </c>
      <c r="G304" s="240"/>
      <c r="H304" s="291"/>
    </row>
    <row r="305" spans="1:8" s="204" customFormat="1" ht="15.75" x14ac:dyDescent="0.45">
      <c r="A305" s="215" t="s">
        <v>499</v>
      </c>
      <c r="B305" s="216" t="s">
        <v>1504</v>
      </c>
      <c r="C305" s="216"/>
      <c r="D305" s="217"/>
      <c r="E305" s="217"/>
      <c r="F305" s="218">
        <f>F306</f>
        <v>12518.365</v>
      </c>
      <c r="G305" s="239">
        <f>F305/$G$4</f>
        <v>2.7826875113922811</v>
      </c>
      <c r="H305" s="288"/>
    </row>
    <row r="306" spans="1:8" s="204" customFormat="1" ht="15.75" x14ac:dyDescent="0.45">
      <c r="A306" s="225" t="s">
        <v>500</v>
      </c>
      <c r="B306" s="220" t="s">
        <v>1505</v>
      </c>
      <c r="C306" s="220" t="s">
        <v>285</v>
      </c>
      <c r="D306" s="221">
        <v>1</v>
      </c>
      <c r="E306" s="319">
        <v>12518.365</v>
      </c>
      <c r="F306" s="236">
        <f t="shared" ref="F306" si="27">E306*D306</f>
        <v>12518.365</v>
      </c>
      <c r="G306" s="240"/>
      <c r="H306" s="291"/>
    </row>
    <row r="307" spans="1:8" s="204" customFormat="1" ht="15.75" x14ac:dyDescent="0.45">
      <c r="A307" s="215" t="s">
        <v>502</v>
      </c>
      <c r="B307" s="216" t="s">
        <v>45</v>
      </c>
      <c r="C307" s="216"/>
      <c r="D307" s="217"/>
      <c r="E307" s="217"/>
      <c r="F307" s="218">
        <f>F308</f>
        <v>235000.24636800002</v>
      </c>
      <c r="G307" s="239">
        <f>F307/$G$4</f>
        <v>52.237832236265916</v>
      </c>
      <c r="H307" s="288"/>
    </row>
    <row r="308" spans="1:8" s="204" customFormat="1" ht="15.75" x14ac:dyDescent="0.45">
      <c r="A308" s="225" t="s">
        <v>503</v>
      </c>
      <c r="B308" s="220" t="s">
        <v>501</v>
      </c>
      <c r="C308" s="220" t="s">
        <v>289</v>
      </c>
      <c r="D308" s="221">
        <v>4498.68</v>
      </c>
      <c r="E308" s="324">
        <v>52.2376</v>
      </c>
      <c r="F308" s="236">
        <f t="shared" ref="F308" si="28">E308*D308</f>
        <v>235000.24636800002</v>
      </c>
      <c r="G308" s="290" t="s">
        <v>1506</v>
      </c>
      <c r="H308" s="291"/>
    </row>
    <row r="309" spans="1:8" s="204" customFormat="1" ht="15.75" x14ac:dyDescent="0.45">
      <c r="A309" s="215" t="s">
        <v>1507</v>
      </c>
      <c r="B309" s="216" t="s">
        <v>372</v>
      </c>
      <c r="C309" s="216"/>
      <c r="D309" s="217"/>
      <c r="E309" s="217"/>
      <c r="F309" s="218">
        <f>F310</f>
        <v>10000</v>
      </c>
      <c r="G309" s="239"/>
      <c r="H309" s="288"/>
    </row>
    <row r="310" spans="1:8" s="204" customFormat="1" ht="31.5" x14ac:dyDescent="0.45">
      <c r="A310" s="225" t="s">
        <v>1508</v>
      </c>
      <c r="B310" s="220" t="s">
        <v>1509</v>
      </c>
      <c r="C310" s="220" t="s">
        <v>285</v>
      </c>
      <c r="D310" s="221">
        <v>1</v>
      </c>
      <c r="E310" s="319">
        <v>10000</v>
      </c>
      <c r="F310" s="236">
        <f t="shared" ref="F310" si="29">E310*D310</f>
        <v>10000</v>
      </c>
      <c r="G310" s="290" t="s">
        <v>1510</v>
      </c>
      <c r="H310" s="291"/>
    </row>
    <row r="311" spans="1:8" s="204" customFormat="1" ht="15.75" x14ac:dyDescent="0.45">
      <c r="A311" s="205" t="s">
        <v>504</v>
      </c>
      <c r="B311" s="206" t="s">
        <v>505</v>
      </c>
      <c r="C311" s="206"/>
      <c r="D311" s="207"/>
      <c r="E311" s="207"/>
      <c r="F311" s="208">
        <f>F312</f>
        <v>567175.74950400006</v>
      </c>
      <c r="G311" s="309"/>
      <c r="H311" s="286"/>
    </row>
    <row r="312" spans="1:8" s="204" customFormat="1" ht="15.75" x14ac:dyDescent="0.45">
      <c r="A312" s="210" t="s">
        <v>506</v>
      </c>
      <c r="B312" s="211" t="s">
        <v>505</v>
      </c>
      <c r="C312" s="211"/>
      <c r="D312" s="212"/>
      <c r="E312" s="212"/>
      <c r="F312" s="213">
        <f>F313+F315+F317+F319+F321+F323+F325+F327</f>
        <v>567175.74950400006</v>
      </c>
      <c r="G312" s="238"/>
      <c r="H312" s="287"/>
    </row>
    <row r="313" spans="1:8" s="204" customFormat="1" ht="15.75" x14ac:dyDescent="0.45">
      <c r="A313" s="215" t="s">
        <v>507</v>
      </c>
      <c r="B313" s="216" t="s">
        <v>60</v>
      </c>
      <c r="C313" s="216"/>
      <c r="D313" s="217"/>
      <c r="E313" s="217"/>
      <c r="F313" s="218">
        <f>F314</f>
        <v>1293.42</v>
      </c>
      <c r="G313" s="239">
        <f>F313/$G$4</f>
        <v>0.28751228143491619</v>
      </c>
      <c r="H313" s="288"/>
    </row>
    <row r="314" spans="1:8" s="204" customFormat="1" ht="15.75" x14ac:dyDescent="0.45">
      <c r="A314" s="225" t="s">
        <v>508</v>
      </c>
      <c r="B314" s="220" t="s">
        <v>509</v>
      </c>
      <c r="C314" s="220" t="s">
        <v>285</v>
      </c>
      <c r="D314" s="221">
        <v>1</v>
      </c>
      <c r="E314" s="221">
        <v>1293.42</v>
      </c>
      <c r="F314" s="236">
        <f t="shared" ref="F314" si="30">E314*D314</f>
        <v>1293.42</v>
      </c>
      <c r="G314" s="240"/>
      <c r="H314" s="291"/>
    </row>
    <row r="315" spans="1:8" s="204" customFormat="1" ht="15.75" x14ac:dyDescent="0.45">
      <c r="A315" s="215" t="s">
        <v>510</v>
      </c>
      <c r="B315" s="216" t="s">
        <v>511</v>
      </c>
      <c r="C315" s="216"/>
      <c r="D315" s="217"/>
      <c r="E315" s="217"/>
      <c r="F315" s="218">
        <f>F316</f>
        <v>50242.62</v>
      </c>
      <c r="G315" s="239">
        <f>F315/$G$4</f>
        <v>11.168352353812026</v>
      </c>
      <c r="H315" s="288"/>
    </row>
    <row r="316" spans="1:8" s="204" customFormat="1" ht="15.75" x14ac:dyDescent="0.45">
      <c r="A316" s="225" t="s">
        <v>512</v>
      </c>
      <c r="B316" s="220" t="s">
        <v>511</v>
      </c>
      <c r="C316" s="220" t="s">
        <v>285</v>
      </c>
      <c r="D316" s="221">
        <v>1</v>
      </c>
      <c r="E316" s="221">
        <v>50242.62</v>
      </c>
      <c r="F316" s="236">
        <f t="shared" ref="F316" si="31">E316*D316</f>
        <v>50242.62</v>
      </c>
      <c r="G316" s="240"/>
      <c r="H316" s="291"/>
    </row>
    <row r="317" spans="1:8" s="204" customFormat="1" ht="15.75" x14ac:dyDescent="0.45">
      <c r="A317" s="215" t="s">
        <v>513</v>
      </c>
      <c r="B317" s="216" t="s">
        <v>514</v>
      </c>
      <c r="C317" s="216"/>
      <c r="D317" s="217"/>
      <c r="E317" s="217"/>
      <c r="F317" s="218">
        <f>F318</f>
        <v>70000</v>
      </c>
      <c r="G317" s="239">
        <f>F317/$G$4</f>
        <v>15.560189034067923</v>
      </c>
      <c r="H317" s="288"/>
    </row>
    <row r="318" spans="1:8" s="204" customFormat="1" ht="15.75" x14ac:dyDescent="0.45">
      <c r="A318" s="225" t="s">
        <v>515</v>
      </c>
      <c r="B318" s="220" t="s">
        <v>514</v>
      </c>
      <c r="C318" s="220" t="s">
        <v>285</v>
      </c>
      <c r="D318" s="221">
        <v>1</v>
      </c>
      <c r="E318" s="319">
        <v>70000</v>
      </c>
      <c r="F318" s="236">
        <f t="shared" ref="F318" si="32">E318*D318</f>
        <v>70000</v>
      </c>
      <c r="G318" s="290" t="s">
        <v>1511</v>
      </c>
      <c r="H318" s="291"/>
    </row>
    <row r="319" spans="1:8" s="204" customFormat="1" ht="15.75" x14ac:dyDescent="0.45">
      <c r="A319" s="215" t="s">
        <v>516</v>
      </c>
      <c r="B319" s="216" t="s">
        <v>517</v>
      </c>
      <c r="C319" s="216"/>
      <c r="D319" s="217"/>
      <c r="E319" s="217"/>
      <c r="F319" s="218">
        <f>F320</f>
        <v>111390.49</v>
      </c>
      <c r="G319" s="239">
        <f>F319/$G$4</f>
        <v>24.760815442820753</v>
      </c>
      <c r="H319" s="288"/>
    </row>
    <row r="320" spans="1:8" s="204" customFormat="1" ht="15.75" x14ac:dyDescent="0.45">
      <c r="A320" s="225" t="s">
        <v>518</v>
      </c>
      <c r="B320" s="220" t="s">
        <v>517</v>
      </c>
      <c r="C320" s="220" t="s">
        <v>285</v>
      </c>
      <c r="D320" s="221">
        <v>1</v>
      </c>
      <c r="E320" s="319">
        <v>111390.49</v>
      </c>
      <c r="F320" s="236">
        <f t="shared" ref="F320" si="33">E320*D320</f>
        <v>111390.49</v>
      </c>
      <c r="G320" s="240" t="s">
        <v>1480</v>
      </c>
      <c r="H320" s="291"/>
    </row>
    <row r="321" spans="1:8" s="204" customFormat="1" ht="15.75" x14ac:dyDescent="0.45">
      <c r="A321" s="215" t="s">
        <v>519</v>
      </c>
      <c r="B321" s="216" t="s">
        <v>520</v>
      </c>
      <c r="C321" s="216"/>
      <c r="D321" s="217"/>
      <c r="E321" s="217"/>
      <c r="F321" s="218">
        <f>F322</f>
        <v>10388.23</v>
      </c>
      <c r="G321" s="239">
        <f>F321/$G$4</f>
        <v>2.3091831789910775</v>
      </c>
      <c r="H321" s="288"/>
    </row>
    <row r="322" spans="1:8" s="204" customFormat="1" ht="15.75" x14ac:dyDescent="0.45">
      <c r="A322" s="225" t="s">
        <v>521</v>
      </c>
      <c r="B322" s="220" t="s">
        <v>520</v>
      </c>
      <c r="C322" s="220" t="s">
        <v>285</v>
      </c>
      <c r="D322" s="221">
        <v>1</v>
      </c>
      <c r="E322" s="221">
        <v>10388.23</v>
      </c>
      <c r="F322" s="236">
        <f t="shared" ref="F322" si="34">E322*D322</f>
        <v>10388.23</v>
      </c>
      <c r="G322" s="240"/>
      <c r="H322" s="291"/>
    </row>
    <row r="323" spans="1:8" s="204" customFormat="1" ht="15.75" x14ac:dyDescent="0.45">
      <c r="A323" s="215" t="s">
        <v>1512</v>
      </c>
      <c r="B323" s="216" t="s">
        <v>1513</v>
      </c>
      <c r="C323" s="216"/>
      <c r="D323" s="217"/>
      <c r="E323" s="217"/>
      <c r="F323" s="218">
        <f>F324</f>
        <v>383.96</v>
      </c>
      <c r="G323" s="239">
        <f>F323/$G$4</f>
        <v>8.5349859736010281E-2</v>
      </c>
      <c r="H323" s="288"/>
    </row>
    <row r="324" spans="1:8" s="204" customFormat="1" ht="15.75" x14ac:dyDescent="0.45">
      <c r="A324" s="225" t="s">
        <v>1514</v>
      </c>
      <c r="B324" s="220" t="s">
        <v>1515</v>
      </c>
      <c r="C324" s="220" t="s">
        <v>285</v>
      </c>
      <c r="D324" s="221">
        <v>1</v>
      </c>
      <c r="E324" s="221">
        <v>383.96</v>
      </c>
      <c r="F324" s="236">
        <f t="shared" ref="F324:F328" si="35">E324*D324</f>
        <v>383.96</v>
      </c>
      <c r="G324" s="240"/>
      <c r="H324" s="291"/>
    </row>
    <row r="325" spans="1:8" s="204" customFormat="1" ht="15.75" x14ac:dyDescent="0.45">
      <c r="A325" s="215" t="s">
        <v>530</v>
      </c>
      <c r="B325" s="216" t="s">
        <v>45</v>
      </c>
      <c r="C325" s="216"/>
      <c r="D325" s="217"/>
      <c r="E325" s="217"/>
      <c r="F325" s="218">
        <f>F326</f>
        <v>315999.87950400001</v>
      </c>
      <c r="G325" s="239">
        <f>F325/$G$4</f>
        <v>70.243112283213222</v>
      </c>
      <c r="H325" s="288"/>
    </row>
    <row r="326" spans="1:8" s="204" customFormat="1" ht="15.75" x14ac:dyDescent="0.45">
      <c r="A326" s="225" t="s">
        <v>531</v>
      </c>
      <c r="B326" s="220" t="s">
        <v>532</v>
      </c>
      <c r="C326" s="220" t="s">
        <v>289</v>
      </c>
      <c r="D326" s="221">
        <v>4498.68</v>
      </c>
      <c r="E326" s="324">
        <v>70.242800000000003</v>
      </c>
      <c r="F326" s="236">
        <f t="shared" si="35"/>
        <v>315999.87950400001</v>
      </c>
      <c r="G326" s="290" t="s">
        <v>1516</v>
      </c>
      <c r="H326" s="291"/>
    </row>
    <row r="327" spans="1:8" s="204" customFormat="1" ht="15.75" x14ac:dyDescent="0.45">
      <c r="A327" s="215" t="s">
        <v>533</v>
      </c>
      <c r="B327" s="216" t="s">
        <v>384</v>
      </c>
      <c r="C327" s="216"/>
      <c r="D327" s="217"/>
      <c r="E327" s="217"/>
      <c r="F327" s="218">
        <f>F328</f>
        <v>7477.15</v>
      </c>
      <c r="G327" s="239"/>
      <c r="H327" s="288"/>
    </row>
    <row r="328" spans="1:8" s="204" customFormat="1" ht="15.75" x14ac:dyDescent="0.45">
      <c r="A328" s="225" t="s">
        <v>534</v>
      </c>
      <c r="B328" s="220" t="s">
        <v>384</v>
      </c>
      <c r="C328" s="220" t="s">
        <v>285</v>
      </c>
      <c r="D328" s="221">
        <v>1</v>
      </c>
      <c r="E328" s="221">
        <v>7477.15</v>
      </c>
      <c r="F328" s="236">
        <f t="shared" si="35"/>
        <v>7477.15</v>
      </c>
      <c r="G328" s="240"/>
      <c r="H328" s="291"/>
    </row>
    <row r="329" spans="1:8" s="204" customFormat="1" ht="15.75" x14ac:dyDescent="0.45">
      <c r="A329" s="205" t="s">
        <v>535</v>
      </c>
      <c r="B329" s="206" t="s">
        <v>536</v>
      </c>
      <c r="C329" s="206"/>
      <c r="D329" s="207"/>
      <c r="E329" s="207"/>
      <c r="F329" s="208">
        <f>F330</f>
        <v>99552.92</v>
      </c>
      <c r="G329" s="309"/>
      <c r="H329" s="286"/>
    </row>
    <row r="330" spans="1:8" s="204" customFormat="1" ht="15.75" x14ac:dyDescent="0.45">
      <c r="A330" s="210" t="s">
        <v>537</v>
      </c>
      <c r="B330" s="211" t="s">
        <v>536</v>
      </c>
      <c r="C330" s="211"/>
      <c r="D330" s="212"/>
      <c r="E330" s="212"/>
      <c r="F330" s="213">
        <f>F331+F333+F335+F337</f>
        <v>99552.92</v>
      </c>
      <c r="G330" s="238"/>
      <c r="H330" s="287"/>
    </row>
    <row r="331" spans="1:8" s="204" customFormat="1" ht="15.75" x14ac:dyDescent="0.45">
      <c r="A331" s="215" t="s">
        <v>538</v>
      </c>
      <c r="B331" s="216" t="s">
        <v>1517</v>
      </c>
      <c r="C331" s="216"/>
      <c r="D331" s="217"/>
      <c r="E331" s="217"/>
      <c r="F331" s="218">
        <f>F332</f>
        <v>67480.2</v>
      </c>
      <c r="G331" s="239">
        <f>F331/$G$4</f>
        <v>15.000066686524432</v>
      </c>
      <c r="H331" s="288"/>
    </row>
    <row r="332" spans="1:8" s="204" customFormat="1" ht="15.75" x14ac:dyDescent="0.45">
      <c r="A332" s="225" t="s">
        <v>540</v>
      </c>
      <c r="B332" s="220" t="s">
        <v>1517</v>
      </c>
      <c r="C332" s="220" t="s">
        <v>285</v>
      </c>
      <c r="D332" s="221">
        <v>1</v>
      </c>
      <c r="E332" s="221">
        <v>67480.2</v>
      </c>
      <c r="F332" s="236">
        <f t="shared" ref="F332" si="36">E332*D332</f>
        <v>67480.2</v>
      </c>
      <c r="G332" s="240"/>
      <c r="H332" s="291"/>
    </row>
    <row r="333" spans="1:8" s="204" customFormat="1" ht="15.75" x14ac:dyDescent="0.45">
      <c r="A333" s="215" t="s">
        <v>542</v>
      </c>
      <c r="B333" s="216" t="s">
        <v>543</v>
      </c>
      <c r="C333" s="216"/>
      <c r="D333" s="217"/>
      <c r="E333" s="217"/>
      <c r="F333" s="218">
        <f>F334</f>
        <v>29241.42</v>
      </c>
      <c r="G333" s="239">
        <f>F333/$G$4</f>
        <v>6.5000288974939204</v>
      </c>
      <c r="H333" s="288"/>
    </row>
    <row r="334" spans="1:8" s="204" customFormat="1" ht="15.75" x14ac:dyDescent="0.45">
      <c r="A334" s="225" t="s">
        <v>544</v>
      </c>
      <c r="B334" s="220" t="s">
        <v>543</v>
      </c>
      <c r="C334" s="220" t="s">
        <v>285</v>
      </c>
      <c r="D334" s="221">
        <v>1</v>
      </c>
      <c r="E334" s="221">
        <v>29241.42</v>
      </c>
      <c r="F334" s="236">
        <f t="shared" ref="F334" si="37">E334*D334</f>
        <v>29241.42</v>
      </c>
      <c r="G334" s="240"/>
      <c r="H334" s="291"/>
    </row>
    <row r="335" spans="1:8" s="298" customFormat="1" ht="15.75" x14ac:dyDescent="0.45">
      <c r="A335" s="313" t="s">
        <v>548</v>
      </c>
      <c r="B335" s="314" t="s">
        <v>549</v>
      </c>
      <c r="C335" s="314" t="s">
        <v>311</v>
      </c>
      <c r="D335" s="315"/>
      <c r="E335" s="315"/>
      <c r="F335" s="316">
        <f>F336</f>
        <v>0</v>
      </c>
      <c r="G335" s="317"/>
      <c r="H335" s="318"/>
    </row>
    <row r="336" spans="1:8" s="298" customFormat="1" ht="15.75" x14ac:dyDescent="0.45">
      <c r="A336" s="303" t="s">
        <v>550</v>
      </c>
      <c r="B336" s="293" t="s">
        <v>551</v>
      </c>
      <c r="C336" s="293" t="s">
        <v>289</v>
      </c>
      <c r="D336" s="294">
        <v>0</v>
      </c>
      <c r="E336" s="294">
        <v>11</v>
      </c>
      <c r="F336" s="295">
        <f t="shared" ref="F336" si="38">E336*D336</f>
        <v>0</v>
      </c>
      <c r="G336" s="296" t="s">
        <v>1058</v>
      </c>
      <c r="H336" s="322"/>
    </row>
    <row r="337" spans="1:8" s="204" customFormat="1" ht="15.75" x14ac:dyDescent="0.45">
      <c r="A337" s="215" t="s">
        <v>552</v>
      </c>
      <c r="B337" s="216" t="s">
        <v>384</v>
      </c>
      <c r="C337" s="216" t="s">
        <v>311</v>
      </c>
      <c r="D337" s="217"/>
      <c r="E337" s="217"/>
      <c r="F337" s="218">
        <f>F338</f>
        <v>2831.3</v>
      </c>
      <c r="G337" s="239"/>
      <c r="H337" s="288"/>
    </row>
    <row r="338" spans="1:8" s="204" customFormat="1" ht="15.75" x14ac:dyDescent="0.45">
      <c r="A338" s="225" t="s">
        <v>553</v>
      </c>
      <c r="B338" s="220" t="s">
        <v>384</v>
      </c>
      <c r="C338" s="220" t="s">
        <v>285</v>
      </c>
      <c r="D338" s="221">
        <v>1</v>
      </c>
      <c r="E338" s="221">
        <v>2831.3</v>
      </c>
      <c r="F338" s="236">
        <f t="shared" ref="F338" si="39">E338*D338</f>
        <v>2831.3</v>
      </c>
      <c r="G338" s="240"/>
      <c r="H338" s="291"/>
    </row>
    <row r="339" spans="1:8" s="204" customFormat="1" ht="15.75" x14ac:dyDescent="0.45">
      <c r="A339" s="205" t="s">
        <v>554</v>
      </c>
      <c r="B339" s="206" t="s">
        <v>555</v>
      </c>
      <c r="C339" s="206" t="s">
        <v>311</v>
      </c>
      <c r="D339" s="207"/>
      <c r="E339" s="207"/>
      <c r="F339" s="208">
        <f>F340</f>
        <v>66209.320000000007</v>
      </c>
      <c r="G339" s="239">
        <f>F339/$G$4</f>
        <v>14.717564785958487</v>
      </c>
      <c r="H339" s="286"/>
    </row>
    <row r="340" spans="1:8" s="204" customFormat="1" ht="15.75" x14ac:dyDescent="0.45">
      <c r="A340" s="210" t="s">
        <v>556</v>
      </c>
      <c r="B340" s="211" t="s">
        <v>555</v>
      </c>
      <c r="C340" s="211" t="s">
        <v>311</v>
      </c>
      <c r="D340" s="212"/>
      <c r="E340" s="212"/>
      <c r="F340" s="213">
        <f>F341+F343+F345</f>
        <v>66209.320000000007</v>
      </c>
      <c r="G340" s="238"/>
      <c r="H340" s="287"/>
    </row>
    <row r="341" spans="1:8" s="204" customFormat="1" ht="15.75" x14ac:dyDescent="0.45">
      <c r="A341" s="215" t="s">
        <v>1518</v>
      </c>
      <c r="B341" s="216" t="s">
        <v>558</v>
      </c>
      <c r="C341" s="216" t="s">
        <v>311</v>
      </c>
      <c r="D341" s="217"/>
      <c r="E341" s="217"/>
      <c r="F341" s="218">
        <f>F342</f>
        <v>42737.46</v>
      </c>
      <c r="G341" s="239"/>
      <c r="H341" s="288"/>
    </row>
    <row r="342" spans="1:8" s="204" customFormat="1" ht="15.75" x14ac:dyDescent="0.45">
      <c r="A342" s="225" t="s">
        <v>1519</v>
      </c>
      <c r="B342" s="220" t="s">
        <v>558</v>
      </c>
      <c r="C342" s="220" t="s">
        <v>285</v>
      </c>
      <c r="D342" s="221">
        <v>1</v>
      </c>
      <c r="E342" s="221">
        <v>42737.46</v>
      </c>
      <c r="F342" s="236">
        <f t="shared" ref="F342" si="40">E342*D342</f>
        <v>42737.46</v>
      </c>
      <c r="G342" s="240"/>
      <c r="H342" s="291"/>
    </row>
    <row r="343" spans="1:8" s="204" customFormat="1" ht="15.75" x14ac:dyDescent="0.45">
      <c r="A343" s="215" t="s">
        <v>1520</v>
      </c>
      <c r="B343" s="216" t="s">
        <v>1521</v>
      </c>
      <c r="C343" s="216" t="s">
        <v>311</v>
      </c>
      <c r="D343" s="217"/>
      <c r="E343" s="217"/>
      <c r="F343" s="218">
        <f>F344</f>
        <v>23471.86</v>
      </c>
      <c r="G343" s="239"/>
      <c r="H343" s="288"/>
    </row>
    <row r="344" spans="1:8" s="204" customFormat="1" ht="15.75" x14ac:dyDescent="0.45">
      <c r="A344" s="225" t="s">
        <v>1522</v>
      </c>
      <c r="B344" s="220" t="s">
        <v>1521</v>
      </c>
      <c r="C344" s="220" t="s">
        <v>289</v>
      </c>
      <c r="D344" s="221">
        <v>4498.68</v>
      </c>
      <c r="E344" s="324">
        <v>5.2174993553664626</v>
      </c>
      <c r="F344" s="236">
        <f>E344*D344</f>
        <v>23471.86</v>
      </c>
      <c r="G344" s="240"/>
      <c r="H344" s="291"/>
    </row>
    <row r="345" spans="1:8" s="298" customFormat="1" ht="15.75" x14ac:dyDescent="0.45">
      <c r="A345" s="313" t="s">
        <v>561</v>
      </c>
      <c r="B345" s="314" t="s">
        <v>384</v>
      </c>
      <c r="C345" s="314" t="s">
        <v>311</v>
      </c>
      <c r="D345" s="315"/>
      <c r="E345" s="315"/>
      <c r="F345" s="316">
        <f>F346</f>
        <v>0</v>
      </c>
      <c r="G345" s="317"/>
      <c r="H345" s="318"/>
    </row>
    <row r="346" spans="1:8" s="298" customFormat="1" ht="15.75" x14ac:dyDescent="0.45">
      <c r="A346" s="303" t="s">
        <v>562</v>
      </c>
      <c r="B346" s="293" t="s">
        <v>384</v>
      </c>
      <c r="C346" s="293" t="s">
        <v>285</v>
      </c>
      <c r="D346" s="294"/>
      <c r="E346" s="294">
        <v>978.46</v>
      </c>
      <c r="F346" s="295">
        <f t="shared" ref="F346" si="41">E346*D346</f>
        <v>0</v>
      </c>
      <c r="G346" s="296" t="s">
        <v>1523</v>
      </c>
      <c r="H346" s="297"/>
    </row>
    <row r="347" spans="1:8" s="204" customFormat="1" ht="15.75" x14ac:dyDescent="0.45">
      <c r="A347" s="205" t="s">
        <v>563</v>
      </c>
      <c r="B347" s="206" t="s">
        <v>564</v>
      </c>
      <c r="C347" s="206" t="s">
        <v>311</v>
      </c>
      <c r="D347" s="207"/>
      <c r="E347" s="207"/>
      <c r="F347" s="208">
        <v>54217.11</v>
      </c>
      <c r="G347" s="239">
        <f>F347/$G$4</f>
        <v>12.051835435440776</v>
      </c>
      <c r="H347" s="286"/>
    </row>
    <row r="348" spans="1:8" s="204" customFormat="1" ht="15.75" x14ac:dyDescent="0.45">
      <c r="A348" s="210" t="s">
        <v>565</v>
      </c>
      <c r="B348" s="211" t="s">
        <v>564</v>
      </c>
      <c r="C348" s="211" t="s">
        <v>311</v>
      </c>
      <c r="D348" s="212"/>
      <c r="E348" s="212"/>
      <c r="F348" s="213">
        <v>54217.11</v>
      </c>
      <c r="G348" s="238"/>
      <c r="H348" s="287"/>
    </row>
    <row r="349" spans="1:8" s="204" customFormat="1" ht="15.75" x14ac:dyDescent="0.45">
      <c r="A349" s="215" t="s">
        <v>566</v>
      </c>
      <c r="B349" s="216" t="s">
        <v>567</v>
      </c>
      <c r="C349" s="216" t="s">
        <v>311</v>
      </c>
      <c r="D349" s="217"/>
      <c r="E349" s="217"/>
      <c r="F349" s="218">
        <f>F350</f>
        <v>25269.4</v>
      </c>
      <c r="G349" s="239"/>
      <c r="H349" s="288"/>
    </row>
    <row r="350" spans="1:8" s="204" customFormat="1" ht="15.75" x14ac:dyDescent="0.45">
      <c r="A350" s="225" t="s">
        <v>568</v>
      </c>
      <c r="B350" s="220" t="s">
        <v>569</v>
      </c>
      <c r="C350" s="220" t="s">
        <v>285</v>
      </c>
      <c r="D350" s="221">
        <v>1</v>
      </c>
      <c r="E350" s="221">
        <v>25269.4</v>
      </c>
      <c r="F350" s="236">
        <f t="shared" ref="F350" si="42">E350*D350</f>
        <v>25269.4</v>
      </c>
      <c r="G350" s="239">
        <f>F350/$G$4</f>
        <v>5.6170948682496569</v>
      </c>
      <c r="H350" s="291" t="s">
        <v>1524</v>
      </c>
    </row>
    <row r="351" spans="1:8" s="204" customFormat="1" ht="15.75" x14ac:dyDescent="0.45">
      <c r="A351" s="215" t="s">
        <v>574</v>
      </c>
      <c r="B351" s="216" t="s">
        <v>575</v>
      </c>
      <c r="C351" s="216" t="s">
        <v>311</v>
      </c>
      <c r="D351" s="217"/>
      <c r="E351" s="217"/>
      <c r="F351" s="218">
        <f>F352</f>
        <v>28146.47</v>
      </c>
      <c r="G351" s="239"/>
      <c r="H351" s="288"/>
    </row>
    <row r="352" spans="1:8" s="204" customFormat="1" ht="15.75" x14ac:dyDescent="0.45">
      <c r="A352" s="225" t="s">
        <v>576</v>
      </c>
      <c r="B352" s="220" t="s">
        <v>577</v>
      </c>
      <c r="C352" s="220" t="s">
        <v>285</v>
      </c>
      <c r="D352" s="221">
        <v>1</v>
      </c>
      <c r="E352" s="221">
        <v>28146.47</v>
      </c>
      <c r="F352" s="236">
        <f t="shared" ref="F352" si="43">E352*D352</f>
        <v>28146.47</v>
      </c>
      <c r="G352" s="239">
        <f>F352/$G$4</f>
        <v>6.2566341977388831</v>
      </c>
      <c r="H352" s="291" t="s">
        <v>1525</v>
      </c>
    </row>
    <row r="353" spans="1:8" s="204" customFormat="1" ht="15.75" x14ac:dyDescent="0.45">
      <c r="A353" s="215" t="s">
        <v>578</v>
      </c>
      <c r="B353" s="216" t="s">
        <v>384</v>
      </c>
      <c r="C353" s="216" t="s">
        <v>311</v>
      </c>
      <c r="D353" s="217"/>
      <c r="E353" s="217"/>
      <c r="F353" s="218">
        <f>F354</f>
        <v>801.24</v>
      </c>
      <c r="G353" s="239"/>
      <c r="H353" s="288"/>
    </row>
    <row r="354" spans="1:8" s="204" customFormat="1" ht="15.75" x14ac:dyDescent="0.45">
      <c r="A354" s="225" t="s">
        <v>579</v>
      </c>
      <c r="B354" s="220" t="s">
        <v>384</v>
      </c>
      <c r="C354" s="220" t="s">
        <v>285</v>
      </c>
      <c r="D354" s="221">
        <v>1</v>
      </c>
      <c r="E354" s="221">
        <v>801.24</v>
      </c>
      <c r="F354" s="236">
        <f t="shared" ref="F354" si="44">E354*D354</f>
        <v>801.24</v>
      </c>
      <c r="G354" s="239"/>
      <c r="H354" s="291"/>
    </row>
    <row r="355" spans="1:8" s="204" customFormat="1" ht="15.75" x14ac:dyDescent="0.45">
      <c r="A355" s="205" t="s">
        <v>580</v>
      </c>
      <c r="B355" s="206" t="s">
        <v>581</v>
      </c>
      <c r="C355" s="206" t="s">
        <v>311</v>
      </c>
      <c r="D355" s="207"/>
      <c r="E355" s="207"/>
      <c r="F355" s="208">
        <f>F356+F359+F362</f>
        <v>494719.66</v>
      </c>
      <c r="G355" s="239">
        <f>F355/$G$4</f>
        <v>109.97044897814015</v>
      </c>
      <c r="H355" s="286"/>
    </row>
    <row r="356" spans="1:8" s="204" customFormat="1" ht="15.75" x14ac:dyDescent="0.45">
      <c r="A356" s="210" t="s">
        <v>582</v>
      </c>
      <c r="B356" s="211" t="s">
        <v>583</v>
      </c>
      <c r="C356" s="211" t="s">
        <v>311</v>
      </c>
      <c r="D356" s="212"/>
      <c r="E356" s="212"/>
      <c r="F356" s="213">
        <f>F357</f>
        <v>9097</v>
      </c>
      <c r="G356" s="238"/>
      <c r="H356" s="287"/>
    </row>
    <row r="357" spans="1:8" s="204" customFormat="1" ht="15.75" x14ac:dyDescent="0.45">
      <c r="A357" s="215" t="s">
        <v>584</v>
      </c>
      <c r="B357" s="216" t="s">
        <v>585</v>
      </c>
      <c r="C357" s="216" t="s">
        <v>311</v>
      </c>
      <c r="D357" s="217"/>
      <c r="E357" s="217"/>
      <c r="F357" s="218">
        <f>F358</f>
        <v>9097</v>
      </c>
      <c r="G357" s="239"/>
      <c r="H357" s="288"/>
    </row>
    <row r="358" spans="1:8" s="204" customFormat="1" ht="15.75" x14ac:dyDescent="0.45">
      <c r="A358" s="225" t="s">
        <v>586</v>
      </c>
      <c r="B358" s="220" t="s">
        <v>587</v>
      </c>
      <c r="C358" s="220" t="s">
        <v>285</v>
      </c>
      <c r="D358" s="221">
        <v>1</v>
      </c>
      <c r="E358" s="221">
        <v>9097</v>
      </c>
      <c r="F358" s="236">
        <f t="shared" ref="F358" si="45">E358*D358</f>
        <v>9097</v>
      </c>
      <c r="G358" s="240"/>
      <c r="H358" s="291"/>
    </row>
    <row r="359" spans="1:8" s="204" customFormat="1" ht="15.75" x14ac:dyDescent="0.45">
      <c r="A359" s="210" t="s">
        <v>590</v>
      </c>
      <c r="B359" s="211" t="s">
        <v>591</v>
      </c>
      <c r="C359" s="211" t="s">
        <v>311</v>
      </c>
      <c r="D359" s="212"/>
      <c r="E359" s="212"/>
      <c r="F359" s="213">
        <f>F360</f>
        <v>479500</v>
      </c>
      <c r="G359" s="238"/>
      <c r="H359" s="287"/>
    </row>
    <row r="360" spans="1:8" s="204" customFormat="1" ht="15.75" x14ac:dyDescent="0.45">
      <c r="A360" s="215" t="s">
        <v>592</v>
      </c>
      <c r="B360" s="216" t="s">
        <v>100</v>
      </c>
      <c r="C360" s="216" t="s">
        <v>311</v>
      </c>
      <c r="D360" s="217"/>
      <c r="E360" s="217"/>
      <c r="F360" s="218">
        <f>F361</f>
        <v>479500</v>
      </c>
      <c r="G360" s="239"/>
      <c r="H360" s="288"/>
    </row>
    <row r="361" spans="1:8" s="204" customFormat="1" ht="15.75" x14ac:dyDescent="0.45">
      <c r="A361" s="225" t="s">
        <v>593</v>
      </c>
      <c r="B361" s="220" t="s">
        <v>100</v>
      </c>
      <c r="C361" s="220" t="s">
        <v>285</v>
      </c>
      <c r="D361" s="221">
        <v>1</v>
      </c>
      <c r="E361" s="233">
        <v>479500</v>
      </c>
      <c r="F361" s="236">
        <f t="shared" ref="F361" si="46">E361*D361</f>
        <v>479500</v>
      </c>
      <c r="G361" s="290" t="s">
        <v>1526</v>
      </c>
      <c r="H361" s="291"/>
    </row>
    <row r="362" spans="1:8" s="204" customFormat="1" ht="15.75" x14ac:dyDescent="0.45">
      <c r="A362" s="210" t="s">
        <v>594</v>
      </c>
      <c r="B362" s="211" t="s">
        <v>595</v>
      </c>
      <c r="C362" s="211" t="s">
        <v>311</v>
      </c>
      <c r="D362" s="212"/>
      <c r="E362" s="212"/>
      <c r="F362" s="213">
        <f>F363</f>
        <v>6122.66</v>
      </c>
      <c r="G362" s="238"/>
      <c r="H362" s="287"/>
    </row>
    <row r="363" spans="1:8" s="204" customFormat="1" ht="15.75" x14ac:dyDescent="0.45">
      <c r="A363" s="215" t="s">
        <v>596</v>
      </c>
      <c r="B363" s="216" t="s">
        <v>384</v>
      </c>
      <c r="C363" s="216" t="s">
        <v>311</v>
      </c>
      <c r="D363" s="217"/>
      <c r="E363" s="217"/>
      <c r="F363" s="218">
        <f>F364</f>
        <v>6122.66</v>
      </c>
      <c r="G363" s="239"/>
      <c r="H363" s="288"/>
    </row>
    <row r="364" spans="1:8" s="204" customFormat="1" ht="15.75" x14ac:dyDescent="0.45">
      <c r="A364" s="225" t="s">
        <v>597</v>
      </c>
      <c r="B364" s="220" t="s">
        <v>384</v>
      </c>
      <c r="C364" s="220" t="s">
        <v>285</v>
      </c>
      <c r="D364" s="221">
        <v>1</v>
      </c>
      <c r="E364" s="221">
        <v>6122.66</v>
      </c>
      <c r="F364" s="236">
        <f t="shared" ref="F364" si="47">E364*D364</f>
        <v>6122.66</v>
      </c>
      <c r="G364" s="240"/>
      <c r="H364" s="291"/>
    </row>
    <row r="365" spans="1:8" s="204" customFormat="1" ht="15.75" x14ac:dyDescent="0.45">
      <c r="A365" s="205" t="s">
        <v>598</v>
      </c>
      <c r="B365" s="206" t="s">
        <v>74</v>
      </c>
      <c r="C365" s="206" t="s">
        <v>311</v>
      </c>
      <c r="D365" s="207"/>
      <c r="E365" s="207"/>
      <c r="F365" s="208">
        <f>F366</f>
        <v>223853.40000000002</v>
      </c>
      <c r="G365" s="239">
        <f>F365/$G$4</f>
        <v>49.760017427411725</v>
      </c>
      <c r="H365" s="286"/>
    </row>
    <row r="366" spans="1:8" s="204" customFormat="1" ht="15.75" x14ac:dyDescent="0.45">
      <c r="A366" s="210" t="s">
        <v>599</v>
      </c>
      <c r="B366" s="211" t="s">
        <v>74</v>
      </c>
      <c r="C366" s="211" t="s">
        <v>311</v>
      </c>
      <c r="D366" s="212"/>
      <c r="E366" s="212"/>
      <c r="F366" s="213">
        <f>F367+F370+F372+F374</f>
        <v>223853.40000000002</v>
      </c>
      <c r="G366" s="238"/>
      <c r="H366" s="287"/>
    </row>
    <row r="367" spans="1:8" s="204" customFormat="1" ht="15.75" x14ac:dyDescent="0.45">
      <c r="A367" s="215" t="s">
        <v>600</v>
      </c>
      <c r="B367" s="216" t="s">
        <v>601</v>
      </c>
      <c r="C367" s="216" t="s">
        <v>311</v>
      </c>
      <c r="D367" s="217"/>
      <c r="E367" s="217"/>
      <c r="F367" s="218">
        <f>F368+F369</f>
        <v>156329.70000000001</v>
      </c>
      <c r="G367" s="239"/>
      <c r="H367" s="288"/>
    </row>
    <row r="368" spans="1:8" s="204" customFormat="1" ht="15.75" x14ac:dyDescent="0.45">
      <c r="A368" s="225" t="s">
        <v>602</v>
      </c>
      <c r="B368" s="220" t="s">
        <v>603</v>
      </c>
      <c r="C368" s="220" t="s">
        <v>417</v>
      </c>
      <c r="D368" s="221">
        <v>105</v>
      </c>
      <c r="E368" s="233">
        <f>126000/D368</f>
        <v>1200</v>
      </c>
      <c r="F368" s="236">
        <f t="shared" ref="F368:F369" si="48">E368*D368</f>
        <v>126000</v>
      </c>
      <c r="G368" s="290" t="s">
        <v>1527</v>
      </c>
      <c r="H368" s="291"/>
    </row>
    <row r="369" spans="1:8" s="204" customFormat="1" ht="15.75" x14ac:dyDescent="0.45">
      <c r="A369" s="225" t="s">
        <v>604</v>
      </c>
      <c r="B369" s="220" t="s">
        <v>605</v>
      </c>
      <c r="C369" s="220" t="s">
        <v>417</v>
      </c>
      <c r="D369" s="221">
        <v>6</v>
      </c>
      <c r="E369" s="221">
        <v>5054.95</v>
      </c>
      <c r="F369" s="236">
        <f t="shared" si="48"/>
        <v>30329.699999999997</v>
      </c>
      <c r="G369" s="240"/>
      <c r="H369" s="291"/>
    </row>
    <row r="370" spans="1:8" s="204" customFormat="1" ht="15.75" x14ac:dyDescent="0.45">
      <c r="A370" s="215" t="s">
        <v>606</v>
      </c>
      <c r="B370" s="216" t="s">
        <v>607</v>
      </c>
      <c r="C370" s="216" t="s">
        <v>311</v>
      </c>
      <c r="D370" s="217"/>
      <c r="E370" s="217"/>
      <c r="F370" s="218">
        <f>F371</f>
        <v>7750</v>
      </c>
      <c r="G370" s="239"/>
      <c r="H370" s="288"/>
    </row>
    <row r="371" spans="1:8" s="204" customFormat="1" ht="18.75" customHeight="1" x14ac:dyDescent="0.45">
      <c r="A371" s="225" t="s">
        <v>608</v>
      </c>
      <c r="B371" s="220" t="s">
        <v>609</v>
      </c>
      <c r="C371" s="220" t="s">
        <v>417</v>
      </c>
      <c r="D371" s="221">
        <v>31</v>
      </c>
      <c r="E371" s="221">
        <v>250</v>
      </c>
      <c r="F371" s="236">
        <f t="shared" ref="F371" si="49">E371*D371</f>
        <v>7750</v>
      </c>
      <c r="G371" s="240"/>
      <c r="H371" s="291"/>
    </row>
    <row r="372" spans="1:8" s="204" customFormat="1" ht="15.75" x14ac:dyDescent="0.45">
      <c r="A372" s="215" t="s">
        <v>610</v>
      </c>
      <c r="B372" s="216" t="s">
        <v>611</v>
      </c>
      <c r="C372" s="216" t="s">
        <v>311</v>
      </c>
      <c r="D372" s="217"/>
      <c r="E372" s="217"/>
      <c r="F372" s="218">
        <f>F373</f>
        <v>56000</v>
      </c>
      <c r="G372" s="239"/>
      <c r="H372" s="288"/>
    </row>
    <row r="373" spans="1:8" s="204" customFormat="1" ht="15.75" x14ac:dyDescent="0.45">
      <c r="A373" s="225" t="s">
        <v>612</v>
      </c>
      <c r="B373" s="220" t="s">
        <v>613</v>
      </c>
      <c r="C373" s="220" t="s">
        <v>417</v>
      </c>
      <c r="D373" s="221">
        <v>28</v>
      </c>
      <c r="E373" s="221">
        <v>2000</v>
      </c>
      <c r="F373" s="236">
        <f t="shared" ref="F373" si="50">E373*D373</f>
        <v>56000</v>
      </c>
      <c r="G373" s="240"/>
      <c r="H373" s="291"/>
    </row>
    <row r="374" spans="1:8" s="204" customFormat="1" ht="15.75" x14ac:dyDescent="0.45">
      <c r="A374" s="215" t="s">
        <v>614</v>
      </c>
      <c r="B374" s="216" t="s">
        <v>384</v>
      </c>
      <c r="C374" s="216" t="s">
        <v>311</v>
      </c>
      <c r="D374" s="217"/>
      <c r="E374" s="217"/>
      <c r="F374" s="218">
        <f>F375</f>
        <v>3773.7</v>
      </c>
      <c r="G374" s="239"/>
      <c r="H374" s="288"/>
    </row>
    <row r="375" spans="1:8" s="204" customFormat="1" ht="15.75" x14ac:dyDescent="0.45">
      <c r="A375" s="225" t="s">
        <v>615</v>
      </c>
      <c r="B375" s="220" t="s">
        <v>384</v>
      </c>
      <c r="C375" s="220" t="s">
        <v>285</v>
      </c>
      <c r="D375" s="221">
        <v>1</v>
      </c>
      <c r="E375" s="221">
        <v>3773.7</v>
      </c>
      <c r="F375" s="236">
        <f t="shared" ref="F375" si="51">E375*D375</f>
        <v>3773.7</v>
      </c>
      <c r="G375" s="240"/>
      <c r="H375" s="291"/>
    </row>
    <row r="376" spans="1:8" s="204" customFormat="1" ht="15.75" x14ac:dyDescent="0.45">
      <c r="A376" s="205" t="s">
        <v>616</v>
      </c>
      <c r="B376" s="206" t="s">
        <v>617</v>
      </c>
      <c r="C376" s="206"/>
      <c r="D376" s="207"/>
      <c r="E376" s="207"/>
      <c r="F376" s="208">
        <f>F377</f>
        <v>734502.68405300006</v>
      </c>
      <c r="G376" s="309"/>
      <c r="H376" s="286"/>
    </row>
    <row r="377" spans="1:8" s="204" customFormat="1" ht="15.75" x14ac:dyDescent="0.45">
      <c r="A377" s="210" t="s">
        <v>618</v>
      </c>
      <c r="B377" s="211" t="s">
        <v>617</v>
      </c>
      <c r="C377" s="211"/>
      <c r="D377" s="212"/>
      <c r="E377" s="212"/>
      <c r="F377" s="213">
        <f>F378+F383+F385+F388+F390+F396</f>
        <v>734502.68405300006</v>
      </c>
      <c r="G377" s="238"/>
      <c r="H377" s="287"/>
    </row>
    <row r="378" spans="1:8" s="204" customFormat="1" ht="15.75" x14ac:dyDescent="0.45">
      <c r="A378" s="215" t="s">
        <v>619</v>
      </c>
      <c r="B378" s="216" t="s">
        <v>620</v>
      </c>
      <c r="C378" s="216"/>
      <c r="D378" s="217"/>
      <c r="E378" s="217"/>
      <c r="F378" s="218">
        <f>SUM(F379:F382)</f>
        <v>168627.39555300001</v>
      </c>
      <c r="G378" s="239">
        <f>(F383+F385+F391+G4)/G4</f>
        <v>38.918051441984943</v>
      </c>
      <c r="H378" s="288"/>
    </row>
    <row r="379" spans="1:8" s="204" customFormat="1" ht="31.5" x14ac:dyDescent="0.45">
      <c r="A379" s="225" t="s">
        <v>621</v>
      </c>
      <c r="B379" s="220" t="s">
        <v>622</v>
      </c>
      <c r="C379" s="220" t="s">
        <v>289</v>
      </c>
      <c r="D379" s="221">
        <v>7626.52</v>
      </c>
      <c r="E379" s="221">
        <v>2.2949999999999999</v>
      </c>
      <c r="F379" s="236">
        <f t="shared" ref="F379:F397" si="52">E379*D379</f>
        <v>17502.863400000002</v>
      </c>
      <c r="G379" s="240"/>
      <c r="H379" s="304" t="s">
        <v>1528</v>
      </c>
    </row>
    <row r="380" spans="1:8" s="204" customFormat="1" ht="31.5" x14ac:dyDescent="0.45">
      <c r="A380" s="225" t="s">
        <v>623</v>
      </c>
      <c r="B380" s="220" t="s">
        <v>624</v>
      </c>
      <c r="C380" s="220" t="s">
        <v>289</v>
      </c>
      <c r="D380" s="221">
        <v>1748.14</v>
      </c>
      <c r="E380" s="221">
        <v>5.5019999999999998</v>
      </c>
      <c r="F380" s="236">
        <f t="shared" si="52"/>
        <v>9618.2662799999998</v>
      </c>
      <c r="G380" s="240"/>
      <c r="H380" s="304" t="s">
        <v>1528</v>
      </c>
    </row>
    <row r="381" spans="1:8" s="204" customFormat="1" ht="31.5" x14ac:dyDescent="0.45">
      <c r="A381" s="225" t="s">
        <v>625</v>
      </c>
      <c r="B381" s="220" t="s">
        <v>626</v>
      </c>
      <c r="C381" s="220" t="s">
        <v>289</v>
      </c>
      <c r="D381" s="221">
        <v>9374.66</v>
      </c>
      <c r="E381" s="233">
        <v>14.9999</v>
      </c>
      <c r="F381" s="236">
        <f t="shared" si="52"/>
        <v>140618.96253399999</v>
      </c>
      <c r="G381" s="290" t="s">
        <v>1529</v>
      </c>
      <c r="H381" s="304" t="s">
        <v>1528</v>
      </c>
    </row>
    <row r="382" spans="1:8" s="204" customFormat="1" ht="15.75" x14ac:dyDescent="0.45">
      <c r="A382" s="225" t="s">
        <v>627</v>
      </c>
      <c r="B382" s="220" t="s">
        <v>630</v>
      </c>
      <c r="C382" s="220" t="s">
        <v>289</v>
      </c>
      <c r="D382" s="221">
        <v>546.47</v>
      </c>
      <c r="E382" s="221">
        <v>1.6236999999999999</v>
      </c>
      <c r="F382" s="236">
        <f t="shared" si="52"/>
        <v>887.30333900000005</v>
      </c>
      <c r="G382" s="240"/>
      <c r="H382" s="304" t="s">
        <v>1528</v>
      </c>
    </row>
    <row r="383" spans="1:8" s="204" customFormat="1" ht="15.75" x14ac:dyDescent="0.45">
      <c r="A383" s="215" t="s">
        <v>631</v>
      </c>
      <c r="B383" s="216" t="s">
        <v>632</v>
      </c>
      <c r="C383" s="216"/>
      <c r="D383" s="217"/>
      <c r="E383" s="217"/>
      <c r="F383" s="218">
        <f>F384</f>
        <v>93522.474499999982</v>
      </c>
      <c r="G383" s="239"/>
      <c r="H383" s="288"/>
    </row>
    <row r="384" spans="1:8" s="204" customFormat="1" ht="15.75" x14ac:dyDescent="0.45">
      <c r="A384" s="225" t="s">
        <v>633</v>
      </c>
      <c r="B384" s="220" t="s">
        <v>634</v>
      </c>
      <c r="C384" s="220" t="s">
        <v>289</v>
      </c>
      <c r="D384" s="221">
        <v>1064.57</v>
      </c>
      <c r="E384" s="221">
        <v>87.85</v>
      </c>
      <c r="F384" s="236">
        <f t="shared" si="52"/>
        <v>93522.474499999982</v>
      </c>
      <c r="G384" s="325" t="s">
        <v>1530</v>
      </c>
      <c r="H384" s="304" t="s">
        <v>1528</v>
      </c>
    </row>
    <row r="385" spans="1:8" s="204" customFormat="1" ht="15.75" x14ac:dyDescent="0.45">
      <c r="A385" s="215" t="s">
        <v>635</v>
      </c>
      <c r="B385" s="216" t="s">
        <v>636</v>
      </c>
      <c r="C385" s="216"/>
      <c r="D385" s="217"/>
      <c r="E385" s="217"/>
      <c r="F385" s="218">
        <f>F386+F387</f>
        <v>34432.563999999998</v>
      </c>
      <c r="G385" s="239"/>
      <c r="H385" s="288"/>
    </row>
    <row r="386" spans="1:8" s="204" customFormat="1" ht="15.75" x14ac:dyDescent="0.45">
      <c r="A386" s="225" t="s">
        <v>637</v>
      </c>
      <c r="B386" s="220" t="s">
        <v>638</v>
      </c>
      <c r="C386" s="220" t="s">
        <v>288</v>
      </c>
      <c r="D386" s="221">
        <v>4.26</v>
      </c>
      <c r="E386" s="221">
        <v>571.4</v>
      </c>
      <c r="F386" s="236">
        <f t="shared" si="52"/>
        <v>2434.1639999999998</v>
      </c>
      <c r="G386" s="240"/>
      <c r="H386" s="304" t="s">
        <v>95</v>
      </c>
    </row>
    <row r="387" spans="1:8" s="204" customFormat="1" ht="15.75" x14ac:dyDescent="0.45">
      <c r="A387" s="225" t="s">
        <v>1531</v>
      </c>
      <c r="B387" s="220" t="s">
        <v>1532</v>
      </c>
      <c r="C387" s="220" t="s">
        <v>288</v>
      </c>
      <c r="D387" s="221">
        <v>56</v>
      </c>
      <c r="E387" s="221">
        <v>571.4</v>
      </c>
      <c r="F387" s="236">
        <f t="shared" si="52"/>
        <v>31998.399999999998</v>
      </c>
      <c r="G387" s="240"/>
      <c r="H387" s="304" t="s">
        <v>95</v>
      </c>
    </row>
    <row r="388" spans="1:8" s="204" customFormat="1" ht="15.75" x14ac:dyDescent="0.45">
      <c r="A388" s="215" t="s">
        <v>639</v>
      </c>
      <c r="B388" s="216" t="s">
        <v>640</v>
      </c>
      <c r="C388" s="216"/>
      <c r="D388" s="217"/>
      <c r="E388" s="217"/>
      <c r="F388" s="218">
        <f>F389</f>
        <v>52901.992199999993</v>
      </c>
      <c r="G388" s="239"/>
      <c r="H388" s="288"/>
    </row>
    <row r="389" spans="1:8" s="204" customFormat="1" ht="15.75" x14ac:dyDescent="0.45">
      <c r="A389" s="225" t="s">
        <v>641</v>
      </c>
      <c r="B389" s="220" t="s">
        <v>642</v>
      </c>
      <c r="C389" s="220" t="s">
        <v>288</v>
      </c>
      <c r="D389" s="221">
        <v>352.14</v>
      </c>
      <c r="E389" s="221">
        <v>150.22999999999999</v>
      </c>
      <c r="F389" s="236">
        <f t="shared" si="52"/>
        <v>52901.992199999993</v>
      </c>
      <c r="G389" s="240"/>
      <c r="H389" s="304" t="s">
        <v>95</v>
      </c>
    </row>
    <row r="390" spans="1:8" s="204" customFormat="1" ht="15.75" x14ac:dyDescent="0.45">
      <c r="A390" s="215" t="s">
        <v>643</v>
      </c>
      <c r="B390" s="216" t="s">
        <v>45</v>
      </c>
      <c r="C390" s="216"/>
      <c r="D390" s="217"/>
      <c r="E390" s="217"/>
      <c r="F390" s="218">
        <f>SUM(F391:F395)</f>
        <v>374204.84780000005</v>
      </c>
      <c r="G390" s="239">
        <f>(F388+F392)/G4</f>
        <v>11.885467494765106</v>
      </c>
      <c r="H390" s="288"/>
    </row>
    <row r="391" spans="1:8" s="204" customFormat="1" ht="31.5" x14ac:dyDescent="0.45">
      <c r="A391" s="225" t="s">
        <v>644</v>
      </c>
      <c r="B391" s="220" t="s">
        <v>645</v>
      </c>
      <c r="C391" s="220" t="s">
        <v>289</v>
      </c>
      <c r="D391" s="221">
        <v>1064.57</v>
      </c>
      <c r="E391" s="233">
        <v>40.04</v>
      </c>
      <c r="F391" s="236">
        <f t="shared" si="52"/>
        <v>42625.382799999999</v>
      </c>
      <c r="G391" s="290" t="s">
        <v>1533</v>
      </c>
      <c r="H391" s="291"/>
    </row>
    <row r="392" spans="1:8" s="204" customFormat="1" ht="15.75" x14ac:dyDescent="0.45">
      <c r="A392" s="225" t="s">
        <v>646</v>
      </c>
      <c r="B392" s="220" t="s">
        <v>647</v>
      </c>
      <c r="C392" s="220" t="s">
        <v>288</v>
      </c>
      <c r="D392" s="221">
        <v>125.93</v>
      </c>
      <c r="E392" s="221">
        <v>4.5</v>
      </c>
      <c r="F392" s="236">
        <f t="shared" si="52"/>
        <v>566.68500000000006</v>
      </c>
      <c r="G392" s="290"/>
      <c r="H392" s="291"/>
    </row>
    <row r="393" spans="1:8" s="204" customFormat="1" ht="15.75" x14ac:dyDescent="0.45">
      <c r="A393" s="225" t="s">
        <v>1534</v>
      </c>
      <c r="B393" s="220" t="s">
        <v>1535</v>
      </c>
      <c r="C393" s="220" t="s">
        <v>288</v>
      </c>
      <c r="D393" s="221">
        <v>56</v>
      </c>
      <c r="E393" s="221">
        <v>4.5</v>
      </c>
      <c r="F393" s="236">
        <f t="shared" si="52"/>
        <v>252</v>
      </c>
      <c r="G393" s="290"/>
      <c r="H393" s="291"/>
    </row>
    <row r="394" spans="1:8" s="204" customFormat="1" ht="15.75" x14ac:dyDescent="0.45">
      <c r="A394" s="225" t="s">
        <v>648</v>
      </c>
      <c r="B394" s="220" t="s">
        <v>649</v>
      </c>
      <c r="C394" s="220" t="s">
        <v>289</v>
      </c>
      <c r="D394" s="221">
        <v>9374.66</v>
      </c>
      <c r="E394" s="233">
        <v>34</v>
      </c>
      <c r="F394" s="236">
        <f t="shared" si="52"/>
        <v>318738.44</v>
      </c>
      <c r="G394" s="290" t="s">
        <v>1536</v>
      </c>
      <c r="H394" s="291"/>
    </row>
    <row r="395" spans="1:8" s="204" customFormat="1" ht="15.75" x14ac:dyDescent="0.45">
      <c r="A395" s="225" t="s">
        <v>650</v>
      </c>
      <c r="B395" s="220" t="s">
        <v>651</v>
      </c>
      <c r="C395" s="220" t="s">
        <v>289</v>
      </c>
      <c r="D395" s="221">
        <v>546.47</v>
      </c>
      <c r="E395" s="221">
        <v>22</v>
      </c>
      <c r="F395" s="236">
        <f t="shared" si="52"/>
        <v>12022.34</v>
      </c>
      <c r="G395" s="240"/>
      <c r="H395" s="291"/>
    </row>
    <row r="396" spans="1:8" s="204" customFormat="1" ht="15.75" x14ac:dyDescent="0.45">
      <c r="A396" s="215" t="s">
        <v>652</v>
      </c>
      <c r="B396" s="216" t="s">
        <v>384</v>
      </c>
      <c r="C396" s="216"/>
      <c r="D396" s="217"/>
      <c r="E396" s="217"/>
      <c r="F396" s="218">
        <f>F397</f>
        <v>10813.41</v>
      </c>
      <c r="G396" s="239"/>
      <c r="H396" s="288"/>
    </row>
    <row r="397" spans="1:8" s="204" customFormat="1" ht="15.75" x14ac:dyDescent="0.45">
      <c r="A397" s="225" t="s">
        <v>653</v>
      </c>
      <c r="B397" s="220" t="s">
        <v>384</v>
      </c>
      <c r="C397" s="220" t="s">
        <v>285</v>
      </c>
      <c r="D397" s="221">
        <v>1</v>
      </c>
      <c r="E397" s="221">
        <v>10813.41</v>
      </c>
      <c r="F397" s="236">
        <f t="shared" si="52"/>
        <v>10813.41</v>
      </c>
      <c r="G397" s="240"/>
      <c r="H397" s="291"/>
    </row>
    <row r="398" spans="1:8" s="204" customFormat="1" ht="15.75" x14ac:dyDescent="0.45">
      <c r="A398" s="205" t="s">
        <v>654</v>
      </c>
      <c r="B398" s="206" t="s">
        <v>655</v>
      </c>
      <c r="C398" s="206"/>
      <c r="D398" s="207"/>
      <c r="E398" s="207"/>
      <c r="F398" s="208">
        <f>F399</f>
        <v>188929.06790200001</v>
      </c>
      <c r="G398" s="309"/>
      <c r="H398" s="286"/>
    </row>
    <row r="399" spans="1:8" s="204" customFormat="1" ht="15.75" x14ac:dyDescent="0.45">
      <c r="A399" s="210" t="s">
        <v>656</v>
      </c>
      <c r="B399" s="211" t="s">
        <v>655</v>
      </c>
      <c r="C399" s="211"/>
      <c r="D399" s="212"/>
      <c r="E399" s="212"/>
      <c r="F399" s="213">
        <f>F400+F404+F406+F409</f>
        <v>188929.06790200001</v>
      </c>
      <c r="G399" s="238"/>
      <c r="H399" s="287"/>
    </row>
    <row r="400" spans="1:8" s="204" customFormat="1" ht="15.75" x14ac:dyDescent="0.45">
      <c r="A400" s="215" t="s">
        <v>657</v>
      </c>
      <c r="B400" s="216" t="s">
        <v>658</v>
      </c>
      <c r="C400" s="216"/>
      <c r="D400" s="217"/>
      <c r="E400" s="217"/>
      <c r="F400" s="218">
        <f>SUM(F401:F403)</f>
        <v>3408.5279019999998</v>
      </c>
      <c r="G400" s="239"/>
      <c r="H400" s="288"/>
    </row>
    <row r="401" spans="1:8" s="204" customFormat="1" ht="15.75" x14ac:dyDescent="0.45">
      <c r="A401" s="225" t="s">
        <v>659</v>
      </c>
      <c r="B401" s="220" t="s">
        <v>660</v>
      </c>
      <c r="C401" s="220" t="s">
        <v>289</v>
      </c>
      <c r="D401" s="221">
        <v>851.26</v>
      </c>
      <c r="E401" s="221">
        <v>1.6236999999999999</v>
      </c>
      <c r="F401" s="236">
        <f t="shared" ref="F401:F408" si="53">E401*D401</f>
        <v>1382.1908619999999</v>
      </c>
      <c r="G401" s="240"/>
      <c r="H401" s="291" t="s">
        <v>1537</v>
      </c>
    </row>
    <row r="402" spans="1:8" s="204" customFormat="1" ht="15.75" x14ac:dyDescent="0.45">
      <c r="A402" s="225" t="s">
        <v>661</v>
      </c>
      <c r="B402" s="220" t="s">
        <v>662</v>
      </c>
      <c r="C402" s="220" t="s">
        <v>289</v>
      </c>
      <c r="D402" s="221">
        <v>95.16</v>
      </c>
      <c r="E402" s="221">
        <v>5.5019999999999998</v>
      </c>
      <c r="F402" s="236">
        <f t="shared" si="53"/>
        <v>523.57031999999992</v>
      </c>
      <c r="G402" s="240"/>
      <c r="H402" s="291" t="s">
        <v>1537</v>
      </c>
    </row>
    <row r="403" spans="1:8" s="204" customFormat="1" ht="31.5" x14ac:dyDescent="0.45">
      <c r="A403" s="225" t="s">
        <v>663</v>
      </c>
      <c r="B403" s="220" t="s">
        <v>664</v>
      </c>
      <c r="C403" s="220" t="s">
        <v>289</v>
      </c>
      <c r="D403" s="221">
        <v>95.16</v>
      </c>
      <c r="E403" s="233">
        <v>15.792</v>
      </c>
      <c r="F403" s="236">
        <f t="shared" si="53"/>
        <v>1502.7667199999999</v>
      </c>
      <c r="G403" s="240" t="s">
        <v>1538</v>
      </c>
      <c r="H403" s="291" t="s">
        <v>1537</v>
      </c>
    </row>
    <row r="404" spans="1:8" s="204" customFormat="1" ht="15.75" x14ac:dyDescent="0.45">
      <c r="A404" s="215" t="s">
        <v>665</v>
      </c>
      <c r="B404" s="216" t="s">
        <v>666</v>
      </c>
      <c r="C404" s="216"/>
      <c r="D404" s="217"/>
      <c r="E404" s="217"/>
      <c r="F404" s="218">
        <f>F405</f>
        <v>159049.79999999999</v>
      </c>
      <c r="G404" s="239"/>
      <c r="H404" s="288"/>
    </row>
    <row r="405" spans="1:8" s="204" customFormat="1" ht="15.75" x14ac:dyDescent="0.45">
      <c r="A405" s="225" t="s">
        <v>667</v>
      </c>
      <c r="B405" s="220" t="s">
        <v>668</v>
      </c>
      <c r="C405" s="220" t="s">
        <v>289</v>
      </c>
      <c r="D405" s="221">
        <v>2650.83</v>
      </c>
      <c r="E405" s="221">
        <v>60</v>
      </c>
      <c r="F405" s="236">
        <f t="shared" si="53"/>
        <v>159049.79999999999</v>
      </c>
      <c r="G405" s="240"/>
      <c r="H405" s="291" t="s">
        <v>1537</v>
      </c>
    </row>
    <row r="406" spans="1:8" s="204" customFormat="1" ht="15.75" x14ac:dyDescent="0.45">
      <c r="A406" s="215" t="s">
        <v>673</v>
      </c>
      <c r="B406" s="216" t="s">
        <v>45</v>
      </c>
      <c r="C406" s="216"/>
      <c r="D406" s="217"/>
      <c r="E406" s="217"/>
      <c r="F406" s="218">
        <f>SUM(F407:F408)</f>
        <v>23676.04</v>
      </c>
      <c r="G406" s="239"/>
      <c r="H406" s="288"/>
    </row>
    <row r="407" spans="1:8" s="204" customFormat="1" ht="15.75" x14ac:dyDescent="0.45">
      <c r="A407" s="225" t="s">
        <v>674</v>
      </c>
      <c r="B407" s="220" t="s">
        <v>675</v>
      </c>
      <c r="C407" s="220" t="s">
        <v>289</v>
      </c>
      <c r="D407" s="221">
        <v>95.16</v>
      </c>
      <c r="E407" s="221">
        <v>52</v>
      </c>
      <c r="F407" s="236">
        <f t="shared" si="53"/>
        <v>4948.32</v>
      </c>
      <c r="G407" s="240"/>
      <c r="H407" s="291"/>
    </row>
    <row r="408" spans="1:8" s="204" customFormat="1" ht="15.75" x14ac:dyDescent="0.45">
      <c r="A408" s="225" t="s">
        <v>676</v>
      </c>
      <c r="B408" s="220" t="s">
        <v>651</v>
      </c>
      <c r="C408" s="220" t="s">
        <v>289</v>
      </c>
      <c r="D408" s="221">
        <v>851.26</v>
      </c>
      <c r="E408" s="221">
        <v>22</v>
      </c>
      <c r="F408" s="236">
        <f t="shared" si="53"/>
        <v>18727.72</v>
      </c>
      <c r="G408" s="240"/>
      <c r="H408" s="291"/>
    </row>
    <row r="409" spans="1:8" s="204" customFormat="1" ht="15.75" x14ac:dyDescent="0.45">
      <c r="A409" s="215" t="s">
        <v>679</v>
      </c>
      <c r="B409" s="216" t="s">
        <v>384</v>
      </c>
      <c r="C409" s="216"/>
      <c r="D409" s="217"/>
      <c r="E409" s="217"/>
      <c r="F409" s="218">
        <f>F410</f>
        <v>2794.7</v>
      </c>
      <c r="G409" s="239"/>
      <c r="H409" s="288"/>
    </row>
    <row r="410" spans="1:8" s="204" customFormat="1" ht="15.75" x14ac:dyDescent="0.45">
      <c r="A410" s="225" t="s">
        <v>680</v>
      </c>
      <c r="B410" s="220" t="s">
        <v>384</v>
      </c>
      <c r="C410" s="220" t="s">
        <v>285</v>
      </c>
      <c r="D410" s="221">
        <v>1</v>
      </c>
      <c r="E410" s="221">
        <v>2794.7</v>
      </c>
      <c r="F410" s="236">
        <f t="shared" ref="F410" si="54">E410*D410</f>
        <v>2794.7</v>
      </c>
      <c r="G410" s="240"/>
      <c r="H410" s="291"/>
    </row>
    <row r="411" spans="1:8" s="204" customFormat="1" ht="15.75" x14ac:dyDescent="0.45">
      <c r="A411" s="205" t="s">
        <v>681</v>
      </c>
      <c r="B411" s="206" t="s">
        <v>682</v>
      </c>
      <c r="C411" s="206"/>
      <c r="D411" s="207"/>
      <c r="E411" s="207"/>
      <c r="F411" s="208">
        <f>F412</f>
        <v>642162.67104199994</v>
      </c>
      <c r="G411" s="309"/>
      <c r="H411" s="286"/>
    </row>
    <row r="412" spans="1:8" s="204" customFormat="1" ht="15.75" x14ac:dyDescent="0.45">
      <c r="A412" s="210" t="s">
        <v>683</v>
      </c>
      <c r="B412" s="211" t="s">
        <v>682</v>
      </c>
      <c r="C412" s="211"/>
      <c r="D412" s="212"/>
      <c r="E412" s="212"/>
      <c r="F412" s="213">
        <f>F413+F415+F417+F421+F423+F425+F428+F432+F435+F448</f>
        <v>642162.67104199994</v>
      </c>
      <c r="G412" s="238"/>
      <c r="H412" s="287"/>
    </row>
    <row r="413" spans="1:8" s="204" customFormat="1" ht="15.75" x14ac:dyDescent="0.45">
      <c r="A413" s="215" t="s">
        <v>684</v>
      </c>
      <c r="B413" s="216" t="s">
        <v>88</v>
      </c>
      <c r="C413" s="216"/>
      <c r="D413" s="217"/>
      <c r="E413" s="217"/>
      <c r="F413" s="218">
        <f>F414</f>
        <v>68582.197968000008</v>
      </c>
      <c r="G413" s="239"/>
      <c r="H413" s="288"/>
    </row>
    <row r="414" spans="1:8" s="204" customFormat="1" ht="31.5" x14ac:dyDescent="0.45">
      <c r="A414" s="225" t="s">
        <v>687</v>
      </c>
      <c r="B414" s="220" t="s">
        <v>686</v>
      </c>
      <c r="C414" s="220" t="s">
        <v>289</v>
      </c>
      <c r="D414" s="221">
        <v>3189.84</v>
      </c>
      <c r="E414" s="233">
        <v>21.5002</v>
      </c>
      <c r="F414" s="236">
        <f t="shared" ref="F414" si="55">E414*D414</f>
        <v>68582.197968000008</v>
      </c>
      <c r="G414" s="290" t="s">
        <v>1539</v>
      </c>
      <c r="H414" s="291" t="s">
        <v>1540</v>
      </c>
    </row>
    <row r="415" spans="1:8" s="204" customFormat="1" ht="15.75" x14ac:dyDescent="0.45">
      <c r="A415" s="215" t="s">
        <v>691</v>
      </c>
      <c r="B415" s="216" t="s">
        <v>692</v>
      </c>
      <c r="C415" s="216"/>
      <c r="D415" s="217"/>
      <c r="E415" s="217"/>
      <c r="F415" s="218">
        <f>F416</f>
        <v>26908.056</v>
      </c>
      <c r="G415" s="239"/>
      <c r="H415" s="288"/>
    </row>
    <row r="416" spans="1:8" s="204" customFormat="1" ht="15.75" x14ac:dyDescent="0.45">
      <c r="A416" s="225" t="s">
        <v>693</v>
      </c>
      <c r="B416" s="220" t="s">
        <v>694</v>
      </c>
      <c r="C416" s="220" t="s">
        <v>289</v>
      </c>
      <c r="D416" s="221">
        <v>2651.04</v>
      </c>
      <c r="E416" s="221">
        <v>10.15</v>
      </c>
      <c r="F416" s="236">
        <f t="shared" ref="F416:F420" si="56">E416*D416</f>
        <v>26908.056</v>
      </c>
      <c r="G416" s="240"/>
      <c r="H416" s="291" t="s">
        <v>1540</v>
      </c>
    </row>
    <row r="417" spans="1:8" s="204" customFormat="1" ht="15.75" x14ac:dyDescent="0.45">
      <c r="A417" s="215" t="s">
        <v>695</v>
      </c>
      <c r="B417" s="216" t="s">
        <v>699</v>
      </c>
      <c r="C417" s="216"/>
      <c r="D417" s="217"/>
      <c r="E417" s="217"/>
      <c r="F417" s="218">
        <f>SUM(F418:F420)</f>
        <v>106129.85608999999</v>
      </c>
      <c r="G417" s="239"/>
      <c r="H417" s="288"/>
    </row>
    <row r="418" spans="1:8" s="204" customFormat="1" ht="78.75" x14ac:dyDescent="0.45">
      <c r="A418" s="225" t="s">
        <v>700</v>
      </c>
      <c r="B418" s="220" t="s">
        <v>1541</v>
      </c>
      <c r="C418" s="220" t="s">
        <v>289</v>
      </c>
      <c r="D418" s="233">
        <v>1125.47</v>
      </c>
      <c r="E418" s="221">
        <v>86.05</v>
      </c>
      <c r="F418" s="236">
        <f t="shared" si="56"/>
        <v>96846.693499999994</v>
      </c>
      <c r="G418" s="290" t="s">
        <v>1542</v>
      </c>
      <c r="H418" s="291" t="s">
        <v>1540</v>
      </c>
    </row>
    <row r="419" spans="1:8" s="204" customFormat="1" ht="15.75" x14ac:dyDescent="0.45">
      <c r="A419" s="225" t="s">
        <v>697</v>
      </c>
      <c r="B419" s="220" t="s">
        <v>702</v>
      </c>
      <c r="C419" s="220" t="s">
        <v>289</v>
      </c>
      <c r="D419" s="221">
        <v>51.93</v>
      </c>
      <c r="E419" s="221">
        <v>178.76300000000001</v>
      </c>
      <c r="F419" s="236">
        <f t="shared" si="56"/>
        <v>9283.1625899999999</v>
      </c>
      <c r="G419" s="290"/>
      <c r="H419" s="291" t="s">
        <v>1540</v>
      </c>
    </row>
    <row r="420" spans="1:8" s="298" customFormat="1" ht="15.75" x14ac:dyDescent="0.45">
      <c r="A420" s="303" t="s">
        <v>703</v>
      </c>
      <c r="B420" s="293" t="s">
        <v>1543</v>
      </c>
      <c r="C420" s="293" t="s">
        <v>289</v>
      </c>
      <c r="D420" s="294">
        <v>0</v>
      </c>
      <c r="E420" s="294">
        <v>86.05</v>
      </c>
      <c r="F420" s="295">
        <f t="shared" si="56"/>
        <v>0</v>
      </c>
      <c r="G420" s="296" t="s">
        <v>1058</v>
      </c>
      <c r="H420" s="297" t="s">
        <v>1540</v>
      </c>
    </row>
    <row r="421" spans="1:8" s="204" customFormat="1" ht="15.75" x14ac:dyDescent="0.45">
      <c r="A421" s="215" t="s">
        <v>705</v>
      </c>
      <c r="B421" s="216" t="s">
        <v>706</v>
      </c>
      <c r="C421" s="216"/>
      <c r="D421" s="217"/>
      <c r="E421" s="217"/>
      <c r="F421" s="218">
        <f>F422</f>
        <v>51921.889071999998</v>
      </c>
      <c r="G421" s="239">
        <f>(F421+F440)/G4</f>
        <v>18.977893210867236</v>
      </c>
      <c r="H421" s="288"/>
    </row>
    <row r="422" spans="1:8" s="204" customFormat="1" ht="47.25" x14ac:dyDescent="0.45">
      <c r="A422" s="225" t="s">
        <v>707</v>
      </c>
      <c r="B422" s="220" t="s">
        <v>708</v>
      </c>
      <c r="C422" s="220" t="s">
        <v>289</v>
      </c>
      <c r="D422" s="233">
        <v>663.23</v>
      </c>
      <c r="E422" s="233">
        <v>78.2864</v>
      </c>
      <c r="F422" s="236">
        <f t="shared" ref="F422" si="57">E422*D422</f>
        <v>51921.889071999998</v>
      </c>
      <c r="G422" s="290" t="s">
        <v>1544</v>
      </c>
      <c r="H422" s="291" t="s">
        <v>1540</v>
      </c>
    </row>
    <row r="423" spans="1:8" s="204" customFormat="1" ht="15.75" x14ac:dyDescent="0.45">
      <c r="A423" s="215" t="s">
        <v>711</v>
      </c>
      <c r="B423" s="216" t="s">
        <v>712</v>
      </c>
      <c r="C423" s="216"/>
      <c r="D423" s="217"/>
      <c r="E423" s="217"/>
      <c r="F423" s="218">
        <f>F424</f>
        <v>3325.3891519999997</v>
      </c>
      <c r="G423" s="239"/>
      <c r="H423" s="288"/>
    </row>
    <row r="424" spans="1:8" s="204" customFormat="1" ht="15.75" x14ac:dyDescent="0.45">
      <c r="A424" s="225" t="s">
        <v>713</v>
      </c>
      <c r="B424" s="220" t="s">
        <v>714</v>
      </c>
      <c r="C424" s="220" t="s">
        <v>289</v>
      </c>
      <c r="D424" s="221">
        <v>5.96</v>
      </c>
      <c r="E424" s="221">
        <v>557.95119999999997</v>
      </c>
      <c r="F424" s="236">
        <f t="shared" ref="F424:F449" si="58">E424*D424</f>
        <v>3325.3891519999997</v>
      </c>
      <c r="G424" s="240"/>
      <c r="H424" s="291" t="s">
        <v>1540</v>
      </c>
    </row>
    <row r="425" spans="1:8" s="204" customFormat="1" ht="15.75" x14ac:dyDescent="0.45">
      <c r="A425" s="215" t="s">
        <v>715</v>
      </c>
      <c r="B425" s="216" t="s">
        <v>636</v>
      </c>
      <c r="C425" s="216"/>
      <c r="D425" s="217"/>
      <c r="E425" s="217"/>
      <c r="F425" s="218">
        <f>SUM(F426:F427)</f>
        <v>3783.5</v>
      </c>
      <c r="G425" s="239">
        <f>(F432+F446+F447)/G4</f>
        <v>5.1229166818563741</v>
      </c>
      <c r="H425" s="288"/>
    </row>
    <row r="426" spans="1:8" s="204" customFormat="1" ht="15.75" x14ac:dyDescent="0.45">
      <c r="A426" s="225" t="s">
        <v>716</v>
      </c>
      <c r="B426" s="220" t="s">
        <v>717</v>
      </c>
      <c r="C426" s="220" t="s">
        <v>289</v>
      </c>
      <c r="D426" s="221">
        <v>16.45</v>
      </c>
      <c r="E426" s="221">
        <v>230</v>
      </c>
      <c r="F426" s="236">
        <f t="shared" si="58"/>
        <v>3783.5</v>
      </c>
      <c r="G426" s="240"/>
      <c r="H426" s="291" t="s">
        <v>1540</v>
      </c>
    </row>
    <row r="427" spans="1:8" s="298" customFormat="1" ht="11.25" customHeight="1" x14ac:dyDescent="0.45">
      <c r="A427" s="303" t="s">
        <v>718</v>
      </c>
      <c r="B427" s="293" t="s">
        <v>1545</v>
      </c>
      <c r="C427" s="293" t="s">
        <v>289</v>
      </c>
      <c r="D427" s="294">
        <v>0</v>
      </c>
      <c r="E427" s="294">
        <v>35.5</v>
      </c>
      <c r="F427" s="295">
        <f t="shared" si="58"/>
        <v>0</v>
      </c>
      <c r="G427" s="296" t="s">
        <v>1058</v>
      </c>
      <c r="H427" s="297" t="s">
        <v>1540</v>
      </c>
    </row>
    <row r="428" spans="1:8" s="204" customFormat="1" ht="11.25" customHeight="1" x14ac:dyDescent="0.45">
      <c r="A428" s="215" t="s">
        <v>720</v>
      </c>
      <c r="B428" s="216" t="s">
        <v>263</v>
      </c>
      <c r="C428" s="216"/>
      <c r="D428" s="217"/>
      <c r="E428" s="217"/>
      <c r="F428" s="218">
        <f>SUM(F429:F431)</f>
        <v>80518.114799999996</v>
      </c>
      <c r="G428" s="239">
        <f>(F428+F444+F445)/G4</f>
        <v>25.966740051481995</v>
      </c>
      <c r="H428" s="288"/>
    </row>
    <row r="429" spans="1:8" s="204" customFormat="1" ht="11.25" customHeight="1" x14ac:dyDescent="0.45">
      <c r="A429" s="225" t="s">
        <v>721</v>
      </c>
      <c r="B429" s="326" t="s">
        <v>1546</v>
      </c>
      <c r="C429" s="220" t="s">
        <v>288</v>
      </c>
      <c r="D429" s="221">
        <v>26.38</v>
      </c>
      <c r="E429" s="221">
        <v>5.9640000000000004</v>
      </c>
      <c r="F429" s="236">
        <f t="shared" si="58"/>
        <v>157.33032</v>
      </c>
      <c r="G429" s="290" t="s">
        <v>1547</v>
      </c>
      <c r="H429" s="291" t="s">
        <v>1548</v>
      </c>
    </row>
    <row r="430" spans="1:8" s="204" customFormat="1" ht="11.25" customHeight="1" x14ac:dyDescent="0.45">
      <c r="A430" s="225" t="s">
        <v>723</v>
      </c>
      <c r="B430" s="326" t="s">
        <v>1549</v>
      </c>
      <c r="C430" s="220" t="s">
        <v>288</v>
      </c>
      <c r="D430" s="221">
        <v>339.93</v>
      </c>
      <c r="E430" s="221">
        <v>5.9640000000000004</v>
      </c>
      <c r="F430" s="236">
        <f t="shared" si="58"/>
        <v>2027.3425200000001</v>
      </c>
      <c r="G430" s="290" t="s">
        <v>1547</v>
      </c>
      <c r="H430" s="291" t="s">
        <v>1548</v>
      </c>
    </row>
    <row r="431" spans="1:8" s="204" customFormat="1" ht="11.25" customHeight="1" x14ac:dyDescent="0.45">
      <c r="A431" s="225" t="s">
        <v>1550</v>
      </c>
      <c r="B431" s="326" t="s">
        <v>1551</v>
      </c>
      <c r="C431" s="220" t="s">
        <v>288</v>
      </c>
      <c r="D431" s="221">
        <v>2172.1999999999998</v>
      </c>
      <c r="E431" s="233">
        <v>36.061799999999998</v>
      </c>
      <c r="F431" s="236">
        <f t="shared" si="58"/>
        <v>78333.441959999996</v>
      </c>
      <c r="G431" s="290" t="s">
        <v>1552</v>
      </c>
      <c r="H431" s="291" t="s">
        <v>1548</v>
      </c>
    </row>
    <row r="432" spans="1:8" s="204" customFormat="1" ht="15.75" x14ac:dyDescent="0.45">
      <c r="A432" s="215" t="s">
        <v>725</v>
      </c>
      <c r="B432" s="216" t="s">
        <v>726</v>
      </c>
      <c r="C432" s="216"/>
      <c r="D432" s="217"/>
      <c r="E432" s="217"/>
      <c r="F432" s="218">
        <f>SUM(F433:F434)</f>
        <v>21340.359559999997</v>
      </c>
      <c r="G432" s="239"/>
      <c r="H432" s="288"/>
    </row>
    <row r="433" spans="1:8" s="204" customFormat="1" ht="15.75" x14ac:dyDescent="0.45">
      <c r="A433" s="225" t="s">
        <v>727</v>
      </c>
      <c r="B433" s="220" t="s">
        <v>728</v>
      </c>
      <c r="C433" s="220" t="s">
        <v>288</v>
      </c>
      <c r="D433" s="221">
        <v>241.04</v>
      </c>
      <c r="E433" s="221">
        <v>86.05</v>
      </c>
      <c r="F433" s="236">
        <f t="shared" si="58"/>
        <v>20741.491999999998</v>
      </c>
      <c r="G433" s="240"/>
      <c r="H433" s="291" t="s">
        <v>95</v>
      </c>
    </row>
    <row r="434" spans="1:8" s="204" customFormat="1" ht="15.75" x14ac:dyDescent="0.45">
      <c r="A434" s="225" t="s">
        <v>729</v>
      </c>
      <c r="B434" s="220" t="s">
        <v>730</v>
      </c>
      <c r="C434" s="220" t="s">
        <v>288</v>
      </c>
      <c r="D434" s="221">
        <v>8.2799999999999994</v>
      </c>
      <c r="E434" s="221">
        <v>72.326999999999998</v>
      </c>
      <c r="F434" s="236">
        <f t="shared" si="58"/>
        <v>598.86755999999991</v>
      </c>
      <c r="G434" s="240"/>
      <c r="H434" s="291" t="s">
        <v>95</v>
      </c>
    </row>
    <row r="435" spans="1:8" s="204" customFormat="1" ht="15.75" x14ac:dyDescent="0.45">
      <c r="A435" s="215" t="s">
        <v>731</v>
      </c>
      <c r="B435" s="216" t="s">
        <v>45</v>
      </c>
      <c r="C435" s="216"/>
      <c r="D435" s="217"/>
      <c r="E435" s="217"/>
      <c r="F435" s="218">
        <f>SUM(F436:F447)</f>
        <v>266655.79840000003</v>
      </c>
      <c r="G435" s="239"/>
      <c r="H435" s="288"/>
    </row>
    <row r="436" spans="1:8" s="204" customFormat="1" ht="15.75" x14ac:dyDescent="0.45">
      <c r="A436" s="225" t="s">
        <v>732</v>
      </c>
      <c r="B436" s="220" t="s">
        <v>733</v>
      </c>
      <c r="C436" s="220" t="s">
        <v>289</v>
      </c>
      <c r="D436" s="221">
        <v>3189.84</v>
      </c>
      <c r="E436" s="233">
        <v>24.39</v>
      </c>
      <c r="F436" s="236">
        <f t="shared" si="58"/>
        <v>77800.1976</v>
      </c>
      <c r="G436" s="290" t="s">
        <v>1553</v>
      </c>
      <c r="H436" s="291"/>
    </row>
    <row r="437" spans="1:8" s="204" customFormat="1" ht="15.75" x14ac:dyDescent="0.45">
      <c r="A437" s="225" t="s">
        <v>738</v>
      </c>
      <c r="B437" s="220" t="s">
        <v>1554</v>
      </c>
      <c r="C437" s="220" t="s">
        <v>289</v>
      </c>
      <c r="D437" s="221">
        <v>1016.12</v>
      </c>
      <c r="E437" s="221">
        <v>21</v>
      </c>
      <c r="F437" s="236">
        <f t="shared" si="58"/>
        <v>21338.52</v>
      </c>
      <c r="G437" s="240"/>
      <c r="H437" s="291"/>
    </row>
    <row r="438" spans="1:8" s="204" customFormat="1" ht="15.75" x14ac:dyDescent="0.45">
      <c r="A438" s="225" t="s">
        <v>740</v>
      </c>
      <c r="B438" s="220" t="s">
        <v>739</v>
      </c>
      <c r="C438" s="220" t="s">
        <v>289</v>
      </c>
      <c r="D438" s="221">
        <v>1915.58</v>
      </c>
      <c r="E438" s="221">
        <v>48</v>
      </c>
      <c r="F438" s="236">
        <f t="shared" si="58"/>
        <v>91947.839999999997</v>
      </c>
      <c r="G438" s="240"/>
      <c r="H438" s="291"/>
    </row>
    <row r="439" spans="1:8" s="204" customFormat="1" ht="15.75" x14ac:dyDescent="0.45">
      <c r="A439" s="225" t="s">
        <v>742</v>
      </c>
      <c r="B439" s="220" t="s">
        <v>741</v>
      </c>
      <c r="C439" s="220" t="s">
        <v>289</v>
      </c>
      <c r="D439" s="221">
        <v>51.93</v>
      </c>
      <c r="E439" s="221">
        <v>48</v>
      </c>
      <c r="F439" s="236">
        <f t="shared" si="58"/>
        <v>2492.64</v>
      </c>
      <c r="G439" s="240"/>
      <c r="H439" s="291"/>
    </row>
    <row r="440" spans="1:8" s="204" customFormat="1" ht="15.75" x14ac:dyDescent="0.45">
      <c r="A440" s="225" t="s">
        <v>744</v>
      </c>
      <c r="B440" s="220" t="s">
        <v>743</v>
      </c>
      <c r="C440" s="220" t="s">
        <v>289</v>
      </c>
      <c r="D440" s="221">
        <v>836.33</v>
      </c>
      <c r="E440" s="221">
        <v>40</v>
      </c>
      <c r="F440" s="236">
        <f t="shared" si="58"/>
        <v>33453.200000000004</v>
      </c>
      <c r="G440" s="240"/>
      <c r="H440" s="291"/>
    </row>
    <row r="441" spans="1:8" s="204" customFormat="1" ht="15.75" x14ac:dyDescent="0.45">
      <c r="A441" s="225" t="s">
        <v>746</v>
      </c>
      <c r="B441" s="220" t="s">
        <v>745</v>
      </c>
      <c r="C441" s="220" t="s">
        <v>289</v>
      </c>
      <c r="D441" s="221">
        <v>5.96</v>
      </c>
      <c r="E441" s="221">
        <v>48</v>
      </c>
      <c r="F441" s="236">
        <f t="shared" si="58"/>
        <v>286.08</v>
      </c>
      <c r="G441" s="240"/>
      <c r="H441" s="291"/>
    </row>
    <row r="442" spans="1:8" s="298" customFormat="1" ht="15.75" x14ac:dyDescent="0.45">
      <c r="A442" s="303" t="s">
        <v>748</v>
      </c>
      <c r="B442" s="293" t="s">
        <v>1555</v>
      </c>
      <c r="C442" s="293" t="s">
        <v>289</v>
      </c>
      <c r="D442" s="294">
        <v>0</v>
      </c>
      <c r="E442" s="294">
        <v>40</v>
      </c>
      <c r="F442" s="295">
        <f t="shared" si="58"/>
        <v>0</v>
      </c>
      <c r="G442" s="296" t="s">
        <v>1058</v>
      </c>
      <c r="H442" s="297"/>
    </row>
    <row r="443" spans="1:8" s="204" customFormat="1" ht="11.25" customHeight="1" x14ac:dyDescent="0.45">
      <c r="A443" s="225" t="s">
        <v>750</v>
      </c>
      <c r="B443" s="220" t="s">
        <v>1556</v>
      </c>
      <c r="C443" s="220" t="s">
        <v>289</v>
      </c>
      <c r="D443" s="221">
        <v>33.35</v>
      </c>
      <c r="E443" s="221">
        <v>40</v>
      </c>
      <c r="F443" s="236">
        <f t="shared" si="58"/>
        <v>1334</v>
      </c>
      <c r="G443" s="240"/>
      <c r="H443" s="291"/>
    </row>
    <row r="444" spans="1:8" s="204" customFormat="1" ht="31.5" x14ac:dyDescent="0.45">
      <c r="A444" s="225" t="s">
        <v>752</v>
      </c>
      <c r="B444" s="220" t="s">
        <v>747</v>
      </c>
      <c r="C444" s="220" t="s">
        <v>288</v>
      </c>
      <c r="D444" s="221">
        <v>2172.1999999999998</v>
      </c>
      <c r="E444" s="233">
        <v>13</v>
      </c>
      <c r="F444" s="236">
        <f t="shared" si="58"/>
        <v>28238.6</v>
      </c>
      <c r="G444" s="290" t="s">
        <v>1557</v>
      </c>
      <c r="H444" s="291"/>
    </row>
    <row r="445" spans="1:8" s="204" customFormat="1" ht="11.25" customHeight="1" x14ac:dyDescent="0.45">
      <c r="A445" s="225" t="s">
        <v>1558</v>
      </c>
      <c r="B445" s="220" t="s">
        <v>749</v>
      </c>
      <c r="C445" s="220" t="s">
        <v>288</v>
      </c>
      <c r="D445" s="221">
        <v>366.31</v>
      </c>
      <c r="E445" s="221">
        <v>22</v>
      </c>
      <c r="F445" s="236">
        <f t="shared" si="58"/>
        <v>8058.82</v>
      </c>
      <c r="G445" s="240"/>
      <c r="H445" s="291"/>
    </row>
    <row r="446" spans="1:8" s="204" customFormat="1" ht="11.25" customHeight="1" x14ac:dyDescent="0.45">
      <c r="A446" s="225" t="s">
        <v>1559</v>
      </c>
      <c r="B446" s="220" t="s">
        <v>751</v>
      </c>
      <c r="C446" s="220" t="s">
        <v>288</v>
      </c>
      <c r="D446" s="221">
        <v>241.04</v>
      </c>
      <c r="E446" s="221">
        <v>6.72</v>
      </c>
      <c r="F446" s="236">
        <f t="shared" si="58"/>
        <v>1619.7887999999998</v>
      </c>
      <c r="G446" s="240"/>
      <c r="H446" s="291"/>
    </row>
    <row r="447" spans="1:8" s="204" customFormat="1" ht="15.75" x14ac:dyDescent="0.45">
      <c r="A447" s="225" t="s">
        <v>1560</v>
      </c>
      <c r="B447" s="220" t="s">
        <v>753</v>
      </c>
      <c r="C447" s="220" t="s">
        <v>288</v>
      </c>
      <c r="D447" s="221">
        <v>8.2799999999999994</v>
      </c>
      <c r="E447" s="221">
        <v>10.4</v>
      </c>
      <c r="F447" s="236">
        <f t="shared" si="58"/>
        <v>86.111999999999995</v>
      </c>
      <c r="G447" s="240"/>
      <c r="H447" s="291"/>
    </row>
    <row r="448" spans="1:8" s="204" customFormat="1" ht="15.75" x14ac:dyDescent="0.45">
      <c r="A448" s="215" t="s">
        <v>754</v>
      </c>
      <c r="B448" s="216" t="s">
        <v>384</v>
      </c>
      <c r="C448" s="216"/>
      <c r="D448" s="217"/>
      <c r="E448" s="217"/>
      <c r="F448" s="218">
        <f>F449</f>
        <v>12997.51</v>
      </c>
      <c r="G448" s="239"/>
      <c r="H448" s="288"/>
    </row>
    <row r="449" spans="1:8" s="204" customFormat="1" ht="15.75" x14ac:dyDescent="0.45">
      <c r="A449" s="225" t="s">
        <v>755</v>
      </c>
      <c r="B449" s="220" t="s">
        <v>384</v>
      </c>
      <c r="C449" s="220" t="s">
        <v>285</v>
      </c>
      <c r="D449" s="221">
        <v>1</v>
      </c>
      <c r="E449" s="221">
        <v>12997.51</v>
      </c>
      <c r="F449" s="236">
        <f t="shared" si="58"/>
        <v>12997.51</v>
      </c>
      <c r="G449" s="240"/>
      <c r="H449" s="291"/>
    </row>
    <row r="450" spans="1:8" s="204" customFormat="1" ht="15.75" x14ac:dyDescent="0.45">
      <c r="A450" s="205" t="s">
        <v>756</v>
      </c>
      <c r="B450" s="206" t="s">
        <v>757</v>
      </c>
      <c r="C450" s="206"/>
      <c r="D450" s="207"/>
      <c r="E450" s="207"/>
      <c r="F450" s="208">
        <f>F451</f>
        <v>642045.07450100011</v>
      </c>
      <c r="G450" s="309"/>
      <c r="H450" s="286"/>
    </row>
    <row r="451" spans="1:8" s="204" customFormat="1" ht="15.75" x14ac:dyDescent="0.45">
      <c r="A451" s="210" t="s">
        <v>758</v>
      </c>
      <c r="B451" s="211" t="s">
        <v>759</v>
      </c>
      <c r="C451" s="211"/>
      <c r="D451" s="212"/>
      <c r="E451" s="212"/>
      <c r="F451" s="213">
        <f>F452+F456+F463+F468+F476</f>
        <v>642045.07450100011</v>
      </c>
      <c r="G451" s="238"/>
      <c r="H451" s="287"/>
    </row>
    <row r="452" spans="1:8" s="204" customFormat="1" ht="15.75" x14ac:dyDescent="0.45">
      <c r="A452" s="215" t="s">
        <v>760</v>
      </c>
      <c r="B452" s="216" t="s">
        <v>761</v>
      </c>
      <c r="C452" s="216"/>
      <c r="D452" s="217"/>
      <c r="E452" s="217"/>
      <c r="F452" s="218">
        <f>SUM(F453:F455)</f>
        <v>78429.151015999989</v>
      </c>
      <c r="G452" s="239"/>
      <c r="H452" s="288"/>
    </row>
    <row r="453" spans="1:8" s="204" customFormat="1" ht="15.75" x14ac:dyDescent="0.45">
      <c r="A453" s="225" t="s">
        <v>762</v>
      </c>
      <c r="B453" s="220" t="s">
        <v>763</v>
      </c>
      <c r="C453" s="220" t="s">
        <v>289</v>
      </c>
      <c r="D453" s="221">
        <v>788.56</v>
      </c>
      <c r="E453" s="221">
        <v>62.3033</v>
      </c>
      <c r="F453" s="236">
        <f t="shared" ref="F453:F477" si="59">E453*D453</f>
        <v>49129.890247999996</v>
      </c>
      <c r="G453" s="240"/>
      <c r="H453" s="291" t="s">
        <v>1540</v>
      </c>
    </row>
    <row r="454" spans="1:8" s="204" customFormat="1" ht="15.75" x14ac:dyDescent="0.45">
      <c r="A454" s="225" t="s">
        <v>764</v>
      </c>
      <c r="B454" s="220" t="s">
        <v>765</v>
      </c>
      <c r="C454" s="220" t="s">
        <v>289</v>
      </c>
      <c r="D454" s="221">
        <v>36</v>
      </c>
      <c r="E454" s="221">
        <v>2.1734</v>
      </c>
      <c r="F454" s="236">
        <f t="shared" si="59"/>
        <v>78.242400000000004</v>
      </c>
      <c r="G454" s="240"/>
      <c r="H454" s="291" t="s">
        <v>1540</v>
      </c>
    </row>
    <row r="455" spans="1:8" s="204" customFormat="1" ht="31.5" x14ac:dyDescent="0.45">
      <c r="A455" s="225" t="s">
        <v>766</v>
      </c>
      <c r="B455" s="220" t="s">
        <v>767</v>
      </c>
      <c r="C455" s="220" t="s">
        <v>289</v>
      </c>
      <c r="D455" s="221">
        <v>223.68</v>
      </c>
      <c r="E455" s="221">
        <v>130.63759999999999</v>
      </c>
      <c r="F455" s="236">
        <f t="shared" si="59"/>
        <v>29221.018367999997</v>
      </c>
      <c r="G455" s="240"/>
      <c r="H455" s="291" t="s">
        <v>1540</v>
      </c>
    </row>
    <row r="456" spans="1:8" s="204" customFormat="1" ht="15.75" x14ac:dyDescent="0.45">
      <c r="A456" s="215" t="s">
        <v>770</v>
      </c>
      <c r="B456" s="216" t="s">
        <v>771</v>
      </c>
      <c r="C456" s="216"/>
      <c r="D456" s="217"/>
      <c r="E456" s="217"/>
      <c r="F456" s="218">
        <f>SUM(F457:F462)</f>
        <v>100665.58342699999</v>
      </c>
      <c r="G456" s="239">
        <f>(F457/2+F458+F459+F461+F462+F471+F464/2+F465+F466+F473)/G4</f>
        <v>87.84534304904129</v>
      </c>
      <c r="H456" s="288"/>
    </row>
    <row r="457" spans="1:8" s="204" customFormat="1" ht="15.75" x14ac:dyDescent="0.45">
      <c r="A457" s="225" t="s">
        <v>772</v>
      </c>
      <c r="B457" s="220" t="s">
        <v>773</v>
      </c>
      <c r="C457" s="220" t="s">
        <v>289</v>
      </c>
      <c r="D457" s="221">
        <v>8826.5400000000009</v>
      </c>
      <c r="E457" s="221">
        <v>1.1040000000000001</v>
      </c>
      <c r="F457" s="236">
        <f t="shared" si="59"/>
        <v>9744.5001600000014</v>
      </c>
      <c r="G457" s="240">
        <f>(F457/2+F460+F472+F464/2+F467+F474)/G4</f>
        <v>25.896674237217304</v>
      </c>
      <c r="H457" s="304" t="s">
        <v>1528</v>
      </c>
    </row>
    <row r="458" spans="1:8" s="204" customFormat="1" ht="31.5" x14ac:dyDescent="0.45">
      <c r="A458" s="225" t="s">
        <v>774</v>
      </c>
      <c r="B458" s="220" t="s">
        <v>775</v>
      </c>
      <c r="C458" s="220" t="s">
        <v>289</v>
      </c>
      <c r="D458" s="221">
        <v>6312.12</v>
      </c>
      <c r="E458" s="221">
        <v>3.3250000000000002</v>
      </c>
      <c r="F458" s="236">
        <f t="shared" si="59"/>
        <v>20987.798999999999</v>
      </c>
      <c r="G458" s="240"/>
      <c r="H458" s="304" t="s">
        <v>1528</v>
      </c>
    </row>
    <row r="459" spans="1:8" s="204" customFormat="1" ht="78.75" x14ac:dyDescent="0.45">
      <c r="A459" s="225" t="s">
        <v>776</v>
      </c>
      <c r="B459" s="220" t="s">
        <v>777</v>
      </c>
      <c r="C459" s="220" t="s">
        <v>289</v>
      </c>
      <c r="D459" s="233">
        <v>5873.13</v>
      </c>
      <c r="E459" s="221">
        <v>9.4995999999999992</v>
      </c>
      <c r="F459" s="236">
        <f t="shared" si="59"/>
        <v>55792.385747999993</v>
      </c>
      <c r="G459" s="290" t="s">
        <v>1561</v>
      </c>
      <c r="H459" s="304" t="s">
        <v>1528</v>
      </c>
    </row>
    <row r="460" spans="1:8" s="204" customFormat="1" ht="47.25" x14ac:dyDescent="0.45">
      <c r="A460" s="225" t="s">
        <v>778</v>
      </c>
      <c r="B460" s="220" t="s">
        <v>779</v>
      </c>
      <c r="C460" s="220" t="s">
        <v>289</v>
      </c>
      <c r="D460" s="233">
        <v>2115.12</v>
      </c>
      <c r="E460" s="221">
        <v>5.6657999999999999</v>
      </c>
      <c r="F460" s="236">
        <f t="shared" si="59"/>
        <v>11983.846895999999</v>
      </c>
      <c r="G460" s="290" t="s">
        <v>1562</v>
      </c>
      <c r="H460" s="304" t="s">
        <v>1528</v>
      </c>
    </row>
    <row r="461" spans="1:8" s="204" customFormat="1" ht="15.75" x14ac:dyDescent="0.45">
      <c r="A461" s="225" t="s">
        <v>780</v>
      </c>
      <c r="B461" s="220" t="s">
        <v>1563</v>
      </c>
      <c r="C461" s="220" t="s">
        <v>289</v>
      </c>
      <c r="D461" s="221">
        <v>86.74</v>
      </c>
      <c r="E461" s="233">
        <v>23.057400000000001</v>
      </c>
      <c r="F461" s="236">
        <f t="shared" si="59"/>
        <v>1999.9988759999999</v>
      </c>
      <c r="G461" s="290" t="s">
        <v>1564</v>
      </c>
      <c r="H461" s="304" t="s">
        <v>1528</v>
      </c>
    </row>
    <row r="462" spans="1:8" s="204" customFormat="1" ht="15.75" x14ac:dyDescent="0.45">
      <c r="A462" s="225" t="s">
        <v>782</v>
      </c>
      <c r="B462" s="220" t="s">
        <v>1565</v>
      </c>
      <c r="C462" s="220" t="s">
        <v>288</v>
      </c>
      <c r="D462" s="221">
        <v>245.51</v>
      </c>
      <c r="E462" s="221">
        <v>0.63970000000000005</v>
      </c>
      <c r="F462" s="236">
        <f t="shared" si="59"/>
        <v>157.05274700000001</v>
      </c>
      <c r="G462" s="240"/>
      <c r="H462" s="304" t="s">
        <v>1528</v>
      </c>
    </row>
    <row r="463" spans="1:8" s="204" customFormat="1" ht="15.75" x14ac:dyDescent="0.45">
      <c r="A463" s="215" t="s">
        <v>784</v>
      </c>
      <c r="B463" s="216" t="s">
        <v>785</v>
      </c>
      <c r="C463" s="216"/>
      <c r="D463" s="217"/>
      <c r="E463" s="217"/>
      <c r="F463" s="218">
        <f>SUM(F464:F467)</f>
        <v>43275.280058000004</v>
      </c>
      <c r="G463" s="239"/>
      <c r="H463" s="288"/>
    </row>
    <row r="464" spans="1:8" s="204" customFormat="1" ht="15.75" x14ac:dyDescent="0.45">
      <c r="A464" s="225" t="s">
        <v>786</v>
      </c>
      <c r="B464" s="220" t="s">
        <v>787</v>
      </c>
      <c r="C464" s="220" t="s">
        <v>289</v>
      </c>
      <c r="D464" s="221">
        <v>3566.56</v>
      </c>
      <c r="E464" s="221">
        <v>1.1040000000000001</v>
      </c>
      <c r="F464" s="236">
        <f t="shared" si="59"/>
        <v>3937.4822400000003</v>
      </c>
      <c r="G464" s="240"/>
      <c r="H464" s="291" t="s">
        <v>1537</v>
      </c>
    </row>
    <row r="465" spans="1:8" s="204" customFormat="1" ht="15.75" x14ac:dyDescent="0.45">
      <c r="A465" s="225" t="s">
        <v>788</v>
      </c>
      <c r="B465" s="220" t="s">
        <v>789</v>
      </c>
      <c r="C465" s="220" t="s">
        <v>289</v>
      </c>
      <c r="D465" s="221">
        <v>2650.83</v>
      </c>
      <c r="E465" s="221">
        <v>3.3250000000000002</v>
      </c>
      <c r="F465" s="236">
        <f t="shared" si="59"/>
        <v>8814.0097500000011</v>
      </c>
      <c r="G465" s="240"/>
      <c r="H465" s="291" t="s">
        <v>1537</v>
      </c>
    </row>
    <row r="466" spans="1:8" s="204" customFormat="1" ht="15.75" x14ac:dyDescent="0.45">
      <c r="A466" s="225" t="s">
        <v>790</v>
      </c>
      <c r="B466" s="220" t="s">
        <v>791</v>
      </c>
      <c r="C466" s="220" t="s">
        <v>289</v>
      </c>
      <c r="D466" s="221">
        <v>2690.9</v>
      </c>
      <c r="E466" s="221">
        <v>9.4995999999999992</v>
      </c>
      <c r="F466" s="236">
        <f t="shared" si="59"/>
        <v>25562.47364</v>
      </c>
      <c r="G466" s="240"/>
      <c r="H466" s="291" t="s">
        <v>1537</v>
      </c>
    </row>
    <row r="467" spans="1:8" s="204" customFormat="1" ht="15.75" x14ac:dyDescent="0.45">
      <c r="A467" s="225" t="s">
        <v>792</v>
      </c>
      <c r="B467" s="220" t="s">
        <v>793</v>
      </c>
      <c r="C467" s="220" t="s">
        <v>289</v>
      </c>
      <c r="D467" s="221">
        <v>875.66</v>
      </c>
      <c r="E467" s="221">
        <v>5.6657999999999999</v>
      </c>
      <c r="F467" s="236">
        <f t="shared" si="59"/>
        <v>4961.3144279999997</v>
      </c>
      <c r="G467" s="240"/>
      <c r="H467" s="291" t="s">
        <v>1537</v>
      </c>
    </row>
    <row r="468" spans="1:8" s="204" customFormat="1" ht="15.75" x14ac:dyDescent="0.45">
      <c r="A468" s="215" t="s">
        <v>794</v>
      </c>
      <c r="B468" s="216" t="s">
        <v>45</v>
      </c>
      <c r="C468" s="216"/>
      <c r="D468" s="217"/>
      <c r="E468" s="217"/>
      <c r="F468" s="218">
        <f>SUM(F469:F475)</f>
        <v>409675.40000000008</v>
      </c>
      <c r="G468" s="239"/>
      <c r="H468" s="288"/>
    </row>
    <row r="469" spans="1:8" s="204" customFormat="1" ht="15.75" x14ac:dyDescent="0.45">
      <c r="A469" s="225" t="s">
        <v>795</v>
      </c>
      <c r="B469" s="220" t="s">
        <v>796</v>
      </c>
      <c r="C469" s="220" t="s">
        <v>289</v>
      </c>
      <c r="D469" s="221">
        <v>788.56</v>
      </c>
      <c r="E469" s="221">
        <v>40</v>
      </c>
      <c r="F469" s="236">
        <f t="shared" si="59"/>
        <v>31542.399999999998</v>
      </c>
      <c r="G469" s="240"/>
      <c r="H469" s="291"/>
    </row>
    <row r="470" spans="1:8" s="204" customFormat="1" ht="15.75" x14ac:dyDescent="0.45">
      <c r="A470" s="225" t="s">
        <v>797</v>
      </c>
      <c r="B470" s="220" t="s">
        <v>798</v>
      </c>
      <c r="C470" s="220" t="s">
        <v>289</v>
      </c>
      <c r="D470" s="221">
        <v>36</v>
      </c>
      <c r="E470" s="221">
        <v>40</v>
      </c>
      <c r="F470" s="236">
        <f t="shared" si="59"/>
        <v>1440</v>
      </c>
      <c r="G470" s="240"/>
      <c r="H470" s="291"/>
    </row>
    <row r="471" spans="1:8" s="204" customFormat="1" ht="78.75" x14ac:dyDescent="0.45">
      <c r="A471" s="225" t="s">
        <v>799</v>
      </c>
      <c r="B471" s="220" t="s">
        <v>802</v>
      </c>
      <c r="C471" s="220" t="s">
        <v>289</v>
      </c>
      <c r="D471" s="221">
        <v>5873.13</v>
      </c>
      <c r="E471" s="221">
        <v>34</v>
      </c>
      <c r="F471" s="236">
        <f t="shared" si="59"/>
        <v>199686.42</v>
      </c>
      <c r="G471" s="290" t="s">
        <v>1566</v>
      </c>
      <c r="H471" s="291"/>
    </row>
    <row r="472" spans="1:8" s="204" customFormat="1" ht="47.25" x14ac:dyDescent="0.45">
      <c r="A472" s="225" t="s">
        <v>803</v>
      </c>
      <c r="B472" s="220" t="s">
        <v>804</v>
      </c>
      <c r="C472" s="220" t="s">
        <v>289</v>
      </c>
      <c r="D472" s="221">
        <v>2115.12</v>
      </c>
      <c r="E472" s="221">
        <v>31</v>
      </c>
      <c r="F472" s="236">
        <f t="shared" si="59"/>
        <v>65568.72</v>
      </c>
      <c r="G472" s="290" t="s">
        <v>1567</v>
      </c>
      <c r="H472" s="291"/>
    </row>
    <row r="473" spans="1:8" s="204" customFormat="1" ht="15.75" x14ac:dyDescent="0.45">
      <c r="A473" s="225" t="s">
        <v>807</v>
      </c>
      <c r="B473" s="220" t="s">
        <v>806</v>
      </c>
      <c r="C473" s="220" t="s">
        <v>289</v>
      </c>
      <c r="D473" s="221">
        <v>2690.9</v>
      </c>
      <c r="E473" s="221">
        <v>28</v>
      </c>
      <c r="F473" s="236">
        <f t="shared" si="59"/>
        <v>75345.2</v>
      </c>
      <c r="G473" s="290"/>
      <c r="H473" s="291"/>
    </row>
    <row r="474" spans="1:8" s="204" customFormat="1" ht="15.75" x14ac:dyDescent="0.45">
      <c r="A474" s="225" t="s">
        <v>809</v>
      </c>
      <c r="B474" s="220" t="s">
        <v>808</v>
      </c>
      <c r="C474" s="220" t="s">
        <v>289</v>
      </c>
      <c r="D474" s="221">
        <v>875.66</v>
      </c>
      <c r="E474" s="221">
        <v>31</v>
      </c>
      <c r="F474" s="236">
        <f t="shared" si="59"/>
        <v>27145.46</v>
      </c>
      <c r="G474" s="240"/>
      <c r="H474" s="291"/>
    </row>
    <row r="475" spans="1:8" s="204" customFormat="1" ht="15.75" x14ac:dyDescent="0.45">
      <c r="A475" s="225" t="s">
        <v>1568</v>
      </c>
      <c r="B475" s="220" t="s">
        <v>810</v>
      </c>
      <c r="C475" s="220" t="s">
        <v>289</v>
      </c>
      <c r="D475" s="221">
        <v>223.68</v>
      </c>
      <c r="E475" s="221">
        <v>40</v>
      </c>
      <c r="F475" s="236">
        <f t="shared" si="59"/>
        <v>8947.2000000000007</v>
      </c>
      <c r="G475" s="240"/>
      <c r="H475" s="291"/>
    </row>
    <row r="476" spans="1:8" s="204" customFormat="1" ht="12.75" customHeight="1" x14ac:dyDescent="0.45">
      <c r="A476" s="215" t="s">
        <v>811</v>
      </c>
      <c r="B476" s="216" t="s">
        <v>384</v>
      </c>
      <c r="C476" s="216"/>
      <c r="D476" s="217"/>
      <c r="E476" s="217"/>
      <c r="F476" s="218">
        <f>F477</f>
        <v>9999.66</v>
      </c>
      <c r="G476" s="239"/>
      <c r="H476" s="288"/>
    </row>
    <row r="477" spans="1:8" s="204" customFormat="1" ht="12.75" customHeight="1" x14ac:dyDescent="0.45">
      <c r="A477" s="225" t="s">
        <v>812</v>
      </c>
      <c r="B477" s="220" t="s">
        <v>384</v>
      </c>
      <c r="C477" s="220" t="s">
        <v>285</v>
      </c>
      <c r="D477" s="221">
        <v>1</v>
      </c>
      <c r="E477" s="221">
        <v>9999.66</v>
      </c>
      <c r="F477" s="236">
        <f t="shared" si="59"/>
        <v>9999.66</v>
      </c>
      <c r="G477" s="240"/>
      <c r="H477" s="291"/>
    </row>
    <row r="478" spans="1:8" s="204" customFormat="1" ht="12.75" customHeight="1" x14ac:dyDescent="0.45">
      <c r="A478" s="205" t="s">
        <v>813</v>
      </c>
      <c r="B478" s="206" t="s">
        <v>814</v>
      </c>
      <c r="C478" s="206"/>
      <c r="D478" s="207"/>
      <c r="E478" s="207"/>
      <c r="F478" s="208">
        <f>F479+F493+F509+F516</f>
        <v>1068293.2760360001</v>
      </c>
      <c r="G478" s="309"/>
      <c r="H478" s="286"/>
    </row>
    <row r="479" spans="1:8" s="204" customFormat="1" ht="12.75" customHeight="1" x14ac:dyDescent="0.45">
      <c r="A479" s="210" t="s">
        <v>815</v>
      </c>
      <c r="B479" s="211" t="s">
        <v>816</v>
      </c>
      <c r="C479" s="211"/>
      <c r="D479" s="212"/>
      <c r="E479" s="212"/>
      <c r="F479" s="213">
        <f>F480+F482+F484+F487+F489+F491</f>
        <v>736435.489436</v>
      </c>
      <c r="G479" s="238"/>
      <c r="H479" s="287"/>
    </row>
    <row r="480" spans="1:8" s="204" customFormat="1" ht="12.75" customHeight="1" x14ac:dyDescent="0.45">
      <c r="A480" s="215" t="s">
        <v>817</v>
      </c>
      <c r="B480" s="216" t="s">
        <v>818</v>
      </c>
      <c r="C480" s="216"/>
      <c r="D480" s="217"/>
      <c r="E480" s="217"/>
      <c r="F480" s="218">
        <f>F481</f>
        <v>88045.816000000006</v>
      </c>
      <c r="G480" s="239">
        <f>(D483+D488)/G4</f>
        <v>0.11784620309158728</v>
      </c>
      <c r="H480" s="288"/>
    </row>
    <row r="481" spans="1:8" s="204" customFormat="1" ht="12.75" customHeight="1" x14ac:dyDescent="0.45">
      <c r="A481" s="225" t="s">
        <v>819</v>
      </c>
      <c r="B481" s="220" t="s">
        <v>820</v>
      </c>
      <c r="C481" s="220" t="s">
        <v>288</v>
      </c>
      <c r="D481" s="221">
        <v>1393.13</v>
      </c>
      <c r="E481" s="221">
        <v>63.2</v>
      </c>
      <c r="F481" s="236">
        <f t="shared" ref="F481" si="60">E481*D481</f>
        <v>88045.816000000006</v>
      </c>
      <c r="G481" s="240"/>
      <c r="H481" s="291" t="s">
        <v>95</v>
      </c>
    </row>
    <row r="482" spans="1:8" s="204" customFormat="1" ht="12.75" customHeight="1" x14ac:dyDescent="0.45">
      <c r="A482" s="215" t="s">
        <v>821</v>
      </c>
      <c r="B482" s="216" t="s">
        <v>822</v>
      </c>
      <c r="C482" s="216"/>
      <c r="D482" s="217"/>
      <c r="E482" s="217"/>
      <c r="F482" s="218">
        <f>F483</f>
        <v>277776.02793600003</v>
      </c>
      <c r="G482" s="239">
        <f>(D485*1.2)/G4</f>
        <v>2.1494400554831882E-2</v>
      </c>
      <c r="H482" s="288"/>
    </row>
    <row r="483" spans="1:8" s="204" customFormat="1" ht="16.5" customHeight="1" x14ac:dyDescent="0.45">
      <c r="A483" s="225" t="s">
        <v>823</v>
      </c>
      <c r="B483" s="220" t="s">
        <v>824</v>
      </c>
      <c r="C483" s="220" t="s">
        <v>289</v>
      </c>
      <c r="D483" s="221">
        <v>417.24</v>
      </c>
      <c r="E483" s="221">
        <v>665.74639999999999</v>
      </c>
      <c r="F483" s="236">
        <f t="shared" ref="F483" si="61">E483*D483</f>
        <v>277776.02793600003</v>
      </c>
      <c r="G483" s="240">
        <f>(D486*1.1)/G4</f>
        <v>2.8021677566208606E-2</v>
      </c>
      <c r="H483" s="291" t="s">
        <v>95</v>
      </c>
    </row>
    <row r="484" spans="1:8" s="204" customFormat="1" ht="15.75" x14ac:dyDescent="0.45">
      <c r="A484" s="215" t="s">
        <v>827</v>
      </c>
      <c r="B484" s="216" t="s">
        <v>828</v>
      </c>
      <c r="C484" s="216"/>
      <c r="D484" s="217"/>
      <c r="E484" s="217"/>
      <c r="F484" s="218">
        <f>F485+F486</f>
        <v>116202.41640000002</v>
      </c>
      <c r="G484" s="239"/>
      <c r="H484" s="288"/>
    </row>
    <row r="485" spans="1:8" s="204" customFormat="1" ht="15.75" x14ac:dyDescent="0.45">
      <c r="A485" s="225" t="s">
        <v>829</v>
      </c>
      <c r="B485" s="220" t="s">
        <v>830</v>
      </c>
      <c r="C485" s="220" t="s">
        <v>288</v>
      </c>
      <c r="D485" s="221">
        <v>80.58</v>
      </c>
      <c r="E485" s="233">
        <v>613.33000000000004</v>
      </c>
      <c r="F485" s="236">
        <f t="shared" ref="F485:F488" si="62">E485*D485</f>
        <v>49422.131400000006</v>
      </c>
      <c r="G485" s="290" t="s">
        <v>1569</v>
      </c>
      <c r="H485" s="291" t="s">
        <v>95</v>
      </c>
    </row>
    <row r="486" spans="1:8" s="204" customFormat="1" ht="15.75" x14ac:dyDescent="0.45">
      <c r="A486" s="225" t="s">
        <v>831</v>
      </c>
      <c r="B486" s="220" t="s">
        <v>832</v>
      </c>
      <c r="C486" s="220" t="s">
        <v>288</v>
      </c>
      <c r="D486" s="221">
        <v>114.6</v>
      </c>
      <c r="E486" s="221">
        <v>582.72500000000002</v>
      </c>
      <c r="F486" s="236">
        <f t="shared" si="62"/>
        <v>66780.285000000003</v>
      </c>
      <c r="G486" s="240"/>
      <c r="H486" s="291" t="s">
        <v>95</v>
      </c>
    </row>
    <row r="487" spans="1:8" s="204" customFormat="1" ht="15.75" x14ac:dyDescent="0.45">
      <c r="A487" s="215" t="s">
        <v>833</v>
      </c>
      <c r="B487" s="216" t="s">
        <v>834</v>
      </c>
      <c r="C487" s="216"/>
      <c r="D487" s="217"/>
      <c r="E487" s="217"/>
      <c r="F487" s="218">
        <f>F488</f>
        <v>188504.37409999999</v>
      </c>
      <c r="G487" s="239"/>
      <c r="H487" s="288"/>
    </row>
    <row r="488" spans="1:8" s="204" customFormat="1" ht="15.75" x14ac:dyDescent="0.45">
      <c r="A488" s="225" t="s">
        <v>835</v>
      </c>
      <c r="B488" s="220" t="s">
        <v>836</v>
      </c>
      <c r="C488" s="220" t="s">
        <v>289</v>
      </c>
      <c r="D488" s="221">
        <v>112.91</v>
      </c>
      <c r="E488" s="221">
        <v>1669.51</v>
      </c>
      <c r="F488" s="236">
        <f t="shared" si="62"/>
        <v>188504.37409999999</v>
      </c>
      <c r="G488" s="240"/>
      <c r="H488" s="291" t="s">
        <v>95</v>
      </c>
    </row>
    <row r="489" spans="1:8" s="204" customFormat="1" ht="15.75" x14ac:dyDescent="0.45">
      <c r="A489" s="215" t="s">
        <v>1570</v>
      </c>
      <c r="B489" s="216" t="s">
        <v>186</v>
      </c>
      <c r="C489" s="216"/>
      <c r="D489" s="217"/>
      <c r="E489" s="217"/>
      <c r="F489" s="218">
        <f>F490</f>
        <v>40133.950000000004</v>
      </c>
      <c r="G489" s="239"/>
      <c r="H489" s="288"/>
    </row>
    <row r="490" spans="1:8" s="204" customFormat="1" ht="31.5" x14ac:dyDescent="0.45">
      <c r="A490" s="225" t="s">
        <v>1571</v>
      </c>
      <c r="B490" s="220" t="s">
        <v>838</v>
      </c>
      <c r="C490" s="220" t="s">
        <v>289</v>
      </c>
      <c r="D490" s="221">
        <v>77.930000000000007</v>
      </c>
      <c r="E490" s="233">
        <v>515</v>
      </c>
      <c r="F490" s="236">
        <f t="shared" ref="F490" si="63">E490*D490</f>
        <v>40133.950000000004</v>
      </c>
      <c r="G490" s="290" t="s">
        <v>1572</v>
      </c>
      <c r="H490" s="291" t="s">
        <v>95</v>
      </c>
    </row>
    <row r="491" spans="1:8" s="204" customFormat="1" ht="15.75" x14ac:dyDescent="0.45">
      <c r="A491" s="215" t="s">
        <v>839</v>
      </c>
      <c r="B491" s="216" t="s">
        <v>45</v>
      </c>
      <c r="C491" s="216"/>
      <c r="D491" s="217"/>
      <c r="E491" s="217"/>
      <c r="F491" s="218">
        <f>F492</f>
        <v>25772.905000000002</v>
      </c>
      <c r="G491" s="239"/>
      <c r="H491" s="288"/>
    </row>
    <row r="492" spans="1:8" s="204" customFormat="1" ht="15.75" x14ac:dyDescent="0.45">
      <c r="A492" s="225" t="s">
        <v>840</v>
      </c>
      <c r="B492" s="220" t="s">
        <v>841</v>
      </c>
      <c r="C492" s="220" t="s">
        <v>288</v>
      </c>
      <c r="D492" s="221">
        <v>1393.13</v>
      </c>
      <c r="E492" s="221">
        <v>18.5</v>
      </c>
      <c r="F492" s="236">
        <f t="shared" ref="F492" si="64">E492*D492</f>
        <v>25772.905000000002</v>
      </c>
      <c r="G492" s="240"/>
      <c r="H492" s="291"/>
    </row>
    <row r="493" spans="1:8" s="204" customFormat="1" ht="15.75" x14ac:dyDescent="0.45">
      <c r="A493" s="210" t="s">
        <v>842</v>
      </c>
      <c r="B493" s="211" t="s">
        <v>843</v>
      </c>
      <c r="C493" s="211"/>
      <c r="D493" s="212"/>
      <c r="E493" s="212"/>
      <c r="F493" s="213">
        <f>F494+F501+F503+F507</f>
        <v>250004.99599999998</v>
      </c>
      <c r="G493" s="238"/>
      <c r="H493" s="287"/>
    </row>
    <row r="494" spans="1:8" s="204" customFormat="1" ht="15.75" x14ac:dyDescent="0.45">
      <c r="A494" s="215" t="s">
        <v>844</v>
      </c>
      <c r="B494" s="216" t="s">
        <v>845</v>
      </c>
      <c r="C494" s="216"/>
      <c r="D494" s="217"/>
      <c r="E494" s="217"/>
      <c r="F494" s="218">
        <f>SUM(F495:F500)</f>
        <v>184226.196</v>
      </c>
      <c r="G494" s="239"/>
      <c r="H494" s="288"/>
    </row>
    <row r="495" spans="1:8" s="204" customFormat="1" ht="31.5" x14ac:dyDescent="0.45">
      <c r="A495" s="225" t="s">
        <v>846</v>
      </c>
      <c r="B495" s="220" t="s">
        <v>847</v>
      </c>
      <c r="C495" s="220" t="s">
        <v>417</v>
      </c>
      <c r="D495" s="221">
        <v>30</v>
      </c>
      <c r="E495" s="221">
        <v>852.12760000000003</v>
      </c>
      <c r="F495" s="236">
        <f t="shared" ref="F495:F500" si="65">E495*D495</f>
        <v>25563.828000000001</v>
      </c>
      <c r="G495" s="240"/>
      <c r="H495" s="291" t="s">
        <v>95</v>
      </c>
    </row>
    <row r="496" spans="1:8" s="204" customFormat="1" ht="31.5" x14ac:dyDescent="0.45">
      <c r="A496" s="225" t="s">
        <v>848</v>
      </c>
      <c r="B496" s="220" t="s">
        <v>849</v>
      </c>
      <c r="C496" s="220" t="s">
        <v>417</v>
      </c>
      <c r="D496" s="221">
        <v>73</v>
      </c>
      <c r="E496" s="221">
        <v>852.12760000000003</v>
      </c>
      <c r="F496" s="236">
        <f t="shared" si="65"/>
        <v>62205.3148</v>
      </c>
      <c r="G496" s="240"/>
      <c r="H496" s="291" t="s">
        <v>95</v>
      </c>
    </row>
    <row r="497" spans="1:8" s="204" customFormat="1" ht="31.5" x14ac:dyDescent="0.45">
      <c r="A497" s="225" t="s">
        <v>850</v>
      </c>
      <c r="B497" s="220" t="s">
        <v>851</v>
      </c>
      <c r="C497" s="220" t="s">
        <v>417</v>
      </c>
      <c r="D497" s="221">
        <v>35</v>
      </c>
      <c r="E497" s="221">
        <v>852.12760000000003</v>
      </c>
      <c r="F497" s="236">
        <f t="shared" si="65"/>
        <v>29824.466</v>
      </c>
      <c r="G497" s="240"/>
      <c r="H497" s="291" t="s">
        <v>95</v>
      </c>
    </row>
    <row r="498" spans="1:8" s="204" customFormat="1" ht="31.5" x14ac:dyDescent="0.45">
      <c r="A498" s="225" t="s">
        <v>852</v>
      </c>
      <c r="B498" s="220" t="s">
        <v>1573</v>
      </c>
      <c r="C498" s="220" t="s">
        <v>417</v>
      </c>
      <c r="D498" s="221">
        <v>27</v>
      </c>
      <c r="E498" s="221">
        <v>852.12760000000003</v>
      </c>
      <c r="F498" s="236">
        <f t="shared" si="65"/>
        <v>23007.445200000002</v>
      </c>
      <c r="G498" s="240"/>
      <c r="H498" s="291" t="s">
        <v>95</v>
      </c>
    </row>
    <row r="499" spans="1:8" s="204" customFormat="1" ht="31.5" x14ac:dyDescent="0.45">
      <c r="A499" s="225" t="s">
        <v>854</v>
      </c>
      <c r="B499" s="220" t="s">
        <v>1574</v>
      </c>
      <c r="C499" s="220" t="s">
        <v>417</v>
      </c>
      <c r="D499" s="221">
        <v>36</v>
      </c>
      <c r="E499" s="221">
        <v>969.44759999999997</v>
      </c>
      <c r="F499" s="236">
        <f t="shared" si="65"/>
        <v>34900.113599999997</v>
      </c>
      <c r="G499" s="240"/>
      <c r="H499" s="291" t="s">
        <v>95</v>
      </c>
    </row>
    <row r="500" spans="1:8" s="204" customFormat="1" ht="31.5" x14ac:dyDescent="0.45">
      <c r="A500" s="225" t="s">
        <v>856</v>
      </c>
      <c r="B500" s="220" t="s">
        <v>1575</v>
      </c>
      <c r="C500" s="220" t="s">
        <v>417</v>
      </c>
      <c r="D500" s="221">
        <v>9</v>
      </c>
      <c r="E500" s="221">
        <v>969.44759999999997</v>
      </c>
      <c r="F500" s="236">
        <f t="shared" si="65"/>
        <v>8725.0283999999992</v>
      </c>
      <c r="G500" s="240"/>
      <c r="H500" s="291" t="s">
        <v>95</v>
      </c>
    </row>
    <row r="501" spans="1:8" s="204" customFormat="1" ht="15.75" x14ac:dyDescent="0.45">
      <c r="A501" s="215" t="s">
        <v>862</v>
      </c>
      <c r="B501" s="216" t="s">
        <v>863</v>
      </c>
      <c r="C501" s="216"/>
      <c r="D501" s="217"/>
      <c r="E501" s="217"/>
      <c r="F501" s="218">
        <f>F502</f>
        <v>1468.75</v>
      </c>
      <c r="G501" s="239"/>
      <c r="H501" s="288"/>
    </row>
    <row r="502" spans="1:8" s="204" customFormat="1" ht="15.75" x14ac:dyDescent="0.45">
      <c r="A502" s="225" t="s">
        <v>864</v>
      </c>
      <c r="B502" s="220" t="s">
        <v>865</v>
      </c>
      <c r="C502" s="220" t="s">
        <v>288</v>
      </c>
      <c r="D502" s="221">
        <v>58.75</v>
      </c>
      <c r="E502" s="221">
        <v>25</v>
      </c>
      <c r="F502" s="236">
        <f t="shared" ref="F502" si="66">E502*D502</f>
        <v>1468.75</v>
      </c>
      <c r="G502" s="240"/>
      <c r="H502" s="291" t="s">
        <v>95</v>
      </c>
    </row>
    <row r="503" spans="1:8" s="204" customFormat="1" ht="15.75" x14ac:dyDescent="0.45">
      <c r="A503" s="215" t="s">
        <v>866</v>
      </c>
      <c r="B503" s="216" t="s">
        <v>867</v>
      </c>
      <c r="C503" s="216"/>
      <c r="D503" s="217"/>
      <c r="E503" s="217"/>
      <c r="F503" s="218">
        <f>SUM(F504:F506)</f>
        <v>37010.050000000003</v>
      </c>
      <c r="G503" s="239"/>
      <c r="H503" s="288"/>
    </row>
    <row r="504" spans="1:8" s="204" customFormat="1" ht="15.75" x14ac:dyDescent="0.45">
      <c r="A504" s="225" t="s">
        <v>868</v>
      </c>
      <c r="B504" s="220" t="s">
        <v>869</v>
      </c>
      <c r="C504" s="220" t="s">
        <v>870</v>
      </c>
      <c r="D504" s="221">
        <v>82</v>
      </c>
      <c r="E504" s="221">
        <v>174.25</v>
      </c>
      <c r="F504" s="236">
        <f t="shared" ref="F504:F506" si="67">E504*D504</f>
        <v>14288.5</v>
      </c>
      <c r="G504" s="240"/>
      <c r="H504" s="291"/>
    </row>
    <row r="505" spans="1:8" s="204" customFormat="1" ht="15.75" x14ac:dyDescent="0.45">
      <c r="A505" s="225" t="s">
        <v>871</v>
      </c>
      <c r="B505" s="220" t="s">
        <v>872</v>
      </c>
      <c r="C505" s="220" t="s">
        <v>870</v>
      </c>
      <c r="D505" s="221">
        <v>35</v>
      </c>
      <c r="E505" s="221">
        <v>186.18</v>
      </c>
      <c r="F505" s="236">
        <f t="shared" si="67"/>
        <v>6516.3</v>
      </c>
      <c r="G505" s="240"/>
      <c r="H505" s="291"/>
    </row>
    <row r="506" spans="1:8" s="204" customFormat="1" ht="15.75" x14ac:dyDescent="0.45">
      <c r="A506" s="225" t="s">
        <v>873</v>
      </c>
      <c r="B506" s="220" t="s">
        <v>874</v>
      </c>
      <c r="C506" s="220" t="s">
        <v>870</v>
      </c>
      <c r="D506" s="221">
        <v>93</v>
      </c>
      <c r="E506" s="221">
        <v>174.25</v>
      </c>
      <c r="F506" s="236">
        <f t="shared" si="67"/>
        <v>16205.25</v>
      </c>
      <c r="G506" s="240"/>
      <c r="H506" s="291"/>
    </row>
    <row r="507" spans="1:8" s="204" customFormat="1" ht="15.75" x14ac:dyDescent="0.45">
      <c r="A507" s="215" t="s">
        <v>877</v>
      </c>
      <c r="B507" s="216" t="s">
        <v>45</v>
      </c>
      <c r="C507" s="216"/>
      <c r="D507" s="217"/>
      <c r="E507" s="217"/>
      <c r="F507" s="218">
        <f>F508</f>
        <v>27300</v>
      </c>
      <c r="G507" s="239"/>
      <c r="H507" s="288"/>
    </row>
    <row r="508" spans="1:8" s="204" customFormat="1" ht="15.75" x14ac:dyDescent="0.45">
      <c r="A508" s="225" t="s">
        <v>878</v>
      </c>
      <c r="B508" s="220" t="s">
        <v>879</v>
      </c>
      <c r="C508" s="220" t="s">
        <v>417</v>
      </c>
      <c r="D508" s="221">
        <v>210</v>
      </c>
      <c r="E508" s="221">
        <v>130</v>
      </c>
      <c r="F508" s="236">
        <f t="shared" ref="F508" si="68">E508*D508</f>
        <v>27300</v>
      </c>
      <c r="G508" s="240"/>
      <c r="H508" s="291"/>
    </row>
    <row r="509" spans="1:8" s="204" customFormat="1" ht="15.75" x14ac:dyDescent="0.45">
      <c r="A509" s="210" t="s">
        <v>880</v>
      </c>
      <c r="B509" s="211" t="s">
        <v>881</v>
      </c>
      <c r="C509" s="211"/>
      <c r="D509" s="212"/>
      <c r="E509" s="212"/>
      <c r="F509" s="213">
        <f>F510+F513</f>
        <v>65828.420599999998</v>
      </c>
      <c r="G509" s="238"/>
      <c r="H509" s="287"/>
    </row>
    <row r="510" spans="1:8" s="204" customFormat="1" ht="15.75" x14ac:dyDescent="0.45">
      <c r="A510" s="215" t="s">
        <v>882</v>
      </c>
      <c r="B510" s="216" t="s">
        <v>883</v>
      </c>
      <c r="C510" s="216"/>
      <c r="D510" s="217"/>
      <c r="E510" s="217"/>
      <c r="F510" s="218">
        <f>F511+F512</f>
        <v>60215</v>
      </c>
      <c r="G510" s="239"/>
      <c r="H510" s="288"/>
    </row>
    <row r="511" spans="1:8" s="204" customFormat="1" ht="15.75" x14ac:dyDescent="0.45">
      <c r="A511" s="225" t="s">
        <v>886</v>
      </c>
      <c r="B511" s="220" t="s">
        <v>1576</v>
      </c>
      <c r="C511" s="220" t="s">
        <v>417</v>
      </c>
      <c r="D511" s="221">
        <v>26</v>
      </c>
      <c r="E511" s="221">
        <v>1750</v>
      </c>
      <c r="F511" s="236">
        <f t="shared" ref="F511:F515" si="69">E511*D511</f>
        <v>45500</v>
      </c>
      <c r="G511" s="240"/>
      <c r="H511" s="291" t="s">
        <v>95</v>
      </c>
    </row>
    <row r="512" spans="1:8" s="204" customFormat="1" ht="15.75" x14ac:dyDescent="0.45">
      <c r="A512" s="225" t="s">
        <v>888</v>
      </c>
      <c r="B512" s="220" t="s">
        <v>826</v>
      </c>
      <c r="C512" s="220" t="s">
        <v>417</v>
      </c>
      <c r="D512" s="221">
        <v>2</v>
      </c>
      <c r="E512" s="221">
        <v>7357.5</v>
      </c>
      <c r="F512" s="236">
        <f t="shared" si="69"/>
        <v>14715</v>
      </c>
      <c r="G512" s="240"/>
      <c r="H512" s="291" t="s">
        <v>95</v>
      </c>
    </row>
    <row r="513" spans="1:8" s="204" customFormat="1" ht="11.25" customHeight="1" x14ac:dyDescent="0.45">
      <c r="A513" s="215" t="s">
        <v>889</v>
      </c>
      <c r="B513" s="216" t="s">
        <v>890</v>
      </c>
      <c r="C513" s="216"/>
      <c r="D513" s="217"/>
      <c r="E513" s="217"/>
      <c r="F513" s="218">
        <f>F514+F515</f>
        <v>5613.4205999999995</v>
      </c>
      <c r="G513" s="239"/>
      <c r="H513" s="288"/>
    </row>
    <row r="514" spans="1:8" s="204" customFormat="1" ht="15.75" x14ac:dyDescent="0.45">
      <c r="A514" s="225" t="s">
        <v>893</v>
      </c>
      <c r="B514" s="220" t="s">
        <v>894</v>
      </c>
      <c r="C514" s="220" t="s">
        <v>417</v>
      </c>
      <c r="D514" s="221">
        <v>1</v>
      </c>
      <c r="E514" s="221">
        <v>5350.0349999999999</v>
      </c>
      <c r="F514" s="236">
        <f t="shared" si="69"/>
        <v>5350.0349999999999</v>
      </c>
      <c r="G514" s="240"/>
      <c r="H514" s="291"/>
    </row>
    <row r="515" spans="1:8" s="204" customFormat="1" ht="15.75" x14ac:dyDescent="0.45">
      <c r="A515" s="225" t="s">
        <v>897</v>
      </c>
      <c r="B515" s="220" t="s">
        <v>896</v>
      </c>
      <c r="C515" s="220" t="s">
        <v>417</v>
      </c>
      <c r="D515" s="221">
        <v>1</v>
      </c>
      <c r="E515" s="221">
        <v>263.38560000000001</v>
      </c>
      <c r="F515" s="236">
        <f t="shared" si="69"/>
        <v>263.38560000000001</v>
      </c>
      <c r="G515" s="240"/>
      <c r="H515" s="291"/>
    </row>
    <row r="516" spans="1:8" s="204" customFormat="1" ht="15.75" x14ac:dyDescent="0.45">
      <c r="A516" s="210" t="s">
        <v>901</v>
      </c>
      <c r="B516" s="211" t="s">
        <v>595</v>
      </c>
      <c r="C516" s="211"/>
      <c r="D516" s="212"/>
      <c r="E516" s="212"/>
      <c r="F516" s="213">
        <f>F517</f>
        <v>16024.37</v>
      </c>
      <c r="G516" s="238"/>
      <c r="H516" s="287"/>
    </row>
    <row r="517" spans="1:8" s="204" customFormat="1" ht="15.75" x14ac:dyDescent="0.45">
      <c r="A517" s="215" t="s">
        <v>902</v>
      </c>
      <c r="B517" s="216" t="s">
        <v>384</v>
      </c>
      <c r="C517" s="216"/>
      <c r="D517" s="217"/>
      <c r="E517" s="217"/>
      <c r="F517" s="218">
        <f>F518</f>
        <v>16024.37</v>
      </c>
      <c r="G517" s="239"/>
      <c r="H517" s="288"/>
    </row>
    <row r="518" spans="1:8" s="204" customFormat="1" ht="15.75" x14ac:dyDescent="0.45">
      <c r="A518" s="225" t="s">
        <v>903</v>
      </c>
      <c r="B518" s="220" t="s">
        <v>384</v>
      </c>
      <c r="C518" s="220" t="s">
        <v>285</v>
      </c>
      <c r="D518" s="221">
        <v>1</v>
      </c>
      <c r="E518" s="221">
        <v>16024.37</v>
      </c>
      <c r="F518" s="236">
        <f t="shared" ref="F518" si="70">E518*D518</f>
        <v>16024.37</v>
      </c>
      <c r="G518" s="240"/>
      <c r="H518" s="291"/>
    </row>
    <row r="519" spans="1:8" s="204" customFormat="1" ht="15.75" x14ac:dyDescent="0.45">
      <c r="A519" s="205" t="s">
        <v>904</v>
      </c>
      <c r="B519" s="206" t="s">
        <v>905</v>
      </c>
      <c r="C519" s="206"/>
      <c r="D519" s="207"/>
      <c r="E519" s="207"/>
      <c r="F519" s="208">
        <f>F520</f>
        <v>107044.97999999998</v>
      </c>
      <c r="G519" s="309"/>
      <c r="H519" s="286"/>
    </row>
    <row r="520" spans="1:8" s="204" customFormat="1" ht="15.75" x14ac:dyDescent="0.45">
      <c r="A520" s="210" t="s">
        <v>906</v>
      </c>
      <c r="B520" s="211" t="s">
        <v>905</v>
      </c>
      <c r="C520" s="211"/>
      <c r="D520" s="212"/>
      <c r="E520" s="212"/>
      <c r="F520" s="213">
        <f>F521+F523+F525+F527</f>
        <v>107044.97999999998</v>
      </c>
      <c r="G520" s="238"/>
      <c r="H520" s="287"/>
    </row>
    <row r="521" spans="1:8" s="204" customFormat="1" ht="15.75" x14ac:dyDescent="0.45">
      <c r="A521" s="215" t="s">
        <v>907</v>
      </c>
      <c r="B521" s="216" t="s">
        <v>908</v>
      </c>
      <c r="C521" s="216"/>
      <c r="D521" s="217"/>
      <c r="E521" s="217"/>
      <c r="F521" s="218">
        <f>F522</f>
        <v>71013.039999999994</v>
      </c>
      <c r="G521" s="239"/>
      <c r="H521" s="288"/>
    </row>
    <row r="522" spans="1:8" s="204" customFormat="1" ht="31.5" x14ac:dyDescent="0.45">
      <c r="A522" s="225" t="s">
        <v>909</v>
      </c>
      <c r="B522" s="220" t="s">
        <v>910</v>
      </c>
      <c r="C522" s="220" t="s">
        <v>285</v>
      </c>
      <c r="D522" s="221">
        <v>1</v>
      </c>
      <c r="E522" s="233">
        <v>71013.039999999994</v>
      </c>
      <c r="F522" s="236">
        <f t="shared" ref="F522" si="71">E522*D522</f>
        <v>71013.039999999994</v>
      </c>
      <c r="G522" s="290" t="s">
        <v>1577</v>
      </c>
      <c r="H522" s="304" t="s">
        <v>905</v>
      </c>
    </row>
    <row r="523" spans="1:8" s="204" customFormat="1" ht="12.75" customHeight="1" x14ac:dyDescent="0.45">
      <c r="A523" s="215" t="s">
        <v>911</v>
      </c>
      <c r="B523" s="216" t="s">
        <v>912</v>
      </c>
      <c r="C523" s="216"/>
      <c r="D523" s="217"/>
      <c r="E523" s="217"/>
      <c r="F523" s="218">
        <f>F524</f>
        <v>2589.7800000000002</v>
      </c>
      <c r="G523" s="239"/>
      <c r="H523" s="288"/>
    </row>
    <row r="524" spans="1:8" s="204" customFormat="1" ht="11.25" customHeight="1" x14ac:dyDescent="0.45">
      <c r="A524" s="225" t="s">
        <v>913</v>
      </c>
      <c r="B524" s="220" t="s">
        <v>914</v>
      </c>
      <c r="C524" s="220" t="s">
        <v>285</v>
      </c>
      <c r="D524" s="221">
        <v>1</v>
      </c>
      <c r="E524" s="221">
        <v>2589.7800000000002</v>
      </c>
      <c r="F524" s="236">
        <f t="shared" ref="F524" si="72">E524*D524</f>
        <v>2589.7800000000002</v>
      </c>
      <c r="G524" s="240"/>
      <c r="H524" s="304" t="s">
        <v>905</v>
      </c>
    </row>
    <row r="525" spans="1:8" s="204" customFormat="1" ht="15.75" x14ac:dyDescent="0.45">
      <c r="A525" s="215" t="s">
        <v>919</v>
      </c>
      <c r="B525" s="216" t="s">
        <v>45</v>
      </c>
      <c r="C525" s="216"/>
      <c r="D525" s="217"/>
      <c r="E525" s="217"/>
      <c r="F525" s="218">
        <f>F526</f>
        <v>31490.76</v>
      </c>
      <c r="G525" s="239"/>
      <c r="H525" s="288"/>
    </row>
    <row r="526" spans="1:8" s="204" customFormat="1" ht="12.75" customHeight="1" x14ac:dyDescent="0.45">
      <c r="A526" s="225" t="s">
        <v>920</v>
      </c>
      <c r="B526" s="220" t="s">
        <v>921</v>
      </c>
      <c r="C526" s="220" t="s">
        <v>285</v>
      </c>
      <c r="D526" s="221">
        <v>1</v>
      </c>
      <c r="E526" s="221">
        <v>31490.76</v>
      </c>
      <c r="F526" s="236">
        <f t="shared" ref="F526" si="73">E526*D526</f>
        <v>31490.76</v>
      </c>
      <c r="G526" s="240"/>
      <c r="H526" s="304" t="s">
        <v>905</v>
      </c>
    </row>
    <row r="527" spans="1:8" s="204" customFormat="1" ht="11.25" customHeight="1" x14ac:dyDescent="0.45">
      <c r="A527" s="215" t="s">
        <v>922</v>
      </c>
      <c r="B527" s="216" t="s">
        <v>384</v>
      </c>
      <c r="C527" s="216"/>
      <c r="D527" s="217"/>
      <c r="E527" s="217"/>
      <c r="F527" s="218">
        <f>F528</f>
        <v>1951.4</v>
      </c>
      <c r="G527" s="239"/>
      <c r="H527" s="288"/>
    </row>
    <row r="528" spans="1:8" s="204" customFormat="1" ht="15.75" x14ac:dyDescent="0.45">
      <c r="A528" s="225" t="s">
        <v>923</v>
      </c>
      <c r="B528" s="220" t="s">
        <v>384</v>
      </c>
      <c r="C528" s="220" t="s">
        <v>285</v>
      </c>
      <c r="D528" s="221">
        <v>1</v>
      </c>
      <c r="E528" s="221">
        <v>1951.4</v>
      </c>
      <c r="F528" s="236">
        <f t="shared" ref="F528" si="74">E528*D528</f>
        <v>1951.4</v>
      </c>
      <c r="G528" s="240"/>
      <c r="H528" s="304"/>
    </row>
    <row r="529" spans="1:8" s="204" customFormat="1" ht="15.75" x14ac:dyDescent="0.45">
      <c r="A529" s="205" t="s">
        <v>1578</v>
      </c>
      <c r="B529" s="206" t="s">
        <v>1003</v>
      </c>
      <c r="C529" s="206"/>
      <c r="D529" s="207"/>
      <c r="E529" s="207"/>
      <c r="F529" s="208">
        <f>F530</f>
        <v>67658.498326000001</v>
      </c>
      <c r="G529" s="309">
        <f>F529/G4</f>
        <v>15.039700338767545</v>
      </c>
      <c r="H529" s="286"/>
    </row>
    <row r="530" spans="1:8" s="204" customFormat="1" ht="15.75" x14ac:dyDescent="0.45">
      <c r="A530" s="210" t="s">
        <v>1579</v>
      </c>
      <c r="B530" s="211" t="s">
        <v>1003</v>
      </c>
      <c r="C530" s="211"/>
      <c r="D530" s="212"/>
      <c r="E530" s="212"/>
      <c r="F530" s="213">
        <f>F531+F533+F535+F539+F541+F543</f>
        <v>67658.498326000001</v>
      </c>
      <c r="G530" s="238"/>
      <c r="H530" s="287"/>
    </row>
    <row r="531" spans="1:8" s="204" customFormat="1" ht="15.75" x14ac:dyDescent="0.45">
      <c r="A531" s="215" t="s">
        <v>1580</v>
      </c>
      <c r="B531" s="216" t="s">
        <v>1581</v>
      </c>
      <c r="C531" s="216"/>
      <c r="D531" s="217"/>
      <c r="E531" s="217"/>
      <c r="F531" s="218">
        <f>F532</f>
        <v>7754.8332889999992</v>
      </c>
      <c r="G531" s="239"/>
      <c r="H531" s="288"/>
    </row>
    <row r="532" spans="1:8" s="204" customFormat="1" ht="15.75" x14ac:dyDescent="0.45">
      <c r="A532" s="225" t="s">
        <v>1582</v>
      </c>
      <c r="B532" s="220" t="s">
        <v>1583</v>
      </c>
      <c r="C532" s="220" t="s">
        <v>289</v>
      </c>
      <c r="D532" s="221">
        <v>266.70999999999998</v>
      </c>
      <c r="E532" s="221">
        <v>29.075900000000001</v>
      </c>
      <c r="F532" s="236">
        <f t="shared" ref="F532" si="75">E532*D532</f>
        <v>7754.8332889999992</v>
      </c>
      <c r="G532" s="240"/>
      <c r="H532" s="304" t="s">
        <v>1003</v>
      </c>
    </row>
    <row r="533" spans="1:8" s="204" customFormat="1" ht="15.75" x14ac:dyDescent="0.45">
      <c r="A533" s="215" t="s">
        <v>1584</v>
      </c>
      <c r="B533" s="216" t="s">
        <v>1585</v>
      </c>
      <c r="C533" s="216"/>
      <c r="D533" s="217"/>
      <c r="E533" s="217"/>
      <c r="F533" s="218">
        <f>F534</f>
        <v>13736.818536999999</v>
      </c>
      <c r="G533" s="239"/>
      <c r="H533" s="288"/>
    </row>
    <row r="534" spans="1:8" s="204" customFormat="1" ht="11.25" customHeight="1" x14ac:dyDescent="0.45">
      <c r="A534" s="225" t="s">
        <v>1586</v>
      </c>
      <c r="B534" s="220" t="s">
        <v>1587</v>
      </c>
      <c r="C534" s="220" t="s">
        <v>289</v>
      </c>
      <c r="D534" s="221">
        <v>266.70999999999998</v>
      </c>
      <c r="E534" s="233">
        <v>51.5047</v>
      </c>
      <c r="F534" s="236">
        <f t="shared" ref="F534" si="76">E534*D534</f>
        <v>13736.818536999999</v>
      </c>
      <c r="G534" s="290" t="s">
        <v>1588</v>
      </c>
      <c r="H534" s="304" t="s">
        <v>1003</v>
      </c>
    </row>
    <row r="535" spans="1:8" s="204" customFormat="1" ht="12.75" customHeight="1" x14ac:dyDescent="0.45">
      <c r="A535" s="215" t="s">
        <v>1589</v>
      </c>
      <c r="B535" s="216" t="s">
        <v>199</v>
      </c>
      <c r="C535" s="216"/>
      <c r="D535" s="217"/>
      <c r="E535" s="217"/>
      <c r="F535" s="218">
        <f>SUM(F536:F538)</f>
        <v>18507.176500000001</v>
      </c>
      <c r="G535" s="239"/>
      <c r="H535" s="288"/>
    </row>
    <row r="536" spans="1:8" s="204" customFormat="1" ht="12.75" customHeight="1" x14ac:dyDescent="0.45">
      <c r="A536" s="225" t="s">
        <v>1590</v>
      </c>
      <c r="B536" s="220" t="s">
        <v>1591</v>
      </c>
      <c r="C536" s="220" t="s">
        <v>288</v>
      </c>
      <c r="D536" s="221">
        <v>17.45</v>
      </c>
      <c r="E536" s="221">
        <v>243.57</v>
      </c>
      <c r="F536" s="236">
        <f t="shared" ref="F536:F538" si="77">E536*D536</f>
        <v>4250.2964999999995</v>
      </c>
      <c r="G536" s="240"/>
      <c r="H536" s="304" t="s">
        <v>1003</v>
      </c>
    </row>
    <row r="537" spans="1:8" s="204" customFormat="1" ht="12.75" customHeight="1" x14ac:dyDescent="0.45">
      <c r="A537" s="225" t="s">
        <v>1592</v>
      </c>
      <c r="B537" s="220" t="s">
        <v>1593</v>
      </c>
      <c r="C537" s="220" t="s">
        <v>288</v>
      </c>
      <c r="D537" s="221">
        <v>98.87</v>
      </c>
      <c r="E537" s="221">
        <v>68</v>
      </c>
      <c r="F537" s="236">
        <f t="shared" si="77"/>
        <v>6723.16</v>
      </c>
      <c r="G537" s="240"/>
      <c r="H537" s="304" t="s">
        <v>1003</v>
      </c>
    </row>
    <row r="538" spans="1:8" s="204" customFormat="1" ht="11.25" customHeight="1" x14ac:dyDescent="0.45">
      <c r="A538" s="225" t="s">
        <v>1594</v>
      </c>
      <c r="B538" s="220" t="s">
        <v>1595</v>
      </c>
      <c r="C538" s="220" t="s">
        <v>288</v>
      </c>
      <c r="D538" s="221">
        <v>110.79</v>
      </c>
      <c r="E538" s="221">
        <v>68</v>
      </c>
      <c r="F538" s="236">
        <f t="shared" si="77"/>
        <v>7533.72</v>
      </c>
      <c r="G538" s="240"/>
      <c r="H538" s="304" t="s">
        <v>1003</v>
      </c>
    </row>
    <row r="539" spans="1:8" s="204" customFormat="1" ht="11.25" customHeight="1" x14ac:dyDescent="0.45">
      <c r="A539" s="215" t="s">
        <v>1596</v>
      </c>
      <c r="B539" s="216" t="s">
        <v>1597</v>
      </c>
      <c r="C539" s="216"/>
      <c r="D539" s="217"/>
      <c r="E539" s="217"/>
      <c r="F539" s="218">
        <f>F540</f>
        <v>5149</v>
      </c>
      <c r="G539" s="239"/>
      <c r="H539" s="288"/>
    </row>
    <row r="540" spans="1:8" s="204" customFormat="1" ht="11.25" customHeight="1" x14ac:dyDescent="0.45">
      <c r="A540" s="225" t="s">
        <v>1598</v>
      </c>
      <c r="B540" s="220" t="s">
        <v>1599</v>
      </c>
      <c r="C540" s="220" t="s">
        <v>289</v>
      </c>
      <c r="D540" s="221">
        <v>10</v>
      </c>
      <c r="E540" s="221">
        <v>514.9</v>
      </c>
      <c r="F540" s="236">
        <f t="shared" ref="F540" si="78">E540*D540</f>
        <v>5149</v>
      </c>
      <c r="G540" s="240"/>
      <c r="H540" s="304" t="s">
        <v>1003</v>
      </c>
    </row>
    <row r="541" spans="1:8" s="204" customFormat="1" ht="15.75" x14ac:dyDescent="0.45">
      <c r="A541" s="215" t="s">
        <v>1600</v>
      </c>
      <c r="B541" s="216" t="s">
        <v>45</v>
      </c>
      <c r="C541" s="216"/>
      <c r="D541" s="217"/>
      <c r="E541" s="217"/>
      <c r="F541" s="218">
        <f>F542</f>
        <v>21336.799999999999</v>
      </c>
      <c r="G541" s="239"/>
      <c r="H541" s="288"/>
    </row>
    <row r="542" spans="1:8" s="204" customFormat="1" ht="15.75" x14ac:dyDescent="0.45">
      <c r="A542" s="225" t="s">
        <v>1601</v>
      </c>
      <c r="B542" s="220" t="s">
        <v>1602</v>
      </c>
      <c r="C542" s="220" t="s">
        <v>289</v>
      </c>
      <c r="D542" s="221">
        <v>266.70999999999998</v>
      </c>
      <c r="E542" s="221">
        <v>80</v>
      </c>
      <c r="F542" s="236">
        <f t="shared" ref="F542" si="79">E542*D542</f>
        <v>21336.799999999999</v>
      </c>
      <c r="G542" s="240"/>
      <c r="H542" s="291"/>
    </row>
    <row r="543" spans="1:8" s="204" customFormat="1" ht="15.75" x14ac:dyDescent="0.45">
      <c r="A543" s="215" t="s">
        <v>1603</v>
      </c>
      <c r="B543" s="216" t="s">
        <v>384</v>
      </c>
      <c r="C543" s="216"/>
      <c r="D543" s="217"/>
      <c r="E543" s="217"/>
      <c r="F543" s="218">
        <f>F544</f>
        <v>1173.8699999999999</v>
      </c>
      <c r="G543" s="239"/>
      <c r="H543" s="288"/>
    </row>
    <row r="544" spans="1:8" s="204" customFormat="1" ht="15.75" x14ac:dyDescent="0.45">
      <c r="A544" s="225" t="s">
        <v>1604</v>
      </c>
      <c r="B544" s="220" t="s">
        <v>384</v>
      </c>
      <c r="C544" s="220" t="s">
        <v>285</v>
      </c>
      <c r="D544" s="221">
        <v>1</v>
      </c>
      <c r="E544" s="221">
        <v>1173.8699999999999</v>
      </c>
      <c r="F544" s="236">
        <f t="shared" ref="F544" si="80">E544*D544</f>
        <v>1173.8699999999999</v>
      </c>
      <c r="G544" s="240"/>
      <c r="H544" s="291"/>
    </row>
    <row r="545" spans="1:8" s="204" customFormat="1" ht="15.75" x14ac:dyDescent="0.45">
      <c r="A545" s="205" t="s">
        <v>924</v>
      </c>
      <c r="B545" s="206" t="s">
        <v>925</v>
      </c>
      <c r="C545" s="206"/>
      <c r="D545" s="207"/>
      <c r="E545" s="207"/>
      <c r="F545" s="208">
        <f>F546</f>
        <v>555261.95980000007</v>
      </c>
      <c r="G545" s="309">
        <f>F545/G4</f>
        <v>123.4283008273575</v>
      </c>
      <c r="H545" s="286"/>
    </row>
    <row r="546" spans="1:8" s="204" customFormat="1" ht="15.75" x14ac:dyDescent="0.45">
      <c r="A546" s="210" t="s">
        <v>926</v>
      </c>
      <c r="B546" s="211" t="s">
        <v>925</v>
      </c>
      <c r="C546" s="211"/>
      <c r="D546" s="212"/>
      <c r="E546" s="212"/>
      <c r="F546" s="213">
        <f>F547+F551+F556+F558+F562</f>
        <v>555261.95980000007</v>
      </c>
      <c r="G546" s="238"/>
      <c r="H546" s="287"/>
    </row>
    <row r="547" spans="1:8" s="204" customFormat="1" ht="15.75" x14ac:dyDescent="0.45">
      <c r="A547" s="215" t="s">
        <v>927</v>
      </c>
      <c r="B547" s="216" t="s">
        <v>928</v>
      </c>
      <c r="C547" s="216"/>
      <c r="D547" s="217"/>
      <c r="E547" s="217"/>
      <c r="F547" s="218">
        <f>SUM(F548:F550)</f>
        <v>69900.267209999991</v>
      </c>
      <c r="G547" s="239"/>
      <c r="H547" s="288"/>
    </row>
    <row r="548" spans="1:8" s="204" customFormat="1" ht="31.5" x14ac:dyDescent="0.45">
      <c r="A548" s="225" t="s">
        <v>929</v>
      </c>
      <c r="B548" s="220" t="s">
        <v>930</v>
      </c>
      <c r="C548" s="220" t="s">
        <v>289</v>
      </c>
      <c r="D548" s="221">
        <v>2528.83</v>
      </c>
      <c r="E548" s="221">
        <v>2.2949999999999999</v>
      </c>
      <c r="F548" s="236">
        <f t="shared" ref="F548:F555" si="81">E548*D548</f>
        <v>5803.6648499999992</v>
      </c>
      <c r="G548" s="240"/>
      <c r="H548" s="304" t="s">
        <v>1605</v>
      </c>
    </row>
    <row r="549" spans="1:8" s="204" customFormat="1" ht="31.5" x14ac:dyDescent="0.45">
      <c r="A549" s="225" t="s">
        <v>931</v>
      </c>
      <c r="B549" s="220" t="s">
        <v>932</v>
      </c>
      <c r="C549" s="220" t="s">
        <v>289</v>
      </c>
      <c r="D549" s="221">
        <v>1332.68</v>
      </c>
      <c r="E549" s="221">
        <v>5.5019999999999998</v>
      </c>
      <c r="F549" s="236">
        <f t="shared" si="81"/>
        <v>7332.4053599999997</v>
      </c>
      <c r="G549" s="240"/>
      <c r="H549" s="304" t="s">
        <v>1605</v>
      </c>
    </row>
    <row r="550" spans="1:8" s="204" customFormat="1" ht="31.5" x14ac:dyDescent="0.45">
      <c r="A550" s="225" t="s">
        <v>933</v>
      </c>
      <c r="B550" s="220" t="s">
        <v>934</v>
      </c>
      <c r="C550" s="220" t="s">
        <v>289</v>
      </c>
      <c r="D550" s="221">
        <v>3861.51</v>
      </c>
      <c r="E550" s="233">
        <v>14.7</v>
      </c>
      <c r="F550" s="236">
        <f t="shared" si="81"/>
        <v>56764.197</v>
      </c>
      <c r="G550" s="290" t="s">
        <v>1606</v>
      </c>
      <c r="H550" s="304" t="s">
        <v>1605</v>
      </c>
    </row>
    <row r="551" spans="1:8" s="204" customFormat="1" ht="15.75" x14ac:dyDescent="0.45">
      <c r="A551" s="215" t="s">
        <v>935</v>
      </c>
      <c r="B551" s="216" t="s">
        <v>936</v>
      </c>
      <c r="C551" s="216"/>
      <c r="D551" s="217"/>
      <c r="E551" s="217"/>
      <c r="F551" s="218">
        <f>SUM(F552:F555)</f>
        <v>54919.662590000007</v>
      </c>
      <c r="G551" s="239"/>
      <c r="H551" s="288"/>
    </row>
    <row r="552" spans="1:8" s="204" customFormat="1" ht="15.75" x14ac:dyDescent="0.45">
      <c r="A552" s="225" t="s">
        <v>937</v>
      </c>
      <c r="B552" s="220" t="s">
        <v>938</v>
      </c>
      <c r="C552" s="220" t="s">
        <v>289</v>
      </c>
      <c r="D552" s="221">
        <v>3861.51</v>
      </c>
      <c r="E552" s="221">
        <v>1.6862999999999999</v>
      </c>
      <c r="F552" s="236">
        <f t="shared" si="81"/>
        <v>6511.6643130000002</v>
      </c>
      <c r="G552" s="240"/>
      <c r="H552" s="304" t="s">
        <v>1605</v>
      </c>
    </row>
    <row r="553" spans="1:8" s="204" customFormat="1" ht="15.75" x14ac:dyDescent="0.45">
      <c r="A553" s="225" t="s">
        <v>939</v>
      </c>
      <c r="B553" s="220" t="s">
        <v>1607</v>
      </c>
      <c r="C553" s="220" t="s">
        <v>289</v>
      </c>
      <c r="D553" s="221">
        <v>252.47</v>
      </c>
      <c r="E553" s="221">
        <v>11.357100000000001</v>
      </c>
      <c r="F553" s="236">
        <f t="shared" si="81"/>
        <v>2867.327037</v>
      </c>
      <c r="G553" s="240"/>
      <c r="H553" s="304" t="s">
        <v>1605</v>
      </c>
    </row>
    <row r="554" spans="1:8" s="204" customFormat="1" ht="31.5" x14ac:dyDescent="0.45">
      <c r="A554" s="225" t="s">
        <v>943</v>
      </c>
      <c r="B554" s="220" t="s">
        <v>1608</v>
      </c>
      <c r="C554" s="220" t="s">
        <v>289</v>
      </c>
      <c r="D554" s="221">
        <v>3609.04</v>
      </c>
      <c r="E554" s="221">
        <v>7.0305</v>
      </c>
      <c r="F554" s="236">
        <f t="shared" si="81"/>
        <v>25373.35572</v>
      </c>
      <c r="G554" s="240"/>
      <c r="H554" s="304" t="s">
        <v>1605</v>
      </c>
    </row>
    <row r="555" spans="1:8" s="204" customFormat="1" ht="31.5" x14ac:dyDescent="0.45">
      <c r="A555" s="225" t="s">
        <v>945</v>
      </c>
      <c r="B555" s="220" t="s">
        <v>1609</v>
      </c>
      <c r="C555" s="220" t="s">
        <v>289</v>
      </c>
      <c r="D555" s="221">
        <v>3609.04</v>
      </c>
      <c r="E555" s="221">
        <v>5.5880000000000001</v>
      </c>
      <c r="F555" s="236">
        <f t="shared" si="81"/>
        <v>20167.31552</v>
      </c>
      <c r="G555" s="240"/>
      <c r="H555" s="304" t="s">
        <v>1605</v>
      </c>
    </row>
    <row r="556" spans="1:8" s="204" customFormat="1" ht="11.25" customHeight="1" x14ac:dyDescent="0.45">
      <c r="A556" s="215" t="s">
        <v>949</v>
      </c>
      <c r="B556" s="216" t="s">
        <v>950</v>
      </c>
      <c r="C556" s="216"/>
      <c r="D556" s="217"/>
      <c r="E556" s="217"/>
      <c r="F556" s="218">
        <f>F557</f>
        <v>2415</v>
      </c>
      <c r="G556" s="239"/>
      <c r="H556" s="288"/>
    </row>
    <row r="557" spans="1:8" s="204" customFormat="1" ht="12.75" customHeight="1" x14ac:dyDescent="0.45">
      <c r="A557" s="225" t="s">
        <v>951</v>
      </c>
      <c r="B557" s="220" t="s">
        <v>952</v>
      </c>
      <c r="C557" s="220" t="s">
        <v>417</v>
      </c>
      <c r="D557" s="221">
        <v>966</v>
      </c>
      <c r="E557" s="221">
        <v>2.5</v>
      </c>
      <c r="F557" s="236">
        <f t="shared" ref="F557" si="82">E557*D557</f>
        <v>2415</v>
      </c>
      <c r="G557" s="240"/>
      <c r="H557" s="304" t="s">
        <v>1605</v>
      </c>
    </row>
    <row r="558" spans="1:8" s="204" customFormat="1" ht="12.75" customHeight="1" x14ac:dyDescent="0.45">
      <c r="A558" s="215" t="s">
        <v>953</v>
      </c>
      <c r="B558" s="216" t="s">
        <v>45</v>
      </c>
      <c r="C558" s="216"/>
      <c r="D558" s="217"/>
      <c r="E558" s="217"/>
      <c r="F558" s="218">
        <f>SUM(F559:F561)</f>
        <v>420093.25</v>
      </c>
      <c r="G558" s="239"/>
      <c r="H558" s="288"/>
    </row>
    <row r="559" spans="1:8" s="204" customFormat="1" ht="31.5" x14ac:dyDescent="0.45">
      <c r="A559" s="225" t="s">
        <v>954</v>
      </c>
      <c r="B559" s="220" t="s">
        <v>955</v>
      </c>
      <c r="C559" s="220" t="s">
        <v>289</v>
      </c>
      <c r="D559" s="233">
        <v>5290.83</v>
      </c>
      <c r="E559" s="221">
        <v>52</v>
      </c>
      <c r="F559" s="236">
        <f t="shared" ref="F559:F561" si="83">E559*D559</f>
        <v>275123.15999999997</v>
      </c>
      <c r="G559" s="240" t="s">
        <v>1610</v>
      </c>
      <c r="H559" s="291"/>
    </row>
    <row r="560" spans="1:8" s="204" customFormat="1" ht="15.75" x14ac:dyDescent="0.45">
      <c r="A560" s="225" t="s">
        <v>1611</v>
      </c>
      <c r="B560" s="220" t="s">
        <v>1612</v>
      </c>
      <c r="C560" s="220" t="s">
        <v>289</v>
      </c>
      <c r="D560" s="221">
        <v>252.47</v>
      </c>
      <c r="E560" s="221">
        <v>31</v>
      </c>
      <c r="F560" s="236">
        <f t="shared" si="83"/>
        <v>7826.57</v>
      </c>
      <c r="G560" s="240"/>
      <c r="H560" s="291"/>
    </row>
    <row r="561" spans="1:8" s="204" customFormat="1" ht="15.75" x14ac:dyDescent="0.45">
      <c r="A561" s="225" t="s">
        <v>956</v>
      </c>
      <c r="B561" s="220" t="s">
        <v>1613</v>
      </c>
      <c r="C561" s="220" t="s">
        <v>289</v>
      </c>
      <c r="D561" s="221">
        <v>3609.04</v>
      </c>
      <c r="E561" s="233">
        <v>38</v>
      </c>
      <c r="F561" s="236">
        <f t="shared" si="83"/>
        <v>137143.51999999999</v>
      </c>
      <c r="G561" s="290" t="s">
        <v>1614</v>
      </c>
      <c r="H561" s="291"/>
    </row>
    <row r="562" spans="1:8" s="204" customFormat="1" ht="15.75" x14ac:dyDescent="0.45">
      <c r="A562" s="215" t="s">
        <v>958</v>
      </c>
      <c r="B562" s="216" t="s">
        <v>384</v>
      </c>
      <c r="C562" s="216"/>
      <c r="D562" s="217"/>
      <c r="E562" s="217"/>
      <c r="F562" s="218">
        <f>F563</f>
        <v>7933.78</v>
      </c>
      <c r="G562" s="239"/>
      <c r="H562" s="288"/>
    </row>
    <row r="563" spans="1:8" s="204" customFormat="1" ht="15.75" x14ac:dyDescent="0.45">
      <c r="A563" s="225" t="s">
        <v>959</v>
      </c>
      <c r="B563" s="220" t="s">
        <v>384</v>
      </c>
      <c r="C563" s="220" t="s">
        <v>285</v>
      </c>
      <c r="D563" s="221">
        <v>1</v>
      </c>
      <c r="E563" s="221">
        <v>7933.78</v>
      </c>
      <c r="F563" s="236">
        <f t="shared" ref="F563" si="84">E563*D563</f>
        <v>7933.78</v>
      </c>
      <c r="G563" s="240"/>
      <c r="H563" s="291"/>
    </row>
    <row r="564" spans="1:8" s="204" customFormat="1" ht="15.75" x14ac:dyDescent="0.45">
      <c r="A564" s="205" t="s">
        <v>960</v>
      </c>
      <c r="B564" s="206" t="s">
        <v>961</v>
      </c>
      <c r="C564" s="206"/>
      <c r="D564" s="207"/>
      <c r="E564" s="207"/>
      <c r="F564" s="208">
        <f>F565+F568</f>
        <v>1085298.838128</v>
      </c>
      <c r="G564" s="309"/>
      <c r="H564" s="286"/>
    </row>
    <row r="565" spans="1:8" s="204" customFormat="1" ht="15.75" x14ac:dyDescent="0.45">
      <c r="A565" s="210" t="s">
        <v>962</v>
      </c>
      <c r="B565" s="211" t="s">
        <v>961</v>
      </c>
      <c r="C565" s="211"/>
      <c r="D565" s="212"/>
      <c r="E565" s="212"/>
      <c r="F565" s="213">
        <f>F566</f>
        <v>4630.2481279999993</v>
      </c>
      <c r="G565" s="238"/>
      <c r="H565" s="287"/>
    </row>
    <row r="566" spans="1:8" s="204" customFormat="1" ht="15.75" x14ac:dyDescent="0.45">
      <c r="A566" s="215" t="s">
        <v>963</v>
      </c>
      <c r="B566" s="216" t="s">
        <v>964</v>
      </c>
      <c r="C566" s="216"/>
      <c r="D566" s="217"/>
      <c r="E566" s="217"/>
      <c r="F566" s="218">
        <f>F567</f>
        <v>4630.2481279999993</v>
      </c>
      <c r="G566" s="239"/>
      <c r="H566" s="288"/>
    </row>
    <row r="567" spans="1:8" s="204" customFormat="1" ht="15.75" x14ac:dyDescent="0.45">
      <c r="A567" s="225" t="s">
        <v>965</v>
      </c>
      <c r="B567" s="220" t="s">
        <v>1615</v>
      </c>
      <c r="C567" s="220" t="s">
        <v>289</v>
      </c>
      <c r="D567" s="221">
        <v>80.959999999999994</v>
      </c>
      <c r="E567" s="221">
        <v>57.191800000000001</v>
      </c>
      <c r="F567" s="236">
        <f t="shared" ref="F567" si="85">E567*D567</f>
        <v>4630.2481279999993</v>
      </c>
      <c r="G567" s="240"/>
      <c r="H567" s="304" t="s">
        <v>1616</v>
      </c>
    </row>
    <row r="568" spans="1:8" s="204" customFormat="1" ht="15.75" x14ac:dyDescent="0.45">
      <c r="A568" s="210" t="s">
        <v>970</v>
      </c>
      <c r="B568" s="211" t="s">
        <v>961</v>
      </c>
      <c r="C568" s="211"/>
      <c r="D568" s="212"/>
      <c r="E568" s="212"/>
      <c r="F568" s="213">
        <f>F569+F571+F573+F575+F578+F580</f>
        <v>1080668.5900000001</v>
      </c>
      <c r="G568" s="238"/>
      <c r="H568" s="287"/>
    </row>
    <row r="569" spans="1:8" s="204" customFormat="1" ht="15.75" x14ac:dyDescent="0.45">
      <c r="A569" s="215" t="s">
        <v>971</v>
      </c>
      <c r="B569" s="216" t="s">
        <v>972</v>
      </c>
      <c r="C569" s="216"/>
      <c r="D569" s="217"/>
      <c r="E569" s="217"/>
      <c r="F569" s="218">
        <f>F570</f>
        <v>873725.68</v>
      </c>
      <c r="G569" s="239"/>
      <c r="H569" s="288"/>
    </row>
    <row r="570" spans="1:8" s="204" customFormat="1" ht="47.25" x14ac:dyDescent="0.45">
      <c r="A570" s="225" t="s">
        <v>973</v>
      </c>
      <c r="B570" s="220" t="s">
        <v>972</v>
      </c>
      <c r="C570" s="220" t="s">
        <v>285</v>
      </c>
      <c r="D570" s="221">
        <v>1</v>
      </c>
      <c r="E570" s="233">
        <v>873725.68</v>
      </c>
      <c r="F570" s="236">
        <f t="shared" ref="F570" si="86">E570*D570</f>
        <v>873725.68</v>
      </c>
      <c r="G570" s="290" t="s">
        <v>1617</v>
      </c>
      <c r="H570" s="291" t="s">
        <v>1618</v>
      </c>
    </row>
    <row r="571" spans="1:8" s="204" customFormat="1" ht="15.75" x14ac:dyDescent="0.45">
      <c r="A571" s="215" t="s">
        <v>974</v>
      </c>
      <c r="B571" s="216" t="s">
        <v>204</v>
      </c>
      <c r="C571" s="216"/>
      <c r="D571" s="217"/>
      <c r="E571" s="217"/>
      <c r="F571" s="218">
        <f>F572</f>
        <v>20000</v>
      </c>
      <c r="G571" s="327"/>
      <c r="H571" s="288"/>
    </row>
    <row r="572" spans="1:8" s="204" customFormat="1" ht="11.25" customHeight="1" x14ac:dyDescent="0.45">
      <c r="A572" s="225" t="s">
        <v>975</v>
      </c>
      <c r="B572" s="220" t="s">
        <v>204</v>
      </c>
      <c r="C572" s="220" t="s">
        <v>285</v>
      </c>
      <c r="D572" s="221">
        <v>1</v>
      </c>
      <c r="E572" s="233">
        <v>20000</v>
      </c>
      <c r="F572" s="236">
        <f t="shared" ref="F572" si="87">E572*D572</f>
        <v>20000</v>
      </c>
      <c r="G572" s="290" t="s">
        <v>1619</v>
      </c>
      <c r="H572" s="291"/>
    </row>
    <row r="573" spans="1:8" s="204" customFormat="1" ht="11.25" customHeight="1" x14ac:dyDescent="0.45">
      <c r="A573" s="215" t="s">
        <v>976</v>
      </c>
      <c r="B573" s="216" t="s">
        <v>203</v>
      </c>
      <c r="C573" s="216"/>
      <c r="D573" s="217"/>
      <c r="E573" s="217"/>
      <c r="F573" s="218">
        <f>F574</f>
        <v>32166.6</v>
      </c>
      <c r="G573" s="327"/>
      <c r="H573" s="288"/>
    </row>
    <row r="574" spans="1:8" s="204" customFormat="1" ht="11.25" customHeight="1" x14ac:dyDescent="0.45">
      <c r="A574" s="225" t="s">
        <v>1620</v>
      </c>
      <c r="B574" s="220" t="s">
        <v>1621</v>
      </c>
      <c r="C574" s="220" t="s">
        <v>285</v>
      </c>
      <c r="D574" s="221">
        <v>1</v>
      </c>
      <c r="E574" s="233">
        <v>32166.6</v>
      </c>
      <c r="F574" s="236">
        <f t="shared" ref="F574" si="88">E574*D574</f>
        <v>32166.6</v>
      </c>
      <c r="G574" s="290" t="s">
        <v>1622</v>
      </c>
      <c r="H574" s="291"/>
    </row>
    <row r="575" spans="1:8" s="204" customFormat="1" ht="11.25" customHeight="1" x14ac:dyDescent="0.45">
      <c r="A575" s="215" t="s">
        <v>982</v>
      </c>
      <c r="B575" s="216" t="s">
        <v>977</v>
      </c>
      <c r="C575" s="216"/>
      <c r="D575" s="217"/>
      <c r="E575" s="217"/>
      <c r="F575" s="218">
        <f>F576+F577</f>
        <v>87522.08</v>
      </c>
      <c r="G575" s="327"/>
      <c r="H575" s="288"/>
    </row>
    <row r="576" spans="1:8" s="204" customFormat="1" ht="11.25" customHeight="1" x14ac:dyDescent="0.45">
      <c r="A576" s="225" t="s">
        <v>1623</v>
      </c>
      <c r="B576" s="220" t="s">
        <v>979</v>
      </c>
      <c r="C576" s="220" t="s">
        <v>285</v>
      </c>
      <c r="D576" s="221">
        <v>1</v>
      </c>
      <c r="E576" s="233">
        <v>60530</v>
      </c>
      <c r="F576" s="236">
        <f t="shared" ref="F576" si="89">E576*D576</f>
        <v>60530</v>
      </c>
      <c r="G576" s="290" t="s">
        <v>1624</v>
      </c>
      <c r="H576" s="291"/>
    </row>
    <row r="577" spans="1:8" s="204" customFormat="1" ht="11.25" customHeight="1" x14ac:dyDescent="0.45">
      <c r="A577" s="225" t="s">
        <v>1625</v>
      </c>
      <c r="B577" s="220" t="s">
        <v>981</v>
      </c>
      <c r="C577" s="220" t="s">
        <v>285</v>
      </c>
      <c r="D577" s="221">
        <v>1</v>
      </c>
      <c r="E577" s="221">
        <v>26992.080000000002</v>
      </c>
      <c r="F577" s="222">
        <v>26992.080000000002</v>
      </c>
      <c r="G577" s="290"/>
      <c r="H577" s="291"/>
    </row>
    <row r="578" spans="1:8" s="204" customFormat="1" ht="11.25" customHeight="1" x14ac:dyDescent="0.45">
      <c r="A578" s="215" t="s">
        <v>985</v>
      </c>
      <c r="B578" s="216" t="s">
        <v>256</v>
      </c>
      <c r="C578" s="216"/>
      <c r="D578" s="217"/>
      <c r="E578" s="217"/>
      <c r="F578" s="218">
        <f>F579</f>
        <v>67254.23</v>
      </c>
      <c r="G578" s="327"/>
      <c r="H578" s="288"/>
    </row>
    <row r="579" spans="1:8" s="204" customFormat="1" ht="11.25" customHeight="1" x14ac:dyDescent="0.45">
      <c r="A579" s="225" t="s">
        <v>986</v>
      </c>
      <c r="B579" s="220" t="s">
        <v>984</v>
      </c>
      <c r="C579" s="220" t="s">
        <v>285</v>
      </c>
      <c r="D579" s="221">
        <v>1</v>
      </c>
      <c r="E579" s="233">
        <v>67254.23</v>
      </c>
      <c r="F579" s="236">
        <f t="shared" ref="F579" si="90">E579*D579</f>
        <v>67254.23</v>
      </c>
      <c r="G579" s="290" t="s">
        <v>1626</v>
      </c>
      <c r="H579" s="291"/>
    </row>
    <row r="580" spans="1:8" s="204" customFormat="1" ht="15.75" x14ac:dyDescent="0.45">
      <c r="A580" s="215" t="s">
        <v>1627</v>
      </c>
      <c r="B580" s="216" t="s">
        <v>384</v>
      </c>
      <c r="C580" s="216" t="s">
        <v>311</v>
      </c>
      <c r="D580" s="217"/>
      <c r="E580" s="217"/>
      <c r="F580" s="218">
        <f>F581</f>
        <v>0</v>
      </c>
      <c r="G580" s="239"/>
      <c r="H580" s="288"/>
    </row>
    <row r="581" spans="1:8" s="298" customFormat="1" ht="16.5" thickBot="1" x14ac:dyDescent="0.5">
      <c r="A581" s="303" t="s">
        <v>1628</v>
      </c>
      <c r="B581" s="293" t="s">
        <v>384</v>
      </c>
      <c r="C581" s="293" t="s">
        <v>285</v>
      </c>
      <c r="D581" s="294">
        <v>0</v>
      </c>
      <c r="E581" s="294">
        <v>17254.23</v>
      </c>
      <c r="F581" s="236">
        <f t="shared" ref="F581" si="91">E581*D581</f>
        <v>0</v>
      </c>
      <c r="G581" s="328" t="s">
        <v>1058</v>
      </c>
      <c r="H581" s="329"/>
    </row>
    <row r="582" spans="1:8" ht="13.5" customHeight="1" thickBot="1" x14ac:dyDescent="0.25">
      <c r="A582" s="345" t="s">
        <v>987</v>
      </c>
      <c r="B582" s="346"/>
      <c r="C582" s="346"/>
      <c r="D582" s="346"/>
      <c r="E582" s="346"/>
      <c r="F582" s="242">
        <f>F8+F162</f>
        <v>14107283.053041</v>
      </c>
    </row>
  </sheetData>
  <mergeCells count="5">
    <mergeCell ref="A1:H1"/>
    <mergeCell ref="A6:F6"/>
    <mergeCell ref="G6:H6"/>
    <mergeCell ref="G283:G284"/>
    <mergeCell ref="A582:E582"/>
  </mergeCells>
  <conditionalFormatting sqref="G7 G583:G1048576">
    <cfRule type="cellIs" dxfId="1" priority="1" operator="equal">
      <formula>"""Item lançado pela Lumis"""</formula>
    </cfRule>
  </conditionalFormatting>
  <hyperlinks>
    <hyperlink ref="H81" location="'EPC''s'!Area_de_impressao" display="'EPC''s'" xr:uid="{9FACB282-F280-4813-B382-8D660B7F358E}"/>
    <hyperlink ref="H82" location="'EPC''s'!Area_de_impressao" display="'EPC''s'" xr:uid="{99EF6AF9-923A-42FA-A40A-632725C6C09B}"/>
    <hyperlink ref="H83" location="'EPC''s'!Area_de_impressao" display="'EPC''s'" xr:uid="{4E14A6F1-219D-46BF-8E77-F41F19BABBF0}"/>
    <hyperlink ref="H84" location="'EPC''s'!Area_de_impressao" display="'EPC''s'" xr:uid="{45DEB8CB-3418-4433-B1A8-C5FAC16AAE4B}"/>
    <hyperlink ref="H85" location="'EPC''s'!Area_de_impressao" display="'EPC''s'" xr:uid="{4A2A0E0F-76DE-4549-873D-F1E1A09A27AA}"/>
    <hyperlink ref="H86" location="'EPC''s'!Area_de_impressao" display="'EPC''s'" xr:uid="{2D361D58-961D-4EA4-9094-8F05EADACC29}"/>
    <hyperlink ref="H87" location="'EPC''s'!Area_de_impressao" display="'EPC''s'" xr:uid="{68A8063D-1EB9-489A-B483-480F5612EF4E}"/>
    <hyperlink ref="H135" location="'EPC''s'!Area_de_impressao" display="'EPC''s'" xr:uid="{CB9C4F1C-AF73-4515-B263-A211408F3805}"/>
    <hyperlink ref="H189" location="'Resumo INFRA'!Titulos_de_impressao" display="INFRAESTRUTURA" xr:uid="{8EAA71F2-221C-48C0-97C5-9179058A5895}"/>
    <hyperlink ref="H191" location="'Resumo INFRA'!Titulos_de_impressao" display="INFRAESTRUTURA" xr:uid="{4B75B232-30F4-43E4-B7A7-DA39E44B78E0}"/>
    <hyperlink ref="H192" location="'Resumo INFRA'!Titulos_de_impressao" display="INFRAESTRUTURA" xr:uid="{0AC044F6-1720-4088-889F-57A7F7C81155}"/>
    <hyperlink ref="H193" location="'Resumo INFRA'!Titulos_de_impressao" display="INFRAESTRUTURA" xr:uid="{4C302800-5945-4108-980B-D99E51039641}"/>
    <hyperlink ref="H194" location="'Resumo INFRA'!Titulos_de_impressao" display="INFRAESTRUTURA" xr:uid="{41705F85-D2F9-4982-AF0B-2BE9B721A279}"/>
    <hyperlink ref="H195" location="'Resumo INFRA'!Titulos_de_impressao" display="INFRAESTRUTURA" xr:uid="{539311D9-BC8D-47CA-8029-B15C9C275A2F}"/>
    <hyperlink ref="H196" location="'Resumo INFRA'!Titulos_de_impressao" display="INFRAESTRUTURA" xr:uid="{8DEDD65A-F606-40DA-8A3D-CBD8502E8638}"/>
    <hyperlink ref="H197" location="'Resumo INFRA'!Titulos_de_impressao" display="INFRAESTRUTURA" xr:uid="{7E37BB35-1245-45B6-B756-374DF95A80C0}"/>
    <hyperlink ref="H198" location="'Resumo INFRA'!Titulos_de_impressao" display="INFRAESTRUTURA" xr:uid="{C9E3AA06-712F-4CA1-B60F-9532D8020BB5}"/>
    <hyperlink ref="H201" location="'Resumo INFRA'!Titulos_de_impressao" display="INFRAESTRUTURA" xr:uid="{FB536A95-ADFC-4CD1-B27A-5ABF727EBBE1}"/>
    <hyperlink ref="H209" location="SUPRAESTRUTURA!A1" display="SUPRAESTRUTURA" xr:uid="{C205A9AB-1898-4E01-84A5-0E853BFB7712}"/>
    <hyperlink ref="H259" location="IMPERMEABILIZAÇÃO!Criterios" display="IMPERMEABILIZAÇÃO" xr:uid="{D8479450-89B2-4248-B821-03C10E02FEB4}"/>
    <hyperlink ref="H260" location="IMPERMEABILIZAÇÃO!Criterios" display="IMPERMEABILIZAÇÃO" xr:uid="{FF0F48D3-CC7E-4FB8-A3E7-80FB870FCDBF}"/>
    <hyperlink ref="H266" location="IMPERMEABILIZAÇÃO!Criterios" display="IMPERMEABILIZAÇÃO" xr:uid="{6463C332-339A-4331-9E8D-819BC3328481}"/>
    <hyperlink ref="H268" location="IMPERMEABILIZAÇÃO!Criterios" display="IMPERMEABILIZAÇÃO" xr:uid="{E2276FFD-49C4-492D-9B64-1BEE7EA912FD}"/>
    <hyperlink ref="H270" location="IMPERMEABILIZAÇÃO!Criterios" display="IMPERMEABILIZAÇÃO" xr:uid="{73CE2D93-14AA-46A6-86E6-B24166C3D640}"/>
    <hyperlink ref="H264" location="'BLOCOS E BALDRAMES'!Titulos_de_impressao" display="'BLOCOS E BALDRAMES" xr:uid="{85FCAAD9-D425-4EB1-B740-DEAA17372616}"/>
    <hyperlink ref="H272" location="IMPERMEABILIZAÇÃO!Criterios" display="IMPERMEABILIZAÇÃO" xr:uid="{65184F82-2D95-4895-B2B1-59F3367B6CBD}"/>
    <hyperlink ref="H276" location="IMPERMEABILIZAÇÃO!Criterios" display="IMPERMEABILIZAÇÃO" xr:uid="{5CE996F0-86CD-4797-B985-245E115D53A7}"/>
    <hyperlink ref="H278" location="IMPERMEABILIZAÇÃO!Criterios" display="IMPERMEABILIZAÇÃO" xr:uid="{558E45B0-DB79-4BD7-8706-5B853FAE2F5A}"/>
    <hyperlink ref="H352" location="LOGICA!A1" display="LOGICA" xr:uid="{483DBEA7-7B9F-44ED-A42D-9ABBB07C10B3}"/>
    <hyperlink ref="H350" location="INTERFONIA!A1" display="INTERFONIA" xr:uid="{7AC3173A-F965-4282-9881-76DBDE6E373C}"/>
    <hyperlink ref="H401" location="FORRO!A1" display="TETOS" xr:uid="{741E1347-42AC-43F2-A96B-BC3A626B04EF}"/>
    <hyperlink ref="H379" location="'REVEST PAREDES INTERNAS'!A1" display="REVEST PAREDES INTERNAS'" xr:uid="{F2C117FA-E9B8-49DA-B6DF-B96022B3F019}"/>
    <hyperlink ref="H380" location="'REVEST PAREDES INTERNAS'!A1" display="'REVEST PAREDES INTERNAS'" xr:uid="{94647EEB-236E-45C8-89EF-F8E8744A461E}"/>
    <hyperlink ref="H381" location="'REVEST PAREDES INTERNAS'!A1" display="'REVEST PAREDES INTERNAS'" xr:uid="{00DCE102-677A-442C-BA8A-1CB737FD3EDA}"/>
    <hyperlink ref="H382" location="'REVEST PAREDES INTERNAS'!A1" display="'REVEST PAREDES INTERNAS'" xr:uid="{F66E3B07-9C42-4444-9CB1-67B7A777BA15}"/>
    <hyperlink ref="H414" location="PISO!A1" display="PISO" xr:uid="{70CAD98C-CF06-471E-95DE-63BEB2A0FA95}"/>
    <hyperlink ref="H481" location="ESQUADRIAS!A1" display="ESQUADRIAS" xr:uid="{9B58E9E3-AE44-4E0B-AB32-296B878F5792}"/>
    <hyperlink ref="H483" location="ESQUADRIAS!A1" display="ESQUADRIAS" xr:uid="{E41B1E3D-DB32-4CC7-9D66-10CA8784F619}"/>
    <hyperlink ref="H485" location="ESQUADRIAS!A1" display="ESQUADRIAS" xr:uid="{7398B4CA-F102-47CD-B154-0947C1ECA992}"/>
    <hyperlink ref="H488" location="ESQUADRIAS!A1" display="ESQUADRIAS" xr:uid="{78F72C81-0302-45D9-8AA5-D84B6F51F618}"/>
    <hyperlink ref="H490" location="ESQUADRIAS!A1" display="ESQUADRIAS" xr:uid="{206FB35B-6150-46D6-A68E-1552B01D9EF4}"/>
    <hyperlink ref="H495" location="ESQUADRIAS!A1" display="ESQUADRIAS" xr:uid="{C77224E3-9FBF-4A8D-8EB6-1E3883487B87}"/>
    <hyperlink ref="H496" location="ESQUADRIAS!A1" display="ESQUADRIAS" xr:uid="{C406924E-9938-400E-A190-3379A1C5F5C7}"/>
    <hyperlink ref="H502" location="ESQUADRIAS!A1" display="ESQUADRIAS" xr:uid="{0C8766B8-8CAB-4831-85DE-85243DE6D1FE}"/>
    <hyperlink ref="H511" location="ESQUADRIAS!A1" display="ESQUADRIAS" xr:uid="{29B5359C-CD76-429D-964C-75BAFFF8A1DF}"/>
    <hyperlink ref="H512" location="ESQUADRIAS!A1" display="ESQUADRIAS" xr:uid="{FD3AD0B6-31F2-4E9C-9086-E4BDE80843DD}"/>
    <hyperlink ref="H522" location="'LOUÇAS E METAIS'!A1" display="LOUÇAS E METAIS" xr:uid="{489A26B4-1435-4D1F-944B-7F083E834960}"/>
    <hyperlink ref="H532" location="COBERTURA!A1" display="COBERTURA" xr:uid="{64C87BE7-D6CC-489B-B035-5DD36D769851}"/>
    <hyperlink ref="H429" location="RODAPÉS!A1" display="RODAPÉS" xr:uid="{4B953692-C472-4DB2-B8DF-7C013363127F}"/>
    <hyperlink ref="H430" location="RODAPÉS!A1" display="RODAPÉS" xr:uid="{9702A17C-1C4F-4C17-969C-BEBDBA7DD5C3}"/>
    <hyperlink ref="H431" location="RODAPÉS!A1" display="RODAPÉS" xr:uid="{630BB3F7-40BB-4F8F-9126-212AE3F2CB51}"/>
    <hyperlink ref="H548" location="'REVEST PAREDES EXTERNAS'!A1" display="REVEST PAREDES EXTERNAS" xr:uid="{B450B3E0-9079-4D9F-968A-7437F1F41FA6}"/>
    <hyperlink ref="H567" location="PISO!A1" display="PISO " xr:uid="{7903F2CD-0592-4BA4-90EA-981C4FF66002}"/>
    <hyperlink ref="H570" location="MOBILIÁRIO!A1" display="MOBILIARIO" xr:uid="{ED951C19-8FD3-46CF-8C3E-AF28C45C5304}"/>
    <hyperlink ref="H199" location="'Resumo INFRA'!Titulos_de_impressao" display="INFRAESTRUTURA" xr:uid="{25A6BE32-BD37-40B6-8FD7-51C3E1BC5B7E}"/>
    <hyperlink ref="H210" location="SUPRAESTRUTURA!A1" display="SUPRAESTRUTURA" xr:uid="{B87A1281-3152-4C0E-ABEE-A20FED368DC5}"/>
    <hyperlink ref="H211" location="SUPRAESTRUTURA!A1" display="SUPRAESTRUTURA" xr:uid="{1900F3E8-51F3-4A6D-AA3D-404F6D2B6D82}"/>
    <hyperlink ref="H212" location="SUPRAESTRUTURA!A1" display="SUPRAESTRUTURA" xr:uid="{C908D0FA-EFF0-4BC5-BA5D-9D81623524A7}"/>
    <hyperlink ref="H213" location="SUPRAESTRUTURA!A1" display="SUPRAESTRUTURA" xr:uid="{E25EF36B-2566-486E-BD65-5DD2EE50C1E7}"/>
    <hyperlink ref="H214" location="SUPRAESTRUTURA!A1" display="SUPRAESTRUTURA" xr:uid="{EFAE1A97-DD6E-4A76-ABDD-511434AE6ABE}"/>
    <hyperlink ref="H216" location="SUPRAESTRUTURA!A1" display="SUPRAESTRUTURA" xr:uid="{2570E193-F4AB-4725-AB6F-5BFE5DD8CDEB}"/>
    <hyperlink ref="H217" location="SUPRAESTRUTURA!A1" display="SUPRAESTRUTURA" xr:uid="{DE694A9A-F0EB-4C8F-BEC0-678ABE9F5364}"/>
    <hyperlink ref="H218" location="SUPRAESTRUTURA!A1" display="SUPRAESTRUTURA" xr:uid="{D119DD59-DDCD-443E-93A4-8D5C861903CC}"/>
    <hyperlink ref="H219" location="SUPRAESTRUTURA!A1" display="SUPRAESTRUTURA" xr:uid="{42C34C30-7E6C-4181-991E-D3647F5C4839}"/>
    <hyperlink ref="H220" location="SUPRAESTRUTURA!A1" display="SUPRAESTRUTURA" xr:uid="{28FFA358-34DC-4105-94D7-192B6550179A}"/>
    <hyperlink ref="H221" location="SUPRAESTRUTURA!A1" display="SUPRAESTRUTURA" xr:uid="{5CBDD4E2-EE71-4BBA-8629-FF3D19719557}"/>
    <hyperlink ref="H222" location="SUPRAESTRUTURA!A1" display="SUPRAESTRUTURA" xr:uid="{059053C1-110C-427C-A9AB-B9C91BCCDE6A}"/>
    <hyperlink ref="H223" location="SUPRAESTRUTURA!A1" display="SUPRAESTRUTURA" xr:uid="{9431B91B-E5FA-45B4-8CDE-7D3253DAA5E9}"/>
    <hyperlink ref="H225" location="SUPRAESTRUTURA!A1" display="SUPRAESTRUTURA" xr:uid="{0C34F285-9F1F-46AD-A8C5-D28A6B941BE1}"/>
    <hyperlink ref="H227" location="SUPRAESTRUTURA!A1" display="SUPRAESTRUTURA" xr:uid="{B8B6D766-6903-4D37-B4E6-5833E557A217}"/>
    <hyperlink ref="H262" location="IMPERMEABILIZAÇÃO!Criterios" display="IMPERMEABILIZAÇÃO" xr:uid="{140CC1F8-81A8-41EF-A896-E69D23636CE5}"/>
    <hyperlink ref="H384" location="'REVEST PAREDES INTERNAS'!A1" display="REVEST PAREDES INTERNAS'" xr:uid="{815088A5-4D34-4F16-87E8-451CC8CFDA53}"/>
    <hyperlink ref="H386" location="'ESQUADRIAS (2)'!A1" display="'ESQUADRIAS" xr:uid="{4654D8BE-1FB7-4AEB-BBC9-B93680D0741B}"/>
    <hyperlink ref="H387" location="'ESQUADRIAS (2)'!A1" display="'ESQUADRIAS" xr:uid="{45E997D1-B936-45C4-8597-ADBD0BA35B91}"/>
    <hyperlink ref="H389" location="'ESQUADRIAS (2)'!A1" display="'ESQUADRIAS" xr:uid="{173ACA9E-F160-45CF-B873-D106E624F6A1}"/>
    <hyperlink ref="H402" location="FORRO!A1" display="TETOS" xr:uid="{E840E132-0324-4254-871F-876E285A9F46}"/>
    <hyperlink ref="H403" location="FORRO!A1" display="TETOS" xr:uid="{36BA9FC4-E8D8-4204-959C-04CAF6E3642F}"/>
    <hyperlink ref="H405" location="FORRO!A1" display="TETOS" xr:uid="{F617567F-883C-4976-96A6-E81937FCAB4E}"/>
    <hyperlink ref="H416" location="PISO!A1" display="PISO" xr:uid="{E8CD24B7-D1E3-44B1-A512-8CCC560AD120}"/>
    <hyperlink ref="H418" location="PISO!A1" display="PISO" xr:uid="{8E50244E-7179-4DB4-A8DB-DC2975E4F89F}"/>
    <hyperlink ref="H419" location="PISO!A1" display="PISO" xr:uid="{4877042A-6100-4722-B4A7-923FC49215E5}"/>
    <hyperlink ref="H420" location="PISO!A1" display="PISO" xr:uid="{5DCAA82A-328B-4C8D-BB4F-5A35B4BCDA0D}"/>
    <hyperlink ref="H422" location="PISO!A1" display="PISO" xr:uid="{BD432C97-DA5A-441A-9FEF-A8B3F4D7EE2E}"/>
    <hyperlink ref="H424" location="PISO!A1" display="PISO" xr:uid="{C03C8042-AF60-4D2A-A019-CE046109DCE4}"/>
    <hyperlink ref="H426" location="PISO!A1" display="PISO" xr:uid="{A815CF01-F858-459F-BBD8-63F1BEFEC248}"/>
    <hyperlink ref="H427" location="PISO!A1" display="PISO" xr:uid="{F58313EB-72DC-480C-82DC-E08C67E82C5E}"/>
    <hyperlink ref="H433" location="ESQUADRIAS!A1" display="ESQUADRIAS" xr:uid="{FB5E42A5-83B8-4D6B-81C2-CFAFA8E2693A}"/>
    <hyperlink ref="H434" location="ESQUADRIAS!A1" display="ESQUADRIAS" xr:uid="{D7C74414-D904-4008-9FE6-32ECDC5D0608}"/>
    <hyperlink ref="H457" location="'REVEST PAREDES INTERNAS'!A1" display="REVEST PAREDES INTERNAS'" xr:uid="{798366DF-9CE0-423E-98E2-D602BCC1E559}"/>
    <hyperlink ref="H458" location="'REVEST PAREDES INTERNAS'!A1" display="REVEST PAREDES INTERNAS'" xr:uid="{A0C0921A-6A63-442E-9CF5-B1B952F38601}"/>
    <hyperlink ref="H459" location="'REVEST PAREDES INTERNAS'!A1" display="REVEST PAREDES INTERNAS'" xr:uid="{CB736B33-EBA3-4480-B9EA-D1093650350C}"/>
    <hyperlink ref="H460" location="'REVEST PAREDES INTERNAS'!A1" display="REVEST PAREDES INTERNAS'" xr:uid="{36C7A77A-67E7-46F0-85F2-E45ADD4824E2}"/>
    <hyperlink ref="H461" location="'REVEST PAREDES INTERNAS'!A1" display="REVEST PAREDES INTERNAS'" xr:uid="{A4117899-FA94-471E-B4B2-AE6D6B995895}"/>
    <hyperlink ref="H462" location="'REVEST PAREDES INTERNAS'!A1" display="REVEST PAREDES INTERNAS'" xr:uid="{F5523BEC-6C13-4E7E-B30F-F94792BA13F2}"/>
    <hyperlink ref="H453" location="PISO!A1" display="PISO" xr:uid="{037922AB-A304-4D81-8DEE-9B201C42DFA5}"/>
    <hyperlink ref="H454" location="PISO!A1" display="PISO" xr:uid="{23BCD008-E96D-466D-8A74-7461A4DDC157}"/>
    <hyperlink ref="H455" location="PISO!A1" display="PISO" xr:uid="{0C85B822-3750-4B40-84F5-9A95FD317B06}"/>
    <hyperlink ref="H464" location="FORRO!A1" display="TETOS" xr:uid="{3DE7C599-59F1-4748-893C-EC5FE5E10B7C}"/>
    <hyperlink ref="H465" location="FORRO!A1" display="TETOS" xr:uid="{46D475F4-84A9-4045-BB29-E3FA2D7F9753}"/>
    <hyperlink ref="H466" location="FORRO!A1" display="TETOS" xr:uid="{627900B6-3438-4FA2-B11C-E03EE030FAE1}"/>
    <hyperlink ref="H467" location="FORRO!A1" display="TETOS" xr:uid="{B276C299-0EDA-4FFD-99E6-51ACECF28251}"/>
    <hyperlink ref="H486" location="ESQUADRIAS!A1" display="ESQUADRIAS" xr:uid="{CE27F6AC-0652-484F-813F-FB710B3DD84C}"/>
    <hyperlink ref="H497" location="ESQUADRIAS!A1" display="ESQUADRIAS" xr:uid="{7FD99140-B1DD-45BA-AFBA-BFC231250F4A}"/>
    <hyperlink ref="H498" location="ESQUADRIAS!A1" display="ESQUADRIAS" xr:uid="{3BFA92D7-1DB3-4093-9CF7-A5E54644C3AD}"/>
    <hyperlink ref="H499" location="ESQUADRIAS!A1" display="ESQUADRIAS" xr:uid="{F4B39365-5449-4119-BBE6-8FF6E0DE4177}"/>
    <hyperlink ref="H500" location="ESQUADRIAS!A1" display="ESQUADRIAS" xr:uid="{3E28DB33-9288-4BE6-A27E-8632B9272BCF}"/>
    <hyperlink ref="H524" location="'LOUÇAS E METAIS'!A1" display="LOUÇAS E METAIS" xr:uid="{894FD51D-0AD6-43B9-9781-B733D191910A}"/>
    <hyperlink ref="H526" location="'LOUÇAS E METAIS'!A1" display="LOUÇAS E METAIS" xr:uid="{11C352E9-5178-4BF7-B93D-5C433A39C84A}"/>
    <hyperlink ref="H534" location="COBERTURA!A1" display="COBERTURA" xr:uid="{8B0302FB-2E34-493E-A1E5-A0B6F16A32AC}"/>
    <hyperlink ref="H536" location="COBERTURA!A1" display="COBERTURA" xr:uid="{EE0A2AEA-3158-403D-84DF-AA873477C07B}"/>
    <hyperlink ref="H537" location="COBERTURA!A1" display="COBERTURA" xr:uid="{5D116A77-5E7B-4131-9B64-B9288B2C5DBA}"/>
    <hyperlink ref="H538" location="COBERTURA!A1" display="COBERTURA" xr:uid="{2C74155A-4D79-47C1-B498-59F85BC33E59}"/>
    <hyperlink ref="H540" location="COBERTURA!A1" display="COBERTURA" xr:uid="{F67ADA40-2BCD-487C-B182-FEE8DAC98459}"/>
    <hyperlink ref="H549" location="'REVEST PAREDES EXTERNAS'!A1" display="REVEST PAREDES EXTERNAS" xr:uid="{E88AD0F9-EBD2-4473-A8EF-3685A6BBB240}"/>
    <hyperlink ref="H550" location="'REVEST PAREDES EXTERNAS'!A1" display="REVEST PAREDES EXTERNAS" xr:uid="{9FB3C9E0-0823-49A3-8DC2-7A4C2EB15931}"/>
    <hyperlink ref="H552" location="'REVEST PAREDES EXTERNAS'!A1" display="REVEST PAREDES EXTERNAS" xr:uid="{891AF835-DAFD-423D-BF96-270B0A6E208C}"/>
    <hyperlink ref="H553" location="'REVEST PAREDES EXTERNAS'!A1" display="REVEST PAREDES EXTERNAS" xr:uid="{591F8874-EA80-42E2-A7AA-EFE188476886}"/>
    <hyperlink ref="H554" location="'REVEST PAREDES EXTERNAS'!A1" display="REVEST PAREDES EXTERNAS" xr:uid="{B5B8BE17-BAA2-4937-99AD-B6D0123450A4}"/>
    <hyperlink ref="H555" location="'REVEST PAREDES EXTERNAS'!A1" display="REVEST PAREDES EXTERNAS" xr:uid="{B4335FF4-CE76-4D8D-BCEA-AE6EE20C563D}"/>
    <hyperlink ref="H557" location="'REVEST PAREDES EXTERNAS'!A1" display="REVEST PAREDES EXTERNAS" xr:uid="{1D06C979-EA56-4BFB-90BC-9D96ECF1024F}"/>
    <hyperlink ref="H246" location="'ESQUADRIAS (2)'!A1" display="'ESQUADRIAS" xr:uid="{C6D7C074-EF60-4E28-9F83-5D2FCE83D021}"/>
    <hyperlink ref="H248" location="ALVENARIAS!A1" display="ALVENARIAS" xr:uid="{19B46AF9-1060-4797-8290-4CC7524B138B}"/>
    <hyperlink ref="H247" location="ALVENARIAS!A1" display="ALVENARIAS" xr:uid="{BC3D914A-036A-4DCD-9949-89BCFFE308A8}"/>
    <hyperlink ref="H242" location="ALVENARIAS!A1" display="ALVENARIAS" xr:uid="{22C170B4-7D74-4FC8-B22F-F72278065856}"/>
    <hyperlink ref="H240" location="ALVENARIAS!A1" display="ALVENARIAS" xr:uid="{68FB8BC7-266D-4375-9FAE-5E300B014913}"/>
    <hyperlink ref="H238" location="ALVENARIAS!A1" display="ALVENARIAS" xr:uid="{689DA577-C968-4490-BF36-FEE1509F921A}"/>
    <hyperlink ref="H237" location="ALVENARIAS!A1" display="ALVENARIAS" xr:uid="{ECD510D5-4959-4C6D-86A6-2377AF006191}"/>
    <hyperlink ref="H236" location="ALVENARIAS!A1" display="ALVENARIAS" xr:uid="{D617EF48-77EB-456B-BD2F-9D9BBCA94226}"/>
  </hyperlinks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D9BA-F55D-4A96-90A5-E675CFC59DC1}">
  <dimension ref="A1:K405"/>
  <sheetViews>
    <sheetView topLeftCell="A368" zoomScale="90" zoomScaleNormal="90" workbookViewId="0">
      <selection activeCell="E384" activeCellId="2" sqref="E374:E375 E381 E384"/>
    </sheetView>
  </sheetViews>
  <sheetFormatPr defaultColWidth="9.140625" defaultRowHeight="15" x14ac:dyDescent="0.25"/>
  <cols>
    <col min="1" max="1" width="19.28515625" style="181" customWidth="1"/>
    <col min="2" max="2" width="60.140625" style="181" customWidth="1"/>
    <col min="3" max="3" width="6.85546875" style="181" customWidth="1"/>
    <col min="4" max="4" width="13.140625" style="244" bestFit="1" customWidth="1"/>
    <col min="5" max="5" width="15.7109375" style="244" customWidth="1"/>
    <col min="6" max="6" width="15.85546875" style="244" customWidth="1"/>
    <col min="7" max="7" width="62" style="243" customWidth="1"/>
    <col min="8" max="8" width="13.42578125" style="181" customWidth="1"/>
    <col min="9" max="16384" width="9.140625" style="181"/>
  </cols>
  <sheetData>
    <row r="1" spans="1:7" ht="70.5" customHeight="1" thickBot="1" x14ac:dyDescent="0.25">
      <c r="A1" s="246" t="s">
        <v>276</v>
      </c>
      <c r="B1" s="247"/>
      <c r="C1" s="247"/>
      <c r="D1" s="247"/>
      <c r="E1" s="247"/>
      <c r="F1" s="247"/>
      <c r="G1" s="247"/>
    </row>
    <row r="2" spans="1:7" ht="20.25" thickBot="1" x14ac:dyDescent="0.25">
      <c r="A2" s="182" t="s">
        <v>1</v>
      </c>
      <c r="B2" s="183" t="s">
        <v>271</v>
      </c>
      <c r="C2" s="184"/>
      <c r="D2" s="185"/>
      <c r="E2" s="186"/>
      <c r="F2" s="250" t="s">
        <v>18</v>
      </c>
      <c r="G2" s="248">
        <v>1412.41</v>
      </c>
    </row>
    <row r="3" spans="1:7" ht="20.25" thickBot="1" x14ac:dyDescent="0.25">
      <c r="A3" s="182" t="s">
        <v>277</v>
      </c>
      <c r="B3" s="187" t="s">
        <v>278</v>
      </c>
      <c r="C3" s="188"/>
      <c r="D3" s="189"/>
      <c r="E3" s="189"/>
      <c r="F3" s="251" t="s">
        <v>19</v>
      </c>
      <c r="G3" s="249">
        <v>13434.29</v>
      </c>
    </row>
    <row r="4" spans="1:7" ht="20.25" thickBot="1" x14ac:dyDescent="0.25">
      <c r="A4" s="182" t="s">
        <v>3</v>
      </c>
      <c r="B4" s="187" t="s">
        <v>246</v>
      </c>
      <c r="C4" s="188"/>
      <c r="D4" s="189"/>
      <c r="E4" s="189"/>
      <c r="F4" s="251" t="s">
        <v>121</v>
      </c>
      <c r="G4" s="249">
        <v>1023.93</v>
      </c>
    </row>
    <row r="5" spans="1:7" ht="20.25" thickBot="1" x14ac:dyDescent="0.25">
      <c r="A5" s="190" t="s">
        <v>2</v>
      </c>
      <c r="B5" s="191">
        <v>45351</v>
      </c>
      <c r="C5" s="192"/>
      <c r="D5" s="193"/>
      <c r="E5" s="192"/>
      <c r="F5" s="192"/>
      <c r="G5" s="194"/>
    </row>
    <row r="6" spans="1:7" ht="20.25" customHeight="1" thickBot="1" x14ac:dyDescent="0.25">
      <c r="A6" s="347" t="s">
        <v>279</v>
      </c>
      <c r="B6" s="348"/>
      <c r="C6" s="348"/>
      <c r="D6" s="348"/>
      <c r="E6" s="348"/>
      <c r="F6" s="349"/>
      <c r="G6" s="245"/>
    </row>
    <row r="7" spans="1:7" ht="31.5" x14ac:dyDescent="0.2">
      <c r="A7" s="195" t="s">
        <v>280</v>
      </c>
      <c r="B7" s="195" t="s">
        <v>27</v>
      </c>
      <c r="C7" s="195" t="s">
        <v>281</v>
      </c>
      <c r="D7" s="196" t="s">
        <v>282</v>
      </c>
      <c r="E7" s="196" t="s">
        <v>283</v>
      </c>
      <c r="F7" s="197" t="s">
        <v>284</v>
      </c>
      <c r="G7" s="198"/>
    </row>
    <row r="8" spans="1:7" s="204" customFormat="1" ht="15.75" customHeight="1" x14ac:dyDescent="0.45">
      <c r="A8" s="199" t="s">
        <v>290</v>
      </c>
      <c r="B8" s="200" t="s">
        <v>291</v>
      </c>
      <c r="C8" s="200"/>
      <c r="D8" s="201"/>
      <c r="E8" s="201"/>
      <c r="F8" s="202">
        <f>F9+F15+F36+F62+F86+F110+F126+F146+F158+F164+F174+F185+F196+F217+F234+F276+F306+F355+F367+F387</f>
        <v>34082879.395480804</v>
      </c>
      <c r="G8" s="203"/>
    </row>
    <row r="9" spans="1:7" s="204" customFormat="1" ht="15.75" x14ac:dyDescent="0.45">
      <c r="A9" s="205" t="s">
        <v>292</v>
      </c>
      <c r="B9" s="206" t="s">
        <v>293</v>
      </c>
      <c r="C9" s="206"/>
      <c r="D9" s="207"/>
      <c r="E9" s="207"/>
      <c r="F9" s="208">
        <f>F10</f>
        <v>91928.48</v>
      </c>
      <c r="G9" s="209"/>
    </row>
    <row r="10" spans="1:7" s="204" customFormat="1" ht="15.75" x14ac:dyDescent="0.45">
      <c r="A10" s="210" t="s">
        <v>294</v>
      </c>
      <c r="B10" s="211" t="s">
        <v>293</v>
      </c>
      <c r="C10" s="211"/>
      <c r="D10" s="212"/>
      <c r="E10" s="212"/>
      <c r="F10" s="213">
        <f>F11+F13</f>
        <v>91928.48</v>
      </c>
      <c r="G10" s="214"/>
    </row>
    <row r="11" spans="1:7" s="204" customFormat="1" ht="15.75" x14ac:dyDescent="0.45">
      <c r="A11" s="215" t="s">
        <v>295</v>
      </c>
      <c r="B11" s="216" t="s">
        <v>296</v>
      </c>
      <c r="C11" s="216"/>
      <c r="D11" s="217"/>
      <c r="E11" s="217"/>
      <c r="F11" s="218">
        <f>F12</f>
        <v>88500</v>
      </c>
      <c r="G11" s="219"/>
    </row>
    <row r="12" spans="1:7" s="204" customFormat="1" ht="15.75" x14ac:dyDescent="0.45">
      <c r="A12" s="225" t="s">
        <v>297</v>
      </c>
      <c r="B12" s="220" t="s">
        <v>298</v>
      </c>
      <c r="C12" s="220" t="s">
        <v>285</v>
      </c>
      <c r="D12" s="221">
        <v>1</v>
      </c>
      <c r="E12" s="221">
        <v>88500</v>
      </c>
      <c r="F12" s="222">
        <f>E12*D12</f>
        <v>88500</v>
      </c>
      <c r="G12" s="331">
        <f>F12/G4</f>
        <v>86.431689666285791</v>
      </c>
    </row>
    <row r="13" spans="1:7" s="204" customFormat="1" ht="15.75" x14ac:dyDescent="0.45">
      <c r="A13" s="215" t="s">
        <v>299</v>
      </c>
      <c r="B13" s="216" t="s">
        <v>300</v>
      </c>
      <c r="C13" s="216"/>
      <c r="D13" s="217"/>
      <c r="E13" s="217"/>
      <c r="F13" s="218">
        <f>F14</f>
        <v>3428.4800000000005</v>
      </c>
      <c r="G13" s="219"/>
    </row>
    <row r="14" spans="1:7" s="204" customFormat="1" ht="15.75" x14ac:dyDescent="0.45">
      <c r="A14" s="225" t="s">
        <v>301</v>
      </c>
      <c r="B14" s="220" t="s">
        <v>302</v>
      </c>
      <c r="C14" s="220" t="s">
        <v>289</v>
      </c>
      <c r="D14" s="221">
        <v>389.6</v>
      </c>
      <c r="E14" s="221">
        <v>8.8000000000000007</v>
      </c>
      <c r="F14" s="222">
        <f>E14*D14</f>
        <v>3428.4800000000005</v>
      </c>
      <c r="G14" s="226">
        <f>D14/G4</f>
        <v>0.38049476038401064</v>
      </c>
    </row>
    <row r="15" spans="1:7" s="204" customFormat="1" ht="15.75" x14ac:dyDescent="0.45">
      <c r="A15" s="205" t="s">
        <v>303</v>
      </c>
      <c r="B15" s="206" t="s">
        <v>304</v>
      </c>
      <c r="C15" s="206"/>
      <c r="D15" s="207"/>
      <c r="E15" s="207"/>
      <c r="F15" s="208">
        <f>F16+F19</f>
        <v>2274308.4019999998</v>
      </c>
      <c r="G15" s="209"/>
    </row>
    <row r="16" spans="1:7" s="204" customFormat="1" ht="15.75" x14ac:dyDescent="0.45">
      <c r="A16" s="210" t="s">
        <v>305</v>
      </c>
      <c r="B16" s="211" t="s">
        <v>239</v>
      </c>
      <c r="C16" s="211"/>
      <c r="D16" s="212"/>
      <c r="E16" s="212"/>
      <c r="F16" s="213">
        <f>F17</f>
        <v>949000</v>
      </c>
      <c r="G16" s="252">
        <f>F16/$G$3</f>
        <v>70.640130591196112</v>
      </c>
    </row>
    <row r="17" spans="1:7" s="204" customFormat="1" ht="15.75" x14ac:dyDescent="0.45">
      <c r="A17" s="215" t="s">
        <v>306</v>
      </c>
      <c r="B17" s="216" t="s">
        <v>307</v>
      </c>
      <c r="C17" s="216"/>
      <c r="D17" s="217"/>
      <c r="E17" s="217"/>
      <c r="F17" s="218">
        <f>F18</f>
        <v>949000</v>
      </c>
      <c r="G17" s="219"/>
    </row>
    <row r="18" spans="1:7" s="204" customFormat="1" ht="15.75" x14ac:dyDescent="0.45">
      <c r="A18" s="225" t="s">
        <v>308</v>
      </c>
      <c r="B18" s="220" t="s">
        <v>309</v>
      </c>
      <c r="C18" s="220" t="s">
        <v>285</v>
      </c>
      <c r="D18" s="221">
        <v>1</v>
      </c>
      <c r="E18" s="221">
        <v>949000</v>
      </c>
      <c r="F18" s="222">
        <f>E18*D18</f>
        <v>949000</v>
      </c>
      <c r="G18" s="224"/>
    </row>
    <row r="19" spans="1:7" s="204" customFormat="1" ht="15.75" x14ac:dyDescent="0.45">
      <c r="A19" s="210" t="s">
        <v>310</v>
      </c>
      <c r="B19" s="211" t="s">
        <v>244</v>
      </c>
      <c r="C19" s="211" t="s">
        <v>311</v>
      </c>
      <c r="D19" s="212"/>
      <c r="E19" s="212"/>
      <c r="F19" s="213">
        <f>F20+F22+F32+F34</f>
        <v>1325308.402</v>
      </c>
      <c r="G19" s="252">
        <f>F19/$G$3</f>
        <v>98.651168167428267</v>
      </c>
    </row>
    <row r="20" spans="1:7" s="204" customFormat="1" ht="15.75" x14ac:dyDescent="0.45">
      <c r="A20" s="215" t="s">
        <v>312</v>
      </c>
      <c r="B20" s="216" t="s">
        <v>267</v>
      </c>
      <c r="C20" s="216" t="s">
        <v>311</v>
      </c>
      <c r="D20" s="217"/>
      <c r="E20" s="217"/>
      <c r="F20" s="218">
        <f>F21</f>
        <v>113398.5049</v>
      </c>
      <c r="G20" s="219"/>
    </row>
    <row r="21" spans="1:7" s="204" customFormat="1" ht="31.5" x14ac:dyDescent="0.45">
      <c r="A21" s="225" t="s">
        <v>313</v>
      </c>
      <c r="B21" s="220" t="s">
        <v>314</v>
      </c>
      <c r="C21" s="220" t="s">
        <v>289</v>
      </c>
      <c r="D21" s="221">
        <v>2128.44</v>
      </c>
      <c r="E21" s="221">
        <v>53.277799999999999</v>
      </c>
      <c r="F21" s="222">
        <v>113398.5049</v>
      </c>
      <c r="G21" s="226"/>
    </row>
    <row r="22" spans="1:7" s="204" customFormat="1" ht="15.75" x14ac:dyDescent="0.45">
      <c r="A22" s="215" t="s">
        <v>315</v>
      </c>
      <c r="B22" s="216" t="s">
        <v>316</v>
      </c>
      <c r="C22" s="216" t="s">
        <v>311</v>
      </c>
      <c r="D22" s="217"/>
      <c r="E22" s="217"/>
      <c r="F22" s="218">
        <f>SUM(F23:F31)</f>
        <v>451418.81209999998</v>
      </c>
      <c r="G22" s="219"/>
    </row>
    <row r="23" spans="1:7" s="204" customFormat="1" ht="15.75" x14ac:dyDescent="0.45">
      <c r="A23" s="225" t="s">
        <v>317</v>
      </c>
      <c r="B23" s="220" t="s">
        <v>318</v>
      </c>
      <c r="C23" s="220" t="s">
        <v>319</v>
      </c>
      <c r="D23" s="221">
        <v>2937.6</v>
      </c>
      <c r="E23" s="221">
        <v>8.4178999999999995</v>
      </c>
      <c r="F23" s="222">
        <v>24728.540499999999</v>
      </c>
      <c r="G23" s="223"/>
    </row>
    <row r="24" spans="1:7" s="204" customFormat="1" ht="15.75" x14ac:dyDescent="0.45">
      <c r="A24" s="225" t="s">
        <v>320</v>
      </c>
      <c r="B24" s="220" t="s">
        <v>321</v>
      </c>
      <c r="C24" s="220" t="s">
        <v>319</v>
      </c>
      <c r="D24" s="221">
        <v>798.3</v>
      </c>
      <c r="E24" s="227">
        <v>0.4869</v>
      </c>
      <c r="F24" s="222">
        <v>388.7242</v>
      </c>
      <c r="G24" s="223"/>
    </row>
    <row r="25" spans="1:7" s="204" customFormat="1" ht="15.75" x14ac:dyDescent="0.45">
      <c r="A25" s="225" t="s">
        <v>322</v>
      </c>
      <c r="B25" s="220" t="s">
        <v>323</v>
      </c>
      <c r="C25" s="220" t="s">
        <v>319</v>
      </c>
      <c r="D25" s="221">
        <v>1896</v>
      </c>
      <c r="E25" s="221">
        <v>7.6699000000000002</v>
      </c>
      <c r="F25" s="222">
        <v>14542.206200000001</v>
      </c>
      <c r="G25" s="223"/>
    </row>
    <row r="26" spans="1:7" s="204" customFormat="1" ht="15.75" x14ac:dyDescent="0.45">
      <c r="A26" s="225" t="s">
        <v>324</v>
      </c>
      <c r="B26" s="220" t="s">
        <v>325</v>
      </c>
      <c r="C26" s="220" t="s">
        <v>319</v>
      </c>
      <c r="D26" s="221">
        <v>6541</v>
      </c>
      <c r="E26" s="221">
        <v>7.3399000000000001</v>
      </c>
      <c r="F26" s="222">
        <v>48010.547500000001</v>
      </c>
      <c r="G26" s="223"/>
    </row>
    <row r="27" spans="1:7" s="204" customFormat="1" ht="15.75" x14ac:dyDescent="0.45">
      <c r="A27" s="225" t="s">
        <v>326</v>
      </c>
      <c r="B27" s="220" t="s">
        <v>327</v>
      </c>
      <c r="C27" s="220" t="s">
        <v>319</v>
      </c>
      <c r="D27" s="221">
        <v>6299</v>
      </c>
      <c r="E27" s="221">
        <v>7.0099</v>
      </c>
      <c r="F27" s="222">
        <v>44155.612099999998</v>
      </c>
      <c r="G27" s="223"/>
    </row>
    <row r="28" spans="1:7" s="204" customFormat="1" ht="15.75" x14ac:dyDescent="0.45">
      <c r="A28" s="225" t="s">
        <v>328</v>
      </c>
      <c r="B28" s="220" t="s">
        <v>329</v>
      </c>
      <c r="C28" s="220" t="s">
        <v>319</v>
      </c>
      <c r="D28" s="221">
        <v>10249</v>
      </c>
      <c r="E28" s="221">
        <v>7.0099</v>
      </c>
      <c r="F28" s="222">
        <v>71844.875100000005</v>
      </c>
      <c r="G28" s="223"/>
    </row>
    <row r="29" spans="1:7" s="204" customFormat="1" ht="15.75" x14ac:dyDescent="0.45">
      <c r="A29" s="225" t="s">
        <v>330</v>
      </c>
      <c r="B29" s="220" t="s">
        <v>331</v>
      </c>
      <c r="C29" s="220" t="s">
        <v>319</v>
      </c>
      <c r="D29" s="221">
        <v>24674</v>
      </c>
      <c r="E29" s="221">
        <v>7.1418999999999997</v>
      </c>
      <c r="F29" s="222">
        <v>176220.22760000001</v>
      </c>
      <c r="G29" s="223"/>
    </row>
    <row r="30" spans="1:7" s="204" customFormat="1" ht="15.75" x14ac:dyDescent="0.45">
      <c r="A30" s="225" t="s">
        <v>332</v>
      </c>
      <c r="B30" s="220" t="s">
        <v>333</v>
      </c>
      <c r="C30" s="220" t="s">
        <v>319</v>
      </c>
      <c r="D30" s="221">
        <v>5076</v>
      </c>
      <c r="E30" s="221">
        <v>7.1418999999999997</v>
      </c>
      <c r="F30" s="222">
        <v>36252.487399999998</v>
      </c>
      <c r="G30" s="223"/>
    </row>
    <row r="31" spans="1:7" s="204" customFormat="1" ht="15.75" x14ac:dyDescent="0.45">
      <c r="A31" s="225" t="s">
        <v>334</v>
      </c>
      <c r="B31" s="220" t="s">
        <v>335</v>
      </c>
      <c r="C31" s="220" t="s">
        <v>319</v>
      </c>
      <c r="D31" s="221">
        <v>2937.6</v>
      </c>
      <c r="E31" s="221">
        <v>12.0083</v>
      </c>
      <c r="F31" s="222">
        <v>35275.591500000002</v>
      </c>
      <c r="G31" s="223"/>
    </row>
    <row r="32" spans="1:7" s="204" customFormat="1" ht="15.75" x14ac:dyDescent="0.45">
      <c r="A32" s="215" t="s">
        <v>336</v>
      </c>
      <c r="B32" s="216" t="s">
        <v>44</v>
      </c>
      <c r="C32" s="216" t="s">
        <v>311</v>
      </c>
      <c r="D32" s="217"/>
      <c r="E32" s="217"/>
      <c r="F32" s="218">
        <f>F33</f>
        <v>304905.82500000001</v>
      </c>
      <c r="G32" s="228"/>
    </row>
    <row r="33" spans="1:7" s="204" customFormat="1" ht="31.5" x14ac:dyDescent="0.45">
      <c r="A33" s="225" t="s">
        <v>337</v>
      </c>
      <c r="B33" s="229" t="s">
        <v>338</v>
      </c>
      <c r="C33" s="220" t="s">
        <v>339</v>
      </c>
      <c r="D33" s="221">
        <v>509.45</v>
      </c>
      <c r="E33" s="221">
        <v>598.5</v>
      </c>
      <c r="F33" s="222">
        <f>E33*D33</f>
        <v>304905.82500000001</v>
      </c>
      <c r="G33" s="223"/>
    </row>
    <row r="34" spans="1:7" s="204" customFormat="1" ht="15.75" x14ac:dyDescent="0.45">
      <c r="A34" s="215" t="s">
        <v>340</v>
      </c>
      <c r="B34" s="216" t="s">
        <v>45</v>
      </c>
      <c r="C34" s="216" t="s">
        <v>311</v>
      </c>
      <c r="D34" s="217"/>
      <c r="E34" s="217"/>
      <c r="F34" s="218">
        <f>F35</f>
        <v>455585.26</v>
      </c>
      <c r="G34" s="228"/>
    </row>
    <row r="35" spans="1:7" s="204" customFormat="1" ht="31.5" x14ac:dyDescent="0.45">
      <c r="A35" s="225" t="s">
        <v>341</v>
      </c>
      <c r="B35" s="220" t="s">
        <v>342</v>
      </c>
      <c r="C35" s="220" t="s">
        <v>285</v>
      </c>
      <c r="D35" s="221">
        <v>1</v>
      </c>
      <c r="E35" s="221">
        <v>455585.26</v>
      </c>
      <c r="F35" s="222">
        <v>455585.26</v>
      </c>
      <c r="G35" s="224"/>
    </row>
    <row r="36" spans="1:7" s="204" customFormat="1" ht="15.75" x14ac:dyDescent="0.45">
      <c r="A36" s="205" t="s">
        <v>343</v>
      </c>
      <c r="B36" s="206" t="s">
        <v>49</v>
      </c>
      <c r="C36" s="206"/>
      <c r="D36" s="207"/>
      <c r="E36" s="207"/>
      <c r="F36" s="208">
        <f>F37</f>
        <v>8742671.4135235511</v>
      </c>
      <c r="G36" s="252">
        <f>F36/$G$3</f>
        <v>650.77286656187641</v>
      </c>
    </row>
    <row r="37" spans="1:7" s="204" customFormat="1" ht="15.75" x14ac:dyDescent="0.45">
      <c r="A37" s="210" t="s">
        <v>344</v>
      </c>
      <c r="B37" s="211" t="s">
        <v>49</v>
      </c>
      <c r="C37" s="211"/>
      <c r="D37" s="212"/>
      <c r="E37" s="212"/>
      <c r="F37" s="213">
        <f>F38+F41+F51+F53+F58+F60</f>
        <v>8742671.4135235511</v>
      </c>
      <c r="G37" s="214"/>
    </row>
    <row r="38" spans="1:7" s="204" customFormat="1" ht="15.75" x14ac:dyDescent="0.45">
      <c r="A38" s="215" t="s">
        <v>345</v>
      </c>
      <c r="B38" s="216" t="s">
        <v>267</v>
      </c>
      <c r="C38" s="216"/>
      <c r="D38" s="217"/>
      <c r="E38" s="217"/>
      <c r="F38" s="218">
        <f>F39+F40</f>
        <v>689058.06642355002</v>
      </c>
      <c r="G38" s="252">
        <f>F38/$G$3</f>
        <v>51.29099240998594</v>
      </c>
    </row>
    <row r="39" spans="1:7" s="204" customFormat="1" ht="31.5" x14ac:dyDescent="0.45">
      <c r="A39" s="225" t="s">
        <v>346</v>
      </c>
      <c r="B39" s="220" t="s">
        <v>347</v>
      </c>
      <c r="C39" s="220" t="s">
        <v>289</v>
      </c>
      <c r="D39" s="221">
        <f>2.5*1109.21*2+2.5*(7467/15)*2</f>
        <v>8035.05</v>
      </c>
      <c r="E39" s="221">
        <v>83.977570999999998</v>
      </c>
      <c r="F39" s="222">
        <f>E39*D39</f>
        <v>674763.98186355003</v>
      </c>
      <c r="G39" s="223"/>
    </row>
    <row r="40" spans="1:7" s="204" customFormat="1" ht="31.5" x14ac:dyDescent="0.45">
      <c r="A40" s="225" t="s">
        <v>348</v>
      </c>
      <c r="B40" s="220" t="s">
        <v>349</v>
      </c>
      <c r="C40" s="220" t="s">
        <v>289</v>
      </c>
      <c r="D40" s="221">
        <f>2.5*[5]OBRA!D10</f>
        <v>33585.725000000006</v>
      </c>
      <c r="E40" s="221">
        <v>0.42559999999999998</v>
      </c>
      <c r="F40" s="222">
        <f>E40*D40</f>
        <v>14294.084560000001</v>
      </c>
      <c r="G40" s="223"/>
    </row>
    <row r="41" spans="1:7" s="204" customFormat="1" ht="15.75" customHeight="1" x14ac:dyDescent="0.45">
      <c r="A41" s="215" t="s">
        <v>350</v>
      </c>
      <c r="B41" s="216" t="s">
        <v>316</v>
      </c>
      <c r="C41" s="216"/>
      <c r="D41" s="217"/>
      <c r="E41" s="217"/>
      <c r="F41" s="218">
        <f>SUM(F42:F50)</f>
        <v>2489883.8876</v>
      </c>
      <c r="G41" s="252">
        <f>F41/$G$3</f>
        <v>185.33795887985147</v>
      </c>
    </row>
    <row r="42" spans="1:7" s="204" customFormat="1" ht="15.75" x14ac:dyDescent="0.45">
      <c r="A42" s="225" t="s">
        <v>351</v>
      </c>
      <c r="B42" s="220" t="s">
        <v>352</v>
      </c>
      <c r="C42" s="220" t="s">
        <v>319</v>
      </c>
      <c r="D42" s="221">
        <v>4621.3999999999996</v>
      </c>
      <c r="E42" s="221">
        <v>8.4085000000000001</v>
      </c>
      <c r="F42" s="222">
        <v>38859.273000000001</v>
      </c>
      <c r="G42" s="223">
        <f>SUM(D42:D50)/D52</f>
        <v>99.153388894771084</v>
      </c>
    </row>
    <row r="43" spans="1:7" s="204" customFormat="1" ht="15.75" x14ac:dyDescent="0.45">
      <c r="A43" s="225" t="s">
        <v>353</v>
      </c>
      <c r="B43" s="220" t="s">
        <v>354</v>
      </c>
      <c r="C43" s="220" t="s">
        <v>319</v>
      </c>
      <c r="D43" s="221">
        <v>42423.4</v>
      </c>
      <c r="E43" s="221">
        <v>7.6307999999999998</v>
      </c>
      <c r="F43" s="222">
        <v>323726.60190000001</v>
      </c>
      <c r="G43" s="223"/>
    </row>
    <row r="44" spans="1:7" s="204" customFormat="1" ht="15.75" x14ac:dyDescent="0.45">
      <c r="A44" s="225" t="s">
        <v>355</v>
      </c>
      <c r="B44" s="220" t="s">
        <v>356</v>
      </c>
      <c r="C44" s="220" t="s">
        <v>319</v>
      </c>
      <c r="D44" s="221">
        <v>17427</v>
      </c>
      <c r="E44" s="221">
        <v>7.6069000000000004</v>
      </c>
      <c r="F44" s="222">
        <v>132565.62059999999</v>
      </c>
      <c r="G44" s="223"/>
    </row>
    <row r="45" spans="1:7" s="204" customFormat="1" ht="31.5" x14ac:dyDescent="0.45">
      <c r="A45" s="225" t="s">
        <v>357</v>
      </c>
      <c r="B45" s="220" t="s">
        <v>358</v>
      </c>
      <c r="C45" s="220" t="s">
        <v>319</v>
      </c>
      <c r="D45" s="221">
        <v>18751</v>
      </c>
      <c r="E45" s="221">
        <v>7.2529000000000003</v>
      </c>
      <c r="F45" s="222">
        <v>135999.31539999999</v>
      </c>
      <c r="G45" s="223"/>
    </row>
    <row r="46" spans="1:7" s="204" customFormat="1" ht="31.5" x14ac:dyDescent="0.45">
      <c r="A46" s="225" t="s">
        <v>359</v>
      </c>
      <c r="B46" s="220" t="s">
        <v>360</v>
      </c>
      <c r="C46" s="220" t="s">
        <v>319</v>
      </c>
      <c r="D46" s="221">
        <v>120199.2</v>
      </c>
      <c r="E46" s="221">
        <v>6.9017999999999997</v>
      </c>
      <c r="F46" s="222">
        <v>829589.63659999997</v>
      </c>
      <c r="G46" s="223"/>
    </row>
    <row r="47" spans="1:7" s="204" customFormat="1" ht="31.5" x14ac:dyDescent="0.45">
      <c r="A47" s="225" t="s">
        <v>361</v>
      </c>
      <c r="B47" s="220" t="s">
        <v>362</v>
      </c>
      <c r="C47" s="220" t="s">
        <v>319</v>
      </c>
      <c r="D47" s="221">
        <v>50324</v>
      </c>
      <c r="E47" s="221">
        <v>6.8832000000000004</v>
      </c>
      <c r="F47" s="222">
        <v>346389.65360000002</v>
      </c>
      <c r="G47" s="223"/>
    </row>
    <row r="48" spans="1:7" s="204" customFormat="1" ht="31.5" x14ac:dyDescent="0.45">
      <c r="A48" s="225" t="s">
        <v>363</v>
      </c>
      <c r="B48" s="220" t="s">
        <v>364</v>
      </c>
      <c r="C48" s="220" t="s">
        <v>319</v>
      </c>
      <c r="D48" s="221">
        <v>12203</v>
      </c>
      <c r="E48" s="221">
        <v>7.0033000000000003</v>
      </c>
      <c r="F48" s="222">
        <v>85461.391900000002</v>
      </c>
      <c r="G48" s="223"/>
    </row>
    <row r="49" spans="1:7" s="204" customFormat="1" ht="31.5" x14ac:dyDescent="0.45">
      <c r="A49" s="225" t="s">
        <v>365</v>
      </c>
      <c r="B49" s="220" t="s">
        <v>366</v>
      </c>
      <c r="C49" s="220" t="s">
        <v>319</v>
      </c>
      <c r="D49" s="221">
        <v>28977</v>
      </c>
      <c r="E49" s="221">
        <v>7.0033000000000003</v>
      </c>
      <c r="F49" s="222">
        <v>202934.91390000001</v>
      </c>
      <c r="G49" s="223"/>
    </row>
    <row r="50" spans="1:7" s="204" customFormat="1" ht="15.75" x14ac:dyDescent="0.45">
      <c r="A50" s="225" t="s">
        <v>367</v>
      </c>
      <c r="B50" s="220" t="s">
        <v>335</v>
      </c>
      <c r="C50" s="220" t="s">
        <v>319</v>
      </c>
      <c r="D50" s="221">
        <v>32840.400000000001</v>
      </c>
      <c r="E50" s="221">
        <v>12.0083</v>
      </c>
      <c r="F50" s="222">
        <v>394357.48070000001</v>
      </c>
      <c r="G50" s="223"/>
    </row>
    <row r="51" spans="1:7" s="204" customFormat="1" ht="15.75" x14ac:dyDescent="0.45">
      <c r="A51" s="215" t="s">
        <v>368</v>
      </c>
      <c r="B51" s="216" t="s">
        <v>44</v>
      </c>
      <c r="C51" s="216"/>
      <c r="D51" s="217"/>
      <c r="E51" s="217"/>
      <c r="F51" s="218">
        <f>F52</f>
        <v>1972646.6375</v>
      </c>
      <c r="G51" s="252">
        <f>F51/$G$3</f>
        <v>146.83668712674805</v>
      </c>
    </row>
    <row r="52" spans="1:7" s="204" customFormat="1" ht="31.5" x14ac:dyDescent="0.45">
      <c r="A52" s="225" t="s">
        <v>369</v>
      </c>
      <c r="B52" s="229" t="s">
        <v>370</v>
      </c>
      <c r="C52" s="220" t="s">
        <v>339</v>
      </c>
      <c r="D52" s="221">
        <v>3305.65</v>
      </c>
      <c r="E52" s="221">
        <v>596.75</v>
      </c>
      <c r="F52" s="222">
        <f>E52*D52</f>
        <v>1972646.6375</v>
      </c>
      <c r="G52" s="226">
        <f>D52/G3</f>
        <v>0.24606064034645669</v>
      </c>
    </row>
    <row r="53" spans="1:7" s="204" customFormat="1" ht="15.75" x14ac:dyDescent="0.45">
      <c r="A53" s="215" t="s">
        <v>371</v>
      </c>
      <c r="B53" s="216" t="s">
        <v>372</v>
      </c>
      <c r="C53" s="216"/>
      <c r="D53" s="217"/>
      <c r="E53" s="217"/>
      <c r="F53" s="218">
        <f>SUM(F54:F57)</f>
        <v>600845.25199999998</v>
      </c>
      <c r="G53" s="252">
        <f>F53/$G$3</f>
        <v>44.72474927964187</v>
      </c>
    </row>
    <row r="54" spans="1:7" s="204" customFormat="1" ht="15.75" x14ac:dyDescent="0.45">
      <c r="A54" s="225" t="s">
        <v>373</v>
      </c>
      <c r="B54" s="220" t="s">
        <v>374</v>
      </c>
      <c r="C54" s="220" t="s">
        <v>286</v>
      </c>
      <c r="D54" s="221">
        <v>5</v>
      </c>
      <c r="E54" s="221">
        <v>28132.294399999999</v>
      </c>
      <c r="F54" s="222">
        <f>E54*D54</f>
        <v>140661.47200000001</v>
      </c>
      <c r="G54" s="226">
        <f>(F54+F55)/G3</f>
        <v>20.43010252123484</v>
      </c>
    </row>
    <row r="55" spans="1:7" s="204" customFormat="1" ht="15.75" x14ac:dyDescent="0.45">
      <c r="A55" s="225" t="s">
        <v>375</v>
      </c>
      <c r="B55" s="220" t="s">
        <v>376</v>
      </c>
      <c r="C55" s="220" t="s">
        <v>285</v>
      </c>
      <c r="D55" s="221">
        <v>1</v>
      </c>
      <c r="E55" s="221">
        <v>133802.45000000001</v>
      </c>
      <c r="F55" s="222">
        <f t="shared" ref="F55:F56" si="0">E55*D55</f>
        <v>133802.45000000001</v>
      </c>
      <c r="G55" s="226"/>
    </row>
    <row r="56" spans="1:7" s="204" customFormat="1" ht="15.75" x14ac:dyDescent="0.45">
      <c r="A56" s="225" t="s">
        <v>377</v>
      </c>
      <c r="B56" s="220" t="s">
        <v>378</v>
      </c>
      <c r="C56" s="220" t="s">
        <v>286</v>
      </c>
      <c r="D56" s="221">
        <v>17</v>
      </c>
      <c r="E56" s="221">
        <v>16621.647058823528</v>
      </c>
      <c r="F56" s="222">
        <f t="shared" si="0"/>
        <v>282568</v>
      </c>
      <c r="G56" s="226">
        <f>F56/G3</f>
        <v>21.033340801784089</v>
      </c>
    </row>
    <row r="57" spans="1:7" s="204" customFormat="1" ht="15.75" x14ac:dyDescent="0.45">
      <c r="A57" s="225" t="s">
        <v>379</v>
      </c>
      <c r="B57" s="220" t="s">
        <v>287</v>
      </c>
      <c r="C57" s="220" t="s">
        <v>285</v>
      </c>
      <c r="D57" s="221">
        <v>1</v>
      </c>
      <c r="E57" s="230">
        <v>43813.33</v>
      </c>
      <c r="F57" s="222">
        <f>E57*D57</f>
        <v>43813.33</v>
      </c>
      <c r="G57" s="223"/>
    </row>
    <row r="58" spans="1:7" s="204" customFormat="1" ht="15.75" x14ac:dyDescent="0.45">
      <c r="A58" s="215" t="s">
        <v>380</v>
      </c>
      <c r="B58" s="216" t="s">
        <v>45</v>
      </c>
      <c r="C58" s="216"/>
      <c r="D58" s="217"/>
      <c r="E58" s="217"/>
      <c r="F58" s="218">
        <f>F59</f>
        <v>2830171.1</v>
      </c>
      <c r="G58" s="252">
        <f>F58/$G$3</f>
        <v>210.66770927231732</v>
      </c>
    </row>
    <row r="59" spans="1:7" s="204" customFormat="1" ht="15.75" x14ac:dyDescent="0.45">
      <c r="A59" s="225" t="s">
        <v>381</v>
      </c>
      <c r="B59" s="220" t="s">
        <v>382</v>
      </c>
      <c r="C59" s="220" t="s">
        <v>285</v>
      </c>
      <c r="D59" s="221">
        <v>1</v>
      </c>
      <c r="E59" s="230">
        <v>2830171.1</v>
      </c>
      <c r="F59" s="222">
        <f>E59*D59</f>
        <v>2830171.1</v>
      </c>
      <c r="G59" s="223"/>
    </row>
    <row r="60" spans="1:7" s="204" customFormat="1" ht="15.75" x14ac:dyDescent="0.45">
      <c r="A60" s="215" t="s">
        <v>383</v>
      </c>
      <c r="B60" s="216" t="s">
        <v>384</v>
      </c>
      <c r="C60" s="216"/>
      <c r="D60" s="217"/>
      <c r="E60" s="217"/>
      <c r="F60" s="218">
        <f>F61</f>
        <v>160066.47</v>
      </c>
      <c r="G60" s="219"/>
    </row>
    <row r="61" spans="1:7" s="204" customFormat="1" ht="15.75" x14ac:dyDescent="0.45">
      <c r="A61" s="225" t="s">
        <v>385</v>
      </c>
      <c r="B61" s="220" t="s">
        <v>384</v>
      </c>
      <c r="C61" s="220" t="s">
        <v>285</v>
      </c>
      <c r="D61" s="221">
        <v>1</v>
      </c>
      <c r="E61" s="221">
        <v>160066.47</v>
      </c>
      <c r="F61" s="222">
        <f>E61*D61</f>
        <v>160066.47</v>
      </c>
      <c r="G61" s="223"/>
    </row>
    <row r="62" spans="1:7" s="204" customFormat="1" ht="15.75" x14ac:dyDescent="0.45">
      <c r="A62" s="205" t="s">
        <v>386</v>
      </c>
      <c r="B62" s="206" t="s">
        <v>387</v>
      </c>
      <c r="C62" s="206"/>
      <c r="D62" s="207"/>
      <c r="E62" s="207"/>
      <c r="F62" s="208">
        <f>F63</f>
        <v>1608711.8946239999</v>
      </c>
      <c r="G62" s="209"/>
    </row>
    <row r="63" spans="1:7" s="204" customFormat="1" ht="15.75" x14ac:dyDescent="0.45">
      <c r="A63" s="210" t="s">
        <v>388</v>
      </c>
      <c r="B63" s="211" t="s">
        <v>387</v>
      </c>
      <c r="C63" s="211"/>
      <c r="D63" s="212"/>
      <c r="E63" s="212"/>
      <c r="F63" s="213">
        <f>F64+F69+F72+F74+F78+F84</f>
        <v>1608711.8946239999</v>
      </c>
      <c r="G63" s="214"/>
    </row>
    <row r="64" spans="1:7" s="204" customFormat="1" ht="15.75" x14ac:dyDescent="0.45">
      <c r="A64" s="215" t="s">
        <v>389</v>
      </c>
      <c r="B64" s="216" t="s">
        <v>390</v>
      </c>
      <c r="C64" s="216"/>
      <c r="D64" s="217"/>
      <c r="E64" s="217"/>
      <c r="F64" s="218">
        <f>SUM(F65:F68)</f>
        <v>441142.31285000005</v>
      </c>
      <c r="G64" s="219"/>
    </row>
    <row r="65" spans="1:7" s="204" customFormat="1" ht="34.5" customHeight="1" x14ac:dyDescent="0.45">
      <c r="A65" s="225" t="s">
        <v>391</v>
      </c>
      <c r="B65" s="220" t="s">
        <v>392</v>
      </c>
      <c r="C65" s="220" t="s">
        <v>289</v>
      </c>
      <c r="D65" s="221">
        <v>8997.4500000000007</v>
      </c>
      <c r="E65" s="221">
        <v>27.795000000000002</v>
      </c>
      <c r="F65" s="222">
        <f>E65*D65</f>
        <v>250084.12275000004</v>
      </c>
      <c r="G65" s="226">
        <f>D65/$G$3</f>
        <v>0.66973766384379074</v>
      </c>
    </row>
    <row r="66" spans="1:7" s="204" customFormat="1" ht="34.5" customHeight="1" x14ac:dyDescent="0.45">
      <c r="A66" s="225" t="s">
        <v>393</v>
      </c>
      <c r="B66" s="220" t="s">
        <v>394</v>
      </c>
      <c r="C66" s="220" t="s">
        <v>289</v>
      </c>
      <c r="D66" s="221">
        <v>4285.18</v>
      </c>
      <c r="E66" s="221">
        <v>30.17</v>
      </c>
      <c r="F66" s="222">
        <f t="shared" ref="F66:F85" si="1">E66*D66</f>
        <v>129283.88060000002</v>
      </c>
      <c r="G66" s="226">
        <f t="shared" ref="G66:G68" si="2">D66/$G$3</f>
        <v>0.31897331381115041</v>
      </c>
    </row>
    <row r="67" spans="1:7" s="204" customFormat="1" ht="34.5" customHeight="1" x14ac:dyDescent="0.45">
      <c r="A67" s="225" t="s">
        <v>395</v>
      </c>
      <c r="B67" s="220" t="s">
        <v>396</v>
      </c>
      <c r="C67" s="220" t="s">
        <v>289</v>
      </c>
      <c r="D67" s="221">
        <v>1315.83</v>
      </c>
      <c r="E67" s="221">
        <v>20.65</v>
      </c>
      <c r="F67" s="222">
        <f t="shared" si="1"/>
        <v>27171.889499999997</v>
      </c>
      <c r="G67" s="226">
        <f t="shared" si="2"/>
        <v>9.7945630174724518E-2</v>
      </c>
    </row>
    <row r="68" spans="1:7" s="204" customFormat="1" ht="34.5" customHeight="1" x14ac:dyDescent="0.45">
      <c r="A68" s="225" t="s">
        <v>397</v>
      </c>
      <c r="B68" s="220" t="s">
        <v>398</v>
      </c>
      <c r="C68" s="220" t="s">
        <v>289</v>
      </c>
      <c r="D68" s="221">
        <v>965.2</v>
      </c>
      <c r="E68" s="221">
        <v>35.85</v>
      </c>
      <c r="F68" s="222">
        <f t="shared" si="1"/>
        <v>34602.420000000006</v>
      </c>
      <c r="G68" s="226">
        <f t="shared" si="2"/>
        <v>7.1846000049128014E-2</v>
      </c>
    </row>
    <row r="69" spans="1:7" s="204" customFormat="1" ht="15.75" x14ac:dyDescent="0.45">
      <c r="A69" s="215" t="s">
        <v>399</v>
      </c>
      <c r="B69" s="216" t="s">
        <v>400</v>
      </c>
      <c r="C69" s="216"/>
      <c r="D69" s="217"/>
      <c r="E69" s="217"/>
      <c r="F69" s="218">
        <f>F70+F71</f>
        <v>128759.93173999999</v>
      </c>
      <c r="G69" s="219"/>
    </row>
    <row r="70" spans="1:7" s="204" customFormat="1" ht="31.5" x14ac:dyDescent="0.45">
      <c r="A70" s="225" t="s">
        <v>401</v>
      </c>
      <c r="B70" s="220" t="s">
        <v>402</v>
      </c>
      <c r="C70" s="220" t="s">
        <v>289</v>
      </c>
      <c r="D70" s="221">
        <v>68.41</v>
      </c>
      <c r="E70" s="221">
        <v>60.082000000000001</v>
      </c>
      <c r="F70" s="222">
        <f t="shared" si="1"/>
        <v>4110.2096199999996</v>
      </c>
      <c r="G70" s="226">
        <f>(D70+D71)/$G$3</f>
        <v>0.15952238637099539</v>
      </c>
    </row>
    <row r="71" spans="1:7" s="204" customFormat="1" ht="31.5" x14ac:dyDescent="0.45">
      <c r="A71" s="225" t="s">
        <v>403</v>
      </c>
      <c r="B71" s="220" t="s">
        <v>404</v>
      </c>
      <c r="C71" s="220" t="s">
        <v>289</v>
      </c>
      <c r="D71" s="221">
        <v>2074.66</v>
      </c>
      <c r="E71" s="221">
        <v>60.082000000000001</v>
      </c>
      <c r="F71" s="222">
        <f t="shared" si="1"/>
        <v>124649.72211999999</v>
      </c>
      <c r="G71" s="223"/>
    </row>
    <row r="72" spans="1:7" s="204" customFormat="1" ht="15.75" x14ac:dyDescent="0.45">
      <c r="A72" s="215" t="s">
        <v>405</v>
      </c>
      <c r="B72" s="216" t="s">
        <v>406</v>
      </c>
      <c r="C72" s="216"/>
      <c r="D72" s="217"/>
      <c r="E72" s="217"/>
      <c r="F72" s="218">
        <f>F73</f>
        <v>54910.127500000002</v>
      </c>
      <c r="G72" s="219"/>
    </row>
    <row r="73" spans="1:7" s="204" customFormat="1" ht="15.75" customHeight="1" x14ac:dyDescent="0.45">
      <c r="A73" s="225" t="s">
        <v>407</v>
      </c>
      <c r="B73" s="220" t="s">
        <v>408</v>
      </c>
      <c r="C73" s="220" t="s">
        <v>289</v>
      </c>
      <c r="D73" s="221">
        <v>349.19</v>
      </c>
      <c r="E73" s="221">
        <v>157.25</v>
      </c>
      <c r="F73" s="222">
        <f t="shared" si="1"/>
        <v>54910.127500000002</v>
      </c>
      <c r="G73" s="226">
        <f t="shared" ref="G73" si="3">D73/$G$3</f>
        <v>2.5992441729335899E-2</v>
      </c>
    </row>
    <row r="74" spans="1:7" s="204" customFormat="1" ht="15.75" x14ac:dyDescent="0.45">
      <c r="A74" s="215" t="s">
        <v>409</v>
      </c>
      <c r="B74" s="216" t="s">
        <v>410</v>
      </c>
      <c r="C74" s="216"/>
      <c r="D74" s="217"/>
      <c r="E74" s="217"/>
      <c r="F74" s="218">
        <f>SUM(F75:F77)</f>
        <v>227615.695385</v>
      </c>
      <c r="G74" s="219"/>
    </row>
    <row r="75" spans="1:7" s="204" customFormat="1" ht="15.75" x14ac:dyDescent="0.45">
      <c r="A75" s="225" t="s">
        <v>411</v>
      </c>
      <c r="B75" s="220" t="s">
        <v>412</v>
      </c>
      <c r="C75" s="220" t="s">
        <v>288</v>
      </c>
      <c r="D75" s="221">
        <v>2417.8000000000002</v>
      </c>
      <c r="E75" s="221">
        <v>36.856699999999996</v>
      </c>
      <c r="F75" s="222">
        <f t="shared" si="1"/>
        <v>89112.129260000002</v>
      </c>
      <c r="G75" s="226">
        <f>F74/(D65+D66+D67+D68+D70+D71)</f>
        <v>12.854756094716526</v>
      </c>
    </row>
    <row r="76" spans="1:7" s="204" customFormat="1" ht="15.75" x14ac:dyDescent="0.45">
      <c r="A76" s="225" t="s">
        <v>413</v>
      </c>
      <c r="B76" s="220" t="s">
        <v>414</v>
      </c>
      <c r="C76" s="220" t="s">
        <v>288</v>
      </c>
      <c r="D76" s="221">
        <v>8324.6299999999992</v>
      </c>
      <c r="E76" s="221">
        <v>14.7875</v>
      </c>
      <c r="F76" s="222">
        <f t="shared" si="1"/>
        <v>123100.46612499999</v>
      </c>
      <c r="G76" s="223"/>
    </row>
    <row r="77" spans="1:7" s="204" customFormat="1" ht="15.75" x14ac:dyDescent="0.45">
      <c r="A77" s="225" t="s">
        <v>415</v>
      </c>
      <c r="B77" s="220" t="s">
        <v>416</v>
      </c>
      <c r="C77" s="220" t="s">
        <v>417</v>
      </c>
      <c r="D77" s="221">
        <v>4163</v>
      </c>
      <c r="E77" s="221">
        <v>3.7</v>
      </c>
      <c r="F77" s="222">
        <f t="shared" si="1"/>
        <v>15403.1</v>
      </c>
      <c r="G77" s="223"/>
    </row>
    <row r="78" spans="1:7" s="204" customFormat="1" ht="15.75" x14ac:dyDescent="0.45">
      <c r="A78" s="215" t="s">
        <v>418</v>
      </c>
      <c r="B78" s="216" t="s">
        <v>45</v>
      </c>
      <c r="C78" s="216"/>
      <c r="D78" s="217"/>
      <c r="E78" s="217"/>
      <c r="F78" s="218">
        <f>SUM(F79:F83)</f>
        <v>726830.48714899994</v>
      </c>
      <c r="G78" s="219"/>
    </row>
    <row r="79" spans="1:7" s="204" customFormat="1" ht="31.5" x14ac:dyDescent="0.45">
      <c r="A79" s="225" t="s">
        <v>419</v>
      </c>
      <c r="B79" s="220" t="s">
        <v>420</v>
      </c>
      <c r="C79" s="220" t="s">
        <v>289</v>
      </c>
      <c r="D79" s="221">
        <f>D70+D71</f>
        <v>2143.0699999999997</v>
      </c>
      <c r="E79" s="221">
        <v>35</v>
      </c>
      <c r="F79" s="222">
        <f t="shared" si="1"/>
        <v>75007.449999999983</v>
      </c>
      <c r="G79" s="223"/>
    </row>
    <row r="80" spans="1:7" s="204" customFormat="1" ht="31.5" x14ac:dyDescent="0.45">
      <c r="A80" s="225" t="s">
        <v>421</v>
      </c>
      <c r="B80" s="220" t="s">
        <v>422</v>
      </c>
      <c r="C80" s="220" t="s">
        <v>289</v>
      </c>
      <c r="D80" s="221">
        <f>D66+D67+D68</f>
        <v>6566.21</v>
      </c>
      <c r="E80" s="221">
        <v>34</v>
      </c>
      <c r="F80" s="222">
        <f t="shared" si="1"/>
        <v>223251.14</v>
      </c>
      <c r="G80" s="223"/>
    </row>
    <row r="81" spans="1:7" s="204" customFormat="1" ht="31.5" x14ac:dyDescent="0.45">
      <c r="A81" s="225" t="s">
        <v>423</v>
      </c>
      <c r="B81" s="220" t="s">
        <v>424</v>
      </c>
      <c r="C81" s="220" t="s">
        <v>285</v>
      </c>
      <c r="D81" s="221">
        <v>1</v>
      </c>
      <c r="E81" s="221">
        <v>119748.04</v>
      </c>
      <c r="F81" s="222">
        <f t="shared" si="1"/>
        <v>119748.04</v>
      </c>
      <c r="G81" s="223"/>
    </row>
    <row r="82" spans="1:7" s="204" customFormat="1" ht="31.5" x14ac:dyDescent="0.45">
      <c r="A82" s="225" t="s">
        <v>425</v>
      </c>
      <c r="B82" s="220" t="s">
        <v>426</v>
      </c>
      <c r="C82" s="220" t="s">
        <v>289</v>
      </c>
      <c r="D82" s="221">
        <v>6376.69</v>
      </c>
      <c r="E82" s="221">
        <v>45.692100000000003</v>
      </c>
      <c r="F82" s="222">
        <f t="shared" si="1"/>
        <v>291364.35714899999</v>
      </c>
      <c r="G82" s="223"/>
    </row>
    <row r="83" spans="1:7" s="204" customFormat="1" ht="31.5" x14ac:dyDescent="0.45">
      <c r="A83" s="225" t="s">
        <v>427</v>
      </c>
      <c r="B83" s="220" t="s">
        <v>428</v>
      </c>
      <c r="C83" s="220" t="s">
        <v>289</v>
      </c>
      <c r="D83" s="221">
        <f>D73</f>
        <v>349.19</v>
      </c>
      <c r="E83" s="221">
        <v>50</v>
      </c>
      <c r="F83" s="222">
        <f t="shared" si="1"/>
        <v>17459.5</v>
      </c>
      <c r="G83" s="223"/>
    </row>
    <row r="84" spans="1:7" s="204" customFormat="1" ht="15.75" x14ac:dyDescent="0.45">
      <c r="A84" s="215" t="s">
        <v>429</v>
      </c>
      <c r="B84" s="216" t="s">
        <v>384</v>
      </c>
      <c r="C84" s="216"/>
      <c r="D84" s="217"/>
      <c r="E84" s="217"/>
      <c r="F84" s="218">
        <f>F85</f>
        <v>29453.34</v>
      </c>
      <c r="G84" s="219"/>
    </row>
    <row r="85" spans="1:7" s="204" customFormat="1" ht="15.75" x14ac:dyDescent="0.45">
      <c r="A85" s="225" t="s">
        <v>430</v>
      </c>
      <c r="B85" s="220" t="s">
        <v>384</v>
      </c>
      <c r="C85" s="220" t="s">
        <v>285</v>
      </c>
      <c r="D85" s="221">
        <v>1</v>
      </c>
      <c r="E85" s="221">
        <v>29453.34</v>
      </c>
      <c r="F85" s="222">
        <f t="shared" si="1"/>
        <v>29453.34</v>
      </c>
      <c r="G85" s="223"/>
    </row>
    <row r="86" spans="1:7" s="204" customFormat="1" ht="15.75" x14ac:dyDescent="0.45">
      <c r="A86" s="205" t="s">
        <v>431</v>
      </c>
      <c r="B86" s="206" t="s">
        <v>432</v>
      </c>
      <c r="C86" s="206"/>
      <c r="D86" s="207"/>
      <c r="E86" s="207"/>
      <c r="F86" s="208">
        <f>F87</f>
        <v>818981.42239299999</v>
      </c>
      <c r="G86" s="209"/>
    </row>
    <row r="87" spans="1:7" s="204" customFormat="1" ht="15.75" x14ac:dyDescent="0.45">
      <c r="A87" s="210" t="s">
        <v>433</v>
      </c>
      <c r="B87" s="211" t="s">
        <v>432</v>
      </c>
      <c r="C87" s="211"/>
      <c r="D87" s="212"/>
      <c r="E87" s="212"/>
      <c r="F87" s="213">
        <f>F88+F91+F94+F96+F98+F100+F102+F108</f>
        <v>818981.42239299999</v>
      </c>
      <c r="G87" s="214"/>
    </row>
    <row r="88" spans="1:7" s="204" customFormat="1" ht="15.75" x14ac:dyDescent="0.45">
      <c r="A88" s="215" t="s">
        <v>434</v>
      </c>
      <c r="B88" s="216" t="s">
        <v>435</v>
      </c>
      <c r="C88" s="216"/>
      <c r="D88" s="217"/>
      <c r="E88" s="217"/>
      <c r="F88" s="218">
        <f>F89+F90</f>
        <v>79243.534843000001</v>
      </c>
      <c r="G88" s="219"/>
    </row>
    <row r="89" spans="1:7" s="204" customFormat="1" ht="15.75" x14ac:dyDescent="0.45">
      <c r="A89" s="225" t="s">
        <v>436</v>
      </c>
      <c r="B89" s="220" t="s">
        <v>437</v>
      </c>
      <c r="C89" s="220" t="s">
        <v>289</v>
      </c>
      <c r="D89" s="231">
        <f>D93+D97</f>
        <v>6166.85</v>
      </c>
      <c r="E89" s="221">
        <v>6.2895000000000003</v>
      </c>
      <c r="F89" s="222">
        <f>E89*D89</f>
        <v>38786.403075000002</v>
      </c>
      <c r="G89" s="223"/>
    </row>
    <row r="90" spans="1:7" s="204" customFormat="1" ht="31.5" x14ac:dyDescent="0.45">
      <c r="A90" s="225" t="s">
        <v>438</v>
      </c>
      <c r="B90" s="220" t="s">
        <v>439</v>
      </c>
      <c r="C90" s="220" t="s">
        <v>289</v>
      </c>
      <c r="D90" s="221">
        <f>D97</f>
        <v>1656.26</v>
      </c>
      <c r="E90" s="221">
        <v>24.4268</v>
      </c>
      <c r="F90" s="222">
        <f>E90*D90</f>
        <v>40457.131767999999</v>
      </c>
      <c r="G90" s="223"/>
    </row>
    <row r="91" spans="1:7" s="204" customFormat="1" ht="16.5" customHeight="1" x14ac:dyDescent="0.45">
      <c r="A91" s="215" t="s">
        <v>440</v>
      </c>
      <c r="B91" s="216" t="s">
        <v>441</v>
      </c>
      <c r="C91" s="216"/>
      <c r="D91" s="217"/>
      <c r="E91" s="217"/>
      <c r="F91" s="218">
        <f>F92+F93</f>
        <v>340454.8</v>
      </c>
      <c r="G91" s="219"/>
    </row>
    <row r="92" spans="1:7" s="204" customFormat="1" ht="15.75" x14ac:dyDescent="0.45">
      <c r="A92" s="225" t="s">
        <v>442</v>
      </c>
      <c r="B92" s="220" t="s">
        <v>443</v>
      </c>
      <c r="C92" s="220" t="s">
        <v>289</v>
      </c>
      <c r="D92" s="221">
        <v>353.05</v>
      </c>
      <c r="E92" s="221">
        <v>70</v>
      </c>
      <c r="F92" s="222">
        <f>E92*D92</f>
        <v>24713.5</v>
      </c>
      <c r="G92" s="226">
        <f>(D92+D93)/$G$3</f>
        <v>0.36203178582567447</v>
      </c>
    </row>
    <row r="93" spans="1:7" s="204" customFormat="1" ht="15.75" x14ac:dyDescent="0.45">
      <c r="A93" s="225" t="s">
        <v>444</v>
      </c>
      <c r="B93" s="220" t="s">
        <v>445</v>
      </c>
      <c r="C93" s="220" t="s">
        <v>289</v>
      </c>
      <c r="D93" s="221">
        <v>4510.59</v>
      </c>
      <c r="E93" s="221">
        <v>70</v>
      </c>
      <c r="F93" s="222">
        <f>E93*D93</f>
        <v>315741.3</v>
      </c>
      <c r="G93" s="223"/>
    </row>
    <row r="94" spans="1:7" s="204" customFormat="1" ht="18" customHeight="1" x14ac:dyDescent="0.45">
      <c r="A94" s="215" t="s">
        <v>446</v>
      </c>
      <c r="B94" s="216" t="s">
        <v>447</v>
      </c>
      <c r="C94" s="216"/>
      <c r="D94" s="217"/>
      <c r="E94" s="217"/>
      <c r="F94" s="218">
        <f>F95</f>
        <v>28819.201950000002</v>
      </c>
      <c r="G94" s="219"/>
    </row>
    <row r="95" spans="1:7" s="204" customFormat="1" ht="15.75" x14ac:dyDescent="0.45">
      <c r="A95" s="225" t="s">
        <v>448</v>
      </c>
      <c r="B95" s="220" t="s">
        <v>449</v>
      </c>
      <c r="C95" s="220" t="s">
        <v>289</v>
      </c>
      <c r="D95" s="221">
        <f>D21+32.73</f>
        <v>2161.17</v>
      </c>
      <c r="E95" s="221">
        <v>13.335000000000001</v>
      </c>
      <c r="F95" s="222">
        <f>E95*D95</f>
        <v>28819.201950000002</v>
      </c>
      <c r="G95" s="223"/>
    </row>
    <row r="96" spans="1:7" s="204" customFormat="1" ht="15.75" x14ac:dyDescent="0.45">
      <c r="A96" s="215" t="s">
        <v>450</v>
      </c>
      <c r="B96" s="216" t="s">
        <v>451</v>
      </c>
      <c r="C96" s="216"/>
      <c r="D96" s="217"/>
      <c r="E96" s="217"/>
      <c r="F96" s="218">
        <f>F97</f>
        <v>188813.63999999998</v>
      </c>
      <c r="G96" s="219"/>
    </row>
    <row r="97" spans="1:7" s="204" customFormat="1" ht="15.75" x14ac:dyDescent="0.45">
      <c r="A97" s="225" t="s">
        <v>452</v>
      </c>
      <c r="B97" s="220" t="s">
        <v>453</v>
      </c>
      <c r="C97" s="220" t="s">
        <v>289</v>
      </c>
      <c r="D97" s="221">
        <v>1656.26</v>
      </c>
      <c r="E97" s="221">
        <v>114</v>
      </c>
      <c r="F97" s="222">
        <f>E97*D97</f>
        <v>188813.63999999998</v>
      </c>
      <c r="G97" s="226">
        <f>(D97)/$G$3</f>
        <v>0.12328600916014169</v>
      </c>
    </row>
    <row r="98" spans="1:7" s="204" customFormat="1" ht="15.75" x14ac:dyDescent="0.45">
      <c r="A98" s="215" t="s">
        <v>454</v>
      </c>
      <c r="B98" s="216" t="s">
        <v>455</v>
      </c>
      <c r="C98" s="216"/>
      <c r="D98" s="217"/>
      <c r="E98" s="217"/>
      <c r="F98" s="218">
        <f>F99</f>
        <v>4991.6799999999994</v>
      </c>
      <c r="G98" s="219"/>
    </row>
    <row r="99" spans="1:7" s="204" customFormat="1" ht="15.75" x14ac:dyDescent="0.45">
      <c r="A99" s="225" t="s">
        <v>456</v>
      </c>
      <c r="B99" s="220" t="s">
        <v>457</v>
      </c>
      <c r="C99" s="220" t="s">
        <v>289</v>
      </c>
      <c r="D99" s="221">
        <v>164.2</v>
      </c>
      <c r="E99" s="221">
        <v>30.4</v>
      </c>
      <c r="F99" s="222">
        <f>E99*D99</f>
        <v>4991.6799999999994</v>
      </c>
      <c r="G99" s="226">
        <f>(F99+F106)/$G$3</f>
        <v>0.76268116885968651</v>
      </c>
    </row>
    <row r="100" spans="1:7" s="204" customFormat="1" ht="15.75" x14ac:dyDescent="0.45">
      <c r="A100" s="215" t="s">
        <v>458</v>
      </c>
      <c r="B100" s="216" t="s">
        <v>459</v>
      </c>
      <c r="C100" s="216"/>
      <c r="D100" s="217"/>
      <c r="E100" s="217"/>
      <c r="F100" s="218">
        <f>F101</f>
        <v>415.7056</v>
      </c>
      <c r="G100" s="219"/>
    </row>
    <row r="101" spans="1:7" s="204" customFormat="1" ht="15.75" x14ac:dyDescent="0.45">
      <c r="A101" s="225" t="s">
        <v>460</v>
      </c>
      <c r="B101" s="220" t="s">
        <v>461</v>
      </c>
      <c r="C101" s="220" t="s">
        <v>417</v>
      </c>
      <c r="D101" s="221">
        <v>64</v>
      </c>
      <c r="E101" s="221">
        <v>6.4954000000000001</v>
      </c>
      <c r="F101" s="222">
        <f>E101*D101</f>
        <v>415.7056</v>
      </c>
      <c r="G101" s="226">
        <f>(F101+F107)/$G$3</f>
        <v>0.41205792044090161</v>
      </c>
    </row>
    <row r="102" spans="1:7" s="204" customFormat="1" ht="15.75" x14ac:dyDescent="0.45">
      <c r="A102" s="215" t="s">
        <v>462</v>
      </c>
      <c r="B102" s="216" t="s">
        <v>463</v>
      </c>
      <c r="C102" s="216"/>
      <c r="D102" s="217"/>
      <c r="E102" s="217"/>
      <c r="F102" s="218">
        <f>SUM(F103:F107)</f>
        <v>161248.42000000001</v>
      </c>
      <c r="G102" s="219"/>
    </row>
    <row r="103" spans="1:7" s="204" customFormat="1" ht="15.75" x14ac:dyDescent="0.45">
      <c r="A103" s="225" t="s">
        <v>464</v>
      </c>
      <c r="B103" s="220" t="s">
        <v>465</v>
      </c>
      <c r="C103" s="220" t="s">
        <v>289</v>
      </c>
      <c r="D103" s="221">
        <f>D89</f>
        <v>6166.85</v>
      </c>
      <c r="E103" s="221">
        <v>18</v>
      </c>
      <c r="F103" s="222">
        <f>E103*D103</f>
        <v>111003.3</v>
      </c>
      <c r="G103" s="223"/>
    </row>
    <row r="104" spans="1:7" s="204" customFormat="1" ht="15.75" x14ac:dyDescent="0.45">
      <c r="A104" s="225" t="s">
        <v>466</v>
      </c>
      <c r="B104" s="220" t="s">
        <v>467</v>
      </c>
      <c r="C104" s="220" t="s">
        <v>289</v>
      </c>
      <c r="D104" s="221">
        <f>D90</f>
        <v>1656.26</v>
      </c>
      <c r="E104" s="221">
        <v>4.5</v>
      </c>
      <c r="F104" s="222">
        <f t="shared" ref="F104:F107" si="4">E104*D104</f>
        <v>7453.17</v>
      </c>
      <c r="G104" s="223"/>
    </row>
    <row r="105" spans="1:7" s="204" customFormat="1" ht="15.75" x14ac:dyDescent="0.45">
      <c r="A105" s="225" t="s">
        <v>468</v>
      </c>
      <c r="B105" s="220" t="s">
        <v>469</v>
      </c>
      <c r="C105" s="220" t="s">
        <v>289</v>
      </c>
      <c r="D105" s="221">
        <f>D95</f>
        <v>2161.17</v>
      </c>
      <c r="E105" s="221">
        <v>15</v>
      </c>
      <c r="F105" s="222">
        <f t="shared" si="4"/>
        <v>32417.550000000003</v>
      </c>
      <c r="G105" s="223"/>
    </row>
    <row r="106" spans="1:7" s="204" customFormat="1" ht="15.75" x14ac:dyDescent="0.45">
      <c r="A106" s="225" t="s">
        <v>470</v>
      </c>
      <c r="B106" s="220" t="s">
        <v>471</v>
      </c>
      <c r="C106" s="220" t="s">
        <v>289</v>
      </c>
      <c r="D106" s="221">
        <f>D99</f>
        <v>164.2</v>
      </c>
      <c r="E106" s="221">
        <v>32</v>
      </c>
      <c r="F106" s="222">
        <f t="shared" si="4"/>
        <v>5254.4</v>
      </c>
      <c r="G106" s="223"/>
    </row>
    <row r="107" spans="1:7" s="204" customFormat="1" ht="15.75" x14ac:dyDescent="0.45">
      <c r="A107" s="225" t="s">
        <v>472</v>
      </c>
      <c r="B107" s="220" t="s">
        <v>473</v>
      </c>
      <c r="C107" s="220" t="s">
        <v>417</v>
      </c>
      <c r="D107" s="221">
        <f>D101</f>
        <v>64</v>
      </c>
      <c r="E107" s="221">
        <v>80</v>
      </c>
      <c r="F107" s="222">
        <f t="shared" si="4"/>
        <v>5120</v>
      </c>
      <c r="G107" s="223"/>
    </row>
    <row r="108" spans="1:7" s="204" customFormat="1" ht="15.75" x14ac:dyDescent="0.45">
      <c r="A108" s="215" t="s">
        <v>474</v>
      </c>
      <c r="B108" s="216" t="s">
        <v>384</v>
      </c>
      <c r="C108" s="216"/>
      <c r="D108" s="217"/>
      <c r="E108" s="217"/>
      <c r="F108" s="218">
        <f>F109</f>
        <v>14994.44</v>
      </c>
      <c r="G108" s="219"/>
    </row>
    <row r="109" spans="1:7" s="204" customFormat="1" ht="15.75" x14ac:dyDescent="0.45">
      <c r="A109" s="225" t="s">
        <v>475</v>
      </c>
      <c r="B109" s="220" t="s">
        <v>384</v>
      </c>
      <c r="C109" s="220" t="s">
        <v>285</v>
      </c>
      <c r="D109" s="221">
        <v>1</v>
      </c>
      <c r="E109" s="221">
        <v>14994.44</v>
      </c>
      <c r="F109" s="222">
        <f t="shared" ref="F109" si="5">E109*D109</f>
        <v>14994.44</v>
      </c>
      <c r="G109" s="223"/>
    </row>
    <row r="110" spans="1:7" s="204" customFormat="1" ht="15.75" x14ac:dyDescent="0.45">
      <c r="A110" s="205" t="s">
        <v>476</v>
      </c>
      <c r="B110" s="206" t="s">
        <v>477</v>
      </c>
      <c r="C110" s="206"/>
      <c r="D110" s="207"/>
      <c r="E110" s="207"/>
      <c r="F110" s="208">
        <f>F111</f>
        <v>1461799.3071000001</v>
      </c>
      <c r="G110" s="209"/>
    </row>
    <row r="111" spans="1:7" s="204" customFormat="1" ht="15.75" x14ac:dyDescent="0.45">
      <c r="A111" s="210" t="s">
        <v>478</v>
      </c>
      <c r="B111" s="211" t="s">
        <v>477</v>
      </c>
      <c r="C111" s="211"/>
      <c r="D111" s="212"/>
      <c r="E111" s="212"/>
      <c r="F111" s="213">
        <f>F112+F114+F116+F118+F120+F122+F124</f>
        <v>1461799.3071000001</v>
      </c>
      <c r="G111" s="214"/>
    </row>
    <row r="112" spans="1:7" s="204" customFormat="1" ht="15.75" x14ac:dyDescent="0.45">
      <c r="A112" s="215" t="s">
        <v>479</v>
      </c>
      <c r="B112" s="216" t="s">
        <v>480</v>
      </c>
      <c r="C112" s="216"/>
      <c r="D112" s="217"/>
      <c r="E112" s="217"/>
      <c r="F112" s="218">
        <f>F113</f>
        <v>166865.69666666666</v>
      </c>
      <c r="G112" s="219"/>
    </row>
    <row r="113" spans="1:7" s="204" customFormat="1" ht="15.75" x14ac:dyDescent="0.45">
      <c r="A113" s="225" t="s">
        <v>481</v>
      </c>
      <c r="B113" s="220" t="s">
        <v>482</v>
      </c>
      <c r="C113" s="220" t="s">
        <v>285</v>
      </c>
      <c r="D113" s="221">
        <v>1</v>
      </c>
      <c r="E113" s="221">
        <f>[6]RESUMO!$C$11</f>
        <v>166865.69666666666</v>
      </c>
      <c r="F113" s="222">
        <f>E113*D113</f>
        <v>166865.69666666666</v>
      </c>
      <c r="G113" s="226">
        <f>F113/$G$3</f>
        <v>12.420879455979188</v>
      </c>
    </row>
    <row r="114" spans="1:7" s="204" customFormat="1" ht="15.75" x14ac:dyDescent="0.45">
      <c r="A114" s="215" t="s">
        <v>483</v>
      </c>
      <c r="B114" s="216" t="s">
        <v>484</v>
      </c>
      <c r="C114" s="216"/>
      <c r="D114" s="217"/>
      <c r="E114" s="217"/>
      <c r="F114" s="218">
        <f>F115</f>
        <v>129580.53000000003</v>
      </c>
      <c r="G114" s="219"/>
    </row>
    <row r="115" spans="1:7" s="204" customFormat="1" ht="15.75" x14ac:dyDescent="0.45">
      <c r="A115" s="225" t="s">
        <v>485</v>
      </c>
      <c r="B115" s="220" t="s">
        <v>486</v>
      </c>
      <c r="C115" s="220" t="s">
        <v>285</v>
      </c>
      <c r="D115" s="221">
        <v>1</v>
      </c>
      <c r="E115" s="221">
        <f>[6]RESUMO!$C$12</f>
        <v>129580.53000000003</v>
      </c>
      <c r="F115" s="222">
        <f>E115*D115</f>
        <v>129580.53000000003</v>
      </c>
      <c r="G115" s="226">
        <f>F115/$G$3</f>
        <v>9.6455063870141267</v>
      </c>
    </row>
    <row r="116" spans="1:7" s="204" customFormat="1" ht="15.75" x14ac:dyDescent="0.45">
      <c r="A116" s="215" t="s">
        <v>487</v>
      </c>
      <c r="B116" s="216" t="s">
        <v>488</v>
      </c>
      <c r="C116" s="216"/>
      <c r="D116" s="217"/>
      <c r="E116" s="217"/>
      <c r="F116" s="218">
        <f>F117</f>
        <v>300118.73043333332</v>
      </c>
      <c r="G116" s="219"/>
    </row>
    <row r="117" spans="1:7" s="204" customFormat="1" ht="15.75" x14ac:dyDescent="0.45">
      <c r="A117" s="225" t="s">
        <v>489</v>
      </c>
      <c r="B117" s="220" t="s">
        <v>490</v>
      </c>
      <c r="C117" s="220" t="s">
        <v>285</v>
      </c>
      <c r="D117" s="221">
        <v>1</v>
      </c>
      <c r="E117" s="221">
        <f>[6]RESUMO!$C$16</f>
        <v>300118.73043333332</v>
      </c>
      <c r="F117" s="222">
        <f>E117*D117</f>
        <v>300118.73043333332</v>
      </c>
      <c r="G117" s="226">
        <f>F117/$G$3</f>
        <v>22.339753752028077</v>
      </c>
    </row>
    <row r="118" spans="1:7" s="204" customFormat="1" ht="15.75" x14ac:dyDescent="0.45">
      <c r="A118" s="215" t="s">
        <v>491</v>
      </c>
      <c r="B118" s="216" t="s">
        <v>492</v>
      </c>
      <c r="C118" s="216"/>
      <c r="D118" s="232">
        <v>1</v>
      </c>
      <c r="E118" s="217"/>
      <c r="F118" s="218">
        <f>F119</f>
        <v>43892.800000000003</v>
      </c>
      <c r="G118" s="219"/>
    </row>
    <row r="119" spans="1:7" s="204" customFormat="1" ht="15.75" x14ac:dyDescent="0.45">
      <c r="A119" s="225" t="s">
        <v>493</v>
      </c>
      <c r="B119" s="220" t="s">
        <v>494</v>
      </c>
      <c r="C119" s="220" t="s">
        <v>285</v>
      </c>
      <c r="D119" s="221">
        <v>1</v>
      </c>
      <c r="E119" s="221">
        <f>[6]RESUMO!$C$13</f>
        <v>43892.800000000003</v>
      </c>
      <c r="F119" s="222">
        <f>E119*D119</f>
        <v>43892.800000000003</v>
      </c>
      <c r="G119" s="226">
        <f>F119/$G$3</f>
        <v>3.2672214162415729</v>
      </c>
    </row>
    <row r="120" spans="1:7" s="204" customFormat="1" ht="15.75" x14ac:dyDescent="0.45">
      <c r="A120" s="215" t="s">
        <v>495</v>
      </c>
      <c r="B120" s="216" t="s">
        <v>496</v>
      </c>
      <c r="C120" s="216"/>
      <c r="D120" s="232">
        <v>1</v>
      </c>
      <c r="E120" s="217"/>
      <c r="F120" s="218">
        <f>F121</f>
        <v>26327.480000000003</v>
      </c>
      <c r="G120" s="219"/>
    </row>
    <row r="121" spans="1:7" s="204" customFormat="1" ht="15.75" x14ac:dyDescent="0.45">
      <c r="A121" s="225" t="s">
        <v>497</v>
      </c>
      <c r="B121" s="220" t="s">
        <v>498</v>
      </c>
      <c r="C121" s="220" t="s">
        <v>285</v>
      </c>
      <c r="D121" s="221">
        <v>1</v>
      </c>
      <c r="E121" s="221">
        <f>[6]RESUMO!$C$15</f>
        <v>26327.480000000003</v>
      </c>
      <c r="F121" s="222">
        <f>E121*D121</f>
        <v>26327.480000000003</v>
      </c>
      <c r="G121" s="226">
        <f>F121/$G$3</f>
        <v>1.9597224713773487</v>
      </c>
    </row>
    <row r="122" spans="1:7" s="204" customFormat="1" ht="15.75" x14ac:dyDescent="0.45">
      <c r="A122" s="215" t="s">
        <v>499</v>
      </c>
      <c r="B122" s="216" t="s">
        <v>45</v>
      </c>
      <c r="C122" s="216"/>
      <c r="D122" s="232">
        <v>1</v>
      </c>
      <c r="E122" s="217"/>
      <c r="F122" s="218">
        <f>F123</f>
        <v>768250.5</v>
      </c>
      <c r="G122" s="219"/>
    </row>
    <row r="123" spans="1:7" s="204" customFormat="1" ht="15.75" x14ac:dyDescent="0.45">
      <c r="A123" s="225" t="s">
        <v>500</v>
      </c>
      <c r="B123" s="220" t="s">
        <v>501</v>
      </c>
      <c r="C123" s="220" t="s">
        <v>285</v>
      </c>
      <c r="D123" s="221">
        <v>1</v>
      </c>
      <c r="E123" s="221">
        <v>768250.5</v>
      </c>
      <c r="F123" s="222">
        <f>E123*D123</f>
        <v>768250.5</v>
      </c>
      <c r="G123" s="226">
        <f>F123/$G$3</f>
        <v>57.185790987093469</v>
      </c>
    </row>
    <row r="124" spans="1:7" s="204" customFormat="1" ht="15.75" x14ac:dyDescent="0.45">
      <c r="A124" s="215" t="s">
        <v>502</v>
      </c>
      <c r="B124" s="216" t="s">
        <v>384</v>
      </c>
      <c r="C124" s="216"/>
      <c r="D124" s="232">
        <v>1</v>
      </c>
      <c r="E124" s="217"/>
      <c r="F124" s="218">
        <f>F125</f>
        <v>26763.57</v>
      </c>
      <c r="G124" s="219"/>
    </row>
    <row r="125" spans="1:7" s="204" customFormat="1" ht="15.75" x14ac:dyDescent="0.45">
      <c r="A125" s="225" t="s">
        <v>503</v>
      </c>
      <c r="B125" s="220" t="s">
        <v>384</v>
      </c>
      <c r="C125" s="220" t="s">
        <v>285</v>
      </c>
      <c r="D125" s="221">
        <v>1</v>
      </c>
      <c r="E125" s="221">
        <v>26763.57</v>
      </c>
      <c r="F125" s="222">
        <f>E125*D125</f>
        <v>26763.57</v>
      </c>
      <c r="G125" s="226">
        <f>F125/$G$3</f>
        <v>1.9921834350754672</v>
      </c>
    </row>
    <row r="126" spans="1:7" s="204" customFormat="1" ht="15.75" x14ac:dyDescent="0.45">
      <c r="A126" s="205" t="s">
        <v>504</v>
      </c>
      <c r="B126" s="206" t="s">
        <v>505</v>
      </c>
      <c r="C126" s="206"/>
      <c r="D126" s="233">
        <v>1.02</v>
      </c>
      <c r="E126" s="207"/>
      <c r="F126" s="208">
        <f>F127</f>
        <v>2057578.1100182501</v>
      </c>
      <c r="G126" s="209"/>
    </row>
    <row r="127" spans="1:7" s="204" customFormat="1" ht="15.75" x14ac:dyDescent="0.45">
      <c r="A127" s="210" t="s">
        <v>506</v>
      </c>
      <c r="B127" s="211" t="s">
        <v>505</v>
      </c>
      <c r="C127" s="211"/>
      <c r="D127" s="234">
        <v>1</v>
      </c>
      <c r="E127" s="212"/>
      <c r="F127" s="213">
        <f>F128+F130+F132+F134+F136+F138+F142+F144</f>
        <v>2057578.1100182501</v>
      </c>
      <c r="G127" s="214"/>
    </row>
    <row r="128" spans="1:7" s="204" customFormat="1" ht="15.75" x14ac:dyDescent="0.45">
      <c r="A128" s="215" t="s">
        <v>507</v>
      </c>
      <c r="B128" s="216" t="s">
        <v>60</v>
      </c>
      <c r="C128" s="216"/>
      <c r="D128" s="232">
        <v>1</v>
      </c>
      <c r="E128" s="217"/>
      <c r="F128" s="218">
        <f>F129</f>
        <v>50210.078922250003</v>
      </c>
      <c r="G128" s="219"/>
    </row>
    <row r="129" spans="1:11" s="204" customFormat="1" ht="15.75" x14ac:dyDescent="0.45">
      <c r="A129" s="225" t="s">
        <v>508</v>
      </c>
      <c r="B129" s="220" t="s">
        <v>509</v>
      </c>
      <c r="C129" s="220" t="s">
        <v>285</v>
      </c>
      <c r="D129" s="221">
        <v>1</v>
      </c>
      <c r="E129" s="221">
        <f>[7]RESUMO!$C$11</f>
        <v>50210.078922250003</v>
      </c>
      <c r="F129" s="222">
        <f>E129*D129</f>
        <v>50210.078922250003</v>
      </c>
      <c r="G129" s="226">
        <f>F129/$G$3</f>
        <v>3.7374568304130698</v>
      </c>
    </row>
    <row r="130" spans="1:11" s="204" customFormat="1" ht="15.75" x14ac:dyDescent="0.45">
      <c r="A130" s="215" t="s">
        <v>510</v>
      </c>
      <c r="B130" s="216" t="s">
        <v>511</v>
      </c>
      <c r="C130" s="216"/>
      <c r="D130" s="232">
        <v>1</v>
      </c>
      <c r="E130" s="217"/>
      <c r="F130" s="218">
        <f>F131</f>
        <v>308348.13999999996</v>
      </c>
      <c r="G130" s="219"/>
      <c r="K130" s="204" t="s">
        <v>988</v>
      </c>
    </row>
    <row r="131" spans="1:11" s="204" customFormat="1" ht="15.75" x14ac:dyDescent="0.45">
      <c r="A131" s="225" t="s">
        <v>512</v>
      </c>
      <c r="B131" s="220" t="s">
        <v>511</v>
      </c>
      <c r="C131" s="220" t="s">
        <v>285</v>
      </c>
      <c r="D131" s="221">
        <v>1</v>
      </c>
      <c r="E131" s="221">
        <f>[7]RESUMO!$C$13</f>
        <v>308348.13999999996</v>
      </c>
      <c r="F131" s="222">
        <f>E131*D131</f>
        <v>308348.13999999996</v>
      </c>
      <c r="G131" s="226">
        <f>F131/$G$3</f>
        <v>22.952321261488322</v>
      </c>
    </row>
    <row r="132" spans="1:11" s="204" customFormat="1" ht="15.75" x14ac:dyDescent="0.45">
      <c r="A132" s="215" t="s">
        <v>513</v>
      </c>
      <c r="B132" s="216" t="s">
        <v>514</v>
      </c>
      <c r="C132" s="216"/>
      <c r="D132" s="232">
        <v>1</v>
      </c>
      <c r="E132" s="217"/>
      <c r="F132" s="218">
        <f>F133</f>
        <v>107141.135096</v>
      </c>
      <c r="G132" s="219"/>
    </row>
    <row r="133" spans="1:11" s="204" customFormat="1" ht="15.75" x14ac:dyDescent="0.45">
      <c r="A133" s="225" t="s">
        <v>515</v>
      </c>
      <c r="B133" s="220" t="s">
        <v>514</v>
      </c>
      <c r="C133" s="220" t="s">
        <v>285</v>
      </c>
      <c r="D133" s="221">
        <v>1</v>
      </c>
      <c r="E133" s="221">
        <f>[7]RESUMO!$C$14</f>
        <v>107141.135096</v>
      </c>
      <c r="F133" s="222">
        <f>E133*D133</f>
        <v>107141.135096</v>
      </c>
      <c r="G133" s="226">
        <f>F133/$G$3</f>
        <v>7.9751989197791611</v>
      </c>
    </row>
    <row r="134" spans="1:11" s="204" customFormat="1" ht="15.75" x14ac:dyDescent="0.45">
      <c r="A134" s="215" t="s">
        <v>516</v>
      </c>
      <c r="B134" s="216" t="s">
        <v>517</v>
      </c>
      <c r="C134" s="216"/>
      <c r="D134" s="232">
        <v>1</v>
      </c>
      <c r="E134" s="217"/>
      <c r="F134" s="218">
        <f>F135</f>
        <v>414594.87100000004</v>
      </c>
      <c r="G134" s="219"/>
    </row>
    <row r="135" spans="1:11" s="204" customFormat="1" ht="15.75" x14ac:dyDescent="0.45">
      <c r="A135" s="225" t="s">
        <v>518</v>
      </c>
      <c r="B135" s="220" t="s">
        <v>517</v>
      </c>
      <c r="C135" s="220" t="s">
        <v>285</v>
      </c>
      <c r="D135" s="221">
        <v>1</v>
      </c>
      <c r="E135" s="221">
        <f>[7]RESUMO!$C$15</f>
        <v>414594.87100000004</v>
      </c>
      <c r="F135" s="222">
        <f>E135*D135</f>
        <v>414594.87100000004</v>
      </c>
      <c r="G135" s="226">
        <f>F135/$G$3</f>
        <v>30.860943972476402</v>
      </c>
    </row>
    <row r="136" spans="1:11" s="204" customFormat="1" ht="15.75" x14ac:dyDescent="0.45">
      <c r="A136" s="215" t="s">
        <v>519</v>
      </c>
      <c r="B136" s="216" t="s">
        <v>520</v>
      </c>
      <c r="C136" s="216"/>
      <c r="D136" s="232">
        <v>1</v>
      </c>
      <c r="E136" s="217"/>
      <c r="F136" s="218">
        <f>F137</f>
        <v>144337.05499999999</v>
      </c>
      <c r="G136" s="219"/>
    </row>
    <row r="137" spans="1:11" s="204" customFormat="1" ht="15.75" x14ac:dyDescent="0.45">
      <c r="A137" s="225" t="s">
        <v>521</v>
      </c>
      <c r="B137" s="220" t="s">
        <v>520</v>
      </c>
      <c r="C137" s="220" t="s">
        <v>285</v>
      </c>
      <c r="D137" s="221">
        <v>1</v>
      </c>
      <c r="E137" s="221">
        <f>[7]RESUMO!$C$16</f>
        <v>144337.05499999999</v>
      </c>
      <c r="F137" s="222">
        <f>E137*D137</f>
        <v>144337.05499999999</v>
      </c>
      <c r="G137" s="226">
        <f>F137/$G$3</f>
        <v>10.743928782243049</v>
      </c>
    </row>
    <row r="138" spans="1:11" s="204" customFormat="1" ht="15.75" x14ac:dyDescent="0.45">
      <c r="A138" s="215" t="s">
        <v>522</v>
      </c>
      <c r="B138" s="216" t="s">
        <v>523</v>
      </c>
      <c r="C138" s="216"/>
      <c r="D138" s="232">
        <v>1</v>
      </c>
      <c r="E138" s="217"/>
      <c r="F138" s="218">
        <f>SUM(F139:F141)</f>
        <v>127275.36</v>
      </c>
      <c r="G138" s="219"/>
    </row>
    <row r="139" spans="1:11" s="204" customFormat="1" ht="15.75" x14ac:dyDescent="0.45">
      <c r="A139" s="225" t="s">
        <v>524</v>
      </c>
      <c r="B139" s="220" t="s">
        <v>525</v>
      </c>
      <c r="C139" s="220" t="s">
        <v>285</v>
      </c>
      <c r="D139" s="221">
        <v>1</v>
      </c>
      <c r="E139" s="221">
        <v>50793.36</v>
      </c>
      <c r="F139" s="222">
        <f>E139*D139</f>
        <v>50793.36</v>
      </c>
      <c r="G139" s="226">
        <f>F139/$G$3</f>
        <v>3.7808741660333367</v>
      </c>
    </row>
    <row r="140" spans="1:11" s="204" customFormat="1" ht="15.75" x14ac:dyDescent="0.45">
      <c r="A140" s="225" t="s">
        <v>526</v>
      </c>
      <c r="B140" s="220" t="s">
        <v>527</v>
      </c>
      <c r="C140" s="220" t="s">
        <v>285</v>
      </c>
      <c r="D140" s="221">
        <v>1</v>
      </c>
      <c r="E140" s="221">
        <v>59300</v>
      </c>
      <c r="F140" s="222">
        <f t="shared" ref="F140:F141" si="6">E140*D140</f>
        <v>59300</v>
      </c>
      <c r="G140" s="226">
        <f>F140/$G$3</f>
        <v>4.4140777071211055</v>
      </c>
      <c r="H140" s="253">
        <f>F140/73.7</f>
        <v>804.61329715061061</v>
      </c>
    </row>
    <row r="141" spans="1:11" s="204" customFormat="1" ht="15.75" x14ac:dyDescent="0.45">
      <c r="A141" s="225" t="s">
        <v>528</v>
      </c>
      <c r="B141" s="220" t="s">
        <v>529</v>
      </c>
      <c r="C141" s="220" t="s">
        <v>285</v>
      </c>
      <c r="D141" s="221">
        <v>1</v>
      </c>
      <c r="E141" s="221">
        <v>17182</v>
      </c>
      <c r="F141" s="222">
        <f t="shared" si="6"/>
        <v>17182</v>
      </c>
      <c r="G141" s="226">
        <f>F141/$G$3</f>
        <v>1.2789659892707392</v>
      </c>
    </row>
    <row r="142" spans="1:11" s="204" customFormat="1" ht="15.75" x14ac:dyDescent="0.45">
      <c r="A142" s="215" t="s">
        <v>530</v>
      </c>
      <c r="B142" s="216" t="s">
        <v>45</v>
      </c>
      <c r="C142" s="216"/>
      <c r="D142" s="232">
        <v>1</v>
      </c>
      <c r="E142" s="217"/>
      <c r="F142" s="218">
        <f>F143</f>
        <v>868000</v>
      </c>
      <c r="G142" s="219"/>
    </row>
    <row r="143" spans="1:11" s="204" customFormat="1" ht="15.75" x14ac:dyDescent="0.45">
      <c r="A143" s="225" t="s">
        <v>531</v>
      </c>
      <c r="B143" s="220" t="s">
        <v>532</v>
      </c>
      <c r="C143" s="220" t="s">
        <v>285</v>
      </c>
      <c r="D143" s="221">
        <v>1</v>
      </c>
      <c r="E143" s="221">
        <v>868000</v>
      </c>
      <c r="F143" s="222">
        <f>E143*D143</f>
        <v>868000</v>
      </c>
      <c r="G143" s="226">
        <f>F143/$G$3</f>
        <v>64.610783301536586</v>
      </c>
    </row>
    <row r="144" spans="1:11" s="204" customFormat="1" ht="15.75" x14ac:dyDescent="0.45">
      <c r="A144" s="215" t="s">
        <v>533</v>
      </c>
      <c r="B144" s="216" t="s">
        <v>384</v>
      </c>
      <c r="C144" s="216"/>
      <c r="D144" s="232">
        <v>1</v>
      </c>
      <c r="E144" s="217"/>
      <c r="F144" s="218">
        <f>F145</f>
        <v>37671.47</v>
      </c>
      <c r="G144" s="219"/>
    </row>
    <row r="145" spans="1:7" s="204" customFormat="1" ht="15.75" x14ac:dyDescent="0.45">
      <c r="A145" s="225" t="s">
        <v>534</v>
      </c>
      <c r="B145" s="220" t="s">
        <v>384</v>
      </c>
      <c r="C145" s="220" t="s">
        <v>285</v>
      </c>
      <c r="D145" s="221">
        <v>1</v>
      </c>
      <c r="E145" s="221">
        <v>37671.47</v>
      </c>
      <c r="F145" s="222">
        <f>E145*D145</f>
        <v>37671.47</v>
      </c>
      <c r="G145" s="226">
        <f>F145/$G$3</f>
        <v>2.8041280931109869</v>
      </c>
    </row>
    <row r="146" spans="1:7" s="204" customFormat="1" ht="15.75" x14ac:dyDescent="0.45">
      <c r="A146" s="205" t="s">
        <v>535</v>
      </c>
      <c r="B146" s="206" t="s">
        <v>536</v>
      </c>
      <c r="C146" s="206"/>
      <c r="D146" s="233">
        <v>1.02</v>
      </c>
      <c r="E146" s="207"/>
      <c r="F146" s="208">
        <f>F147</f>
        <v>430872.82000000007</v>
      </c>
      <c r="G146" s="209"/>
    </row>
    <row r="147" spans="1:7" s="204" customFormat="1" ht="15.75" x14ac:dyDescent="0.45">
      <c r="A147" s="210" t="s">
        <v>537</v>
      </c>
      <c r="B147" s="211" t="s">
        <v>536</v>
      </c>
      <c r="C147" s="211"/>
      <c r="D147" s="234">
        <v>1</v>
      </c>
      <c r="E147" s="212"/>
      <c r="F147" s="213">
        <f>F148+F150+F152+F154+F156</f>
        <v>430872.82000000007</v>
      </c>
      <c r="G147" s="214"/>
    </row>
    <row r="148" spans="1:7" s="204" customFormat="1" ht="15.75" x14ac:dyDescent="0.45">
      <c r="A148" s="215" t="s">
        <v>538</v>
      </c>
      <c r="B148" s="216" t="s">
        <v>539</v>
      </c>
      <c r="C148" s="216"/>
      <c r="D148" s="232">
        <v>1</v>
      </c>
      <c r="E148" s="217"/>
      <c r="F148" s="218">
        <f>F149</f>
        <v>264793.80000000005</v>
      </c>
      <c r="G148" s="219"/>
    </row>
    <row r="149" spans="1:7" s="204" customFormat="1" ht="15.75" x14ac:dyDescent="0.45">
      <c r="A149" s="225" t="s">
        <v>540</v>
      </c>
      <c r="B149" s="220" t="s">
        <v>541</v>
      </c>
      <c r="C149" s="220" t="s">
        <v>285</v>
      </c>
      <c r="D149" s="221">
        <v>1</v>
      </c>
      <c r="E149" s="221">
        <v>264793.80000000005</v>
      </c>
      <c r="F149" s="222">
        <f>E149*D149</f>
        <v>264793.80000000005</v>
      </c>
      <c r="G149" s="226">
        <f>(F149+F153)/$G$3</f>
        <v>20.000000000000004</v>
      </c>
    </row>
    <row r="150" spans="1:7" s="204" customFormat="1" ht="15.75" x14ac:dyDescent="0.45">
      <c r="A150" s="215" t="s">
        <v>542</v>
      </c>
      <c r="B150" s="216" t="s">
        <v>543</v>
      </c>
      <c r="C150" s="216"/>
      <c r="D150" s="232">
        <v>1</v>
      </c>
      <c r="E150" s="217"/>
      <c r="F150" s="218">
        <f>F151</f>
        <v>46824</v>
      </c>
      <c r="G150" s="219"/>
    </row>
    <row r="151" spans="1:7" s="204" customFormat="1" ht="15.75" x14ac:dyDescent="0.45">
      <c r="A151" s="225" t="s">
        <v>544</v>
      </c>
      <c r="B151" s="220" t="s">
        <v>543</v>
      </c>
      <c r="C151" s="220" t="s">
        <v>285</v>
      </c>
      <c r="D151" s="221">
        <v>1</v>
      </c>
      <c r="E151" s="221">
        <v>46824</v>
      </c>
      <c r="F151" s="222">
        <f>E151*D151</f>
        <v>46824</v>
      </c>
      <c r="G151" s="226">
        <f>F151/$G$3</f>
        <v>3.4854093517409552</v>
      </c>
    </row>
    <row r="152" spans="1:7" s="204" customFormat="1" ht="15.75" x14ac:dyDescent="0.45">
      <c r="A152" s="215" t="s">
        <v>545</v>
      </c>
      <c r="B152" s="216" t="s">
        <v>496</v>
      </c>
      <c r="C152" s="216"/>
      <c r="D152" s="232">
        <v>1</v>
      </c>
      <c r="E152" s="217"/>
      <c r="F152" s="218">
        <f>F153</f>
        <v>3892</v>
      </c>
      <c r="G152" s="219"/>
    </row>
    <row r="153" spans="1:7" s="204" customFormat="1" ht="15.75" x14ac:dyDescent="0.45">
      <c r="A153" s="225" t="s">
        <v>546</v>
      </c>
      <c r="B153" s="220" t="s">
        <v>547</v>
      </c>
      <c r="C153" s="220" t="s">
        <v>285</v>
      </c>
      <c r="D153" s="221">
        <v>1</v>
      </c>
      <c r="E153" s="221">
        <v>3892</v>
      </c>
      <c r="F153" s="222">
        <f>E153*D153</f>
        <v>3892</v>
      </c>
      <c r="G153" s="226">
        <f>F153/$G$3</f>
        <v>0.28970641544882536</v>
      </c>
    </row>
    <row r="154" spans="1:7" s="204" customFormat="1" ht="15.75" x14ac:dyDescent="0.45">
      <c r="A154" s="215" t="s">
        <v>548</v>
      </c>
      <c r="B154" s="216" t="s">
        <v>549</v>
      </c>
      <c r="C154" s="216"/>
      <c r="D154" s="232">
        <v>1</v>
      </c>
      <c r="E154" s="217"/>
      <c r="F154" s="218">
        <f>F155</f>
        <v>107474.32</v>
      </c>
      <c r="G154" s="219"/>
    </row>
    <row r="155" spans="1:7" s="204" customFormat="1" ht="15.75" x14ac:dyDescent="0.45">
      <c r="A155" s="225" t="s">
        <v>550</v>
      </c>
      <c r="B155" s="220" t="s">
        <v>551</v>
      </c>
      <c r="C155" s="220" t="s">
        <v>289</v>
      </c>
      <c r="D155" s="221">
        <v>13434.29</v>
      </c>
      <c r="E155" s="221">
        <v>8</v>
      </c>
      <c r="F155" s="222">
        <f>E155*D155</f>
        <v>107474.32</v>
      </c>
      <c r="G155" s="226">
        <f>F155/$G$3</f>
        <v>8</v>
      </c>
    </row>
    <row r="156" spans="1:7" s="204" customFormat="1" ht="15.75" x14ac:dyDescent="0.45">
      <c r="A156" s="215" t="s">
        <v>552</v>
      </c>
      <c r="B156" s="216" t="s">
        <v>384</v>
      </c>
      <c r="C156" s="216"/>
      <c r="D156" s="232">
        <v>1</v>
      </c>
      <c r="E156" s="217"/>
      <c r="F156" s="218">
        <f>F157</f>
        <v>7888.7</v>
      </c>
      <c r="G156" s="219"/>
    </row>
    <row r="157" spans="1:7" s="204" customFormat="1" ht="15.75" x14ac:dyDescent="0.45">
      <c r="A157" s="225" t="s">
        <v>553</v>
      </c>
      <c r="B157" s="220" t="s">
        <v>384</v>
      </c>
      <c r="C157" s="220" t="s">
        <v>285</v>
      </c>
      <c r="D157" s="221">
        <v>1</v>
      </c>
      <c r="E157" s="221">
        <v>7888.7</v>
      </c>
      <c r="F157" s="222">
        <f>E157*D157</f>
        <v>7888.7</v>
      </c>
      <c r="G157" s="226">
        <f>F157/$G$3</f>
        <v>0.58720632054243282</v>
      </c>
    </row>
    <row r="158" spans="1:7" s="204" customFormat="1" ht="15.75" x14ac:dyDescent="0.45">
      <c r="A158" s="205" t="s">
        <v>554</v>
      </c>
      <c r="B158" s="206" t="s">
        <v>555</v>
      </c>
      <c r="C158" s="206"/>
      <c r="D158" s="233">
        <v>1.02</v>
      </c>
      <c r="E158" s="207"/>
      <c r="F158" s="208">
        <f>F159</f>
        <v>195580.82</v>
      </c>
      <c r="G158" s="209"/>
    </row>
    <row r="159" spans="1:7" s="204" customFormat="1" ht="15.75" x14ac:dyDescent="0.45">
      <c r="A159" s="210" t="s">
        <v>556</v>
      </c>
      <c r="B159" s="211" t="s">
        <v>555</v>
      </c>
      <c r="C159" s="211"/>
      <c r="D159" s="234">
        <v>1</v>
      </c>
      <c r="E159" s="212"/>
      <c r="F159" s="213">
        <f>F160+F162</f>
        <v>195580.82</v>
      </c>
      <c r="G159" s="214"/>
    </row>
    <row r="160" spans="1:7" s="204" customFormat="1" ht="15.75" x14ac:dyDescent="0.45">
      <c r="A160" s="215" t="s">
        <v>557</v>
      </c>
      <c r="B160" s="216" t="s">
        <v>558</v>
      </c>
      <c r="C160" s="216"/>
      <c r="D160" s="232">
        <v>1</v>
      </c>
      <c r="E160" s="217"/>
      <c r="F160" s="218">
        <f>F161</f>
        <v>192000</v>
      </c>
      <c r="G160" s="219"/>
    </row>
    <row r="161" spans="1:7" s="204" customFormat="1" ht="15.75" x14ac:dyDescent="0.45">
      <c r="A161" s="225" t="s">
        <v>559</v>
      </c>
      <c r="B161" s="220" t="s">
        <v>560</v>
      </c>
      <c r="C161" s="220" t="s">
        <v>285</v>
      </c>
      <c r="D161" s="221">
        <v>1</v>
      </c>
      <c r="E161" s="221">
        <v>192000</v>
      </c>
      <c r="F161" s="222">
        <f>E161*D161</f>
        <v>192000</v>
      </c>
      <c r="G161" s="226">
        <f>F161/$G$3</f>
        <v>14.291786168081826</v>
      </c>
    </row>
    <row r="162" spans="1:7" s="204" customFormat="1" ht="15.75" x14ac:dyDescent="0.45">
      <c r="A162" s="215" t="s">
        <v>561</v>
      </c>
      <c r="B162" s="216" t="s">
        <v>384</v>
      </c>
      <c r="C162" s="216"/>
      <c r="D162" s="232">
        <v>1</v>
      </c>
      <c r="E162" s="217"/>
      <c r="F162" s="218">
        <f>F163</f>
        <v>3580.82</v>
      </c>
      <c r="G162" s="219"/>
    </row>
    <row r="163" spans="1:7" s="204" customFormat="1" ht="15.75" x14ac:dyDescent="0.45">
      <c r="A163" s="225" t="s">
        <v>562</v>
      </c>
      <c r="B163" s="220" t="s">
        <v>384</v>
      </c>
      <c r="C163" s="220" t="s">
        <v>285</v>
      </c>
      <c r="D163" s="221">
        <v>1</v>
      </c>
      <c r="E163" s="221">
        <v>3580.82</v>
      </c>
      <c r="F163" s="222">
        <f>E163*D163</f>
        <v>3580.82</v>
      </c>
      <c r="G163" s="226">
        <f>F163/$G$3</f>
        <v>0.26654330076245192</v>
      </c>
    </row>
    <row r="164" spans="1:7" s="204" customFormat="1" ht="15.75" x14ac:dyDescent="0.45">
      <c r="A164" s="205" t="s">
        <v>563</v>
      </c>
      <c r="B164" s="206" t="s">
        <v>564</v>
      </c>
      <c r="C164" s="206"/>
      <c r="D164" s="233">
        <v>1.02</v>
      </c>
      <c r="E164" s="207"/>
      <c r="F164" s="208">
        <f>F165</f>
        <v>255490.4509</v>
      </c>
      <c r="G164" s="209"/>
    </row>
    <row r="165" spans="1:7" s="204" customFormat="1" ht="15.75" x14ac:dyDescent="0.45">
      <c r="A165" s="210" t="s">
        <v>565</v>
      </c>
      <c r="B165" s="211" t="s">
        <v>564</v>
      </c>
      <c r="C165" s="211"/>
      <c r="D165" s="234">
        <v>1</v>
      </c>
      <c r="E165" s="212"/>
      <c r="F165" s="213">
        <f>F166+F168+F170+F172</f>
        <v>255490.4509</v>
      </c>
      <c r="G165" s="214"/>
    </row>
    <row r="166" spans="1:7" s="204" customFormat="1" ht="15.75" x14ac:dyDescent="0.45">
      <c r="A166" s="215" t="s">
        <v>566</v>
      </c>
      <c r="B166" s="216" t="s">
        <v>567</v>
      </c>
      <c r="C166" s="216"/>
      <c r="D166" s="232">
        <v>1</v>
      </c>
      <c r="E166" s="217"/>
      <c r="F166" s="218">
        <f>F167</f>
        <v>63979</v>
      </c>
      <c r="G166" s="219"/>
    </row>
    <row r="167" spans="1:7" s="204" customFormat="1" ht="15.75" x14ac:dyDescent="0.45">
      <c r="A167" s="225" t="s">
        <v>568</v>
      </c>
      <c r="B167" s="220" t="s">
        <v>569</v>
      </c>
      <c r="C167" s="220" t="s">
        <v>285</v>
      </c>
      <c r="D167" s="221">
        <v>1</v>
      </c>
      <c r="E167" s="221">
        <v>63979</v>
      </c>
      <c r="F167" s="222">
        <f>E167*D167</f>
        <v>63979</v>
      </c>
      <c r="G167" s="226">
        <f>F167/$G$3</f>
        <v>4.7623655585818083</v>
      </c>
    </row>
    <row r="168" spans="1:7" s="204" customFormat="1" ht="15.75" x14ac:dyDescent="0.45">
      <c r="A168" s="215" t="s">
        <v>570</v>
      </c>
      <c r="B168" s="216" t="s">
        <v>571</v>
      </c>
      <c r="C168" s="216"/>
      <c r="D168" s="232">
        <v>1</v>
      </c>
      <c r="E168" s="217"/>
      <c r="F168" s="218">
        <f>F169</f>
        <v>20151.435000000001</v>
      </c>
      <c r="G168" s="219"/>
    </row>
    <row r="169" spans="1:7" s="204" customFormat="1" ht="15.75" x14ac:dyDescent="0.45">
      <c r="A169" s="225" t="s">
        <v>572</v>
      </c>
      <c r="B169" s="220" t="s">
        <v>573</v>
      </c>
      <c r="C169" s="220" t="s">
        <v>285</v>
      </c>
      <c r="D169" s="221">
        <v>1</v>
      </c>
      <c r="E169" s="221">
        <v>20151.435000000001</v>
      </c>
      <c r="F169" s="222">
        <f>E169*D169</f>
        <v>20151.435000000001</v>
      </c>
      <c r="G169" s="226">
        <f>F169/$G$3</f>
        <v>1.5</v>
      </c>
    </row>
    <row r="170" spans="1:7" s="204" customFormat="1" ht="15.75" x14ac:dyDescent="0.45">
      <c r="A170" s="215" t="s">
        <v>574</v>
      </c>
      <c r="B170" s="216" t="s">
        <v>575</v>
      </c>
      <c r="C170" s="216"/>
      <c r="D170" s="232">
        <v>1</v>
      </c>
      <c r="E170" s="217"/>
      <c r="F170" s="218">
        <f>F171</f>
        <v>166682.33590000001</v>
      </c>
      <c r="G170" s="219"/>
    </row>
    <row r="171" spans="1:7" s="204" customFormat="1" ht="15.75" x14ac:dyDescent="0.45">
      <c r="A171" s="225" t="s">
        <v>576</v>
      </c>
      <c r="B171" s="220" t="s">
        <v>577</v>
      </c>
      <c r="C171" s="220" t="s">
        <v>285</v>
      </c>
      <c r="D171" s="221">
        <v>1</v>
      </c>
      <c r="E171" s="221">
        <v>166682.33590000001</v>
      </c>
      <c r="F171" s="222">
        <f>E171*D171</f>
        <v>166682.33590000001</v>
      </c>
      <c r="G171" s="226">
        <f>F171/$G$3</f>
        <v>12.407230743120774</v>
      </c>
    </row>
    <row r="172" spans="1:7" s="204" customFormat="1" ht="15.75" x14ac:dyDescent="0.45">
      <c r="A172" s="215" t="s">
        <v>578</v>
      </c>
      <c r="B172" s="216" t="s">
        <v>384</v>
      </c>
      <c r="C172" s="216"/>
      <c r="D172" s="232">
        <v>1</v>
      </c>
      <c r="E172" s="217"/>
      <c r="F172" s="218">
        <f>F173</f>
        <v>4677.68</v>
      </c>
      <c r="G172" s="219"/>
    </row>
    <row r="173" spans="1:7" s="204" customFormat="1" ht="15.75" x14ac:dyDescent="0.45">
      <c r="A173" s="225" t="s">
        <v>579</v>
      </c>
      <c r="B173" s="220" t="s">
        <v>384</v>
      </c>
      <c r="C173" s="220" t="s">
        <v>285</v>
      </c>
      <c r="D173" s="221">
        <v>1</v>
      </c>
      <c r="E173" s="221">
        <v>4677.68</v>
      </c>
      <c r="F173" s="222">
        <f>E173*D173</f>
        <v>4677.68</v>
      </c>
      <c r="G173" s="223"/>
    </row>
    <row r="174" spans="1:7" s="204" customFormat="1" ht="15.75" x14ac:dyDescent="0.45">
      <c r="A174" s="205" t="s">
        <v>580</v>
      </c>
      <c r="B174" s="206" t="s">
        <v>581</v>
      </c>
      <c r="C174" s="206"/>
      <c r="D174" s="233">
        <v>1.02</v>
      </c>
      <c r="E174" s="207"/>
      <c r="F174" s="208">
        <f>F175+F179+F182</f>
        <v>848928.15999999992</v>
      </c>
      <c r="G174" s="209"/>
    </row>
    <row r="175" spans="1:7" s="204" customFormat="1" ht="15.75" x14ac:dyDescent="0.45">
      <c r="A175" s="210" t="s">
        <v>582</v>
      </c>
      <c r="B175" s="211" t="s">
        <v>583</v>
      </c>
      <c r="C175" s="211"/>
      <c r="D175" s="234">
        <v>1</v>
      </c>
      <c r="E175" s="212"/>
      <c r="F175" s="213">
        <f>F176</f>
        <v>64485.440000000002</v>
      </c>
      <c r="G175" s="214"/>
    </row>
    <row r="176" spans="1:7" s="204" customFormat="1" ht="15.75" x14ac:dyDescent="0.45">
      <c r="A176" s="215" t="s">
        <v>584</v>
      </c>
      <c r="B176" s="216" t="s">
        <v>585</v>
      </c>
      <c r="C176" s="216"/>
      <c r="D176" s="232">
        <v>1</v>
      </c>
      <c r="E176" s="217"/>
      <c r="F176" s="218">
        <f>F177+F178</f>
        <v>64485.440000000002</v>
      </c>
      <c r="G176" s="219"/>
    </row>
    <row r="177" spans="1:8" s="204" customFormat="1" ht="15.75" x14ac:dyDescent="0.45">
      <c r="A177" s="225" t="s">
        <v>586</v>
      </c>
      <c r="B177" s="220" t="s">
        <v>587</v>
      </c>
      <c r="C177" s="220" t="s">
        <v>285</v>
      </c>
      <c r="D177" s="221">
        <v>1</v>
      </c>
      <c r="E177" s="221">
        <v>51162.74</v>
      </c>
      <c r="F177" s="222">
        <f>E177*D177</f>
        <v>51162.74</v>
      </c>
      <c r="G177" s="226">
        <f>F177/$G$3</f>
        <v>3.80836947840191</v>
      </c>
    </row>
    <row r="178" spans="1:8" s="204" customFormat="1" ht="15.75" x14ac:dyDescent="0.45">
      <c r="A178" s="225" t="s">
        <v>588</v>
      </c>
      <c r="B178" s="220" t="s">
        <v>589</v>
      </c>
      <c r="C178" s="220" t="s">
        <v>285</v>
      </c>
      <c r="D178" s="221">
        <v>1</v>
      </c>
      <c r="E178" s="221">
        <v>13322.7</v>
      </c>
      <c r="F178" s="222">
        <f>E178*D178</f>
        <v>13322.7</v>
      </c>
      <c r="G178" s="226">
        <f>F178/$G$3</f>
        <v>0.9916936436536653</v>
      </c>
    </row>
    <row r="179" spans="1:8" s="204" customFormat="1" ht="15.75" x14ac:dyDescent="0.45">
      <c r="A179" s="210" t="s">
        <v>590</v>
      </c>
      <c r="B179" s="211" t="s">
        <v>591</v>
      </c>
      <c r="C179" s="211"/>
      <c r="D179" s="234">
        <v>1</v>
      </c>
      <c r="E179" s="212"/>
      <c r="F179" s="213">
        <f>F180</f>
        <v>768900</v>
      </c>
      <c r="G179" s="214"/>
    </row>
    <row r="180" spans="1:8" s="204" customFormat="1" ht="15.75" x14ac:dyDescent="0.45">
      <c r="A180" s="215" t="s">
        <v>592</v>
      </c>
      <c r="B180" s="216" t="s">
        <v>100</v>
      </c>
      <c r="C180" s="216"/>
      <c r="D180" s="232">
        <v>1</v>
      </c>
      <c r="E180" s="217"/>
      <c r="F180" s="218">
        <f>F181</f>
        <v>768900</v>
      </c>
      <c r="G180" s="219"/>
    </row>
    <row r="181" spans="1:8" s="204" customFormat="1" ht="15.75" x14ac:dyDescent="0.45">
      <c r="A181" s="225" t="s">
        <v>593</v>
      </c>
      <c r="B181" s="220" t="s">
        <v>100</v>
      </c>
      <c r="C181" s="220" t="s">
        <v>285</v>
      </c>
      <c r="D181" s="221">
        <v>1</v>
      </c>
      <c r="E181" s="221">
        <v>768900</v>
      </c>
      <c r="F181" s="222">
        <f>E181*D181</f>
        <v>768900</v>
      </c>
      <c r="G181" s="226">
        <f>F181/$G$3</f>
        <v>57.234137419990184</v>
      </c>
      <c r="H181" s="253">
        <f>((F181/2)/20)</f>
        <v>19222.5</v>
      </c>
    </row>
    <row r="182" spans="1:8" s="204" customFormat="1" ht="15.75" x14ac:dyDescent="0.45">
      <c r="A182" s="210" t="s">
        <v>594</v>
      </c>
      <c r="B182" s="211" t="s">
        <v>595</v>
      </c>
      <c r="C182" s="211"/>
      <c r="D182" s="234">
        <v>1</v>
      </c>
      <c r="E182" s="212"/>
      <c r="F182" s="213">
        <f>F183</f>
        <v>15542.72</v>
      </c>
      <c r="G182" s="214"/>
    </row>
    <row r="183" spans="1:8" s="204" customFormat="1" ht="15.75" x14ac:dyDescent="0.45">
      <c r="A183" s="215" t="s">
        <v>596</v>
      </c>
      <c r="B183" s="216" t="s">
        <v>384</v>
      </c>
      <c r="C183" s="216"/>
      <c r="D183" s="232">
        <v>1</v>
      </c>
      <c r="E183" s="217"/>
      <c r="F183" s="218">
        <f>F184</f>
        <v>15542.72</v>
      </c>
      <c r="G183" s="219"/>
    </row>
    <row r="184" spans="1:8" s="204" customFormat="1" ht="15.75" x14ac:dyDescent="0.45">
      <c r="A184" s="225" t="s">
        <v>597</v>
      </c>
      <c r="B184" s="220" t="s">
        <v>384</v>
      </c>
      <c r="C184" s="220" t="s">
        <v>285</v>
      </c>
      <c r="D184" s="221">
        <v>1</v>
      </c>
      <c r="E184" s="221">
        <v>15542.72</v>
      </c>
      <c r="F184" s="222">
        <f>E184*D184</f>
        <v>15542.72</v>
      </c>
      <c r="G184" s="223"/>
    </row>
    <row r="185" spans="1:8" s="204" customFormat="1" ht="15.75" x14ac:dyDescent="0.45">
      <c r="A185" s="205" t="s">
        <v>598</v>
      </c>
      <c r="B185" s="206" t="s">
        <v>74</v>
      </c>
      <c r="C185" s="206"/>
      <c r="D185" s="233">
        <v>1.02</v>
      </c>
      <c r="E185" s="207"/>
      <c r="F185" s="208">
        <f>F186</f>
        <v>513212.29</v>
      </c>
      <c r="G185" s="209"/>
    </row>
    <row r="186" spans="1:8" s="204" customFormat="1" ht="15.75" x14ac:dyDescent="0.45">
      <c r="A186" s="210" t="s">
        <v>599</v>
      </c>
      <c r="B186" s="211" t="s">
        <v>74</v>
      </c>
      <c r="C186" s="211"/>
      <c r="D186" s="234">
        <v>1</v>
      </c>
      <c r="E186" s="212"/>
      <c r="F186" s="213">
        <f>F187+F190+F192+F194</f>
        <v>513212.29</v>
      </c>
      <c r="G186" s="214"/>
    </row>
    <row r="187" spans="1:8" s="204" customFormat="1" ht="15.75" x14ac:dyDescent="0.45">
      <c r="A187" s="215" t="s">
        <v>600</v>
      </c>
      <c r="B187" s="216" t="s">
        <v>601</v>
      </c>
      <c r="C187" s="216"/>
      <c r="D187" s="232">
        <v>1</v>
      </c>
      <c r="E187" s="217"/>
      <c r="F187" s="218">
        <f>F188+F189</f>
        <v>295902.07</v>
      </c>
      <c r="G187" s="219"/>
    </row>
    <row r="188" spans="1:8" s="204" customFormat="1" ht="15.75" x14ac:dyDescent="0.45">
      <c r="A188" s="225" t="s">
        <v>602</v>
      </c>
      <c r="B188" s="220" t="s">
        <v>603</v>
      </c>
      <c r="C188" s="220" t="s">
        <v>285</v>
      </c>
      <c r="D188" s="221">
        <v>1</v>
      </c>
      <c r="E188" s="221">
        <v>222000</v>
      </c>
      <c r="F188" s="222">
        <f>E188*D188</f>
        <v>222000</v>
      </c>
      <c r="G188" s="226">
        <f>F188/$G$3</f>
        <v>16.52487775684461</v>
      </c>
      <c r="H188" s="253">
        <f>F188/270</f>
        <v>822.22222222222217</v>
      </c>
    </row>
    <row r="189" spans="1:8" s="204" customFormat="1" ht="15.75" x14ac:dyDescent="0.45">
      <c r="A189" s="225" t="s">
        <v>604</v>
      </c>
      <c r="B189" s="220" t="s">
        <v>605</v>
      </c>
      <c r="C189" s="220" t="s">
        <v>285</v>
      </c>
      <c r="D189" s="221">
        <v>1</v>
      </c>
      <c r="E189" s="221">
        <v>73902.070000000007</v>
      </c>
      <c r="F189" s="222">
        <f>E189*D189</f>
        <v>73902.070000000007</v>
      </c>
      <c r="G189" s="226">
        <f>F189/$G$3</f>
        <v>5.5010030303052861</v>
      </c>
      <c r="H189" s="253">
        <f>F189/(2+7)</f>
        <v>8211.3411111111127</v>
      </c>
    </row>
    <row r="190" spans="1:8" s="204" customFormat="1" ht="15.75" x14ac:dyDescent="0.45">
      <c r="A190" s="215" t="s">
        <v>606</v>
      </c>
      <c r="B190" s="216" t="s">
        <v>607</v>
      </c>
      <c r="C190" s="216"/>
      <c r="D190" s="232">
        <v>1</v>
      </c>
      <c r="E190" s="217"/>
      <c r="F190" s="218">
        <f>F191</f>
        <v>10500</v>
      </c>
      <c r="G190" s="219"/>
    </row>
    <row r="191" spans="1:8" s="204" customFormat="1" ht="18.75" customHeight="1" x14ac:dyDescent="0.45">
      <c r="A191" s="225" t="s">
        <v>608</v>
      </c>
      <c r="B191" s="220" t="s">
        <v>609</v>
      </c>
      <c r="C191" s="220" t="s">
        <v>285</v>
      </c>
      <c r="D191" s="221">
        <v>1</v>
      </c>
      <c r="E191" s="221">
        <f>42*250</f>
        <v>10500</v>
      </c>
      <c r="F191" s="222">
        <f>E191*D191</f>
        <v>10500</v>
      </c>
      <c r="G191" s="226">
        <f>F191/$G$3</f>
        <v>0.78158205606697484</v>
      </c>
    </row>
    <row r="192" spans="1:8" s="204" customFormat="1" ht="15.75" x14ac:dyDescent="0.45">
      <c r="A192" s="215" t="s">
        <v>610</v>
      </c>
      <c r="B192" s="216" t="s">
        <v>611</v>
      </c>
      <c r="C192" s="216"/>
      <c r="D192" s="232">
        <v>1</v>
      </c>
      <c r="E192" s="217"/>
      <c r="F192" s="218">
        <f>F193</f>
        <v>197414</v>
      </c>
      <c r="G192" s="219"/>
    </row>
    <row r="193" spans="1:8" s="204" customFormat="1" ht="15.75" x14ac:dyDescent="0.45">
      <c r="A193" s="225" t="s">
        <v>612</v>
      </c>
      <c r="B193" s="220" t="s">
        <v>613</v>
      </c>
      <c r="C193" s="220" t="s">
        <v>285</v>
      </c>
      <c r="D193" s="221">
        <v>1</v>
      </c>
      <c r="E193" s="221">
        <v>197414</v>
      </c>
      <c r="F193" s="222">
        <f>E193*D193</f>
        <v>197414</v>
      </c>
      <c r="G193" s="226">
        <f>F193/$G$3</f>
        <v>14.694784763467217</v>
      </c>
      <c r="H193" s="253">
        <f>F193/(5*15+1)</f>
        <v>2597.5526315789475</v>
      </c>
    </row>
    <row r="194" spans="1:8" s="204" customFormat="1" ht="15.75" x14ac:dyDescent="0.45">
      <c r="A194" s="215" t="s">
        <v>614</v>
      </c>
      <c r="B194" s="216" t="s">
        <v>384</v>
      </c>
      <c r="C194" s="216"/>
      <c r="D194" s="232">
        <v>1</v>
      </c>
      <c r="E194" s="217"/>
      <c r="F194" s="218">
        <f>F195</f>
        <v>9396.2199999999993</v>
      </c>
      <c r="G194" s="219"/>
    </row>
    <row r="195" spans="1:8" s="204" customFormat="1" ht="15.75" x14ac:dyDescent="0.45">
      <c r="A195" s="225" t="s">
        <v>615</v>
      </c>
      <c r="B195" s="220" t="s">
        <v>384</v>
      </c>
      <c r="C195" s="220" t="s">
        <v>285</v>
      </c>
      <c r="D195" s="221">
        <v>1</v>
      </c>
      <c r="E195" s="221">
        <v>9396.2199999999993</v>
      </c>
      <c r="F195" s="222">
        <f>E195*D195</f>
        <v>9396.2199999999993</v>
      </c>
      <c r="G195" s="226">
        <f>F195/$G$3</f>
        <v>0.69942066160548855</v>
      </c>
    </row>
    <row r="196" spans="1:8" s="204" customFormat="1" ht="15.75" x14ac:dyDescent="0.45">
      <c r="A196" s="205" t="s">
        <v>616</v>
      </c>
      <c r="B196" s="206" t="s">
        <v>617</v>
      </c>
      <c r="C196" s="206"/>
      <c r="D196" s="233"/>
      <c r="E196" s="207"/>
      <c r="F196" s="208">
        <f>F197</f>
        <v>2263752.8685599999</v>
      </c>
      <c r="G196" s="209"/>
    </row>
    <row r="197" spans="1:8" s="204" customFormat="1" ht="15.75" x14ac:dyDescent="0.45">
      <c r="A197" s="210" t="s">
        <v>618</v>
      </c>
      <c r="B197" s="211" t="s">
        <v>617</v>
      </c>
      <c r="C197" s="211"/>
      <c r="D197" s="234"/>
      <c r="E197" s="212"/>
      <c r="F197" s="213">
        <f>F198+F204+F206+F208+F210+F215</f>
        <v>2263752.8685599999</v>
      </c>
      <c r="G197" s="214"/>
    </row>
    <row r="198" spans="1:8" s="204" customFormat="1" ht="15.75" x14ac:dyDescent="0.45">
      <c r="A198" s="215" t="s">
        <v>619</v>
      </c>
      <c r="B198" s="216" t="s">
        <v>620</v>
      </c>
      <c r="C198" s="216"/>
      <c r="D198" s="232"/>
      <c r="E198" s="217"/>
      <c r="F198" s="218">
        <f>SUM(F199:F203)</f>
        <v>535017.8345</v>
      </c>
      <c r="G198" s="219"/>
    </row>
    <row r="199" spans="1:8" s="204" customFormat="1" ht="31.5" x14ac:dyDescent="0.45">
      <c r="A199" s="225" t="s">
        <v>621</v>
      </c>
      <c r="B199" s="220" t="s">
        <v>622</v>
      </c>
      <c r="C199" s="220" t="s">
        <v>289</v>
      </c>
      <c r="D199" s="221">
        <v>23670.98</v>
      </c>
      <c r="E199" s="221">
        <v>2.2949999999999999</v>
      </c>
      <c r="F199" s="222">
        <f>E199*D199</f>
        <v>54324.899099999995</v>
      </c>
      <c r="G199" s="226">
        <f>D201/$G$3</f>
        <v>2.0665223097015173</v>
      </c>
    </row>
    <row r="200" spans="1:8" s="204" customFormat="1" ht="31.5" x14ac:dyDescent="0.45">
      <c r="A200" s="225" t="s">
        <v>623</v>
      </c>
      <c r="B200" s="220" t="s">
        <v>624</v>
      </c>
      <c r="C200" s="220" t="s">
        <v>289</v>
      </c>
      <c r="D200" s="221">
        <v>4091.28</v>
      </c>
      <c r="E200" s="221">
        <v>5.5019999999999998</v>
      </c>
      <c r="F200" s="222">
        <f t="shared" ref="F200:F209" si="7">E200*D200</f>
        <v>22510.222560000002</v>
      </c>
      <c r="G200" s="223"/>
    </row>
    <row r="201" spans="1:8" s="204" customFormat="1" ht="31.5" x14ac:dyDescent="0.45">
      <c r="A201" s="225" t="s">
        <v>625</v>
      </c>
      <c r="B201" s="220" t="s">
        <v>626</v>
      </c>
      <c r="C201" s="220" t="s">
        <v>289</v>
      </c>
      <c r="D201" s="221">
        <v>27762.26</v>
      </c>
      <c r="E201" s="221">
        <v>15.98</v>
      </c>
      <c r="F201" s="222">
        <f t="shared" si="7"/>
        <v>443640.91479999997</v>
      </c>
      <c r="G201" s="226"/>
    </row>
    <row r="202" spans="1:8" s="204" customFormat="1" ht="15.75" x14ac:dyDescent="0.45">
      <c r="A202" s="225" t="s">
        <v>627</v>
      </c>
      <c r="B202" s="220" t="s">
        <v>628</v>
      </c>
      <c r="C202" s="220" t="s">
        <v>339</v>
      </c>
      <c r="D202" s="221">
        <v>23.84</v>
      </c>
      <c r="E202" s="221">
        <v>550</v>
      </c>
      <c r="F202" s="222">
        <f t="shared" si="7"/>
        <v>13112</v>
      </c>
      <c r="G202" s="223"/>
    </row>
    <row r="203" spans="1:8" s="204" customFormat="1" ht="15.75" x14ac:dyDescent="0.45">
      <c r="A203" s="225" t="s">
        <v>629</v>
      </c>
      <c r="B203" s="220" t="s">
        <v>630</v>
      </c>
      <c r="C203" s="220" t="s">
        <v>289</v>
      </c>
      <c r="D203" s="221">
        <v>849.2</v>
      </c>
      <c r="E203" s="221">
        <v>1.6837</v>
      </c>
      <c r="F203" s="222">
        <f t="shared" si="7"/>
        <v>1429.7980400000001</v>
      </c>
      <c r="G203" s="223"/>
    </row>
    <row r="204" spans="1:8" s="204" customFormat="1" ht="15.75" x14ac:dyDescent="0.45">
      <c r="A204" s="215" t="s">
        <v>631</v>
      </c>
      <c r="B204" s="216" t="s">
        <v>632</v>
      </c>
      <c r="C204" s="216"/>
      <c r="D204" s="232">
        <v>1</v>
      </c>
      <c r="E204" s="217"/>
      <c r="F204" s="218">
        <f>F205</f>
        <v>490594.30206000007</v>
      </c>
      <c r="G204" s="219"/>
    </row>
    <row r="205" spans="1:8" s="204" customFormat="1" ht="15.75" x14ac:dyDescent="0.45">
      <c r="A205" s="225" t="s">
        <v>633</v>
      </c>
      <c r="B205" s="220" t="s">
        <v>634</v>
      </c>
      <c r="C205" s="220" t="s">
        <v>289</v>
      </c>
      <c r="D205" s="221">
        <f>3062.25+178.05+116.78+28.15</f>
        <v>3385.2300000000005</v>
      </c>
      <c r="E205" s="221">
        <v>144.922</v>
      </c>
      <c r="F205" s="222">
        <f t="shared" si="7"/>
        <v>490594.30206000007</v>
      </c>
      <c r="G205" s="226">
        <f>(F205+F207+F211+F212)/$G$3</f>
        <v>48.345498962728968</v>
      </c>
    </row>
    <row r="206" spans="1:8" s="204" customFormat="1" ht="15.75" x14ac:dyDescent="0.45">
      <c r="A206" s="215" t="s">
        <v>635</v>
      </c>
      <c r="B206" s="216" t="s">
        <v>636</v>
      </c>
      <c r="C206" s="216"/>
      <c r="D206" s="217"/>
      <c r="E206" s="217"/>
      <c r="F206" s="218">
        <f>F207</f>
        <v>19148.872000000003</v>
      </c>
      <c r="G206" s="219"/>
    </row>
    <row r="207" spans="1:8" s="204" customFormat="1" ht="15.75" x14ac:dyDescent="0.45">
      <c r="A207" s="225" t="s">
        <v>637</v>
      </c>
      <c r="B207" s="220" t="s">
        <v>638</v>
      </c>
      <c r="C207" s="220" t="s">
        <v>288</v>
      </c>
      <c r="D207" s="221">
        <f>(0.8+1.93*2)*40</f>
        <v>186.4</v>
      </c>
      <c r="E207" s="221">
        <v>102.73</v>
      </c>
      <c r="F207" s="222">
        <f t="shared" si="7"/>
        <v>19148.872000000003</v>
      </c>
      <c r="G207" s="223"/>
    </row>
    <row r="208" spans="1:8" s="204" customFormat="1" ht="15.75" x14ac:dyDescent="0.45">
      <c r="A208" s="215" t="s">
        <v>639</v>
      </c>
      <c r="B208" s="216" t="s">
        <v>640</v>
      </c>
      <c r="C208" s="216"/>
      <c r="D208" s="217"/>
      <c r="E208" s="217"/>
      <c r="F208" s="218">
        <f>F209</f>
        <v>75202.090799999991</v>
      </c>
      <c r="G208" s="219"/>
    </row>
    <row r="209" spans="1:7" s="204" customFormat="1" ht="15.75" x14ac:dyDescent="0.45">
      <c r="A209" s="225" t="s">
        <v>641</v>
      </c>
      <c r="B209" s="220" t="s">
        <v>642</v>
      </c>
      <c r="C209" s="220" t="s">
        <v>288</v>
      </c>
      <c r="D209" s="221">
        <v>933.26</v>
      </c>
      <c r="E209" s="221">
        <v>80.58</v>
      </c>
      <c r="F209" s="222">
        <f t="shared" si="7"/>
        <v>75202.090799999991</v>
      </c>
      <c r="G209" s="223"/>
    </row>
    <row r="210" spans="1:7" s="204" customFormat="1" ht="15.75" x14ac:dyDescent="0.45">
      <c r="A210" s="215" t="s">
        <v>643</v>
      </c>
      <c r="B210" s="216" t="s">
        <v>45</v>
      </c>
      <c r="C210" s="216"/>
      <c r="D210" s="217"/>
      <c r="E210" s="217"/>
      <c r="F210" s="218">
        <f>SUM(F211:F214)</f>
        <v>1102343.5192</v>
      </c>
      <c r="G210" s="219"/>
    </row>
    <row r="211" spans="1:7" s="204" customFormat="1" ht="31.5" x14ac:dyDescent="0.45">
      <c r="A211" s="225" t="s">
        <v>644</v>
      </c>
      <c r="B211" s="220" t="s">
        <v>645</v>
      </c>
      <c r="C211" s="220" t="s">
        <v>289</v>
      </c>
      <c r="D211" s="221">
        <f>D205</f>
        <v>3385.2300000000005</v>
      </c>
      <c r="E211" s="221">
        <v>40.04</v>
      </c>
      <c r="F211" s="222">
        <f t="shared" ref="F211:F214" si="8">E211*D211</f>
        <v>135544.60920000001</v>
      </c>
      <c r="G211" s="223"/>
    </row>
    <row r="212" spans="1:7" s="204" customFormat="1" ht="15.75" x14ac:dyDescent="0.45">
      <c r="A212" s="225" t="s">
        <v>646</v>
      </c>
      <c r="B212" s="220" t="s">
        <v>647</v>
      </c>
      <c r="C212" s="220" t="s">
        <v>288</v>
      </c>
      <c r="D212" s="221">
        <f>D209</f>
        <v>933.26</v>
      </c>
      <c r="E212" s="221">
        <v>4.5</v>
      </c>
      <c r="F212" s="222">
        <f t="shared" si="8"/>
        <v>4199.67</v>
      </c>
      <c r="G212" s="223"/>
    </row>
    <row r="213" spans="1:7" s="204" customFormat="1" ht="15.75" x14ac:dyDescent="0.45">
      <c r="A213" s="225" t="s">
        <v>648</v>
      </c>
      <c r="B213" s="220" t="s">
        <v>649</v>
      </c>
      <c r="C213" s="220" t="s">
        <v>289</v>
      </c>
      <c r="D213" s="221">
        <v>27762.26</v>
      </c>
      <c r="E213" s="221">
        <v>34</v>
      </c>
      <c r="F213" s="222">
        <f t="shared" si="8"/>
        <v>943916.84</v>
      </c>
      <c r="G213" s="223"/>
    </row>
    <row r="214" spans="1:7" s="204" customFormat="1" ht="15.75" x14ac:dyDescent="0.45">
      <c r="A214" s="225" t="s">
        <v>650</v>
      </c>
      <c r="B214" s="220" t="s">
        <v>651</v>
      </c>
      <c r="C214" s="220" t="s">
        <v>289</v>
      </c>
      <c r="D214" s="221">
        <v>849.2</v>
      </c>
      <c r="E214" s="221">
        <v>22</v>
      </c>
      <c r="F214" s="222">
        <f t="shared" si="8"/>
        <v>18682.400000000001</v>
      </c>
      <c r="G214" s="223"/>
    </row>
    <row r="215" spans="1:7" s="204" customFormat="1" ht="15.75" x14ac:dyDescent="0.45">
      <c r="A215" s="215" t="s">
        <v>652</v>
      </c>
      <c r="B215" s="216" t="s">
        <v>384</v>
      </c>
      <c r="C215" s="216"/>
      <c r="D215" s="217"/>
      <c r="E215" s="217"/>
      <c r="F215" s="218">
        <f>F216</f>
        <v>41446.25</v>
      </c>
      <c r="G215" s="219"/>
    </row>
    <row r="216" spans="1:7" s="204" customFormat="1" ht="15.75" x14ac:dyDescent="0.45">
      <c r="A216" s="225" t="s">
        <v>653</v>
      </c>
      <c r="B216" s="220" t="s">
        <v>384</v>
      </c>
      <c r="C216" s="220" t="s">
        <v>285</v>
      </c>
      <c r="D216" s="221">
        <v>1</v>
      </c>
      <c r="E216" s="221">
        <v>41446.25</v>
      </c>
      <c r="F216" s="222">
        <f t="shared" ref="F216" si="9">E216*D216</f>
        <v>41446.25</v>
      </c>
      <c r="G216" s="223"/>
    </row>
    <row r="217" spans="1:7" s="204" customFormat="1" ht="15.75" x14ac:dyDescent="0.45">
      <c r="A217" s="205" t="s">
        <v>654</v>
      </c>
      <c r="B217" s="206" t="s">
        <v>655</v>
      </c>
      <c r="C217" s="206"/>
      <c r="D217" s="207"/>
      <c r="E217" s="207"/>
      <c r="F217" s="208">
        <f>F218</f>
        <v>775720.99957099999</v>
      </c>
      <c r="G217" s="209"/>
    </row>
    <row r="218" spans="1:7" s="204" customFormat="1" ht="15.75" x14ac:dyDescent="0.45">
      <c r="A218" s="210" t="s">
        <v>656</v>
      </c>
      <c r="B218" s="211" t="s">
        <v>655</v>
      </c>
      <c r="C218" s="211"/>
      <c r="D218" s="212"/>
      <c r="E218" s="212"/>
      <c r="F218" s="213">
        <f>F219+F223+F225+F228+F232</f>
        <v>775720.99957099999</v>
      </c>
      <c r="G218" s="214"/>
    </row>
    <row r="219" spans="1:7" s="204" customFormat="1" ht="15.75" x14ac:dyDescent="0.45">
      <c r="A219" s="215" t="s">
        <v>657</v>
      </c>
      <c r="B219" s="216" t="s">
        <v>658</v>
      </c>
      <c r="C219" s="216"/>
      <c r="D219" s="217"/>
      <c r="E219" s="217"/>
      <c r="F219" s="218">
        <f>SUM(F220:F222)</f>
        <v>15397.948591</v>
      </c>
      <c r="G219" s="219"/>
    </row>
    <row r="220" spans="1:7" s="204" customFormat="1" ht="15.75" x14ac:dyDescent="0.45">
      <c r="A220" s="225" t="s">
        <v>659</v>
      </c>
      <c r="B220" s="220" t="s">
        <v>660</v>
      </c>
      <c r="C220" s="220" t="s">
        <v>289</v>
      </c>
      <c r="D220" s="221">
        <v>3774.23</v>
      </c>
      <c r="E220" s="221">
        <v>1.6837</v>
      </c>
      <c r="F220" s="222">
        <f t="shared" ref="F220:F233" si="10">E220*D220</f>
        <v>6354.6710510000003</v>
      </c>
      <c r="G220" s="226">
        <f>(D220)/$G$3</f>
        <v>0.28094004223520558</v>
      </c>
    </row>
    <row r="221" spans="1:7" s="204" customFormat="1" ht="15.75" x14ac:dyDescent="0.45">
      <c r="A221" s="225" t="s">
        <v>661</v>
      </c>
      <c r="B221" s="220" t="s">
        <v>662</v>
      </c>
      <c r="C221" s="220" t="s">
        <v>289</v>
      </c>
      <c r="D221" s="221">
        <v>420.97</v>
      </c>
      <c r="E221" s="221">
        <v>5.5019999999999998</v>
      </c>
      <c r="F221" s="222">
        <f t="shared" si="10"/>
        <v>2316.1769399999998</v>
      </c>
      <c r="G221" s="223"/>
    </row>
    <row r="222" spans="1:7" s="204" customFormat="1" ht="31.5" x14ac:dyDescent="0.45">
      <c r="A222" s="225" t="s">
        <v>663</v>
      </c>
      <c r="B222" s="220" t="s">
        <v>664</v>
      </c>
      <c r="C222" s="220" t="s">
        <v>289</v>
      </c>
      <c r="D222" s="221">
        <v>420.97</v>
      </c>
      <c r="E222" s="221">
        <v>15.98</v>
      </c>
      <c r="F222" s="222">
        <f t="shared" si="10"/>
        <v>6727.1006000000007</v>
      </c>
      <c r="G222" s="226">
        <f>(D222)/$G$3</f>
        <v>3.1335485537382322E-2</v>
      </c>
    </row>
    <row r="223" spans="1:7" s="204" customFormat="1" ht="15.75" x14ac:dyDescent="0.45">
      <c r="A223" s="215" t="s">
        <v>665</v>
      </c>
      <c r="B223" s="216" t="s">
        <v>666</v>
      </c>
      <c r="C223" s="216"/>
      <c r="D223" s="217"/>
      <c r="E223" s="217"/>
      <c r="F223" s="218">
        <f>F224</f>
        <v>621655.48800000001</v>
      </c>
      <c r="G223" s="219"/>
    </row>
    <row r="224" spans="1:7" s="204" customFormat="1" ht="15.75" x14ac:dyDescent="0.45">
      <c r="A224" s="225" t="s">
        <v>667</v>
      </c>
      <c r="B224" s="220" t="s">
        <v>668</v>
      </c>
      <c r="C224" s="220" t="s">
        <v>289</v>
      </c>
      <c r="D224" s="221">
        <f>6797.99+78.73</f>
        <v>6876.7199999999993</v>
      </c>
      <c r="E224" s="221">
        <v>90.4</v>
      </c>
      <c r="F224" s="222">
        <f t="shared" si="10"/>
        <v>621655.48800000001</v>
      </c>
      <c r="G224" s="226">
        <f>(D224+D225)/$G$3</f>
        <v>0.51187818634256066</v>
      </c>
    </row>
    <row r="225" spans="1:7" s="204" customFormat="1" ht="15.75" x14ac:dyDescent="0.45">
      <c r="A225" s="215" t="s">
        <v>665</v>
      </c>
      <c r="B225" s="216" t="s">
        <v>669</v>
      </c>
      <c r="C225" s="216"/>
      <c r="D225" s="217"/>
      <c r="E225" s="217"/>
      <c r="F225" s="218">
        <f>SUM(F226:F227)</f>
        <v>11096.83318</v>
      </c>
      <c r="G225" s="219"/>
    </row>
    <row r="226" spans="1:7" s="204" customFormat="1" ht="15.75" x14ac:dyDescent="0.45">
      <c r="A226" s="225" t="s">
        <v>667</v>
      </c>
      <c r="B226" s="220" t="s">
        <v>670</v>
      </c>
      <c r="C226" s="220" t="s">
        <v>289</v>
      </c>
      <c r="D226" s="221">
        <v>23.41</v>
      </c>
      <c r="E226" s="235">
        <v>304.77</v>
      </c>
      <c r="F226" s="222">
        <f>E226*D226</f>
        <v>7134.6656999999996</v>
      </c>
      <c r="G226" s="223"/>
    </row>
    <row r="227" spans="1:7" s="204" customFormat="1" ht="15.75" x14ac:dyDescent="0.45">
      <c r="A227" s="225" t="s">
        <v>671</v>
      </c>
      <c r="B227" s="220" t="s">
        <v>672</v>
      </c>
      <c r="C227" s="220" t="s">
        <v>289</v>
      </c>
      <c r="D227" s="221">
        <v>27.34</v>
      </c>
      <c r="E227" s="221">
        <v>144.922</v>
      </c>
      <c r="F227" s="222">
        <f t="shared" si="10"/>
        <v>3962.1674800000001</v>
      </c>
      <c r="G227" s="223"/>
    </row>
    <row r="228" spans="1:7" s="204" customFormat="1" ht="15.75" x14ac:dyDescent="0.45">
      <c r="A228" s="215" t="s">
        <v>673</v>
      </c>
      <c r="B228" s="216" t="s">
        <v>45</v>
      </c>
      <c r="C228" s="216"/>
      <c r="D228" s="217"/>
      <c r="E228" s="217"/>
      <c r="F228" s="218">
        <f>SUM(F229:F231)</f>
        <v>113368.32979999999</v>
      </c>
      <c r="G228" s="219"/>
    </row>
    <row r="229" spans="1:7" s="204" customFormat="1" ht="15.75" x14ac:dyDescent="0.45">
      <c r="A229" s="225" t="s">
        <v>674</v>
      </c>
      <c r="B229" s="220" t="s">
        <v>675</v>
      </c>
      <c r="C229" s="220" t="s">
        <v>289</v>
      </c>
      <c r="D229" s="221">
        <f>D222</f>
        <v>420.97</v>
      </c>
      <c r="E229" s="221">
        <v>69.459999999999994</v>
      </c>
      <c r="F229" s="222">
        <f t="shared" si="10"/>
        <v>29240.5762</v>
      </c>
      <c r="G229" s="223"/>
    </row>
    <row r="230" spans="1:7" s="204" customFormat="1" ht="15.75" x14ac:dyDescent="0.45">
      <c r="A230" s="225" t="s">
        <v>676</v>
      </c>
      <c r="B230" s="220" t="s">
        <v>651</v>
      </c>
      <c r="C230" s="220" t="s">
        <v>289</v>
      </c>
      <c r="D230" s="221">
        <f>D220</f>
        <v>3774.23</v>
      </c>
      <c r="E230" s="221">
        <v>22</v>
      </c>
      <c r="F230" s="222">
        <f t="shared" si="10"/>
        <v>83033.06</v>
      </c>
      <c r="G230" s="223"/>
    </row>
    <row r="231" spans="1:7" s="204" customFormat="1" ht="15.75" x14ac:dyDescent="0.45">
      <c r="A231" s="225" t="s">
        <v>677</v>
      </c>
      <c r="B231" s="220" t="s">
        <v>678</v>
      </c>
      <c r="C231" s="220" t="s">
        <v>289</v>
      </c>
      <c r="D231" s="221">
        <f>D227</f>
        <v>27.34</v>
      </c>
      <c r="E231" s="221">
        <v>40.04</v>
      </c>
      <c r="F231" s="222">
        <f t="shared" si="10"/>
        <v>1094.6936000000001</v>
      </c>
      <c r="G231" s="223"/>
    </row>
    <row r="232" spans="1:7" s="204" customFormat="1" ht="15.75" x14ac:dyDescent="0.45">
      <c r="A232" s="215" t="s">
        <v>679</v>
      </c>
      <c r="B232" s="216" t="s">
        <v>384</v>
      </c>
      <c r="C232" s="216"/>
      <c r="D232" s="217"/>
      <c r="E232" s="217"/>
      <c r="F232" s="218">
        <f>F233</f>
        <v>14202.4</v>
      </c>
      <c r="G232" s="219"/>
    </row>
    <row r="233" spans="1:7" s="204" customFormat="1" ht="15.75" x14ac:dyDescent="0.45">
      <c r="A233" s="225" t="s">
        <v>680</v>
      </c>
      <c r="B233" s="220" t="s">
        <v>384</v>
      </c>
      <c r="C233" s="220" t="s">
        <v>285</v>
      </c>
      <c r="D233" s="221">
        <v>1</v>
      </c>
      <c r="E233" s="221">
        <v>14202.4</v>
      </c>
      <c r="F233" s="222">
        <f t="shared" si="10"/>
        <v>14202.4</v>
      </c>
      <c r="G233" s="223"/>
    </row>
    <row r="234" spans="1:7" s="204" customFormat="1" ht="15.75" x14ac:dyDescent="0.45">
      <c r="A234" s="205" t="s">
        <v>681</v>
      </c>
      <c r="B234" s="206" t="s">
        <v>682</v>
      </c>
      <c r="C234" s="206"/>
      <c r="D234" s="207"/>
      <c r="E234" s="207"/>
      <c r="F234" s="208">
        <f>F235</f>
        <v>1910601.7635690002</v>
      </c>
      <c r="G234" s="209"/>
    </row>
    <row r="235" spans="1:7" s="204" customFormat="1" ht="15.75" x14ac:dyDescent="0.45">
      <c r="A235" s="210" t="s">
        <v>683</v>
      </c>
      <c r="B235" s="211" t="s">
        <v>682</v>
      </c>
      <c r="C235" s="211"/>
      <c r="D235" s="212"/>
      <c r="E235" s="212"/>
      <c r="F235" s="213">
        <f>F236+F240+F244+F248+F251+F253+F256+F259+F262+F274+F242</f>
        <v>1910601.7635690002</v>
      </c>
      <c r="G235" s="214"/>
    </row>
    <row r="236" spans="1:7" s="204" customFormat="1" ht="15.75" x14ac:dyDescent="0.45">
      <c r="A236" s="215" t="s">
        <v>684</v>
      </c>
      <c r="B236" s="216" t="s">
        <v>88</v>
      </c>
      <c r="C236" s="216"/>
      <c r="D236" s="217"/>
      <c r="E236" s="217"/>
      <c r="F236" s="218">
        <f>SUM(F237:F239)</f>
        <v>200678.16175</v>
      </c>
      <c r="G236" s="219"/>
    </row>
    <row r="237" spans="1:7" s="204" customFormat="1" ht="31.5" x14ac:dyDescent="0.45">
      <c r="A237" s="225" t="s">
        <v>685</v>
      </c>
      <c r="B237" s="220" t="s">
        <v>686</v>
      </c>
      <c r="C237" s="220" t="s">
        <v>289</v>
      </c>
      <c r="D237" s="221">
        <f>7790.28+176.76</f>
        <v>7967.04</v>
      </c>
      <c r="E237" s="221">
        <v>23.375</v>
      </c>
      <c r="F237" s="236">
        <f t="shared" ref="F237:F239" si="11">E237*D237</f>
        <v>186229.56</v>
      </c>
      <c r="G237" s="226">
        <f>(D237+D238)/$G$3</f>
        <v>0.61406147998889404</v>
      </c>
    </row>
    <row r="238" spans="1:7" s="204" customFormat="1" ht="31.5" x14ac:dyDescent="0.45">
      <c r="A238" s="225" t="s">
        <v>687</v>
      </c>
      <c r="B238" s="220" t="s">
        <v>688</v>
      </c>
      <c r="C238" s="220" t="s">
        <v>289</v>
      </c>
      <c r="D238" s="221">
        <v>282.44</v>
      </c>
      <c r="E238" s="221">
        <v>37.4</v>
      </c>
      <c r="F238" s="236">
        <f t="shared" si="11"/>
        <v>10563.255999999999</v>
      </c>
      <c r="G238" s="223"/>
    </row>
    <row r="239" spans="1:7" s="204" customFormat="1" ht="15.75" x14ac:dyDescent="0.45">
      <c r="A239" s="225" t="s">
        <v>689</v>
      </c>
      <c r="B239" s="220" t="s">
        <v>690</v>
      </c>
      <c r="C239" s="220" t="s">
        <v>289</v>
      </c>
      <c r="D239" s="221">
        <v>277.02999999999997</v>
      </c>
      <c r="E239" s="221">
        <v>14.025</v>
      </c>
      <c r="F239" s="236">
        <f t="shared" si="11"/>
        <v>3885.3457499999995</v>
      </c>
      <c r="G239" s="223"/>
    </row>
    <row r="240" spans="1:7" s="204" customFormat="1" ht="15.75" x14ac:dyDescent="0.45">
      <c r="A240" s="215" t="s">
        <v>691</v>
      </c>
      <c r="B240" s="216" t="s">
        <v>692</v>
      </c>
      <c r="C240" s="216"/>
      <c r="D240" s="217"/>
      <c r="E240" s="217"/>
      <c r="F240" s="218">
        <f>F241</f>
        <v>70328.639500000005</v>
      </c>
      <c r="G240" s="219"/>
    </row>
    <row r="241" spans="1:7" s="204" customFormat="1" ht="15.75" x14ac:dyDescent="0.45">
      <c r="A241" s="225" t="s">
        <v>693</v>
      </c>
      <c r="B241" s="220" t="s">
        <v>694</v>
      </c>
      <c r="C241" s="220" t="s">
        <v>289</v>
      </c>
      <c r="D241" s="221">
        <f>(106.11+96.64+82.98+78.1+79.63)*15+D239</f>
        <v>6928.93</v>
      </c>
      <c r="E241" s="221">
        <v>10.15</v>
      </c>
      <c r="F241" s="236">
        <f t="shared" ref="F241:F247" si="12">E241*D241</f>
        <v>70328.639500000005</v>
      </c>
      <c r="G241" s="223"/>
    </row>
    <row r="242" spans="1:7" s="204" customFormat="1" ht="15.75" x14ac:dyDescent="0.45">
      <c r="A242" s="215" t="s">
        <v>695</v>
      </c>
      <c r="B242" s="216" t="s">
        <v>696</v>
      </c>
      <c r="C242" s="216"/>
      <c r="D242" s="217"/>
      <c r="E242" s="217"/>
      <c r="F242" s="218">
        <f>SUM(F243:F243)</f>
        <v>1300.0831799999999</v>
      </c>
      <c r="G242" s="219"/>
    </row>
    <row r="243" spans="1:7" s="204" customFormat="1" ht="16.5" customHeight="1" x14ac:dyDescent="0.45">
      <c r="A243" s="225" t="s">
        <v>697</v>
      </c>
      <c r="B243" s="220" t="s">
        <v>698</v>
      </c>
      <c r="C243" s="220" t="s">
        <v>289</v>
      </c>
      <c r="D243" s="221">
        <v>217.66</v>
      </c>
      <c r="E243" s="221">
        <v>5.9729999999999999</v>
      </c>
      <c r="F243" s="236">
        <f t="shared" ref="F243" si="13">E243*D243</f>
        <v>1300.0831799999999</v>
      </c>
      <c r="G243" s="223"/>
    </row>
    <row r="244" spans="1:7" s="204" customFormat="1" ht="15.75" x14ac:dyDescent="0.45">
      <c r="A244" s="215" t="s">
        <v>695</v>
      </c>
      <c r="B244" s="216" t="s">
        <v>699</v>
      </c>
      <c r="C244" s="216"/>
      <c r="D244" s="217"/>
      <c r="E244" s="217"/>
      <c r="F244" s="218">
        <f>SUM(F245:F247)</f>
        <v>414562.05059100001</v>
      </c>
      <c r="G244" s="219"/>
    </row>
    <row r="245" spans="1:7" s="204" customFormat="1" ht="31.5" x14ac:dyDescent="0.45">
      <c r="A245" s="225" t="s">
        <v>700</v>
      </c>
      <c r="B245" s="220" t="s">
        <v>701</v>
      </c>
      <c r="C245" s="220" t="s">
        <v>289</v>
      </c>
      <c r="D245" s="221">
        <f>1059.11+3257.46+220.87+36.56</f>
        <v>4574</v>
      </c>
      <c r="E245" s="221">
        <v>74.962500000000006</v>
      </c>
      <c r="F245" s="236">
        <f t="shared" si="12"/>
        <v>342878.47500000003</v>
      </c>
      <c r="G245" s="223"/>
    </row>
    <row r="246" spans="1:7" s="204" customFormat="1" ht="15.75" x14ac:dyDescent="0.45">
      <c r="A246" s="225" t="s">
        <v>697</v>
      </c>
      <c r="B246" s="220" t="s">
        <v>702</v>
      </c>
      <c r="C246" s="220" t="s">
        <v>289</v>
      </c>
      <c r="D246" s="221">
        <f>78.09+104.18</f>
        <v>182.27</v>
      </c>
      <c r="E246" s="221">
        <v>197.54580000000001</v>
      </c>
      <c r="F246" s="236">
        <f t="shared" si="12"/>
        <v>36006.672966000006</v>
      </c>
      <c r="G246" s="223"/>
    </row>
    <row r="247" spans="1:7" s="204" customFormat="1" ht="31.5" x14ac:dyDescent="0.45">
      <c r="A247" s="237" t="s">
        <v>703</v>
      </c>
      <c r="B247" s="229" t="s">
        <v>704</v>
      </c>
      <c r="C247" s="229" t="s">
        <v>289</v>
      </c>
      <c r="D247" s="235">
        <f>256.48+219.45</f>
        <v>475.93</v>
      </c>
      <c r="E247" s="221">
        <v>74.962500000000006</v>
      </c>
      <c r="F247" s="236">
        <f t="shared" si="12"/>
        <v>35676.902625000002</v>
      </c>
      <c r="G247" s="223"/>
    </row>
    <row r="248" spans="1:7" s="204" customFormat="1" ht="15.75" x14ac:dyDescent="0.45">
      <c r="A248" s="215" t="s">
        <v>705</v>
      </c>
      <c r="B248" s="216" t="s">
        <v>706</v>
      </c>
      <c r="C248" s="216"/>
      <c r="D248" s="217"/>
      <c r="E248" s="217"/>
      <c r="F248" s="218">
        <f>F249+F250</f>
        <v>204271.59608800002</v>
      </c>
      <c r="G248" s="219"/>
    </row>
    <row r="249" spans="1:7" s="204" customFormat="1" ht="15.75" x14ac:dyDescent="0.45">
      <c r="A249" s="225" t="s">
        <v>707</v>
      </c>
      <c r="B249" s="220" t="s">
        <v>708</v>
      </c>
      <c r="C249" s="220" t="s">
        <v>289</v>
      </c>
      <c r="D249" s="221">
        <f>207.44+2101.23</f>
        <v>2308.67</v>
      </c>
      <c r="E249" s="221">
        <v>88.186400000000006</v>
      </c>
      <c r="F249" s="236">
        <f t="shared" ref="F249:F250" si="14">E249*D249</f>
        <v>203593.29608800003</v>
      </c>
      <c r="G249" s="223"/>
    </row>
    <row r="250" spans="1:7" s="204" customFormat="1" ht="15.75" x14ac:dyDescent="0.45">
      <c r="A250" s="225" t="s">
        <v>709</v>
      </c>
      <c r="B250" s="220" t="s">
        <v>710</v>
      </c>
      <c r="C250" s="220" t="s">
        <v>289</v>
      </c>
      <c r="D250" s="221">
        <v>2.38</v>
      </c>
      <c r="E250" s="221">
        <v>285</v>
      </c>
      <c r="F250" s="236">
        <f t="shared" si="14"/>
        <v>678.3</v>
      </c>
      <c r="G250" s="223"/>
    </row>
    <row r="251" spans="1:7" s="204" customFormat="1" ht="15.75" x14ac:dyDescent="0.45">
      <c r="A251" s="215" t="s">
        <v>711</v>
      </c>
      <c r="B251" s="216" t="s">
        <v>712</v>
      </c>
      <c r="C251" s="216"/>
      <c r="D251" s="217"/>
      <c r="E251" s="217"/>
      <c r="F251" s="218">
        <f>F252</f>
        <v>4646.9341599999998</v>
      </c>
      <c r="G251" s="219"/>
    </row>
    <row r="252" spans="1:7" s="204" customFormat="1" ht="15.75" x14ac:dyDescent="0.45">
      <c r="A252" s="225" t="s">
        <v>713</v>
      </c>
      <c r="B252" s="220" t="s">
        <v>714</v>
      </c>
      <c r="C252" s="220" t="s">
        <v>289</v>
      </c>
      <c r="D252" s="221">
        <v>7.58</v>
      </c>
      <c r="E252" s="221">
        <v>613.05200000000002</v>
      </c>
      <c r="F252" s="236">
        <f t="shared" ref="F252:F255" si="15">E252*D252</f>
        <v>4646.9341599999998</v>
      </c>
      <c r="G252" s="223"/>
    </row>
    <row r="253" spans="1:7" s="204" customFormat="1" ht="15.75" x14ac:dyDescent="0.45">
      <c r="A253" s="215" t="s">
        <v>715</v>
      </c>
      <c r="B253" s="216" t="s">
        <v>636</v>
      </c>
      <c r="C253" s="216"/>
      <c r="D253" s="217"/>
      <c r="E253" s="217"/>
      <c r="F253" s="218">
        <f>SUM(F254:F255)</f>
        <v>44873.14</v>
      </c>
      <c r="G253" s="219"/>
    </row>
    <row r="254" spans="1:7" s="204" customFormat="1" ht="15.75" x14ac:dyDescent="0.45">
      <c r="A254" s="225" t="s">
        <v>716</v>
      </c>
      <c r="B254" s="220" t="s">
        <v>717</v>
      </c>
      <c r="C254" s="220" t="s">
        <v>289</v>
      </c>
      <c r="D254" s="221">
        <v>27.95</v>
      </c>
      <c r="E254" s="221">
        <v>230</v>
      </c>
      <c r="F254" s="236">
        <f t="shared" si="15"/>
        <v>6428.5</v>
      </c>
      <c r="G254" s="223"/>
    </row>
    <row r="255" spans="1:7" s="204" customFormat="1" ht="15.75" x14ac:dyDescent="0.45">
      <c r="A255" s="225" t="s">
        <v>718</v>
      </c>
      <c r="B255" s="220" t="s">
        <v>719</v>
      </c>
      <c r="C255" s="220" t="s">
        <v>289</v>
      </c>
      <c r="D255" s="221">
        <v>123.22</v>
      </c>
      <c r="E255" s="221">
        <v>312</v>
      </c>
      <c r="F255" s="236">
        <f t="shared" si="15"/>
        <v>38444.639999999999</v>
      </c>
      <c r="G255" s="223"/>
    </row>
    <row r="256" spans="1:7" s="204" customFormat="1" ht="15.75" x14ac:dyDescent="0.45">
      <c r="A256" s="215" t="s">
        <v>720</v>
      </c>
      <c r="B256" s="216" t="s">
        <v>263</v>
      </c>
      <c r="C256" s="216"/>
      <c r="D256" s="217"/>
      <c r="E256" s="217"/>
      <c r="F256" s="218">
        <f>SUM(F257:F258)</f>
        <v>125735.41308</v>
      </c>
      <c r="G256" s="219"/>
    </row>
    <row r="257" spans="1:7" s="204" customFormat="1" ht="15.75" x14ac:dyDescent="0.45">
      <c r="A257" s="225" t="s">
        <v>721</v>
      </c>
      <c r="B257" s="220" t="s">
        <v>722</v>
      </c>
      <c r="C257" s="220" t="s">
        <v>288</v>
      </c>
      <c r="D257" s="221">
        <f>401.1+3092.67+336.17</f>
        <v>3829.94</v>
      </c>
      <c r="E257" s="221">
        <v>5.49</v>
      </c>
      <c r="F257" s="236">
        <f>E257*D257</f>
        <v>21026.370600000002</v>
      </c>
      <c r="G257" s="226">
        <f>(F257+F258)/$G$3</f>
        <v>9.3592897786187432</v>
      </c>
    </row>
    <row r="258" spans="1:7" s="204" customFormat="1" ht="15.75" x14ac:dyDescent="0.45">
      <c r="A258" s="225" t="s">
        <v>723</v>
      </c>
      <c r="B258" s="220" t="s">
        <v>724</v>
      </c>
      <c r="C258" s="220" t="s">
        <v>288</v>
      </c>
      <c r="D258" s="221">
        <v>2903.6</v>
      </c>
      <c r="E258" s="221">
        <v>36.061799999999998</v>
      </c>
      <c r="F258" s="236">
        <f t="shared" ref="F258:F275" si="16">E258*D258</f>
        <v>104709.04247999999</v>
      </c>
      <c r="G258" s="223"/>
    </row>
    <row r="259" spans="1:7" s="204" customFormat="1" ht="15.75" x14ac:dyDescent="0.45">
      <c r="A259" s="215" t="s">
        <v>725</v>
      </c>
      <c r="B259" s="216" t="s">
        <v>726</v>
      </c>
      <c r="C259" s="216"/>
      <c r="D259" s="217"/>
      <c r="E259" s="217"/>
      <c r="F259" s="218">
        <f>SUM(F260:F261)</f>
        <v>32136.808320000004</v>
      </c>
      <c r="G259" s="219"/>
    </row>
    <row r="260" spans="1:7" s="204" customFormat="1" ht="15.75" x14ac:dyDescent="0.45">
      <c r="A260" s="225" t="s">
        <v>727</v>
      </c>
      <c r="B260" s="220" t="s">
        <v>728</v>
      </c>
      <c r="C260" s="220" t="s">
        <v>288</v>
      </c>
      <c r="D260" s="221">
        <v>41.76</v>
      </c>
      <c r="E260" s="221">
        <v>74.962500000000006</v>
      </c>
      <c r="F260" s="236">
        <f t="shared" si="16"/>
        <v>3130.4340000000002</v>
      </c>
      <c r="G260" s="226">
        <f>(F260+F261+F209)/$G$3</f>
        <v>7.9899197590643034</v>
      </c>
    </row>
    <row r="261" spans="1:7" s="204" customFormat="1" ht="15.75" x14ac:dyDescent="0.45">
      <c r="A261" s="225" t="s">
        <v>729</v>
      </c>
      <c r="B261" s="220" t="s">
        <v>730</v>
      </c>
      <c r="C261" s="220" t="s">
        <v>288</v>
      </c>
      <c r="D261" s="221">
        <v>364.42</v>
      </c>
      <c r="E261" s="221">
        <v>79.596000000000004</v>
      </c>
      <c r="F261" s="236">
        <f t="shared" si="16"/>
        <v>29006.374320000003</v>
      </c>
      <c r="G261" s="223"/>
    </row>
    <row r="262" spans="1:7" s="204" customFormat="1" ht="15.75" x14ac:dyDescent="0.45">
      <c r="A262" s="215" t="s">
        <v>731</v>
      </c>
      <c r="B262" s="216" t="s">
        <v>45</v>
      </c>
      <c r="C262" s="216"/>
      <c r="D262" s="217"/>
      <c r="E262" s="217"/>
      <c r="F262" s="218">
        <f>SUM(F263:F273)</f>
        <v>777088.40690000006</v>
      </c>
      <c r="G262" s="219"/>
    </row>
    <row r="263" spans="1:7" s="204" customFormat="1" ht="15.75" x14ac:dyDescent="0.45">
      <c r="A263" s="225" t="s">
        <v>732</v>
      </c>
      <c r="B263" s="220" t="s">
        <v>733</v>
      </c>
      <c r="C263" s="220" t="s">
        <v>289</v>
      </c>
      <c r="D263" s="221">
        <f>D237+D238+D239</f>
        <v>8526.51</v>
      </c>
      <c r="E263" s="221">
        <v>24.39</v>
      </c>
      <c r="F263" s="236">
        <f t="shared" si="16"/>
        <v>207961.57890000002</v>
      </c>
      <c r="G263" s="223"/>
    </row>
    <row r="264" spans="1:7" s="204" customFormat="1" ht="15.75" x14ac:dyDescent="0.45">
      <c r="A264" s="225" t="s">
        <v>734</v>
      </c>
      <c r="B264" s="220" t="s">
        <v>735</v>
      </c>
      <c r="C264" s="220" t="s">
        <v>289</v>
      </c>
      <c r="D264" s="221">
        <f>3096.66</f>
        <v>3096.66</v>
      </c>
      <c r="E264" s="221">
        <v>30</v>
      </c>
      <c r="F264" s="236">
        <f t="shared" si="16"/>
        <v>92899.799999999988</v>
      </c>
      <c r="G264" s="223"/>
    </row>
    <row r="265" spans="1:7" s="204" customFormat="1" ht="15.75" x14ac:dyDescent="0.45">
      <c r="A265" s="225" t="s">
        <v>736</v>
      </c>
      <c r="B265" s="220" t="s">
        <v>737</v>
      </c>
      <c r="C265" s="220" t="s">
        <v>289</v>
      </c>
      <c r="D265" s="221">
        <v>217.66</v>
      </c>
      <c r="E265" s="221">
        <v>21</v>
      </c>
      <c r="F265" s="236">
        <f t="shared" si="16"/>
        <v>4570.8599999999997</v>
      </c>
      <c r="G265" s="223"/>
    </row>
    <row r="266" spans="1:7" s="204" customFormat="1" ht="15.75" x14ac:dyDescent="0.45">
      <c r="A266" s="225" t="s">
        <v>738</v>
      </c>
      <c r="B266" s="220" t="s">
        <v>739</v>
      </c>
      <c r="C266" s="220" t="s">
        <v>289</v>
      </c>
      <c r="D266" s="221">
        <f>D245+D247</f>
        <v>5049.93</v>
      </c>
      <c r="E266" s="221">
        <v>48</v>
      </c>
      <c r="F266" s="236">
        <f t="shared" si="16"/>
        <v>242396.64</v>
      </c>
      <c r="G266" s="223"/>
    </row>
    <row r="267" spans="1:7" s="204" customFormat="1" ht="15.75" x14ac:dyDescent="0.45">
      <c r="A267" s="225" t="s">
        <v>740</v>
      </c>
      <c r="B267" s="220" t="s">
        <v>741</v>
      </c>
      <c r="C267" s="220" t="s">
        <v>289</v>
      </c>
      <c r="D267" s="221">
        <f>D246</f>
        <v>182.27</v>
      </c>
      <c r="E267" s="221">
        <v>48</v>
      </c>
      <c r="F267" s="236">
        <f t="shared" si="16"/>
        <v>8748.9600000000009</v>
      </c>
      <c r="G267" s="223"/>
    </row>
    <row r="268" spans="1:7" s="204" customFormat="1" ht="15.75" x14ac:dyDescent="0.45">
      <c r="A268" s="225" t="s">
        <v>742</v>
      </c>
      <c r="B268" s="220" t="s">
        <v>743</v>
      </c>
      <c r="C268" s="220" t="s">
        <v>289</v>
      </c>
      <c r="D268" s="221">
        <f>D249</f>
        <v>2308.67</v>
      </c>
      <c r="E268" s="221">
        <v>40</v>
      </c>
      <c r="F268" s="236">
        <f t="shared" si="16"/>
        <v>92346.8</v>
      </c>
      <c r="G268" s="223"/>
    </row>
    <row r="269" spans="1:7" s="204" customFormat="1" ht="15.75" x14ac:dyDescent="0.45">
      <c r="A269" s="225" t="s">
        <v>744</v>
      </c>
      <c r="B269" s="220" t="s">
        <v>745</v>
      </c>
      <c r="C269" s="220" t="s">
        <v>289</v>
      </c>
      <c r="D269" s="221">
        <f>D252</f>
        <v>7.58</v>
      </c>
      <c r="E269" s="221">
        <v>48</v>
      </c>
      <c r="F269" s="236">
        <f t="shared" si="16"/>
        <v>363.84000000000003</v>
      </c>
      <c r="G269" s="223"/>
    </row>
    <row r="270" spans="1:7" s="204" customFormat="1" ht="15.75" x14ac:dyDescent="0.45">
      <c r="A270" s="225" t="s">
        <v>746</v>
      </c>
      <c r="B270" s="220" t="s">
        <v>747</v>
      </c>
      <c r="C270" s="220" t="s">
        <v>288</v>
      </c>
      <c r="D270" s="221">
        <f>D258</f>
        <v>2903.6</v>
      </c>
      <c r="E270" s="221">
        <v>13</v>
      </c>
      <c r="F270" s="236">
        <f t="shared" si="16"/>
        <v>37746.799999999996</v>
      </c>
      <c r="G270" s="223"/>
    </row>
    <row r="271" spans="1:7" s="204" customFormat="1" ht="15.75" x14ac:dyDescent="0.45">
      <c r="A271" s="225" t="s">
        <v>748</v>
      </c>
      <c r="B271" s="220" t="s">
        <v>749</v>
      </c>
      <c r="C271" s="220" t="s">
        <v>288</v>
      </c>
      <c r="D271" s="221">
        <f>D257</f>
        <v>3829.94</v>
      </c>
      <c r="E271" s="221">
        <v>22</v>
      </c>
      <c r="F271" s="236">
        <f t="shared" si="16"/>
        <v>84258.680000000008</v>
      </c>
      <c r="G271" s="223"/>
    </row>
    <row r="272" spans="1:7" s="204" customFormat="1" ht="15.75" x14ac:dyDescent="0.45">
      <c r="A272" s="225" t="s">
        <v>750</v>
      </c>
      <c r="B272" s="220" t="s">
        <v>751</v>
      </c>
      <c r="C272" s="220" t="s">
        <v>288</v>
      </c>
      <c r="D272" s="221">
        <f>D260</f>
        <v>41.76</v>
      </c>
      <c r="E272" s="221">
        <v>48</v>
      </c>
      <c r="F272" s="236">
        <f t="shared" si="16"/>
        <v>2004.48</v>
      </c>
      <c r="G272" s="223"/>
    </row>
    <row r="273" spans="1:7" s="204" customFormat="1" ht="15.75" x14ac:dyDescent="0.45">
      <c r="A273" s="225" t="s">
        <v>752</v>
      </c>
      <c r="B273" s="220" t="s">
        <v>753</v>
      </c>
      <c r="C273" s="220" t="s">
        <v>288</v>
      </c>
      <c r="D273" s="221">
        <f>D261</f>
        <v>364.42</v>
      </c>
      <c r="E273" s="221">
        <v>10.4</v>
      </c>
      <c r="F273" s="236">
        <f t="shared" si="16"/>
        <v>3789.9680000000003</v>
      </c>
      <c r="G273" s="223"/>
    </row>
    <row r="274" spans="1:7" s="204" customFormat="1" ht="15.75" x14ac:dyDescent="0.45">
      <c r="A274" s="215" t="s">
        <v>754</v>
      </c>
      <c r="B274" s="216" t="s">
        <v>384</v>
      </c>
      <c r="C274" s="216"/>
      <c r="D274" s="217"/>
      <c r="E274" s="217"/>
      <c r="F274" s="218">
        <f>F275</f>
        <v>34980.53</v>
      </c>
      <c r="G274" s="219"/>
    </row>
    <row r="275" spans="1:7" s="204" customFormat="1" ht="15.75" x14ac:dyDescent="0.45">
      <c r="A275" s="225" t="s">
        <v>755</v>
      </c>
      <c r="B275" s="220" t="s">
        <v>384</v>
      </c>
      <c r="C275" s="220" t="s">
        <v>285</v>
      </c>
      <c r="D275" s="221">
        <v>1</v>
      </c>
      <c r="E275" s="221">
        <v>34980.53</v>
      </c>
      <c r="F275" s="236">
        <f t="shared" si="16"/>
        <v>34980.53</v>
      </c>
      <c r="G275" s="223"/>
    </row>
    <row r="276" spans="1:7" s="204" customFormat="1" ht="15.75" x14ac:dyDescent="0.45">
      <c r="A276" s="205" t="s">
        <v>756</v>
      </c>
      <c r="B276" s="206" t="s">
        <v>757</v>
      </c>
      <c r="C276" s="206"/>
      <c r="D276" s="207"/>
      <c r="E276" s="207"/>
      <c r="F276" s="208">
        <f>F277</f>
        <v>1868011.2566959998</v>
      </c>
      <c r="G276" s="209"/>
    </row>
    <row r="277" spans="1:7" s="204" customFormat="1" ht="15.75" x14ac:dyDescent="0.45">
      <c r="A277" s="210" t="s">
        <v>758</v>
      </c>
      <c r="B277" s="211" t="s">
        <v>759</v>
      </c>
      <c r="C277" s="211"/>
      <c r="D277" s="212"/>
      <c r="E277" s="212"/>
      <c r="F277" s="213">
        <f>F278+F283+F290+F295+F304</f>
        <v>1868011.2566959998</v>
      </c>
      <c r="G277" s="214"/>
    </row>
    <row r="278" spans="1:7" s="204" customFormat="1" ht="15.75" x14ac:dyDescent="0.45">
      <c r="A278" s="215" t="s">
        <v>760</v>
      </c>
      <c r="B278" s="216" t="s">
        <v>761</v>
      </c>
      <c r="C278" s="216"/>
      <c r="D278" s="217"/>
      <c r="E278" s="217"/>
      <c r="F278" s="218">
        <f>SUM(F279:F282)</f>
        <v>284957.17321999994</v>
      </c>
      <c r="G278" s="219"/>
    </row>
    <row r="279" spans="1:7" s="204" customFormat="1" ht="15.75" x14ac:dyDescent="0.45">
      <c r="A279" s="225" t="s">
        <v>762</v>
      </c>
      <c r="B279" s="220" t="s">
        <v>763</v>
      </c>
      <c r="C279" s="220" t="s">
        <v>289</v>
      </c>
      <c r="D279" s="221">
        <f>217.66+3206.42+127.59</f>
        <v>3551.67</v>
      </c>
      <c r="E279" s="221">
        <v>74.898399999999995</v>
      </c>
      <c r="F279" s="236">
        <f t="shared" ref="F279:F305" si="17">E279*D279</f>
        <v>266014.40032799996</v>
      </c>
      <c r="G279" s="223"/>
    </row>
    <row r="280" spans="1:7" s="204" customFormat="1" ht="15.75" x14ac:dyDescent="0.45">
      <c r="A280" s="225" t="s">
        <v>764</v>
      </c>
      <c r="B280" s="220" t="s">
        <v>765</v>
      </c>
      <c r="C280" s="220" t="s">
        <v>289</v>
      </c>
      <c r="D280" s="221">
        <f>123.78+3.13</f>
        <v>126.91</v>
      </c>
      <c r="E280" s="221">
        <v>2.5739999999999998</v>
      </c>
      <c r="F280" s="236">
        <f t="shared" si="17"/>
        <v>326.66633999999999</v>
      </c>
      <c r="G280" s="223"/>
    </row>
    <row r="281" spans="1:7" s="204" customFormat="1" ht="31.5" x14ac:dyDescent="0.45">
      <c r="A281" s="225" t="s">
        <v>766</v>
      </c>
      <c r="B281" s="220" t="s">
        <v>767</v>
      </c>
      <c r="C281" s="220" t="s">
        <v>289</v>
      </c>
      <c r="D281" s="221">
        <f>259.04+7.53+246.09</f>
        <v>512.66</v>
      </c>
      <c r="E281" s="221">
        <v>8.5079999999999991</v>
      </c>
      <c r="F281" s="236">
        <f t="shared" si="17"/>
        <v>4361.7112799999995</v>
      </c>
      <c r="G281" s="226">
        <f>(D281)/$G$3</f>
        <v>3.8160557796504312E-2</v>
      </c>
    </row>
    <row r="282" spans="1:7" s="204" customFormat="1" ht="15.75" x14ac:dyDescent="0.45">
      <c r="A282" s="225" t="s">
        <v>768</v>
      </c>
      <c r="B282" s="220" t="s">
        <v>769</v>
      </c>
      <c r="C282" s="220" t="s">
        <v>289</v>
      </c>
      <c r="D282" s="221">
        <f>389.43+55.25</f>
        <v>444.68</v>
      </c>
      <c r="E282" s="221">
        <v>32.055399999999999</v>
      </c>
      <c r="F282" s="236">
        <f t="shared" si="17"/>
        <v>14254.395272</v>
      </c>
      <c r="G282" s="223"/>
    </row>
    <row r="283" spans="1:7" s="204" customFormat="1" ht="15.75" x14ac:dyDescent="0.45">
      <c r="A283" s="215" t="s">
        <v>770</v>
      </c>
      <c r="B283" s="216" t="s">
        <v>771</v>
      </c>
      <c r="C283" s="216"/>
      <c r="D283" s="217"/>
      <c r="E283" s="217"/>
      <c r="F283" s="218">
        <f>SUM(F284:F289)</f>
        <v>146878.81045199998</v>
      </c>
      <c r="G283" s="219"/>
    </row>
    <row r="284" spans="1:7" s="204" customFormat="1" ht="15.75" x14ac:dyDescent="0.45">
      <c r="A284" s="225" t="s">
        <v>772</v>
      </c>
      <c r="B284" s="220" t="s">
        <v>773</v>
      </c>
      <c r="C284" s="220" t="s">
        <v>289</v>
      </c>
      <c r="D284" s="221">
        <f>D286+D287</f>
        <v>25226.240000000002</v>
      </c>
      <c r="E284" s="221">
        <v>0.9</v>
      </c>
      <c r="F284" s="236">
        <f t="shared" si="17"/>
        <v>22703.616000000002</v>
      </c>
      <c r="G284" s="223"/>
    </row>
    <row r="285" spans="1:7" s="204" customFormat="1" ht="31.5" x14ac:dyDescent="0.45">
      <c r="A285" s="225" t="s">
        <v>774</v>
      </c>
      <c r="B285" s="220" t="s">
        <v>775</v>
      </c>
      <c r="C285" s="220" t="s">
        <v>289</v>
      </c>
      <c r="D285" s="221">
        <f>D286</f>
        <v>16622.080000000002</v>
      </c>
      <c r="E285" s="221">
        <v>1.1619999999999999</v>
      </c>
      <c r="F285" s="236">
        <f>E285*D285</f>
        <v>19314.856960000001</v>
      </c>
      <c r="G285" s="223"/>
    </row>
    <row r="286" spans="1:7" s="204" customFormat="1" ht="31.5" x14ac:dyDescent="0.45">
      <c r="A286" s="225" t="s">
        <v>776</v>
      </c>
      <c r="B286" s="220" t="s">
        <v>777</v>
      </c>
      <c r="C286" s="220" t="s">
        <v>289</v>
      </c>
      <c r="D286" s="221">
        <v>16622.080000000002</v>
      </c>
      <c r="E286" s="221">
        <v>4.2602000000000002</v>
      </c>
      <c r="F286" s="236">
        <f>E286*D286</f>
        <v>70813.38521600001</v>
      </c>
      <c r="G286" s="226">
        <f>(F286+F285+F284*0.8+F299+F288+F289)/$G$3</f>
        <v>50.202381023783168</v>
      </c>
    </row>
    <row r="287" spans="1:7" s="204" customFormat="1" ht="15.75" x14ac:dyDescent="0.45">
      <c r="A287" s="225" t="s">
        <v>778</v>
      </c>
      <c r="B287" s="220" t="s">
        <v>779</v>
      </c>
      <c r="C287" s="220" t="s">
        <v>289</v>
      </c>
      <c r="D287" s="221">
        <v>8604.16</v>
      </c>
      <c r="E287" s="221">
        <v>3.8418000000000001</v>
      </c>
      <c r="F287" s="236">
        <f t="shared" si="17"/>
        <v>33055.461887999998</v>
      </c>
      <c r="G287" s="226">
        <f>(F287+F284*0.2+F300)/$G$3</f>
        <v>22.652864058167566</v>
      </c>
    </row>
    <row r="288" spans="1:7" s="204" customFormat="1" ht="15.75" x14ac:dyDescent="0.45">
      <c r="A288" s="225" t="s">
        <v>780</v>
      </c>
      <c r="B288" s="220" t="s">
        <v>781</v>
      </c>
      <c r="C288" s="220" t="s">
        <v>289</v>
      </c>
      <c r="D288" s="221">
        <v>253.98</v>
      </c>
      <c r="E288" s="221">
        <v>3.0701999999999998</v>
      </c>
      <c r="F288" s="236">
        <f t="shared" si="17"/>
        <v>779.76939599999992</v>
      </c>
      <c r="G288" s="223"/>
    </row>
    <row r="289" spans="1:7" s="204" customFormat="1" ht="31.5" x14ac:dyDescent="0.45">
      <c r="A289" s="225" t="s">
        <v>782</v>
      </c>
      <c r="B289" s="220" t="s">
        <v>783</v>
      </c>
      <c r="C289" s="220" t="s">
        <v>289</v>
      </c>
      <c r="D289" s="221">
        <v>68.959999999999994</v>
      </c>
      <c r="E289" s="221">
        <v>3.0701999999999998</v>
      </c>
      <c r="F289" s="236">
        <f t="shared" si="17"/>
        <v>211.72099199999997</v>
      </c>
      <c r="G289" s="223"/>
    </row>
    <row r="290" spans="1:7" s="204" customFormat="1" ht="15.75" x14ac:dyDescent="0.45">
      <c r="A290" s="215" t="s">
        <v>784</v>
      </c>
      <c r="B290" s="216" t="s">
        <v>785</v>
      </c>
      <c r="C290" s="216"/>
      <c r="D290" s="217"/>
      <c r="E290" s="217"/>
      <c r="F290" s="218">
        <f>SUM(F291:F294)</f>
        <v>63292.063023999995</v>
      </c>
      <c r="G290" s="219"/>
    </row>
    <row r="291" spans="1:7" s="204" customFormat="1" ht="15.75" x14ac:dyDescent="0.45">
      <c r="A291" s="225" t="s">
        <v>786</v>
      </c>
      <c r="B291" s="220" t="s">
        <v>787</v>
      </c>
      <c r="C291" s="220" t="s">
        <v>289</v>
      </c>
      <c r="D291" s="221">
        <f>D293+D294</f>
        <v>11044.48</v>
      </c>
      <c r="E291" s="221">
        <v>0.9</v>
      </c>
      <c r="F291" s="236">
        <f t="shared" si="17"/>
        <v>9940.0319999999992</v>
      </c>
      <c r="G291" s="223"/>
    </row>
    <row r="292" spans="1:7" s="204" customFormat="1" ht="15.75" x14ac:dyDescent="0.45">
      <c r="A292" s="225" t="s">
        <v>788</v>
      </c>
      <c r="B292" s="220" t="s">
        <v>789</v>
      </c>
      <c r="C292" s="220" t="s">
        <v>289</v>
      </c>
      <c r="D292" s="221">
        <f>29.88+6797.99+48.85</f>
        <v>6876.72</v>
      </c>
      <c r="E292" s="221">
        <v>1.1619999999999999</v>
      </c>
      <c r="F292" s="236">
        <f t="shared" si="17"/>
        <v>7990.7486399999998</v>
      </c>
      <c r="G292" s="223"/>
    </row>
    <row r="293" spans="1:7" s="204" customFormat="1" ht="15.75" x14ac:dyDescent="0.45">
      <c r="A293" s="225" t="s">
        <v>790</v>
      </c>
      <c r="B293" s="220" t="s">
        <v>791</v>
      </c>
      <c r="C293" s="220" t="s">
        <v>289</v>
      </c>
      <c r="D293" s="221">
        <f>29.88+6797.99+48.85+127.58</f>
        <v>7004.3</v>
      </c>
      <c r="E293" s="221">
        <v>4.2602000000000002</v>
      </c>
      <c r="F293" s="236">
        <f t="shared" si="17"/>
        <v>29839.718860000001</v>
      </c>
      <c r="G293" s="223"/>
    </row>
    <row r="294" spans="1:7" s="204" customFormat="1" ht="15.75" x14ac:dyDescent="0.45">
      <c r="A294" s="225" t="s">
        <v>792</v>
      </c>
      <c r="B294" s="220" t="s">
        <v>793</v>
      </c>
      <c r="C294" s="220" t="s">
        <v>289</v>
      </c>
      <c r="D294" s="221">
        <f>62.08+137.24+176.76+3664.1</f>
        <v>4040.18</v>
      </c>
      <c r="E294" s="221">
        <v>3.8418000000000001</v>
      </c>
      <c r="F294" s="236">
        <f t="shared" si="17"/>
        <v>15521.563523999999</v>
      </c>
      <c r="G294" s="223"/>
    </row>
    <row r="295" spans="1:7" s="204" customFormat="1" ht="15.75" x14ac:dyDescent="0.45">
      <c r="A295" s="215" t="s">
        <v>794</v>
      </c>
      <c r="B295" s="216" t="s">
        <v>45</v>
      </c>
      <c r="C295" s="216"/>
      <c r="D295" s="217"/>
      <c r="E295" s="217"/>
      <c r="F295" s="218">
        <f>SUM(F296:F303)</f>
        <v>1338682.46</v>
      </c>
      <c r="G295" s="219"/>
    </row>
    <row r="296" spans="1:7" s="204" customFormat="1" ht="15.75" x14ac:dyDescent="0.45">
      <c r="A296" s="225" t="s">
        <v>795</v>
      </c>
      <c r="B296" s="220" t="s">
        <v>796</v>
      </c>
      <c r="C296" s="220" t="s">
        <v>289</v>
      </c>
      <c r="D296" s="221">
        <f>D279</f>
        <v>3551.67</v>
      </c>
      <c r="E296" s="221">
        <v>40</v>
      </c>
      <c r="F296" s="236">
        <f t="shared" si="17"/>
        <v>142066.79999999999</v>
      </c>
      <c r="G296" s="223"/>
    </row>
    <row r="297" spans="1:7" s="204" customFormat="1" ht="15.75" x14ac:dyDescent="0.45">
      <c r="A297" s="225" t="s">
        <v>797</v>
      </c>
      <c r="B297" s="220" t="s">
        <v>798</v>
      </c>
      <c r="C297" s="220" t="s">
        <v>289</v>
      </c>
      <c r="D297" s="221">
        <f>D280</f>
        <v>126.91</v>
      </c>
      <c r="E297" s="221">
        <v>40</v>
      </c>
      <c r="F297" s="236">
        <f t="shared" si="17"/>
        <v>5076.3999999999996</v>
      </c>
      <c r="G297" s="223"/>
    </row>
    <row r="298" spans="1:7" s="204" customFormat="1" ht="15.75" x14ac:dyDescent="0.45">
      <c r="A298" s="225" t="s">
        <v>799</v>
      </c>
      <c r="B298" s="220" t="s">
        <v>800</v>
      </c>
      <c r="C298" s="220" t="s">
        <v>289</v>
      </c>
      <c r="D298" s="221">
        <f>D282</f>
        <v>444.68</v>
      </c>
      <c r="E298" s="221">
        <v>40</v>
      </c>
      <c r="F298" s="236">
        <f t="shared" si="17"/>
        <v>17787.2</v>
      </c>
      <c r="G298" s="223"/>
    </row>
    <row r="299" spans="1:7" s="204" customFormat="1" ht="15.75" x14ac:dyDescent="0.45">
      <c r="A299" s="225" t="s">
        <v>801</v>
      </c>
      <c r="B299" s="220" t="s">
        <v>802</v>
      </c>
      <c r="C299" s="220" t="s">
        <v>289</v>
      </c>
      <c r="D299" s="221">
        <f>D286</f>
        <v>16622.080000000002</v>
      </c>
      <c r="E299" s="221">
        <v>34</v>
      </c>
      <c r="F299" s="236">
        <f t="shared" si="17"/>
        <v>565150.72000000009</v>
      </c>
      <c r="G299" s="223"/>
    </row>
    <row r="300" spans="1:7" s="204" customFormat="1" ht="31.5" x14ac:dyDescent="0.45">
      <c r="A300" s="225" t="s">
        <v>803</v>
      </c>
      <c r="B300" s="220" t="s">
        <v>804</v>
      </c>
      <c r="C300" s="220" t="s">
        <v>289</v>
      </c>
      <c r="D300" s="221">
        <f>D287</f>
        <v>8604.16</v>
      </c>
      <c r="E300" s="221">
        <v>31</v>
      </c>
      <c r="F300" s="236">
        <f t="shared" si="17"/>
        <v>266728.96000000002</v>
      </c>
      <c r="G300" s="223"/>
    </row>
    <row r="301" spans="1:7" s="204" customFormat="1" ht="15.75" x14ac:dyDescent="0.45">
      <c r="A301" s="225" t="s">
        <v>805</v>
      </c>
      <c r="B301" s="220" t="s">
        <v>806</v>
      </c>
      <c r="C301" s="220" t="s">
        <v>289</v>
      </c>
      <c r="D301" s="221">
        <f>D293</f>
        <v>7004.3</v>
      </c>
      <c r="E301" s="221">
        <v>28</v>
      </c>
      <c r="F301" s="236">
        <f t="shared" si="17"/>
        <v>196120.4</v>
      </c>
      <c r="G301" s="223"/>
    </row>
    <row r="302" spans="1:7" s="204" customFormat="1" ht="15.75" x14ac:dyDescent="0.45">
      <c r="A302" s="225" t="s">
        <v>807</v>
      </c>
      <c r="B302" s="220" t="s">
        <v>808</v>
      </c>
      <c r="C302" s="220" t="s">
        <v>289</v>
      </c>
      <c r="D302" s="221">
        <f>D294</f>
        <v>4040.18</v>
      </c>
      <c r="E302" s="221">
        <v>31</v>
      </c>
      <c r="F302" s="236">
        <f t="shared" si="17"/>
        <v>125245.58</v>
      </c>
      <c r="G302" s="223"/>
    </row>
    <row r="303" spans="1:7" s="204" customFormat="1" ht="15.75" x14ac:dyDescent="0.45">
      <c r="A303" s="225" t="s">
        <v>809</v>
      </c>
      <c r="B303" s="220" t="s">
        <v>810</v>
      </c>
      <c r="C303" s="220" t="s">
        <v>289</v>
      </c>
      <c r="D303" s="221">
        <f>D281</f>
        <v>512.66</v>
      </c>
      <c r="E303" s="221">
        <v>40</v>
      </c>
      <c r="F303" s="236">
        <f t="shared" si="17"/>
        <v>20506.399999999998</v>
      </c>
      <c r="G303" s="223"/>
    </row>
    <row r="304" spans="1:7" s="204" customFormat="1" ht="15.75" x14ac:dyDescent="0.45">
      <c r="A304" s="215" t="s">
        <v>811</v>
      </c>
      <c r="B304" s="216" t="s">
        <v>384</v>
      </c>
      <c r="C304" s="216"/>
      <c r="D304" s="217"/>
      <c r="E304" s="217"/>
      <c r="F304" s="218">
        <f>F305</f>
        <v>34200.75</v>
      </c>
      <c r="G304" s="219"/>
    </row>
    <row r="305" spans="1:7" s="204" customFormat="1" ht="15.75" x14ac:dyDescent="0.45">
      <c r="A305" s="225" t="s">
        <v>812</v>
      </c>
      <c r="B305" s="220" t="s">
        <v>384</v>
      </c>
      <c r="C305" s="220" t="s">
        <v>285</v>
      </c>
      <c r="D305" s="221">
        <v>1</v>
      </c>
      <c r="E305" s="221">
        <v>34200.75</v>
      </c>
      <c r="F305" s="236">
        <f t="shared" si="17"/>
        <v>34200.75</v>
      </c>
      <c r="G305" s="223"/>
    </row>
    <row r="306" spans="1:7" s="204" customFormat="1" ht="12.75" customHeight="1" x14ac:dyDescent="0.45">
      <c r="A306" s="205" t="s">
        <v>813</v>
      </c>
      <c r="B306" s="206" t="s">
        <v>814</v>
      </c>
      <c r="C306" s="206"/>
      <c r="D306" s="207"/>
      <c r="E306" s="207"/>
      <c r="F306" s="208">
        <f>F307+F322+F341+F352</f>
        <v>3063178.7750999997</v>
      </c>
      <c r="G306" s="209"/>
    </row>
    <row r="307" spans="1:7" s="204" customFormat="1" ht="12.75" customHeight="1" x14ac:dyDescent="0.45">
      <c r="A307" s="210" t="s">
        <v>815</v>
      </c>
      <c r="B307" s="211" t="s">
        <v>816</v>
      </c>
      <c r="C307" s="211"/>
      <c r="D307" s="212"/>
      <c r="E307" s="212"/>
      <c r="F307" s="213">
        <f>F308+F310+F313+F316+F318+F320</f>
        <v>1983926.5667999999</v>
      </c>
      <c r="G307" s="214"/>
    </row>
    <row r="308" spans="1:7" s="204" customFormat="1" ht="12.75" customHeight="1" x14ac:dyDescent="0.45">
      <c r="A308" s="215" t="s">
        <v>817</v>
      </c>
      <c r="B308" s="216" t="s">
        <v>818</v>
      </c>
      <c r="C308" s="216"/>
      <c r="D308" s="217"/>
      <c r="E308" s="217"/>
      <c r="F308" s="218">
        <f>F309</f>
        <v>313659.91250000003</v>
      </c>
      <c r="G308" s="219"/>
    </row>
    <row r="309" spans="1:7" s="204" customFormat="1" ht="12.75" customHeight="1" x14ac:dyDescent="0.45">
      <c r="A309" s="225" t="s">
        <v>819</v>
      </c>
      <c r="B309" s="220" t="s">
        <v>820</v>
      </c>
      <c r="C309" s="220" t="s">
        <v>288</v>
      </c>
      <c r="D309" s="221">
        <v>4959.05</v>
      </c>
      <c r="E309" s="221">
        <v>63.25</v>
      </c>
      <c r="F309" s="236">
        <f t="shared" ref="F309" si="18">E309*D309</f>
        <v>313659.91250000003</v>
      </c>
      <c r="G309" s="223"/>
    </row>
    <row r="310" spans="1:7" s="204" customFormat="1" ht="12.75" customHeight="1" x14ac:dyDescent="0.45">
      <c r="A310" s="215" t="s">
        <v>821</v>
      </c>
      <c r="B310" s="216" t="s">
        <v>822</v>
      </c>
      <c r="C310" s="216"/>
      <c r="D310" s="217"/>
      <c r="E310" s="217"/>
      <c r="F310" s="218">
        <f>F311+F312</f>
        <v>935673.43</v>
      </c>
      <c r="G310" s="219"/>
    </row>
    <row r="311" spans="1:7" s="204" customFormat="1" ht="16.5" customHeight="1" x14ac:dyDescent="0.45">
      <c r="A311" s="225" t="s">
        <v>823</v>
      </c>
      <c r="B311" s="220" t="s">
        <v>824</v>
      </c>
      <c r="C311" s="220" t="s">
        <v>289</v>
      </c>
      <c r="D311" s="221">
        <v>1781</v>
      </c>
      <c r="E311" s="221">
        <v>513.70000000000005</v>
      </c>
      <c r="F311" s="236">
        <f>E311*D311</f>
        <v>914899.70000000007</v>
      </c>
      <c r="G311" s="223"/>
    </row>
    <row r="312" spans="1:7" s="204" customFormat="1" ht="16.5" customHeight="1" x14ac:dyDescent="0.45">
      <c r="A312" s="225" t="s">
        <v>825</v>
      </c>
      <c r="B312" s="220" t="s">
        <v>826</v>
      </c>
      <c r="C312" s="220" t="s">
        <v>417</v>
      </c>
      <c r="D312" s="221">
        <v>1</v>
      </c>
      <c r="E312" s="221">
        <v>20773.73</v>
      </c>
      <c r="F312" s="236">
        <f>E312*D312</f>
        <v>20773.73</v>
      </c>
      <c r="G312" s="223"/>
    </row>
    <row r="313" spans="1:7" s="204" customFormat="1" ht="15.75" x14ac:dyDescent="0.45">
      <c r="A313" s="215" t="s">
        <v>827</v>
      </c>
      <c r="B313" s="216" t="s">
        <v>828</v>
      </c>
      <c r="C313" s="216"/>
      <c r="D313" s="217"/>
      <c r="E313" s="217"/>
      <c r="F313" s="218">
        <f>F314+F315</f>
        <v>357905.04240000003</v>
      </c>
      <c r="G313" s="219"/>
    </row>
    <row r="314" spans="1:7" s="204" customFormat="1" ht="15.75" x14ac:dyDescent="0.45">
      <c r="A314" s="225" t="s">
        <v>829</v>
      </c>
      <c r="B314" s="220" t="s">
        <v>830</v>
      </c>
      <c r="C314" s="220" t="s">
        <v>289</v>
      </c>
      <c r="D314" s="221">
        <v>407.56</v>
      </c>
      <c r="E314" s="221">
        <v>727.37</v>
      </c>
      <c r="F314" s="236">
        <f>E314*D314</f>
        <v>296446.91720000003</v>
      </c>
      <c r="G314" s="223"/>
    </row>
    <row r="315" spans="1:7" s="204" customFormat="1" ht="15.75" x14ac:dyDescent="0.45">
      <c r="A315" s="225" t="s">
        <v>831</v>
      </c>
      <c r="B315" s="220" t="s">
        <v>832</v>
      </c>
      <c r="C315" s="220" t="s">
        <v>289</v>
      </c>
      <c r="D315" s="221">
        <v>91.54</v>
      </c>
      <c r="E315" s="221">
        <v>671.38</v>
      </c>
      <c r="F315" s="236">
        <f>E315*D315</f>
        <v>61458.125200000002</v>
      </c>
      <c r="G315" s="223"/>
    </row>
    <row r="316" spans="1:7" s="204" customFormat="1" ht="15.75" x14ac:dyDescent="0.45">
      <c r="A316" s="215" t="s">
        <v>833</v>
      </c>
      <c r="B316" s="216" t="s">
        <v>834</v>
      </c>
      <c r="C316" s="216"/>
      <c r="D316" s="217"/>
      <c r="E316" s="217"/>
      <c r="F316" s="218">
        <f>F317</f>
        <v>156622.9185</v>
      </c>
      <c r="G316" s="219"/>
    </row>
    <row r="317" spans="1:7" s="204" customFormat="1" ht="15.75" x14ac:dyDescent="0.45">
      <c r="A317" s="225" t="s">
        <v>835</v>
      </c>
      <c r="B317" s="220" t="s">
        <v>836</v>
      </c>
      <c r="C317" s="220" t="s">
        <v>289</v>
      </c>
      <c r="D317" s="221">
        <f>31.87+210</f>
        <v>241.87</v>
      </c>
      <c r="E317" s="221">
        <v>647.54999999999995</v>
      </c>
      <c r="F317" s="236">
        <f t="shared" ref="F317" si="19">E317*D317</f>
        <v>156622.9185</v>
      </c>
      <c r="G317" s="223"/>
    </row>
    <row r="318" spans="1:7" s="204" customFormat="1" ht="15.75" x14ac:dyDescent="0.45">
      <c r="A318" s="215" t="s">
        <v>833</v>
      </c>
      <c r="B318" s="216" t="s">
        <v>837</v>
      </c>
      <c r="C318" s="216"/>
      <c r="D318" s="217"/>
      <c r="E318" s="217"/>
      <c r="F318" s="218">
        <f>F319</f>
        <v>128322.83839999999</v>
      </c>
      <c r="G318" s="219"/>
    </row>
    <row r="319" spans="1:7" s="204" customFormat="1" ht="15.75" x14ac:dyDescent="0.45">
      <c r="A319" s="225" t="s">
        <v>835</v>
      </c>
      <c r="B319" s="220" t="s">
        <v>838</v>
      </c>
      <c r="C319" s="220" t="s">
        <v>289</v>
      </c>
      <c r="D319" s="221">
        <v>204.91</v>
      </c>
      <c r="E319" s="221">
        <v>626.24</v>
      </c>
      <c r="F319" s="236">
        <f t="shared" ref="F319" si="20">E319*D319</f>
        <v>128322.83839999999</v>
      </c>
      <c r="G319" s="223"/>
    </row>
    <row r="320" spans="1:7" s="204" customFormat="1" ht="15.75" x14ac:dyDescent="0.45">
      <c r="A320" s="215" t="s">
        <v>839</v>
      </c>
      <c r="B320" s="216" t="s">
        <v>45</v>
      </c>
      <c r="C320" s="216"/>
      <c r="D320" s="217"/>
      <c r="E320" s="217"/>
      <c r="F320" s="218">
        <f>F321</f>
        <v>91742.425000000003</v>
      </c>
      <c r="G320" s="219"/>
    </row>
    <row r="321" spans="1:7" s="204" customFormat="1" ht="15.75" x14ac:dyDescent="0.45">
      <c r="A321" s="225" t="s">
        <v>840</v>
      </c>
      <c r="B321" s="220" t="s">
        <v>841</v>
      </c>
      <c r="C321" s="220" t="s">
        <v>288</v>
      </c>
      <c r="D321" s="221">
        <f>D309</f>
        <v>4959.05</v>
      </c>
      <c r="E321" s="221">
        <v>18.5</v>
      </c>
      <c r="F321" s="236">
        <f t="shared" ref="F321" si="21">E321*D321</f>
        <v>91742.425000000003</v>
      </c>
      <c r="G321" s="223"/>
    </row>
    <row r="322" spans="1:7" s="204" customFormat="1" ht="15.75" x14ac:dyDescent="0.45">
      <c r="A322" s="210" t="s">
        <v>842</v>
      </c>
      <c r="B322" s="211" t="s">
        <v>843</v>
      </c>
      <c r="C322" s="211"/>
      <c r="D322" s="212"/>
      <c r="E322" s="212"/>
      <c r="F322" s="213">
        <f>F323+F332+F334+F339</f>
        <v>884363.3703999999</v>
      </c>
      <c r="G322" s="214"/>
    </row>
    <row r="323" spans="1:7" s="204" customFormat="1" ht="15.75" x14ac:dyDescent="0.45">
      <c r="A323" s="215" t="s">
        <v>844</v>
      </c>
      <c r="B323" s="216" t="s">
        <v>845</v>
      </c>
      <c r="C323" s="216"/>
      <c r="D323" s="217"/>
      <c r="E323" s="217"/>
      <c r="F323" s="218">
        <f>SUM(F324:F331)</f>
        <v>673194.84539999987</v>
      </c>
      <c r="G323" s="219"/>
    </row>
    <row r="324" spans="1:7" s="204" customFormat="1" ht="31.5" x14ac:dyDescent="0.45">
      <c r="A324" s="225" t="s">
        <v>846</v>
      </c>
      <c r="B324" s="220" t="s">
        <v>847</v>
      </c>
      <c r="C324" s="220" t="s">
        <v>417</v>
      </c>
      <c r="D324" s="221">
        <v>175</v>
      </c>
      <c r="E324" s="221">
        <v>1199.4503</v>
      </c>
      <c r="F324" s="236">
        <f t="shared" ref="F324:F331" si="22">E324*D324</f>
        <v>209903.80249999999</v>
      </c>
      <c r="G324" s="223"/>
    </row>
    <row r="325" spans="1:7" s="204" customFormat="1" ht="31.5" x14ac:dyDescent="0.45">
      <c r="A325" s="225" t="s">
        <v>848</v>
      </c>
      <c r="B325" s="220" t="s">
        <v>849</v>
      </c>
      <c r="C325" s="220" t="s">
        <v>417</v>
      </c>
      <c r="D325" s="221">
        <v>180</v>
      </c>
      <c r="E325" s="221">
        <v>1271.4503</v>
      </c>
      <c r="F325" s="236">
        <f t="shared" si="22"/>
        <v>228861.054</v>
      </c>
      <c r="G325" s="223"/>
    </row>
    <row r="326" spans="1:7" s="204" customFormat="1" ht="31.5" x14ac:dyDescent="0.45">
      <c r="A326" s="225" t="s">
        <v>850</v>
      </c>
      <c r="B326" s="220" t="s">
        <v>851</v>
      </c>
      <c r="C326" s="220" t="s">
        <v>417</v>
      </c>
      <c r="D326" s="221">
        <v>83</v>
      </c>
      <c r="E326" s="221">
        <v>1311.4503</v>
      </c>
      <c r="F326" s="236">
        <f t="shared" si="22"/>
        <v>108850.3749</v>
      </c>
      <c r="G326" s="223"/>
    </row>
    <row r="327" spans="1:7" s="204" customFormat="1" ht="31.5" x14ac:dyDescent="0.45">
      <c r="A327" s="225" t="s">
        <v>852</v>
      </c>
      <c r="B327" s="220" t="s">
        <v>853</v>
      </c>
      <c r="C327" s="220" t="s">
        <v>417</v>
      </c>
      <c r="D327" s="221">
        <v>4</v>
      </c>
      <c r="E327" s="221">
        <v>1493.1303</v>
      </c>
      <c r="F327" s="236">
        <f t="shared" si="22"/>
        <v>5972.5212000000001</v>
      </c>
      <c r="G327" s="223"/>
    </row>
    <row r="328" spans="1:7" s="204" customFormat="1" ht="31.5" x14ac:dyDescent="0.45">
      <c r="A328" s="225" t="s">
        <v>854</v>
      </c>
      <c r="B328" s="220" t="s">
        <v>855</v>
      </c>
      <c r="C328" s="220" t="s">
        <v>417</v>
      </c>
      <c r="D328" s="221">
        <v>1</v>
      </c>
      <c r="E328" s="221">
        <v>1727.2602999999999</v>
      </c>
      <c r="F328" s="236">
        <f t="shared" si="22"/>
        <v>1727.2602999999999</v>
      </c>
      <c r="G328" s="223"/>
    </row>
    <row r="329" spans="1:7" s="204" customFormat="1" ht="31.5" x14ac:dyDescent="0.45">
      <c r="A329" s="225" t="s">
        <v>856</v>
      </c>
      <c r="B329" s="220" t="s">
        <v>857</v>
      </c>
      <c r="C329" s="220" t="s">
        <v>417</v>
      </c>
      <c r="D329" s="221">
        <v>75</v>
      </c>
      <c r="E329" s="221">
        <v>1506.0102999999999</v>
      </c>
      <c r="F329" s="236">
        <f t="shared" si="22"/>
        <v>112950.77249999999</v>
      </c>
      <c r="G329" s="223"/>
    </row>
    <row r="330" spans="1:7" s="204" customFormat="1" ht="15.75" x14ac:dyDescent="0.45">
      <c r="A330" s="225" t="s">
        <v>858</v>
      </c>
      <c r="B330" s="220" t="s">
        <v>859</v>
      </c>
      <c r="C330" s="220" t="s">
        <v>417</v>
      </c>
      <c r="D330" s="221">
        <v>1</v>
      </c>
      <c r="E330" s="221">
        <v>2724.53</v>
      </c>
      <c r="F330" s="236">
        <f t="shared" si="22"/>
        <v>2724.53</v>
      </c>
      <c r="G330" s="223"/>
    </row>
    <row r="331" spans="1:7" s="204" customFormat="1" ht="15.75" x14ac:dyDescent="0.45">
      <c r="A331" s="225" t="s">
        <v>860</v>
      </c>
      <c r="B331" s="220" t="s">
        <v>861</v>
      </c>
      <c r="C331" s="220" t="s">
        <v>417</v>
      </c>
      <c r="D331" s="221">
        <v>1</v>
      </c>
      <c r="E331" s="221">
        <v>2204.5300000000002</v>
      </c>
      <c r="F331" s="236">
        <f t="shared" si="22"/>
        <v>2204.5300000000002</v>
      </c>
      <c r="G331" s="223"/>
    </row>
    <row r="332" spans="1:7" s="204" customFormat="1" ht="15.75" x14ac:dyDescent="0.45">
      <c r="A332" s="215" t="s">
        <v>862</v>
      </c>
      <c r="B332" s="216" t="s">
        <v>863</v>
      </c>
      <c r="C332" s="216"/>
      <c r="D332" s="232"/>
      <c r="E332" s="217"/>
      <c r="F332" s="218">
        <f>F333</f>
        <v>18358.724999999999</v>
      </c>
      <c r="G332" s="219"/>
    </row>
    <row r="333" spans="1:7" s="204" customFormat="1" ht="15.75" x14ac:dyDescent="0.45">
      <c r="A333" s="225" t="s">
        <v>864</v>
      </c>
      <c r="B333" s="220" t="s">
        <v>865</v>
      </c>
      <c r="C333" s="220" t="s">
        <v>288</v>
      </c>
      <c r="D333" s="221">
        <v>303.45</v>
      </c>
      <c r="E333" s="221">
        <v>60.5</v>
      </c>
      <c r="F333" s="236">
        <f t="shared" ref="F333" si="23">E333*D333</f>
        <v>18358.724999999999</v>
      </c>
      <c r="G333" s="223"/>
    </row>
    <row r="334" spans="1:7" s="204" customFormat="1" ht="15.75" x14ac:dyDescent="0.45">
      <c r="A334" s="215" t="s">
        <v>866</v>
      </c>
      <c r="B334" s="216" t="s">
        <v>867</v>
      </c>
      <c r="C334" s="216"/>
      <c r="D334" s="232"/>
      <c r="E334" s="217"/>
      <c r="F334" s="218">
        <f>SUM(F335:F338)</f>
        <v>125209.79999999999</v>
      </c>
      <c r="G334" s="219"/>
    </row>
    <row r="335" spans="1:7" s="204" customFormat="1" ht="15.75" x14ac:dyDescent="0.45">
      <c r="A335" s="225" t="s">
        <v>868</v>
      </c>
      <c r="B335" s="220" t="s">
        <v>869</v>
      </c>
      <c r="C335" s="220" t="s">
        <v>870</v>
      </c>
      <c r="D335" s="221">
        <f>D325+D327+D328</f>
        <v>185</v>
      </c>
      <c r="E335" s="221">
        <v>320.64</v>
      </c>
      <c r="F335" s="236">
        <f t="shared" ref="F335:F338" si="24">E335*D335</f>
        <v>59318.399999999994</v>
      </c>
      <c r="G335" s="223"/>
    </row>
    <row r="336" spans="1:7" s="204" customFormat="1" ht="15.75" x14ac:dyDescent="0.45">
      <c r="A336" s="225" t="s">
        <v>871</v>
      </c>
      <c r="B336" s="220" t="s">
        <v>872</v>
      </c>
      <c r="C336" s="220" t="s">
        <v>870</v>
      </c>
      <c r="D336" s="221">
        <f>D326+D330+D331</f>
        <v>85</v>
      </c>
      <c r="E336" s="221">
        <v>320.64</v>
      </c>
      <c r="F336" s="236">
        <f t="shared" si="24"/>
        <v>27254.399999999998</v>
      </c>
      <c r="G336" s="223"/>
    </row>
    <row r="337" spans="1:7" s="204" customFormat="1" ht="15.75" x14ac:dyDescent="0.45">
      <c r="A337" s="225" t="s">
        <v>873</v>
      </c>
      <c r="B337" s="220" t="s">
        <v>874</v>
      </c>
      <c r="C337" s="220" t="s">
        <v>870</v>
      </c>
      <c r="D337" s="221">
        <f>D324</f>
        <v>175</v>
      </c>
      <c r="E337" s="221">
        <v>71.64</v>
      </c>
      <c r="F337" s="236">
        <f t="shared" si="24"/>
        <v>12537</v>
      </c>
      <c r="G337" s="223"/>
    </row>
    <row r="338" spans="1:7" s="204" customFormat="1" ht="15.75" x14ac:dyDescent="0.45">
      <c r="A338" s="225" t="s">
        <v>875</v>
      </c>
      <c r="B338" s="220" t="s">
        <v>876</v>
      </c>
      <c r="C338" s="220" t="s">
        <v>870</v>
      </c>
      <c r="D338" s="221">
        <f>D329</f>
        <v>75</v>
      </c>
      <c r="E338" s="221">
        <v>348</v>
      </c>
      <c r="F338" s="236">
        <f t="shared" si="24"/>
        <v>26100</v>
      </c>
      <c r="G338" s="223"/>
    </row>
    <row r="339" spans="1:7" s="204" customFormat="1" ht="15.75" x14ac:dyDescent="0.45">
      <c r="A339" s="215" t="s">
        <v>877</v>
      </c>
      <c r="B339" s="216" t="s">
        <v>45</v>
      </c>
      <c r="C339" s="216"/>
      <c r="D339" s="232"/>
      <c r="E339" s="217"/>
      <c r="F339" s="218">
        <f>F340</f>
        <v>67600</v>
      </c>
      <c r="G339" s="219"/>
    </row>
    <row r="340" spans="1:7" s="204" customFormat="1" ht="15.75" x14ac:dyDescent="0.45">
      <c r="A340" s="225" t="s">
        <v>878</v>
      </c>
      <c r="B340" s="220" t="s">
        <v>879</v>
      </c>
      <c r="C340" s="220" t="s">
        <v>417</v>
      </c>
      <c r="D340" s="221">
        <f>SUM(D324:D331)</f>
        <v>520</v>
      </c>
      <c r="E340" s="221">
        <v>130</v>
      </c>
      <c r="F340" s="236">
        <f t="shared" ref="F340" si="25">E340*D340</f>
        <v>67600</v>
      </c>
      <c r="G340" s="223"/>
    </row>
    <row r="341" spans="1:7" s="204" customFormat="1" ht="15.75" x14ac:dyDescent="0.45">
      <c r="A341" s="210" t="s">
        <v>880</v>
      </c>
      <c r="B341" s="211" t="s">
        <v>881</v>
      </c>
      <c r="C341" s="211"/>
      <c r="D341" s="234"/>
      <c r="E341" s="212"/>
      <c r="F341" s="213">
        <f>F342+F346</f>
        <v>138806.18790000002</v>
      </c>
      <c r="G341" s="214"/>
    </row>
    <row r="342" spans="1:7" s="204" customFormat="1" ht="15.75" x14ac:dyDescent="0.45">
      <c r="A342" s="215" t="s">
        <v>882</v>
      </c>
      <c r="B342" s="216" t="s">
        <v>883</v>
      </c>
      <c r="C342" s="216"/>
      <c r="D342" s="232"/>
      <c r="E342" s="217"/>
      <c r="F342" s="218">
        <f>SUM(F343:F345)</f>
        <v>76118.58</v>
      </c>
      <c r="G342" s="219"/>
    </row>
    <row r="343" spans="1:7" s="204" customFormat="1" ht="15.75" x14ac:dyDescent="0.45">
      <c r="A343" s="225" t="s">
        <v>884</v>
      </c>
      <c r="B343" s="220" t="s">
        <v>885</v>
      </c>
      <c r="C343" s="220" t="s">
        <v>289</v>
      </c>
      <c r="D343" s="221">
        <v>3</v>
      </c>
      <c r="E343" s="221">
        <f>E315</f>
        <v>671.38</v>
      </c>
      <c r="F343" s="236">
        <f t="shared" ref="F343:F345" si="26">E343*D343</f>
        <v>2014.1399999999999</v>
      </c>
      <c r="G343" s="224"/>
    </row>
    <row r="344" spans="1:7" s="204" customFormat="1" ht="15.75" x14ac:dyDescent="0.45">
      <c r="A344" s="225" t="s">
        <v>886</v>
      </c>
      <c r="B344" s="220" t="s">
        <v>887</v>
      </c>
      <c r="C344" s="220" t="s">
        <v>417</v>
      </c>
      <c r="D344" s="221">
        <v>46</v>
      </c>
      <c r="E344" s="221">
        <v>1569.69</v>
      </c>
      <c r="F344" s="236">
        <f t="shared" si="26"/>
        <v>72205.740000000005</v>
      </c>
      <c r="G344" s="223"/>
    </row>
    <row r="345" spans="1:7" s="204" customFormat="1" ht="15.75" x14ac:dyDescent="0.45">
      <c r="A345" s="225" t="s">
        <v>888</v>
      </c>
      <c r="B345" s="220" t="s">
        <v>1011</v>
      </c>
      <c r="C345" s="220" t="s">
        <v>417</v>
      </c>
      <c r="D345" s="221">
        <v>1</v>
      </c>
      <c r="E345" s="221">
        <v>1898.7</v>
      </c>
      <c r="F345" s="236">
        <f t="shared" si="26"/>
        <v>1898.7</v>
      </c>
      <c r="G345" s="224"/>
    </row>
    <row r="346" spans="1:7" s="204" customFormat="1" ht="11.25" customHeight="1" x14ac:dyDescent="0.45">
      <c r="A346" s="215" t="s">
        <v>889</v>
      </c>
      <c r="B346" s="216" t="s">
        <v>890</v>
      </c>
      <c r="C346" s="216"/>
      <c r="D346" s="232"/>
      <c r="E346" s="217"/>
      <c r="F346" s="218">
        <f>SUM(F347:F351)</f>
        <v>62687.607900000003</v>
      </c>
      <c r="G346" s="219"/>
    </row>
    <row r="347" spans="1:7" s="204" customFormat="1" ht="15.75" x14ac:dyDescent="0.45">
      <c r="A347" s="225" t="s">
        <v>891</v>
      </c>
      <c r="B347" s="220" t="s">
        <v>892</v>
      </c>
      <c r="C347" s="220" t="s">
        <v>417</v>
      </c>
      <c r="D347" s="221">
        <v>13</v>
      </c>
      <c r="E347" s="221">
        <v>69.230800000000002</v>
      </c>
      <c r="F347" s="236">
        <f t="shared" ref="F347:F351" si="27">E347*D347</f>
        <v>900.00040000000001</v>
      </c>
      <c r="G347" s="226">
        <f>(F346)/$G$3</f>
        <v>4.6662389973716509</v>
      </c>
    </row>
    <row r="348" spans="1:7" s="204" customFormat="1" ht="15.75" x14ac:dyDescent="0.45">
      <c r="A348" s="225" t="s">
        <v>893</v>
      </c>
      <c r="B348" s="220" t="s">
        <v>894</v>
      </c>
      <c r="C348" s="220" t="s">
        <v>417</v>
      </c>
      <c r="D348" s="221">
        <v>2</v>
      </c>
      <c r="E348" s="221">
        <v>480</v>
      </c>
      <c r="F348" s="236">
        <f t="shared" si="27"/>
        <v>960</v>
      </c>
      <c r="G348" s="223"/>
    </row>
    <row r="349" spans="1:7" s="204" customFormat="1" ht="15.75" x14ac:dyDescent="0.45">
      <c r="A349" s="225" t="s">
        <v>895</v>
      </c>
      <c r="B349" s="220" t="s">
        <v>896</v>
      </c>
      <c r="C349" s="220" t="s">
        <v>417</v>
      </c>
      <c r="D349" s="221">
        <v>4</v>
      </c>
      <c r="E349" s="221">
        <v>249.5</v>
      </c>
      <c r="F349" s="236">
        <f t="shared" si="27"/>
        <v>998</v>
      </c>
      <c r="G349" s="223"/>
    </row>
    <row r="350" spans="1:7" s="204" customFormat="1" ht="15.75" x14ac:dyDescent="0.45">
      <c r="A350" s="225" t="s">
        <v>897</v>
      </c>
      <c r="B350" s="220" t="s">
        <v>898</v>
      </c>
      <c r="C350" s="220" t="s">
        <v>288</v>
      </c>
      <c r="D350" s="221">
        <v>60.05</v>
      </c>
      <c r="E350" s="221">
        <v>252.15</v>
      </c>
      <c r="F350" s="236">
        <f t="shared" si="27"/>
        <v>15141.6075</v>
      </c>
      <c r="G350" s="223"/>
    </row>
    <row r="351" spans="1:7" s="204" customFormat="1" ht="15.75" x14ac:dyDescent="0.45">
      <c r="A351" s="225" t="s">
        <v>899</v>
      </c>
      <c r="B351" s="220" t="s">
        <v>900</v>
      </c>
      <c r="C351" s="220" t="s">
        <v>285</v>
      </c>
      <c r="D351" s="221">
        <v>1</v>
      </c>
      <c r="E351" s="221">
        <v>44688</v>
      </c>
      <c r="F351" s="236">
        <f t="shared" si="27"/>
        <v>44688</v>
      </c>
      <c r="G351" s="223"/>
    </row>
    <row r="352" spans="1:7" s="204" customFormat="1" ht="15.75" x14ac:dyDescent="0.45">
      <c r="A352" s="210" t="s">
        <v>901</v>
      </c>
      <c r="B352" s="211" t="s">
        <v>595</v>
      </c>
      <c r="C352" s="211"/>
      <c r="D352" s="234"/>
      <c r="E352" s="212"/>
      <c r="F352" s="213">
        <f>F353</f>
        <v>56082.65</v>
      </c>
      <c r="G352" s="214"/>
    </row>
    <row r="353" spans="1:7" s="204" customFormat="1" ht="15.75" x14ac:dyDescent="0.45">
      <c r="A353" s="215" t="s">
        <v>902</v>
      </c>
      <c r="B353" s="216" t="s">
        <v>384</v>
      </c>
      <c r="C353" s="216"/>
      <c r="D353" s="232"/>
      <c r="E353" s="217"/>
      <c r="F353" s="218">
        <f>F354</f>
        <v>56082.65</v>
      </c>
      <c r="G353" s="219"/>
    </row>
    <row r="354" spans="1:7" s="204" customFormat="1" ht="15.75" x14ac:dyDescent="0.45">
      <c r="A354" s="225" t="s">
        <v>903</v>
      </c>
      <c r="B354" s="220" t="s">
        <v>384</v>
      </c>
      <c r="C354" s="220" t="s">
        <v>285</v>
      </c>
      <c r="D354" s="221">
        <v>1</v>
      </c>
      <c r="E354" s="221">
        <v>56082.65</v>
      </c>
      <c r="F354" s="236">
        <f t="shared" ref="F354" si="28">E354*D354</f>
        <v>56082.65</v>
      </c>
      <c r="G354" s="223"/>
    </row>
    <row r="355" spans="1:7" s="204" customFormat="1" ht="15.75" x14ac:dyDescent="0.45">
      <c r="A355" s="205" t="s">
        <v>904</v>
      </c>
      <c r="B355" s="206" t="s">
        <v>905</v>
      </c>
      <c r="C355" s="206"/>
      <c r="D355" s="233"/>
      <c r="E355" s="207"/>
      <c r="F355" s="208">
        <f>F356</f>
        <v>413329.74024000001</v>
      </c>
      <c r="G355" s="209">
        <f>F355/$G$3</f>
        <v>30.766772210515033</v>
      </c>
    </row>
    <row r="356" spans="1:7" s="204" customFormat="1" ht="15.75" x14ac:dyDescent="0.45">
      <c r="A356" s="210" t="s">
        <v>906</v>
      </c>
      <c r="B356" s="211" t="s">
        <v>905</v>
      </c>
      <c r="C356" s="211"/>
      <c r="D356" s="234"/>
      <c r="E356" s="212"/>
      <c r="F356" s="213">
        <f>F357+F359+F361+F363+F365</f>
        <v>413329.74024000001</v>
      </c>
      <c r="G356" s="214"/>
    </row>
    <row r="357" spans="1:7" s="204" customFormat="1" ht="15.75" x14ac:dyDescent="0.45">
      <c r="A357" s="215" t="s">
        <v>907</v>
      </c>
      <c r="B357" s="216" t="s">
        <v>908</v>
      </c>
      <c r="C357" s="216"/>
      <c r="D357" s="232"/>
      <c r="E357" s="217"/>
      <c r="F357" s="218">
        <f>F358</f>
        <v>270509.3</v>
      </c>
      <c r="G357" s="219"/>
    </row>
    <row r="358" spans="1:7" s="204" customFormat="1" ht="15.75" x14ac:dyDescent="0.45">
      <c r="A358" s="225" t="s">
        <v>909</v>
      </c>
      <c r="B358" s="220" t="s">
        <v>910</v>
      </c>
      <c r="C358" s="220" t="s">
        <v>285</v>
      </c>
      <c r="D358" s="221">
        <v>1</v>
      </c>
      <c r="E358" s="221">
        <v>270509.3</v>
      </c>
      <c r="F358" s="236">
        <f>E358*D358</f>
        <v>270509.3</v>
      </c>
      <c r="G358" s="223"/>
    </row>
    <row r="359" spans="1:7" s="204" customFormat="1" ht="12.75" customHeight="1" x14ac:dyDescent="0.45">
      <c r="A359" s="215" t="s">
        <v>911</v>
      </c>
      <c r="B359" s="216" t="s">
        <v>912</v>
      </c>
      <c r="C359" s="216"/>
      <c r="D359" s="232"/>
      <c r="E359" s="217"/>
      <c r="F359" s="218">
        <f>F360</f>
        <v>50561.82</v>
      </c>
      <c r="G359" s="219"/>
    </row>
    <row r="360" spans="1:7" s="204" customFormat="1" ht="11.25" customHeight="1" x14ac:dyDescent="0.45">
      <c r="A360" s="225" t="s">
        <v>913</v>
      </c>
      <c r="B360" s="220" t="s">
        <v>914</v>
      </c>
      <c r="C360" s="220" t="s">
        <v>285</v>
      </c>
      <c r="D360" s="221">
        <v>1</v>
      </c>
      <c r="E360" s="221">
        <v>50561.82</v>
      </c>
      <c r="F360" s="236">
        <f>E360*D360</f>
        <v>50561.82</v>
      </c>
      <c r="G360" s="223"/>
    </row>
    <row r="361" spans="1:7" s="204" customFormat="1" ht="15.75" x14ac:dyDescent="0.45">
      <c r="A361" s="215" t="s">
        <v>915</v>
      </c>
      <c r="B361" s="216" t="s">
        <v>916</v>
      </c>
      <c r="C361" s="216"/>
      <c r="D361" s="232"/>
      <c r="E361" s="217"/>
      <c r="F361" s="218">
        <f>F362</f>
        <v>4085.3702399999997</v>
      </c>
      <c r="G361" s="219"/>
    </row>
    <row r="362" spans="1:7" s="204" customFormat="1" ht="12.75" customHeight="1" x14ac:dyDescent="0.45">
      <c r="A362" s="225" t="s">
        <v>917</v>
      </c>
      <c r="B362" s="220" t="s">
        <v>918</v>
      </c>
      <c r="C362" s="220" t="s">
        <v>289</v>
      </c>
      <c r="D362" s="221">
        <v>7.88</v>
      </c>
      <c r="E362" s="204">
        <v>518.44799999999998</v>
      </c>
      <c r="F362" s="236">
        <f>E362*D362</f>
        <v>4085.3702399999997</v>
      </c>
      <c r="G362" s="223"/>
    </row>
    <row r="363" spans="1:7" s="204" customFormat="1" ht="11.25" customHeight="1" x14ac:dyDescent="0.45">
      <c r="A363" s="215" t="s">
        <v>919</v>
      </c>
      <c r="B363" s="216" t="s">
        <v>45</v>
      </c>
      <c r="C363" s="216"/>
      <c r="D363" s="232"/>
      <c r="E363" s="217"/>
      <c r="F363" s="218">
        <f>F364</f>
        <v>80605.740000000005</v>
      </c>
      <c r="G363" s="219"/>
    </row>
    <row r="364" spans="1:7" s="204" customFormat="1" ht="15.75" x14ac:dyDescent="0.45">
      <c r="A364" s="225" t="s">
        <v>920</v>
      </c>
      <c r="B364" s="220" t="s">
        <v>921</v>
      </c>
      <c r="C364" s="220" t="s">
        <v>285</v>
      </c>
      <c r="D364" s="221">
        <v>1</v>
      </c>
      <c r="E364" s="221">
        <v>80605.740000000005</v>
      </c>
      <c r="F364" s="236">
        <f>E364*D364</f>
        <v>80605.740000000005</v>
      </c>
      <c r="G364" s="223"/>
    </row>
    <row r="365" spans="1:7" s="204" customFormat="1" ht="15.75" x14ac:dyDescent="0.45">
      <c r="A365" s="215" t="s">
        <v>922</v>
      </c>
      <c r="B365" s="216" t="s">
        <v>384</v>
      </c>
      <c r="C365" s="216"/>
      <c r="D365" s="232"/>
      <c r="E365" s="217"/>
      <c r="F365" s="218">
        <f>F366</f>
        <v>7567.51</v>
      </c>
      <c r="G365" s="219"/>
    </row>
    <row r="366" spans="1:7" s="204" customFormat="1" ht="15.75" x14ac:dyDescent="0.45">
      <c r="A366" s="225" t="s">
        <v>923</v>
      </c>
      <c r="B366" s="220" t="s">
        <v>384</v>
      </c>
      <c r="C366" s="220" t="s">
        <v>285</v>
      </c>
      <c r="D366" s="221">
        <v>1</v>
      </c>
      <c r="E366" s="221">
        <v>7567.51</v>
      </c>
      <c r="F366" s="236">
        <f>E366*D366</f>
        <v>7567.51</v>
      </c>
      <c r="G366" s="223"/>
    </row>
    <row r="367" spans="1:7" s="204" customFormat="1" ht="15.75" x14ac:dyDescent="0.45">
      <c r="A367" s="205" t="s">
        <v>924</v>
      </c>
      <c r="B367" s="206" t="s">
        <v>925</v>
      </c>
      <c r="C367" s="206"/>
      <c r="D367" s="233"/>
      <c r="E367" s="207"/>
      <c r="F367" s="208">
        <f>F368</f>
        <v>2223672.4471800001</v>
      </c>
      <c r="G367" s="209"/>
    </row>
    <row r="368" spans="1:7" s="204" customFormat="1" ht="15.75" x14ac:dyDescent="0.45">
      <c r="A368" s="210" t="s">
        <v>926</v>
      </c>
      <c r="B368" s="211" t="s">
        <v>925</v>
      </c>
      <c r="C368" s="211"/>
      <c r="D368" s="212"/>
      <c r="E368" s="212"/>
      <c r="F368" s="213">
        <f>F369+F373+F380+F382+F385</f>
        <v>2223672.4471800001</v>
      </c>
      <c r="G368" s="238"/>
    </row>
    <row r="369" spans="1:7" s="204" customFormat="1" ht="15.75" x14ac:dyDescent="0.45">
      <c r="A369" s="215" t="s">
        <v>927</v>
      </c>
      <c r="B369" s="216" t="s">
        <v>928</v>
      </c>
      <c r="C369" s="216"/>
      <c r="D369" s="217"/>
      <c r="E369" s="217"/>
      <c r="F369" s="218">
        <f>SUM(F370:F372)</f>
        <v>215031.15417999998</v>
      </c>
      <c r="G369" s="239"/>
    </row>
    <row r="370" spans="1:7" s="204" customFormat="1" ht="31.5" x14ac:dyDescent="0.45">
      <c r="A370" s="225" t="s">
        <v>929</v>
      </c>
      <c r="B370" s="220" t="s">
        <v>930</v>
      </c>
      <c r="C370" s="220" t="s">
        <v>289</v>
      </c>
      <c r="D370" s="221">
        <v>5868.21</v>
      </c>
      <c r="E370" s="221">
        <v>2.2949999999999999</v>
      </c>
      <c r="F370" s="236">
        <f>E370*D370</f>
        <v>13467.541949999999</v>
      </c>
      <c r="G370" s="240"/>
    </row>
    <row r="371" spans="1:7" s="204" customFormat="1" ht="31.5" x14ac:dyDescent="0.45">
      <c r="A371" s="225" t="s">
        <v>931</v>
      </c>
      <c r="B371" s="220" t="s">
        <v>932</v>
      </c>
      <c r="C371" s="220" t="s">
        <v>289</v>
      </c>
      <c r="D371" s="221">
        <v>4229.1400000000003</v>
      </c>
      <c r="E371" s="221">
        <v>5.5019999999999998</v>
      </c>
      <c r="F371" s="236">
        <f t="shared" ref="F371:F372" si="29">E371*D371</f>
        <v>23268.728279999999</v>
      </c>
      <c r="G371" s="240"/>
    </row>
    <row r="372" spans="1:7" s="204" customFormat="1" ht="31.5" x14ac:dyDescent="0.45">
      <c r="A372" s="225" t="s">
        <v>933</v>
      </c>
      <c r="B372" s="220" t="s">
        <v>934</v>
      </c>
      <c r="C372" s="220" t="s">
        <v>289</v>
      </c>
      <c r="D372" s="221">
        <v>9941.17</v>
      </c>
      <c r="E372" s="221">
        <v>17.934999999999999</v>
      </c>
      <c r="F372" s="236">
        <f t="shared" si="29"/>
        <v>178294.88394999999</v>
      </c>
      <c r="G372" s="240"/>
    </row>
    <row r="373" spans="1:7" s="204" customFormat="1" ht="15.75" x14ac:dyDescent="0.45">
      <c r="A373" s="215" t="s">
        <v>935</v>
      </c>
      <c r="B373" s="216" t="s">
        <v>936</v>
      </c>
      <c r="C373" s="216" t="s">
        <v>311</v>
      </c>
      <c r="D373" s="217"/>
      <c r="E373" s="217"/>
      <c r="F373" s="218">
        <f>SUM(F374:F379)</f>
        <v>143344.87599999999</v>
      </c>
      <c r="G373" s="239"/>
    </row>
    <row r="374" spans="1:7" s="204" customFormat="1" ht="15.75" x14ac:dyDescent="0.45">
      <c r="A374" s="225" t="s">
        <v>937</v>
      </c>
      <c r="B374" s="220" t="s">
        <v>938</v>
      </c>
      <c r="C374" s="220" t="s">
        <v>289</v>
      </c>
      <c r="D374" s="221">
        <v>9863.08</v>
      </c>
      <c r="E374" s="221">
        <v>0.6704</v>
      </c>
      <c r="F374" s="236">
        <v>6612.6034</v>
      </c>
      <c r="G374" s="240"/>
    </row>
    <row r="375" spans="1:7" s="204" customFormat="1" ht="15.75" x14ac:dyDescent="0.45">
      <c r="A375" s="225" t="s">
        <v>939</v>
      </c>
      <c r="B375" s="220" t="s">
        <v>940</v>
      </c>
      <c r="C375" s="220" t="s">
        <v>289</v>
      </c>
      <c r="D375" s="221">
        <v>2134.66</v>
      </c>
      <c r="E375" s="221">
        <v>13.863</v>
      </c>
      <c r="F375" s="236">
        <v>29592.877</v>
      </c>
      <c r="G375" s="240"/>
    </row>
    <row r="376" spans="1:7" s="204" customFormat="1" ht="15.75" x14ac:dyDescent="0.45">
      <c r="A376" s="225" t="s">
        <v>941</v>
      </c>
      <c r="B376" s="220" t="s">
        <v>942</v>
      </c>
      <c r="C376" s="220" t="s">
        <v>289</v>
      </c>
      <c r="D376" s="221">
        <v>938.92</v>
      </c>
      <c r="E376" s="221">
        <v>13.863</v>
      </c>
      <c r="F376" s="236">
        <v>13016.2855</v>
      </c>
      <c r="G376" s="240"/>
    </row>
    <row r="377" spans="1:7" s="204" customFormat="1" ht="15.75" x14ac:dyDescent="0.45">
      <c r="A377" s="225" t="s">
        <v>943</v>
      </c>
      <c r="B377" s="220" t="s">
        <v>944</v>
      </c>
      <c r="C377" s="220" t="s">
        <v>289</v>
      </c>
      <c r="D377" s="221">
        <v>1890.15</v>
      </c>
      <c r="E377" s="221">
        <v>13.863</v>
      </c>
      <c r="F377" s="236">
        <v>26203.2251</v>
      </c>
      <c r="G377" s="240"/>
    </row>
    <row r="378" spans="1:7" s="204" customFormat="1" ht="15.75" x14ac:dyDescent="0.45">
      <c r="A378" s="225" t="s">
        <v>945</v>
      </c>
      <c r="B378" s="220" t="s">
        <v>946</v>
      </c>
      <c r="C378" s="220" t="s">
        <v>289</v>
      </c>
      <c r="D378" s="221">
        <v>747.66</v>
      </c>
      <c r="E378" s="221">
        <v>13.863</v>
      </c>
      <c r="F378" s="236">
        <v>10364.8405</v>
      </c>
      <c r="G378" s="240"/>
    </row>
    <row r="379" spans="1:7" s="204" customFormat="1" ht="15.75" x14ac:dyDescent="0.45">
      <c r="A379" s="225" t="s">
        <v>947</v>
      </c>
      <c r="B379" s="220" t="s">
        <v>948</v>
      </c>
      <c r="C379" s="220" t="s">
        <v>289</v>
      </c>
      <c r="D379" s="221">
        <v>4151.6899999999996</v>
      </c>
      <c r="E379" s="221">
        <v>13.863</v>
      </c>
      <c r="F379" s="236">
        <v>57555.044500000004</v>
      </c>
      <c r="G379" s="240"/>
    </row>
    <row r="380" spans="1:7" s="204" customFormat="1" ht="15.75" x14ac:dyDescent="0.45">
      <c r="A380" s="215" t="s">
        <v>949</v>
      </c>
      <c r="B380" s="216" t="s">
        <v>950</v>
      </c>
      <c r="C380" s="216" t="s">
        <v>311</v>
      </c>
      <c r="D380" s="217"/>
      <c r="E380" s="217"/>
      <c r="F380" s="218">
        <f>F381</f>
        <v>6215</v>
      </c>
      <c r="G380" s="239"/>
    </row>
    <row r="381" spans="1:7" s="204" customFormat="1" ht="15.75" x14ac:dyDescent="0.45">
      <c r="A381" s="225" t="s">
        <v>951</v>
      </c>
      <c r="B381" s="220" t="s">
        <v>952</v>
      </c>
      <c r="C381" s="220" t="s">
        <v>417</v>
      </c>
      <c r="D381" s="221">
        <v>2486</v>
      </c>
      <c r="E381" s="221">
        <v>2.5</v>
      </c>
      <c r="F381" s="236">
        <f t="shared" ref="F381" si="30">E381*D381</f>
        <v>6215</v>
      </c>
      <c r="G381" s="240"/>
    </row>
    <row r="382" spans="1:7" s="204" customFormat="1" ht="15.75" x14ac:dyDescent="0.45">
      <c r="A382" s="215" t="s">
        <v>953</v>
      </c>
      <c r="B382" s="216" t="s">
        <v>45</v>
      </c>
      <c r="C382" s="216" t="s">
        <v>311</v>
      </c>
      <c r="D382" s="217"/>
      <c r="E382" s="217"/>
      <c r="F382" s="218">
        <f>SUM(F383:F384)</f>
        <v>1818368.987</v>
      </c>
      <c r="G382" s="239"/>
    </row>
    <row r="383" spans="1:7" s="204" customFormat="1" ht="15.75" x14ac:dyDescent="0.45">
      <c r="A383" s="225" t="s">
        <v>954</v>
      </c>
      <c r="B383" s="220" t="s">
        <v>955</v>
      </c>
      <c r="C383" s="220" t="s">
        <v>289</v>
      </c>
      <c r="D383" s="221">
        <v>13824.95</v>
      </c>
      <c r="E383" s="221">
        <v>69.459999999999994</v>
      </c>
      <c r="F383" s="236">
        <f t="shared" ref="F383:F384" si="31">E383*D383</f>
        <v>960281.027</v>
      </c>
      <c r="G383" s="240"/>
    </row>
    <row r="384" spans="1:7" s="204" customFormat="1" ht="31.5" x14ac:dyDescent="0.45">
      <c r="A384" s="225" t="s">
        <v>956</v>
      </c>
      <c r="B384" s="220" t="s">
        <v>957</v>
      </c>
      <c r="C384" s="220" t="s">
        <v>289</v>
      </c>
      <c r="D384" s="221">
        <v>9863.08</v>
      </c>
      <c r="E384" s="221">
        <v>87</v>
      </c>
      <c r="F384" s="236">
        <f t="shared" si="31"/>
        <v>858087.96</v>
      </c>
      <c r="G384" s="240"/>
    </row>
    <row r="385" spans="1:7" s="204" customFormat="1" ht="15.75" x14ac:dyDescent="0.45">
      <c r="A385" s="215" t="s">
        <v>958</v>
      </c>
      <c r="B385" s="216" t="s">
        <v>384</v>
      </c>
      <c r="C385" s="216"/>
      <c r="D385" s="217"/>
      <c r="E385" s="217"/>
      <c r="F385" s="218">
        <f>F386</f>
        <v>40712.43</v>
      </c>
      <c r="G385" s="239"/>
    </row>
    <row r="386" spans="1:7" s="204" customFormat="1" ht="15.75" x14ac:dyDescent="0.45">
      <c r="A386" s="225" t="s">
        <v>959</v>
      </c>
      <c r="B386" s="220" t="s">
        <v>384</v>
      </c>
      <c r="C386" s="220" t="s">
        <v>285</v>
      </c>
      <c r="D386" s="221">
        <v>1</v>
      </c>
      <c r="E386" s="221">
        <v>40712.43</v>
      </c>
      <c r="F386" s="236">
        <f t="shared" ref="F386" si="32">E386*D386</f>
        <v>40712.43</v>
      </c>
      <c r="G386" s="240"/>
    </row>
    <row r="387" spans="1:7" s="204" customFormat="1" ht="15.75" x14ac:dyDescent="0.45">
      <c r="A387" s="205" t="s">
        <v>960</v>
      </c>
      <c r="B387" s="206" t="s">
        <v>961</v>
      </c>
      <c r="C387" s="206"/>
      <c r="D387" s="207"/>
      <c r="E387" s="207"/>
      <c r="F387" s="208">
        <f>F388+F393</f>
        <v>2264547.974006</v>
      </c>
      <c r="G387" s="209"/>
    </row>
    <row r="388" spans="1:7" s="204" customFormat="1" ht="15.75" x14ac:dyDescent="0.45">
      <c r="A388" s="210" t="s">
        <v>962</v>
      </c>
      <c r="B388" s="211" t="s">
        <v>961</v>
      </c>
      <c r="C388" s="211"/>
      <c r="D388" s="212"/>
      <c r="E388" s="212"/>
      <c r="F388" s="213">
        <f>F389+F391</f>
        <v>85042.601005999997</v>
      </c>
      <c r="G388" s="214"/>
    </row>
    <row r="389" spans="1:7" s="204" customFormat="1" ht="15.75" x14ac:dyDescent="0.45">
      <c r="A389" s="215" t="s">
        <v>963</v>
      </c>
      <c r="B389" s="216" t="s">
        <v>964</v>
      </c>
      <c r="C389" s="216"/>
      <c r="D389" s="217"/>
      <c r="E389" s="217"/>
      <c r="F389" s="218">
        <f>F390</f>
        <v>5042.6010059999999</v>
      </c>
      <c r="G389" s="219"/>
    </row>
    <row r="390" spans="1:7" s="204" customFormat="1" ht="15.75" x14ac:dyDescent="0.45">
      <c r="A390" s="225" t="s">
        <v>965</v>
      </c>
      <c r="B390" s="220" t="s">
        <v>966</v>
      </c>
      <c r="C390" s="220" t="s">
        <v>289</v>
      </c>
      <c r="D390" s="221">
        <v>88.17</v>
      </c>
      <c r="E390" s="221">
        <v>57.191800000000001</v>
      </c>
      <c r="F390" s="236">
        <f t="shared" ref="F390" si="33">E390*D390</f>
        <v>5042.6010059999999</v>
      </c>
      <c r="G390" s="223"/>
    </row>
    <row r="391" spans="1:7" s="204" customFormat="1" ht="15.75" x14ac:dyDescent="0.45">
      <c r="A391" s="215" t="s">
        <v>967</v>
      </c>
      <c r="B391" s="216" t="s">
        <v>968</v>
      </c>
      <c r="C391" s="216"/>
      <c r="D391" s="217"/>
      <c r="E391" s="217"/>
      <c r="F391" s="218">
        <f>F392</f>
        <v>80000</v>
      </c>
      <c r="G391" s="219"/>
    </row>
    <row r="392" spans="1:7" s="204" customFormat="1" ht="15.75" x14ac:dyDescent="0.45">
      <c r="A392" s="225" t="s">
        <v>969</v>
      </c>
      <c r="B392" s="220" t="s">
        <v>968</v>
      </c>
      <c r="C392" s="220" t="s">
        <v>285</v>
      </c>
      <c r="D392" s="221">
        <v>1</v>
      </c>
      <c r="E392" s="221">
        <v>80000</v>
      </c>
      <c r="F392" s="236">
        <f t="shared" ref="F392" si="34">E392*D392</f>
        <v>80000</v>
      </c>
      <c r="G392" s="223"/>
    </row>
    <row r="393" spans="1:7" s="204" customFormat="1" ht="15.75" x14ac:dyDescent="0.45">
      <c r="A393" s="210" t="s">
        <v>970</v>
      </c>
      <c r="B393" s="211" t="s">
        <v>961</v>
      </c>
      <c r="C393" s="211"/>
      <c r="D393" s="212"/>
      <c r="E393" s="212"/>
      <c r="F393" s="213">
        <f>F394+F396+F398+F401+F403</f>
        <v>2179505.3730000001</v>
      </c>
      <c r="G393" s="214"/>
    </row>
    <row r="394" spans="1:7" s="204" customFormat="1" ht="15.75" x14ac:dyDescent="0.45">
      <c r="A394" s="215" t="s">
        <v>971</v>
      </c>
      <c r="B394" s="216" t="s">
        <v>972</v>
      </c>
      <c r="C394" s="216"/>
      <c r="D394" s="217"/>
      <c r="E394" s="217"/>
      <c r="F394" s="218">
        <f>F395</f>
        <v>1426027.193</v>
      </c>
      <c r="G394" s="219"/>
    </row>
    <row r="395" spans="1:7" s="204" customFormat="1" ht="15.75" x14ac:dyDescent="0.45">
      <c r="A395" s="225" t="s">
        <v>973</v>
      </c>
      <c r="B395" s="220" t="s">
        <v>972</v>
      </c>
      <c r="C395" s="220" t="s">
        <v>285</v>
      </c>
      <c r="D395" s="221">
        <v>1</v>
      </c>
      <c r="E395" s="221">
        <v>1426027.193</v>
      </c>
      <c r="F395" s="236">
        <f t="shared" ref="F395:F397" si="35">E395*D395</f>
        <v>1426027.193</v>
      </c>
      <c r="G395" s="226">
        <f>(F394)/$G$3</f>
        <v>106.14831100117684</v>
      </c>
    </row>
    <row r="396" spans="1:7" s="204" customFormat="1" ht="15.75" x14ac:dyDescent="0.45">
      <c r="A396" s="215" t="s">
        <v>974</v>
      </c>
      <c r="B396" s="216" t="s">
        <v>204</v>
      </c>
      <c r="C396" s="216"/>
      <c r="D396" s="217"/>
      <c r="E396" s="217"/>
      <c r="F396" s="218">
        <f>F397</f>
        <v>335857.25</v>
      </c>
      <c r="G396" s="219"/>
    </row>
    <row r="397" spans="1:7" s="204" customFormat="1" ht="11.25" customHeight="1" x14ac:dyDescent="0.45">
      <c r="A397" s="225" t="s">
        <v>975</v>
      </c>
      <c r="B397" s="220" t="s">
        <v>204</v>
      </c>
      <c r="C397" s="220" t="s">
        <v>285</v>
      </c>
      <c r="D397" s="221">
        <v>1</v>
      </c>
      <c r="E397" s="221">
        <f>25*[5]OBRA!$D$10</f>
        <v>335857.25</v>
      </c>
      <c r="F397" s="236">
        <f t="shared" si="35"/>
        <v>335857.25</v>
      </c>
      <c r="G397" s="226">
        <f>(F396)/$G$3</f>
        <v>25</v>
      </c>
    </row>
    <row r="398" spans="1:7" s="204" customFormat="1" ht="11.25" customHeight="1" x14ac:dyDescent="0.45">
      <c r="A398" s="215" t="s">
        <v>976</v>
      </c>
      <c r="B398" s="216" t="s">
        <v>977</v>
      </c>
      <c r="C398" s="216"/>
      <c r="D398" s="217"/>
      <c r="E398" s="217"/>
      <c r="F398" s="218">
        <f>F399+F400</f>
        <v>308988.67000000004</v>
      </c>
      <c r="G398" s="219"/>
    </row>
    <row r="399" spans="1:7" s="204" customFormat="1" ht="11.25" customHeight="1" x14ac:dyDescent="0.45">
      <c r="A399" s="225" t="s">
        <v>978</v>
      </c>
      <c r="B399" s="220" t="s">
        <v>979</v>
      </c>
      <c r="C399" s="220" t="s">
        <v>285</v>
      </c>
      <c r="D399" s="221">
        <v>1</v>
      </c>
      <c r="E399" s="221">
        <f>15*[5]OBRA!$D$10</f>
        <v>201514.35</v>
      </c>
      <c r="F399" s="236">
        <f t="shared" ref="F399:F400" si="36">E399*D399</f>
        <v>201514.35</v>
      </c>
      <c r="G399" s="226">
        <f>(F398)/$G$3</f>
        <v>23</v>
      </c>
    </row>
    <row r="400" spans="1:7" s="204" customFormat="1" ht="11.25" customHeight="1" x14ac:dyDescent="0.45">
      <c r="A400" s="225" t="s">
        <v>980</v>
      </c>
      <c r="B400" s="220" t="s">
        <v>981</v>
      </c>
      <c r="C400" s="220" t="s">
        <v>285</v>
      </c>
      <c r="D400" s="221">
        <v>1</v>
      </c>
      <c r="E400" s="221">
        <f>8*[5]OBRA!$D$10</f>
        <v>107474.32</v>
      </c>
      <c r="F400" s="236">
        <f t="shared" si="36"/>
        <v>107474.32</v>
      </c>
      <c r="G400" s="226">
        <f>(F399)/$G$3</f>
        <v>15</v>
      </c>
    </row>
    <row r="401" spans="1:7" s="204" customFormat="1" ht="11.25" customHeight="1" x14ac:dyDescent="0.45">
      <c r="A401" s="215" t="s">
        <v>982</v>
      </c>
      <c r="B401" s="216" t="s">
        <v>256</v>
      </c>
      <c r="C401" s="216"/>
      <c r="D401" s="217"/>
      <c r="E401" s="217"/>
      <c r="F401" s="218">
        <f>F402</f>
        <v>67171.450000000012</v>
      </c>
      <c r="G401" s="219"/>
    </row>
    <row r="402" spans="1:7" s="204" customFormat="1" ht="11.25" customHeight="1" x14ac:dyDescent="0.45">
      <c r="A402" s="225" t="s">
        <v>983</v>
      </c>
      <c r="B402" s="220" t="s">
        <v>984</v>
      </c>
      <c r="C402" s="220" t="s">
        <v>285</v>
      </c>
      <c r="D402" s="221">
        <v>1</v>
      </c>
      <c r="E402" s="221">
        <f>5*[5]OBRA!$D$10</f>
        <v>67171.450000000012</v>
      </c>
      <c r="F402" s="236">
        <f t="shared" ref="F402" si="37">E402*D402</f>
        <v>67171.450000000012</v>
      </c>
      <c r="G402" s="226">
        <f>(F401)/$G$3</f>
        <v>5.0000000000000009</v>
      </c>
    </row>
    <row r="403" spans="1:7" s="204" customFormat="1" ht="15.75" x14ac:dyDescent="0.45">
      <c r="A403" s="215" t="s">
        <v>985</v>
      </c>
      <c r="B403" s="216" t="s">
        <v>384</v>
      </c>
      <c r="C403" s="216"/>
      <c r="D403" s="217"/>
      <c r="E403" s="217"/>
      <c r="F403" s="218">
        <f>F404</f>
        <v>41460.81</v>
      </c>
      <c r="G403" s="219"/>
    </row>
    <row r="404" spans="1:7" s="204" customFormat="1" ht="16.5" thickBot="1" x14ac:dyDescent="0.5">
      <c r="A404" s="225" t="s">
        <v>986</v>
      </c>
      <c r="B404" s="220" t="s">
        <v>384</v>
      </c>
      <c r="C404" s="220" t="s">
        <v>285</v>
      </c>
      <c r="D404" s="221">
        <v>1</v>
      </c>
      <c r="E404" s="221">
        <v>41460.81</v>
      </c>
      <c r="F404" s="236">
        <f t="shared" ref="F404" si="38">E404*D404</f>
        <v>41460.81</v>
      </c>
      <c r="G404" s="241"/>
    </row>
    <row r="405" spans="1:7" ht="13.5" customHeight="1" thickBot="1" x14ac:dyDescent="0.25">
      <c r="A405" s="350" t="s">
        <v>987</v>
      </c>
      <c r="B405" s="351"/>
      <c r="C405" s="351"/>
      <c r="D405" s="351"/>
      <c r="E405" s="352"/>
      <c r="F405" s="242" t="e">
        <f>#REF!+F8</f>
        <v>#REF!</v>
      </c>
    </row>
  </sheetData>
  <mergeCells count="2">
    <mergeCell ref="A6:F6"/>
    <mergeCell ref="A405:E405"/>
  </mergeCells>
  <conditionalFormatting sqref="G7 G406:G1048576">
    <cfRule type="cellIs" dxfId="0" priority="1" operator="equal">
      <formula>"""Item lançado pela Lumis"""</formula>
    </cfRule>
  </conditionalFormatting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I32"/>
  <sheetViews>
    <sheetView showGridLines="0" topLeftCell="A7" zoomScale="130" zoomScaleNormal="130" zoomScaleSheetLayoutView="95" workbookViewId="0">
      <selection activeCell="C14" sqref="C14"/>
    </sheetView>
  </sheetViews>
  <sheetFormatPr defaultColWidth="9.140625" defaultRowHeight="12.75" x14ac:dyDescent="0.25"/>
  <cols>
    <col min="1" max="1" width="32.7109375" style="3" bestFit="1" customWidth="1"/>
    <col min="2" max="2" width="12.7109375" style="3" customWidth="1"/>
    <col min="3" max="3" width="21.85546875" style="3" customWidth="1"/>
    <col min="4" max="4" width="13.5703125" style="3" customWidth="1"/>
    <col min="5" max="5" width="9.140625" style="3"/>
    <col min="6" max="6" width="15.42578125" style="3" customWidth="1"/>
    <col min="7" max="7" width="13.140625" style="3" customWidth="1"/>
    <col min="8" max="8" width="18.85546875" style="3" bestFit="1" customWidth="1"/>
    <col min="9" max="9" width="17" style="3" customWidth="1"/>
    <col min="10" max="16384" width="9.140625" style="3"/>
  </cols>
  <sheetData>
    <row r="1" spans="1:9" x14ac:dyDescent="0.25">
      <c r="F1" s="4"/>
    </row>
    <row r="2" spans="1:9" ht="12.75" customHeight="1" x14ac:dyDescent="0.25">
      <c r="A2" s="353" t="s">
        <v>225</v>
      </c>
      <c r="B2" s="354"/>
      <c r="C2" s="354"/>
      <c r="D2" s="354"/>
      <c r="F2" s="4"/>
    </row>
    <row r="3" spans="1:9" ht="12.75" customHeight="1" x14ac:dyDescent="0.25">
      <c r="A3" s="354"/>
      <c r="B3" s="354"/>
      <c r="C3" s="354"/>
      <c r="D3" s="354"/>
      <c r="F3" s="4"/>
    </row>
    <row r="4" spans="1:9" ht="12.75" customHeight="1" x14ac:dyDescent="0.25">
      <c r="A4" s="354"/>
      <c r="B4" s="354"/>
      <c r="C4" s="354"/>
      <c r="D4" s="354"/>
      <c r="F4" s="4"/>
    </row>
    <row r="5" spans="1:9" ht="13.5" thickBot="1" x14ac:dyDescent="0.3">
      <c r="A5" s="100"/>
      <c r="B5" s="101"/>
      <c r="C5" s="101"/>
      <c r="D5" s="101"/>
      <c r="F5" s="4"/>
    </row>
    <row r="6" spans="1:9" x14ac:dyDescent="0.25">
      <c r="A6" s="102"/>
      <c r="F6" s="4"/>
    </row>
    <row r="7" spans="1:9" x14ac:dyDescent="0.25">
      <c r="A7" s="103" t="s">
        <v>0</v>
      </c>
      <c r="B7" s="104" t="s">
        <v>268</v>
      </c>
      <c r="C7" s="105"/>
      <c r="D7" s="105"/>
      <c r="F7" s="4"/>
    </row>
    <row r="8" spans="1:9" x14ac:dyDescent="0.25">
      <c r="A8" s="103" t="s">
        <v>1</v>
      </c>
      <c r="B8" s="170" t="s">
        <v>1025</v>
      </c>
      <c r="C8" s="107"/>
      <c r="D8" s="107"/>
      <c r="F8" s="4"/>
    </row>
    <row r="9" spans="1:9" ht="15" customHeight="1" x14ac:dyDescent="0.25">
      <c r="A9" s="108" t="s">
        <v>2</v>
      </c>
      <c r="B9" s="109">
        <v>45747</v>
      </c>
      <c r="C9" s="110"/>
      <c r="D9" s="110"/>
      <c r="F9" s="332"/>
    </row>
    <row r="10" spans="1:9" x14ac:dyDescent="0.25">
      <c r="A10" s="111" t="s">
        <v>3</v>
      </c>
      <c r="B10" s="106" t="s">
        <v>246</v>
      </c>
      <c r="C10" s="107"/>
      <c r="D10" s="107"/>
      <c r="F10" s="4"/>
    </row>
    <row r="12" spans="1:9" ht="17.100000000000001" customHeight="1" x14ac:dyDescent="0.25">
      <c r="A12" s="94" t="s">
        <v>27</v>
      </c>
      <c r="B12" s="9" t="s">
        <v>28</v>
      </c>
      <c r="C12" s="355" t="s">
        <v>29</v>
      </c>
      <c r="D12" s="356"/>
    </row>
    <row r="13" spans="1:9" ht="17.25" customHeight="1" x14ac:dyDescent="0.25">
      <c r="A13" s="95" t="s">
        <v>5</v>
      </c>
      <c r="B13" s="5" t="s">
        <v>18</v>
      </c>
      <c r="C13" s="96">
        <v>953.88</v>
      </c>
      <c r="D13" s="6" t="s">
        <v>10</v>
      </c>
      <c r="F13" s="3" t="s">
        <v>1643</v>
      </c>
      <c r="G13" s="149" t="s">
        <v>1644</v>
      </c>
      <c r="H13" s="3" t="s">
        <v>1645</v>
      </c>
      <c r="I13" s="10" t="s">
        <v>1646</v>
      </c>
    </row>
    <row r="14" spans="1:9" ht="17.100000000000001" customHeight="1" x14ac:dyDescent="0.25">
      <c r="A14" s="92" t="s">
        <v>9</v>
      </c>
      <c r="B14" s="7" t="s">
        <v>19</v>
      </c>
      <c r="C14" s="93">
        <f>H21</f>
        <v>7456.95</v>
      </c>
      <c r="D14" s="8" t="s">
        <v>10</v>
      </c>
      <c r="F14" s="3" t="s">
        <v>994</v>
      </c>
      <c r="G14" s="3">
        <v>1946.79</v>
      </c>
      <c r="H14" s="3">
        <v>821.97</v>
      </c>
    </row>
    <row r="15" spans="1:9" ht="17.100000000000001" customHeight="1" x14ac:dyDescent="0.25">
      <c r="A15" s="92" t="s">
        <v>4</v>
      </c>
      <c r="B15" s="7" t="s">
        <v>20</v>
      </c>
      <c r="C15" s="93">
        <v>13</v>
      </c>
      <c r="D15" s="8" t="s">
        <v>11</v>
      </c>
      <c r="F15" s="3" t="s">
        <v>997</v>
      </c>
      <c r="G15" s="3">
        <v>776.7</v>
      </c>
      <c r="H15" s="3">
        <v>761.33</v>
      </c>
    </row>
    <row r="16" spans="1:9" ht="17.100000000000001" customHeight="1" x14ac:dyDescent="0.25">
      <c r="A16" s="92" t="s">
        <v>6</v>
      </c>
      <c r="B16" s="7" t="s">
        <v>21</v>
      </c>
      <c r="C16" s="93">
        <v>9</v>
      </c>
      <c r="D16" s="8" t="s">
        <v>11</v>
      </c>
      <c r="F16" s="3" t="s">
        <v>1027</v>
      </c>
      <c r="G16" s="3">
        <v>776.7</v>
      </c>
      <c r="H16" s="3">
        <v>756.19</v>
      </c>
    </row>
    <row r="17" spans="1:9" ht="17.100000000000001" customHeight="1" x14ac:dyDescent="0.25">
      <c r="A17" s="92" t="s">
        <v>124</v>
      </c>
      <c r="B17" s="7" t="s">
        <v>123</v>
      </c>
      <c r="C17" s="93">
        <v>0</v>
      </c>
      <c r="D17" s="8" t="s">
        <v>11</v>
      </c>
      <c r="F17" s="3" t="s">
        <v>1639</v>
      </c>
      <c r="G17" s="3">
        <f>558.43</f>
        <v>558.42999999999995</v>
      </c>
      <c r="H17" s="3">
        <v>4907.25</v>
      </c>
    </row>
    <row r="18" spans="1:9" ht="17.100000000000001" customHeight="1" x14ac:dyDescent="0.25">
      <c r="A18" s="92" t="s">
        <v>122</v>
      </c>
      <c r="B18" s="7" t="s">
        <v>125</v>
      </c>
      <c r="C18" s="93">
        <v>0</v>
      </c>
      <c r="D18" s="8" t="s">
        <v>11</v>
      </c>
      <c r="F18" s="3" t="s">
        <v>1003</v>
      </c>
      <c r="G18" s="3">
        <f>558.43</f>
        <v>558.42999999999995</v>
      </c>
      <c r="H18" s="3">
        <v>72.31</v>
      </c>
    </row>
    <row r="19" spans="1:9" ht="17.100000000000001" customHeight="1" x14ac:dyDescent="0.25">
      <c r="A19" s="92" t="s">
        <v>109</v>
      </c>
      <c r="B19" s="7" t="s">
        <v>110</v>
      </c>
      <c r="C19" s="153">
        <f>44.72+32.53+60.94+13.13+3.07+1.34+1.85+23.07+78.72+5.12+6.38+12.59+1.84+2.05+1.86+10.01+3.51+6.06</f>
        <v>308.78999999999996</v>
      </c>
      <c r="D19" s="8" t="s">
        <v>10</v>
      </c>
      <c r="F19" s="3" t="s">
        <v>1035</v>
      </c>
      <c r="G19" s="3">
        <v>69.87</v>
      </c>
      <c r="H19" s="3">
        <v>68.95</v>
      </c>
    </row>
    <row r="20" spans="1:9" ht="25.5" x14ac:dyDescent="0.25">
      <c r="A20" s="92" t="s">
        <v>15</v>
      </c>
      <c r="B20" s="7" t="s">
        <v>24</v>
      </c>
      <c r="C20" s="93">
        <v>129.29</v>
      </c>
      <c r="D20" s="8" t="s">
        <v>12</v>
      </c>
      <c r="F20" s="334" t="s">
        <v>1036</v>
      </c>
      <c r="G20" s="3">
        <f>69.87*2</f>
        <v>139.74</v>
      </c>
      <c r="H20" s="3">
        <v>68.95</v>
      </c>
    </row>
    <row r="21" spans="1:9" ht="17.100000000000001" customHeight="1" x14ac:dyDescent="0.25">
      <c r="A21" s="92" t="s">
        <v>7</v>
      </c>
      <c r="B21" s="7" t="s">
        <v>22</v>
      </c>
      <c r="C21" s="93">
        <f>H17/9</f>
        <v>545.25</v>
      </c>
      <c r="D21" s="8" t="s">
        <v>10</v>
      </c>
      <c r="G21" s="16">
        <f>SUM(G14:G16)+G17*9+G18+G19+G20</f>
        <v>9294.1</v>
      </c>
      <c r="H21" s="16">
        <f>SUM(H14:H20)</f>
        <v>7456.95</v>
      </c>
      <c r="I21" s="3">
        <f>G21-H21</f>
        <v>1837.1500000000005</v>
      </c>
    </row>
    <row r="22" spans="1:9" ht="17.100000000000001" customHeight="1" x14ac:dyDescent="0.25">
      <c r="A22" s="92" t="s">
        <v>8</v>
      </c>
      <c r="B22" s="7" t="s">
        <v>23</v>
      </c>
      <c r="C22" s="177">
        <v>109.27</v>
      </c>
      <c r="D22" s="8" t="s">
        <v>12</v>
      </c>
    </row>
    <row r="23" spans="1:9" ht="17.100000000000001" customHeight="1" x14ac:dyDescent="0.25">
      <c r="A23" s="92" t="s">
        <v>13</v>
      </c>
      <c r="B23" s="7" t="s">
        <v>25</v>
      </c>
      <c r="C23" s="93">
        <v>0</v>
      </c>
      <c r="D23" s="8" t="s">
        <v>10</v>
      </c>
    </row>
    <row r="24" spans="1:9" ht="17.100000000000001" customHeight="1" x14ac:dyDescent="0.25">
      <c r="A24" s="92" t="s">
        <v>14</v>
      </c>
      <c r="B24" s="7" t="s">
        <v>26</v>
      </c>
      <c r="C24" s="93">
        <v>0</v>
      </c>
      <c r="D24" s="8" t="s">
        <v>11</v>
      </c>
    </row>
    <row r="25" spans="1:9" ht="17.100000000000001" customHeight="1" x14ac:dyDescent="0.25">
      <c r="A25" s="92" t="s">
        <v>107</v>
      </c>
      <c r="B25" s="7" t="s">
        <v>108</v>
      </c>
      <c r="C25" s="93">
        <f>H14+H15+H16</f>
        <v>2339.4900000000002</v>
      </c>
      <c r="D25" s="8" t="s">
        <v>10</v>
      </c>
    </row>
    <row r="26" spans="1:9" ht="17.100000000000001" customHeight="1" x14ac:dyDescent="0.25">
      <c r="A26" s="92" t="s">
        <v>118</v>
      </c>
      <c r="B26" s="7" t="s">
        <v>121</v>
      </c>
      <c r="C26" s="93">
        <f>H15</f>
        <v>761.33</v>
      </c>
      <c r="D26" s="8" t="s">
        <v>10</v>
      </c>
    </row>
    <row r="27" spans="1:9" ht="17.100000000000001" customHeight="1" x14ac:dyDescent="0.25">
      <c r="A27" s="92" t="s">
        <v>117</v>
      </c>
      <c r="B27" s="7" t="s">
        <v>116</v>
      </c>
      <c r="C27" s="177">
        <v>121.18</v>
      </c>
      <c r="D27" s="8" t="s">
        <v>12</v>
      </c>
    </row>
    <row r="28" spans="1:9" ht="17.100000000000001" customHeight="1" x14ac:dyDescent="0.25">
      <c r="A28" s="92" t="s">
        <v>119</v>
      </c>
      <c r="B28" s="7" t="s">
        <v>120</v>
      </c>
      <c r="C28" s="93">
        <v>3</v>
      </c>
      <c r="D28" s="8" t="s">
        <v>11</v>
      </c>
    </row>
    <row r="32" spans="1:9" x14ac:dyDescent="0.25">
      <c r="A32" s="3" t="s">
        <v>994</v>
      </c>
    </row>
  </sheetData>
  <mergeCells count="2">
    <mergeCell ref="A2:D4"/>
    <mergeCell ref="C12:D12"/>
  </mergeCells>
  <pageMargins left="0.55118110236220474" right="0.27559055118110237" top="0.59055118110236227" bottom="0.59055118110236227" header="0.15748031496062992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34"/>
  <sheetViews>
    <sheetView showGridLines="0" topLeftCell="A8" zoomScale="130" zoomScaleNormal="130" zoomScaleSheetLayoutView="95" workbookViewId="0">
      <selection activeCell="G22" sqref="G22:G23"/>
    </sheetView>
  </sheetViews>
  <sheetFormatPr defaultColWidth="9.140625" defaultRowHeight="12.75" x14ac:dyDescent="0.25"/>
  <cols>
    <col min="1" max="1" width="29" style="3" customWidth="1"/>
    <col min="2" max="2" width="15" style="45" customWidth="1"/>
    <col min="3" max="3" width="7.5703125" style="48" customWidth="1"/>
    <col min="4" max="4" width="10.7109375" style="10" customWidth="1"/>
    <col min="5" max="5" width="13.28515625" style="3" customWidth="1"/>
    <col min="6" max="6" width="12.85546875" style="3" customWidth="1"/>
    <col min="7" max="7" width="16.28515625" style="3" customWidth="1"/>
    <col min="8" max="8" width="10.140625" style="3" customWidth="1"/>
    <col min="9" max="10" width="12" style="3" bestFit="1" customWidth="1"/>
    <col min="11" max="12" width="9.140625" style="3"/>
    <col min="13" max="13" width="10" style="3" bestFit="1" customWidth="1"/>
    <col min="14" max="16384" width="9.140625" style="3"/>
  </cols>
  <sheetData>
    <row r="1" spans="1:10" x14ac:dyDescent="0.25">
      <c r="B1" s="3"/>
      <c r="C1" s="3"/>
      <c r="D1" s="4"/>
    </row>
    <row r="2" spans="1:10" ht="12.75" customHeight="1" x14ac:dyDescent="0.25">
      <c r="A2" s="353" t="s">
        <v>225</v>
      </c>
      <c r="B2" s="354"/>
      <c r="C2" s="3"/>
      <c r="D2" s="4"/>
    </row>
    <row r="3" spans="1:10" ht="12.75" customHeight="1" x14ac:dyDescent="0.25">
      <c r="A3" s="354"/>
      <c r="B3" s="354"/>
      <c r="C3" s="3"/>
      <c r="D3" s="4"/>
    </row>
    <row r="4" spans="1:10" ht="12.75" customHeight="1" x14ac:dyDescent="0.25">
      <c r="A4" s="354"/>
      <c r="B4" s="354"/>
      <c r="C4" s="3"/>
      <c r="D4" s="4"/>
    </row>
    <row r="5" spans="1:10" ht="13.5" thickBot="1" x14ac:dyDescent="0.3">
      <c r="A5" s="100"/>
      <c r="B5" s="101"/>
      <c r="C5" s="101"/>
      <c r="D5" s="101"/>
      <c r="E5" s="101"/>
      <c r="F5" s="101"/>
      <c r="G5" s="101"/>
      <c r="H5" s="101"/>
    </row>
    <row r="6" spans="1:10" x14ac:dyDescent="0.25">
      <c r="A6" s="102"/>
      <c r="B6" s="3"/>
      <c r="C6" s="3"/>
      <c r="D6" s="4"/>
    </row>
    <row r="7" spans="1:10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</row>
    <row r="8" spans="1:10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</row>
    <row r="9" spans="1:10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0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  <c r="J10" s="3">
        <f>6*30*200</f>
        <v>36000</v>
      </c>
    </row>
    <row r="12" spans="1:10" x14ac:dyDescent="0.25">
      <c r="A12" s="11" t="s">
        <v>38</v>
      </c>
      <c r="B12" s="41"/>
      <c r="C12" s="29"/>
      <c r="D12" s="13"/>
      <c r="E12" s="12"/>
      <c r="F12" s="12"/>
      <c r="G12" s="12"/>
      <c r="H12" s="14"/>
    </row>
    <row r="13" spans="1:10" ht="15.95" customHeight="1" x14ac:dyDescent="0.25">
      <c r="A13" s="15"/>
      <c r="B13" s="42"/>
      <c r="C13" s="47"/>
      <c r="D13" s="16"/>
      <c r="E13" s="16"/>
      <c r="F13" s="16"/>
      <c r="H13" s="17"/>
    </row>
    <row r="14" spans="1:10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10" ht="15.95" customHeight="1" x14ac:dyDescent="0.25">
      <c r="A15" s="117" t="s">
        <v>39</v>
      </c>
      <c r="B15" s="263">
        <f>'Dados Gerais'!C26</f>
        <v>761.33</v>
      </c>
      <c r="C15" s="40" t="s">
        <v>10</v>
      </c>
      <c r="D15" s="34">
        <v>30</v>
      </c>
      <c r="E15" s="18" t="s">
        <v>48</v>
      </c>
      <c r="F15" s="19" t="s">
        <v>112</v>
      </c>
      <c r="G15" s="118">
        <f>D15*B15</f>
        <v>22839.9</v>
      </c>
      <c r="H15" s="20"/>
      <c r="I15" s="3">
        <f>G15/'Dados Gerais'!$C$26</f>
        <v>30</v>
      </c>
      <c r="J15" s="3" t="s">
        <v>235</v>
      </c>
    </row>
    <row r="16" spans="1:10" ht="15.95" customHeight="1" x14ac:dyDescent="0.25">
      <c r="A16" s="359" t="s">
        <v>33</v>
      </c>
      <c r="B16" s="360"/>
      <c r="C16" s="360"/>
      <c r="D16" s="360"/>
      <c r="E16" s="360"/>
      <c r="F16" s="360"/>
      <c r="G16" s="119">
        <f>SUM(G15:G15)</f>
        <v>22839.9</v>
      </c>
      <c r="H16" s="23"/>
      <c r="J16" s="3" t="s">
        <v>236</v>
      </c>
    </row>
    <row r="17" spans="1:10" ht="15.95" customHeight="1" x14ac:dyDescent="0.25">
      <c r="A17" s="25"/>
      <c r="B17" s="25"/>
      <c r="C17" s="25"/>
      <c r="D17" s="25"/>
      <c r="E17" s="25"/>
      <c r="F17" s="25"/>
      <c r="G17" s="25"/>
      <c r="H17" s="27"/>
      <c r="J17" s="3">
        <f>40*200</f>
        <v>8000</v>
      </c>
    </row>
    <row r="18" spans="1:10" x14ac:dyDescent="0.25">
      <c r="A18" s="364"/>
      <c r="B18" s="365"/>
      <c r="C18" s="365"/>
      <c r="D18" s="365"/>
      <c r="E18" s="365"/>
      <c r="F18" s="365"/>
    </row>
    <row r="19" spans="1:10" ht="13.5" customHeight="1" x14ac:dyDescent="0.25">
      <c r="A19" s="11" t="s">
        <v>37</v>
      </c>
      <c r="B19" s="41"/>
      <c r="C19" s="29"/>
      <c r="D19" s="29"/>
      <c r="E19" s="12"/>
      <c r="F19" s="12"/>
      <c r="G19" s="12"/>
      <c r="H19" s="14"/>
    </row>
    <row r="20" spans="1:10" x14ac:dyDescent="0.25">
      <c r="A20" s="30"/>
      <c r="B20" s="43"/>
      <c r="C20" s="28"/>
      <c r="D20" s="28"/>
      <c r="H20" s="17"/>
    </row>
    <row r="21" spans="1:10" ht="15.95" customHeight="1" x14ac:dyDescent="0.25">
      <c r="A21" s="114" t="s">
        <v>27</v>
      </c>
      <c r="B21" s="362" t="s">
        <v>36</v>
      </c>
      <c r="C21" s="363"/>
      <c r="D21" s="357" t="s">
        <v>16</v>
      </c>
      <c r="E21" s="358"/>
      <c r="F21" s="115" t="s">
        <v>31</v>
      </c>
      <c r="G21" s="116" t="s">
        <v>30</v>
      </c>
      <c r="H21" s="17"/>
    </row>
    <row r="22" spans="1:10" ht="25.5" customHeight="1" x14ac:dyDescent="0.25">
      <c r="A22" s="133" t="s">
        <v>40</v>
      </c>
      <c r="B22" s="262">
        <f>D22*'Dados Gerais'!C26</f>
        <v>913.596</v>
      </c>
      <c r="C22" s="54" t="s">
        <v>42</v>
      </c>
      <c r="D22" s="87">
        <v>1.2</v>
      </c>
      <c r="E22" s="38" t="s">
        <v>247</v>
      </c>
      <c r="F22" s="39" t="s">
        <v>112</v>
      </c>
      <c r="G22" s="134">
        <f>+ROUNDUP((B22*80),0)</f>
        <v>73088</v>
      </c>
      <c r="H22" s="17"/>
      <c r="J22" s="3">
        <f>G22/'Dados Gerais'!$C$14</f>
        <v>9.8013262795110609</v>
      </c>
    </row>
    <row r="23" spans="1:10" x14ac:dyDescent="0.25">
      <c r="A23" s="133" t="s">
        <v>41</v>
      </c>
      <c r="B23" s="262">
        <f>D23*B22</f>
        <v>548.1576</v>
      </c>
      <c r="C23" s="54" t="s">
        <v>42</v>
      </c>
      <c r="D23" s="87">
        <v>0.6</v>
      </c>
      <c r="E23" s="38" t="s">
        <v>248</v>
      </c>
      <c r="F23" s="39" t="s">
        <v>112</v>
      </c>
      <c r="G23" s="134">
        <f>+ROUNDUP((B23*30),0)</f>
        <v>16445</v>
      </c>
      <c r="H23" s="17"/>
      <c r="J23" s="3">
        <f>G23/'Dados Gerais'!$C$14</f>
        <v>2.2053252335069971</v>
      </c>
    </row>
    <row r="24" spans="1:10" ht="15.95" customHeight="1" x14ac:dyDescent="0.25">
      <c r="A24" s="359" t="s">
        <v>33</v>
      </c>
      <c r="B24" s="360"/>
      <c r="C24" s="360"/>
      <c r="D24" s="360"/>
      <c r="E24" s="360"/>
      <c r="F24" s="360"/>
      <c r="G24" s="119">
        <f>SUM(G22:G23)</f>
        <v>89533</v>
      </c>
      <c r="H24" s="17"/>
      <c r="I24" s="3">
        <f>G24/'Dados Gerais'!$C$26</f>
        <v>117.60077758659187</v>
      </c>
    </row>
    <row r="25" spans="1:10" x14ac:dyDescent="0.25">
      <c r="A25" s="31"/>
      <c r="B25" s="33"/>
      <c r="C25" s="26"/>
      <c r="D25" s="32"/>
      <c r="E25" s="25"/>
      <c r="F25" s="25"/>
      <c r="G25" s="25"/>
      <c r="H25" s="27"/>
    </row>
    <row r="27" spans="1:10" x14ac:dyDescent="0.25">
      <c r="A27" s="11" t="s">
        <v>200</v>
      </c>
      <c r="B27" s="41"/>
      <c r="C27" s="29"/>
      <c r="D27" s="29"/>
      <c r="E27" s="12"/>
      <c r="F27" s="12"/>
      <c r="G27" s="12"/>
      <c r="H27" s="14"/>
    </row>
    <row r="28" spans="1:10" x14ac:dyDescent="0.25">
      <c r="A28" s="30"/>
      <c r="B28" s="43"/>
      <c r="C28" s="28"/>
      <c r="D28" s="28"/>
      <c r="H28" s="17"/>
    </row>
    <row r="29" spans="1:10" x14ac:dyDescent="0.25">
      <c r="A29" s="114" t="s">
        <v>27</v>
      </c>
      <c r="B29" s="362" t="s">
        <v>36</v>
      </c>
      <c r="C29" s="363"/>
      <c r="D29" s="357" t="s">
        <v>16</v>
      </c>
      <c r="E29" s="358"/>
      <c r="F29" s="115" t="s">
        <v>31</v>
      </c>
      <c r="G29" s="116" t="s">
        <v>30</v>
      </c>
      <c r="H29" s="17"/>
    </row>
    <row r="30" spans="1:10" ht="30.75" customHeight="1" x14ac:dyDescent="0.25">
      <c r="A30" s="117" t="s">
        <v>1629</v>
      </c>
      <c r="B30" s="44">
        <f>D30*'Dados Gerais'!C26</f>
        <v>304.53200000000004</v>
      </c>
      <c r="C30" s="46" t="s">
        <v>10</v>
      </c>
      <c r="D30" s="35">
        <v>0.4</v>
      </c>
      <c r="E30" s="21" t="s">
        <v>249</v>
      </c>
      <c r="F30" s="57" t="s">
        <v>112</v>
      </c>
      <c r="G30" s="122">
        <f>ROUNDUP((B30*8.8),0)</f>
        <v>2680</v>
      </c>
      <c r="H30" s="17"/>
      <c r="I30" s="3">
        <f>G30/'Dados Gerais'!$C$26</f>
        <v>3.5201555173183769</v>
      </c>
      <c r="J30" s="3">
        <f>G30/'Dados Gerais'!$C$14</f>
        <v>0.35939626791114332</v>
      </c>
    </row>
    <row r="31" spans="1:10" ht="15.95" customHeight="1" x14ac:dyDescent="0.25">
      <c r="A31" s="359" t="s">
        <v>33</v>
      </c>
      <c r="B31" s="360"/>
      <c r="C31" s="360"/>
      <c r="D31" s="360"/>
      <c r="E31" s="360"/>
      <c r="F31" s="360"/>
      <c r="G31" s="119">
        <f>SUM(G30:G30)</f>
        <v>2680</v>
      </c>
      <c r="H31" s="17"/>
    </row>
    <row r="32" spans="1:10" x14ac:dyDescent="0.25">
      <c r="A32" s="31"/>
      <c r="B32" s="33"/>
      <c r="C32" s="26"/>
      <c r="D32" s="32"/>
      <c r="E32" s="25"/>
      <c r="F32" s="25"/>
      <c r="G32" s="25"/>
      <c r="H32" s="27"/>
    </row>
    <row r="34" spans="1:8" x14ac:dyDescent="0.25">
      <c r="A34" s="361" t="s">
        <v>207</v>
      </c>
      <c r="B34" s="361"/>
      <c r="C34" s="361"/>
      <c r="D34" s="361"/>
      <c r="E34" s="361"/>
      <c r="F34" s="361"/>
      <c r="G34" s="97">
        <f>G16+G24+G31</f>
        <v>115052.9</v>
      </c>
      <c r="H34" s="99">
        <f>G34/'Dados Gerais'!C14</f>
        <v>15.428948832967903</v>
      </c>
    </row>
  </sheetData>
  <mergeCells count="12">
    <mergeCell ref="A2:B4"/>
    <mergeCell ref="D14:E14"/>
    <mergeCell ref="A16:F16"/>
    <mergeCell ref="A18:F18"/>
    <mergeCell ref="B14:C14"/>
    <mergeCell ref="D21:E21"/>
    <mergeCell ref="A24:F24"/>
    <mergeCell ref="A34:F34"/>
    <mergeCell ref="B21:C21"/>
    <mergeCell ref="B29:C29"/>
    <mergeCell ref="D29:E29"/>
    <mergeCell ref="A31:F3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O38"/>
  <sheetViews>
    <sheetView showGridLines="0" topLeftCell="A4" zoomScale="115" zoomScaleNormal="115" zoomScaleSheetLayoutView="95" workbookViewId="0">
      <selection activeCell="D30" sqref="D30"/>
    </sheetView>
  </sheetViews>
  <sheetFormatPr defaultColWidth="9.140625" defaultRowHeight="12.75" x14ac:dyDescent="0.25"/>
  <cols>
    <col min="1" max="1" width="37.5703125" style="3" customWidth="1"/>
    <col min="2" max="2" width="16.5703125" style="45" customWidth="1"/>
    <col min="3" max="3" width="7.5703125" style="48" customWidth="1"/>
    <col min="4" max="4" width="13.7109375" style="10" bestFit="1" customWidth="1"/>
    <col min="5" max="5" width="13.28515625" style="3" customWidth="1"/>
    <col min="6" max="6" width="12.85546875" style="3" customWidth="1"/>
    <col min="7" max="7" width="15.140625" style="3" customWidth="1"/>
    <col min="8" max="8" width="11.28515625" style="3" customWidth="1"/>
    <col min="9" max="9" width="9.140625" style="3"/>
    <col min="10" max="10" width="11" style="3" bestFit="1" customWidth="1"/>
    <col min="11" max="12" width="9.140625" style="3"/>
    <col min="13" max="14" width="11" style="3" bestFit="1" customWidth="1"/>
    <col min="15" max="16384" width="9.140625" style="3"/>
  </cols>
  <sheetData>
    <row r="1" spans="1:15" x14ac:dyDescent="0.25">
      <c r="B1" s="4"/>
      <c r="C1" s="3"/>
      <c r="D1" s="3"/>
      <c r="G1" s="1"/>
      <c r="H1" s="1"/>
      <c r="I1" s="4"/>
    </row>
    <row r="2" spans="1:15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5" ht="12.75" customHeight="1" x14ac:dyDescent="0.25">
      <c r="A3" s="354"/>
      <c r="B3" s="4"/>
      <c r="C3" s="3"/>
      <c r="D3" s="3"/>
      <c r="G3" s="112"/>
      <c r="H3" s="112"/>
      <c r="I3" s="4"/>
    </row>
    <row r="4" spans="1:15" ht="12.75" customHeight="1" x14ac:dyDescent="0.25">
      <c r="A4" s="354"/>
      <c r="B4" s="4"/>
      <c r="C4" s="3"/>
      <c r="D4" s="3"/>
      <c r="G4" s="112"/>
      <c r="H4" s="112"/>
      <c r="I4" s="4"/>
    </row>
    <row r="5" spans="1:15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5" x14ac:dyDescent="0.25">
      <c r="A6" s="102"/>
      <c r="B6" s="4"/>
      <c r="C6" s="3"/>
      <c r="D6" s="3"/>
      <c r="G6" s="1"/>
      <c r="H6" s="1"/>
      <c r="I6" s="4"/>
    </row>
    <row r="7" spans="1:15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5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4"/>
    </row>
    <row r="9" spans="1:15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5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5" x14ac:dyDescent="0.25">
      <c r="A12" s="11" t="s">
        <v>239</v>
      </c>
      <c r="B12" s="41"/>
      <c r="C12" s="29"/>
      <c r="D12" s="13"/>
      <c r="E12" s="12"/>
      <c r="F12" s="12"/>
      <c r="G12" s="12"/>
      <c r="H12" s="14"/>
    </row>
    <row r="13" spans="1:15" x14ac:dyDescent="0.25">
      <c r="A13" s="15"/>
      <c r="B13" s="42"/>
      <c r="C13" s="47"/>
      <c r="D13" s="16"/>
      <c r="E13" s="16"/>
      <c r="F13" s="16"/>
      <c r="H13" s="17"/>
    </row>
    <row r="14" spans="1:15" x14ac:dyDescent="0.25">
      <c r="A14" s="162" t="s">
        <v>27</v>
      </c>
      <c r="B14" s="163" t="s">
        <v>36</v>
      </c>
      <c r="C14" s="164"/>
      <c r="D14" s="165" t="s">
        <v>16</v>
      </c>
      <c r="E14" s="166"/>
      <c r="F14" s="115" t="s">
        <v>31</v>
      </c>
      <c r="G14" s="116" t="s">
        <v>30</v>
      </c>
      <c r="H14" s="17"/>
    </row>
    <row r="15" spans="1:15" x14ac:dyDescent="0.25">
      <c r="A15" s="143" t="s">
        <v>240</v>
      </c>
      <c r="B15" s="178">
        <v>102</v>
      </c>
      <c r="C15" s="44" t="s">
        <v>11</v>
      </c>
      <c r="D15" s="35">
        <f>B15/'Dados Gerais'!C26</f>
        <v>0.1339760681964457</v>
      </c>
      <c r="E15" s="21" t="s">
        <v>241</v>
      </c>
      <c r="F15" s="22" t="s">
        <v>112</v>
      </c>
      <c r="G15" s="118">
        <v>0</v>
      </c>
      <c r="H15" s="20"/>
      <c r="K15" s="3" t="s">
        <v>272</v>
      </c>
    </row>
    <row r="16" spans="1:15" x14ac:dyDescent="0.25">
      <c r="A16" s="143" t="s">
        <v>250</v>
      </c>
      <c r="B16" s="178">
        <f>D16*B15</f>
        <v>102</v>
      </c>
      <c r="C16" s="44" t="s">
        <v>11</v>
      </c>
      <c r="D16" s="159">
        <v>1</v>
      </c>
      <c r="E16" s="21" t="s">
        <v>91</v>
      </c>
      <c r="F16" s="22" t="s">
        <v>112</v>
      </c>
      <c r="G16" s="118">
        <v>0</v>
      </c>
      <c r="H16" s="20"/>
      <c r="J16" s="3" t="s">
        <v>270</v>
      </c>
      <c r="K16" s="3">
        <v>413.02234920634919</v>
      </c>
      <c r="L16" s="3" t="s">
        <v>273</v>
      </c>
      <c r="M16" s="3">
        <f>63/Marine!G5</f>
        <v>0.1312828207051763</v>
      </c>
      <c r="N16" s="3">
        <f>[8]ESTACAS!$D$19/[8]ESTACAS!$F$13</f>
        <v>3.346507936507936</v>
      </c>
      <c r="O16" s="3" t="s">
        <v>1630</v>
      </c>
    </row>
    <row r="17" spans="1:12" x14ac:dyDescent="0.25">
      <c r="A17" s="143" t="s">
        <v>250</v>
      </c>
      <c r="B17" s="178">
        <f>D17*B16</f>
        <v>2142</v>
      </c>
      <c r="C17" s="44" t="s">
        <v>12</v>
      </c>
      <c r="D17" s="35">
        <v>21</v>
      </c>
      <c r="E17" s="21" t="s">
        <v>242</v>
      </c>
      <c r="F17" s="22" t="s">
        <v>112</v>
      </c>
      <c r="G17" s="118">
        <f>ROUNDUP((B17*100),0)</f>
        <v>214200</v>
      </c>
      <c r="H17" s="20"/>
      <c r="J17" s="3" t="s">
        <v>271</v>
      </c>
      <c r="K17" s="3">
        <v>253.7433155080214</v>
      </c>
      <c r="L17" s="3" t="s">
        <v>273</v>
      </c>
    </row>
    <row r="18" spans="1:12" x14ac:dyDescent="0.25">
      <c r="A18" s="143" t="s">
        <v>274</v>
      </c>
      <c r="B18" s="178">
        <f>D18*B20</f>
        <v>1514.0905793976008</v>
      </c>
      <c r="C18" s="44" t="s">
        <v>46</v>
      </c>
      <c r="D18" s="35">
        <v>2.5</v>
      </c>
      <c r="E18" s="21" t="s">
        <v>90</v>
      </c>
      <c r="F18" s="22" t="s">
        <v>112</v>
      </c>
      <c r="G18" s="118">
        <f>+ROUNDUP((B18*7.67),0)</f>
        <v>11614</v>
      </c>
      <c r="H18" s="20"/>
    </row>
    <row r="19" spans="1:12" x14ac:dyDescent="0.25">
      <c r="A19" s="143" t="s">
        <v>1631</v>
      </c>
      <c r="B19" s="178">
        <f>D19*B20</f>
        <v>6661.9985493494441</v>
      </c>
      <c r="C19" s="44" t="s">
        <v>46</v>
      </c>
      <c r="D19" s="35">
        <v>11</v>
      </c>
      <c r="E19" s="21" t="s">
        <v>90</v>
      </c>
      <c r="F19" s="22" t="s">
        <v>112</v>
      </c>
      <c r="G19" s="118">
        <f>+ROUNDUP((B19*7.34),0)</f>
        <v>48900</v>
      </c>
      <c r="H19" s="20"/>
    </row>
    <row r="20" spans="1:12" x14ac:dyDescent="0.25">
      <c r="A20" s="143" t="s">
        <v>44</v>
      </c>
      <c r="B20" s="179">
        <f>(PI()*0.6^2)/4*B17</f>
        <v>605.63623175904036</v>
      </c>
      <c r="C20" s="44" t="s">
        <v>42</v>
      </c>
      <c r="D20" s="35">
        <f>535+35</f>
        <v>570</v>
      </c>
      <c r="E20" s="21" t="s">
        <v>35</v>
      </c>
      <c r="F20" s="22" t="s">
        <v>112</v>
      </c>
      <c r="G20" s="118">
        <f>+ROUNDUP((B20*D20),0)*1.3</f>
        <v>448776.9</v>
      </c>
      <c r="H20" s="20"/>
    </row>
    <row r="21" spans="1:12" x14ac:dyDescent="0.25">
      <c r="A21" s="143" t="s">
        <v>243</v>
      </c>
      <c r="B21" s="179">
        <v>1</v>
      </c>
      <c r="C21" s="44" t="s">
        <v>47</v>
      </c>
      <c r="D21" s="35">
        <v>15000</v>
      </c>
      <c r="E21" s="21" t="s">
        <v>47</v>
      </c>
      <c r="F21" s="22" t="s">
        <v>112</v>
      </c>
      <c r="G21" s="118">
        <f>+ROUNDUP((B21*D21),0)</f>
        <v>15000</v>
      </c>
      <c r="H21" s="20"/>
    </row>
    <row r="22" spans="1:12" x14ac:dyDescent="0.25">
      <c r="A22" s="160" t="s">
        <v>33</v>
      </c>
      <c r="B22" s="161"/>
      <c r="C22" s="161"/>
      <c r="D22" s="161"/>
      <c r="E22" s="161"/>
      <c r="F22" s="161"/>
      <c r="G22" s="119">
        <f>SUM(G15:G21)</f>
        <v>738490.9</v>
      </c>
      <c r="H22" s="23">
        <f>G22/B17</f>
        <v>344.76699346405229</v>
      </c>
    </row>
    <row r="23" spans="1:12" x14ac:dyDescent="0.25">
      <c r="A23" s="167"/>
      <c r="B23" s="25"/>
      <c r="C23" s="25"/>
      <c r="D23" s="25"/>
      <c r="E23" s="25"/>
      <c r="F23" s="25"/>
      <c r="G23" s="25"/>
      <c r="H23" s="27"/>
    </row>
    <row r="24" spans="1:12" x14ac:dyDescent="0.25">
      <c r="B24" s="3"/>
      <c r="C24" s="3"/>
      <c r="D24" s="43"/>
      <c r="E24" s="28"/>
      <c r="F24" s="28"/>
    </row>
    <row r="25" spans="1:12" x14ac:dyDescent="0.25">
      <c r="A25" s="11" t="s">
        <v>244</v>
      </c>
      <c r="B25" s="41"/>
      <c r="C25" s="29"/>
      <c r="D25" s="13"/>
      <c r="E25" s="12"/>
      <c r="F25" s="12"/>
      <c r="G25" s="12"/>
      <c r="H25" s="14"/>
    </row>
    <row r="26" spans="1:12" x14ac:dyDescent="0.25">
      <c r="A26" s="15"/>
      <c r="B26" s="42"/>
      <c r="C26" s="47"/>
      <c r="D26" s="16"/>
      <c r="E26" s="16"/>
      <c r="F26" s="16"/>
      <c r="H26" s="17"/>
    </row>
    <row r="27" spans="1:12" x14ac:dyDescent="0.25">
      <c r="A27" s="162" t="s">
        <v>27</v>
      </c>
      <c r="B27" s="163" t="s">
        <v>36</v>
      </c>
      <c r="C27" s="164"/>
      <c r="D27" s="165" t="s">
        <v>16</v>
      </c>
      <c r="E27" s="166"/>
      <c r="F27" s="115" t="s">
        <v>31</v>
      </c>
      <c r="G27" s="116" t="s">
        <v>30</v>
      </c>
      <c r="H27" s="17"/>
    </row>
    <row r="28" spans="1:12" ht="12.75" customHeight="1" x14ac:dyDescent="0.25">
      <c r="A28" s="168" t="s">
        <v>245</v>
      </c>
      <c r="B28" s="74">
        <f>D28*'Dados Gerais'!C26</f>
        <v>380.66500000000002</v>
      </c>
      <c r="C28" s="40" t="s">
        <v>10</v>
      </c>
      <c r="D28" s="34">
        <v>0.5</v>
      </c>
      <c r="E28" s="18" t="s">
        <v>249</v>
      </c>
      <c r="F28" s="55" t="s">
        <v>112</v>
      </c>
      <c r="G28" s="120">
        <f>+B28*50</f>
        <v>19033.25</v>
      </c>
      <c r="H28" s="20"/>
    </row>
    <row r="29" spans="1:12" x14ac:dyDescent="0.25">
      <c r="A29" s="143" t="s">
        <v>43</v>
      </c>
      <c r="B29" s="83">
        <f>B30*D29</f>
        <v>45679.8</v>
      </c>
      <c r="C29" s="44" t="s">
        <v>46</v>
      </c>
      <c r="D29" s="35">
        <v>100</v>
      </c>
      <c r="E29" s="21" t="s">
        <v>90</v>
      </c>
      <c r="F29" s="55" t="s">
        <v>112</v>
      </c>
      <c r="G29" s="118">
        <f>+ROUNDUP((B29*7.34),0)</f>
        <v>335290</v>
      </c>
      <c r="H29" s="20"/>
    </row>
    <row r="30" spans="1:12" x14ac:dyDescent="0.25">
      <c r="A30" s="143" t="s">
        <v>44</v>
      </c>
      <c r="B30" s="83">
        <f>'Dados Gerais'!C26*Infraestrutura!D30</f>
        <v>456.798</v>
      </c>
      <c r="C30" s="44" t="s">
        <v>42</v>
      </c>
      <c r="D30" s="35">
        <v>0.6</v>
      </c>
      <c r="E30" s="21" t="s">
        <v>247</v>
      </c>
      <c r="F30" s="55" t="s">
        <v>112</v>
      </c>
      <c r="G30" s="118">
        <f>+B30*(535+35)*1.05</f>
        <v>273393.603</v>
      </c>
      <c r="H30" s="20"/>
    </row>
    <row r="31" spans="1:12" x14ac:dyDescent="0.25">
      <c r="A31" s="143" t="s">
        <v>45</v>
      </c>
      <c r="B31" s="180">
        <f>'Dados Gerais'!C26</f>
        <v>761.33</v>
      </c>
      <c r="C31" s="44" t="s">
        <v>10</v>
      </c>
      <c r="D31" s="35">
        <v>450</v>
      </c>
      <c r="E31" s="21" t="s">
        <v>206</v>
      </c>
      <c r="F31" s="22" t="s">
        <v>112</v>
      </c>
      <c r="G31" s="122"/>
      <c r="H31" s="20"/>
    </row>
    <row r="32" spans="1:12" x14ac:dyDescent="0.25">
      <c r="A32" s="160" t="s">
        <v>33</v>
      </c>
      <c r="B32" s="161"/>
      <c r="C32" s="161"/>
      <c r="D32" s="161"/>
      <c r="E32" s="161"/>
      <c r="F32" s="161"/>
      <c r="G32" s="119">
        <f>SUM(G28:G31)</f>
        <v>627716.853</v>
      </c>
      <c r="H32" s="23"/>
    </row>
    <row r="33" spans="1:8" x14ac:dyDescent="0.25">
      <c r="A33" s="169"/>
      <c r="B33" s="25"/>
      <c r="C33" s="25"/>
      <c r="D33" s="25"/>
      <c r="E33" s="25"/>
      <c r="F33" s="25"/>
      <c r="G33" s="25"/>
      <c r="H33" s="27"/>
    </row>
    <row r="34" spans="1:8" x14ac:dyDescent="0.25">
      <c r="B34" s="43"/>
      <c r="C34" s="28"/>
      <c r="D34" s="28"/>
    </row>
    <row r="35" spans="1:8" x14ac:dyDescent="0.25">
      <c r="B35" s="43"/>
      <c r="C35" s="28"/>
      <c r="D35" s="28"/>
    </row>
    <row r="36" spans="1:8" x14ac:dyDescent="0.25">
      <c r="A36" s="361" t="s">
        <v>208</v>
      </c>
      <c r="B36" s="361"/>
      <c r="C36" s="361"/>
      <c r="D36" s="361"/>
      <c r="E36" s="361"/>
      <c r="F36" s="361"/>
      <c r="G36" s="98">
        <f>G22+G32</f>
        <v>1366207.753</v>
      </c>
      <c r="H36" s="136">
        <f>G36/'Dados Gerais'!C14</f>
        <v>183.21267448487654</v>
      </c>
    </row>
    <row r="38" spans="1:8" x14ac:dyDescent="0.25">
      <c r="D38" s="155"/>
    </row>
  </sheetData>
  <mergeCells count="2">
    <mergeCell ref="A36:F36"/>
    <mergeCell ref="A2:A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40"/>
  <sheetViews>
    <sheetView showGridLines="0" topLeftCell="A8" zoomScale="120" zoomScaleNormal="120" zoomScaleSheetLayoutView="95" workbookViewId="0">
      <selection activeCell="B21" sqref="B21"/>
    </sheetView>
  </sheetViews>
  <sheetFormatPr defaultColWidth="9.140625" defaultRowHeight="12.75" x14ac:dyDescent="0.25"/>
  <cols>
    <col min="1" max="1" width="40.140625" style="3" customWidth="1"/>
    <col min="2" max="2" width="15.5703125" style="45" customWidth="1"/>
    <col min="3" max="3" width="7.5703125" style="48" customWidth="1"/>
    <col min="4" max="4" width="13" style="10" customWidth="1"/>
    <col min="5" max="5" width="13.28515625" style="3" customWidth="1"/>
    <col min="6" max="6" width="12.85546875" style="3" customWidth="1"/>
    <col min="7" max="7" width="17.42578125" style="3" customWidth="1"/>
    <col min="8" max="8" width="12.85546875" style="3" customWidth="1"/>
    <col min="9" max="9" width="13.7109375" style="3" bestFit="1" customWidth="1"/>
    <col min="10" max="10" width="13.7109375" style="3" customWidth="1"/>
    <col min="11" max="11" width="9.140625" style="3"/>
    <col min="12" max="12" width="13.7109375" style="3" bestFit="1" customWidth="1"/>
    <col min="13" max="14" width="12.7109375" style="3" bestFit="1" customWidth="1"/>
    <col min="15" max="16384" width="9.140625" style="3"/>
  </cols>
  <sheetData>
    <row r="1" spans="1:10" x14ac:dyDescent="0.25">
      <c r="B1" s="4"/>
      <c r="C1" s="3"/>
      <c r="D1" s="3"/>
      <c r="G1" s="1"/>
      <c r="H1" s="1"/>
    </row>
    <row r="2" spans="1:10" ht="12.75" customHeight="1" x14ac:dyDescent="0.25">
      <c r="A2" s="353" t="s">
        <v>225</v>
      </c>
      <c r="B2" s="4"/>
      <c r="C2" s="3"/>
      <c r="D2" s="3"/>
      <c r="G2" s="112"/>
      <c r="H2" s="112"/>
    </row>
    <row r="3" spans="1:10" ht="12.75" customHeight="1" x14ac:dyDescent="0.25">
      <c r="A3" s="354"/>
      <c r="B3" s="4"/>
      <c r="C3" s="3"/>
      <c r="D3" s="3"/>
      <c r="G3" s="112"/>
      <c r="H3" s="112"/>
    </row>
    <row r="4" spans="1:10" ht="12.75" customHeight="1" x14ac:dyDescent="0.25">
      <c r="A4" s="354"/>
      <c r="B4" s="4"/>
      <c r="C4" s="3"/>
      <c r="D4" s="3"/>
      <c r="G4" s="112"/>
      <c r="H4" s="112"/>
    </row>
    <row r="5" spans="1:10" ht="13.5" thickBot="1" x14ac:dyDescent="0.3">
      <c r="A5" s="100"/>
      <c r="B5" s="101"/>
      <c r="C5" s="101"/>
      <c r="D5" s="101"/>
      <c r="E5" s="101"/>
      <c r="F5" s="101"/>
      <c r="G5" s="2"/>
      <c r="H5" s="2"/>
    </row>
    <row r="6" spans="1:10" x14ac:dyDescent="0.25">
      <c r="A6" s="102"/>
      <c r="B6" s="4"/>
      <c r="C6" s="3"/>
      <c r="D6" s="3"/>
      <c r="G6" s="1"/>
      <c r="H6" s="1"/>
    </row>
    <row r="7" spans="1:10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</row>
    <row r="8" spans="1:10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</row>
    <row r="9" spans="1:10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0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0" x14ac:dyDescent="0.25">
      <c r="A12" s="11" t="s">
        <v>49</v>
      </c>
      <c r="B12" s="41"/>
      <c r="C12" s="29"/>
      <c r="D12" s="13"/>
      <c r="E12" s="12"/>
      <c r="F12" s="12"/>
      <c r="G12" s="12"/>
      <c r="H12" s="14"/>
    </row>
    <row r="13" spans="1:10" ht="15.95" customHeight="1" x14ac:dyDescent="0.25">
      <c r="A13" s="15"/>
      <c r="B13" s="42"/>
      <c r="C13" s="47"/>
      <c r="D13" s="16"/>
      <c r="E13" s="16"/>
      <c r="F13" s="16"/>
      <c r="H13" s="17"/>
    </row>
    <row r="14" spans="1:10" ht="15.7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10" ht="15.75" customHeight="1" x14ac:dyDescent="0.25">
      <c r="A15" s="117" t="s">
        <v>50</v>
      </c>
      <c r="B15" s="51">
        <f>B16/D15</f>
        <v>1864.2375</v>
      </c>
      <c r="C15" s="40" t="s">
        <v>10</v>
      </c>
      <c r="D15" s="34">
        <v>8</v>
      </c>
      <c r="E15" s="18" t="s">
        <v>251</v>
      </c>
      <c r="F15" s="19" t="s">
        <v>112</v>
      </c>
      <c r="G15" s="120">
        <f>+B15*85</f>
        <v>158460.1875</v>
      </c>
      <c r="H15" s="20"/>
    </row>
    <row r="16" spans="1:10" ht="15.75" customHeight="1" x14ac:dyDescent="0.25">
      <c r="A16" s="133" t="s">
        <v>51</v>
      </c>
      <c r="B16" s="53">
        <f>D16*'Dados Gerais'!C14</f>
        <v>14913.9</v>
      </c>
      <c r="C16" s="54" t="s">
        <v>10</v>
      </c>
      <c r="D16" s="37">
        <v>2</v>
      </c>
      <c r="E16" s="38" t="s">
        <v>113</v>
      </c>
      <c r="F16" s="39" t="s">
        <v>112</v>
      </c>
      <c r="G16" s="118">
        <f>+B16*1.5</f>
        <v>22370.85</v>
      </c>
      <c r="H16" s="20"/>
      <c r="I16" s="84"/>
      <c r="J16" s="84"/>
    </row>
    <row r="17" spans="1:14" ht="15.75" customHeight="1" x14ac:dyDescent="0.25">
      <c r="A17" s="133" t="s">
        <v>53</v>
      </c>
      <c r="B17" s="53">
        <f>'Dados Gerais'!C21*'Dados Gerais'!C16</f>
        <v>4907.25</v>
      </c>
      <c r="C17" s="54" t="s">
        <v>10</v>
      </c>
      <c r="D17" s="37">
        <v>45</v>
      </c>
      <c r="E17" s="38" t="s">
        <v>48</v>
      </c>
      <c r="F17" s="39" t="s">
        <v>112</v>
      </c>
      <c r="G17" s="118">
        <f>+B17*D17*0.5</f>
        <v>110413.125</v>
      </c>
      <c r="H17" s="20"/>
      <c r="I17" s="59"/>
      <c r="L17" s="84"/>
      <c r="M17" s="84"/>
      <c r="N17" s="84"/>
    </row>
    <row r="18" spans="1:14" ht="15.75" customHeight="1" x14ac:dyDescent="0.25">
      <c r="A18" s="133" t="s">
        <v>54</v>
      </c>
      <c r="B18" s="53">
        <f>+'Dados Gerais'!C25</f>
        <v>2339.4900000000002</v>
      </c>
      <c r="C18" s="54" t="s">
        <v>10</v>
      </c>
      <c r="D18" s="37">
        <v>45</v>
      </c>
      <c r="E18" s="38" t="s">
        <v>48</v>
      </c>
      <c r="F18" s="39" t="s">
        <v>112</v>
      </c>
      <c r="G18" s="118">
        <f>+B18*D18</f>
        <v>105277.05000000002</v>
      </c>
      <c r="H18" s="20"/>
      <c r="L18" s="84"/>
      <c r="M18" s="84"/>
      <c r="N18" s="84"/>
    </row>
    <row r="19" spans="1:14" ht="15.75" customHeight="1" x14ac:dyDescent="0.25">
      <c r="A19" s="121" t="s">
        <v>275</v>
      </c>
      <c r="B19" s="53">
        <f>B17+B18</f>
        <v>7246.74</v>
      </c>
      <c r="C19" s="54" t="s">
        <v>10</v>
      </c>
      <c r="D19" s="37">
        <v>24</v>
      </c>
      <c r="E19" s="38" t="s">
        <v>48</v>
      </c>
      <c r="F19" s="39" t="s">
        <v>112</v>
      </c>
      <c r="G19" s="118">
        <f>+B19*D19</f>
        <v>173921.76</v>
      </c>
      <c r="H19" s="20"/>
      <c r="L19" s="84"/>
      <c r="M19" s="84"/>
      <c r="N19" s="84"/>
    </row>
    <row r="20" spans="1:14" ht="15" customHeight="1" x14ac:dyDescent="0.25">
      <c r="A20" s="121" t="s">
        <v>52</v>
      </c>
      <c r="B20" s="52">
        <f>D20*B21</f>
        <v>188660.83500000002</v>
      </c>
      <c r="C20" s="44" t="s">
        <v>46</v>
      </c>
      <c r="D20" s="37">
        <v>110</v>
      </c>
      <c r="E20" s="21" t="s">
        <v>90</v>
      </c>
      <c r="F20" s="39" t="s">
        <v>112</v>
      </c>
      <c r="G20" s="118">
        <f>+B20*7.25</f>
        <v>1367791.0537500002</v>
      </c>
      <c r="H20" s="20"/>
      <c r="I20" s="84"/>
      <c r="J20" s="84"/>
      <c r="K20" s="16"/>
      <c r="L20" s="150"/>
      <c r="M20" s="150"/>
      <c r="N20" s="150"/>
    </row>
    <row r="21" spans="1:14" ht="15.75" customHeight="1" x14ac:dyDescent="0.25">
      <c r="A21" s="121" t="s">
        <v>189</v>
      </c>
      <c r="B21" s="68">
        <f>D21*'Dados Gerais'!C14</f>
        <v>1715.0985000000001</v>
      </c>
      <c r="C21" s="66" t="s">
        <v>42</v>
      </c>
      <c r="D21" s="37">
        <v>0.23</v>
      </c>
      <c r="E21" s="21" t="s">
        <v>114</v>
      </c>
      <c r="F21" s="22" t="s">
        <v>112</v>
      </c>
      <c r="G21" s="135">
        <f>+B21*575*1.05</f>
        <v>1035490.7193750001</v>
      </c>
      <c r="H21" s="20"/>
      <c r="I21" s="84"/>
      <c r="J21" s="84"/>
    </row>
    <row r="22" spans="1:14" ht="21.75" customHeight="1" x14ac:dyDescent="0.25">
      <c r="A22" s="121" t="s">
        <v>205</v>
      </c>
      <c r="B22" s="82">
        <f>'Dados Gerais'!C14</f>
        <v>7456.95</v>
      </c>
      <c r="C22" s="66" t="s">
        <v>10</v>
      </c>
      <c r="D22" s="69">
        <v>200</v>
      </c>
      <c r="E22" s="21" t="s">
        <v>48</v>
      </c>
      <c r="F22" s="22" t="s">
        <v>112</v>
      </c>
      <c r="G22" s="135">
        <f>+B22*D22</f>
        <v>1491390</v>
      </c>
      <c r="H22" s="20"/>
    </row>
    <row r="23" spans="1:14" ht="15.75" customHeight="1" x14ac:dyDescent="0.25">
      <c r="A23" s="359" t="s">
        <v>33</v>
      </c>
      <c r="B23" s="360"/>
      <c r="C23" s="360"/>
      <c r="D23" s="360"/>
      <c r="E23" s="360"/>
      <c r="F23" s="360"/>
      <c r="G23" s="119">
        <f>SUM(G15:G22)</f>
        <v>4465114.7456250004</v>
      </c>
      <c r="H23" s="23"/>
    </row>
    <row r="24" spans="1:14" ht="15.95" customHeight="1" x14ac:dyDescent="0.25">
      <c r="A24" s="364"/>
      <c r="B24" s="365"/>
      <c r="C24" s="365"/>
      <c r="D24" s="365"/>
      <c r="E24" s="365"/>
      <c r="F24" s="365"/>
      <c r="G24" s="25"/>
      <c r="H24" s="27"/>
    </row>
    <row r="25" spans="1:14" x14ac:dyDescent="0.25">
      <c r="B25" s="43"/>
      <c r="C25" s="28"/>
      <c r="D25" s="28"/>
    </row>
    <row r="26" spans="1:14" x14ac:dyDescent="0.25">
      <c r="A26" s="361" t="s">
        <v>209</v>
      </c>
      <c r="B26" s="361"/>
      <c r="C26" s="361"/>
      <c r="D26" s="361"/>
      <c r="E26" s="361"/>
      <c r="F26" s="361"/>
      <c r="G26" s="98">
        <f>G23</f>
        <v>4465114.7456250004</v>
      </c>
      <c r="H26" s="136">
        <f>G26/'Dados Gerais'!C14</f>
        <v>598.78566245247725</v>
      </c>
    </row>
    <row r="27" spans="1:14" x14ac:dyDescent="0.25">
      <c r="G27" s="59"/>
      <c r="H27" s="59"/>
    </row>
    <row r="29" spans="1:14" x14ac:dyDescent="0.25">
      <c r="A29" s="11" t="s">
        <v>49</v>
      </c>
      <c r="B29" s="41"/>
      <c r="C29" s="29"/>
      <c r="D29" s="13"/>
      <c r="E29" s="12"/>
      <c r="F29" s="12"/>
      <c r="G29" s="12"/>
      <c r="H29" s="14"/>
    </row>
    <row r="30" spans="1:14" x14ac:dyDescent="0.25">
      <c r="A30" s="15"/>
      <c r="B30" s="42"/>
      <c r="C30" s="47"/>
      <c r="D30" s="16"/>
      <c r="E30" s="16"/>
      <c r="F30" s="16"/>
      <c r="H30" s="17"/>
    </row>
    <row r="31" spans="1:14" x14ac:dyDescent="0.25">
      <c r="A31" s="114" t="s">
        <v>27</v>
      </c>
      <c r="B31" s="362" t="s">
        <v>36</v>
      </c>
      <c r="C31" s="363"/>
      <c r="D31" s="357" t="s">
        <v>16</v>
      </c>
      <c r="E31" s="358"/>
      <c r="F31" s="115" t="s">
        <v>31</v>
      </c>
      <c r="G31" s="116" t="s">
        <v>30</v>
      </c>
      <c r="H31" s="17"/>
    </row>
    <row r="32" spans="1:14" x14ac:dyDescent="0.25">
      <c r="A32" s="117" t="s">
        <v>50</v>
      </c>
      <c r="B32" s="51">
        <f>B33/D32</f>
        <v>1957.4493750000001</v>
      </c>
      <c r="C32" s="40" t="s">
        <v>10</v>
      </c>
      <c r="D32" s="34">
        <v>8</v>
      </c>
      <c r="E32" s="18" t="s">
        <v>251</v>
      </c>
      <c r="F32" s="19" t="s">
        <v>112</v>
      </c>
      <c r="G32" s="120">
        <f>+B32*85</f>
        <v>166383.19687500002</v>
      </c>
      <c r="H32" s="20"/>
    </row>
    <row r="33" spans="1:8" x14ac:dyDescent="0.25">
      <c r="A33" s="133" t="s">
        <v>51</v>
      </c>
      <c r="B33" s="53">
        <f>D33*'Dados Gerais'!C14</f>
        <v>15659.595000000001</v>
      </c>
      <c r="C33" s="54" t="s">
        <v>10</v>
      </c>
      <c r="D33" s="37">
        <v>2.1</v>
      </c>
      <c r="E33" s="38" t="s">
        <v>113</v>
      </c>
      <c r="F33" s="39" t="s">
        <v>112</v>
      </c>
      <c r="G33" s="118">
        <f>+B33*1.5</f>
        <v>23489.392500000002</v>
      </c>
      <c r="H33" s="20"/>
    </row>
    <row r="34" spans="1:8" x14ac:dyDescent="0.25">
      <c r="A34" s="133" t="s">
        <v>53</v>
      </c>
      <c r="B34" s="53">
        <f>'Dados Gerais'!C21*'Dados Gerais'!C16</f>
        <v>4907.25</v>
      </c>
      <c r="C34" s="54" t="s">
        <v>10</v>
      </c>
      <c r="D34" s="37">
        <v>45</v>
      </c>
      <c r="E34" s="38" t="s">
        <v>48</v>
      </c>
      <c r="F34" s="39" t="s">
        <v>112</v>
      </c>
      <c r="G34" s="118">
        <f>+B34*D34*0.5</f>
        <v>110413.125</v>
      </c>
      <c r="H34" s="20"/>
    </row>
    <row r="35" spans="1:8" x14ac:dyDescent="0.25">
      <c r="A35" s="133" t="s">
        <v>54</v>
      </c>
      <c r="B35" s="53">
        <f>+'Dados Gerais'!C25</f>
        <v>2339.4900000000002</v>
      </c>
      <c r="C35" s="54" t="s">
        <v>10</v>
      </c>
      <c r="D35" s="37">
        <v>45</v>
      </c>
      <c r="E35" s="38" t="s">
        <v>48</v>
      </c>
      <c r="F35" s="39" t="s">
        <v>112</v>
      </c>
      <c r="G35" s="118">
        <f>+B35*D35</f>
        <v>105277.05000000002</v>
      </c>
      <c r="H35" s="20"/>
    </row>
    <row r="36" spans="1:8" x14ac:dyDescent="0.25">
      <c r="A36" s="121" t="s">
        <v>52</v>
      </c>
      <c r="B36" s="52">
        <f>D36*B37</f>
        <v>134225.1</v>
      </c>
      <c r="C36" s="44" t="s">
        <v>46</v>
      </c>
      <c r="D36" s="37">
        <v>90</v>
      </c>
      <c r="E36" s="21" t="s">
        <v>90</v>
      </c>
      <c r="F36" s="39" t="s">
        <v>112</v>
      </c>
      <c r="G36" s="118">
        <f>+B36*7.25</f>
        <v>973131.97500000009</v>
      </c>
      <c r="H36" s="20"/>
    </row>
    <row r="37" spans="1:8" x14ac:dyDescent="0.25">
      <c r="A37" s="121" t="s">
        <v>189</v>
      </c>
      <c r="B37" s="68">
        <f>D37*'Dados Gerais'!C14</f>
        <v>1491.39</v>
      </c>
      <c r="C37" s="66" t="s">
        <v>42</v>
      </c>
      <c r="D37" s="37">
        <v>0.2</v>
      </c>
      <c r="E37" s="21" t="s">
        <v>114</v>
      </c>
      <c r="F37" s="22" t="s">
        <v>112</v>
      </c>
      <c r="G37" s="135">
        <f>+B37*575*1.05</f>
        <v>900426.71250000002</v>
      </c>
      <c r="H37" s="20"/>
    </row>
    <row r="38" spans="1:8" x14ac:dyDescent="0.25">
      <c r="A38" s="121" t="s">
        <v>205</v>
      </c>
      <c r="B38" s="82">
        <f>'Dados Gerais'!C14</f>
        <v>7456.95</v>
      </c>
      <c r="C38" s="66" t="s">
        <v>10</v>
      </c>
      <c r="D38" s="69">
        <v>240</v>
      </c>
      <c r="E38" s="21" t="s">
        <v>48</v>
      </c>
      <c r="F38" s="22" t="s">
        <v>112</v>
      </c>
      <c r="G38" s="135">
        <f>+B38*D38</f>
        <v>1789668</v>
      </c>
      <c r="H38" s="20"/>
    </row>
    <row r="39" spans="1:8" x14ac:dyDescent="0.25">
      <c r="A39" s="359" t="s">
        <v>33</v>
      </c>
      <c r="B39" s="360"/>
      <c r="C39" s="360"/>
      <c r="D39" s="360"/>
      <c r="E39" s="360"/>
      <c r="F39" s="360"/>
      <c r="G39" s="119">
        <f>SUM(G32:G38)</f>
        <v>4068789.4518750003</v>
      </c>
      <c r="H39" s="23"/>
    </row>
    <row r="40" spans="1:8" x14ac:dyDescent="0.25">
      <c r="A40" s="364"/>
      <c r="B40" s="365"/>
      <c r="C40" s="365"/>
      <c r="D40" s="365"/>
      <c r="E40" s="365"/>
      <c r="F40" s="365"/>
      <c r="G40" s="25"/>
      <c r="H40" s="27"/>
    </row>
  </sheetData>
  <mergeCells count="10">
    <mergeCell ref="B14:C14"/>
    <mergeCell ref="D14:E14"/>
    <mergeCell ref="A2:A4"/>
    <mergeCell ref="A24:F24"/>
    <mergeCell ref="A23:F23"/>
    <mergeCell ref="B31:C31"/>
    <mergeCell ref="D31:E31"/>
    <mergeCell ref="A39:F39"/>
    <mergeCell ref="A40:F40"/>
    <mergeCell ref="A26:F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M30"/>
  <sheetViews>
    <sheetView showGridLines="0" topLeftCell="A16" zoomScale="148" zoomScaleNormal="148" zoomScaleSheetLayoutView="95" workbookViewId="0">
      <selection activeCell="G22" sqref="G22"/>
    </sheetView>
  </sheetViews>
  <sheetFormatPr defaultColWidth="9.140625" defaultRowHeight="12.75" x14ac:dyDescent="0.25"/>
  <cols>
    <col min="1" max="1" width="40.42578125" style="3" customWidth="1"/>
    <col min="2" max="2" width="14" style="45" customWidth="1"/>
    <col min="3" max="3" width="7.5703125" style="48" customWidth="1"/>
    <col min="4" max="4" width="10.7109375" style="10" customWidth="1"/>
    <col min="5" max="5" width="21.85546875" style="3" customWidth="1"/>
    <col min="6" max="6" width="12.85546875" style="3" customWidth="1"/>
    <col min="7" max="7" width="15.28515625" style="3" customWidth="1"/>
    <col min="8" max="8" width="11.42578125" style="3" customWidth="1"/>
    <col min="9" max="12" width="9.140625" style="3"/>
    <col min="13" max="13" width="12" style="3" bestFit="1" customWidth="1"/>
    <col min="14" max="16384" width="9.140625" style="3"/>
  </cols>
  <sheetData>
    <row r="1" spans="1:13" x14ac:dyDescent="0.25">
      <c r="B1" s="4"/>
      <c r="C1" s="3"/>
      <c r="D1" s="3"/>
      <c r="G1" s="1"/>
      <c r="H1" s="1"/>
      <c r="I1" s="4"/>
    </row>
    <row r="2" spans="1:13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3" ht="12.75" customHeight="1" x14ac:dyDescent="0.25">
      <c r="A3" s="354"/>
      <c r="B3" s="4"/>
      <c r="C3" s="3"/>
      <c r="D3" s="3"/>
      <c r="G3" s="112"/>
      <c r="H3" s="112"/>
      <c r="I3" s="4"/>
    </row>
    <row r="4" spans="1:13" ht="12.75" customHeight="1" x14ac:dyDescent="0.25">
      <c r="A4" s="354"/>
      <c r="B4" s="4"/>
      <c r="C4" s="3"/>
      <c r="D4" s="3"/>
      <c r="G4" s="112"/>
      <c r="H4" s="112"/>
      <c r="I4" s="4"/>
    </row>
    <row r="5" spans="1:13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3" x14ac:dyDescent="0.25">
      <c r="A6" s="102"/>
      <c r="B6" s="4"/>
      <c r="C6" s="3"/>
      <c r="D6" s="3"/>
      <c r="G6" s="1"/>
      <c r="H6" s="1"/>
      <c r="I6" s="4"/>
    </row>
    <row r="7" spans="1:13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3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4"/>
    </row>
    <row r="9" spans="1:13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3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3" x14ac:dyDescent="0.25">
      <c r="A12" s="11" t="s">
        <v>55</v>
      </c>
      <c r="B12" s="41"/>
      <c r="C12" s="29"/>
      <c r="D12" s="13"/>
      <c r="E12" s="12"/>
      <c r="F12" s="12"/>
      <c r="G12" s="12"/>
      <c r="H12" s="14"/>
    </row>
    <row r="13" spans="1:13" ht="15.95" customHeight="1" x14ac:dyDescent="0.25">
      <c r="A13" s="15"/>
      <c r="B13" s="42">
        <f>SUM(B15:B19,B21)</f>
        <v>9621.8690640000004</v>
      </c>
      <c r="C13" s="47">
        <f>B13/'Dados Gerais'!C14</f>
        <v>1.2903223253474947</v>
      </c>
      <c r="D13" s="16"/>
      <c r="E13" s="16"/>
      <c r="F13" s="16"/>
      <c r="H13" s="17"/>
    </row>
    <row r="14" spans="1:13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  <c r="J14" s="3" t="s">
        <v>1022</v>
      </c>
      <c r="K14" s="3">
        <v>124.1</v>
      </c>
      <c r="L14" s="3" t="s">
        <v>12</v>
      </c>
      <c r="M14" s="3">
        <f>K14/K16</f>
        <v>0.61323318673716454</v>
      </c>
    </row>
    <row r="15" spans="1:13" ht="15" customHeight="1" x14ac:dyDescent="0.25">
      <c r="A15" s="117" t="s">
        <v>57</v>
      </c>
      <c r="B15" s="51">
        <f>D15*('Dados Gerais'!C25-B16)</f>
        <v>1810.3280640000003</v>
      </c>
      <c r="C15" s="40" t="s">
        <v>10</v>
      </c>
      <c r="D15" s="40">
        <v>0.8</v>
      </c>
      <c r="E15" s="65" t="s">
        <v>1632</v>
      </c>
      <c r="F15" s="57" t="s">
        <v>112</v>
      </c>
      <c r="G15" s="120">
        <f>+B15*30</f>
        <v>54309.841920000006</v>
      </c>
      <c r="H15" s="20"/>
      <c r="J15" s="3" t="s">
        <v>1023</v>
      </c>
      <c r="K15" s="3">
        <v>78.27</v>
      </c>
      <c r="L15" s="3" t="s">
        <v>12</v>
      </c>
      <c r="M15" s="3">
        <f>K15/K16</f>
        <v>0.38676681326283535</v>
      </c>
    </row>
    <row r="16" spans="1:13" ht="15" customHeight="1" x14ac:dyDescent="0.25">
      <c r="A16" s="121" t="s">
        <v>106</v>
      </c>
      <c r="B16" s="52">
        <f>D16*'Dados Gerais'!C19*0.62</f>
        <v>76.579919999999987</v>
      </c>
      <c r="C16" s="44" t="s">
        <v>10</v>
      </c>
      <c r="D16" s="44">
        <v>0.4</v>
      </c>
      <c r="E16" s="21" t="s">
        <v>111</v>
      </c>
      <c r="F16" s="55" t="s">
        <v>112</v>
      </c>
      <c r="G16" s="118">
        <f>+B16*30</f>
        <v>2297.3975999999998</v>
      </c>
      <c r="H16" s="20"/>
      <c r="J16" s="3" t="s">
        <v>1024</v>
      </c>
      <c r="K16" s="3">
        <f>SUM(K14:K15)</f>
        <v>202.37</v>
      </c>
    </row>
    <row r="17" spans="1:13" ht="15" customHeight="1" x14ac:dyDescent="0.25">
      <c r="A17" s="121" t="s">
        <v>1640</v>
      </c>
      <c r="B17" s="52">
        <f>D17*'Dados Gerais'!C19*0.38</f>
        <v>46.936079999999997</v>
      </c>
      <c r="C17" s="44" t="s">
        <v>10</v>
      </c>
      <c r="D17" s="44">
        <v>0.4</v>
      </c>
      <c r="E17" s="21" t="s">
        <v>111</v>
      </c>
      <c r="F17" s="55" t="s">
        <v>112</v>
      </c>
      <c r="G17" s="118">
        <f>+B17*220</f>
        <v>10325.937599999999</v>
      </c>
      <c r="H17" s="20"/>
    </row>
    <row r="18" spans="1:13" ht="15" customHeight="1" x14ac:dyDescent="0.25">
      <c r="A18" s="121" t="s">
        <v>989</v>
      </c>
      <c r="B18" s="52">
        <f>D18*'Dados Gerais'!C21*'Dados Gerais'!C16*0.56</f>
        <v>4122.09</v>
      </c>
      <c r="C18" s="44" t="s">
        <v>10</v>
      </c>
      <c r="D18" s="44">
        <v>1.5</v>
      </c>
      <c r="E18" s="67" t="s">
        <v>231</v>
      </c>
      <c r="F18" s="55" t="s">
        <v>112</v>
      </c>
      <c r="G18" s="118">
        <f>+B18*30</f>
        <v>123662.70000000001</v>
      </c>
      <c r="H18" s="20"/>
      <c r="J18" s="3" t="s">
        <v>1021</v>
      </c>
      <c r="K18" s="3">
        <v>183.81</v>
      </c>
      <c r="L18" s="3" t="s">
        <v>12</v>
      </c>
      <c r="M18" s="3">
        <f>K18/K20</f>
        <v>1</v>
      </c>
    </row>
    <row r="19" spans="1:13" ht="15" customHeight="1" x14ac:dyDescent="0.25">
      <c r="A19" s="121" t="s">
        <v>1641</v>
      </c>
      <c r="B19" s="52">
        <f>D18*'Dados Gerais'!C21*'Dados Gerais'!C16*0.44</f>
        <v>3238.7849999999999</v>
      </c>
      <c r="C19" s="44" t="s">
        <v>10</v>
      </c>
      <c r="D19" s="44">
        <v>1.5</v>
      </c>
      <c r="E19" s="67" t="s">
        <v>231</v>
      </c>
      <c r="F19" s="55" t="s">
        <v>112</v>
      </c>
      <c r="G19" s="118">
        <f>+B19*220</f>
        <v>712532.7</v>
      </c>
      <c r="H19" s="20"/>
    </row>
    <row r="20" spans="1:13" ht="15" customHeight="1" x14ac:dyDescent="0.25">
      <c r="A20" s="121" t="s">
        <v>238</v>
      </c>
      <c r="B20" s="83">
        <f>D20*'Dados Gerais'!C14</f>
        <v>1267.6815000000001</v>
      </c>
      <c r="C20" s="44" t="s">
        <v>10</v>
      </c>
      <c r="D20" s="154">
        <v>0.17</v>
      </c>
      <c r="E20" s="21" t="s">
        <v>113</v>
      </c>
      <c r="F20" s="55" t="s">
        <v>112</v>
      </c>
      <c r="G20" s="118">
        <f>+B20*60</f>
        <v>76060.890000000014</v>
      </c>
      <c r="H20" s="20"/>
      <c r="K20" s="3">
        <f>SUM(K18:K18)</f>
        <v>183.81</v>
      </c>
    </row>
    <row r="21" spans="1:13" ht="15" customHeight="1" x14ac:dyDescent="0.25">
      <c r="A21" s="121" t="s">
        <v>58</v>
      </c>
      <c r="B21" s="52">
        <f>D21*'Dados Gerais'!C21</f>
        <v>327.14999999999998</v>
      </c>
      <c r="C21" s="44" t="s">
        <v>10</v>
      </c>
      <c r="D21" s="44">
        <v>0.6</v>
      </c>
      <c r="E21" s="38" t="s">
        <v>56</v>
      </c>
      <c r="F21" s="55" t="s">
        <v>112</v>
      </c>
      <c r="G21" s="118">
        <f>+B21*30</f>
        <v>9814.5</v>
      </c>
      <c r="H21" s="20"/>
    </row>
    <row r="22" spans="1:13" ht="15" customHeight="1" x14ac:dyDescent="0.25">
      <c r="A22" s="121" t="s">
        <v>234</v>
      </c>
      <c r="B22" s="83">
        <f>'Sistemas especiais'!B18</f>
        <v>47</v>
      </c>
      <c r="C22" s="156" t="s">
        <v>11</v>
      </c>
      <c r="D22" s="156">
        <v>1.75</v>
      </c>
      <c r="E22" s="157" t="s">
        <v>237</v>
      </c>
      <c r="F22" s="55" t="s">
        <v>112</v>
      </c>
      <c r="G22" s="158">
        <f>+B22*210</f>
        <v>9870</v>
      </c>
      <c r="H22" s="20"/>
      <c r="K22" s="3">
        <f>K20+K16</f>
        <v>386.18</v>
      </c>
      <c r="L22" s="3" t="e">
        <f>(K15+#REF!)/K22</f>
        <v>#REF!</v>
      </c>
    </row>
    <row r="23" spans="1:13" ht="15" customHeight="1" x14ac:dyDescent="0.25">
      <c r="A23" s="121" t="s">
        <v>199</v>
      </c>
      <c r="B23" s="52">
        <f>B15+B16+B18+B20+B21</f>
        <v>7603.8294839999999</v>
      </c>
      <c r="C23" s="44" t="s">
        <v>10</v>
      </c>
      <c r="D23" s="35">
        <v>7.5</v>
      </c>
      <c r="E23" s="38" t="s">
        <v>48</v>
      </c>
      <c r="F23" s="55" t="s">
        <v>112</v>
      </c>
      <c r="G23" s="118">
        <f>+B23*D23</f>
        <v>57028.721129999998</v>
      </c>
      <c r="H23" s="20"/>
    </row>
    <row r="24" spans="1:13" ht="15" customHeight="1" x14ac:dyDescent="0.25">
      <c r="A24" s="137" t="s">
        <v>45</v>
      </c>
      <c r="B24" s="52">
        <f>B16+B18+B20+B21+B15</f>
        <v>7603.8294840000008</v>
      </c>
      <c r="C24" s="49" t="s">
        <v>10</v>
      </c>
      <c r="D24" s="36">
        <v>65</v>
      </c>
      <c r="E24" s="24" t="s">
        <v>48</v>
      </c>
      <c r="F24" s="50" t="s">
        <v>112</v>
      </c>
      <c r="G24" s="122">
        <f>+B24*D24</f>
        <v>494248.91646000004</v>
      </c>
      <c r="H24" s="20"/>
    </row>
    <row r="25" spans="1:13" ht="15.95" customHeight="1" x14ac:dyDescent="0.25">
      <c r="A25" s="359" t="s">
        <v>33</v>
      </c>
      <c r="B25" s="360"/>
      <c r="C25" s="360"/>
      <c r="D25" s="360"/>
      <c r="E25" s="360"/>
      <c r="F25" s="360"/>
      <c r="G25" s="119">
        <f>SUM(G15:G24)</f>
        <v>1550151.6047100001</v>
      </c>
      <c r="H25" s="23"/>
    </row>
    <row r="26" spans="1:13" ht="15.95" customHeight="1" x14ac:dyDescent="0.25">
      <c r="A26" s="364"/>
      <c r="B26" s="365"/>
      <c r="C26" s="365"/>
      <c r="D26" s="365"/>
      <c r="E26" s="365"/>
      <c r="F26" s="365"/>
      <c r="G26" s="25"/>
      <c r="H26" s="27"/>
    </row>
    <row r="27" spans="1:13" x14ac:dyDescent="0.25">
      <c r="B27" s="43"/>
      <c r="C27" s="28"/>
      <c r="D27" s="28"/>
    </row>
    <row r="28" spans="1:13" x14ac:dyDescent="0.25">
      <c r="A28" s="361" t="s">
        <v>210</v>
      </c>
      <c r="B28" s="361"/>
      <c r="C28" s="361"/>
      <c r="D28" s="361"/>
      <c r="E28" s="361"/>
      <c r="F28" s="361"/>
      <c r="G28" s="98">
        <f>G25</f>
        <v>1550151.6047100001</v>
      </c>
      <c r="H28" s="99">
        <f>G28/'Dados Gerais'!C14</f>
        <v>207.88011247359847</v>
      </c>
    </row>
    <row r="30" spans="1:13" x14ac:dyDescent="0.25">
      <c r="E30" s="59">
        <f>(B15+B16+B18+B21)/'Dados Gerais'!$C$14</f>
        <v>0.84969699193369952</v>
      </c>
    </row>
  </sheetData>
  <mergeCells count="6">
    <mergeCell ref="B14:C14"/>
    <mergeCell ref="D14:E14"/>
    <mergeCell ref="A2:A4"/>
    <mergeCell ref="A25:F25"/>
    <mergeCell ref="A28:F28"/>
    <mergeCell ref="A26:F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66EE-A396-4F65-9126-F6D2038EEE68}">
  <sheetPr>
    <tabColor rgb="FF92D050"/>
  </sheetPr>
  <dimension ref="A1:S46"/>
  <sheetViews>
    <sheetView showGridLines="0" topLeftCell="A18" zoomScale="95" zoomScaleNormal="95" zoomScaleSheetLayoutView="95" workbookViewId="0">
      <selection activeCell="G21" sqref="G21"/>
    </sheetView>
  </sheetViews>
  <sheetFormatPr defaultColWidth="9.140625" defaultRowHeight="12.75" x14ac:dyDescent="0.25"/>
  <cols>
    <col min="1" max="1" width="41.85546875" style="3" bestFit="1" customWidth="1"/>
    <col min="2" max="2" width="14" style="45" customWidth="1"/>
    <col min="3" max="3" width="7.5703125" style="48" customWidth="1"/>
    <col min="4" max="4" width="11.7109375" style="10" bestFit="1" customWidth="1"/>
    <col min="5" max="5" width="15.85546875" style="3" customWidth="1"/>
    <col min="6" max="6" width="12.85546875" style="3" customWidth="1"/>
    <col min="7" max="7" width="16.42578125" style="3" customWidth="1"/>
    <col min="8" max="8" width="14.42578125" style="3" customWidth="1"/>
    <col min="9" max="9" width="15.140625" style="84" customWidth="1"/>
    <col min="10" max="18" width="9.140625" style="3"/>
    <col min="19" max="19" width="12" style="3" bestFit="1" customWidth="1"/>
    <col min="20" max="16384" width="9.140625" style="3"/>
  </cols>
  <sheetData>
    <row r="1" spans="1:9" x14ac:dyDescent="0.25">
      <c r="B1" s="4"/>
      <c r="C1" s="3"/>
      <c r="D1" s="3"/>
      <c r="G1" s="1"/>
      <c r="H1" s="1"/>
      <c r="I1" s="90"/>
    </row>
    <row r="2" spans="1:9" ht="12.75" customHeight="1" x14ac:dyDescent="0.25">
      <c r="A2" s="353" t="s">
        <v>225</v>
      </c>
      <c r="B2" s="4"/>
      <c r="C2" s="3"/>
      <c r="D2" s="3"/>
      <c r="G2" s="112"/>
      <c r="H2" s="112"/>
      <c r="I2" s="90"/>
    </row>
    <row r="3" spans="1:9" ht="12.75" customHeight="1" x14ac:dyDescent="0.25">
      <c r="A3" s="354"/>
      <c r="B3" s="4"/>
      <c r="C3" s="3"/>
      <c r="D3" s="3"/>
      <c r="G3" s="112"/>
      <c r="H3" s="112"/>
      <c r="I3" s="90"/>
    </row>
    <row r="4" spans="1:9" ht="12.75" customHeight="1" x14ac:dyDescent="0.25">
      <c r="A4" s="354"/>
      <c r="B4" s="4"/>
      <c r="C4" s="3"/>
      <c r="D4" s="3"/>
      <c r="G4" s="112"/>
      <c r="H4" s="112"/>
      <c r="I4" s="90"/>
    </row>
    <row r="5" spans="1:9" ht="13.5" thickBot="1" x14ac:dyDescent="0.3">
      <c r="A5" s="100"/>
      <c r="B5" s="101"/>
      <c r="C5" s="101"/>
      <c r="D5" s="101"/>
      <c r="E5" s="101"/>
      <c r="F5" s="101"/>
      <c r="G5" s="2"/>
      <c r="H5" s="2"/>
      <c r="I5" s="90"/>
    </row>
    <row r="6" spans="1:9" x14ac:dyDescent="0.25">
      <c r="A6" s="102"/>
      <c r="B6" s="4"/>
      <c r="C6" s="3"/>
      <c r="D6" s="3"/>
      <c r="G6" s="1"/>
      <c r="H6" s="1"/>
      <c r="I6" s="90"/>
    </row>
    <row r="7" spans="1:9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90"/>
    </row>
    <row r="8" spans="1:9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90"/>
    </row>
    <row r="9" spans="1:9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9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  <c r="I10" s="90"/>
    </row>
    <row r="12" spans="1:9" x14ac:dyDescent="0.25">
      <c r="A12" s="11" t="s">
        <v>59</v>
      </c>
      <c r="B12" s="41"/>
      <c r="C12" s="29"/>
      <c r="D12" s="13"/>
      <c r="E12" s="12"/>
      <c r="F12" s="12"/>
      <c r="G12" s="12"/>
      <c r="H12" s="14"/>
    </row>
    <row r="13" spans="1:9" ht="15.95" customHeight="1" x14ac:dyDescent="0.25">
      <c r="A13" s="15"/>
      <c r="B13" s="42"/>
      <c r="C13" s="47"/>
      <c r="D13" s="16"/>
      <c r="E13" s="16"/>
      <c r="F13" s="16"/>
      <c r="H13" s="17"/>
    </row>
    <row r="14" spans="1:9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9" ht="15.95" customHeight="1" x14ac:dyDescent="0.25">
      <c r="A15" s="138" t="s">
        <v>60</v>
      </c>
      <c r="B15" s="51">
        <v>1</v>
      </c>
      <c r="C15" s="40" t="s">
        <v>47</v>
      </c>
      <c r="D15" s="34">
        <v>5</v>
      </c>
      <c r="E15" s="18" t="s">
        <v>17</v>
      </c>
      <c r="F15" s="57" t="s">
        <v>112</v>
      </c>
      <c r="G15" s="120">
        <f>+D15*'Dados Gerais'!$C$14</f>
        <v>37284.75</v>
      </c>
      <c r="H15" s="20"/>
    </row>
    <row r="16" spans="1:9" ht="15.95" customHeight="1" x14ac:dyDescent="0.25">
      <c r="A16" s="133" t="s">
        <v>61</v>
      </c>
      <c r="B16" s="53">
        <v>1</v>
      </c>
      <c r="C16" s="54" t="s">
        <v>47</v>
      </c>
      <c r="D16" s="37">
        <v>10</v>
      </c>
      <c r="E16" s="38" t="s">
        <v>17</v>
      </c>
      <c r="F16" s="58" t="s">
        <v>112</v>
      </c>
      <c r="G16" s="118">
        <f>+D16*'Dados Gerais'!$C$14</f>
        <v>74569.5</v>
      </c>
      <c r="H16" s="20"/>
    </row>
    <row r="17" spans="1:19" ht="15.95" customHeight="1" x14ac:dyDescent="0.25">
      <c r="A17" s="133" t="s">
        <v>62</v>
      </c>
      <c r="B17" s="53">
        <v>1</v>
      </c>
      <c r="C17" s="54" t="s">
        <v>47</v>
      </c>
      <c r="D17" s="37">
        <v>30</v>
      </c>
      <c r="E17" s="38" t="s">
        <v>17</v>
      </c>
      <c r="F17" s="58" t="s">
        <v>112</v>
      </c>
      <c r="G17" s="118">
        <f>+D17*'Dados Gerais'!$C$14</f>
        <v>223708.5</v>
      </c>
      <c r="H17" s="20"/>
    </row>
    <row r="18" spans="1:19" ht="15.95" customHeight="1" x14ac:dyDescent="0.25">
      <c r="A18" s="133" t="s">
        <v>63</v>
      </c>
      <c r="B18" s="52">
        <v>1</v>
      </c>
      <c r="C18" s="44" t="s">
        <v>47</v>
      </c>
      <c r="D18" s="35">
        <v>25</v>
      </c>
      <c r="E18" s="21" t="s">
        <v>17</v>
      </c>
      <c r="F18" s="55" t="s">
        <v>112</v>
      </c>
      <c r="G18" s="118">
        <f>+D18*'Dados Gerais'!$C$14</f>
        <v>186423.75</v>
      </c>
      <c r="H18" s="20"/>
    </row>
    <row r="19" spans="1:19" ht="15.95" customHeight="1" x14ac:dyDescent="0.25">
      <c r="A19" s="133" t="s">
        <v>126</v>
      </c>
      <c r="B19" s="52">
        <v>1</v>
      </c>
      <c r="C19" s="44" t="s">
        <v>47</v>
      </c>
      <c r="D19" s="35">
        <v>15</v>
      </c>
      <c r="E19" s="21" t="s">
        <v>17</v>
      </c>
      <c r="F19" s="55" t="s">
        <v>112</v>
      </c>
      <c r="G19" s="118"/>
      <c r="H19" s="20"/>
    </row>
    <row r="20" spans="1:19" ht="15.95" customHeight="1" x14ac:dyDescent="0.25">
      <c r="A20" s="133" t="s">
        <v>64</v>
      </c>
      <c r="B20" s="52">
        <v>1</v>
      </c>
      <c r="C20" s="44" t="s">
        <v>47</v>
      </c>
      <c r="D20" s="35">
        <v>2</v>
      </c>
      <c r="E20" s="21" t="s">
        <v>17</v>
      </c>
      <c r="F20" s="55" t="s">
        <v>112</v>
      </c>
      <c r="G20" s="118">
        <f>+D20*'Dados Gerais'!$C$14</f>
        <v>14913.9</v>
      </c>
      <c r="H20" s="20"/>
    </row>
    <row r="21" spans="1:19" ht="15.95" customHeight="1" x14ac:dyDescent="0.25">
      <c r="A21" s="139" t="s">
        <v>65</v>
      </c>
      <c r="B21" s="56">
        <v>1</v>
      </c>
      <c r="C21" s="49" t="s">
        <v>47</v>
      </c>
      <c r="D21" s="36">
        <v>55</v>
      </c>
      <c r="E21" s="24" t="s">
        <v>17</v>
      </c>
      <c r="F21" s="50" t="s">
        <v>112</v>
      </c>
      <c r="G21" s="122">
        <f>+D21*'Dados Gerais'!$C$14</f>
        <v>410132.25</v>
      </c>
      <c r="H21" s="20"/>
    </row>
    <row r="22" spans="1:19" ht="15.95" customHeight="1" x14ac:dyDescent="0.25">
      <c r="A22" s="359" t="s">
        <v>33</v>
      </c>
      <c r="B22" s="360"/>
      <c r="C22" s="360"/>
      <c r="D22" s="360"/>
      <c r="E22" s="360"/>
      <c r="F22" s="360"/>
      <c r="G22" s="119">
        <f>SUM(G15:G21)</f>
        <v>947032.65</v>
      </c>
      <c r="H22" s="23"/>
    </row>
    <row r="23" spans="1:19" ht="15.95" customHeight="1" x14ac:dyDescent="0.25">
      <c r="A23" s="364"/>
      <c r="B23" s="365"/>
      <c r="C23" s="365"/>
      <c r="D23" s="365"/>
      <c r="E23" s="365"/>
      <c r="F23" s="365"/>
      <c r="G23" s="25"/>
      <c r="H23" s="27"/>
    </row>
    <row r="24" spans="1:19" x14ac:dyDescent="0.25">
      <c r="A24" s="11" t="s">
        <v>224</v>
      </c>
      <c r="B24" s="41"/>
      <c r="C24" s="29"/>
      <c r="D24" s="13"/>
      <c r="E24" s="12"/>
      <c r="F24" s="12"/>
      <c r="G24" s="12"/>
      <c r="H24" s="14"/>
      <c r="J24" s="3" t="s">
        <v>1019</v>
      </c>
    </row>
    <row r="25" spans="1:19" x14ac:dyDescent="0.25">
      <c r="A25" s="15"/>
      <c r="B25" s="42"/>
      <c r="C25" s="47"/>
      <c r="D25" s="16"/>
      <c r="E25" s="16"/>
      <c r="F25" s="16"/>
      <c r="H25" s="17"/>
      <c r="J25" s="3" t="s">
        <v>1017</v>
      </c>
      <c r="P25" s="3">
        <v>1</v>
      </c>
      <c r="R25" s="3">
        <v>1145.2341076120001</v>
      </c>
      <c r="S25" s="3">
        <f>R25*P25</f>
        <v>1145.2341076120001</v>
      </c>
    </row>
    <row r="26" spans="1:19" x14ac:dyDescent="0.25">
      <c r="A26" s="114" t="s">
        <v>27</v>
      </c>
      <c r="B26" s="362" t="s">
        <v>36</v>
      </c>
      <c r="C26" s="363"/>
      <c r="D26" s="357" t="s">
        <v>16</v>
      </c>
      <c r="E26" s="358"/>
      <c r="F26" s="115" t="s">
        <v>31</v>
      </c>
      <c r="G26" s="116" t="s">
        <v>30</v>
      </c>
      <c r="H26" s="17"/>
      <c r="J26" s="3" t="s">
        <v>1018</v>
      </c>
      <c r="N26" s="3" t="s">
        <v>11</v>
      </c>
      <c r="P26" s="3">
        <v>2</v>
      </c>
      <c r="R26" s="3">
        <v>5650.8</v>
      </c>
      <c r="S26" s="3">
        <f>R26*P26</f>
        <v>11301.6</v>
      </c>
    </row>
    <row r="27" spans="1:19" ht="15.75" customHeight="1" x14ac:dyDescent="0.25">
      <c r="A27" s="140" t="s">
        <v>66</v>
      </c>
      <c r="B27" s="51">
        <v>1</v>
      </c>
      <c r="C27" s="40" t="s">
        <v>47</v>
      </c>
      <c r="D27" s="91">
        <v>20</v>
      </c>
      <c r="E27" s="18" t="s">
        <v>17</v>
      </c>
      <c r="F27" s="57" t="s">
        <v>112</v>
      </c>
      <c r="G27" s="120">
        <f>+D27*'Dados Gerais'!$C$14</f>
        <v>149139</v>
      </c>
      <c r="H27" s="20"/>
    </row>
    <row r="28" spans="1:19" ht="15.75" customHeight="1" x14ac:dyDescent="0.25">
      <c r="A28" s="141" t="s">
        <v>67</v>
      </c>
      <c r="B28" s="53">
        <v>1</v>
      </c>
      <c r="C28" s="54" t="s">
        <v>47</v>
      </c>
      <c r="D28" s="37">
        <v>10</v>
      </c>
      <c r="E28" s="38" t="s">
        <v>17</v>
      </c>
      <c r="F28" s="58" t="s">
        <v>112</v>
      </c>
      <c r="G28" s="118">
        <f>+D28*'Dados Gerais'!$C$14</f>
        <v>74569.5</v>
      </c>
      <c r="H28" s="20"/>
      <c r="J28" s="3" t="s">
        <v>1020</v>
      </c>
    </row>
    <row r="29" spans="1:19" ht="15.75" customHeight="1" x14ac:dyDescent="0.25">
      <c r="A29" s="141" t="s">
        <v>68</v>
      </c>
      <c r="B29" s="53">
        <v>1</v>
      </c>
      <c r="C29" s="54" t="s">
        <v>47</v>
      </c>
      <c r="D29" s="37">
        <v>10</v>
      </c>
      <c r="E29" s="38" t="s">
        <v>17</v>
      </c>
      <c r="F29" s="58" t="s">
        <v>112</v>
      </c>
      <c r="G29" s="118">
        <f>+D29*'Dados Gerais'!$C$14</f>
        <v>74569.5</v>
      </c>
      <c r="H29" s="20"/>
      <c r="J29" s="3" t="s">
        <v>1014</v>
      </c>
      <c r="N29" s="3" t="s">
        <v>11</v>
      </c>
      <c r="P29" s="3">
        <v>4</v>
      </c>
      <c r="R29" s="3">
        <v>9116</v>
      </c>
      <c r="S29" s="3">
        <f t="shared" ref="S29:S30" si="0">R29*P29</f>
        <v>36464</v>
      </c>
    </row>
    <row r="30" spans="1:19" ht="15.75" customHeight="1" x14ac:dyDescent="0.25">
      <c r="A30" s="141" t="s">
        <v>69</v>
      </c>
      <c r="B30" s="53">
        <v>1</v>
      </c>
      <c r="C30" s="54" t="s">
        <v>47</v>
      </c>
      <c r="D30" s="37">
        <v>15</v>
      </c>
      <c r="E30" s="38" t="s">
        <v>17</v>
      </c>
      <c r="F30" s="58" t="s">
        <v>112</v>
      </c>
      <c r="G30" s="118">
        <f>+D30*'Dados Gerais'!$C$14</f>
        <v>111854.25</v>
      </c>
      <c r="H30" s="20"/>
      <c r="J30" s="3" t="s">
        <v>1015</v>
      </c>
      <c r="N30" s="3" t="s">
        <v>11</v>
      </c>
      <c r="P30" s="3">
        <f>2*4</f>
        <v>8</v>
      </c>
      <c r="R30" s="3">
        <v>1430</v>
      </c>
      <c r="S30" s="3">
        <f t="shared" si="0"/>
        <v>11440</v>
      </c>
    </row>
    <row r="31" spans="1:19" ht="15.75" customHeight="1" x14ac:dyDescent="0.25">
      <c r="A31" s="141" t="s">
        <v>70</v>
      </c>
      <c r="B31" s="52">
        <v>1</v>
      </c>
      <c r="C31" s="44" t="s">
        <v>47</v>
      </c>
      <c r="D31" s="35">
        <v>20</v>
      </c>
      <c r="E31" s="21" t="s">
        <v>17</v>
      </c>
      <c r="F31" s="55" t="s">
        <v>112</v>
      </c>
      <c r="G31" s="118">
        <f>+D31*'Dados Gerais'!$C$14</f>
        <v>149139</v>
      </c>
      <c r="H31" s="20"/>
      <c r="J31" s="3" t="s">
        <v>1016</v>
      </c>
      <c r="N31" s="3" t="s">
        <v>11</v>
      </c>
      <c r="P31" s="3">
        <f>2*4</f>
        <v>8</v>
      </c>
      <c r="R31" s="3">
        <v>2100</v>
      </c>
      <c r="S31" s="3">
        <f>R31*P31</f>
        <v>16800</v>
      </c>
    </row>
    <row r="32" spans="1:19" ht="15.75" customHeight="1" x14ac:dyDescent="0.25">
      <c r="A32" s="336" t="s">
        <v>1503</v>
      </c>
      <c r="B32" s="335">
        <v>1</v>
      </c>
      <c r="C32" s="46" t="s">
        <v>47</v>
      </c>
      <c r="D32" s="85">
        <v>20.561699999999998</v>
      </c>
      <c r="E32" s="21" t="s">
        <v>17</v>
      </c>
      <c r="F32" s="55" t="s">
        <v>112</v>
      </c>
      <c r="G32" s="118">
        <f>+D32*'Dados Gerais'!$C$14</f>
        <v>153327.56881499998</v>
      </c>
      <c r="H32" s="20"/>
    </row>
    <row r="33" spans="1:19" ht="15.75" customHeight="1" x14ac:dyDescent="0.25">
      <c r="A33" s="141" t="s">
        <v>71</v>
      </c>
      <c r="B33" s="56">
        <v>1</v>
      </c>
      <c r="C33" s="49" t="s">
        <v>47</v>
      </c>
      <c r="D33" s="36">
        <v>55</v>
      </c>
      <c r="E33" s="24" t="s">
        <v>17</v>
      </c>
      <c r="F33" s="50" t="s">
        <v>112</v>
      </c>
      <c r="G33" s="122">
        <f>+D33*'Dados Gerais'!$C$14</f>
        <v>410132.25</v>
      </c>
      <c r="H33" s="20"/>
      <c r="S33" s="3">
        <f>SUM(S25:S31)</f>
        <v>77150.834107611998</v>
      </c>
    </row>
    <row r="34" spans="1:19" x14ac:dyDescent="0.25">
      <c r="A34" s="359" t="s">
        <v>33</v>
      </c>
      <c r="B34" s="360"/>
      <c r="C34" s="360"/>
      <c r="D34" s="360"/>
      <c r="E34" s="360"/>
      <c r="F34" s="360"/>
      <c r="G34" s="119">
        <f>SUM(G27:G33)</f>
        <v>1122731.0688149999</v>
      </c>
      <c r="H34" s="23"/>
    </row>
    <row r="35" spans="1:19" x14ac:dyDescent="0.25">
      <c r="A35" s="364"/>
      <c r="B35" s="365"/>
      <c r="C35" s="365"/>
      <c r="D35" s="365"/>
      <c r="E35" s="365"/>
      <c r="F35" s="365"/>
      <c r="G35" s="25"/>
      <c r="H35" s="27"/>
    </row>
    <row r="37" spans="1:19" x14ac:dyDescent="0.25">
      <c r="A37" s="11" t="s">
        <v>72</v>
      </c>
      <c r="B37" s="41"/>
      <c r="C37" s="29"/>
      <c r="D37" s="13"/>
      <c r="E37" s="12"/>
      <c r="F37" s="12"/>
      <c r="G37" s="12"/>
      <c r="H37" s="14"/>
    </row>
    <row r="38" spans="1:19" x14ac:dyDescent="0.25">
      <c r="A38" s="15"/>
      <c r="B38" s="42"/>
      <c r="C38" s="47"/>
      <c r="D38" s="16"/>
      <c r="E38" s="16"/>
      <c r="F38" s="16"/>
      <c r="H38" s="17"/>
    </row>
    <row r="39" spans="1:19" ht="15.75" customHeight="1" x14ac:dyDescent="0.25">
      <c r="A39" s="114" t="s">
        <v>27</v>
      </c>
      <c r="B39" s="362" t="s">
        <v>36</v>
      </c>
      <c r="C39" s="363"/>
      <c r="D39" s="357" t="s">
        <v>16</v>
      </c>
      <c r="E39" s="358"/>
      <c r="F39" s="115" t="s">
        <v>31</v>
      </c>
      <c r="G39" s="116" t="s">
        <v>30</v>
      </c>
      <c r="H39" s="17"/>
    </row>
    <row r="40" spans="1:19" ht="15.75" customHeight="1" x14ac:dyDescent="0.25">
      <c r="A40" s="140" t="s">
        <v>73</v>
      </c>
      <c r="B40" s="53">
        <v>1</v>
      </c>
      <c r="C40" s="40" t="s">
        <v>47</v>
      </c>
      <c r="D40" s="34">
        <v>15</v>
      </c>
      <c r="E40" s="18" t="s">
        <v>17</v>
      </c>
      <c r="F40" s="57" t="s">
        <v>112</v>
      </c>
      <c r="G40" s="120">
        <f>+D40*'Dados Gerais'!$C$14</f>
        <v>111854.25</v>
      </c>
      <c r="H40" s="20"/>
      <c r="J40" s="60"/>
    </row>
    <row r="41" spans="1:19" ht="15.75" customHeight="1" x14ac:dyDescent="0.25">
      <c r="A41" s="171" t="s">
        <v>252</v>
      </c>
      <c r="B41" s="53">
        <v>1</v>
      </c>
      <c r="C41" s="54" t="s">
        <v>47</v>
      </c>
      <c r="D41" s="37">
        <v>10</v>
      </c>
      <c r="E41" s="38" t="s">
        <v>17</v>
      </c>
      <c r="F41" s="58" t="s">
        <v>112</v>
      </c>
      <c r="G41" s="118">
        <f>+D41*'Dados Gerais'!$C$14</f>
        <v>74569.5</v>
      </c>
      <c r="H41" s="20"/>
      <c r="J41" s="60"/>
    </row>
    <row r="42" spans="1:19" ht="15.75" customHeight="1" x14ac:dyDescent="0.25">
      <c r="A42" s="142" t="s">
        <v>127</v>
      </c>
      <c r="B42" s="53">
        <v>1</v>
      </c>
      <c r="C42" s="54" t="s">
        <v>47</v>
      </c>
      <c r="D42" s="37">
        <v>20</v>
      </c>
      <c r="E42" s="38" t="s">
        <v>17</v>
      </c>
      <c r="F42" s="58" t="s">
        <v>112</v>
      </c>
      <c r="G42" s="118">
        <f>+D42*'Dados Gerais'!$C$14</f>
        <v>149139</v>
      </c>
      <c r="H42" s="20"/>
      <c r="J42" s="60"/>
    </row>
    <row r="43" spans="1:19" ht="15.75" customHeight="1" x14ac:dyDescent="0.25">
      <c r="A43" s="359" t="s">
        <v>33</v>
      </c>
      <c r="B43" s="360"/>
      <c r="C43" s="360"/>
      <c r="D43" s="360"/>
      <c r="E43" s="360"/>
      <c r="F43" s="360"/>
      <c r="G43" s="119">
        <f>SUM(G40:G42)</f>
        <v>335562.75</v>
      </c>
      <c r="H43" s="23"/>
    </row>
    <row r="44" spans="1:19" x14ac:dyDescent="0.25">
      <c r="A44" s="364"/>
      <c r="B44" s="365"/>
      <c r="C44" s="365"/>
      <c r="D44" s="365"/>
      <c r="E44" s="365"/>
      <c r="F44" s="365"/>
      <c r="G44" s="25"/>
      <c r="H44" s="27"/>
    </row>
    <row r="46" spans="1:19" x14ac:dyDescent="0.25">
      <c r="A46" s="361" t="s">
        <v>211</v>
      </c>
      <c r="B46" s="361"/>
      <c r="C46" s="361"/>
      <c r="D46" s="361"/>
      <c r="E46" s="361"/>
      <c r="F46" s="361"/>
      <c r="G46" s="98">
        <f>G22+G34+G43</f>
        <v>2405326.4688149998</v>
      </c>
      <c r="H46" s="99">
        <f>G46/'Dados Gerais'!C14</f>
        <v>322.56169999999997</v>
      </c>
    </row>
  </sheetData>
  <mergeCells count="14">
    <mergeCell ref="A43:F43"/>
    <mergeCell ref="A44:F44"/>
    <mergeCell ref="A46:F46"/>
    <mergeCell ref="A35:F35"/>
    <mergeCell ref="B39:C39"/>
    <mergeCell ref="D39:E39"/>
    <mergeCell ref="A2:A4"/>
    <mergeCell ref="B14:C14"/>
    <mergeCell ref="D14:E14"/>
    <mergeCell ref="A34:F34"/>
    <mergeCell ref="A23:F23"/>
    <mergeCell ref="B26:C26"/>
    <mergeCell ref="D26:E26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EE1F-56B2-4D36-8402-222A573DBA20}">
  <sheetPr>
    <tabColor rgb="FFFFFF00"/>
  </sheetPr>
  <dimension ref="A1:M50"/>
  <sheetViews>
    <sheetView showGridLines="0" topLeftCell="A33" zoomScale="118" zoomScaleNormal="118" zoomScaleSheetLayoutView="95" workbookViewId="0">
      <selection activeCell="D46" sqref="D46"/>
    </sheetView>
  </sheetViews>
  <sheetFormatPr defaultColWidth="9.140625" defaultRowHeight="12.75" x14ac:dyDescent="0.25"/>
  <cols>
    <col min="1" max="1" width="36.28515625" style="3" customWidth="1"/>
    <col min="2" max="2" width="14" style="45" customWidth="1"/>
    <col min="3" max="3" width="7.5703125" style="48" customWidth="1"/>
    <col min="4" max="4" width="20.7109375" style="10" customWidth="1"/>
    <col min="5" max="5" width="15.85546875" style="3" customWidth="1"/>
    <col min="6" max="6" width="12.85546875" style="3" customWidth="1"/>
    <col min="7" max="7" width="18.42578125" style="3" customWidth="1"/>
    <col min="8" max="8" width="8.5703125" style="3" bestFit="1" customWidth="1"/>
    <col min="9" max="9" width="11" style="3" bestFit="1" customWidth="1"/>
    <col min="10" max="10" width="10" style="3" bestFit="1" customWidth="1"/>
    <col min="11" max="16384" width="9.140625" style="3"/>
  </cols>
  <sheetData>
    <row r="1" spans="1:13" x14ac:dyDescent="0.25">
      <c r="B1" s="4"/>
      <c r="C1" s="3"/>
      <c r="D1" s="3"/>
      <c r="G1" s="1"/>
      <c r="H1" s="1"/>
      <c r="I1" s="4"/>
    </row>
    <row r="2" spans="1:13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3" ht="12.75" customHeight="1" x14ac:dyDescent="0.25">
      <c r="A3" s="354"/>
      <c r="B3" s="4"/>
      <c r="C3" s="3"/>
      <c r="D3" s="3"/>
      <c r="G3" s="112"/>
      <c r="H3" s="112"/>
      <c r="I3" s="4"/>
    </row>
    <row r="4" spans="1:13" ht="12.75" customHeight="1" x14ac:dyDescent="0.25">
      <c r="A4" s="354"/>
      <c r="B4" s="4"/>
      <c r="C4" s="3"/>
      <c r="D4" s="3"/>
      <c r="G4" s="112"/>
      <c r="H4" s="112"/>
      <c r="I4" s="4"/>
    </row>
    <row r="5" spans="1:13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3" x14ac:dyDescent="0.25">
      <c r="A6" s="102"/>
      <c r="B6" s="4"/>
      <c r="C6" s="3"/>
      <c r="D6" s="3"/>
      <c r="G6" s="1"/>
      <c r="H6" s="1"/>
      <c r="I6" s="4"/>
    </row>
    <row r="7" spans="1:13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3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4"/>
    </row>
    <row r="9" spans="1:13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3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3" x14ac:dyDescent="0.25">
      <c r="A12" s="11" t="s">
        <v>74</v>
      </c>
      <c r="B12" s="41"/>
      <c r="C12" s="29"/>
      <c r="D12" s="13"/>
      <c r="E12" s="12"/>
      <c r="F12" s="12"/>
      <c r="G12" s="12"/>
      <c r="H12" s="14"/>
    </row>
    <row r="13" spans="1:13" x14ac:dyDescent="0.25">
      <c r="A13" s="15"/>
      <c r="B13" s="42"/>
      <c r="C13" s="47"/>
      <c r="D13" s="16"/>
      <c r="E13" s="16"/>
      <c r="F13" s="16"/>
      <c r="H13" s="17"/>
    </row>
    <row r="14" spans="1:13" ht="15.7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  <c r="J14" s="3" t="s">
        <v>990</v>
      </c>
      <c r="K14" s="3" t="s">
        <v>253</v>
      </c>
    </row>
    <row r="15" spans="1:13" ht="30" customHeight="1" x14ac:dyDescent="0.25">
      <c r="A15" s="140" t="s">
        <v>190</v>
      </c>
      <c r="B15" s="53">
        <f>(J15+K15)</f>
        <v>160</v>
      </c>
      <c r="C15" s="40" t="s">
        <v>11</v>
      </c>
      <c r="D15" s="34">
        <v>1000</v>
      </c>
      <c r="E15" s="18" t="s">
        <v>187</v>
      </c>
      <c r="F15" s="57" t="s">
        <v>112</v>
      </c>
      <c r="G15" s="120">
        <f>D15*B15</f>
        <v>160000</v>
      </c>
      <c r="H15" s="20"/>
      <c r="J15" s="1">
        <f>9*17</f>
        <v>153</v>
      </c>
      <c r="K15" s="1">
        <f>3+4</f>
        <v>7</v>
      </c>
      <c r="M15" s="3">
        <f>8+7+17*15</f>
        <v>270</v>
      </c>
    </row>
    <row r="16" spans="1:13" ht="15.75" customHeight="1" x14ac:dyDescent="0.25">
      <c r="A16" s="143" t="s">
        <v>193</v>
      </c>
      <c r="B16" s="53">
        <f>K15</f>
        <v>7</v>
      </c>
      <c r="C16" s="52" t="s">
        <v>11</v>
      </c>
      <c r="D16" s="35">
        <v>4000</v>
      </c>
      <c r="E16" s="21" t="s">
        <v>187</v>
      </c>
      <c r="F16" s="61" t="s">
        <v>112</v>
      </c>
      <c r="G16" s="118">
        <f>D16*B16</f>
        <v>28000</v>
      </c>
      <c r="H16" s="20"/>
      <c r="J16" s="1"/>
      <c r="K16" s="1"/>
    </row>
    <row r="17" spans="1:11" ht="15.75" customHeight="1" x14ac:dyDescent="0.25">
      <c r="A17" s="143" t="s">
        <v>194</v>
      </c>
      <c r="B17" s="53">
        <f>(J17+K17)</f>
        <v>42</v>
      </c>
      <c r="C17" s="52" t="s">
        <v>11</v>
      </c>
      <c r="D17" s="35">
        <v>350</v>
      </c>
      <c r="E17" s="21" t="s">
        <v>187</v>
      </c>
      <c r="F17" s="61" t="s">
        <v>112</v>
      </c>
      <c r="G17" s="118">
        <f>+B17*D17</f>
        <v>14700</v>
      </c>
      <c r="H17" s="20"/>
      <c r="J17" s="1">
        <f>4*9</f>
        <v>36</v>
      </c>
      <c r="K17" s="1">
        <f>2+2+2</f>
        <v>6</v>
      </c>
    </row>
    <row r="18" spans="1:11" ht="15.75" customHeight="1" x14ac:dyDescent="0.25">
      <c r="A18" s="143" t="s">
        <v>75</v>
      </c>
      <c r="B18" s="53">
        <f>(J18+K18)</f>
        <v>47</v>
      </c>
      <c r="C18" s="52" t="s">
        <v>11</v>
      </c>
      <c r="D18" s="35">
        <v>4500</v>
      </c>
      <c r="E18" s="21" t="s">
        <v>187</v>
      </c>
      <c r="F18" s="61" t="s">
        <v>112</v>
      </c>
      <c r="G18" s="118">
        <f>+B18*D18</f>
        <v>211500</v>
      </c>
      <c r="H18" s="20"/>
      <c r="J18" s="3">
        <f>5*9</f>
        <v>45</v>
      </c>
      <c r="K18" s="3">
        <f>2</f>
        <v>2</v>
      </c>
    </row>
    <row r="19" spans="1:11" ht="15.75" customHeight="1" x14ac:dyDescent="0.25">
      <c r="A19" s="359" t="s">
        <v>33</v>
      </c>
      <c r="B19" s="360"/>
      <c r="C19" s="360"/>
      <c r="D19" s="360"/>
      <c r="E19" s="360"/>
      <c r="F19" s="360"/>
      <c r="G19" s="119">
        <f>SUM(G15:G18)</f>
        <v>414200</v>
      </c>
      <c r="H19" s="23">
        <f>G19/'Dados Gerais'!$C$14</f>
        <v>55.545497824177446</v>
      </c>
    </row>
    <row r="20" spans="1:11" x14ac:dyDescent="0.25">
      <c r="A20" s="364"/>
      <c r="B20" s="365"/>
      <c r="C20" s="365"/>
      <c r="D20" s="365"/>
      <c r="E20" s="365"/>
      <c r="F20" s="365"/>
      <c r="G20" s="25"/>
      <c r="H20" s="27"/>
    </row>
    <row r="21" spans="1:11" x14ac:dyDescent="0.25">
      <c r="A21" s="11" t="s">
        <v>223</v>
      </c>
      <c r="B21" s="41"/>
      <c r="C21" s="29"/>
      <c r="D21" s="13"/>
      <c r="E21" s="12"/>
      <c r="F21" s="12"/>
      <c r="G21" s="12"/>
      <c r="H21" s="14"/>
    </row>
    <row r="22" spans="1:11" x14ac:dyDescent="0.25">
      <c r="A22" s="15"/>
      <c r="B22" s="42"/>
      <c r="C22" s="47"/>
      <c r="D22" s="16"/>
      <c r="E22" s="16"/>
      <c r="F22" s="16"/>
      <c r="H22" s="17"/>
    </row>
    <row r="23" spans="1:11" x14ac:dyDescent="0.25">
      <c r="A23" s="114" t="s">
        <v>27</v>
      </c>
      <c r="B23" s="362" t="s">
        <v>36</v>
      </c>
      <c r="C23" s="363"/>
      <c r="D23" s="357" t="s">
        <v>16</v>
      </c>
      <c r="E23" s="358"/>
      <c r="F23" s="115" t="s">
        <v>31</v>
      </c>
      <c r="G23" s="116" t="s">
        <v>30</v>
      </c>
      <c r="H23" s="17"/>
    </row>
    <row r="24" spans="1:11" x14ac:dyDescent="0.25">
      <c r="A24" s="133" t="s">
        <v>220</v>
      </c>
      <c r="B24" s="53">
        <v>1</v>
      </c>
      <c r="C24" s="54" t="s">
        <v>47</v>
      </c>
      <c r="D24" s="37">
        <v>1</v>
      </c>
      <c r="E24" s="38" t="s">
        <v>17</v>
      </c>
      <c r="F24" s="58" t="s">
        <v>112</v>
      </c>
      <c r="G24" s="118">
        <f>+D24*'Dados Gerais'!$C$14</f>
        <v>7456.95</v>
      </c>
      <c r="H24" s="20"/>
      <c r="I24" s="84"/>
    </row>
    <row r="25" spans="1:11" x14ac:dyDescent="0.25">
      <c r="A25" s="133" t="s">
        <v>221</v>
      </c>
      <c r="B25" s="53">
        <v>1</v>
      </c>
      <c r="C25" s="54" t="s">
        <v>47</v>
      </c>
      <c r="D25" s="37">
        <v>2</v>
      </c>
      <c r="E25" s="38" t="s">
        <v>17</v>
      </c>
      <c r="F25" s="58" t="s">
        <v>112</v>
      </c>
      <c r="G25" s="118">
        <f>+D25*'Dados Gerais'!$C$14</f>
        <v>14913.9</v>
      </c>
      <c r="H25" s="20"/>
      <c r="I25" s="84"/>
    </row>
    <row r="26" spans="1:11" x14ac:dyDescent="0.25">
      <c r="A26" s="133" t="s">
        <v>222</v>
      </c>
      <c r="B26" s="53">
        <v>1</v>
      </c>
      <c r="C26" s="54" t="s">
        <v>47</v>
      </c>
      <c r="D26" s="37">
        <v>6</v>
      </c>
      <c r="E26" s="38" t="s">
        <v>17</v>
      </c>
      <c r="F26" s="58" t="s">
        <v>112</v>
      </c>
      <c r="G26" s="118">
        <f>+D26*'Dados Gerais'!$C$14</f>
        <v>44741.7</v>
      </c>
      <c r="H26" s="20"/>
      <c r="I26" s="84"/>
      <c r="J26" s="84"/>
    </row>
    <row r="27" spans="1:11" ht="25.5" x14ac:dyDescent="0.25">
      <c r="A27" s="133" t="s">
        <v>255</v>
      </c>
      <c r="B27" s="53">
        <v>1</v>
      </c>
      <c r="C27" s="54" t="s">
        <v>47</v>
      </c>
      <c r="D27" s="37">
        <v>2</v>
      </c>
      <c r="E27" s="38" t="s">
        <v>17</v>
      </c>
      <c r="F27" s="58" t="s">
        <v>112</v>
      </c>
      <c r="G27" s="118"/>
      <c r="H27" s="20"/>
      <c r="I27" s="84"/>
      <c r="J27" s="84"/>
    </row>
    <row r="28" spans="1:11" x14ac:dyDescent="0.25">
      <c r="A28" s="359" t="s">
        <v>33</v>
      </c>
      <c r="B28" s="360"/>
      <c r="C28" s="360"/>
      <c r="D28" s="360"/>
      <c r="E28" s="360"/>
      <c r="F28" s="360"/>
      <c r="G28" s="119">
        <f>SUM(G24:G27)</f>
        <v>67112.549999999988</v>
      </c>
      <c r="H28" s="23">
        <f>G28/'Dados Gerais'!$C$14</f>
        <v>8.9999999999999982</v>
      </c>
      <c r="J28" s="84"/>
    </row>
    <row r="29" spans="1:11" x14ac:dyDescent="0.25">
      <c r="A29" s="364"/>
      <c r="B29" s="365"/>
      <c r="C29" s="365"/>
      <c r="D29" s="365"/>
      <c r="E29" s="365"/>
      <c r="F29" s="365"/>
      <c r="G29" s="25"/>
      <c r="H29" s="27"/>
      <c r="J29" s="84"/>
    </row>
    <row r="30" spans="1:11" ht="15.75" customHeight="1" x14ac:dyDescent="0.25">
      <c r="A30" s="11" t="s">
        <v>191</v>
      </c>
      <c r="B30" s="41"/>
      <c r="C30" s="29"/>
      <c r="D30" s="13"/>
      <c r="E30" s="12"/>
      <c r="F30" s="12"/>
      <c r="G30" s="12"/>
      <c r="H30" s="14"/>
    </row>
    <row r="31" spans="1:11" ht="15.75" customHeight="1" x14ac:dyDescent="0.25">
      <c r="A31" s="15"/>
      <c r="B31" s="42"/>
      <c r="C31" s="47"/>
      <c r="D31" s="16"/>
      <c r="E31" s="16"/>
      <c r="F31" s="16"/>
      <c r="H31" s="17"/>
    </row>
    <row r="32" spans="1:11" ht="15.75" customHeight="1" x14ac:dyDescent="0.25">
      <c r="A32" s="114" t="s">
        <v>27</v>
      </c>
      <c r="B32" s="362" t="s">
        <v>36</v>
      </c>
      <c r="C32" s="363"/>
      <c r="D32" s="357" t="s">
        <v>16</v>
      </c>
      <c r="E32" s="358"/>
      <c r="F32" s="115" t="s">
        <v>31</v>
      </c>
      <c r="G32" s="116" t="s">
        <v>30</v>
      </c>
      <c r="H32" s="17"/>
    </row>
    <row r="33" spans="1:8" ht="15.75" customHeight="1" x14ac:dyDescent="0.25">
      <c r="A33" s="141" t="s">
        <v>192</v>
      </c>
      <c r="B33" s="52">
        <v>1</v>
      </c>
      <c r="C33" s="44" t="s">
        <v>47</v>
      </c>
      <c r="D33" s="35">
        <v>20</v>
      </c>
      <c r="E33" s="21" t="s">
        <v>17</v>
      </c>
      <c r="F33" s="55" t="s">
        <v>112</v>
      </c>
      <c r="G33" s="118">
        <f>+D33*'Dados Gerais'!C14</f>
        <v>149139</v>
      </c>
      <c r="H33" s="20"/>
    </row>
    <row r="34" spans="1:8" ht="15.75" customHeight="1" x14ac:dyDescent="0.25">
      <c r="A34" s="359" t="s">
        <v>33</v>
      </c>
      <c r="B34" s="360"/>
      <c r="C34" s="360"/>
      <c r="D34" s="360"/>
      <c r="E34" s="360"/>
      <c r="F34" s="360"/>
      <c r="G34" s="119">
        <f>SUM(G33:G33)</f>
        <v>149139</v>
      </c>
      <c r="H34" s="23"/>
    </row>
    <row r="35" spans="1:8" ht="15.75" customHeight="1" x14ac:dyDescent="0.25">
      <c r="A35" s="364"/>
      <c r="B35" s="365"/>
      <c r="C35" s="365"/>
      <c r="D35" s="365"/>
      <c r="E35" s="365"/>
      <c r="F35" s="365"/>
      <c r="G35" s="25"/>
      <c r="H35" s="27"/>
    </row>
    <row r="37" spans="1:8" x14ac:dyDescent="0.25">
      <c r="A37" s="11" t="s">
        <v>34</v>
      </c>
      <c r="B37" s="41"/>
      <c r="C37" s="29"/>
      <c r="D37" s="13"/>
      <c r="E37" s="12"/>
      <c r="F37" s="12"/>
      <c r="G37" s="12"/>
      <c r="H37" s="14"/>
    </row>
    <row r="38" spans="1:8" x14ac:dyDescent="0.25">
      <c r="A38" s="15"/>
      <c r="B38" s="42"/>
      <c r="C38" s="47"/>
      <c r="D38" s="16"/>
      <c r="E38" s="16"/>
      <c r="F38" s="16"/>
      <c r="H38" s="17"/>
    </row>
    <row r="39" spans="1:8" x14ac:dyDescent="0.25">
      <c r="A39" s="114" t="s">
        <v>27</v>
      </c>
      <c r="B39" s="362" t="s">
        <v>36</v>
      </c>
      <c r="C39" s="363"/>
      <c r="D39" s="357" t="s">
        <v>16</v>
      </c>
      <c r="E39" s="358"/>
      <c r="F39" s="115" t="s">
        <v>31</v>
      </c>
      <c r="G39" s="116" t="s">
        <v>30</v>
      </c>
      <c r="H39" s="17"/>
    </row>
    <row r="40" spans="1:8" x14ac:dyDescent="0.25">
      <c r="A40" s="143" t="s">
        <v>100</v>
      </c>
      <c r="B40" s="52">
        <v>2</v>
      </c>
      <c r="C40" s="52" t="s">
        <v>11</v>
      </c>
      <c r="D40" s="75">
        <v>226000</v>
      </c>
      <c r="E40" s="76" t="s">
        <v>187</v>
      </c>
      <c r="F40" s="61" t="s">
        <v>112</v>
      </c>
      <c r="G40" s="158">
        <f>B40*D40</f>
        <v>452000</v>
      </c>
      <c r="H40" s="17"/>
    </row>
    <row r="41" spans="1:8" ht="12.75" customHeight="1" x14ac:dyDescent="0.25">
      <c r="A41" s="272" t="s">
        <v>198</v>
      </c>
      <c r="B41" s="273">
        <v>1</v>
      </c>
      <c r="C41" s="273" t="s">
        <v>11</v>
      </c>
      <c r="D41" s="274">
        <v>80000</v>
      </c>
      <c r="E41" s="275" t="s">
        <v>102</v>
      </c>
      <c r="F41" s="276" t="s">
        <v>112</v>
      </c>
      <c r="G41" s="277"/>
      <c r="H41" s="17"/>
    </row>
    <row r="42" spans="1:8" ht="12.75" customHeight="1" x14ac:dyDescent="0.25">
      <c r="A42" s="272" t="s">
        <v>232</v>
      </c>
      <c r="B42" s="273">
        <v>1</v>
      </c>
      <c r="C42" s="273" t="s">
        <v>11</v>
      </c>
      <c r="D42" s="274">
        <v>250000</v>
      </c>
      <c r="E42" s="275" t="s">
        <v>102</v>
      </c>
      <c r="F42" s="276" t="s">
        <v>112</v>
      </c>
      <c r="G42" s="277"/>
      <c r="H42" s="17"/>
    </row>
    <row r="43" spans="1:8" ht="12.75" customHeight="1" x14ac:dyDescent="0.25">
      <c r="A43" s="143" t="s">
        <v>233</v>
      </c>
      <c r="B43" s="52">
        <f>1*5*9</f>
        <v>45</v>
      </c>
      <c r="C43" s="52" t="s">
        <v>11</v>
      </c>
      <c r="D43" s="75">
        <v>500</v>
      </c>
      <c r="E43" s="76" t="s">
        <v>187</v>
      </c>
      <c r="F43" s="61" t="s">
        <v>112</v>
      </c>
      <c r="G43" s="118"/>
      <c r="H43" s="17"/>
    </row>
    <row r="44" spans="1:8" ht="12.75" customHeight="1" x14ac:dyDescent="0.25">
      <c r="A44" s="143" t="s">
        <v>991</v>
      </c>
      <c r="B44" s="52">
        <v>1</v>
      </c>
      <c r="C44" s="52" t="s">
        <v>11</v>
      </c>
      <c r="D44" s="172">
        <v>10000</v>
      </c>
      <c r="E44" s="76" t="s">
        <v>187</v>
      </c>
      <c r="F44" s="61" t="s">
        <v>112</v>
      </c>
      <c r="G44" s="118"/>
      <c r="H44" s="17"/>
    </row>
    <row r="45" spans="1:8" ht="12.75" customHeight="1" x14ac:dyDescent="0.25">
      <c r="A45" s="272" t="s">
        <v>254</v>
      </c>
      <c r="B45" s="273">
        <f>11.63*16.25</f>
        <v>188.98750000000001</v>
      </c>
      <c r="C45" s="273" t="s">
        <v>261</v>
      </c>
      <c r="D45" s="278">
        <v>810</v>
      </c>
      <c r="E45" s="275" t="s">
        <v>266</v>
      </c>
      <c r="F45" s="276" t="s">
        <v>112</v>
      </c>
      <c r="G45" s="277"/>
      <c r="H45" s="17"/>
    </row>
    <row r="46" spans="1:8" ht="12.75" customHeight="1" x14ac:dyDescent="0.25">
      <c r="A46" s="143" t="s">
        <v>101</v>
      </c>
      <c r="B46" s="52">
        <v>1</v>
      </c>
      <c r="C46" s="52" t="s">
        <v>11</v>
      </c>
      <c r="D46" s="85">
        <v>50000</v>
      </c>
      <c r="E46" s="76" t="s">
        <v>102</v>
      </c>
      <c r="F46" s="61" t="s">
        <v>112</v>
      </c>
      <c r="G46" s="118">
        <f t="shared" ref="G46" si="0">+B46*D46</f>
        <v>50000</v>
      </c>
      <c r="H46" s="17"/>
    </row>
    <row r="47" spans="1:8" x14ac:dyDescent="0.25">
      <c r="A47" s="359" t="s">
        <v>33</v>
      </c>
      <c r="B47" s="360"/>
      <c r="C47" s="360"/>
      <c r="D47" s="360"/>
      <c r="E47" s="360"/>
      <c r="F47" s="360"/>
      <c r="G47" s="119">
        <f>SUM(G40:G46)</f>
        <v>502000</v>
      </c>
      <c r="H47" s="23">
        <f>G47/'Dados Gerais'!$C$14</f>
        <v>67.319748690818628</v>
      </c>
    </row>
    <row r="48" spans="1:8" x14ac:dyDescent="0.25">
      <c r="A48" s="364"/>
      <c r="B48" s="365"/>
      <c r="C48" s="365"/>
      <c r="D48" s="365"/>
      <c r="E48" s="365"/>
      <c r="F48" s="365"/>
      <c r="G48" s="62"/>
      <c r="H48" s="27"/>
    </row>
    <row r="50" spans="1:8" x14ac:dyDescent="0.25">
      <c r="A50" s="361" t="s">
        <v>212</v>
      </c>
      <c r="B50" s="361"/>
      <c r="C50" s="361"/>
      <c r="D50" s="361"/>
      <c r="E50" s="361"/>
      <c r="F50" s="361"/>
      <c r="G50" s="98">
        <f>G19+G34+G47+G28</f>
        <v>1132451.55</v>
      </c>
      <c r="H50" s="99">
        <f>G50/'Dados Gerais'!C14</f>
        <v>151.86524651499607</v>
      </c>
    </row>
  </sheetData>
  <mergeCells count="18">
    <mergeCell ref="B14:C14"/>
    <mergeCell ref="D14:E14"/>
    <mergeCell ref="A2:A4"/>
    <mergeCell ref="A35:F35"/>
    <mergeCell ref="B39:C39"/>
    <mergeCell ref="D39:E39"/>
    <mergeCell ref="A34:F34"/>
    <mergeCell ref="B32:C32"/>
    <mergeCell ref="D32:E32"/>
    <mergeCell ref="A19:F19"/>
    <mergeCell ref="A20:F20"/>
    <mergeCell ref="B23:C23"/>
    <mergeCell ref="D23:E23"/>
    <mergeCell ref="A50:F50"/>
    <mergeCell ref="A47:F47"/>
    <mergeCell ref="A48:F48"/>
    <mergeCell ref="A28:F28"/>
    <mergeCell ref="A29:F2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H26"/>
  <sheetViews>
    <sheetView showGridLines="0" topLeftCell="A9" zoomScale="115" zoomScaleNormal="115" zoomScaleSheetLayoutView="95" workbookViewId="0">
      <selection activeCell="G19" sqref="G19"/>
    </sheetView>
  </sheetViews>
  <sheetFormatPr defaultColWidth="9.140625" defaultRowHeight="12.75" x14ac:dyDescent="0.25"/>
  <cols>
    <col min="1" max="1" width="35.85546875" style="3" bestFit="1" customWidth="1"/>
    <col min="2" max="2" width="14" style="45" customWidth="1"/>
    <col min="3" max="3" width="7.5703125" style="48" customWidth="1"/>
    <col min="4" max="4" width="10.7109375" style="10" customWidth="1"/>
    <col min="5" max="5" width="15.85546875" style="3" customWidth="1"/>
    <col min="6" max="6" width="12.85546875" style="3" customWidth="1"/>
    <col min="7" max="7" width="15.42578125" style="3" bestFit="1" customWidth="1"/>
    <col min="8" max="8" width="13.140625" style="3" customWidth="1"/>
    <col min="9" max="16384" width="9.140625" style="3"/>
  </cols>
  <sheetData>
    <row r="1" spans="1:8" x14ac:dyDescent="0.25">
      <c r="B1" s="4"/>
      <c r="C1" s="3"/>
      <c r="D1" s="3"/>
      <c r="G1" s="1"/>
      <c r="H1" s="1"/>
    </row>
    <row r="2" spans="1:8" ht="12.75" customHeight="1" x14ac:dyDescent="0.25">
      <c r="A2" s="353" t="s">
        <v>225</v>
      </c>
      <c r="B2" s="4"/>
      <c r="C2" s="3"/>
      <c r="D2" s="3"/>
      <c r="G2" s="112"/>
      <c r="H2" s="112"/>
    </row>
    <row r="3" spans="1:8" ht="12.75" customHeight="1" x14ac:dyDescent="0.25">
      <c r="A3" s="354"/>
      <c r="B3" s="4"/>
      <c r="C3" s="3"/>
      <c r="D3" s="3"/>
      <c r="G3" s="112"/>
      <c r="H3" s="112"/>
    </row>
    <row r="4" spans="1:8" ht="12.75" customHeight="1" x14ac:dyDescent="0.25">
      <c r="A4" s="354"/>
      <c r="B4" s="4"/>
      <c r="C4" s="3"/>
      <c r="D4" s="3"/>
      <c r="G4" s="112"/>
      <c r="H4" s="112"/>
    </row>
    <row r="5" spans="1:8" ht="13.5" thickBot="1" x14ac:dyDescent="0.3">
      <c r="A5" s="100"/>
      <c r="B5" s="101"/>
      <c r="C5" s="101"/>
      <c r="D5" s="101"/>
      <c r="E5" s="101"/>
      <c r="F5" s="101"/>
      <c r="G5" s="2"/>
      <c r="H5" s="2"/>
    </row>
    <row r="6" spans="1:8" x14ac:dyDescent="0.25">
      <c r="A6" s="102"/>
      <c r="B6" s="4"/>
      <c r="C6" s="3"/>
      <c r="D6" s="3"/>
      <c r="G6" s="1"/>
      <c r="H6" s="1"/>
    </row>
    <row r="7" spans="1:8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</row>
    <row r="8" spans="1:8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</row>
    <row r="9" spans="1:8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8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8" x14ac:dyDescent="0.25">
      <c r="A12" s="11" t="s">
        <v>76</v>
      </c>
      <c r="B12" s="41"/>
      <c r="C12" s="29"/>
      <c r="D12" s="13"/>
      <c r="E12" s="12"/>
      <c r="F12" s="12"/>
      <c r="G12" s="12"/>
      <c r="H12" s="14"/>
    </row>
    <row r="13" spans="1:8" ht="15.95" customHeight="1" x14ac:dyDescent="0.25">
      <c r="A13" s="15"/>
      <c r="B13" s="42"/>
      <c r="C13" s="47"/>
      <c r="D13" s="16"/>
      <c r="E13" s="16"/>
      <c r="F13" s="16"/>
      <c r="H13" s="17"/>
    </row>
    <row r="14" spans="1:8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8" ht="15.95" customHeight="1" x14ac:dyDescent="0.25">
      <c r="A15" s="138" t="s">
        <v>82</v>
      </c>
      <c r="B15" s="51">
        <f>B19+B20</f>
        <v>3780</v>
      </c>
      <c r="C15" s="54" t="s">
        <v>10</v>
      </c>
      <c r="D15" s="34">
        <v>25</v>
      </c>
      <c r="E15" s="18" t="s">
        <v>48</v>
      </c>
      <c r="F15" s="57" t="s">
        <v>112</v>
      </c>
      <c r="G15" s="120">
        <f>+B15*D15</f>
        <v>94500</v>
      </c>
      <c r="H15" s="17"/>
    </row>
    <row r="16" spans="1:8" ht="15.95" customHeight="1" x14ac:dyDescent="0.25">
      <c r="A16" s="144" t="s">
        <v>77</v>
      </c>
      <c r="B16" s="53">
        <f>3.33*2+7.3*1.8*2</f>
        <v>32.94</v>
      </c>
      <c r="C16" s="54" t="s">
        <v>10</v>
      </c>
      <c r="D16" s="37">
        <v>45</v>
      </c>
      <c r="E16" s="38" t="s">
        <v>48</v>
      </c>
      <c r="F16" s="58" t="s">
        <v>112</v>
      </c>
      <c r="G16" s="118">
        <f>+B16*D16</f>
        <v>1482.3</v>
      </c>
      <c r="H16" s="20"/>
    </row>
    <row r="17" spans="1:8" ht="15.95" customHeight="1" x14ac:dyDescent="0.25">
      <c r="A17" s="133" t="s">
        <v>78</v>
      </c>
      <c r="B17" s="53">
        <f>Infraestrutura!B28</f>
        <v>380.66500000000002</v>
      </c>
      <c r="C17" s="54" t="s">
        <v>10</v>
      </c>
      <c r="D17" s="37">
        <v>30</v>
      </c>
      <c r="E17" s="38" t="s">
        <v>48</v>
      </c>
      <c r="F17" s="58" t="s">
        <v>112</v>
      </c>
      <c r="G17" s="118">
        <f>+B17*D17</f>
        <v>11419.95</v>
      </c>
      <c r="H17" s="20"/>
    </row>
    <row r="18" spans="1:8" ht="15.95" customHeight="1" x14ac:dyDescent="0.25">
      <c r="A18" s="133" t="s">
        <v>79</v>
      </c>
      <c r="B18" s="53">
        <v>1</v>
      </c>
      <c r="C18" s="54" t="s">
        <v>47</v>
      </c>
      <c r="D18" s="37">
        <v>0.4</v>
      </c>
      <c r="E18" s="38" t="s">
        <v>17</v>
      </c>
      <c r="F18" s="58" t="s">
        <v>112</v>
      </c>
      <c r="G18" s="118">
        <f>D18*'Dados Gerais'!C14</f>
        <v>2982.78</v>
      </c>
      <c r="H18" s="20"/>
    </row>
    <row r="19" spans="1:8" ht="15.95" customHeight="1" x14ac:dyDescent="0.25">
      <c r="A19" s="133" t="s">
        <v>80</v>
      </c>
      <c r="B19" s="53">
        <f>D19*'Dados Gerais'!C14</f>
        <v>2982.78</v>
      </c>
      <c r="C19" s="54" t="s">
        <v>10</v>
      </c>
      <c r="D19" s="37">
        <v>0.4</v>
      </c>
      <c r="E19" s="38" t="s">
        <v>113</v>
      </c>
      <c r="F19" s="58" t="s">
        <v>112</v>
      </c>
      <c r="G19" s="118">
        <f>+B19*105</f>
        <v>313191.90000000002</v>
      </c>
      <c r="H19" s="20"/>
    </row>
    <row r="20" spans="1:8" ht="15.95" customHeight="1" x14ac:dyDescent="0.25">
      <c r="A20" s="133" t="s">
        <v>83</v>
      </c>
      <c r="B20" s="53">
        <f>('Dados Gerais'!G18+60.55+10.1+11.01+12.85+5.06+6.35)*1.2</f>
        <v>797.21999999999991</v>
      </c>
      <c r="C20" s="54" t="s">
        <v>10</v>
      </c>
      <c r="D20" s="75">
        <v>0.18</v>
      </c>
      <c r="E20" s="38" t="s">
        <v>113</v>
      </c>
      <c r="F20" s="55" t="s">
        <v>112</v>
      </c>
      <c r="G20" s="118">
        <f>+B20*120</f>
        <v>95666.4</v>
      </c>
      <c r="H20" s="20"/>
    </row>
    <row r="21" spans="1:8" ht="15.95" customHeight="1" x14ac:dyDescent="0.25">
      <c r="A21" s="133" t="s">
        <v>81</v>
      </c>
      <c r="B21" s="53">
        <v>1</v>
      </c>
      <c r="C21" s="54" t="s">
        <v>47</v>
      </c>
      <c r="D21" s="35">
        <v>1</v>
      </c>
      <c r="E21" s="21" t="s">
        <v>17</v>
      </c>
      <c r="F21" s="55" t="s">
        <v>112</v>
      </c>
      <c r="G21" s="118">
        <f>+D21*'Dados Gerais'!$C$14</f>
        <v>7456.95</v>
      </c>
      <c r="H21" s="20"/>
    </row>
    <row r="22" spans="1:8" ht="15.95" customHeight="1" x14ac:dyDescent="0.25">
      <c r="A22" s="139" t="s">
        <v>84</v>
      </c>
      <c r="B22" s="56">
        <f>B20</f>
        <v>797.21999999999991</v>
      </c>
      <c r="C22" s="49" t="s">
        <v>10</v>
      </c>
      <c r="D22" s="36">
        <v>28</v>
      </c>
      <c r="E22" s="24" t="s">
        <v>48</v>
      </c>
      <c r="F22" s="50" t="s">
        <v>112</v>
      </c>
      <c r="G22" s="122">
        <f>D22*B22</f>
        <v>22322.159999999996</v>
      </c>
      <c r="H22" s="20"/>
    </row>
    <row r="23" spans="1:8" ht="15.95" customHeight="1" x14ac:dyDescent="0.25">
      <c r="A23" s="359" t="s">
        <v>33</v>
      </c>
      <c r="B23" s="360"/>
      <c r="C23" s="360"/>
      <c r="D23" s="360"/>
      <c r="E23" s="360"/>
      <c r="F23" s="360"/>
      <c r="G23" s="119">
        <f>SUM(G15:G22)</f>
        <v>549022.44000000006</v>
      </c>
      <c r="H23" s="23"/>
    </row>
    <row r="24" spans="1:8" ht="15.95" customHeight="1" x14ac:dyDescent="0.25">
      <c r="A24" s="364"/>
      <c r="B24" s="365"/>
      <c r="C24" s="365"/>
      <c r="D24" s="365"/>
      <c r="E24" s="365"/>
      <c r="F24" s="365"/>
      <c r="G24" s="62"/>
      <c r="H24" s="27"/>
    </row>
    <row r="26" spans="1:8" x14ac:dyDescent="0.25">
      <c r="A26" s="361" t="s">
        <v>213</v>
      </c>
      <c r="B26" s="361"/>
      <c r="C26" s="361"/>
      <c r="D26" s="361"/>
      <c r="E26" s="361"/>
      <c r="F26" s="361"/>
      <c r="G26" s="98">
        <f>G23</f>
        <v>549022.44000000006</v>
      </c>
      <c r="H26" s="99">
        <f>G26/'Dados Gerais'!C14</f>
        <v>73.625602960996133</v>
      </c>
    </row>
  </sheetData>
  <mergeCells count="6">
    <mergeCell ref="A23:F23"/>
    <mergeCell ref="A2:A4"/>
    <mergeCell ref="A26:F26"/>
    <mergeCell ref="B14:C14"/>
    <mergeCell ref="D14:E14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29"/>
  <sheetViews>
    <sheetView showGridLines="0" topLeftCell="A3" zoomScale="87" zoomScaleNormal="87" zoomScaleSheetLayoutView="95" workbookViewId="0">
      <selection activeCell="G22" sqref="G22"/>
    </sheetView>
  </sheetViews>
  <sheetFormatPr defaultColWidth="9.140625" defaultRowHeight="12.75" x14ac:dyDescent="0.25"/>
  <cols>
    <col min="1" max="1" width="45" style="3" bestFit="1" customWidth="1"/>
    <col min="2" max="2" width="14" style="45" customWidth="1"/>
    <col min="3" max="3" width="7.5703125" style="48" customWidth="1"/>
    <col min="4" max="4" width="10.7109375" style="10" customWidth="1"/>
    <col min="5" max="5" width="15.85546875" style="3" customWidth="1"/>
    <col min="6" max="6" width="15.140625" style="3" customWidth="1"/>
    <col min="7" max="7" width="17.7109375" style="3" customWidth="1"/>
    <col min="8" max="8" width="13.140625" style="3" bestFit="1" customWidth="1"/>
    <col min="9" max="9" width="9.140625" style="3"/>
    <col min="10" max="10" width="12.85546875" style="3" bestFit="1" customWidth="1"/>
    <col min="11" max="16384" width="9.140625" style="3"/>
  </cols>
  <sheetData>
    <row r="1" spans="1:10" x14ac:dyDescent="0.25">
      <c r="B1" s="4"/>
      <c r="C1" s="3"/>
      <c r="D1" s="3"/>
      <c r="G1" s="1"/>
      <c r="H1" s="1"/>
      <c r="I1" s="4"/>
    </row>
    <row r="2" spans="1:10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0" ht="12.75" customHeight="1" x14ac:dyDescent="0.25">
      <c r="A3" s="354"/>
      <c r="B3" s="4"/>
      <c r="C3" s="3"/>
      <c r="D3" s="3"/>
      <c r="G3" s="112"/>
      <c r="H3" s="112"/>
      <c r="I3" s="4"/>
    </row>
    <row r="4" spans="1:10" ht="12.75" customHeight="1" x14ac:dyDescent="0.25">
      <c r="A4" s="354"/>
      <c r="B4" s="4"/>
      <c r="C4" s="3"/>
      <c r="D4" s="3"/>
      <c r="G4" s="112"/>
      <c r="H4" s="112"/>
      <c r="I4" s="4"/>
    </row>
    <row r="5" spans="1:10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0" x14ac:dyDescent="0.25">
      <c r="A6" s="102"/>
      <c r="B6" s="4"/>
      <c r="C6" s="3"/>
      <c r="D6" s="3"/>
      <c r="G6" s="1"/>
      <c r="H6" s="1"/>
      <c r="I6" s="4"/>
    </row>
    <row r="7" spans="1:10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0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4"/>
    </row>
    <row r="9" spans="1:10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0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0" x14ac:dyDescent="0.25">
      <c r="A12" s="11" t="s">
        <v>105</v>
      </c>
      <c r="B12" s="41"/>
      <c r="C12" s="29"/>
      <c r="D12" s="13"/>
      <c r="E12" s="12"/>
      <c r="F12" s="12"/>
      <c r="G12" s="12"/>
      <c r="H12" s="14"/>
    </row>
    <row r="13" spans="1:10" ht="15.95" customHeight="1" x14ac:dyDescent="0.25">
      <c r="A13" s="15"/>
      <c r="B13" s="42"/>
      <c r="C13" s="47"/>
      <c r="D13" s="16"/>
      <c r="E13" s="16"/>
      <c r="F13" s="16"/>
      <c r="H13" s="17"/>
      <c r="J13" s="59">
        <f>SUM(G15:G18)</f>
        <v>428546.44999999995</v>
      </c>
    </row>
    <row r="14" spans="1:10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  <c r="J14" s="59">
        <f>G20+G21</f>
        <v>150062.42658600002</v>
      </c>
    </row>
    <row r="15" spans="1:10" ht="15.95" customHeight="1" x14ac:dyDescent="0.25">
      <c r="A15" s="141" t="s">
        <v>1647</v>
      </c>
      <c r="B15" s="52">
        <f>'Acabamentos de Piso e Parede'!H31+'Acabamentos de Piso e Parede'!H32+'Acabamentos de Piso e Parede'!H33+'Acabamentos de Piso e Parede'!H34+'Acabamentos de Piso e Parede'!H35</f>
        <v>1581.2</v>
      </c>
      <c r="C15" s="44" t="s">
        <v>10</v>
      </c>
      <c r="D15" s="35">
        <v>157</v>
      </c>
      <c r="E15" s="21" t="s">
        <v>48</v>
      </c>
      <c r="F15" s="55" t="s">
        <v>112</v>
      </c>
      <c r="G15" s="118">
        <f>D15*B15</f>
        <v>248248.4</v>
      </c>
      <c r="H15" s="17"/>
    </row>
    <row r="16" spans="1:10" ht="15.95" customHeight="1" x14ac:dyDescent="0.25">
      <c r="A16" s="141" t="s">
        <v>1005</v>
      </c>
      <c r="B16" s="52">
        <f>'Acabamentos de Piso e Parede'!I31+'Acabamentos de Piso e Parede'!I32+'Acabamentos de Piso e Parede'!I33+'Acabamentos de Piso e Parede'!I34+'Acabamentos de Piso e Parede'!I35</f>
        <v>237.7</v>
      </c>
      <c r="C16" s="44" t="s">
        <v>10</v>
      </c>
      <c r="D16" s="35">
        <v>30</v>
      </c>
      <c r="E16" s="21" t="s">
        <v>48</v>
      </c>
      <c r="F16" s="55" t="s">
        <v>112</v>
      </c>
      <c r="G16" s="118">
        <f>D16*B16</f>
        <v>7131</v>
      </c>
      <c r="H16" s="17"/>
    </row>
    <row r="17" spans="1:8" ht="15.95" customHeight="1" x14ac:dyDescent="0.25">
      <c r="A17" s="133" t="s">
        <v>88</v>
      </c>
      <c r="B17" s="52">
        <f>SUM('Acabamentos de Piso e Parede'!B31:G35)-'Acabamentos de Piso e Parede'!D31+'Acabamentos de Piso e Parede'!M33</f>
        <v>4809.7199999999993</v>
      </c>
      <c r="C17" s="44" t="s">
        <v>10</v>
      </c>
      <c r="D17" s="35">
        <f>B17/'Dados Gerais'!C14</f>
        <v>0.64499829018566568</v>
      </c>
      <c r="E17" s="21" t="s">
        <v>85</v>
      </c>
      <c r="F17" s="55" t="s">
        <v>112</v>
      </c>
      <c r="G17" s="118">
        <f>+B17*25</f>
        <v>120242.99999999999</v>
      </c>
      <c r="H17" s="17"/>
    </row>
    <row r="18" spans="1:8" ht="15.95" customHeight="1" x14ac:dyDescent="0.25">
      <c r="A18" s="133" t="s">
        <v>197</v>
      </c>
      <c r="B18" s="52">
        <f>'Acabamentos de Piso e Parede'!B34+'Acabamentos de Piso e Parede'!G34</f>
        <v>3528.2699999999995</v>
      </c>
      <c r="C18" s="44" t="s">
        <v>10</v>
      </c>
      <c r="D18" s="35">
        <f>B18/'Dados Gerais'!C14</f>
        <v>0.47315189185927214</v>
      </c>
      <c r="E18" s="21" t="s">
        <v>85</v>
      </c>
      <c r="F18" s="55" t="s">
        <v>112</v>
      </c>
      <c r="G18" s="118">
        <f>+B18*15</f>
        <v>52924.049999999996</v>
      </c>
      <c r="H18" s="17"/>
    </row>
    <row r="19" spans="1:8" ht="15.95" customHeight="1" x14ac:dyDescent="0.25">
      <c r="A19" s="144" t="s">
        <v>1648</v>
      </c>
      <c r="B19" s="53">
        <f>B17</f>
        <v>4809.7199999999993</v>
      </c>
      <c r="C19" s="54"/>
      <c r="D19" s="37"/>
      <c r="E19" s="38"/>
      <c r="F19" s="58"/>
      <c r="G19" s="118">
        <f>B19*24</f>
        <v>115433.27999999998</v>
      </c>
      <c r="H19" s="17"/>
    </row>
    <row r="20" spans="1:8" ht="27" customHeight="1" x14ac:dyDescent="0.25">
      <c r="A20" s="144" t="s">
        <v>86</v>
      </c>
      <c r="B20" s="53">
        <f>Alvenaria!B23*2-'Rev. Fachada'!B15</f>
        <v>10349.132868000001</v>
      </c>
      <c r="C20" s="54" t="s">
        <v>10</v>
      </c>
      <c r="D20" s="37">
        <v>2.1</v>
      </c>
      <c r="E20" s="38" t="s">
        <v>85</v>
      </c>
      <c r="F20" s="58" t="s">
        <v>112</v>
      </c>
      <c r="G20" s="118">
        <f>+B20*2.5</f>
        <v>25872.832170000001</v>
      </c>
      <c r="H20" s="20"/>
    </row>
    <row r="21" spans="1:8" ht="27" customHeight="1" x14ac:dyDescent="0.25">
      <c r="A21" s="133" t="s">
        <v>87</v>
      </c>
      <c r="B21" s="53">
        <f>B20</f>
        <v>10349.132868000001</v>
      </c>
      <c r="C21" s="54" t="s">
        <v>10</v>
      </c>
      <c r="D21" s="37">
        <v>2.1</v>
      </c>
      <c r="E21" s="38" t="s">
        <v>85</v>
      </c>
      <c r="F21" s="58" t="s">
        <v>112</v>
      </c>
      <c r="G21" s="118">
        <f>B21*12</f>
        <v>124189.59441600001</v>
      </c>
      <c r="H21" s="20"/>
    </row>
    <row r="22" spans="1:8" ht="27" customHeight="1" x14ac:dyDescent="0.25">
      <c r="A22" s="133" t="s">
        <v>1649</v>
      </c>
      <c r="B22" s="53">
        <f>B20</f>
        <v>10349.132868000001</v>
      </c>
      <c r="C22" s="54" t="s">
        <v>10</v>
      </c>
      <c r="D22" s="37"/>
      <c r="E22" s="38" t="s">
        <v>85</v>
      </c>
      <c r="F22" s="58" t="s">
        <v>112</v>
      </c>
      <c r="G22" s="118">
        <f>B22*45</f>
        <v>465710.97906000004</v>
      </c>
      <c r="H22" s="20"/>
    </row>
    <row r="23" spans="1:8" ht="15.95" customHeight="1" x14ac:dyDescent="0.25">
      <c r="A23" s="359" t="s">
        <v>33</v>
      </c>
      <c r="B23" s="360"/>
      <c r="C23" s="360"/>
      <c r="D23" s="360"/>
      <c r="E23" s="360"/>
      <c r="F23" s="360"/>
      <c r="G23" s="119">
        <f>SUM(G15:G21)</f>
        <v>694042.156586</v>
      </c>
      <c r="H23" s="23"/>
    </row>
    <row r="24" spans="1:8" ht="15.95" customHeight="1" x14ac:dyDescent="0.25">
      <c r="A24" s="364"/>
      <c r="B24" s="365"/>
      <c r="C24" s="365"/>
      <c r="D24" s="365"/>
      <c r="E24" s="365"/>
      <c r="F24" s="365"/>
      <c r="G24" s="62"/>
      <c r="H24" s="27"/>
    </row>
    <row r="26" spans="1:8" x14ac:dyDescent="0.25">
      <c r="A26" s="361" t="s">
        <v>227</v>
      </c>
      <c r="B26" s="361"/>
      <c r="C26" s="361"/>
      <c r="D26" s="361"/>
      <c r="E26" s="361"/>
      <c r="F26" s="361"/>
      <c r="G26" s="98">
        <f>G23</f>
        <v>694042.156586</v>
      </c>
      <c r="H26" s="99">
        <f>G26/'Dados Gerais'!C14</f>
        <v>93.073194347018557</v>
      </c>
    </row>
    <row r="29" spans="1:8" x14ac:dyDescent="0.25">
      <c r="B29" s="45">
        <f>Alvenaria!B23*2-'Rev. Fachada'!B15</f>
        <v>10349.132868000001</v>
      </c>
    </row>
  </sheetData>
  <mergeCells count="6">
    <mergeCell ref="A2:A4"/>
    <mergeCell ref="A26:F26"/>
    <mergeCell ref="A24:F24"/>
    <mergeCell ref="A23:F23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J22"/>
  <sheetViews>
    <sheetView showGridLines="0" topLeftCell="A4" zoomScale="91" zoomScaleNormal="91" zoomScaleSheetLayoutView="95" workbookViewId="0">
      <selection activeCell="F25" sqref="F25"/>
    </sheetView>
  </sheetViews>
  <sheetFormatPr defaultColWidth="9.140625" defaultRowHeight="12.75" x14ac:dyDescent="0.25"/>
  <cols>
    <col min="1" max="1" width="41.42578125" style="3" customWidth="1"/>
    <col min="2" max="2" width="14" style="45" customWidth="1"/>
    <col min="3" max="3" width="7.5703125" style="48" customWidth="1"/>
    <col min="4" max="4" width="10.7109375" style="10" customWidth="1"/>
    <col min="5" max="5" width="15.85546875" style="3" customWidth="1"/>
    <col min="6" max="6" width="12.85546875" style="3" customWidth="1"/>
    <col min="7" max="7" width="17.42578125" style="3" customWidth="1"/>
    <col min="8" max="8" width="10.28515625" style="3" customWidth="1"/>
    <col min="9" max="9" width="11.28515625" style="3" bestFit="1" customWidth="1"/>
    <col min="10" max="16384" width="9.140625" style="3"/>
  </cols>
  <sheetData>
    <row r="1" spans="1:10" x14ac:dyDescent="0.25">
      <c r="B1" s="4"/>
      <c r="C1" s="3"/>
      <c r="D1" s="3"/>
      <c r="G1" s="1"/>
      <c r="H1" s="1"/>
      <c r="J1" s="4"/>
    </row>
    <row r="2" spans="1:10" ht="12.75" customHeight="1" x14ac:dyDescent="0.25">
      <c r="A2" s="353" t="s">
        <v>225</v>
      </c>
      <c r="B2" s="4"/>
      <c r="C2" s="3"/>
      <c r="D2" s="3"/>
      <c r="G2" s="112"/>
      <c r="H2" s="112"/>
      <c r="J2" s="4"/>
    </row>
    <row r="3" spans="1:10" ht="12.75" customHeight="1" x14ac:dyDescent="0.25">
      <c r="A3" s="354"/>
      <c r="B3" s="4"/>
      <c r="C3" s="3"/>
      <c r="D3" s="3"/>
      <c r="G3" s="112"/>
      <c r="H3" s="112"/>
      <c r="J3" s="4"/>
    </row>
    <row r="4" spans="1:10" ht="12.75" customHeight="1" x14ac:dyDescent="0.25">
      <c r="A4" s="354"/>
      <c r="B4" s="4"/>
      <c r="C4" s="3"/>
      <c r="D4" s="3"/>
      <c r="G4" s="112"/>
      <c r="H4" s="112"/>
      <c r="J4" s="4"/>
    </row>
    <row r="5" spans="1:10" ht="13.5" thickBot="1" x14ac:dyDescent="0.3">
      <c r="A5" s="100"/>
      <c r="B5" s="101"/>
      <c r="C5" s="101"/>
      <c r="D5" s="101"/>
      <c r="E5" s="101"/>
      <c r="F5" s="101"/>
      <c r="G5" s="2"/>
      <c r="H5" s="2"/>
      <c r="J5" s="4"/>
    </row>
    <row r="6" spans="1:10" x14ac:dyDescent="0.25">
      <c r="A6" s="102"/>
      <c r="B6" s="4"/>
      <c r="C6" s="3"/>
      <c r="D6" s="3"/>
      <c r="G6" s="1"/>
      <c r="H6" s="1"/>
      <c r="J6" s="4"/>
    </row>
    <row r="7" spans="1:10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J7" s="4"/>
    </row>
    <row r="8" spans="1:10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J8" s="4"/>
    </row>
    <row r="9" spans="1:10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0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0" x14ac:dyDescent="0.25">
      <c r="A12" s="11" t="s">
        <v>226</v>
      </c>
      <c r="B12" s="41"/>
      <c r="C12" s="29"/>
      <c r="D12" s="13"/>
      <c r="E12" s="12"/>
      <c r="F12" s="12"/>
      <c r="G12" s="12"/>
      <c r="H12" s="14"/>
    </row>
    <row r="13" spans="1:10" ht="15.95" customHeight="1" x14ac:dyDescent="0.25">
      <c r="A13" s="15"/>
      <c r="B13" s="43"/>
      <c r="C13" s="47"/>
      <c r="D13" s="16"/>
      <c r="E13" s="16"/>
      <c r="F13" s="16"/>
      <c r="H13" s="17"/>
    </row>
    <row r="14" spans="1:10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10" ht="15.95" customHeight="1" x14ac:dyDescent="0.25">
      <c r="A15" s="145" t="s">
        <v>1642</v>
      </c>
      <c r="B15" s="89">
        <f>+'Dados Gerais'!C14*D15</f>
        <v>5219.8649999999998</v>
      </c>
      <c r="C15" s="54" t="s">
        <v>10</v>
      </c>
      <c r="D15" s="51">
        <v>0.7</v>
      </c>
      <c r="E15" s="18" t="s">
        <v>85</v>
      </c>
      <c r="F15" s="57" t="s">
        <v>112</v>
      </c>
      <c r="G15" s="120">
        <f>+B15*110</f>
        <v>574185.15</v>
      </c>
      <c r="H15" s="17"/>
    </row>
    <row r="16" spans="1:10" ht="15.95" customHeight="1" x14ac:dyDescent="0.25">
      <c r="A16" s="133" t="s">
        <v>89</v>
      </c>
      <c r="B16" s="88">
        <f>B15*1.2</f>
        <v>6263.8379999999997</v>
      </c>
      <c r="C16" s="44" t="s">
        <v>12</v>
      </c>
      <c r="D16" s="52">
        <f>B16/'Dados Gerais'!$C$14</f>
        <v>0.84</v>
      </c>
      <c r="E16" s="21" t="s">
        <v>115</v>
      </c>
      <c r="F16" s="55" t="s">
        <v>112</v>
      </c>
      <c r="G16" s="118">
        <f>+B16*22</f>
        <v>137804.43599999999</v>
      </c>
      <c r="H16" s="20"/>
      <c r="J16" s="4"/>
    </row>
    <row r="17" spans="1:10" ht="15.95" customHeight="1" x14ac:dyDescent="0.25">
      <c r="A17" s="133" t="s">
        <v>992</v>
      </c>
      <c r="B17" s="147">
        <f>D17*'Dados Gerais'!$C$14</f>
        <v>1491.39</v>
      </c>
      <c r="C17" s="54" t="s">
        <v>10</v>
      </c>
      <c r="D17" s="52">
        <v>0.2</v>
      </c>
      <c r="E17" s="21" t="s">
        <v>17</v>
      </c>
      <c r="F17" s="55" t="s">
        <v>112</v>
      </c>
      <c r="G17" s="118">
        <f>B17*24</f>
        <v>35793.360000000001</v>
      </c>
      <c r="H17" s="20"/>
      <c r="J17" s="4"/>
    </row>
    <row r="18" spans="1:10" ht="15.95" customHeight="1" x14ac:dyDescent="0.25">
      <c r="A18" s="139" t="s">
        <v>196</v>
      </c>
      <c r="B18" s="147">
        <f>D18*'Dados Gerais'!$C$14</f>
        <v>0</v>
      </c>
      <c r="C18" s="54" t="s">
        <v>10</v>
      </c>
      <c r="D18" s="52">
        <v>0</v>
      </c>
      <c r="E18" s="24" t="s">
        <v>17</v>
      </c>
      <c r="F18" s="70" t="s">
        <v>112</v>
      </c>
      <c r="G18" s="122">
        <f>B18*91</f>
        <v>0</v>
      </c>
      <c r="H18" s="20"/>
    </row>
    <row r="19" spans="1:10" ht="15.95" customHeight="1" x14ac:dyDescent="0.25">
      <c r="A19" s="359" t="s">
        <v>33</v>
      </c>
      <c r="B19" s="360"/>
      <c r="C19" s="360"/>
      <c r="D19" s="360"/>
      <c r="E19" s="360"/>
      <c r="F19" s="360"/>
      <c r="G19" s="119">
        <f>SUM(G15:G18)</f>
        <v>747782.946</v>
      </c>
      <c r="H19" s="23"/>
    </row>
    <row r="20" spans="1:10" ht="15.95" customHeight="1" x14ac:dyDescent="0.25">
      <c r="A20" s="364"/>
      <c r="B20" s="365"/>
      <c r="C20" s="365"/>
      <c r="D20" s="365"/>
      <c r="E20" s="365"/>
      <c r="F20" s="365"/>
      <c r="G20" s="62"/>
      <c r="H20" s="27"/>
    </row>
    <row r="22" spans="1:10" x14ac:dyDescent="0.25">
      <c r="A22" s="361" t="s">
        <v>228</v>
      </c>
      <c r="B22" s="361"/>
      <c r="C22" s="361"/>
      <c r="D22" s="361"/>
      <c r="E22" s="361"/>
      <c r="F22" s="361"/>
      <c r="G22" s="98">
        <f>G19</f>
        <v>747782.946</v>
      </c>
      <c r="H22" s="99">
        <f>G22/'Dados Gerais'!C14</f>
        <v>100.28</v>
      </c>
    </row>
  </sheetData>
  <mergeCells count="6">
    <mergeCell ref="A22:F22"/>
    <mergeCell ref="A2:A4"/>
    <mergeCell ref="B14:C14"/>
    <mergeCell ref="D14:E14"/>
    <mergeCell ref="A20:F20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M81"/>
  <sheetViews>
    <sheetView showGridLines="0" topLeftCell="A12" zoomScaleNormal="100" zoomScaleSheetLayoutView="95" workbookViewId="0">
      <selection activeCell="D22" sqref="D22"/>
    </sheetView>
  </sheetViews>
  <sheetFormatPr defaultColWidth="9.140625" defaultRowHeight="12.75" x14ac:dyDescent="0.25"/>
  <cols>
    <col min="1" max="1" width="47.42578125" style="3" customWidth="1"/>
    <col min="2" max="2" width="14" style="45" customWidth="1"/>
    <col min="3" max="3" width="7.5703125" style="48" customWidth="1"/>
    <col min="4" max="4" width="10.7109375" style="10" customWidth="1"/>
    <col min="5" max="5" width="15.85546875" style="3" customWidth="1"/>
    <col min="6" max="6" width="12.85546875" style="3" customWidth="1"/>
    <col min="7" max="7" width="17" style="3" customWidth="1"/>
    <col min="8" max="8" width="11.85546875" style="3" customWidth="1"/>
    <col min="9" max="9" width="13.85546875" style="3" bestFit="1" customWidth="1"/>
    <col min="10" max="10" width="11" style="3" bestFit="1" customWidth="1"/>
    <col min="11" max="11" width="13.85546875" style="3" bestFit="1" customWidth="1"/>
    <col min="12" max="16384" width="9.140625" style="3"/>
  </cols>
  <sheetData>
    <row r="1" spans="1:12" x14ac:dyDescent="0.25">
      <c r="B1" s="4"/>
      <c r="C1" s="3"/>
      <c r="D1" s="3"/>
      <c r="G1" s="1"/>
      <c r="H1" s="1"/>
      <c r="I1" s="4"/>
    </row>
    <row r="2" spans="1:12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2" ht="12.75" customHeight="1" x14ac:dyDescent="0.25">
      <c r="A3" s="354"/>
      <c r="B3" s="4"/>
      <c r="C3" s="3"/>
      <c r="D3" s="3"/>
      <c r="G3" s="112"/>
      <c r="H3" s="112"/>
      <c r="I3" s="4"/>
    </row>
    <row r="4" spans="1:12" ht="12.75" customHeight="1" x14ac:dyDescent="0.25">
      <c r="A4" s="354"/>
      <c r="B4" s="4"/>
      <c r="C4" s="3"/>
      <c r="D4" s="3"/>
      <c r="G4" s="112"/>
      <c r="H4" s="112"/>
      <c r="I4" s="4"/>
    </row>
    <row r="5" spans="1:12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2" x14ac:dyDescent="0.25">
      <c r="A6" s="102"/>
      <c r="B6" s="4"/>
      <c r="C6" s="3"/>
      <c r="D6" s="3"/>
      <c r="G6" s="1"/>
      <c r="H6" s="1"/>
      <c r="I6" s="4"/>
    </row>
    <row r="7" spans="1:12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2" x14ac:dyDescent="0.25">
      <c r="A8" s="126" t="s">
        <v>1</v>
      </c>
      <c r="B8" s="170" t="s">
        <v>1025</v>
      </c>
      <c r="C8" s="107"/>
      <c r="D8" s="107"/>
      <c r="E8" s="107"/>
      <c r="F8" s="107"/>
      <c r="G8" s="107"/>
      <c r="H8" s="127"/>
      <c r="I8" s="4"/>
    </row>
    <row r="9" spans="1:12" ht="15" customHeight="1" x14ac:dyDescent="0.25">
      <c r="A9" s="128" t="s">
        <v>2</v>
      </c>
      <c r="B9" s="109">
        <v>45397</v>
      </c>
      <c r="C9" s="110"/>
      <c r="D9" s="110"/>
      <c r="E9" s="110"/>
      <c r="F9" s="110"/>
      <c r="G9" s="110"/>
      <c r="H9" s="129"/>
    </row>
    <row r="10" spans="1:12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2" x14ac:dyDescent="0.25">
      <c r="A12" s="11" t="s">
        <v>92</v>
      </c>
      <c r="B12" s="41"/>
      <c r="C12" s="29"/>
      <c r="D12" s="13"/>
      <c r="E12" s="12"/>
      <c r="F12" s="12"/>
      <c r="G12" s="12"/>
      <c r="H12" s="14"/>
    </row>
    <row r="13" spans="1:12" ht="15.95" customHeight="1" x14ac:dyDescent="0.25">
      <c r="A13" s="15"/>
      <c r="B13" s="42"/>
      <c r="C13" s="47"/>
      <c r="D13" s="16"/>
      <c r="E13" s="16"/>
      <c r="F13" s="16"/>
      <c r="H13" s="17"/>
    </row>
    <row r="14" spans="1:12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  <c r="I14" s="4"/>
    </row>
    <row r="15" spans="1:12" ht="15.95" customHeight="1" x14ac:dyDescent="0.25">
      <c r="A15" s="133" t="s">
        <v>1006</v>
      </c>
      <c r="B15" s="72">
        <f>SUM(B31:B34)+SUM(F31:F35)+C31</f>
        <v>3217.6899999999996</v>
      </c>
      <c r="C15" s="54" t="s">
        <v>129</v>
      </c>
      <c r="D15" s="87">
        <f>70+85</f>
        <v>155</v>
      </c>
      <c r="E15" s="38" t="s">
        <v>48</v>
      </c>
      <c r="F15" s="58" t="s">
        <v>112</v>
      </c>
      <c r="G15" s="118">
        <f>+D15*B15</f>
        <v>498741.94999999995</v>
      </c>
      <c r="H15" s="17"/>
      <c r="I15" s="332">
        <f>SUM(G15:G20)+G21/2</f>
        <v>979686.75</v>
      </c>
      <c r="J15" s="59"/>
      <c r="K15" s="59">
        <f>I15+'Rev. Internos Piso e Parede'!J13</f>
        <v>1408233.2</v>
      </c>
      <c r="L15" s="3" t="s">
        <v>1540</v>
      </c>
    </row>
    <row r="16" spans="1:12" ht="15.95" customHeight="1" x14ac:dyDescent="0.25">
      <c r="A16" s="133" t="s">
        <v>1007</v>
      </c>
      <c r="B16" s="72">
        <f>SUM(G31:G35)</f>
        <v>1285.83</v>
      </c>
      <c r="C16" s="54" t="s">
        <v>129</v>
      </c>
      <c r="D16" s="87">
        <v>130</v>
      </c>
      <c r="E16" s="38" t="s">
        <v>48</v>
      </c>
      <c r="F16" s="58" t="s">
        <v>112</v>
      </c>
      <c r="G16" s="118">
        <f t="shared" ref="G16:G19" si="0">+D16*B16</f>
        <v>167157.9</v>
      </c>
      <c r="H16" s="17"/>
      <c r="I16" s="333">
        <f>G22</f>
        <v>372847.5</v>
      </c>
      <c r="J16" s="59"/>
      <c r="K16" s="59">
        <f>I16+'Rev. Internos Piso e Parede'!J14</f>
        <v>522909.92658600002</v>
      </c>
      <c r="L16" s="3" t="s">
        <v>1633</v>
      </c>
    </row>
    <row r="17" spans="1:13" ht="15.95" customHeight="1" x14ac:dyDescent="0.25">
      <c r="A17" s="261" t="s">
        <v>216</v>
      </c>
      <c r="B17" s="72">
        <f>5.12+6.38+12.59+9.35*0.5+10.64*0.2+15.32*1.5</f>
        <v>53.873000000000005</v>
      </c>
      <c r="C17" s="54" t="s">
        <v>129</v>
      </c>
      <c r="D17" s="87">
        <v>250</v>
      </c>
      <c r="E17" s="38" t="s">
        <v>48</v>
      </c>
      <c r="F17" s="58" t="s">
        <v>112</v>
      </c>
      <c r="G17" s="118">
        <f t="shared" si="0"/>
        <v>13468.250000000002</v>
      </c>
      <c r="H17" s="17"/>
      <c r="I17" s="86"/>
    </row>
    <row r="18" spans="1:13" ht="15.95" customHeight="1" x14ac:dyDescent="0.25">
      <c r="A18" s="133" t="s">
        <v>1008</v>
      </c>
      <c r="B18" s="72">
        <f>SUM(E31:E35)</f>
        <v>45.68</v>
      </c>
      <c r="C18" s="54" t="s">
        <v>129</v>
      </c>
      <c r="D18" s="87">
        <v>310</v>
      </c>
      <c r="E18" s="38" t="s">
        <v>48</v>
      </c>
      <c r="F18" s="58" t="s">
        <v>112</v>
      </c>
      <c r="G18" s="118">
        <f t="shared" si="0"/>
        <v>14160.8</v>
      </c>
      <c r="H18" s="17"/>
    </row>
    <row r="19" spans="1:13" ht="15.95" customHeight="1" x14ac:dyDescent="0.25">
      <c r="A19" s="133" t="s">
        <v>1009</v>
      </c>
      <c r="B19" s="72">
        <f>SUM(D31:D35)</f>
        <v>190.85</v>
      </c>
      <c r="C19" s="54" t="s">
        <v>129</v>
      </c>
      <c r="D19" s="87">
        <v>210</v>
      </c>
      <c r="E19" s="38" t="s">
        <v>48</v>
      </c>
      <c r="F19" s="58" t="s">
        <v>112</v>
      </c>
      <c r="G19" s="118">
        <f t="shared" si="0"/>
        <v>40078.5</v>
      </c>
      <c r="H19" s="17"/>
    </row>
    <row r="20" spans="1:13" ht="15.95" customHeight="1" x14ac:dyDescent="0.25">
      <c r="A20" s="261" t="s">
        <v>263</v>
      </c>
      <c r="B20" s="72">
        <v>1</v>
      </c>
      <c r="C20" s="54" t="s">
        <v>47</v>
      </c>
      <c r="D20" s="87">
        <v>18</v>
      </c>
      <c r="E20" s="38" t="s">
        <v>17</v>
      </c>
      <c r="F20" s="58" t="s">
        <v>112</v>
      </c>
      <c r="G20" s="118">
        <f>+D20*'Dados Gerais'!$C$14</f>
        <v>134225.1</v>
      </c>
      <c r="H20" s="17"/>
    </row>
    <row r="21" spans="1:13" ht="15.95" customHeight="1" x14ac:dyDescent="0.25">
      <c r="A21" s="174" t="s">
        <v>259</v>
      </c>
      <c r="B21" s="72">
        <v>1</v>
      </c>
      <c r="C21" s="54" t="s">
        <v>47</v>
      </c>
      <c r="D21" s="87">
        <v>30</v>
      </c>
      <c r="E21" s="38" t="s">
        <v>17</v>
      </c>
      <c r="F21" s="58" t="s">
        <v>112</v>
      </c>
      <c r="G21" s="118">
        <f>+D21*'Dados Gerais'!$C$14</f>
        <v>223708.5</v>
      </c>
      <c r="H21" s="17"/>
    </row>
    <row r="22" spans="1:13" ht="15.95" customHeight="1" x14ac:dyDescent="0.25">
      <c r="A22" s="254" t="s">
        <v>93</v>
      </c>
      <c r="B22" s="53">
        <v>1</v>
      </c>
      <c r="C22" s="54" t="s">
        <v>47</v>
      </c>
      <c r="D22" s="87">
        <f>30+20</f>
        <v>50</v>
      </c>
      <c r="E22" s="38" t="s">
        <v>17</v>
      </c>
      <c r="F22" s="58" t="s">
        <v>112</v>
      </c>
      <c r="G22" s="122">
        <f>+D22*'Dados Gerais'!$C$14</f>
        <v>372847.5</v>
      </c>
      <c r="H22" s="20"/>
    </row>
    <row r="23" spans="1:13" ht="15.95" customHeight="1" x14ac:dyDescent="0.25">
      <c r="A23" s="368">
        <f>20*40</f>
        <v>800</v>
      </c>
      <c r="B23" s="361"/>
      <c r="C23" s="361"/>
      <c r="D23" s="361"/>
      <c r="E23" s="361"/>
      <c r="F23" s="361"/>
      <c r="G23" s="146">
        <f>SUM(G15:G22)</f>
        <v>1464388.5</v>
      </c>
      <c r="H23" s="23"/>
    </row>
    <row r="24" spans="1:13" ht="15.95" customHeight="1" x14ac:dyDescent="0.25">
      <c r="A24" s="366"/>
      <c r="B24" s="367"/>
      <c r="C24" s="367"/>
      <c r="D24" s="367"/>
      <c r="E24" s="367"/>
      <c r="F24" s="367"/>
      <c r="G24" s="62"/>
      <c r="H24" s="27"/>
    </row>
    <row r="25" spans="1:13" ht="15.95" customHeight="1" x14ac:dyDescent="0.25">
      <c r="A25" s="113"/>
      <c r="B25" s="32"/>
      <c r="C25" s="32"/>
      <c r="D25" s="32"/>
      <c r="E25" s="32"/>
      <c r="F25" s="32"/>
      <c r="G25" s="62"/>
      <c r="H25" s="27"/>
    </row>
    <row r="26" spans="1:13" x14ac:dyDescent="0.25">
      <c r="A26" s="361" t="s">
        <v>214</v>
      </c>
      <c r="B26" s="361"/>
      <c r="C26" s="361"/>
      <c r="D26" s="361"/>
      <c r="E26" s="361"/>
      <c r="F26" s="361"/>
      <c r="G26" s="98">
        <f>G23</f>
        <v>1464388.5</v>
      </c>
      <c r="H26" s="99">
        <f>G26/'Dados Gerais'!C14</f>
        <v>196.37901554925273</v>
      </c>
      <c r="M26" s="3">
        <f>93.57+88.12+77.13+107.7+90.62</f>
        <v>457.14</v>
      </c>
    </row>
    <row r="27" spans="1:13" x14ac:dyDescent="0.25">
      <c r="L27" s="3" t="s">
        <v>1028</v>
      </c>
      <c r="M27" s="3">
        <f>13.61+9.94+11.26+10.54+14+10.65+13.2+14.02+9.35+11.26+14.32+10.72</f>
        <v>142.87</v>
      </c>
    </row>
    <row r="28" spans="1:13" ht="15" x14ac:dyDescent="0.25">
      <c r="B28"/>
      <c r="C28"/>
      <c r="D28"/>
      <c r="E28"/>
      <c r="F28"/>
      <c r="G28"/>
      <c r="H28"/>
      <c r="L28" s="3" t="s">
        <v>1029</v>
      </c>
      <c r="M28" s="3">
        <f>3.71+3.81+2+1.91+3.47+3.47+3.76+3.8+1.91+3.66+3.64+1.8+3.66+3.67</f>
        <v>44.269999999999996</v>
      </c>
    </row>
    <row r="29" spans="1:13" ht="15" x14ac:dyDescent="0.25">
      <c r="D29"/>
      <c r="E29"/>
      <c r="F29"/>
      <c r="G29"/>
      <c r="H29" s="48"/>
      <c r="L29" s="3" t="s">
        <v>1032</v>
      </c>
      <c r="M29" s="3">
        <f>30.02+1.42+26.1+4.86+16.15+1.72+25.53+1.45+21.62+3.14</f>
        <v>132.01</v>
      </c>
    </row>
    <row r="30" spans="1:13" ht="15" x14ac:dyDescent="0.25">
      <c r="B30" s="45" t="s">
        <v>995</v>
      </c>
      <c r="C30" s="48" t="s">
        <v>996</v>
      </c>
      <c r="D30" t="s">
        <v>998</v>
      </c>
      <c r="E30" t="s">
        <v>999</v>
      </c>
      <c r="F30" t="s">
        <v>1000</v>
      </c>
      <c r="G30" t="s">
        <v>1001</v>
      </c>
      <c r="H30" t="s">
        <v>1026</v>
      </c>
      <c r="I30" s="3" t="s">
        <v>1034</v>
      </c>
      <c r="L30" s="3" t="s">
        <v>1030</v>
      </c>
      <c r="M30" s="3">
        <f>7.72+11+9.41+8.95+7.19+2.99</f>
        <v>47.26</v>
      </c>
    </row>
    <row r="31" spans="1:13" ht="15" x14ac:dyDescent="0.25">
      <c r="A31" s="3" t="s">
        <v>994</v>
      </c>
      <c r="B31" s="45">
        <f>0.89+51.22+12.62+27.48</f>
        <v>92.210000000000008</v>
      </c>
      <c r="C31" s="48">
        <f>9.17+16.31+2.96+2+2</f>
        <v>32.44</v>
      </c>
      <c r="D31">
        <f>113.16+77.69</f>
        <v>190.85</v>
      </c>
      <c r="E31"/>
      <c r="F31"/>
      <c r="G31"/>
      <c r="H31" s="260">
        <f>4.31+336.97+201.17</f>
        <v>542.45000000000005</v>
      </c>
      <c r="I31" s="3">
        <f>30.44</f>
        <v>30.44</v>
      </c>
      <c r="L31" s="3" t="s">
        <v>1031</v>
      </c>
      <c r="M31" s="3">
        <f>5.76+8.95+7.62+10.94+1.41+9.64+3.02+8.04+2.69+2.44+6.01</f>
        <v>66.52</v>
      </c>
    </row>
    <row r="32" spans="1:13" ht="15" x14ac:dyDescent="0.25">
      <c r="A32" s="3" t="s">
        <v>997</v>
      </c>
      <c r="B32" s="45">
        <f>6.24</f>
        <v>6.24</v>
      </c>
      <c r="D32"/>
      <c r="E32"/>
      <c r="F32"/>
      <c r="G32"/>
      <c r="H32" s="260">
        <f>623.54</f>
        <v>623.54</v>
      </c>
      <c r="I32" s="3">
        <f>88.41</f>
        <v>88.41</v>
      </c>
    </row>
    <row r="33" spans="1:13" ht="15" x14ac:dyDescent="0.25">
      <c r="A33" s="3" t="s">
        <v>1027</v>
      </c>
      <c r="B33" s="45">
        <f>23.07+6.64+44.72+3.07+1.34+1.85+60.94</f>
        <v>141.63</v>
      </c>
      <c r="D33"/>
      <c r="E33">
        <f>32.53+13.15</f>
        <v>45.68</v>
      </c>
      <c r="F33">
        <f>78.72+1.84+2.05+1.86+10.01+6.06+3.51</f>
        <v>104.05000000000001</v>
      </c>
      <c r="G33"/>
      <c r="H33" s="260">
        <f>323.2+9.09</f>
        <v>332.28999999999996</v>
      </c>
      <c r="I33" s="3">
        <f>30.44+88.41</f>
        <v>118.85</v>
      </c>
      <c r="L33" s="3" t="s">
        <v>1033</v>
      </c>
      <c r="M33" s="3">
        <f>(5.31+12.35+1.25*0.18*18)*12</f>
        <v>260.52</v>
      </c>
    </row>
    <row r="34" spans="1:13" ht="15" x14ac:dyDescent="0.25">
      <c r="A34" s="3" t="s">
        <v>1002</v>
      </c>
      <c r="B34" s="45">
        <f>(25.62+M28+M29+M30)*9</f>
        <v>2242.4399999999996</v>
      </c>
      <c r="D34"/>
      <c r="E34"/>
      <c r="F34">
        <f>M31*9</f>
        <v>598.67999999999995</v>
      </c>
      <c r="G34">
        <f>M27*9</f>
        <v>1285.83</v>
      </c>
      <c r="H34"/>
      <c r="I34" s="3">
        <f>0</f>
        <v>0</v>
      </c>
    </row>
    <row r="35" spans="1:13" ht="15" x14ac:dyDescent="0.25">
      <c r="A35" s="3" t="s">
        <v>1003</v>
      </c>
      <c r="D35"/>
      <c r="E35"/>
      <c r="F35"/>
      <c r="G35"/>
      <c r="H35">
        <f>20.1+62.82</f>
        <v>82.92</v>
      </c>
      <c r="I35" s="3">
        <f>0</f>
        <v>0</v>
      </c>
    </row>
    <row r="36" spans="1:13" ht="15" x14ac:dyDescent="0.25">
      <c r="C36"/>
      <c r="D36"/>
      <c r="E36"/>
      <c r="F36"/>
      <c r="G36"/>
      <c r="H36"/>
    </row>
    <row r="37" spans="1:13" ht="15" x14ac:dyDescent="0.25">
      <c r="C37"/>
      <c r="D37"/>
      <c r="E37"/>
      <c r="F37"/>
      <c r="G37"/>
      <c r="H37"/>
    </row>
    <row r="38" spans="1:13" ht="15" x14ac:dyDescent="0.25">
      <c r="C38"/>
      <c r="D38"/>
      <c r="E38"/>
      <c r="F38"/>
      <c r="G38"/>
      <c r="H38"/>
    </row>
    <row r="39" spans="1:13" ht="15" x14ac:dyDescent="0.25">
      <c r="C39"/>
      <c r="D39"/>
      <c r="E39"/>
      <c r="F39"/>
      <c r="G39"/>
      <c r="H39"/>
    </row>
    <row r="40" spans="1:13" ht="15" x14ac:dyDescent="0.25">
      <c r="B40"/>
      <c r="C40"/>
      <c r="D40"/>
      <c r="E40"/>
      <c r="F40"/>
      <c r="G40"/>
      <c r="H40"/>
    </row>
    <row r="41" spans="1:13" ht="15" x14ac:dyDescent="0.25">
      <c r="C41"/>
      <c r="D41"/>
      <c r="E41"/>
      <c r="F41"/>
      <c r="G41"/>
      <c r="H41"/>
    </row>
    <row r="42" spans="1:13" ht="15" x14ac:dyDescent="0.25">
      <c r="C42"/>
      <c r="D42"/>
      <c r="E42"/>
      <c r="F42"/>
      <c r="G42"/>
      <c r="H42"/>
    </row>
    <row r="43" spans="1:13" ht="15" x14ac:dyDescent="0.25">
      <c r="C43"/>
      <c r="D43"/>
      <c r="E43"/>
      <c r="F43"/>
      <c r="G43"/>
      <c r="H43"/>
    </row>
    <row r="44" spans="1:13" ht="15" x14ac:dyDescent="0.25">
      <c r="C44"/>
      <c r="D44"/>
      <c r="E44"/>
      <c r="F44"/>
      <c r="G44"/>
      <c r="H44"/>
    </row>
    <row r="45" spans="1:13" ht="15" x14ac:dyDescent="0.25">
      <c r="C45"/>
      <c r="D45"/>
      <c r="E45"/>
      <c r="F45"/>
      <c r="G45"/>
      <c r="H45"/>
    </row>
    <row r="46" spans="1:13" ht="15" x14ac:dyDescent="0.25">
      <c r="C46"/>
      <c r="D46"/>
      <c r="E46"/>
      <c r="F46"/>
      <c r="G46"/>
      <c r="H46"/>
    </row>
    <row r="47" spans="1:13" ht="15" x14ac:dyDescent="0.25">
      <c r="C47"/>
      <c r="D47"/>
      <c r="E47"/>
      <c r="F47"/>
      <c r="G47"/>
      <c r="H47"/>
    </row>
    <row r="48" spans="1:13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B53"/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B59"/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C63"/>
      <c r="D63"/>
      <c r="E63"/>
      <c r="F63"/>
      <c r="G63"/>
      <c r="H63"/>
    </row>
    <row r="64" spans="2:8" ht="15" x14ac:dyDescent="0.25">
      <c r="B64"/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B66"/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B71"/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B76"/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</sheetData>
  <mergeCells count="6">
    <mergeCell ref="A26:F26"/>
    <mergeCell ref="A24:F24"/>
    <mergeCell ref="A23:F23"/>
    <mergeCell ref="A2:A4"/>
    <mergeCell ref="B14:C14"/>
    <mergeCell ref="D14:E14"/>
  </mergeCells>
  <phoneticPr fontId="11" type="noConversion"/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I23"/>
  <sheetViews>
    <sheetView showGridLines="0" topLeftCell="A6" zoomScaleNormal="100" zoomScaleSheetLayoutView="95" workbookViewId="0">
      <selection activeCell="G17" sqref="G17:G18"/>
    </sheetView>
  </sheetViews>
  <sheetFormatPr defaultColWidth="9.140625" defaultRowHeight="12.75" x14ac:dyDescent="0.25"/>
  <cols>
    <col min="1" max="1" width="47.28515625" style="3" customWidth="1"/>
    <col min="2" max="2" width="14" style="45" customWidth="1"/>
    <col min="3" max="3" width="7.5703125" style="48" customWidth="1"/>
    <col min="4" max="4" width="10.7109375" style="10" customWidth="1"/>
    <col min="5" max="5" width="15.85546875" style="3" customWidth="1"/>
    <col min="6" max="6" width="12.85546875" style="3" customWidth="1"/>
    <col min="7" max="7" width="17.140625" style="3" customWidth="1"/>
    <col min="8" max="8" width="10.28515625" style="3" customWidth="1"/>
    <col min="9" max="16384" width="9.140625" style="3"/>
  </cols>
  <sheetData>
    <row r="1" spans="1:9" x14ac:dyDescent="0.25">
      <c r="B1" s="4"/>
      <c r="C1" s="3"/>
      <c r="D1" s="3"/>
      <c r="G1" s="1"/>
      <c r="H1" s="1"/>
      <c r="I1" s="4"/>
    </row>
    <row r="2" spans="1:9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9" ht="12.75" customHeight="1" x14ac:dyDescent="0.25">
      <c r="A3" s="354"/>
      <c r="B3" s="4"/>
      <c r="C3" s="3"/>
      <c r="D3" s="3"/>
      <c r="G3" s="112"/>
      <c r="H3" s="112"/>
      <c r="I3" s="4"/>
    </row>
    <row r="4" spans="1:9" ht="12.75" customHeight="1" x14ac:dyDescent="0.25">
      <c r="A4" s="354"/>
      <c r="B4" s="4"/>
      <c r="C4" s="3"/>
      <c r="D4" s="3"/>
      <c r="G4" s="112"/>
      <c r="H4" s="112"/>
      <c r="I4" s="4"/>
    </row>
    <row r="5" spans="1:9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9" x14ac:dyDescent="0.25">
      <c r="A6" s="102"/>
      <c r="B6" s="4"/>
      <c r="C6" s="3"/>
      <c r="D6" s="3"/>
      <c r="G6" s="1"/>
      <c r="H6" s="1"/>
      <c r="I6" s="4"/>
    </row>
    <row r="7" spans="1:9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9" x14ac:dyDescent="0.25">
      <c r="A8" s="126" t="s">
        <v>1</v>
      </c>
      <c r="B8" s="170" t="s">
        <v>269</v>
      </c>
      <c r="C8" s="107"/>
      <c r="D8" s="107"/>
      <c r="E8" s="107"/>
      <c r="F8" s="107"/>
      <c r="G8" s="107"/>
      <c r="H8" s="127"/>
      <c r="I8" s="4"/>
    </row>
    <row r="9" spans="1:9" ht="15" customHeight="1" x14ac:dyDescent="0.25">
      <c r="A9" s="128" t="s">
        <v>2</v>
      </c>
      <c r="B9" s="109">
        <v>45352</v>
      </c>
      <c r="C9" s="110"/>
      <c r="D9" s="110"/>
      <c r="E9" s="110"/>
      <c r="F9" s="110"/>
      <c r="G9" s="110"/>
      <c r="H9" s="129"/>
    </row>
    <row r="10" spans="1:9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9" x14ac:dyDescent="0.25">
      <c r="A12" s="11" t="s">
        <v>218</v>
      </c>
      <c r="B12" s="41"/>
      <c r="C12" s="29"/>
      <c r="D12" s="13"/>
      <c r="E12" s="12"/>
      <c r="F12" s="12"/>
      <c r="G12" s="12"/>
      <c r="H12" s="14"/>
    </row>
    <row r="13" spans="1:9" ht="15.95" customHeight="1" x14ac:dyDescent="0.25">
      <c r="A13" s="15"/>
      <c r="B13" s="42"/>
      <c r="C13" s="47"/>
      <c r="D13" s="16"/>
      <c r="E13" s="16"/>
      <c r="F13" s="16"/>
      <c r="H13" s="17"/>
    </row>
    <row r="14" spans="1:9" ht="15.9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9" ht="15.95" customHeight="1" x14ac:dyDescent="0.25">
      <c r="A15" s="174" t="s">
        <v>260</v>
      </c>
      <c r="B15" s="72">
        <f>('Acabamentos de Piso e Parede'!H31+'Acabamentos de Piso e Parede'!H32+'Acabamentos de Piso e Parede'!H33)*0.02</f>
        <v>29.965599999999998</v>
      </c>
      <c r="C15" s="54" t="s">
        <v>261</v>
      </c>
      <c r="D15" s="87">
        <v>90</v>
      </c>
      <c r="E15" s="38" t="s">
        <v>48</v>
      </c>
      <c r="F15" s="58" t="s">
        <v>112</v>
      </c>
      <c r="G15" s="118">
        <f>+D15*B15</f>
        <v>2696.904</v>
      </c>
      <c r="H15" s="17" t="s">
        <v>1650</v>
      </c>
    </row>
    <row r="16" spans="1:9" ht="15.95" customHeight="1" x14ac:dyDescent="0.25">
      <c r="A16" s="174" t="s">
        <v>1004</v>
      </c>
      <c r="B16" s="72">
        <f>'Acabamentos de Piso e Parede'!M33+'Acabamentos de Piso e Parede'!H35</f>
        <v>343.44</v>
      </c>
      <c r="C16" s="54" t="s">
        <v>261</v>
      </c>
      <c r="D16" s="175">
        <v>65</v>
      </c>
      <c r="E16" s="38" t="s">
        <v>48</v>
      </c>
      <c r="F16" s="58" t="s">
        <v>112</v>
      </c>
      <c r="G16" s="118">
        <f>+D16*B16</f>
        <v>22323.599999999999</v>
      </c>
      <c r="H16" s="17"/>
    </row>
    <row r="17" spans="1:8" ht="15.95" customHeight="1" x14ac:dyDescent="0.25">
      <c r="A17" s="133" t="s">
        <v>262</v>
      </c>
      <c r="B17" s="72">
        <v>1</v>
      </c>
      <c r="C17" s="54" t="s">
        <v>47</v>
      </c>
      <c r="D17" s="87">
        <v>8</v>
      </c>
      <c r="E17" s="38" t="s">
        <v>17</v>
      </c>
      <c r="F17" s="58" t="s">
        <v>112</v>
      </c>
      <c r="G17" s="118">
        <f>+D17*'Dados Gerais'!$C$14</f>
        <v>59655.6</v>
      </c>
      <c r="H17" s="17"/>
    </row>
    <row r="18" spans="1:8" ht="15.95" customHeight="1" x14ac:dyDescent="0.25">
      <c r="A18" s="133" t="s">
        <v>94</v>
      </c>
      <c r="B18" s="72">
        <v>1</v>
      </c>
      <c r="C18" s="54" t="s">
        <v>47</v>
      </c>
      <c r="D18" s="87">
        <v>24</v>
      </c>
      <c r="E18" s="38" t="s">
        <v>17</v>
      </c>
      <c r="F18" s="58" t="s">
        <v>112</v>
      </c>
      <c r="G18" s="118">
        <f>+D18*'Dados Gerais'!$C$14</f>
        <v>178966.8</v>
      </c>
      <c r="H18" s="17"/>
    </row>
    <row r="19" spans="1:8" ht="15.95" customHeight="1" x14ac:dyDescent="0.25">
      <c r="A19" s="133" t="s">
        <v>1651</v>
      </c>
      <c r="B19" s="72">
        <v>1</v>
      </c>
      <c r="C19" s="54" t="s">
        <v>47</v>
      </c>
      <c r="D19" s="87">
        <v>105</v>
      </c>
      <c r="E19" s="38" t="s">
        <v>17</v>
      </c>
      <c r="F19" s="58" t="s">
        <v>112</v>
      </c>
      <c r="G19" s="118">
        <f>+D19*'Dados Gerais'!$C$14</f>
        <v>782979.75</v>
      </c>
      <c r="H19" s="17"/>
    </row>
    <row r="20" spans="1:8" ht="15.95" customHeight="1" x14ac:dyDescent="0.25">
      <c r="A20" s="359" t="s">
        <v>33</v>
      </c>
      <c r="B20" s="360"/>
      <c r="C20" s="360"/>
      <c r="D20" s="360"/>
      <c r="E20" s="360"/>
      <c r="F20" s="360"/>
      <c r="G20" s="119">
        <f>SUM(G15:G18)</f>
        <v>263642.90399999998</v>
      </c>
      <c r="H20" s="23"/>
    </row>
    <row r="21" spans="1:8" ht="15.95" customHeight="1" x14ac:dyDescent="0.25">
      <c r="A21" s="364"/>
      <c r="B21" s="365"/>
      <c r="C21" s="365"/>
      <c r="D21" s="365"/>
      <c r="E21" s="365"/>
      <c r="F21" s="365"/>
      <c r="G21" s="62"/>
      <c r="H21" s="27"/>
    </row>
    <row r="22" spans="1:8" ht="15.95" customHeight="1" x14ac:dyDescent="0.25">
      <c r="A22" s="113"/>
      <c r="B22" s="32"/>
      <c r="C22" s="32"/>
      <c r="D22" s="32"/>
      <c r="E22" s="32"/>
      <c r="F22" s="32"/>
      <c r="G22" s="62"/>
      <c r="H22" s="27"/>
    </row>
    <row r="23" spans="1:8" x14ac:dyDescent="0.25">
      <c r="A23" s="361" t="s">
        <v>215</v>
      </c>
      <c r="B23" s="361"/>
      <c r="C23" s="361"/>
      <c r="D23" s="361"/>
      <c r="E23" s="361"/>
      <c r="F23" s="361"/>
      <c r="G23" s="98">
        <f>G20</f>
        <v>263642.90399999998</v>
      </c>
      <c r="H23" s="99">
        <f>G23/'Dados Gerais'!C14</f>
        <v>35.355326775692475</v>
      </c>
    </row>
  </sheetData>
  <mergeCells count="6">
    <mergeCell ref="A2:A4"/>
    <mergeCell ref="A23:F23"/>
    <mergeCell ref="B14:C14"/>
    <mergeCell ref="D14:E14"/>
    <mergeCell ref="A20:F20"/>
    <mergeCell ref="A21:F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1F6D-FC2C-4038-87E4-0520A40FC4E8}">
  <sheetPr>
    <tabColor rgb="FF92D050"/>
  </sheetPr>
  <dimension ref="A1:I62"/>
  <sheetViews>
    <sheetView showGridLines="0" topLeftCell="A8" zoomScale="140" zoomScaleNormal="140" zoomScaleSheetLayoutView="95" workbookViewId="0">
      <selection activeCell="G17" sqref="G17"/>
    </sheetView>
  </sheetViews>
  <sheetFormatPr defaultColWidth="9.140625" defaultRowHeight="12.75" x14ac:dyDescent="0.25"/>
  <cols>
    <col min="1" max="1" width="46.140625" style="3" customWidth="1"/>
    <col min="2" max="2" width="14" style="45" customWidth="1"/>
    <col min="3" max="3" width="14.140625" style="48" bestFit="1" customWidth="1"/>
    <col min="4" max="4" width="13.5703125" style="10" bestFit="1" customWidth="1"/>
    <col min="5" max="5" width="15.85546875" style="3" customWidth="1"/>
    <col min="6" max="6" width="12.85546875" style="3" customWidth="1"/>
    <col min="7" max="7" width="16.28515625" style="3" customWidth="1"/>
    <col min="8" max="8" width="15.140625" style="3" customWidth="1"/>
    <col min="9" max="16384" width="9.140625" style="3"/>
  </cols>
  <sheetData>
    <row r="1" spans="1:9" x14ac:dyDescent="0.25">
      <c r="B1" s="4"/>
      <c r="C1" s="3"/>
      <c r="D1" s="3"/>
      <c r="G1" s="1"/>
      <c r="H1" s="1"/>
    </row>
    <row r="2" spans="1:9" ht="12.75" customHeight="1" x14ac:dyDescent="0.25">
      <c r="A2" s="353" t="s">
        <v>225</v>
      </c>
      <c r="B2" s="4"/>
      <c r="C2" s="3"/>
      <c r="D2" s="3"/>
      <c r="G2" s="112"/>
      <c r="H2" s="112"/>
    </row>
    <row r="3" spans="1:9" ht="12.75" customHeight="1" x14ac:dyDescent="0.25">
      <c r="A3" s="354"/>
      <c r="B3" s="4"/>
      <c r="C3" s="3"/>
      <c r="D3" s="3"/>
      <c r="G3" s="112"/>
      <c r="H3" s="112"/>
    </row>
    <row r="4" spans="1:9" ht="12.75" customHeight="1" x14ac:dyDescent="0.25">
      <c r="A4" s="354"/>
      <c r="B4" s="4"/>
      <c r="C4" s="3"/>
      <c r="D4" s="3"/>
      <c r="G4" s="112"/>
      <c r="H4" s="112"/>
    </row>
    <row r="5" spans="1:9" ht="13.5" thickBot="1" x14ac:dyDescent="0.3">
      <c r="A5" s="100"/>
      <c r="B5" s="101"/>
      <c r="C5" s="101"/>
      <c r="D5" s="101"/>
      <c r="E5" s="101"/>
      <c r="F5" s="101"/>
      <c r="G5" s="2"/>
      <c r="H5" s="2"/>
    </row>
    <row r="6" spans="1:9" x14ac:dyDescent="0.25">
      <c r="A6" s="102"/>
      <c r="B6" s="4"/>
      <c r="C6" s="3"/>
      <c r="D6" s="3"/>
      <c r="G6" s="1"/>
      <c r="H6" s="1"/>
    </row>
    <row r="7" spans="1:9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</row>
    <row r="8" spans="1:9" x14ac:dyDescent="0.25">
      <c r="A8" s="126" t="s">
        <v>1</v>
      </c>
      <c r="B8" s="170" t="s">
        <v>269</v>
      </c>
      <c r="C8" s="107"/>
      <c r="D8" s="107"/>
      <c r="E8" s="107"/>
      <c r="F8" s="107"/>
      <c r="G8" s="107"/>
      <c r="H8" s="127"/>
    </row>
    <row r="9" spans="1:9" ht="15" customHeight="1" x14ac:dyDescent="0.25">
      <c r="A9" s="128" t="s">
        <v>2</v>
      </c>
      <c r="B9" s="109">
        <v>45352</v>
      </c>
      <c r="C9" s="110"/>
      <c r="D9" s="110"/>
      <c r="E9" s="110"/>
      <c r="F9" s="110"/>
      <c r="G9" s="110"/>
      <c r="H9" s="129"/>
    </row>
    <row r="10" spans="1:9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9" ht="15.75" customHeight="1" x14ac:dyDescent="0.25">
      <c r="A12" s="11" t="s">
        <v>95</v>
      </c>
      <c r="B12" s="41"/>
      <c r="C12" s="29"/>
      <c r="D12" s="13"/>
      <c r="E12" s="12"/>
      <c r="F12" s="12"/>
      <c r="G12" s="12"/>
      <c r="H12" s="14"/>
    </row>
    <row r="13" spans="1:9" ht="15.75" customHeight="1" x14ac:dyDescent="0.25">
      <c r="A13" s="15"/>
      <c r="B13" s="42"/>
      <c r="C13" s="47"/>
      <c r="D13" s="3"/>
      <c r="E13" s="16"/>
      <c r="F13" s="16"/>
      <c r="H13" s="17"/>
    </row>
    <row r="14" spans="1:9" ht="15.7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9" ht="15.75" customHeight="1" x14ac:dyDescent="0.25">
      <c r="A15" s="173" t="s">
        <v>96</v>
      </c>
      <c r="B15" s="83">
        <f>0.18*'Dados Gerais'!$C$14</f>
        <v>1342.251</v>
      </c>
      <c r="C15" s="83" t="s">
        <v>10</v>
      </c>
      <c r="D15" s="270">
        <v>741.32624227961821</v>
      </c>
      <c r="E15" s="268" t="s">
        <v>48</v>
      </c>
      <c r="F15" s="269" t="s">
        <v>112</v>
      </c>
      <c r="G15" s="158">
        <f>D15*B15</f>
        <v>995045.89002605982</v>
      </c>
      <c r="H15" s="17"/>
      <c r="I15" s="10"/>
    </row>
    <row r="16" spans="1:9" ht="15.75" customHeight="1" x14ac:dyDescent="0.25">
      <c r="A16" s="173" t="s">
        <v>195</v>
      </c>
      <c r="B16" s="83">
        <f>12*2</f>
        <v>24</v>
      </c>
      <c r="C16" s="83" t="s">
        <v>11</v>
      </c>
      <c r="D16" s="270">
        <v>1150</v>
      </c>
      <c r="E16" s="268" t="s">
        <v>187</v>
      </c>
      <c r="F16" s="269" t="s">
        <v>112</v>
      </c>
      <c r="G16" s="158">
        <f>D16*B16</f>
        <v>27600</v>
      </c>
      <c r="H16" s="17"/>
    </row>
    <row r="17" spans="1:9" ht="15.75" customHeight="1" x14ac:dyDescent="0.25">
      <c r="A17" s="173" t="s">
        <v>128</v>
      </c>
      <c r="B17" s="83">
        <v>1</v>
      </c>
      <c r="C17" s="83" t="s">
        <v>47</v>
      </c>
      <c r="D17" s="255">
        <v>3</v>
      </c>
      <c r="E17" s="256" t="s">
        <v>17</v>
      </c>
      <c r="F17" s="257" t="s">
        <v>112</v>
      </c>
      <c r="G17" s="158">
        <f>D17*B17*'Dados Gerais'!C14</f>
        <v>22370.85</v>
      </c>
      <c r="H17" s="17"/>
    </row>
    <row r="18" spans="1:9" x14ac:dyDescent="0.25">
      <c r="A18" s="261" t="s">
        <v>217</v>
      </c>
      <c r="B18" s="72">
        <f>B34</f>
        <v>391.13999999999993</v>
      </c>
      <c r="C18" s="72" t="s">
        <v>10</v>
      </c>
      <c r="D18" s="255">
        <v>727.37</v>
      </c>
      <c r="E18" s="256" t="s">
        <v>48</v>
      </c>
      <c r="F18" s="257" t="s">
        <v>112</v>
      </c>
      <c r="G18" s="258">
        <f>+D18*B18</f>
        <v>284503.50179999997</v>
      </c>
      <c r="H18" s="17"/>
    </row>
    <row r="19" spans="1:9" x14ac:dyDescent="0.25">
      <c r="A19" s="254" t="s">
        <v>1012</v>
      </c>
      <c r="B19" s="72">
        <f>B31*9*1.1</f>
        <v>229.48200000000003</v>
      </c>
      <c r="C19" s="72" t="s">
        <v>12</v>
      </c>
      <c r="D19" s="255">
        <v>671.38</v>
      </c>
      <c r="E19" s="256" t="s">
        <v>48</v>
      </c>
      <c r="F19" s="257" t="s">
        <v>112</v>
      </c>
      <c r="G19" s="258">
        <f t="shared" ref="G19:G20" si="0">+D19*B19</f>
        <v>154069.62516000003</v>
      </c>
      <c r="H19" s="17"/>
    </row>
    <row r="20" spans="1:9" x14ac:dyDescent="0.25">
      <c r="A20" s="254" t="s">
        <v>1013</v>
      </c>
      <c r="B20" s="72">
        <f>(4.64+13.3)*1.1*12</f>
        <v>236.80800000000002</v>
      </c>
      <c r="C20" s="72" t="s">
        <v>12</v>
      </c>
      <c r="D20" s="255">
        <f>60.5*3</f>
        <v>181.5</v>
      </c>
      <c r="E20" s="256" t="s">
        <v>48</v>
      </c>
      <c r="F20" s="257" t="s">
        <v>112</v>
      </c>
      <c r="G20" s="258">
        <f t="shared" si="0"/>
        <v>42980.652000000002</v>
      </c>
      <c r="H20" s="17"/>
    </row>
    <row r="21" spans="1:9" ht="15" x14ac:dyDescent="0.25">
      <c r="A21" s="259" t="s">
        <v>188</v>
      </c>
      <c r="B21" s="72">
        <v>2</v>
      </c>
      <c r="C21" s="72" t="s">
        <v>11</v>
      </c>
      <c r="D21" s="270">
        <v>18000</v>
      </c>
      <c r="E21" s="256" t="s">
        <v>187</v>
      </c>
      <c r="F21" s="257" t="s">
        <v>112</v>
      </c>
      <c r="G21" s="258">
        <f>+D21*B21</f>
        <v>36000</v>
      </c>
      <c r="H21" s="17"/>
      <c r="I21" s="86"/>
    </row>
    <row r="22" spans="1:9" ht="15.75" customHeight="1" x14ac:dyDescent="0.25">
      <c r="A22" s="264" t="s">
        <v>97</v>
      </c>
      <c r="B22" s="180">
        <f>3+6+(7+6+5+7+6)*9</f>
        <v>288</v>
      </c>
      <c r="C22" s="180" t="s">
        <v>11</v>
      </c>
      <c r="D22" s="271">
        <v>900</v>
      </c>
      <c r="E22" s="265" t="s">
        <v>187</v>
      </c>
      <c r="F22" s="266" t="s">
        <v>112</v>
      </c>
      <c r="G22" s="267">
        <f>D22*B22</f>
        <v>259200</v>
      </c>
      <c r="H22" s="17"/>
    </row>
    <row r="23" spans="1:9" ht="15.75" customHeight="1" x14ac:dyDescent="0.25">
      <c r="A23" s="359" t="s">
        <v>33</v>
      </c>
      <c r="B23" s="360"/>
      <c r="C23" s="360"/>
      <c r="D23" s="360"/>
      <c r="E23" s="360"/>
      <c r="F23" s="360"/>
      <c r="G23" s="119">
        <f>SUM(G15:G22)</f>
        <v>1821770.5189860598</v>
      </c>
      <c r="H23" s="23"/>
    </row>
    <row r="24" spans="1:9" ht="15.75" customHeight="1" x14ac:dyDescent="0.25">
      <c r="A24" s="364"/>
      <c r="B24" s="365"/>
      <c r="C24" s="365"/>
      <c r="D24" s="365"/>
      <c r="E24" s="365"/>
      <c r="F24" s="365"/>
      <c r="G24" s="62"/>
      <c r="H24" s="27"/>
    </row>
    <row r="26" spans="1:9" x14ac:dyDescent="0.25">
      <c r="A26" s="361" t="s">
        <v>229</v>
      </c>
      <c r="B26" s="361"/>
      <c r="C26" s="361"/>
      <c r="D26" s="361"/>
      <c r="E26" s="361"/>
      <c r="F26" s="361"/>
      <c r="G26" s="98">
        <f>G23</f>
        <v>1821770.5189860598</v>
      </c>
      <c r="H26" s="99">
        <f>G26/'Dados Gerais'!C14</f>
        <v>244.30504683363304</v>
      </c>
    </row>
    <row r="27" spans="1:9" x14ac:dyDescent="0.25">
      <c r="E27" s="59"/>
    </row>
    <row r="28" spans="1:9" x14ac:dyDescent="0.25">
      <c r="E28" s="59"/>
    </row>
    <row r="29" spans="1:9" x14ac:dyDescent="0.25">
      <c r="C29" s="48">
        <v>626.24</v>
      </c>
      <c r="E29" s="59"/>
    </row>
    <row r="30" spans="1:9" x14ac:dyDescent="0.25">
      <c r="B30" s="3" t="s">
        <v>1002</v>
      </c>
    </row>
    <row r="31" spans="1:9" x14ac:dyDescent="0.25">
      <c r="A31" s="3" t="s">
        <v>1634</v>
      </c>
      <c r="B31" s="3">
        <f>1.28+8.98+4.07+5.11+3.74</f>
        <v>23.18</v>
      </c>
      <c r="C31" s="45"/>
      <c r="D31" s="45"/>
    </row>
    <row r="32" spans="1:9" x14ac:dyDescent="0.25">
      <c r="A32" s="3" t="s">
        <v>1635</v>
      </c>
      <c r="B32" s="45">
        <f>3.39+5.26+13.11+9.8</f>
        <v>31.56</v>
      </c>
      <c r="C32" s="48">
        <v>41.91</v>
      </c>
      <c r="E32" s="84"/>
    </row>
    <row r="33" spans="2:5" x14ac:dyDescent="0.25">
      <c r="E33" s="84"/>
    </row>
    <row r="34" spans="2:5" x14ac:dyDescent="0.25">
      <c r="B34" s="45">
        <f>(B32*9+C32)*1.2</f>
        <v>391.13999999999993</v>
      </c>
    </row>
    <row r="35" spans="2:5" x14ac:dyDescent="0.25">
      <c r="B35" s="3"/>
      <c r="C35" s="45"/>
      <c r="D35" s="45"/>
    </row>
    <row r="36" spans="2:5" x14ac:dyDescent="0.25">
      <c r="B36" s="3"/>
      <c r="E36" s="84"/>
    </row>
    <row r="37" spans="2:5" x14ac:dyDescent="0.25">
      <c r="E37" s="84"/>
    </row>
    <row r="38" spans="2:5" x14ac:dyDescent="0.25">
      <c r="E38" s="84"/>
    </row>
    <row r="39" spans="2:5" x14ac:dyDescent="0.25">
      <c r="E39" s="84"/>
    </row>
    <row r="40" spans="2:5" x14ac:dyDescent="0.25">
      <c r="E40" s="84"/>
    </row>
    <row r="41" spans="2:5" x14ac:dyDescent="0.25">
      <c r="E41" s="84"/>
    </row>
    <row r="42" spans="2:5" x14ac:dyDescent="0.25">
      <c r="E42" s="84"/>
    </row>
    <row r="43" spans="2:5" x14ac:dyDescent="0.25">
      <c r="E43" s="84"/>
    </row>
    <row r="44" spans="2:5" x14ac:dyDescent="0.25">
      <c r="E44" s="84"/>
    </row>
    <row r="45" spans="2:5" x14ac:dyDescent="0.25">
      <c r="E45" s="84"/>
    </row>
    <row r="46" spans="2:5" x14ac:dyDescent="0.25">
      <c r="E46" s="84"/>
    </row>
    <row r="47" spans="2:5" x14ac:dyDescent="0.25">
      <c r="E47" s="84"/>
    </row>
    <row r="48" spans="2:5" x14ac:dyDescent="0.25">
      <c r="E48" s="84"/>
    </row>
    <row r="49" spans="1:5" x14ac:dyDescent="0.25">
      <c r="E49" s="84"/>
    </row>
    <row r="50" spans="1:5" x14ac:dyDescent="0.25">
      <c r="E50" s="150"/>
    </row>
    <row r="51" spans="1:5" x14ac:dyDescent="0.25">
      <c r="A51" s="149"/>
      <c r="E51" s="84"/>
    </row>
    <row r="52" spans="1:5" x14ac:dyDescent="0.25">
      <c r="A52" s="149"/>
      <c r="E52" s="84"/>
    </row>
    <row r="53" spans="1:5" x14ac:dyDescent="0.25">
      <c r="A53" s="149"/>
      <c r="E53" s="84"/>
    </row>
    <row r="54" spans="1:5" x14ac:dyDescent="0.25">
      <c r="A54" s="151"/>
      <c r="D54" s="152"/>
    </row>
    <row r="56" spans="1:5" x14ac:dyDescent="0.25">
      <c r="A56" s="149"/>
    </row>
    <row r="62" spans="1:5" x14ac:dyDescent="0.25">
      <c r="D62" s="152"/>
    </row>
  </sheetData>
  <mergeCells count="6">
    <mergeCell ref="A26:F26"/>
    <mergeCell ref="A2:A4"/>
    <mergeCell ref="B14:C14"/>
    <mergeCell ref="D14:E14"/>
    <mergeCell ref="A23:F23"/>
    <mergeCell ref="A24:F2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71"/>
    <col min="7" max="7" width="14.85546875" bestFit="1" customWidth="1"/>
    <col min="8" max="8" width="9.28515625" style="71" bestFit="1" customWidth="1"/>
  </cols>
  <sheetData>
    <row r="2" spans="1:8" x14ac:dyDescent="0.25">
      <c r="A2" t="s">
        <v>130</v>
      </c>
      <c r="B2">
        <v>2</v>
      </c>
      <c r="C2" t="s">
        <v>177</v>
      </c>
      <c r="D2" s="71">
        <v>18.399999999999999</v>
      </c>
    </row>
    <row r="3" spans="1:8" x14ac:dyDescent="0.25">
      <c r="A3" t="s">
        <v>131</v>
      </c>
      <c r="B3">
        <v>2</v>
      </c>
      <c r="C3" t="s">
        <v>178</v>
      </c>
    </row>
    <row r="4" spans="1:8" x14ac:dyDescent="0.25">
      <c r="A4" t="s">
        <v>132</v>
      </c>
      <c r="B4">
        <v>1</v>
      </c>
      <c r="C4" t="s">
        <v>179</v>
      </c>
      <c r="D4" s="71">
        <v>3.4649999999999999</v>
      </c>
    </row>
    <row r="5" spans="1:8" x14ac:dyDescent="0.25">
      <c r="A5" t="s">
        <v>133</v>
      </c>
      <c r="B5">
        <v>1</v>
      </c>
      <c r="C5" t="s">
        <v>179</v>
      </c>
      <c r="D5" s="71">
        <v>1.7324999999999999</v>
      </c>
      <c r="G5" t="s">
        <v>183</v>
      </c>
      <c r="H5" s="71">
        <f>SUMIF(C:C,G5,D:D)</f>
        <v>400.52209999999991</v>
      </c>
    </row>
    <row r="6" spans="1:8" x14ac:dyDescent="0.25">
      <c r="A6" t="s">
        <v>134</v>
      </c>
      <c r="B6">
        <v>2</v>
      </c>
      <c r="C6" t="s">
        <v>179</v>
      </c>
      <c r="D6" s="71">
        <v>5.2751999999999999</v>
      </c>
      <c r="G6" t="s">
        <v>184</v>
      </c>
      <c r="H6" s="71">
        <f>SUMIF(C:C,G6,D:D)</f>
        <v>1895.0600000000002</v>
      </c>
    </row>
    <row r="7" spans="1:8" x14ac:dyDescent="0.25">
      <c r="A7" t="s">
        <v>135</v>
      </c>
      <c r="B7">
        <v>1</v>
      </c>
      <c r="C7" t="s">
        <v>179</v>
      </c>
      <c r="D7" s="71">
        <v>4.1916000000000002</v>
      </c>
      <c r="G7" t="s">
        <v>181</v>
      </c>
      <c r="H7" s="71">
        <f>SUMIF(C:C,G7,B:B)</f>
        <v>218</v>
      </c>
    </row>
    <row r="8" spans="1:8" x14ac:dyDescent="0.25">
      <c r="A8" t="s">
        <v>136</v>
      </c>
      <c r="B8">
        <v>1</v>
      </c>
      <c r="C8" t="s">
        <v>182</v>
      </c>
      <c r="G8" t="s">
        <v>178</v>
      </c>
      <c r="H8" s="71">
        <f>SUMIF(C:C,G8,B:B)</f>
        <v>60</v>
      </c>
    </row>
    <row r="9" spans="1:8" x14ac:dyDescent="0.25">
      <c r="A9" t="s">
        <v>137</v>
      </c>
      <c r="B9">
        <v>19</v>
      </c>
      <c r="C9" t="s">
        <v>181</v>
      </c>
      <c r="G9" t="s">
        <v>182</v>
      </c>
      <c r="H9" s="71">
        <f>SUMIF(C:C,G9,B:B)</f>
        <v>1</v>
      </c>
    </row>
    <row r="10" spans="1:8" x14ac:dyDescent="0.25">
      <c r="A10" t="s">
        <v>138</v>
      </c>
      <c r="B10">
        <v>3</v>
      </c>
      <c r="C10" t="s">
        <v>179</v>
      </c>
      <c r="D10" s="71">
        <v>6.3</v>
      </c>
      <c r="G10" t="s">
        <v>180</v>
      </c>
      <c r="H10" s="71">
        <f>SUMIF(C:C,G10,D:D)</f>
        <v>46.62</v>
      </c>
    </row>
    <row r="11" spans="1:8" x14ac:dyDescent="0.25">
      <c r="A11" t="s">
        <v>139</v>
      </c>
      <c r="B11">
        <v>2</v>
      </c>
      <c r="C11" t="s">
        <v>179</v>
      </c>
      <c r="D11" s="71">
        <v>3.78</v>
      </c>
      <c r="G11" t="s">
        <v>177</v>
      </c>
      <c r="H11" s="71">
        <f>SUMIF(C:C,G11,B:B)</f>
        <v>2</v>
      </c>
    </row>
    <row r="12" spans="1:8" x14ac:dyDescent="0.25">
      <c r="A12" t="s">
        <v>140</v>
      </c>
      <c r="B12">
        <v>1</v>
      </c>
      <c r="C12" t="s">
        <v>179</v>
      </c>
      <c r="D12" s="71">
        <v>2.0076000000000001</v>
      </c>
      <c r="G12" t="s">
        <v>185</v>
      </c>
      <c r="H12" s="71">
        <f>SUMIF(C:C,G12,D:D)</f>
        <v>113.88000000000002</v>
      </c>
    </row>
    <row r="13" spans="1:8" x14ac:dyDescent="0.25">
      <c r="A13" t="s">
        <v>141</v>
      </c>
      <c r="C13" t="s">
        <v>184</v>
      </c>
      <c r="D13" s="71">
        <v>23.4526</v>
      </c>
      <c r="G13" t="s">
        <v>186</v>
      </c>
      <c r="H13" s="71">
        <v>109.3146</v>
      </c>
    </row>
    <row r="14" spans="1:8" x14ac:dyDescent="0.25">
      <c r="A14" t="s">
        <v>142</v>
      </c>
      <c r="C14" t="s">
        <v>183</v>
      </c>
      <c r="D14" s="71">
        <v>20.8062</v>
      </c>
    </row>
    <row r="15" spans="1:8" x14ac:dyDescent="0.25">
      <c r="A15" t="s">
        <v>143</v>
      </c>
      <c r="B15">
        <v>8</v>
      </c>
      <c r="C15" t="s">
        <v>178</v>
      </c>
    </row>
    <row r="16" spans="1:8" x14ac:dyDescent="0.25">
      <c r="A16" t="s">
        <v>144</v>
      </c>
      <c r="C16" t="s">
        <v>184</v>
      </c>
      <c r="D16" s="71">
        <v>124.1564</v>
      </c>
    </row>
    <row r="17" spans="1:4" x14ac:dyDescent="0.25">
      <c r="A17" t="s">
        <v>145</v>
      </c>
      <c r="B17">
        <v>2</v>
      </c>
      <c r="C17" t="s">
        <v>178</v>
      </c>
    </row>
    <row r="18" spans="1:4" x14ac:dyDescent="0.25">
      <c r="A18" t="s">
        <v>146</v>
      </c>
      <c r="B18">
        <v>2</v>
      </c>
      <c r="C18" t="s">
        <v>180</v>
      </c>
      <c r="D18" s="71">
        <v>2.94</v>
      </c>
    </row>
    <row r="19" spans="1:4" x14ac:dyDescent="0.25">
      <c r="A19" t="s">
        <v>147</v>
      </c>
      <c r="B19">
        <v>2</v>
      </c>
      <c r="C19" t="s">
        <v>180</v>
      </c>
      <c r="D19" s="71">
        <v>3.78</v>
      </c>
    </row>
    <row r="20" spans="1:4" x14ac:dyDescent="0.25">
      <c r="A20" t="s">
        <v>148</v>
      </c>
      <c r="B20">
        <v>5</v>
      </c>
      <c r="C20" t="s">
        <v>181</v>
      </c>
    </row>
    <row r="21" spans="1:4" x14ac:dyDescent="0.25">
      <c r="A21" t="s">
        <v>149</v>
      </c>
      <c r="B21">
        <v>1</v>
      </c>
      <c r="C21" t="s">
        <v>184</v>
      </c>
      <c r="D21" s="71">
        <v>14.7348</v>
      </c>
    </row>
    <row r="22" spans="1:4" x14ac:dyDescent="0.25">
      <c r="A22" t="s">
        <v>150</v>
      </c>
      <c r="C22" t="s">
        <v>184</v>
      </c>
      <c r="D22" s="71">
        <v>45.024799999999999</v>
      </c>
    </row>
    <row r="23" spans="1:4" x14ac:dyDescent="0.25">
      <c r="A23" t="s">
        <v>151</v>
      </c>
      <c r="C23" t="s">
        <v>183</v>
      </c>
      <c r="D23" s="71">
        <v>19.8809</v>
      </c>
    </row>
    <row r="24" spans="1:4" x14ac:dyDescent="0.25">
      <c r="A24" t="s">
        <v>152</v>
      </c>
      <c r="B24">
        <v>38</v>
      </c>
      <c r="C24" t="s">
        <v>178</v>
      </c>
    </row>
    <row r="25" spans="1:4" x14ac:dyDescent="0.25">
      <c r="A25" t="s">
        <v>153</v>
      </c>
      <c r="B25">
        <v>171</v>
      </c>
      <c r="C25" t="s">
        <v>181</v>
      </c>
    </row>
    <row r="26" spans="1:4" x14ac:dyDescent="0.25">
      <c r="A26" t="s">
        <v>154</v>
      </c>
      <c r="B26">
        <v>19</v>
      </c>
      <c r="C26" t="s">
        <v>180</v>
      </c>
      <c r="D26" s="71">
        <v>23.94</v>
      </c>
    </row>
    <row r="27" spans="1:4" x14ac:dyDescent="0.25">
      <c r="A27" t="s">
        <v>155</v>
      </c>
      <c r="B27">
        <v>19</v>
      </c>
      <c r="C27" t="s">
        <v>184</v>
      </c>
      <c r="D27" s="71">
        <v>482.98950000000002</v>
      </c>
    </row>
    <row r="28" spans="1:4" x14ac:dyDescent="0.25">
      <c r="A28" t="s">
        <v>156</v>
      </c>
      <c r="B28">
        <v>19</v>
      </c>
      <c r="C28" t="s">
        <v>184</v>
      </c>
      <c r="D28" s="71">
        <v>338.7396</v>
      </c>
    </row>
    <row r="29" spans="1:4" x14ac:dyDescent="0.25">
      <c r="A29" t="s">
        <v>157</v>
      </c>
      <c r="C29" t="s">
        <v>184</v>
      </c>
      <c r="D29" s="71">
        <v>530.63199999999995</v>
      </c>
    </row>
    <row r="30" spans="1:4" x14ac:dyDescent="0.25">
      <c r="A30" t="s">
        <v>158</v>
      </c>
      <c r="C30" t="s">
        <v>185</v>
      </c>
      <c r="D30" s="71">
        <v>90.155000000000001</v>
      </c>
    </row>
    <row r="31" spans="1:4" x14ac:dyDescent="0.25">
      <c r="A31" t="s">
        <v>159</v>
      </c>
      <c r="C31" t="s">
        <v>183</v>
      </c>
      <c r="D31" s="71">
        <v>297.255</v>
      </c>
    </row>
    <row r="32" spans="1:4" x14ac:dyDescent="0.25">
      <c r="A32" t="s">
        <v>145</v>
      </c>
      <c r="B32">
        <v>2</v>
      </c>
      <c r="C32" t="s">
        <v>178</v>
      </c>
    </row>
    <row r="33" spans="1:4" x14ac:dyDescent="0.25">
      <c r="A33" t="s">
        <v>160</v>
      </c>
      <c r="B33">
        <v>2</v>
      </c>
      <c r="C33" t="s">
        <v>181</v>
      </c>
    </row>
    <row r="34" spans="1:4" x14ac:dyDescent="0.25">
      <c r="A34" t="s">
        <v>161</v>
      </c>
      <c r="B34">
        <v>1</v>
      </c>
      <c r="C34" t="s">
        <v>180</v>
      </c>
      <c r="D34" s="71">
        <v>1.26</v>
      </c>
    </row>
    <row r="35" spans="1:4" x14ac:dyDescent="0.25">
      <c r="A35" t="s">
        <v>162</v>
      </c>
      <c r="B35">
        <v>1</v>
      </c>
      <c r="C35" t="s">
        <v>184</v>
      </c>
      <c r="D35" s="71">
        <v>15.21</v>
      </c>
    </row>
    <row r="36" spans="1:4" x14ac:dyDescent="0.25">
      <c r="A36" t="s">
        <v>163</v>
      </c>
      <c r="B36">
        <v>1</v>
      </c>
      <c r="C36" t="s">
        <v>184</v>
      </c>
      <c r="D36" s="71">
        <v>25.420500000000001</v>
      </c>
    </row>
    <row r="37" spans="1:4" x14ac:dyDescent="0.25">
      <c r="A37" t="s">
        <v>164</v>
      </c>
      <c r="B37">
        <v>1</v>
      </c>
      <c r="C37" t="s">
        <v>184</v>
      </c>
      <c r="D37" s="71">
        <v>17.828399999999998</v>
      </c>
    </row>
    <row r="38" spans="1:4" x14ac:dyDescent="0.25">
      <c r="A38" t="s">
        <v>165</v>
      </c>
      <c r="C38" t="s">
        <v>184</v>
      </c>
      <c r="D38" s="71">
        <v>27.928000000000001</v>
      </c>
    </row>
    <row r="39" spans="1:4" x14ac:dyDescent="0.25">
      <c r="A39" t="s">
        <v>166</v>
      </c>
      <c r="C39" t="s">
        <v>185</v>
      </c>
      <c r="D39" s="71">
        <v>4.7450000000000001</v>
      </c>
    </row>
    <row r="40" spans="1:4" x14ac:dyDescent="0.25">
      <c r="A40" t="s">
        <v>167</v>
      </c>
      <c r="C40" t="s">
        <v>183</v>
      </c>
      <c r="D40" s="71">
        <v>15.645</v>
      </c>
    </row>
    <row r="41" spans="1:4" x14ac:dyDescent="0.25">
      <c r="A41" t="s">
        <v>145</v>
      </c>
      <c r="B41">
        <v>2</v>
      </c>
      <c r="C41" t="s">
        <v>178</v>
      </c>
    </row>
    <row r="42" spans="1:4" x14ac:dyDescent="0.25">
      <c r="A42" t="s">
        <v>168</v>
      </c>
      <c r="B42">
        <v>7</v>
      </c>
      <c r="C42" t="s">
        <v>181</v>
      </c>
    </row>
    <row r="43" spans="1:4" x14ac:dyDescent="0.25">
      <c r="A43" t="s">
        <v>169</v>
      </c>
      <c r="B43">
        <v>2</v>
      </c>
      <c r="C43" t="s">
        <v>181</v>
      </c>
    </row>
    <row r="44" spans="1:4" x14ac:dyDescent="0.25">
      <c r="A44" t="s">
        <v>163</v>
      </c>
      <c r="B44">
        <v>1</v>
      </c>
      <c r="C44" t="s">
        <v>184</v>
      </c>
      <c r="D44" s="71">
        <v>25.420500000000001</v>
      </c>
    </row>
    <row r="45" spans="1:4" x14ac:dyDescent="0.25">
      <c r="A45" t="s">
        <v>164</v>
      </c>
      <c r="B45">
        <v>1</v>
      </c>
      <c r="C45" t="s">
        <v>184</v>
      </c>
      <c r="D45" s="71">
        <v>17.828399999999998</v>
      </c>
    </row>
    <row r="46" spans="1:4" x14ac:dyDescent="0.25">
      <c r="A46" t="s">
        <v>170</v>
      </c>
      <c r="C46" t="s">
        <v>184</v>
      </c>
      <c r="D46" s="71">
        <v>26.827999999999999</v>
      </c>
    </row>
    <row r="47" spans="1:4" x14ac:dyDescent="0.25">
      <c r="A47" t="s">
        <v>166</v>
      </c>
      <c r="C47" t="s">
        <v>185</v>
      </c>
      <c r="D47" s="71">
        <v>4.7450000000000001</v>
      </c>
    </row>
    <row r="48" spans="1:4" x14ac:dyDescent="0.25">
      <c r="A48" t="s">
        <v>167</v>
      </c>
      <c r="C48" t="s">
        <v>183</v>
      </c>
      <c r="D48" s="71">
        <v>15.645</v>
      </c>
    </row>
    <row r="49" spans="1:4" x14ac:dyDescent="0.25">
      <c r="A49" t="s">
        <v>145</v>
      </c>
      <c r="B49">
        <v>2</v>
      </c>
      <c r="C49" t="s">
        <v>178</v>
      </c>
    </row>
    <row r="50" spans="1:4" x14ac:dyDescent="0.25">
      <c r="A50" t="s">
        <v>171</v>
      </c>
      <c r="B50">
        <v>4</v>
      </c>
      <c r="C50" t="s">
        <v>181</v>
      </c>
    </row>
    <row r="51" spans="1:4" x14ac:dyDescent="0.25">
      <c r="A51" t="s">
        <v>161</v>
      </c>
      <c r="B51">
        <v>1</v>
      </c>
      <c r="C51" t="s">
        <v>180</v>
      </c>
      <c r="D51" s="71">
        <v>1.26</v>
      </c>
    </row>
    <row r="52" spans="1:4" x14ac:dyDescent="0.25">
      <c r="A52" t="s">
        <v>172</v>
      </c>
      <c r="B52">
        <v>1</v>
      </c>
      <c r="C52" t="s">
        <v>181</v>
      </c>
    </row>
    <row r="53" spans="1:4" x14ac:dyDescent="0.25">
      <c r="A53" t="s">
        <v>173</v>
      </c>
      <c r="B53">
        <v>1</v>
      </c>
      <c r="C53" t="s">
        <v>180</v>
      </c>
      <c r="D53" s="71">
        <v>10.5</v>
      </c>
    </row>
    <row r="54" spans="1:4" x14ac:dyDescent="0.25">
      <c r="A54" t="s">
        <v>163</v>
      </c>
      <c r="B54">
        <v>1</v>
      </c>
      <c r="C54" t="s">
        <v>184</v>
      </c>
      <c r="D54" s="71">
        <v>25.420500000000001</v>
      </c>
    </row>
    <row r="55" spans="1:4" x14ac:dyDescent="0.25">
      <c r="A55" t="s">
        <v>164</v>
      </c>
      <c r="B55">
        <v>1</v>
      </c>
      <c r="C55" t="s">
        <v>184</v>
      </c>
      <c r="D55" s="71">
        <v>17.828399999999998</v>
      </c>
    </row>
    <row r="56" spans="1:4" x14ac:dyDescent="0.25">
      <c r="A56" t="s">
        <v>165</v>
      </c>
      <c r="C56" t="s">
        <v>184</v>
      </c>
      <c r="D56" s="71">
        <v>27.928000000000001</v>
      </c>
    </row>
    <row r="57" spans="1:4" x14ac:dyDescent="0.25">
      <c r="A57" t="s">
        <v>166</v>
      </c>
      <c r="C57" t="s">
        <v>185</v>
      </c>
      <c r="D57" s="71">
        <v>4.7450000000000001</v>
      </c>
    </row>
    <row r="58" spans="1:4" x14ac:dyDescent="0.25">
      <c r="A58" t="s">
        <v>167</v>
      </c>
      <c r="C58" t="s">
        <v>183</v>
      </c>
      <c r="D58" s="71">
        <v>15.645</v>
      </c>
    </row>
    <row r="59" spans="1:4" x14ac:dyDescent="0.25">
      <c r="A59" t="s">
        <v>145</v>
      </c>
      <c r="B59">
        <v>2</v>
      </c>
      <c r="C59" t="s">
        <v>178</v>
      </c>
    </row>
    <row r="60" spans="1:4" x14ac:dyDescent="0.25">
      <c r="A60" t="s">
        <v>168</v>
      </c>
      <c r="B60">
        <v>7</v>
      </c>
      <c r="C60" t="s">
        <v>181</v>
      </c>
    </row>
    <row r="61" spans="1:4" x14ac:dyDescent="0.25">
      <c r="A61" t="s">
        <v>174</v>
      </c>
      <c r="B61">
        <v>1</v>
      </c>
      <c r="C61" t="s">
        <v>184</v>
      </c>
      <c r="D61" s="71">
        <v>5.61</v>
      </c>
    </row>
    <row r="62" spans="1:4" x14ac:dyDescent="0.25">
      <c r="A62" t="s">
        <v>175</v>
      </c>
      <c r="C62" t="s">
        <v>184</v>
      </c>
      <c r="D62" s="71">
        <v>69.707599999999999</v>
      </c>
    </row>
    <row r="63" spans="1:4" x14ac:dyDescent="0.25">
      <c r="A63" t="s">
        <v>166</v>
      </c>
      <c r="C63" t="s">
        <v>185</v>
      </c>
      <c r="D63" s="71">
        <v>4.7450000000000001</v>
      </c>
    </row>
    <row r="64" spans="1:4" x14ac:dyDescent="0.25">
      <c r="A64" t="s">
        <v>167</v>
      </c>
      <c r="C64" t="s">
        <v>183</v>
      </c>
      <c r="D64" s="71">
        <v>15.645</v>
      </c>
    </row>
    <row r="65" spans="1:4" x14ac:dyDescent="0.25">
      <c r="A65" t="s">
        <v>145</v>
      </c>
      <c r="B65">
        <v>2</v>
      </c>
      <c r="C65" t="s">
        <v>178</v>
      </c>
    </row>
    <row r="66" spans="1:4" x14ac:dyDescent="0.25">
      <c r="A66" t="s">
        <v>146</v>
      </c>
      <c r="B66">
        <v>2</v>
      </c>
      <c r="C66" t="s">
        <v>180</v>
      </c>
      <c r="D66" s="71">
        <v>2.94</v>
      </c>
    </row>
    <row r="67" spans="1:4" x14ac:dyDescent="0.25">
      <c r="A67" t="s">
        <v>176</v>
      </c>
      <c r="C67" t="s">
        <v>184</v>
      </c>
      <c r="D67" s="71">
        <v>32.372</v>
      </c>
    </row>
    <row r="68" spans="1:4" x14ac:dyDescent="0.25">
      <c r="A68" t="s">
        <v>166</v>
      </c>
      <c r="C68" t="s">
        <v>185</v>
      </c>
      <c r="D68" s="71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L40"/>
  <sheetViews>
    <sheetView showGridLines="0" topLeftCell="A13" zoomScale="130" zoomScaleNormal="130" zoomScaleSheetLayoutView="95" workbookViewId="0">
      <selection activeCell="G28" sqref="G28"/>
    </sheetView>
  </sheetViews>
  <sheetFormatPr defaultColWidth="9.140625" defaultRowHeight="12.75" x14ac:dyDescent="0.25"/>
  <cols>
    <col min="1" max="1" width="48.7109375" style="3" customWidth="1"/>
    <col min="2" max="2" width="15.85546875" style="45" customWidth="1"/>
    <col min="3" max="3" width="7.5703125" style="48" customWidth="1"/>
    <col min="4" max="4" width="11.5703125" style="10" customWidth="1"/>
    <col min="5" max="5" width="15.85546875" style="3" customWidth="1"/>
    <col min="6" max="6" width="12.85546875" style="3" customWidth="1"/>
    <col min="7" max="7" width="19.140625" style="3" customWidth="1"/>
    <col min="8" max="8" width="15.140625" style="3" customWidth="1"/>
    <col min="9" max="9" width="13.5703125" style="3" bestFit="1" customWidth="1"/>
    <col min="10" max="16384" width="9.140625" style="3"/>
  </cols>
  <sheetData>
    <row r="1" spans="1:12" x14ac:dyDescent="0.25">
      <c r="B1" s="4"/>
      <c r="C1" s="3"/>
      <c r="D1" s="3"/>
      <c r="G1" s="1"/>
      <c r="H1" s="1"/>
      <c r="I1" s="4"/>
    </row>
    <row r="2" spans="1:12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2" ht="12.75" customHeight="1" x14ac:dyDescent="0.25">
      <c r="A3" s="354"/>
      <c r="B3" s="4"/>
      <c r="C3" s="3"/>
      <c r="D3" s="3"/>
      <c r="G3" s="112"/>
      <c r="H3" s="112"/>
      <c r="I3" s="4"/>
    </row>
    <row r="4" spans="1:12" ht="12.75" customHeight="1" x14ac:dyDescent="0.25">
      <c r="A4" s="354"/>
      <c r="B4" s="4"/>
      <c r="C4" s="3"/>
      <c r="D4" s="3"/>
      <c r="G4" s="112"/>
      <c r="H4" s="112"/>
      <c r="I4" s="4"/>
    </row>
    <row r="5" spans="1:12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2" x14ac:dyDescent="0.25">
      <c r="A6" s="102"/>
      <c r="B6" s="4"/>
      <c r="C6" s="3"/>
      <c r="D6" s="3"/>
      <c r="G6" s="1"/>
      <c r="H6" s="1"/>
      <c r="I6" s="4"/>
    </row>
    <row r="7" spans="1:12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2" x14ac:dyDescent="0.25">
      <c r="A8" s="126" t="s">
        <v>1</v>
      </c>
      <c r="B8" s="170" t="s">
        <v>269</v>
      </c>
      <c r="C8" s="107"/>
      <c r="D8" s="107"/>
      <c r="E8" s="107"/>
      <c r="F8" s="107"/>
      <c r="G8" s="107"/>
      <c r="H8" s="127"/>
      <c r="I8" s="4"/>
    </row>
    <row r="9" spans="1:12" ht="15" customHeight="1" x14ac:dyDescent="0.25">
      <c r="A9" s="128" t="s">
        <v>2</v>
      </c>
      <c r="B9" s="109">
        <v>45352</v>
      </c>
      <c r="C9" s="110"/>
      <c r="D9" s="110"/>
      <c r="E9" s="110"/>
      <c r="F9" s="110"/>
      <c r="G9" s="110"/>
      <c r="H9" s="129"/>
    </row>
    <row r="10" spans="1:12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2" ht="15.75" customHeight="1" x14ac:dyDescent="0.25">
      <c r="A12" s="11" t="s">
        <v>98</v>
      </c>
      <c r="B12" s="41"/>
      <c r="C12" s="29"/>
      <c r="D12" s="13"/>
      <c r="E12" s="12"/>
      <c r="F12" s="12"/>
      <c r="G12" s="12"/>
      <c r="H12" s="14"/>
    </row>
    <row r="13" spans="1:12" ht="15.75" customHeight="1" x14ac:dyDescent="0.25">
      <c r="A13" s="15"/>
      <c r="B13" s="42"/>
      <c r="C13" s="47"/>
      <c r="D13" s="16"/>
      <c r="E13" s="16"/>
      <c r="F13" s="16"/>
      <c r="H13" s="17"/>
    </row>
    <row r="14" spans="1:12" ht="15.7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  <c r="L14" s="59"/>
    </row>
    <row r="15" spans="1:12" x14ac:dyDescent="0.25">
      <c r="A15" s="133" t="s">
        <v>196</v>
      </c>
      <c r="B15" s="88">
        <f>K19*L19+K20*L20+K21*L21</f>
        <v>4858.5260999999991</v>
      </c>
      <c r="C15" s="44" t="s">
        <v>10</v>
      </c>
      <c r="D15" s="52">
        <v>18</v>
      </c>
      <c r="E15" s="21" t="s">
        <v>48</v>
      </c>
      <c r="F15" s="55" t="s">
        <v>32</v>
      </c>
      <c r="G15" s="118">
        <f>B15*D15</f>
        <v>87453.469799999992</v>
      </c>
      <c r="H15" s="17"/>
      <c r="K15" s="148"/>
      <c r="L15" s="59"/>
    </row>
    <row r="16" spans="1:12" x14ac:dyDescent="0.25">
      <c r="A16" s="133" t="s">
        <v>45</v>
      </c>
      <c r="B16" s="88">
        <f>B15</f>
        <v>4858.5260999999991</v>
      </c>
      <c r="C16" s="44" t="s">
        <v>10</v>
      </c>
      <c r="D16" s="52">
        <v>115</v>
      </c>
      <c r="E16" s="21" t="s">
        <v>48</v>
      </c>
      <c r="F16" s="55" t="s">
        <v>32</v>
      </c>
      <c r="G16" s="118">
        <f>B16*D16</f>
        <v>558730.5014999999</v>
      </c>
      <c r="H16" s="17"/>
      <c r="K16" s="148"/>
      <c r="L16" s="59"/>
    </row>
    <row r="17" spans="1:12" x14ac:dyDescent="0.25">
      <c r="A17" s="359" t="s">
        <v>33</v>
      </c>
      <c r="B17" s="360"/>
      <c r="C17" s="360"/>
      <c r="D17" s="360"/>
      <c r="E17" s="360"/>
      <c r="F17" s="360"/>
      <c r="G17" s="119">
        <f>SUM(G15:G16)</f>
        <v>646183.97129999986</v>
      </c>
      <c r="H17" s="23"/>
      <c r="K17" s="176"/>
    </row>
    <row r="18" spans="1:12" ht="15.75" customHeight="1" x14ac:dyDescent="0.25">
      <c r="A18" s="364"/>
      <c r="B18" s="365"/>
      <c r="C18" s="365"/>
      <c r="D18" s="365"/>
      <c r="E18" s="365"/>
      <c r="F18" s="365"/>
      <c r="G18" s="62"/>
      <c r="H18" s="27"/>
    </row>
    <row r="19" spans="1:12" ht="15.75" customHeight="1" x14ac:dyDescent="0.25">
      <c r="A19" s="11" t="s">
        <v>99</v>
      </c>
      <c r="B19" s="41"/>
      <c r="C19" s="29"/>
      <c r="D19" s="13"/>
      <c r="E19" s="12"/>
      <c r="F19" s="12"/>
      <c r="G19" s="12"/>
      <c r="H19" s="14"/>
      <c r="J19" s="3" t="s">
        <v>1636</v>
      </c>
      <c r="K19" s="59">
        <f>'Dados Gerais'!C27</f>
        <v>121.18</v>
      </c>
      <c r="L19" s="3">
        <v>9.42</v>
      </c>
    </row>
    <row r="20" spans="1:12" ht="15.75" customHeight="1" x14ac:dyDescent="0.25">
      <c r="A20" s="15"/>
      <c r="B20" s="73"/>
      <c r="C20" s="47"/>
      <c r="D20" s="16"/>
      <c r="E20" s="16"/>
      <c r="F20" s="16"/>
      <c r="H20" s="17"/>
      <c r="J20" s="3" t="s">
        <v>1637</v>
      </c>
      <c r="K20" s="59">
        <f>'Dados Gerais'!C22</f>
        <v>109.27</v>
      </c>
      <c r="L20" s="3">
        <v>31.95</v>
      </c>
    </row>
    <row r="21" spans="1:12" ht="15.75" customHeight="1" x14ac:dyDescent="0.25">
      <c r="A21" s="114" t="s">
        <v>27</v>
      </c>
      <c r="B21" s="362" t="s">
        <v>36</v>
      </c>
      <c r="C21" s="363"/>
      <c r="D21" s="357" t="s">
        <v>16</v>
      </c>
      <c r="E21" s="358"/>
      <c r="F21" s="115" t="s">
        <v>31</v>
      </c>
      <c r="G21" s="116" t="s">
        <v>30</v>
      </c>
      <c r="H21" s="17"/>
      <c r="J21" s="3" t="s">
        <v>1638</v>
      </c>
      <c r="K21" s="3">
        <v>33.96</v>
      </c>
      <c r="L21" s="3">
        <v>6.65</v>
      </c>
    </row>
    <row r="22" spans="1:12" ht="15.75" customHeight="1" x14ac:dyDescent="0.25">
      <c r="A22" s="133" t="s">
        <v>993</v>
      </c>
      <c r="B22" s="88">
        <f>B15</f>
        <v>4858.5260999999991</v>
      </c>
      <c r="C22" s="44" t="s">
        <v>10</v>
      </c>
      <c r="D22" s="52">
        <f>30+42</f>
        <v>72</v>
      </c>
      <c r="E22" s="21" t="s">
        <v>48</v>
      </c>
      <c r="F22" s="55" t="s">
        <v>32</v>
      </c>
      <c r="G22" s="118">
        <f>+B22*D22</f>
        <v>349813.87919999997</v>
      </c>
      <c r="H22" s="17"/>
    </row>
    <row r="23" spans="1:12" x14ac:dyDescent="0.25">
      <c r="A23" s="359" t="s">
        <v>33</v>
      </c>
      <c r="B23" s="360"/>
      <c r="C23" s="360"/>
      <c r="D23" s="360"/>
      <c r="E23" s="360"/>
      <c r="F23" s="360"/>
      <c r="G23" s="119">
        <f>SUM(G22)</f>
        <v>349813.87919999997</v>
      </c>
      <c r="H23" s="23"/>
    </row>
    <row r="24" spans="1:12" x14ac:dyDescent="0.25">
      <c r="A24" s="369"/>
      <c r="B24" s="370"/>
      <c r="C24" s="370"/>
      <c r="D24" s="370"/>
      <c r="E24" s="370"/>
      <c r="F24" s="370"/>
      <c r="G24" s="62"/>
      <c r="H24" s="27"/>
    </row>
    <row r="25" spans="1:12" ht="15.75" customHeight="1" x14ac:dyDescent="0.25">
      <c r="A25" s="11" t="s">
        <v>264</v>
      </c>
      <c r="B25" s="41"/>
      <c r="C25" s="29"/>
      <c r="D25" s="13"/>
      <c r="E25" s="12"/>
      <c r="F25" s="12"/>
      <c r="G25" s="12"/>
      <c r="H25" s="14"/>
    </row>
    <row r="26" spans="1:12" ht="15.75" customHeight="1" x14ac:dyDescent="0.25">
      <c r="A26" s="15"/>
      <c r="B26" s="42"/>
      <c r="C26" s="47"/>
      <c r="D26" s="16"/>
      <c r="E26" s="16"/>
      <c r="F26" s="16"/>
      <c r="H26" s="17"/>
    </row>
    <row r="27" spans="1:12" ht="15.75" customHeight="1" x14ac:dyDescent="0.25">
      <c r="A27" s="114" t="s">
        <v>27</v>
      </c>
      <c r="B27" s="362" t="s">
        <v>36</v>
      </c>
      <c r="C27" s="363"/>
      <c r="D27" s="357" t="s">
        <v>16</v>
      </c>
      <c r="E27" s="358"/>
      <c r="F27" s="115" t="s">
        <v>31</v>
      </c>
      <c r="G27" s="116" t="s">
        <v>30</v>
      </c>
      <c r="H27" s="17"/>
    </row>
    <row r="28" spans="1:12" ht="15.75" customHeight="1" x14ac:dyDescent="0.25">
      <c r="A28" s="133" t="s">
        <v>265</v>
      </c>
      <c r="B28" s="88">
        <v>1</v>
      </c>
      <c r="C28" s="44" t="s">
        <v>47</v>
      </c>
      <c r="D28" s="52">
        <v>40</v>
      </c>
      <c r="E28" s="21" t="s">
        <v>48</v>
      </c>
      <c r="F28" s="55" t="s">
        <v>32</v>
      </c>
      <c r="G28" s="118">
        <f>B28*D28*'Dados Gerais'!C14</f>
        <v>298278</v>
      </c>
      <c r="H28" s="17"/>
    </row>
    <row r="29" spans="1:12" ht="15.75" customHeight="1" x14ac:dyDescent="0.25">
      <c r="A29" s="359"/>
      <c r="B29" s="360"/>
      <c r="C29" s="360"/>
      <c r="D29" s="360"/>
      <c r="E29" s="360"/>
      <c r="F29" s="360"/>
      <c r="G29" s="119">
        <f>SUM(G28:G28)</f>
        <v>298278</v>
      </c>
      <c r="H29" s="23"/>
    </row>
    <row r="30" spans="1:12" x14ac:dyDescent="0.25">
      <c r="A30" s="364"/>
      <c r="B30" s="365"/>
      <c r="C30" s="365"/>
      <c r="D30" s="365"/>
      <c r="E30" s="365"/>
      <c r="F30" s="365"/>
      <c r="G30" s="62"/>
      <c r="H30" s="27"/>
      <c r="J30" s="3">
        <f>25.78*2</f>
        <v>51.56</v>
      </c>
    </row>
    <row r="31" spans="1:12" ht="15.75" customHeight="1" x14ac:dyDescent="0.25">
      <c r="G31" s="59"/>
    </row>
    <row r="32" spans="1:12" ht="15.75" customHeight="1" x14ac:dyDescent="0.25">
      <c r="A32" s="361" t="s">
        <v>219</v>
      </c>
      <c r="B32" s="361"/>
      <c r="C32" s="361"/>
      <c r="D32" s="361"/>
      <c r="E32" s="361"/>
      <c r="F32" s="361"/>
      <c r="G32" s="98">
        <f>G29+G23+G17</f>
        <v>1294275.8504999997</v>
      </c>
      <c r="H32" s="99">
        <f>G32/'Dados Gerais'!C14</f>
        <v>173.56638444672416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</sheetData>
  <mergeCells count="14">
    <mergeCell ref="B14:C14"/>
    <mergeCell ref="D14:E14"/>
    <mergeCell ref="A2:A4"/>
    <mergeCell ref="A17:F17"/>
    <mergeCell ref="A18:F18"/>
    <mergeCell ref="B21:C21"/>
    <mergeCell ref="D21:E21"/>
    <mergeCell ref="A32:F32"/>
    <mergeCell ref="A23:F23"/>
    <mergeCell ref="A24:F24"/>
    <mergeCell ref="A30:F30"/>
    <mergeCell ref="B27:C27"/>
    <mergeCell ref="D27:E27"/>
    <mergeCell ref="A29:F2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4"/>
  <sheetViews>
    <sheetView showGridLines="0" tabSelected="1" topLeftCell="A9" zoomScale="110" zoomScaleNormal="110" zoomScaleSheetLayoutView="95" workbookViewId="0">
      <selection activeCell="D19" sqref="D19"/>
    </sheetView>
  </sheetViews>
  <sheetFormatPr defaultColWidth="9.140625" defaultRowHeight="12.75" x14ac:dyDescent="0.25"/>
  <cols>
    <col min="1" max="1" width="38.42578125" style="3" customWidth="1"/>
    <col min="2" max="2" width="14" style="45" customWidth="1"/>
    <col min="3" max="3" width="7.5703125" style="48" customWidth="1"/>
    <col min="4" max="4" width="11.5703125" style="10" customWidth="1"/>
    <col min="5" max="5" width="15.85546875" style="3" customWidth="1"/>
    <col min="6" max="6" width="12.85546875" style="3" customWidth="1"/>
    <col min="7" max="7" width="16.7109375" style="3" bestFit="1" customWidth="1"/>
    <col min="8" max="8" width="10.5703125" style="3" customWidth="1"/>
    <col min="9" max="10" width="9.140625" style="3"/>
    <col min="11" max="11" width="10" style="3" bestFit="1" customWidth="1"/>
    <col min="12" max="16384" width="9.140625" style="3"/>
  </cols>
  <sheetData>
    <row r="1" spans="1:11" x14ac:dyDescent="0.25">
      <c r="B1" s="4"/>
      <c r="C1" s="3"/>
      <c r="D1" s="3"/>
      <c r="G1" s="1"/>
      <c r="H1" s="1"/>
      <c r="I1" s="4"/>
    </row>
    <row r="2" spans="1:11" ht="12.75" customHeight="1" x14ac:dyDescent="0.25">
      <c r="A2" s="353" t="s">
        <v>225</v>
      </c>
      <c r="B2" s="4"/>
      <c r="C2" s="3"/>
      <c r="D2" s="3"/>
      <c r="G2" s="112"/>
      <c r="H2" s="112"/>
      <c r="I2" s="4"/>
    </row>
    <row r="3" spans="1:11" ht="12.75" customHeight="1" x14ac:dyDescent="0.25">
      <c r="A3" s="354"/>
      <c r="B3" s="4"/>
      <c r="C3" s="3"/>
      <c r="D3" s="3"/>
      <c r="G3" s="112"/>
      <c r="H3" s="112"/>
      <c r="I3" s="4"/>
    </row>
    <row r="4" spans="1:11" ht="12.75" customHeight="1" x14ac:dyDescent="0.25">
      <c r="A4" s="354"/>
      <c r="B4" s="4"/>
      <c r="C4" s="3"/>
      <c r="D4" s="3"/>
      <c r="G4" s="112"/>
      <c r="H4" s="112"/>
      <c r="I4" s="4"/>
    </row>
    <row r="5" spans="1:11" ht="13.5" thickBot="1" x14ac:dyDescent="0.3">
      <c r="A5" s="100"/>
      <c r="B5" s="101"/>
      <c r="C5" s="101"/>
      <c r="D5" s="101"/>
      <c r="E5" s="101"/>
      <c r="F5" s="101"/>
      <c r="G5" s="2"/>
      <c r="H5" s="2"/>
      <c r="I5" s="4"/>
    </row>
    <row r="6" spans="1:11" x14ac:dyDescent="0.25">
      <c r="A6" s="102"/>
      <c r="B6" s="4"/>
      <c r="C6" s="3"/>
      <c r="D6" s="3"/>
      <c r="G6" s="1"/>
      <c r="H6" s="1"/>
      <c r="I6" s="4"/>
    </row>
    <row r="7" spans="1:11" x14ac:dyDescent="0.25">
      <c r="A7" s="123" t="s">
        <v>0</v>
      </c>
      <c r="B7" s="104" t="s">
        <v>268</v>
      </c>
      <c r="C7" s="124"/>
      <c r="D7" s="124"/>
      <c r="E7" s="124"/>
      <c r="F7" s="124"/>
      <c r="G7" s="124"/>
      <c r="H7" s="125"/>
      <c r="I7" s="4"/>
    </row>
    <row r="8" spans="1:11" x14ac:dyDescent="0.25">
      <c r="A8" s="126" t="s">
        <v>1</v>
      </c>
      <c r="B8" s="170" t="s">
        <v>269</v>
      </c>
      <c r="C8" s="107"/>
      <c r="D8" s="107"/>
      <c r="E8" s="107"/>
      <c r="F8" s="107"/>
      <c r="G8" s="107"/>
      <c r="H8" s="127"/>
      <c r="I8" s="4"/>
    </row>
    <row r="9" spans="1:11" ht="15" customHeight="1" x14ac:dyDescent="0.25">
      <c r="A9" s="128" t="s">
        <v>2</v>
      </c>
      <c r="B9" s="109">
        <v>45352</v>
      </c>
      <c r="C9" s="110"/>
      <c r="D9" s="110"/>
      <c r="E9" s="110"/>
      <c r="F9" s="110"/>
      <c r="G9" s="110"/>
      <c r="H9" s="129"/>
    </row>
    <row r="10" spans="1:11" x14ac:dyDescent="0.25">
      <c r="A10" s="130" t="s">
        <v>3</v>
      </c>
      <c r="B10" s="106" t="s">
        <v>246</v>
      </c>
      <c r="C10" s="131"/>
      <c r="D10" s="131"/>
      <c r="E10" s="131"/>
      <c r="F10" s="131"/>
      <c r="G10" s="131"/>
      <c r="H10" s="132"/>
    </row>
    <row r="12" spans="1:11" ht="15.75" customHeight="1" x14ac:dyDescent="0.25">
      <c r="A12" s="11" t="s">
        <v>103</v>
      </c>
      <c r="B12" s="41"/>
      <c r="C12" s="29"/>
      <c r="D12" s="13"/>
      <c r="E12" s="12"/>
      <c r="F12" s="12"/>
      <c r="G12" s="12"/>
      <c r="H12" s="14"/>
    </row>
    <row r="13" spans="1:11" ht="15.75" customHeight="1" x14ac:dyDescent="0.25">
      <c r="A13" s="15"/>
      <c r="B13" s="42"/>
      <c r="C13" s="47"/>
      <c r="D13" s="16"/>
      <c r="E13" s="16"/>
      <c r="F13" s="16"/>
      <c r="H13" s="17"/>
    </row>
    <row r="14" spans="1:11" ht="15.75" customHeight="1" x14ac:dyDescent="0.25">
      <c r="A14" s="114" t="s">
        <v>27</v>
      </c>
      <c r="B14" s="362" t="s">
        <v>36</v>
      </c>
      <c r="C14" s="363"/>
      <c r="D14" s="357" t="s">
        <v>16</v>
      </c>
      <c r="E14" s="358"/>
      <c r="F14" s="115" t="s">
        <v>31</v>
      </c>
      <c r="G14" s="116" t="s">
        <v>30</v>
      </c>
      <c r="H14" s="17"/>
    </row>
    <row r="15" spans="1:11" ht="15.75" customHeight="1" x14ac:dyDescent="0.25">
      <c r="A15" s="117" t="s">
        <v>201</v>
      </c>
      <c r="B15" s="77">
        <v>1</v>
      </c>
      <c r="C15" s="77" t="s">
        <v>47</v>
      </c>
      <c r="D15" s="79">
        <v>1750</v>
      </c>
      <c r="E15" s="80" t="s">
        <v>202</v>
      </c>
      <c r="F15" s="63" t="s">
        <v>112</v>
      </c>
      <c r="G15" s="120">
        <f>200*'Dados Gerais'!C14</f>
        <v>1491390</v>
      </c>
      <c r="H15" s="17"/>
      <c r="J15" s="3" t="s">
        <v>258</v>
      </c>
      <c r="K15" s="59">
        <f>'Dados Gerais'!C19</f>
        <v>308.78999999999996</v>
      </c>
    </row>
    <row r="16" spans="1:11" ht="15.75" customHeight="1" x14ac:dyDescent="0.25">
      <c r="A16" s="121" t="s">
        <v>203</v>
      </c>
      <c r="B16" s="78">
        <v>1</v>
      </c>
      <c r="C16" s="78" t="s">
        <v>47</v>
      </c>
      <c r="D16" s="81">
        <v>3</v>
      </c>
      <c r="E16" s="64" t="s">
        <v>17</v>
      </c>
      <c r="F16" s="61" t="s">
        <v>112</v>
      </c>
      <c r="G16" s="118">
        <f>B16*D16*'Dados Gerais'!$C$14</f>
        <v>22370.85</v>
      </c>
      <c r="H16" s="17"/>
    </row>
    <row r="17" spans="1:11" ht="15.75" customHeight="1" x14ac:dyDescent="0.25">
      <c r="A17" s="121" t="s">
        <v>204</v>
      </c>
      <c r="B17" s="78">
        <v>1</v>
      </c>
      <c r="C17" s="78" t="s">
        <v>47</v>
      </c>
      <c r="D17" s="81">
        <v>5</v>
      </c>
      <c r="E17" s="64" t="s">
        <v>17</v>
      </c>
      <c r="F17" s="61" t="s">
        <v>112</v>
      </c>
      <c r="G17" s="118">
        <f>B17*D17*'Dados Gerais'!$C$14</f>
        <v>37284.75</v>
      </c>
      <c r="H17" s="17"/>
      <c r="K17" s="3">
        <f>K15/'Dados Gerais'!C14</f>
        <v>4.140969162995594E-2</v>
      </c>
    </row>
    <row r="18" spans="1:11" ht="15.75" customHeight="1" x14ac:dyDescent="0.25">
      <c r="A18" s="121" t="s">
        <v>256</v>
      </c>
      <c r="B18" s="78">
        <v>1</v>
      </c>
      <c r="C18" s="78" t="s">
        <v>47</v>
      </c>
      <c r="D18" s="81">
        <v>10</v>
      </c>
      <c r="E18" s="64" t="s">
        <v>17</v>
      </c>
      <c r="F18" s="61" t="s">
        <v>112</v>
      </c>
      <c r="G18" s="118">
        <f>B18*D18*'Dados Gerais'!$C$14</f>
        <v>74569.5</v>
      </c>
      <c r="H18" s="17"/>
    </row>
    <row r="19" spans="1:11" ht="15.75" customHeight="1" x14ac:dyDescent="0.25">
      <c r="A19" s="121" t="s">
        <v>257</v>
      </c>
      <c r="B19" s="78">
        <v>1</v>
      </c>
      <c r="C19" s="78" t="s">
        <v>47</v>
      </c>
      <c r="D19" s="81">
        <v>1</v>
      </c>
      <c r="E19" s="64" t="s">
        <v>17</v>
      </c>
      <c r="F19" s="61" t="s">
        <v>112</v>
      </c>
      <c r="G19" s="118">
        <f>B19*D19*'Dados Gerais'!$C$14</f>
        <v>7456.95</v>
      </c>
      <c r="H19" s="17"/>
    </row>
    <row r="20" spans="1:11" ht="15.75" customHeight="1" x14ac:dyDescent="0.25">
      <c r="A20" s="121" t="s">
        <v>104</v>
      </c>
      <c r="B20" s="78">
        <v>1</v>
      </c>
      <c r="C20" s="78" t="s">
        <v>47</v>
      </c>
      <c r="D20" s="81">
        <v>15</v>
      </c>
      <c r="E20" s="64" t="s">
        <v>17</v>
      </c>
      <c r="F20" s="61" t="s">
        <v>112</v>
      </c>
      <c r="G20" s="118">
        <f>B20*D20*'Dados Gerais'!$C$14</f>
        <v>111854.25</v>
      </c>
      <c r="H20" s="17"/>
    </row>
    <row r="21" spans="1:11" ht="15.75" customHeight="1" x14ac:dyDescent="0.25">
      <c r="A21" s="359" t="s">
        <v>1010</v>
      </c>
      <c r="B21" s="360"/>
      <c r="C21" s="360"/>
      <c r="D21" s="360"/>
      <c r="E21" s="360"/>
      <c r="F21" s="360"/>
      <c r="G21" s="119">
        <f>SUM(G15:G20)</f>
        <v>1744926.3</v>
      </c>
      <c r="H21" s="23"/>
    </row>
    <row r="22" spans="1:11" ht="15.75" customHeight="1" x14ac:dyDescent="0.25">
      <c r="A22" s="364"/>
      <c r="B22" s="365"/>
      <c r="C22" s="365"/>
      <c r="D22" s="365"/>
      <c r="E22" s="365"/>
      <c r="F22" s="365"/>
      <c r="G22" s="62"/>
      <c r="H22" s="27"/>
    </row>
    <row r="24" spans="1:11" x14ac:dyDescent="0.25">
      <c r="A24" s="361" t="s">
        <v>230</v>
      </c>
      <c r="B24" s="361"/>
      <c r="C24" s="361"/>
      <c r="D24" s="361"/>
      <c r="E24" s="361"/>
      <c r="F24" s="361"/>
      <c r="G24" s="98">
        <f>G21</f>
        <v>1744926.3</v>
      </c>
      <c r="H24" s="99">
        <f>G24/'Dados Gerais'!C14</f>
        <v>234</v>
      </c>
    </row>
  </sheetData>
  <mergeCells count="6">
    <mergeCell ref="A2:A4"/>
    <mergeCell ref="B14:C14"/>
    <mergeCell ref="D14:E14"/>
    <mergeCell ref="A24:F24"/>
    <mergeCell ref="A22:F22"/>
    <mergeCell ref="A21:F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29</vt:i4>
      </vt:variant>
    </vt:vector>
  </HeadingPairs>
  <TitlesOfParts>
    <vt:vector size="47" baseType="lpstr">
      <vt:lpstr>Marine</vt:lpstr>
      <vt:lpstr>Ravello</vt:lpstr>
      <vt:lpstr>Dados Gerais</vt:lpstr>
      <vt:lpstr>Movimentação de Terra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Acabamentos de Teto</vt:lpstr>
      <vt:lpstr>Acabamentos de Piso e Parede</vt:lpstr>
      <vt:lpstr>Pintura Interna</vt:lpstr>
      <vt:lpstr>Esquadrias</vt:lpstr>
      <vt:lpstr>Auxiliar</vt:lpstr>
      <vt:lpstr>Rev. Fachada</vt:lpstr>
      <vt:lpstr>Complementares</vt:lpstr>
      <vt:lpstr>'Acabamentos de Piso e Parede'!Area_de_impressao</vt:lpstr>
      <vt:lpstr>'Acabamentos de Teto'!Area_de_impressao</vt:lpstr>
      <vt:lpstr>Alvenaria!Area_de_impressao</vt:lpstr>
      <vt:lpstr>Complementares!Area_de_impressao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'Movimentação de Terra'!Area_de_impressao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'Acabamentos de Piso e Parede'!Titulos_de_impressao</vt:lpstr>
      <vt:lpstr>'Acabamentos de Teto'!Titulos_de_impressao</vt:lpstr>
      <vt:lpstr>Alvenaria!Titulos_de_impressao</vt:lpstr>
      <vt:lpstr>Complementares!Titulos_de_impressao</vt:lpstr>
      <vt:lpstr>'Dados Gerais'!Titulos_de_impressao</vt:lpstr>
      <vt:lpstr>Esquadrias!Titulos_de_impressao</vt:lpstr>
      <vt:lpstr>Impermeabilização!Titulos_de_impressao</vt:lpstr>
      <vt:lpstr>Infraestrutura!Titulos_de_impressao</vt:lpstr>
      <vt:lpstr>Instalações!Titulos_de_impressao</vt:lpstr>
      <vt:lpstr>'Movimentação de Terra'!Titulos_de_impressao</vt:lpstr>
      <vt:lpstr>'Pintura Interna'!Titulos_de_impressao</vt:lpstr>
      <vt:lpstr>'Rev. Fachada'!Titulos_de_impressao</vt:lpstr>
      <vt:lpstr>'Rev. Internos Piso e Parede'!Titulos_de_impressao</vt:lpstr>
      <vt:lpstr>'Sistemas especiais'!Titulos_de_impressao</vt:lpstr>
      <vt:lpstr>Supraestrutura!Titulos_de_impressao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2025-03-31T16:56:29Z</dcterms:modified>
</cp:coreProperties>
</file>