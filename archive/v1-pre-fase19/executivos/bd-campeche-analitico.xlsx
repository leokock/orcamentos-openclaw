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D Empreendimentos\2025 - Jardim Campeche\04. Custo\04.1 Custo - Paramétrico\"/>
    </mc:Choice>
  </mc:AlternateContent>
  <xr:revisionPtr revIDLastSave="0" documentId="13_ncr:1_{FB7548DA-82D8-4F5C-83E5-5EDB97BA669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BRA" sheetId="1" r:id="rId1"/>
    <sheet name="CANTEIRO" sheetId="8" r:id="rId2"/>
    <sheet name="EPCs" sheetId="9" r:id="rId3"/>
    <sheet name="CUSTOS_INDIRETOS" sheetId="10" r:id="rId4"/>
    <sheet name="GERENCIAMENTO_EXECUTIVO" sheetId="7" r:id="rId5"/>
    <sheet name="MÃO DE OBRA" sheetId="11" r:id="rId6"/>
    <sheet name="COMPARATIVOS" sheetId="12" r:id="rId7"/>
  </sheets>
  <externalReferences>
    <externalReference r:id="rId8"/>
    <externalReference r:id="rId9"/>
    <externalReference r:id="rId10"/>
  </externalReferences>
  <definedNames>
    <definedName name="\0">#REF!</definedName>
    <definedName name="\a">#REF!</definedName>
    <definedName name="\m">#REF!</definedName>
    <definedName name="aa" localSheetId="1">#REF!</definedName>
    <definedName name="aa" localSheetId="2">#REF!</definedName>
    <definedName name="aa" localSheetId="0">#REF!</definedName>
    <definedName name="aa">#REF!</definedName>
    <definedName name="aaaa" localSheetId="1">#REF!</definedName>
    <definedName name="aaaa" localSheetId="2">#REF!</definedName>
    <definedName name="aaaa" localSheetId="0">#REF!</definedName>
    <definedName name="aaaa">#REF!</definedName>
    <definedName name="angelo" localSheetId="2">#REF!</definedName>
    <definedName name="angelo" localSheetId="0">#REF!</definedName>
    <definedName name="angelo">#REF!</definedName>
    <definedName name="area">#REF!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 localSheetId="2">#REF!</definedName>
    <definedName name="BDI" localSheetId="0">#REF!</definedName>
    <definedName name="BDI">#REF!</definedName>
    <definedName name="ca" localSheetId="2">#REF!</definedName>
    <definedName name="ca" localSheetId="0">#REF!</definedName>
    <definedName name="ca">#REF!</definedName>
    <definedName name="Capa" localSheetId="2">#REF!</definedName>
    <definedName name="Capa" localSheetId="0">#REF!</definedName>
    <definedName name="Capa">#REF!</definedName>
    <definedName name="cronograma" localSheetId="2">#REF!</definedName>
    <definedName name="cronograma" localSheetId="0">#REF!</definedName>
    <definedName name="cronograma">#REF!</definedName>
    <definedName name="D" localSheetId="2">#REF!</definedName>
    <definedName name="D" localSheetId="0">#REF!</definedName>
    <definedName name="D">#REF!</definedName>
    <definedName name="direto" localSheetId="2">#REF!</definedName>
    <definedName name="direto" localSheetId="0">#REF!</definedName>
    <definedName name="direto">#REF!</definedName>
    <definedName name="DRE" localSheetId="2">#REF!</definedName>
    <definedName name="DRE" localSheetId="0">#REF!</definedName>
    <definedName name="DRE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2">#REF!</definedName>
    <definedName name="FFFFFFF">#REF!</definedName>
    <definedName name="item_1" localSheetId="2">#REF!</definedName>
    <definedName name="item_1" localSheetId="0">#REF!</definedName>
    <definedName name="item_1">#REF!</definedName>
    <definedName name="LS" localSheetId="2">#REF!</definedName>
    <definedName name="LS" localSheetId="0">#REF!</definedName>
    <definedName name="LS">#REF!</definedName>
    <definedName name="MENU" localSheetId="1">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 localSheetId="2">#REF!</definedName>
    <definedName name="MENU3" localSheetId="0">#REF!</definedName>
    <definedName name="MENU3">#REF!</definedName>
    <definedName name="MENU4" localSheetId="2">#REF!</definedName>
    <definedName name="MENU4" localSheetId="0">#REF!</definedName>
    <definedName name="MENU4">#REF!</definedName>
    <definedName name="MENU5" localSheetId="2">#REF!</definedName>
    <definedName name="MENU5" localSheetId="0">#REF!</definedName>
    <definedName name="MENU5">#REF!</definedName>
    <definedName name="MENU6" localSheetId="2">#REF!</definedName>
    <definedName name="MENU6" localSheetId="0">#REF!</definedName>
    <definedName name="MENU6">#REF!</definedName>
    <definedName name="mo" localSheetId="2">#REF!</definedName>
    <definedName name="mo" localSheetId="0">#REF!</definedName>
    <definedName name="mo">#REF!</definedName>
    <definedName name="OAE" localSheetId="2">#REF!</definedName>
    <definedName name="OAE" localSheetId="0">#REF!</definedName>
    <definedName name="OAE">#REF!</definedName>
    <definedName name="ParamValues1">#REF!</definedName>
    <definedName name="PAV" localSheetId="2">#REF!</definedName>
    <definedName name="PAV" localSheetId="0">#REF!</definedName>
    <definedName name="PAV">#REF!</definedName>
    <definedName name="pr" localSheetId="2">#REF!</definedName>
    <definedName name="pr" localSheetId="0">#REF!</definedName>
    <definedName name="pr">#REF!</definedName>
    <definedName name="PRE" localSheetId="2">#REF!</definedName>
    <definedName name="PRE" localSheetId="0">#REF!</definedName>
    <definedName name="PRE">#REF!</definedName>
    <definedName name="Print_Area_MI" localSheetId="2">#REF!</definedName>
    <definedName name="Print_Area_MI" localSheetId="0">#REF!</definedName>
    <definedName name="Print_Area_MI">#REF!</definedName>
    <definedName name="qe" localSheetId="2">#REF!</definedName>
    <definedName name="qe" localSheetId="0">#REF!</definedName>
    <definedName name="qe">#REF!</definedName>
    <definedName name="qee" localSheetId="2">#REF!</definedName>
    <definedName name="qee" localSheetId="0">#REF!</definedName>
    <definedName name="qee">#REF!</definedName>
    <definedName name="reforsu" localSheetId="2">#REF!</definedName>
    <definedName name="reforsu" localSheetId="0">#REF!</definedName>
    <definedName name="reforsu">#REF!</definedName>
    <definedName name="ren" localSheetId="2">#REF!</definedName>
    <definedName name="ren" localSheetId="0">#REF!</definedName>
    <definedName name="ren">#REF!</definedName>
    <definedName name="REV" localSheetId="2">#REF!</definedName>
    <definedName name="REV" localSheetId="0">#REF!</definedName>
    <definedName name="REV">#REF!</definedName>
    <definedName name="sa" localSheetId="2">#REF!</definedName>
    <definedName name="sa" localSheetId="0">#REF!</definedName>
    <definedName name="sa">#REF!</definedName>
    <definedName name="SEG" localSheetId="2">#REF!</definedName>
    <definedName name="SEG" localSheetId="0">#REF!</definedName>
    <definedName name="SEG">#REF!</definedName>
    <definedName name="SIH" localSheetId="2">#REF!</definedName>
    <definedName name="SIH" localSheetId="0">#REF!</definedName>
    <definedName name="SIH">#REF!</definedName>
    <definedName name="SIV" localSheetId="2">#REF!</definedName>
    <definedName name="SIV" localSheetId="0">#REF!</definedName>
    <definedName name="SIV">#REF!</definedName>
    <definedName name="ss" localSheetId="2">#REF!</definedName>
    <definedName name="ss" localSheetId="0">#REF!</definedName>
    <definedName name="ss">#REF!</definedName>
    <definedName name="susref" localSheetId="2">#REF!</definedName>
    <definedName name="susref" localSheetId="0">#REF!</definedName>
    <definedName name="susref">#REF!</definedName>
    <definedName name="tania" localSheetId="2">#REF!</definedName>
    <definedName name="tania" localSheetId="0">#REF!</definedName>
    <definedName name="tania">#REF!</definedName>
    <definedName name="tc" localSheetId="2">#REF!</definedName>
    <definedName name="tc" localSheetId="0">#REF!</definedName>
    <definedName name="tc">#REF!</definedName>
    <definedName name="titulos">#REF!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2">#REF!</definedName>
    <definedName name="xx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G19" i="12" l="1"/>
  <c r="G11" i="12"/>
  <c r="G2" i="12"/>
  <c r="F19" i="12"/>
  <c r="E29" i="12"/>
  <c r="E28" i="12"/>
  <c r="E27" i="12"/>
  <c r="E26" i="12"/>
  <c r="E25" i="12"/>
  <c r="E24" i="12"/>
  <c r="E23" i="12"/>
  <c r="E22" i="12"/>
  <c r="E21" i="12"/>
  <c r="E20" i="12"/>
  <c r="E18" i="12"/>
  <c r="E17" i="12"/>
  <c r="E16" i="12"/>
  <c r="E15" i="12"/>
  <c r="E14" i="12"/>
  <c r="E13" i="12"/>
  <c r="E12" i="12"/>
  <c r="F11" i="12"/>
  <c r="E10" i="12"/>
  <c r="E9" i="12"/>
  <c r="E8" i="12"/>
  <c r="E7" i="12"/>
  <c r="E6" i="12"/>
  <c r="E5" i="12"/>
  <c r="E4" i="12"/>
  <c r="E3" i="12"/>
  <c r="F2" i="12"/>
  <c r="D7" i="11" l="1"/>
  <c r="D6" i="11"/>
  <c r="D5" i="11"/>
  <c r="D4" i="11"/>
  <c r="D2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3" i="11"/>
  <c r="B2" i="11"/>
  <c r="D21" i="11"/>
  <c r="D22" i="11" s="1"/>
  <c r="D19" i="11"/>
  <c r="D17" i="11"/>
  <c r="D15" i="11"/>
  <c r="D14" i="11"/>
  <c r="C14" i="11"/>
  <c r="D13" i="11"/>
  <c r="D12" i="11"/>
  <c r="D11" i="11"/>
  <c r="C9" i="11"/>
  <c r="I2" i="11"/>
  <c r="C2" i="11"/>
  <c r="C7" i="11" l="1"/>
  <c r="F7" i="11" s="1"/>
  <c r="D20" i="11"/>
  <c r="D24" i="11" s="1"/>
  <c r="B20" i="11"/>
  <c r="F2" i="11"/>
  <c r="C4" i="11"/>
  <c r="C11" i="11"/>
  <c r="C18" i="11"/>
  <c r="F14" i="11"/>
  <c r="F4" i="11"/>
  <c r="F11" i="11"/>
  <c r="F18" i="11"/>
  <c r="C8" i="11"/>
  <c r="F8" i="11" s="1"/>
  <c r="C15" i="11"/>
  <c r="F15" i="11" s="1"/>
  <c r="C5" i="11"/>
  <c r="F5" i="11" s="1"/>
  <c r="C12" i="11"/>
  <c r="F12" i="11" s="1"/>
  <c r="C19" i="11"/>
  <c r="F19" i="11" s="1"/>
  <c r="C6" i="11"/>
  <c r="F6" i="11" s="1"/>
  <c r="F9" i="11"/>
  <c r="C13" i="11"/>
  <c r="F16" i="11"/>
  <c r="C3" i="11"/>
  <c r="C10" i="11"/>
  <c r="F10" i="11" s="1"/>
  <c r="C17" i="11"/>
  <c r="F17" i="11" s="1"/>
  <c r="F13" i="11"/>
  <c r="F3" i="11"/>
  <c r="F25" i="11" l="1"/>
  <c r="D23" i="11"/>
  <c r="D25" i="11"/>
  <c r="C20" i="11"/>
  <c r="F20" i="11"/>
  <c r="C32" i="1" l="1"/>
  <c r="C31" i="1"/>
  <c r="C29" i="1"/>
  <c r="C28" i="1"/>
  <c r="C27" i="1"/>
  <c r="C26" i="1"/>
  <c r="C25" i="1"/>
  <c r="F191" i="7"/>
  <c r="E190" i="7"/>
  <c r="E186" i="7"/>
  <c r="E183" i="7"/>
  <c r="E182" i="7"/>
  <c r="E181" i="7"/>
  <c r="E180" i="7"/>
  <c r="E179" i="7"/>
  <c r="E178" i="7"/>
  <c r="F189" i="7" l="1"/>
  <c r="F188" i="7"/>
  <c r="E175" i="7"/>
  <c r="E174" i="7"/>
  <c r="E172" i="7"/>
  <c r="F173" i="7"/>
  <c r="E170" i="7"/>
  <c r="E169" i="7"/>
  <c r="F153" i="7"/>
  <c r="F163" i="7"/>
  <c r="E166" i="7"/>
  <c r="E165" i="7"/>
  <c r="E164" i="7"/>
  <c r="E162" i="7"/>
  <c r="E161" i="7"/>
  <c r="E159" i="7"/>
  <c r="E158" i="7"/>
  <c r="E157" i="7"/>
  <c r="E156" i="7"/>
  <c r="E155" i="7"/>
  <c r="E154" i="7"/>
  <c r="F146" i="7"/>
  <c r="E151" i="7"/>
  <c r="E150" i="7"/>
  <c r="E149" i="7"/>
  <c r="E148" i="7"/>
  <c r="E147" i="7"/>
  <c r="E139" i="7"/>
  <c r="E137" i="7"/>
  <c r="E136" i="7"/>
  <c r="E135" i="7"/>
  <c r="E134" i="7"/>
  <c r="E133" i="7"/>
  <c r="E132" i="7"/>
  <c r="F138" i="7"/>
  <c r="E144" i="7"/>
  <c r="E143" i="7"/>
  <c r="E142" i="7"/>
  <c r="E129" i="7"/>
  <c r="E128" i="7"/>
  <c r="E126" i="7"/>
  <c r="E125" i="7"/>
  <c r="E124" i="7"/>
  <c r="E123" i="7"/>
  <c r="C20" i="1" l="1"/>
  <c r="E110" i="7"/>
  <c r="E109" i="7"/>
  <c r="E108" i="7"/>
  <c r="E107" i="7"/>
  <c r="E106" i="7"/>
  <c r="E104" i="7"/>
  <c r="E102" i="7"/>
  <c r="E101" i="7"/>
  <c r="E100" i="7"/>
  <c r="E99" i="7"/>
  <c r="E97" i="7"/>
  <c r="E96" i="7"/>
  <c r="E95" i="7"/>
  <c r="E94" i="7"/>
  <c r="E91" i="7"/>
  <c r="E90" i="7"/>
  <c r="E89" i="7"/>
  <c r="E87" i="7"/>
  <c r="E86" i="7"/>
  <c r="E85" i="7"/>
  <c r="E84" i="7"/>
  <c r="E83" i="7"/>
  <c r="E82" i="7"/>
  <c r="E80" i="7"/>
  <c r="E79" i="7"/>
  <c r="E78" i="7"/>
  <c r="E77" i="7"/>
  <c r="E76" i="7"/>
  <c r="E75" i="7"/>
  <c r="E74" i="7"/>
  <c r="E120" i="7"/>
  <c r="E119" i="7"/>
  <c r="E118" i="7"/>
  <c r="E117" i="7"/>
  <c r="E116" i="7"/>
  <c r="E115" i="7"/>
  <c r="E114" i="7"/>
  <c r="E113" i="7"/>
  <c r="E71" i="7"/>
  <c r="E70" i="7"/>
  <c r="E69" i="7"/>
  <c r="E68" i="7"/>
  <c r="E67" i="7"/>
  <c r="E66" i="7"/>
  <c r="E65" i="7"/>
  <c r="E64" i="7"/>
  <c r="E61" i="7"/>
  <c r="E60" i="7"/>
  <c r="E59" i="7"/>
  <c r="E58" i="7"/>
  <c r="E57" i="7"/>
  <c r="E56" i="7"/>
  <c r="E55" i="7"/>
  <c r="E54" i="7"/>
  <c r="E51" i="7"/>
  <c r="E50" i="7"/>
  <c r="E49" i="7"/>
  <c r="E48" i="7"/>
  <c r="E47" i="7"/>
  <c r="E46" i="7"/>
  <c r="E45" i="7"/>
  <c r="E42" i="7"/>
  <c r="E41" i="7"/>
  <c r="E40" i="7"/>
  <c r="E39" i="7"/>
  <c r="E38" i="7"/>
  <c r="E36" i="7"/>
  <c r="E35" i="7"/>
  <c r="E34" i="7"/>
  <c r="E33" i="7"/>
  <c r="E32" i="7"/>
  <c r="E31" i="7"/>
  <c r="E28" i="7"/>
  <c r="E27" i="7"/>
  <c r="E26" i="7"/>
  <c r="E25" i="7"/>
  <c r="E24" i="7"/>
  <c r="F53" i="7"/>
  <c r="F52" i="7" s="1"/>
  <c r="F30" i="7"/>
  <c r="E22" i="7"/>
  <c r="E20" i="7"/>
  <c r="E19" i="7"/>
  <c r="E20" i="1" l="1"/>
  <c r="E27" i="1"/>
  <c r="E28" i="1"/>
  <c r="E30" i="1"/>
  <c r="C36" i="1"/>
  <c r="E32" i="1"/>
  <c r="E31" i="1"/>
  <c r="E29" i="1"/>
  <c r="E26" i="1"/>
  <c r="E25" i="1"/>
  <c r="F71" i="10"/>
  <c r="F70" i="10"/>
  <c r="F69" i="10"/>
  <c r="F67" i="10"/>
  <c r="F66" i="10"/>
  <c r="F65" i="10"/>
  <c r="F64" i="10"/>
  <c r="F63" i="10"/>
  <c r="F62" i="10"/>
  <c r="F61" i="10"/>
  <c r="F60" i="10"/>
  <c r="D44" i="10"/>
  <c r="F44" i="10" s="1"/>
  <c r="D56" i="10"/>
  <c r="F56" i="10" s="1"/>
  <c r="F55" i="10"/>
  <c r="F54" i="10"/>
  <c r="F53" i="10"/>
  <c r="F52" i="10"/>
  <c r="F51" i="10"/>
  <c r="F50" i="10"/>
  <c r="D48" i="10"/>
  <c r="F48" i="10" s="1"/>
  <c r="D45" i="10"/>
  <c r="F45" i="10" s="1"/>
  <c r="D43" i="10"/>
  <c r="F43" i="10" s="1"/>
  <c r="D41" i="10"/>
  <c r="F41" i="10" s="1"/>
  <c r="F36" i="10"/>
  <c r="D13" i="9"/>
  <c r="D29" i="10"/>
  <c r="F29" i="10" s="1"/>
  <c r="D30" i="10"/>
  <c r="F30" i="10" s="1"/>
  <c r="D31" i="10"/>
  <c r="D35" i="10" s="1"/>
  <c r="F35" i="10" s="1"/>
  <c r="D34" i="10"/>
  <c r="F34" i="10" s="1"/>
  <c r="B8" i="10"/>
  <c r="B7" i="10"/>
  <c r="D47" i="9"/>
  <c r="D41" i="9"/>
  <c r="D39" i="9"/>
  <c r="D32" i="9"/>
  <c r="D19" i="9"/>
  <c r="D14" i="9"/>
  <c r="B3" i="8"/>
  <c r="B3" i="9"/>
  <c r="B2" i="9"/>
  <c r="B1" i="9"/>
  <c r="B2" i="8"/>
  <c r="B1" i="8"/>
  <c r="D31" i="8"/>
  <c r="B10" i="7"/>
  <c r="E36" i="1" l="1"/>
  <c r="B21" i="11"/>
  <c r="E37" i="1"/>
  <c r="C37" i="1"/>
  <c r="F31" i="10"/>
  <c r="D34" i="9"/>
  <c r="C21" i="11" l="1"/>
  <c r="B22" i="11"/>
  <c r="B23" i="11" s="1"/>
  <c r="F160" i="7"/>
  <c r="B8" i="7"/>
  <c r="B7" i="7"/>
  <c r="E19" i="11" l="1"/>
  <c r="E7" i="11"/>
  <c r="E6" i="11"/>
  <c r="E5" i="11"/>
  <c r="E15" i="11"/>
  <c r="E18" i="11"/>
  <c r="E17" i="11"/>
  <c r="E8" i="11"/>
  <c r="E12" i="11"/>
  <c r="E11" i="11"/>
  <c r="E9" i="11"/>
  <c r="E2" i="11"/>
  <c r="E4" i="11"/>
  <c r="E10" i="11"/>
  <c r="E3" i="11"/>
  <c r="E16" i="11"/>
  <c r="E13" i="11"/>
  <c r="E14" i="11"/>
  <c r="E21" i="11"/>
  <c r="C22" i="11"/>
  <c r="C23" i="11" s="1"/>
  <c r="F21" i="11"/>
  <c r="F15" i="10"/>
  <c r="F171" i="7"/>
  <c r="F168" i="7"/>
  <c r="F167" i="7" s="1"/>
  <c r="F44" i="7"/>
  <c r="F43" i="7" s="1"/>
  <c r="C18" i="1" s="1"/>
  <c r="E18" i="1" s="1"/>
  <c r="F18" i="7"/>
  <c r="B10" i="10"/>
  <c r="D16" i="8"/>
  <c r="D13" i="8"/>
  <c r="D11" i="8"/>
  <c r="F47" i="10"/>
  <c r="D46" i="10"/>
  <c r="F46" i="10" s="1"/>
  <c r="D42" i="10"/>
  <c r="F42" i="10" s="1"/>
  <c r="D27" i="10"/>
  <c r="F27" i="10" s="1"/>
  <c r="F68" i="10"/>
  <c r="F20" i="10"/>
  <c r="F14" i="10" s="1"/>
  <c r="D49" i="9"/>
  <c r="D42" i="9"/>
  <c r="D33" i="10" s="1"/>
  <c r="F33" i="10" s="1"/>
  <c r="D27" i="9"/>
  <c r="D32" i="10" s="1"/>
  <c r="F32" i="10" s="1"/>
  <c r="F33" i="8"/>
  <c r="F32" i="8"/>
  <c r="F31" i="8"/>
  <c r="D28" i="8"/>
  <c r="F28" i="8" s="1"/>
  <c r="F27" i="8"/>
  <c r="F26" i="8"/>
  <c r="F25" i="8"/>
  <c r="F22" i="11" l="1"/>
  <c r="F23" i="11"/>
  <c r="E20" i="11"/>
  <c r="E22" i="11" s="1"/>
  <c r="D17" i="8"/>
  <c r="D18" i="8"/>
  <c r="E37" i="10" s="1"/>
  <c r="F37" i="10" s="1"/>
  <c r="F28" i="10" s="1"/>
  <c r="F26" i="10"/>
  <c r="D24" i="8"/>
  <c r="F24" i="8" s="1"/>
  <c r="F29" i="8" s="1"/>
  <c r="F34" i="8"/>
  <c r="D15" i="8"/>
  <c r="D19" i="8"/>
  <c r="F40" i="10" l="1"/>
  <c r="F49" i="10"/>
  <c r="F59" i="10"/>
  <c r="F58" i="10" s="1"/>
  <c r="D21" i="9"/>
  <c r="F25" i="10" l="1"/>
  <c r="F39" i="10"/>
  <c r="F24" i="10" l="1"/>
  <c r="F72" i="10" s="1"/>
  <c r="F16" i="7" s="1"/>
  <c r="E16" i="7" s="1"/>
  <c r="F105" i="7"/>
  <c r="F63" i="7" l="1"/>
  <c r="F37" i="7" l="1"/>
  <c r="F93" i="7" l="1"/>
  <c r="F122" i="7" l="1"/>
  <c r="F185" i="7" l="1"/>
  <c r="F184" i="7" s="1"/>
  <c r="F177" i="7"/>
  <c r="F176" i="7" s="1"/>
  <c r="F145" i="7"/>
  <c r="F141" i="7"/>
  <c r="F140" i="7" s="1"/>
  <c r="F131" i="7"/>
  <c r="F127" i="7"/>
  <c r="F112" i="7"/>
  <c r="F111" i="7" s="1"/>
  <c r="C24" i="1" s="1"/>
  <c r="E24" i="1" s="1"/>
  <c r="F103" i="7"/>
  <c r="F98" i="7"/>
  <c r="F88" i="7"/>
  <c r="F81" i="7"/>
  <c r="F73" i="7"/>
  <c r="F62" i="7"/>
  <c r="C21" i="1" s="1"/>
  <c r="E21" i="1" s="1"/>
  <c r="F23" i="7"/>
  <c r="F21" i="7"/>
  <c r="F17" i="7" l="1"/>
  <c r="C17" i="1" s="1"/>
  <c r="F121" i="7"/>
  <c r="F130" i="7"/>
  <c r="F72" i="7"/>
  <c r="C22" i="1" s="1"/>
  <c r="E22" i="1" s="1"/>
  <c r="F152" i="7"/>
  <c r="F92" i="7"/>
  <c r="C23" i="1" s="1"/>
  <c r="E23" i="1" s="1"/>
  <c r="F29" i="7"/>
  <c r="C19" i="1" s="1"/>
  <c r="E19" i="1" s="1"/>
  <c r="E17" i="1" l="1"/>
  <c r="C33" i="1"/>
  <c r="E33" i="1" s="1"/>
  <c r="F15" i="7"/>
  <c r="F14" i="7" s="1"/>
  <c r="F187" i="7" l="1"/>
  <c r="C16" i="1"/>
  <c r="E16" i="1" l="1"/>
  <c r="E34" i="1" s="1"/>
  <c r="C34" i="1"/>
  <c r="C38" i="1" s="1"/>
  <c r="D16" i="1" s="1"/>
  <c r="D20" i="1" l="1"/>
  <c r="D17" i="1"/>
  <c r="D24" i="1"/>
  <c r="D25" i="1"/>
  <c r="D31" i="1"/>
  <c r="D18" i="1"/>
  <c r="D21" i="1"/>
  <c r="D19" i="1"/>
  <c r="D23" i="1"/>
  <c r="D27" i="1"/>
  <c r="D28" i="1"/>
  <c r="D29" i="1"/>
  <c r="D30" i="1"/>
  <c r="D32" i="1"/>
  <c r="D33" i="1"/>
  <c r="D22" i="1"/>
  <c r="D26" i="1"/>
  <c r="D36" i="1"/>
  <c r="D37" i="1" s="1"/>
  <c r="E35" i="1"/>
  <c r="E38" i="1"/>
  <c r="E39" i="1" s="1"/>
  <c r="D34" i="1" l="1"/>
  <c r="D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G57" authorId="0" shapeId="0" xr:uid="{590D611D-B44A-4584-940A-8DCBA6C3B8B6}">
      <text>
        <r>
          <rPr>
            <b/>
            <sz val="9"/>
            <color indexed="81"/>
            <rFont val="Segoe UI"/>
            <family val="2"/>
          </rPr>
          <t>R02:Conforme solicitado em 18/07 via whatsapp: 20mil/mês para empreendimento todo 
R03:Confrome solicitado na revisão: 50mil/mês</t>
        </r>
      </text>
    </comment>
  </commentList>
</comments>
</file>

<file path=xl/sharedStrings.xml><?xml version="1.0" encoding="utf-8"?>
<sst xmlns="http://schemas.openxmlformats.org/spreadsheetml/2006/main" count="960" uniqueCount="588">
  <si>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</si>
  <si>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</si>
  <si>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</si>
  <si>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</si>
  <si>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</si>
  <si>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</si>
  <si>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</si>
  <si>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</si>
  <si>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</si>
  <si>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</si>
  <si>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</si>
  <si>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</si>
  <si>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</si>
  <si>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</si>
  <si>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</si>
  <si>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</si>
  <si>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</si>
  <si>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</si>
  <si>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</si>
  <si>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</si>
  <si>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un</t>
  </si>
  <si>
    <t>Bandeja de proteção primária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</si>
  <si>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</si>
  <si>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</si>
  <si>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</si>
  <si>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</si>
  <si>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</si>
  <si>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</si>
  <si>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</si>
  <si>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</si>
  <si>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</si>
  <si>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</si>
  <si>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</si>
  <si>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</si>
  <si>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</si>
  <si>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</si>
  <si>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</si>
  <si>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</si>
  <si>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</si>
  <si>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</si>
  <si>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</si>
  <si>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</si>
  <si>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</si>
  <si>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</si>
  <si>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</si>
  <si>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</si>
  <si>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</si>
  <si>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</si>
  <si>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</si>
  <si>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</si>
  <si>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</si>
  <si>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</si>
  <si>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</si>
  <si>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</si>
  <si>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</si>
  <si>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</si>
  <si>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</si>
  <si>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</si>
  <si>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</si>
  <si>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</si>
  <si>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</si>
  <si>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</si>
  <si>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</si>
  <si>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</si>
  <si>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</si>
  <si>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</si>
  <si>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</si>
  <si>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</si>
  <si>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</si>
  <si>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</si>
  <si>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</si>
  <si>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</si>
  <si>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</si>
  <si>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</si>
  <si>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</si>
  <si>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</si>
  <si>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</si>
  <si>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</si>
  <si>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</si>
  <si>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</si>
  <si>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</si>
  <si>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</si>
  <si>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</si>
  <si>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</si>
  <si>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</si>
  <si>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</si>
  <si>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</si>
  <si>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</si>
  <si>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</si>
  <si>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</si>
  <si>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</si>
  <si>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</si>
  <si>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</si>
  <si>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</si>
  <si>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</si>
  <si>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</si>
  <si>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</si>
  <si>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</si>
  <si>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</si>
  <si>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</si>
  <si>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</si>
  <si>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</si>
  <si>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</si>
  <si>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</si>
  <si>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</si>
  <si>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</si>
  <si>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</si>
  <si>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</si>
  <si>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</si>
  <si>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</si>
  <si>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</si>
  <si>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</si>
  <si>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</si>
  <si>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02.001.002.006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</si>
  <si>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</si>
  <si>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</si>
  <si>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</si>
  <si>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</si>
  <si>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</si>
  <si>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</si>
  <si>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</si>
  <si>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</si>
  <si>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</si>
  <si>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</si>
  <si>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</si>
  <si>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</si>
  <si>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</si>
  <si>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</si>
  <si>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02.002.001.007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</si>
  <si>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</si>
  <si>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</si>
  <si>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</si>
  <si>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</si>
  <si>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</si>
  <si>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</si>
  <si>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</si>
  <si>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</si>
  <si>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</si>
  <si>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</si>
  <si>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</si>
  <si>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</si>
  <si>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</si>
  <si>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</si>
  <si>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</si>
  <si>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</si>
  <si>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</si>
  <si>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</si>
  <si>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</si>
  <si>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</si>
  <si>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</si>
  <si>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</si>
  <si>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</si>
  <si>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</si>
  <si>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</si>
  <si>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</si>
  <si>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</si>
  <si>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</si>
  <si>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</si>
  <si>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</si>
  <si>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</si>
  <si>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</si>
  <si>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Locação de balancim</t>
  </si>
  <si>
    <t>Montagem e desmontagem de balancim</t>
  </si>
  <si>
    <t>Total</t>
  </si>
  <si>
    <t>CÓDIGO</t>
  </si>
  <si>
    <t>ITEM</t>
  </si>
  <si>
    <t>Valor Orçado</t>
  </si>
  <si>
    <t>Considerações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</si>
  <si>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</si>
  <si>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</si>
  <si>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</si>
  <si>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</si>
  <si>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</si>
  <si>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</si>
  <si>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</si>
  <si>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2.2</t>
  </si>
  <si>
    <t>MOVIMENTAÇÃO DE VALAS</t>
  </si>
  <si>
    <t>2.2.1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</si>
  <si>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</si>
  <si>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</si>
  <si>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</si>
  <si>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</si>
  <si>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</si>
  <si>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</si>
  <si>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3.1.3</t>
  </si>
  <si>
    <t>3.1.4</t>
  </si>
  <si>
    <t>kg</t>
  </si>
  <si>
    <t>Concreto</t>
  </si>
  <si>
    <t>m³</t>
  </si>
  <si>
    <t>3.2</t>
  </si>
  <si>
    <t>FUNDAÇÃO RASA</t>
  </si>
  <si>
    <t>3.2.1</t>
  </si>
  <si>
    <t>3.2.2</t>
  </si>
  <si>
    <t>3.2.3</t>
  </si>
  <si>
    <t>3.2.4</t>
  </si>
  <si>
    <t>Valor estimado por área de projeção do embasamento</t>
  </si>
  <si>
    <t>Armação</t>
  </si>
  <si>
    <t>SUPRAESTRUTURA</t>
  </si>
  <si>
    <t>5.1</t>
  </si>
  <si>
    <t>5.1.1</t>
  </si>
  <si>
    <t>Fabricação forma</t>
  </si>
  <si>
    <t>5.1.2</t>
  </si>
  <si>
    <t>Montagem de forma</t>
  </si>
  <si>
    <t>Locação de escoramento metálico</t>
  </si>
  <si>
    <t>Armadura Convencional para Estrutura</t>
  </si>
  <si>
    <t>Valor estimado com base na área construida</t>
  </si>
  <si>
    <t>ALVENARIA</t>
  </si>
  <si>
    <t>6.1</t>
  </si>
  <si>
    <t>6.1.1</t>
  </si>
  <si>
    <t>6.1.2</t>
  </si>
  <si>
    <t>6.1.3</t>
  </si>
  <si>
    <t>6.1.4</t>
  </si>
  <si>
    <t>6.1.5</t>
  </si>
  <si>
    <t>6.1.6</t>
  </si>
  <si>
    <t>Alvenaria refratárias</t>
  </si>
  <si>
    <t>Churrasqueiras</t>
  </si>
  <si>
    <t>Serviços complementares</t>
  </si>
  <si>
    <t>Mão de obra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</si>
  <si>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</si>
  <si>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</si>
  <si>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</si>
  <si>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</si>
  <si>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</si>
  <si>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</si>
  <si>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</si>
  <si>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</si>
  <si>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</si>
  <si>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</si>
  <si>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</si>
  <si>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</si>
  <si>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</si>
  <si>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</si>
  <si>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</si>
  <si>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</si>
  <si>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</si>
  <si>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</si>
  <si>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</si>
  <si>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</si>
  <si>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</si>
  <si>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</si>
  <si>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</si>
  <si>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</si>
  <si>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</si>
  <si>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</si>
  <si>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</si>
  <si>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</si>
  <si>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</si>
  <si>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</si>
  <si>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</si>
  <si>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</si>
  <si>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</si>
  <si>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</si>
  <si>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</si>
  <si>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</si>
  <si>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</si>
  <si>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</si>
  <si>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</si>
  <si>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</si>
  <si>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</si>
  <si>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</si>
  <si>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</si>
  <si>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</si>
  <si>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</si>
  <si>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</si>
  <si>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Instalação de Ar Condicionado</t>
  </si>
  <si>
    <t>Instalação de ar-codicionado em áreas comuns</t>
  </si>
  <si>
    <t>8.1.3</t>
  </si>
  <si>
    <t>Ventokit</t>
  </si>
  <si>
    <t>Ventilação mecânica em banheiros enclausurados</t>
  </si>
  <si>
    <t>8.1.4</t>
  </si>
  <si>
    <t>Exaustão de churrasqueiras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</si>
  <si>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</si>
  <si>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</si>
  <si>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</si>
  <si>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</si>
  <si>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</si>
  <si>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</si>
  <si>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</si>
  <si>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</si>
  <si>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</si>
  <si>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</si>
  <si>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Previsão de infraestrutura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</si>
  <si>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</si>
  <si>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</si>
  <si>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</si>
  <si>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</si>
  <si>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</si>
  <si>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</si>
  <si>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</si>
  <si>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</si>
  <si>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</si>
  <si>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</si>
  <si>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</si>
  <si>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</si>
  <si>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</si>
  <si>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</si>
  <si>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</si>
  <si>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</si>
  <si>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</si>
  <si>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</si>
  <si>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</si>
  <si>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</si>
  <si>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</si>
  <si>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9.1.8</t>
  </si>
  <si>
    <t>Impermeabilização de peitoril</t>
  </si>
  <si>
    <t>Proteção Mecânica</t>
  </si>
  <si>
    <t>REVESTIMENTOS INTERNOS EM PISO E PAREDE</t>
  </si>
  <si>
    <t>10.1</t>
  </si>
  <si>
    <t xml:space="preserve">REVESTIMENTOS INTERNOS EM PISO </t>
  </si>
  <si>
    <t>10.1.1</t>
  </si>
  <si>
    <t>10.1.2</t>
  </si>
  <si>
    <t>10.1.3</t>
  </si>
  <si>
    <t>Manta acústica</t>
  </si>
  <si>
    <t>Aplicação nas áreas privativas</t>
  </si>
  <si>
    <t>10.2</t>
  </si>
  <si>
    <t>REVESTIMENTOS INTERNOS EM PAREDE</t>
  </si>
  <si>
    <t>10.2.1</t>
  </si>
  <si>
    <t>Chapisco</t>
  </si>
  <si>
    <t>10.2.2</t>
  </si>
  <si>
    <t>Reboco</t>
  </si>
  <si>
    <t>ACABAMENTOS EM PISO E PAREDE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</si>
  <si>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</si>
  <si>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</si>
  <si>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</si>
  <si>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</si>
  <si>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</si>
  <si>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</si>
  <si>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</si>
  <si>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</si>
  <si>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</si>
  <si>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</si>
  <si>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</si>
  <si>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</si>
  <si>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</si>
  <si>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</si>
  <si>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</si>
  <si>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</si>
  <si>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</si>
  <si>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</si>
  <si>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12.1.3</t>
  </si>
  <si>
    <t>PINTURA INTERNA</t>
  </si>
  <si>
    <t>13.1</t>
  </si>
  <si>
    <t>13.1.1</t>
  </si>
  <si>
    <t>Pintura piso epoxi</t>
  </si>
  <si>
    <t>Piso de garagens;</t>
  </si>
  <si>
    <t>13.1.2</t>
  </si>
  <si>
    <t>13.1.3</t>
  </si>
  <si>
    <t>13.1.4</t>
  </si>
  <si>
    <t>ESQUADRIAS</t>
  </si>
  <si>
    <t>14.1</t>
  </si>
  <si>
    <t>ESQUADRIAS DE ALUMÍNIO</t>
  </si>
  <si>
    <t>14.1.1</t>
  </si>
  <si>
    <t>Esquadrias de Alumínio</t>
  </si>
  <si>
    <t>Guarda-corpo - vidro</t>
  </si>
  <si>
    <t>14.2</t>
  </si>
  <si>
    <t>ESQUADRIAS METÁLICAS</t>
  </si>
  <si>
    <t>14.2.1</t>
  </si>
  <si>
    <t>14.2.2</t>
  </si>
  <si>
    <t>Serralherias</t>
  </si>
  <si>
    <t>14.3</t>
  </si>
  <si>
    <t>ESQUADRIAS DE MADEIRA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</si>
  <si>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</si>
  <si>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</si>
  <si>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</si>
  <si>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</si>
  <si>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</si>
  <si>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</si>
  <si>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</si>
  <si>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</si>
  <si>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</si>
  <si>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</si>
  <si>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</si>
  <si>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</si>
  <si>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</si>
  <si>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Estimados pela área de lazer</t>
  </si>
  <si>
    <t>16.1.2</t>
  </si>
  <si>
    <t>Comunicação visual</t>
  </si>
  <si>
    <t>16.1.3</t>
  </si>
  <si>
    <t>16.1.5</t>
  </si>
  <si>
    <t>Ligações definitivas</t>
  </si>
  <si>
    <t>16.1.6</t>
  </si>
  <si>
    <t>Desmobilização</t>
  </si>
  <si>
    <t>IMPREVISTOS</t>
  </si>
  <si>
    <t>17.1</t>
  </si>
  <si>
    <t>17.1.1</t>
  </si>
  <si>
    <t>Imprevistos e contingências</t>
  </si>
  <si>
    <t>Fabricação, montagem e desmontagem de forma para blocos e baldrames resinado</t>
  </si>
  <si>
    <t>Forma de madeira serrada sem reutilização</t>
  </si>
  <si>
    <t>Piso de gragens</t>
  </si>
  <si>
    <t>Estucamento</t>
  </si>
  <si>
    <t>Acabamento em garagens, escadas e ante-câmaras;</t>
  </si>
  <si>
    <t>Aplicação em paredes de escadas, ante-câmaras e garagens</t>
  </si>
  <si>
    <t>Chapisco e reboco em paredes da fachada;</t>
  </si>
  <si>
    <t>10.1.4</t>
  </si>
  <si>
    <t>Piso de concreto alisado ranhurado</t>
  </si>
  <si>
    <t>Contrapiso</t>
  </si>
  <si>
    <t>Montagem e desmontagem de elevador cremalheira</t>
  </si>
  <si>
    <t>02.003.002</t>
  </si>
  <si>
    <t>Balancim</t>
  </si>
  <si>
    <t>02.003.002.001</t>
  </si>
  <si>
    <t>14.3.1</t>
  </si>
  <si>
    <t>14.3.2</t>
  </si>
  <si>
    <t>14.1.4</t>
  </si>
  <si>
    <t>14.1.5</t>
  </si>
  <si>
    <t>14.1.6</t>
  </si>
  <si>
    <t>Engenheiro Civil</t>
  </si>
  <si>
    <t>Mestre Geral</t>
  </si>
  <si>
    <t>Serviço de vigilância</t>
  </si>
  <si>
    <t>02.002.001.009</t>
  </si>
  <si>
    <t>REBAIXAMENTO DE LENÇOL</t>
  </si>
  <si>
    <t>m2 / mês</t>
  </si>
  <si>
    <t>Bebedouro</t>
  </si>
  <si>
    <t>1 / 5 pav.</t>
  </si>
  <si>
    <t>Guarda-corpo de vãos</t>
  </si>
  <si>
    <t xml:space="preserve"> Comprimento de futuros guarda-copro de alumínio</t>
  </si>
  <si>
    <t>Varal de seguranca com cabo de aco</t>
  </si>
  <si>
    <t>Equipe de apoio</t>
  </si>
  <si>
    <t>02.003.002.002</t>
  </si>
  <si>
    <t>02.003.002.004</t>
  </si>
  <si>
    <t>Locação de andaime</t>
  </si>
  <si>
    <t>ESCAVAÇÃO VERTICAL DE SUBSOLO</t>
  </si>
  <si>
    <t>Escavação mecanizada</t>
  </si>
  <si>
    <t>Movimentação de bota-fora</t>
  </si>
  <si>
    <t>Lastro de concreto magro</t>
  </si>
  <si>
    <t>Conforme aba "custos_indiretos"</t>
  </si>
  <si>
    <t>CONTENÇÃO</t>
  </si>
  <si>
    <t>Fabricação, montagem e desmontagem de forma - resinado</t>
  </si>
  <si>
    <t>Estaca Hélice Continua Diâmetro 40</t>
  </si>
  <si>
    <t>Estaca Hélice Continua Diâmetro 50</t>
  </si>
  <si>
    <t>Previsão de amarração com tela, vergas, contravergas e encunhamento</t>
  </si>
  <si>
    <t>Entrega total em áreas comuns e nada em áreas privativas</t>
  </si>
  <si>
    <t>Sauna</t>
  </si>
  <si>
    <t>Piso de escadas</t>
  </si>
  <si>
    <t>ACABAMENTOS ESPECIAIS</t>
  </si>
  <si>
    <t>2.1.2</t>
  </si>
  <si>
    <t>2.3</t>
  </si>
  <si>
    <t>2.3.1</t>
  </si>
  <si>
    <t>2.3.2</t>
  </si>
  <si>
    <t>2.3.3</t>
  </si>
  <si>
    <t>2.3.4</t>
  </si>
  <si>
    <t>3.1.5</t>
  </si>
  <si>
    <t>3.1.6</t>
  </si>
  <si>
    <t>8.4.3</t>
  </si>
  <si>
    <t>8.4.4</t>
  </si>
  <si>
    <t>8.4.5</t>
  </si>
  <si>
    <t>9.1.7</t>
  </si>
  <si>
    <t>11.1.6</t>
  </si>
  <si>
    <t>14.1.2</t>
  </si>
  <si>
    <t>14.1.3</t>
  </si>
  <si>
    <t>15.3</t>
  </si>
  <si>
    <t>15.3.1</t>
  </si>
  <si>
    <t>16.1.4</t>
  </si>
  <si>
    <t>GERENCIAMENTO EXECUTIVO</t>
  </si>
  <si>
    <t>ORÇAMENTO PARAMÉTRICO - GERENCIAMENTO EXECUTIVO</t>
  </si>
  <si>
    <t>Rebaixamento provisório de lençol</t>
  </si>
  <si>
    <t>Rebaixameno de lençol provisório considerando período de execução da fundação</t>
  </si>
  <si>
    <t>6.1.7</t>
  </si>
  <si>
    <t>Consideração de concreto com bombeamento + 30% de perda devido a compressão da estaca hélice no solo</t>
  </si>
  <si>
    <t>Jardim Campeche</t>
  </si>
  <si>
    <t>BD Empreendimentos</t>
  </si>
  <si>
    <t>R00</t>
  </si>
  <si>
    <t>Bandeja de proteção secundária</t>
  </si>
  <si>
    <t>Perimetro da torre</t>
  </si>
  <si>
    <t>Altura da torre</t>
  </si>
  <si>
    <t>Perímetro de projeção embasamneto</t>
  </si>
  <si>
    <t>Perímetro de projeção torre</t>
  </si>
  <si>
    <t>Gurada-corpo de vãos com régua de pinus 2,5x15cm</t>
  </si>
  <si>
    <t>Auxiliar de Engenharia</t>
  </si>
  <si>
    <t>Operador de Guincho</t>
  </si>
  <si>
    <t>Condutor de Entulho-Aquisição</t>
  </si>
  <si>
    <t>Locação de elevador cremalheira</t>
  </si>
  <si>
    <t>Mobilização e desmobilização de elevador cremalheira</t>
  </si>
  <si>
    <t>Locação de de Mini-grua</t>
  </si>
  <si>
    <t>Montagem e Desmontagem de Mini-grua</t>
  </si>
  <si>
    <t>Mobilização e desmobilização de Mini-grua</t>
  </si>
  <si>
    <t>ETAPA</t>
  </si>
  <si>
    <t>VALOR TOTAL</t>
  </si>
  <si>
    <t>%</t>
  </si>
  <si>
    <t>VALOR / m²</t>
  </si>
  <si>
    <t>INSTALAÇÕES ELÉTRICAS, HIDRÁULICAS, GLP E PREVENTIVAS</t>
  </si>
  <si>
    <t>EQUIPAMENTOS E SISTEMAS ESPECIAIS</t>
  </si>
  <si>
    <t>ESQUADRIAS, VIDROS E FERRAGENS</t>
  </si>
  <si>
    <t>COBERTURA</t>
  </si>
  <si>
    <t>IMPREVISTOS E CONTINGENCIAS</t>
  </si>
  <si>
    <t>SUBTOTAL</t>
  </si>
  <si>
    <t>CUB/SC</t>
  </si>
  <si>
    <t>mês</t>
  </si>
  <si>
    <t>Movimentação de terra das estacas</t>
  </si>
  <si>
    <t>2.3.5</t>
  </si>
  <si>
    <t xml:space="preserve">Armação </t>
  </si>
  <si>
    <t>Concreto (40 Mpa)</t>
  </si>
  <si>
    <t>Apoio e arrasamento de estacas</t>
  </si>
  <si>
    <t>Mobilização de equipamentos</t>
  </si>
  <si>
    <t>Piso de concreto armado</t>
  </si>
  <si>
    <t>PAREDE DIAFRAGMA</t>
  </si>
  <si>
    <t>4.1</t>
  </si>
  <si>
    <t>4.1.1</t>
  </si>
  <si>
    <t>4.1.2</t>
  </si>
  <si>
    <t>4.1.3</t>
  </si>
  <si>
    <t>4.1.4</t>
  </si>
  <si>
    <t>4.1.5</t>
  </si>
  <si>
    <t>Tratamento de juntas</t>
  </si>
  <si>
    <t>Mão de obra apoio</t>
  </si>
  <si>
    <t>Mão de obra diagrafma</t>
  </si>
  <si>
    <t>Laje cubetas</t>
  </si>
  <si>
    <t>Escoramento</t>
  </si>
  <si>
    <t>Cubetas</t>
  </si>
  <si>
    <t xml:space="preserve">Concreto </t>
  </si>
  <si>
    <t>Mão de obra - estrutura em concreto armado</t>
  </si>
  <si>
    <t>Perfuração de vigas</t>
  </si>
  <si>
    <t>Locação de cubetas</t>
  </si>
  <si>
    <t>Forma de madeira compensada plastificada com 8 reutilizações</t>
  </si>
  <si>
    <t>Bloco de 09</t>
  </si>
  <si>
    <t>Bloco de 11,5</t>
  </si>
  <si>
    <t>Bloco de 14</t>
  </si>
  <si>
    <t>Cobogó</t>
  </si>
  <si>
    <t>5.1.3</t>
  </si>
  <si>
    <t>5.1.4</t>
  </si>
  <si>
    <t>5.1.5</t>
  </si>
  <si>
    <t>5.1.6</t>
  </si>
  <si>
    <t>5.1.7</t>
  </si>
  <si>
    <t>5.1.8</t>
  </si>
  <si>
    <t>Drywall tipo ST</t>
  </si>
  <si>
    <t>Impermeabilizações com manta asfaltica</t>
  </si>
  <si>
    <t>Bombas</t>
  </si>
  <si>
    <t>Equipamento de piscina</t>
  </si>
  <si>
    <t>Estaçao de tratamento de esgoto</t>
  </si>
  <si>
    <t>Polimento de concreto</t>
  </si>
  <si>
    <t>Forro gesso Acartonado ST</t>
  </si>
  <si>
    <t>Forro gesso Acartonado RU</t>
  </si>
  <si>
    <t xml:space="preserve">Piso Cerâmico </t>
  </si>
  <si>
    <t>Piscina</t>
  </si>
  <si>
    <t>Ladrilho Hidraulico Rampa</t>
  </si>
  <si>
    <t>Paver</t>
  </si>
  <si>
    <t>Rodapés</t>
  </si>
  <si>
    <t>Pintura acrílica antiderrapante</t>
  </si>
  <si>
    <t>Textura estucamento</t>
  </si>
  <si>
    <t>Pintura Interna Paredes</t>
  </si>
  <si>
    <t>Pintura Interna Teto</t>
  </si>
  <si>
    <t>Pele de vidro</t>
  </si>
  <si>
    <t>Brise</t>
  </si>
  <si>
    <t>Portão de alumínio ripado</t>
  </si>
  <si>
    <t xml:space="preserve">Gradil </t>
  </si>
  <si>
    <t>PCF</t>
  </si>
  <si>
    <t>14.3.3</t>
  </si>
  <si>
    <t>Corrimão madeira</t>
  </si>
  <si>
    <t>Fechadura Biometrica</t>
  </si>
  <si>
    <t>Trtamento de friso</t>
  </si>
  <si>
    <t>Selador e textura</t>
  </si>
  <si>
    <t>Porcelanato amadeirado</t>
  </si>
  <si>
    <t>Pastilha tijolinho</t>
  </si>
  <si>
    <t>18.1</t>
  </si>
  <si>
    <t>18.1.1</t>
  </si>
  <si>
    <t>MOBILIARIO PRIVATIVO</t>
  </si>
  <si>
    <t>Móveis e decoração PRIVATIVO</t>
  </si>
  <si>
    <t>Paisagismo</t>
  </si>
  <si>
    <t>Limpeza</t>
  </si>
  <si>
    <t>EMPEITEIRO</t>
  </si>
  <si>
    <t>SERVIÇOS</t>
  </si>
  <si>
    <t>LAJE NERVURADA</t>
  </si>
  <si>
    <t>LAJE MACIÇA</t>
  </si>
  <si>
    <t>LAJE PROTENDIDA</t>
  </si>
  <si>
    <t>um</t>
  </si>
  <si>
    <t>Protensão - lajes - materiais</t>
  </si>
  <si>
    <t>Protensão - lajes - cabos</t>
  </si>
  <si>
    <t>Protensão - lajes - serviços</t>
  </si>
  <si>
    <t>pav</t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</si>
  <si>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</si>
  <si>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</si>
  <si>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</si>
  <si>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</si>
  <si>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</si>
  <si>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</si>
  <si>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</si>
  <si>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</si>
  <si>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</si>
  <si>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</si>
  <si>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</si>
  <si>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</si>
  <si>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</si>
  <si>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</si>
  <si>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</si>
  <si>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</si>
  <si>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</si>
  <si>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</si>
  <si>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</si>
  <si>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Valor Orçado por Area Construida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</si>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</sst>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</numFmts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sz val="10"/>
      <name val="Arial"/>
      <family val="2"/>
    </font>
    <font>
      <sz val="8"/>
      <color theme="1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Poppins"/>
    </font>
    <font>
      <sz val="10"/>
      <color theme="6" tint="-0.499984740745262"/>
      <name val="Poppins"/>
    </font>
    <font>
      <sz val="10"/>
      <color rgb="FF000000"/>
      <name val="Poppins"/>
    </font>
    <font>
      <sz val="10"/>
      <color rgb="FFFF0000"/>
      <name val="Poppins"/>
    </font>
    <font>
      <b/>
      <sz val="9"/>
      <color indexed="81"/>
      <name val="Segoe UI"/>
      <family val="2"/>
    </font>
    <font>
      <sz val="10"/>
      <color rgb="FF00B0F0"/>
      <name val="Poppins"/>
    </font>
    <font>
      <sz val="10"/>
      <color rgb="FF000000"/>
      <name val="Arial"/>
      <scheme val="minor"/>
    </font>
    <font>
      <b/>
      <sz val="10"/>
      <color rgb="FF002060"/>
      <name val="Poppins"/>
    </font>
    <font>
      <b/>
      <sz val="11"/>
      <color theme="0"/>
      <name val="Poppins"/>
    </font>
    <font>
      <sz val="11"/>
      <name val="Poppins"/>
    </font>
    <font>
      <sz val="8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DCDC"/>
        <bgColor rgb="FFDCDCDC"/>
      </patternFill>
    </fill>
  </fills>
  <borders count="1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</borders>
  <cellStyleXfs count="9">
    <xf numFmtId="0" fontId="0" fillId="0" borderId="0"/>
    <xf numFmtId="0" fontId="16" fillId="0" borderId="45"/>
    <xf numFmtId="0" fontId="8" fillId="0" borderId="45"/>
    <xf numFmtId="0" fontId="3" fillId="0" borderId="45"/>
    <xf numFmtId="9" fontId="3" fillId="0" borderId="45" applyFont="0" applyFill="0" applyBorder="0" applyAlignment="0" applyProtection="0"/>
    <xf numFmtId="0" fontId="2" fillId="0" borderId="45"/>
    <xf numFmtId="44" fontId="23" fillId="0" borderId="0" applyFont="0" applyFill="0" applyBorder="0" applyAlignment="0" applyProtection="0"/>
    <xf numFmtId="0" fontId="1" fillId="0" borderId="45"/>
    <xf numFmtId="44" fontId="1" fillId="0" borderId="45" applyFont="0" applyFill="0" applyBorder="0" applyAlignment="0" applyProtection="0"/>
  </cellStyleXfs>
  <cellXfs count="352">
    <xf numFmtId="0" fontId="0" fillId="0" borderId="0" xfId="0"/>
    <xf numFmtId="0" fontId="5" fillId="3" borderId="47" xfId="0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vertical="center" wrapText="1"/>
    </xf>
    <xf numFmtId="0" fontId="5" fillId="3" borderId="56" xfId="3" applyFont="1" applyFill="1" applyBorder="1" applyAlignment="1">
      <alignment horizontal="left" vertical="center" wrapText="1"/>
    </xf>
    <xf numFmtId="0" fontId="5" fillId="3" borderId="57" xfId="3" applyFont="1" applyFill="1" applyBorder="1" applyAlignment="1">
      <alignment horizontal="center" vertical="center" wrapText="1"/>
    </xf>
    <xf numFmtId="164" fontId="5" fillId="3" borderId="57" xfId="3" applyNumberFormat="1" applyFont="1" applyFill="1" applyBorder="1" applyAlignment="1">
      <alignment horizontal="left" vertical="center" wrapText="1"/>
    </xf>
    <xf numFmtId="0" fontId="4" fillId="2" borderId="3" xfId="3" applyFont="1" applyFill="1" applyBorder="1" applyAlignment="1">
      <alignment vertical="center" wrapText="1"/>
    </xf>
    <xf numFmtId="0" fontId="5" fillId="3" borderId="47" xfId="3" applyFont="1" applyFill="1" applyBorder="1" applyAlignment="1">
      <alignment horizontal="left" vertical="center" wrapText="1"/>
    </xf>
    <xf numFmtId="0" fontId="5" fillId="3" borderId="6" xfId="3" applyFont="1" applyFill="1" applyBorder="1" applyAlignment="1">
      <alignment horizontal="center" vertical="center" wrapText="1"/>
    </xf>
    <xf numFmtId="164" fontId="5" fillId="3" borderId="6" xfId="3" applyNumberFormat="1" applyFont="1" applyFill="1" applyBorder="1" applyAlignment="1">
      <alignment horizontal="left" vertical="center" wrapText="1"/>
    </xf>
    <xf numFmtId="0" fontId="5" fillId="3" borderId="44" xfId="3" applyFont="1" applyFill="1" applyBorder="1" applyAlignment="1">
      <alignment horizontal="left" vertical="center" wrapText="1"/>
    </xf>
    <xf numFmtId="0" fontId="5" fillId="3" borderId="45" xfId="3" applyFont="1" applyFill="1" applyAlignment="1">
      <alignment horizontal="left" vertical="center" wrapText="1"/>
    </xf>
    <xf numFmtId="0" fontId="5" fillId="3" borderId="45" xfId="3" applyFont="1" applyFill="1" applyAlignment="1">
      <alignment horizontal="center" vertical="center" wrapText="1"/>
    </xf>
    <xf numFmtId="164" fontId="5" fillId="3" borderId="45" xfId="3" applyNumberFormat="1" applyFont="1" applyFill="1" applyAlignment="1">
      <alignment horizontal="left" vertical="center" wrapText="1"/>
    </xf>
    <xf numFmtId="49" fontId="10" fillId="0" borderId="45" xfId="3" applyNumberFormat="1" applyFont="1" applyAlignment="1">
      <alignment vertical="center"/>
    </xf>
    <xf numFmtId="0" fontId="10" fillId="2" borderId="45" xfId="3" applyFont="1" applyFill="1" applyAlignment="1">
      <alignment vertical="center"/>
    </xf>
    <xf numFmtId="164" fontId="10" fillId="2" borderId="45" xfId="3" applyNumberFormat="1" applyFont="1" applyFill="1" applyAlignment="1">
      <alignment vertical="center"/>
    </xf>
    <xf numFmtId="164" fontId="10" fillId="2" borderId="45" xfId="3" applyNumberFormat="1" applyFont="1" applyFill="1" applyAlignment="1">
      <alignment horizontal="center" vertical="center"/>
    </xf>
    <xf numFmtId="49" fontId="11" fillId="5" borderId="1" xfId="3" applyNumberFormat="1" applyFont="1" applyFill="1" applyBorder="1" applyAlignment="1">
      <alignment vertical="center"/>
    </xf>
    <xf numFmtId="49" fontId="11" fillId="5" borderId="3" xfId="3" applyNumberFormat="1" applyFont="1" applyFill="1" applyBorder="1" applyAlignment="1">
      <alignment vertical="center"/>
    </xf>
    <xf numFmtId="49" fontId="11" fillId="5" borderId="22" xfId="3" applyNumberFormat="1" applyFont="1" applyFill="1" applyBorder="1" applyAlignment="1">
      <alignment horizontal="left" vertical="center"/>
    </xf>
    <xf numFmtId="0" fontId="10" fillId="0" borderId="45" xfId="3" applyFont="1" applyAlignment="1">
      <alignment vertical="center"/>
    </xf>
    <xf numFmtId="164" fontId="10" fillId="0" borderId="45" xfId="3" applyNumberFormat="1" applyFont="1" applyAlignment="1">
      <alignment vertical="center"/>
    </xf>
    <xf numFmtId="0" fontId="11" fillId="5" borderId="36" xfId="3" applyFont="1" applyFill="1" applyBorder="1" applyAlignment="1">
      <alignment horizontal="center" vertical="center" wrapText="1"/>
    </xf>
    <xf numFmtId="164" fontId="11" fillId="5" borderId="36" xfId="3" applyNumberFormat="1" applyFont="1" applyFill="1" applyBorder="1" applyAlignment="1">
      <alignment horizontal="center" vertical="center" wrapText="1"/>
    </xf>
    <xf numFmtId="0" fontId="13" fillId="8" borderId="63" xfId="3" applyFont="1" applyFill="1" applyBorder="1" applyAlignment="1">
      <alignment horizontal="left" vertical="center" wrapText="1"/>
    </xf>
    <xf numFmtId="0" fontId="13" fillId="8" borderId="64" xfId="3" applyFont="1" applyFill="1" applyBorder="1" applyAlignment="1">
      <alignment horizontal="left" vertical="center" wrapText="1"/>
    </xf>
    <xf numFmtId="164" fontId="13" fillId="8" borderId="64" xfId="3" applyNumberFormat="1" applyFont="1" applyFill="1" applyBorder="1" applyAlignment="1">
      <alignment horizontal="right" vertical="center" wrapText="1"/>
    </xf>
    <xf numFmtId="3" fontId="13" fillId="11" borderId="65" xfId="3" applyNumberFormat="1" applyFont="1" applyFill="1" applyBorder="1" applyAlignment="1">
      <alignment horizontal="left" vertical="center" wrapText="1"/>
    </xf>
    <xf numFmtId="0" fontId="13" fillId="11" borderId="66" xfId="3" applyFont="1" applyFill="1" applyBorder="1" applyAlignment="1">
      <alignment horizontal="left" vertical="center" wrapText="1"/>
    </xf>
    <xf numFmtId="164" fontId="13" fillId="11" borderId="66" xfId="3" applyNumberFormat="1" applyFont="1" applyFill="1" applyBorder="1" applyAlignment="1">
      <alignment horizontal="right" vertical="center" wrapText="1"/>
    </xf>
    <xf numFmtId="164" fontId="13" fillId="11" borderId="67" xfId="3" applyNumberFormat="1" applyFont="1" applyFill="1" applyBorder="1" applyAlignment="1">
      <alignment horizontal="right" vertical="center" wrapText="1"/>
    </xf>
    <xf numFmtId="49" fontId="13" fillId="8" borderId="65" xfId="3" applyNumberFormat="1" applyFont="1" applyFill="1" applyBorder="1" applyAlignment="1">
      <alignment horizontal="left" vertical="center" wrapText="1"/>
    </xf>
    <xf numFmtId="0" fontId="13" fillId="8" borderId="66" xfId="3" applyFont="1" applyFill="1" applyBorder="1" applyAlignment="1">
      <alignment horizontal="left" vertical="center" wrapText="1"/>
    </xf>
    <xf numFmtId="164" fontId="13" fillId="8" borderId="66" xfId="3" applyNumberFormat="1" applyFont="1" applyFill="1" applyBorder="1" applyAlignment="1">
      <alignment horizontal="right" vertical="center" wrapText="1"/>
    </xf>
    <xf numFmtId="164" fontId="13" fillId="8" borderId="67" xfId="3" applyNumberFormat="1" applyFont="1" applyFill="1" applyBorder="1" applyAlignment="1">
      <alignment horizontal="right" vertical="center" wrapText="1"/>
    </xf>
    <xf numFmtId="49" fontId="13" fillId="11" borderId="65" xfId="3" applyNumberFormat="1" applyFont="1" applyFill="1" applyBorder="1" applyAlignment="1">
      <alignment horizontal="left" vertical="center" wrapText="1"/>
    </xf>
    <xf numFmtId="49" fontId="14" fillId="0" borderId="65" xfId="3" applyNumberFormat="1" applyFont="1" applyBorder="1" applyAlignment="1">
      <alignment horizontal="left" vertical="center" wrapText="1"/>
    </xf>
    <xf numFmtId="0" fontId="14" fillId="0" borderId="66" xfId="3" applyFont="1" applyBorder="1" applyAlignment="1">
      <alignment horizontal="left" vertical="center" wrapText="1"/>
    </xf>
    <xf numFmtId="164" fontId="10" fillId="0" borderId="66" xfId="3" applyNumberFormat="1" applyFont="1" applyBorder="1" applyAlignment="1">
      <alignment horizontal="right" vertical="center" wrapText="1"/>
    </xf>
    <xf numFmtId="164" fontId="14" fillId="0" borderId="66" xfId="3" applyNumberFormat="1" applyFont="1" applyBorder="1" applyAlignment="1">
      <alignment horizontal="right" vertical="center" wrapText="1"/>
    </xf>
    <xf numFmtId="164" fontId="10" fillId="0" borderId="67" xfId="3" applyNumberFormat="1" applyFont="1" applyBorder="1" applyAlignment="1">
      <alignment horizontal="right" vertical="center" wrapText="1"/>
    </xf>
    <xf numFmtId="164" fontId="18" fillId="0" borderId="66" xfId="3" applyNumberFormat="1" applyFont="1" applyBorder="1" applyAlignment="1">
      <alignment horizontal="right" vertical="center" wrapText="1"/>
    </xf>
    <xf numFmtId="0" fontId="17" fillId="0" borderId="66" xfId="3" applyFont="1" applyBorder="1" applyAlignment="1">
      <alignment horizontal="left" vertical="center" wrapText="1"/>
    </xf>
    <xf numFmtId="164" fontId="17" fillId="0" borderId="66" xfId="3" applyNumberFormat="1" applyFont="1" applyBorder="1" applyAlignment="1">
      <alignment horizontal="right" vertical="center" wrapText="1"/>
    </xf>
    <xf numFmtId="0" fontId="10" fillId="0" borderId="66" xfId="3" applyFont="1" applyBorder="1" applyAlignment="1">
      <alignment horizontal="left" vertical="center" wrapText="1"/>
    </xf>
    <xf numFmtId="0" fontId="14" fillId="0" borderId="76" xfId="3" applyFont="1" applyBorder="1" applyAlignment="1">
      <alignment horizontal="left" vertical="center" wrapText="1"/>
    </xf>
    <xf numFmtId="164" fontId="13" fillId="11" borderId="71" xfId="3" applyNumberFormat="1" applyFont="1" applyFill="1" applyBorder="1" applyAlignment="1">
      <alignment horizontal="right" vertical="center" wrapText="1"/>
    </xf>
    <xf numFmtId="0" fontId="19" fillId="0" borderId="0" xfId="0" applyFont="1"/>
    <xf numFmtId="0" fontId="10" fillId="0" borderId="0" xfId="0" applyFont="1" applyAlignment="1">
      <alignment vertical="center" wrapText="1"/>
    </xf>
    <xf numFmtId="0" fontId="10" fillId="0" borderId="45" xfId="3" applyFont="1"/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3" fontId="14" fillId="13" borderId="65" xfId="3" applyNumberFormat="1" applyFont="1" applyFill="1" applyBorder="1" applyAlignment="1">
      <alignment horizontal="left" vertical="center" wrapText="1"/>
    </xf>
    <xf numFmtId="0" fontId="14" fillId="13" borderId="66" xfId="3" applyFont="1" applyFill="1" applyBorder="1" applyAlignment="1">
      <alignment horizontal="left" vertical="center" wrapText="1"/>
    </xf>
    <xf numFmtId="164" fontId="13" fillId="11" borderId="66" xfId="3" applyNumberFormat="1" applyFont="1" applyFill="1" applyBorder="1" applyAlignment="1">
      <alignment horizontal="center" vertical="center" wrapText="1"/>
    </xf>
    <xf numFmtId="164" fontId="14" fillId="13" borderId="66" xfId="3" applyNumberFormat="1" applyFont="1" applyFill="1" applyBorder="1" applyAlignment="1">
      <alignment horizontal="center" vertical="center" wrapText="1"/>
    </xf>
    <xf numFmtId="164" fontId="13" fillId="8" borderId="64" xfId="3" applyNumberFormat="1" applyFont="1" applyFill="1" applyBorder="1" applyAlignment="1">
      <alignment horizontal="center" vertical="center" wrapText="1"/>
    </xf>
    <xf numFmtId="4" fontId="13" fillId="8" borderId="64" xfId="3" applyNumberFormat="1" applyFont="1" applyFill="1" applyBorder="1" applyAlignment="1">
      <alignment horizontal="right" vertical="center" wrapText="1"/>
    </xf>
    <xf numFmtId="4" fontId="13" fillId="11" borderId="66" xfId="3" applyNumberFormat="1" applyFont="1" applyFill="1" applyBorder="1" applyAlignment="1">
      <alignment horizontal="right" vertical="center" wrapText="1"/>
    </xf>
    <xf numFmtId="4" fontId="14" fillId="13" borderId="66" xfId="3" applyNumberFormat="1" applyFont="1" applyFill="1" applyBorder="1" applyAlignment="1">
      <alignment horizontal="right" vertical="center" wrapText="1"/>
    </xf>
    <xf numFmtId="164" fontId="10" fillId="2" borderId="45" xfId="3" applyNumberFormat="1" applyFont="1" applyFill="1" applyAlignment="1">
      <alignment horizontal="left" vertical="center"/>
    </xf>
    <xf numFmtId="164" fontId="10" fillId="0" borderId="45" xfId="3" applyNumberFormat="1" applyFont="1" applyAlignment="1">
      <alignment horizontal="left" vertical="center"/>
    </xf>
    <xf numFmtId="164" fontId="13" fillId="8" borderId="75" xfId="3" applyNumberFormat="1" applyFont="1" applyFill="1" applyBorder="1" applyAlignment="1">
      <alignment horizontal="left" vertical="center" wrapText="1"/>
    </xf>
    <xf numFmtId="164" fontId="13" fillId="11" borderId="67" xfId="3" applyNumberFormat="1" applyFont="1" applyFill="1" applyBorder="1" applyAlignment="1">
      <alignment horizontal="left" vertical="center" wrapText="1"/>
    </xf>
    <xf numFmtId="164" fontId="14" fillId="13" borderId="67" xfId="3" applyNumberFormat="1" applyFont="1" applyFill="1" applyBorder="1" applyAlignment="1">
      <alignment horizontal="left" vertical="center" wrapText="1"/>
    </xf>
    <xf numFmtId="164" fontId="11" fillId="6" borderId="40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12" borderId="65" xfId="3" applyFont="1" applyFill="1" applyBorder="1" applyAlignment="1">
      <alignment horizontal="left" vertical="center" wrapText="1"/>
    </xf>
    <xf numFmtId="0" fontId="14" fillId="12" borderId="66" xfId="3" applyFont="1" applyFill="1" applyBorder="1" applyAlignment="1">
      <alignment horizontal="left" vertical="center" wrapText="1"/>
    </xf>
    <xf numFmtId="164" fontId="14" fillId="12" borderId="66" xfId="3" applyNumberFormat="1" applyFont="1" applyFill="1" applyBorder="1" applyAlignment="1">
      <alignment horizontal="right" vertical="center" wrapText="1"/>
    </xf>
    <xf numFmtId="164" fontId="14" fillId="12" borderId="67" xfId="3" applyNumberFormat="1" applyFont="1" applyFill="1" applyBorder="1" applyAlignment="1">
      <alignment horizontal="right" vertical="center" wrapText="1"/>
    </xf>
    <xf numFmtId="49" fontId="14" fillId="12" borderId="65" xfId="3" applyNumberFormat="1" applyFont="1" applyFill="1" applyBorder="1" applyAlignment="1">
      <alignment horizontal="left" vertical="center" wrapText="1"/>
    </xf>
    <xf numFmtId="164" fontId="20" fillId="12" borderId="66" xfId="3" applyNumberFormat="1" applyFont="1" applyFill="1" applyBorder="1" applyAlignment="1">
      <alignment horizontal="right" vertical="center" wrapText="1"/>
    </xf>
    <xf numFmtId="49" fontId="14" fillId="0" borderId="65" xfId="0" applyNumberFormat="1" applyFont="1" applyBorder="1" applyAlignment="1">
      <alignment horizontal="left" vertical="center" wrapText="1"/>
    </xf>
    <xf numFmtId="0" fontId="14" fillId="0" borderId="66" xfId="0" applyFont="1" applyBorder="1" applyAlignment="1">
      <alignment horizontal="left" vertical="center" wrapText="1"/>
    </xf>
    <xf numFmtId="164" fontId="14" fillId="0" borderId="66" xfId="0" applyNumberFormat="1" applyFont="1" applyBorder="1" applyAlignment="1">
      <alignment horizontal="right" vertical="center" wrapText="1"/>
    </xf>
    <xf numFmtId="164" fontId="13" fillId="8" borderId="75" xfId="0" applyNumberFormat="1" applyFont="1" applyFill="1" applyBorder="1" applyAlignment="1">
      <alignment horizontal="right" vertical="center" wrapText="1"/>
    </xf>
    <xf numFmtId="164" fontId="13" fillId="11" borderId="67" xfId="0" applyNumberFormat="1" applyFont="1" applyFill="1" applyBorder="1" applyAlignment="1">
      <alignment horizontal="right" vertical="center" wrapText="1"/>
    </xf>
    <xf numFmtId="164" fontId="13" fillId="12" borderId="67" xfId="0" applyNumberFormat="1" applyFont="1" applyFill="1" applyBorder="1" applyAlignment="1">
      <alignment horizontal="right" vertical="center" wrapText="1"/>
    </xf>
    <xf numFmtId="49" fontId="11" fillId="5" borderId="78" xfId="3" applyNumberFormat="1" applyFont="1" applyFill="1" applyBorder="1" applyAlignment="1">
      <alignment vertical="center"/>
    </xf>
    <xf numFmtId="49" fontId="11" fillId="5" borderId="5" xfId="3" applyNumberFormat="1" applyFont="1" applyFill="1" applyBorder="1" applyAlignment="1">
      <alignment vertical="center"/>
    </xf>
    <xf numFmtId="49" fontId="11" fillId="5" borderId="79" xfId="3" applyNumberFormat="1" applyFont="1" applyFill="1" applyBorder="1" applyAlignment="1">
      <alignment horizontal="left" vertical="center"/>
    </xf>
    <xf numFmtId="49" fontId="10" fillId="2" borderId="45" xfId="3" applyNumberFormat="1" applyFont="1" applyFill="1" applyAlignment="1">
      <alignment horizontal="left" vertical="center"/>
    </xf>
    <xf numFmtId="49" fontId="10" fillId="0" borderId="45" xfId="3" applyNumberFormat="1" applyFont="1" applyAlignment="1">
      <alignment horizontal="left" vertical="center"/>
    </xf>
    <xf numFmtId="49" fontId="11" fillId="5" borderId="36" xfId="3" applyNumberFormat="1" applyFont="1" applyFill="1" applyBorder="1" applyAlignment="1">
      <alignment horizontal="left" vertical="center"/>
    </xf>
    <xf numFmtId="49" fontId="13" fillId="8" borderId="75" xfId="0" applyNumberFormat="1" applyFont="1" applyFill="1" applyBorder="1" applyAlignment="1">
      <alignment horizontal="left" vertical="center"/>
    </xf>
    <xf numFmtId="49" fontId="13" fillId="11" borderId="67" xfId="0" applyNumberFormat="1" applyFont="1" applyFill="1" applyBorder="1" applyAlignment="1">
      <alignment horizontal="left" vertical="center"/>
    </xf>
    <xf numFmtId="49" fontId="13" fillId="12" borderId="67" xfId="0" applyNumberFormat="1" applyFont="1" applyFill="1" applyBorder="1" applyAlignment="1">
      <alignment horizontal="left" vertical="center"/>
    </xf>
    <xf numFmtId="49" fontId="14" fillId="12" borderId="67" xfId="3" applyNumberFormat="1" applyFont="1" applyFill="1" applyBorder="1" applyAlignment="1">
      <alignment horizontal="left" vertical="center"/>
    </xf>
    <xf numFmtId="49" fontId="13" fillId="11" borderId="67" xfId="3" applyNumberFormat="1" applyFont="1" applyFill="1" applyBorder="1" applyAlignment="1">
      <alignment horizontal="left" vertical="center"/>
    </xf>
    <xf numFmtId="49" fontId="13" fillId="8" borderId="67" xfId="3" applyNumberFormat="1" applyFont="1" applyFill="1" applyBorder="1" applyAlignment="1">
      <alignment horizontal="left" vertical="center"/>
    </xf>
    <xf numFmtId="49" fontId="10" fillId="0" borderId="67" xfId="3" applyNumberFormat="1" applyFont="1" applyBorder="1" applyAlignment="1">
      <alignment horizontal="left" vertical="center"/>
    </xf>
    <xf numFmtId="49" fontId="14" fillId="0" borderId="67" xfId="3" applyNumberFormat="1" applyFont="1" applyBorder="1" applyAlignment="1">
      <alignment horizontal="left" vertical="center"/>
    </xf>
    <xf numFmtId="49" fontId="13" fillId="11" borderId="71" xfId="3" applyNumberFormat="1" applyFont="1" applyFill="1" applyBorder="1" applyAlignment="1">
      <alignment horizontal="left" vertical="center"/>
    </xf>
    <xf numFmtId="164" fontId="17" fillId="0" borderId="66" xfId="0" applyNumberFormat="1" applyFont="1" applyBorder="1" applyAlignment="1">
      <alignment horizontal="right" vertical="center" wrapText="1"/>
    </xf>
    <xf numFmtId="164" fontId="17" fillId="0" borderId="76" xfId="0" applyNumberFormat="1" applyFont="1" applyBorder="1" applyAlignment="1">
      <alignment horizontal="right" vertical="center" wrapText="1"/>
    </xf>
    <xf numFmtId="49" fontId="22" fillId="0" borderId="67" xfId="3" applyNumberFormat="1" applyFont="1" applyBorder="1" applyAlignment="1">
      <alignment horizontal="left" vertical="center"/>
    </xf>
    <xf numFmtId="164" fontId="17" fillId="12" borderId="67" xfId="3" applyNumberFormat="1" applyFont="1" applyFill="1" applyBorder="1" applyAlignment="1">
      <alignment horizontal="right" vertical="center" wrapText="1"/>
    </xf>
    <xf numFmtId="164" fontId="5" fillId="3" borderId="45" xfId="0" applyNumberFormat="1" applyFont="1" applyFill="1" applyBorder="1" applyAlignment="1">
      <alignment horizontal="left" vertical="center" wrapText="1"/>
    </xf>
    <xf numFmtId="0" fontId="4" fillId="2" borderId="87" xfId="0" applyFont="1" applyFill="1" applyBorder="1" applyAlignment="1">
      <alignment vertical="center" wrapText="1"/>
    </xf>
    <xf numFmtId="0" fontId="5" fillId="3" borderId="109" xfId="0" applyFont="1" applyFill="1" applyBorder="1" applyAlignment="1">
      <alignment horizontal="left" vertical="center" wrapText="1"/>
    </xf>
    <xf numFmtId="0" fontId="5" fillId="3" borderId="110" xfId="0" applyFont="1" applyFill="1" applyBorder="1" applyAlignment="1">
      <alignment horizontal="center" vertical="center" wrapText="1"/>
    </xf>
    <xf numFmtId="164" fontId="5" fillId="3" borderId="110" xfId="0" applyNumberFormat="1" applyFont="1" applyFill="1" applyBorder="1" applyAlignment="1">
      <alignment horizontal="left" vertical="center" wrapText="1"/>
    </xf>
    <xf numFmtId="0" fontId="4" fillId="2" borderId="112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left" vertical="center" wrapText="1"/>
    </xf>
    <xf numFmtId="0" fontId="5" fillId="3" borderId="116" xfId="0" applyFont="1" applyFill="1" applyBorder="1" applyAlignment="1">
      <alignment horizontal="left" vertical="center" wrapText="1"/>
    </xf>
    <xf numFmtId="0" fontId="5" fillId="3" borderId="45" xfId="0" applyFont="1" applyFill="1" applyBorder="1" applyAlignment="1">
      <alignment horizontal="left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19" fillId="0" borderId="116" xfId="0" applyFont="1" applyBorder="1"/>
    <xf numFmtId="0" fontId="19" fillId="0" borderId="117" xfId="0" applyFont="1" applyBorder="1"/>
    <xf numFmtId="0" fontId="10" fillId="3" borderId="111" xfId="0" applyFont="1" applyFill="1" applyBorder="1"/>
    <xf numFmtId="0" fontId="10" fillId="0" borderId="0" xfId="0" applyFont="1"/>
    <xf numFmtId="0" fontId="10" fillId="3" borderId="113" xfId="0" applyFont="1" applyFill="1" applyBorder="1"/>
    <xf numFmtId="0" fontId="24" fillId="3" borderId="116" xfId="0" applyFont="1" applyFill="1" applyBorder="1" applyAlignment="1">
      <alignment vertical="center" wrapText="1"/>
    </xf>
    <xf numFmtId="0" fontId="24" fillId="3" borderId="45" xfId="0" applyFont="1" applyFill="1" applyBorder="1" applyAlignment="1">
      <alignment horizontal="center" vertical="center" wrapText="1"/>
    </xf>
    <xf numFmtId="164" fontId="24" fillId="3" borderId="45" xfId="0" applyNumberFormat="1" applyFont="1" applyFill="1" applyBorder="1" applyAlignment="1">
      <alignment horizontal="center" vertical="center" wrapText="1"/>
    </xf>
    <xf numFmtId="0" fontId="10" fillId="3" borderId="117" xfId="0" applyFont="1" applyFill="1" applyBorder="1"/>
    <xf numFmtId="0" fontId="5" fillId="3" borderId="117" xfId="0" applyFont="1" applyFill="1" applyBorder="1"/>
    <xf numFmtId="0" fontId="5" fillId="3" borderId="116" xfId="0" applyFont="1" applyFill="1" applyBorder="1"/>
    <xf numFmtId="0" fontId="11" fillId="6" borderId="87" xfId="0" applyFont="1" applyFill="1" applyBorder="1" applyAlignment="1">
      <alignment horizontal="center" vertical="center"/>
    </xf>
    <xf numFmtId="0" fontId="11" fillId="6" borderId="88" xfId="0" applyFont="1" applyFill="1" applyBorder="1" applyAlignment="1">
      <alignment horizontal="center" vertical="center" wrapText="1"/>
    </xf>
    <xf numFmtId="164" fontId="11" fillId="6" borderId="89" xfId="0" applyNumberFormat="1" applyFont="1" applyFill="1" applyBorder="1" applyAlignment="1">
      <alignment horizontal="center" vertical="center" wrapText="1"/>
    </xf>
    <xf numFmtId="164" fontId="5" fillId="3" borderId="45" xfId="0" applyNumberFormat="1" applyFont="1" applyFill="1" applyBorder="1" applyAlignment="1">
      <alignment vertical="center" wrapText="1"/>
    </xf>
    <xf numFmtId="0" fontId="5" fillId="3" borderId="90" xfId="0" applyFont="1" applyFill="1" applyBorder="1" applyAlignment="1">
      <alignment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164" fontId="5" fillId="3" borderId="91" xfId="0" applyNumberFormat="1" applyFont="1" applyFill="1" applyBorder="1" applyAlignment="1">
      <alignment vertical="center" wrapText="1"/>
    </xf>
    <xf numFmtId="0" fontId="5" fillId="3" borderId="92" xfId="0" applyFont="1" applyFill="1" applyBorder="1" applyAlignment="1">
      <alignment vertical="center" wrapText="1"/>
    </xf>
    <xf numFmtId="164" fontId="5" fillId="3" borderId="14" xfId="0" applyNumberFormat="1" applyFont="1" applyFill="1" applyBorder="1" applyAlignment="1">
      <alignment horizontal="center" vertical="center" wrapText="1"/>
    </xf>
    <xf numFmtId="164" fontId="5" fillId="3" borderId="93" xfId="0" applyNumberFormat="1" applyFont="1" applyFill="1" applyBorder="1" applyAlignment="1">
      <alignment vertical="center" wrapText="1"/>
    </xf>
    <xf numFmtId="164" fontId="17" fillId="3" borderId="93" xfId="0" applyNumberFormat="1" applyFont="1" applyFill="1" applyBorder="1" applyAlignment="1">
      <alignment vertical="center" wrapText="1"/>
    </xf>
    <xf numFmtId="164" fontId="17" fillId="3" borderId="45" xfId="0" applyNumberFormat="1" applyFont="1" applyFill="1" applyBorder="1" applyAlignment="1">
      <alignment vertical="center" wrapText="1"/>
    </xf>
    <xf numFmtId="0" fontId="5" fillId="3" borderId="94" xfId="0" applyFont="1" applyFill="1" applyBorder="1" applyAlignment="1">
      <alignment vertical="center" wrapText="1"/>
    </xf>
    <xf numFmtId="164" fontId="5" fillId="3" borderId="95" xfId="0" applyNumberFormat="1" applyFont="1" applyFill="1" applyBorder="1" applyAlignment="1">
      <alignment horizontal="center" vertical="center" wrapText="1"/>
    </xf>
    <xf numFmtId="164" fontId="5" fillId="3" borderId="96" xfId="0" applyNumberFormat="1" applyFont="1" applyFill="1" applyBorder="1" applyAlignment="1">
      <alignment vertical="center" wrapText="1"/>
    </xf>
    <xf numFmtId="0" fontId="5" fillId="3" borderId="45" xfId="0" applyFont="1" applyFill="1" applyBorder="1" applyAlignment="1">
      <alignment vertical="center" wrapText="1"/>
    </xf>
    <xf numFmtId="164" fontId="5" fillId="3" borderId="45" xfId="0" applyNumberFormat="1" applyFont="1" applyFill="1" applyBorder="1" applyAlignment="1">
      <alignment horizontal="center" vertical="center" wrapText="1"/>
    </xf>
    <xf numFmtId="0" fontId="11" fillId="6" borderId="97" xfId="0" applyFont="1" applyFill="1" applyBorder="1" applyAlignment="1">
      <alignment horizontal="left" vertical="center"/>
    </xf>
    <xf numFmtId="0" fontId="11" fillId="6" borderId="98" xfId="0" applyFont="1" applyFill="1" applyBorder="1" applyAlignment="1">
      <alignment horizontal="center" vertical="center"/>
    </xf>
    <xf numFmtId="0" fontId="11" fillId="6" borderId="99" xfId="0" applyFont="1" applyFill="1" applyBorder="1" applyAlignment="1">
      <alignment horizontal="center" vertical="center"/>
    </xf>
    <xf numFmtId="0" fontId="10" fillId="14" borderId="100" xfId="0" applyFont="1" applyFill="1" applyBorder="1" applyAlignment="1">
      <alignment horizontal="left" vertical="center"/>
    </xf>
    <xf numFmtId="44" fontId="10" fillId="14" borderId="83" xfId="6" applyFont="1" applyFill="1" applyBorder="1" applyAlignment="1">
      <alignment horizontal="left" vertical="center"/>
    </xf>
    <xf numFmtId="10" fontId="10" fillId="14" borderId="84" xfId="0" applyNumberFormat="1" applyFont="1" applyFill="1" applyBorder="1" applyAlignment="1">
      <alignment horizontal="center" vertical="center"/>
    </xf>
    <xf numFmtId="44" fontId="10" fillId="14" borderId="101" xfId="6" applyFont="1" applyFill="1" applyBorder="1" applyAlignment="1">
      <alignment horizontal="center" vertical="center"/>
    </xf>
    <xf numFmtId="0" fontId="10" fillId="3" borderId="102" xfId="0" applyFont="1" applyFill="1" applyBorder="1" applyAlignment="1">
      <alignment horizontal="left" vertical="center"/>
    </xf>
    <xf numFmtId="44" fontId="10" fillId="3" borderId="85" xfId="6" applyFont="1" applyFill="1" applyBorder="1" applyAlignment="1">
      <alignment horizontal="left" vertical="center"/>
    </xf>
    <xf numFmtId="10" fontId="10" fillId="3" borderId="86" xfId="0" applyNumberFormat="1" applyFont="1" applyFill="1" applyBorder="1" applyAlignment="1">
      <alignment horizontal="center" vertical="center"/>
    </xf>
    <xf numFmtId="44" fontId="10" fillId="3" borderId="101" xfId="6" applyFont="1" applyFill="1" applyBorder="1" applyAlignment="1">
      <alignment horizontal="center" vertical="center"/>
    </xf>
    <xf numFmtId="0" fontId="11" fillId="6" borderId="103" xfId="0" applyFont="1" applyFill="1" applyBorder="1" applyAlignment="1">
      <alignment horizontal="left" vertical="center"/>
    </xf>
    <xf numFmtId="44" fontId="11" fillId="6" borderId="77" xfId="6" applyFont="1" applyFill="1" applyBorder="1" applyAlignment="1">
      <alignment horizontal="center" vertical="center"/>
    </xf>
    <xf numFmtId="9" fontId="11" fillId="6" borderId="77" xfId="0" applyNumberFormat="1" applyFont="1" applyFill="1" applyBorder="1" applyAlignment="1">
      <alignment horizontal="center" vertical="center"/>
    </xf>
    <xf numFmtId="44" fontId="11" fillId="6" borderId="104" xfId="6" applyFont="1" applyFill="1" applyBorder="1" applyAlignment="1">
      <alignment horizontal="center" vertical="center"/>
    </xf>
    <xf numFmtId="4" fontId="11" fillId="6" borderId="80" xfId="0" applyNumberFormat="1" applyFont="1" applyFill="1" applyBorder="1" applyAlignment="1">
      <alignment horizontal="center" vertical="center"/>
    </xf>
    <xf numFmtId="17" fontId="11" fillId="6" borderId="77" xfId="0" applyNumberFormat="1" applyFont="1" applyFill="1" applyBorder="1" applyAlignment="1">
      <alignment horizontal="center" vertical="center"/>
    </xf>
    <xf numFmtId="164" fontId="11" fillId="6" borderId="104" xfId="0" applyNumberFormat="1" applyFont="1" applyFill="1" applyBorder="1" applyAlignment="1">
      <alignment horizontal="center" vertical="center"/>
    </xf>
    <xf numFmtId="0" fontId="11" fillId="6" borderId="105" xfId="0" applyFont="1" applyFill="1" applyBorder="1" applyAlignment="1">
      <alignment horizontal="left" vertical="center"/>
    </xf>
    <xf numFmtId="4" fontId="11" fillId="6" borderId="106" xfId="0" applyNumberFormat="1" applyFont="1" applyFill="1" applyBorder="1" applyAlignment="1">
      <alignment horizontal="center" vertical="center"/>
    </xf>
    <xf numFmtId="17" fontId="11" fillId="6" borderId="107" xfId="0" applyNumberFormat="1" applyFont="1" applyFill="1" applyBorder="1" applyAlignment="1">
      <alignment horizontal="center" vertical="center"/>
    </xf>
    <xf numFmtId="164" fontId="11" fillId="6" borderId="108" xfId="0" applyNumberFormat="1" applyFont="1" applyFill="1" applyBorder="1" applyAlignment="1">
      <alignment horizontal="center" vertical="center"/>
    </xf>
    <xf numFmtId="0" fontId="5" fillId="3" borderId="118" xfId="0" applyFont="1" applyFill="1" applyBorder="1"/>
    <xf numFmtId="0" fontId="5" fillId="3" borderId="119" xfId="0" applyFont="1" applyFill="1" applyBorder="1"/>
    <xf numFmtId="0" fontId="5" fillId="3" borderId="120" xfId="0" applyFont="1" applyFill="1" applyBorder="1"/>
    <xf numFmtId="0" fontId="5" fillId="3" borderId="45" xfId="0" applyFont="1" applyFill="1" applyBorder="1"/>
    <xf numFmtId="0" fontId="5" fillId="3" borderId="45" xfId="0" applyFont="1" applyFill="1" applyBorder="1" applyAlignment="1">
      <alignment horizontal="center"/>
    </xf>
    <xf numFmtId="164" fontId="5" fillId="3" borderId="45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44" fontId="10" fillId="2" borderId="45" xfId="6" applyFont="1" applyFill="1" applyBorder="1" applyAlignment="1">
      <alignment vertical="center"/>
    </xf>
    <xf numFmtId="44" fontId="10" fillId="0" borderId="45" xfId="6" applyFont="1" applyBorder="1" applyAlignment="1">
      <alignment vertical="center"/>
    </xf>
    <xf numFmtId="44" fontId="11" fillId="5" borderId="36" xfId="6" applyFont="1" applyFill="1" applyBorder="1" applyAlignment="1">
      <alignment horizontal="center" vertical="center" wrapText="1"/>
    </xf>
    <xf numFmtId="44" fontId="13" fillId="8" borderId="64" xfId="6" applyFont="1" applyFill="1" applyBorder="1" applyAlignment="1">
      <alignment horizontal="center" vertical="center" wrapText="1"/>
    </xf>
    <xf numFmtId="44" fontId="13" fillId="8" borderId="64" xfId="6" applyFont="1" applyFill="1" applyBorder="1" applyAlignment="1">
      <alignment horizontal="right" vertical="center" wrapText="1"/>
    </xf>
    <xf numFmtId="44" fontId="13" fillId="11" borderId="66" xfId="6" applyFont="1" applyFill="1" applyBorder="1" applyAlignment="1">
      <alignment horizontal="center" vertical="center" wrapText="1"/>
    </xf>
    <xf numFmtId="44" fontId="13" fillId="11" borderId="66" xfId="6" applyFont="1" applyFill="1" applyBorder="1" applyAlignment="1">
      <alignment horizontal="right" vertical="center" wrapText="1"/>
    </xf>
    <xf numFmtId="44" fontId="14" fillId="13" borderId="66" xfId="6" applyFont="1" applyFill="1" applyBorder="1" applyAlignment="1">
      <alignment horizontal="center" vertical="center" wrapText="1"/>
    </xf>
    <xf numFmtId="44" fontId="14" fillId="13" borderId="66" xfId="6" applyFont="1" applyFill="1" applyBorder="1" applyAlignment="1">
      <alignment horizontal="right" vertical="center" wrapText="1"/>
    </xf>
    <xf numFmtId="44" fontId="11" fillId="6" borderId="62" xfId="6" applyFont="1" applyFill="1" applyBorder="1" applyAlignment="1">
      <alignment horizontal="center" vertical="center" wrapText="1"/>
    </xf>
    <xf numFmtId="44" fontId="11" fillId="6" borderId="40" xfId="6" applyFont="1" applyFill="1" applyBorder="1" applyAlignment="1">
      <alignment horizontal="right" vertical="center" wrapText="1"/>
    </xf>
    <xf numFmtId="44" fontId="10" fillId="0" borderId="0" xfId="6" applyFont="1" applyAlignment="1">
      <alignment horizontal="center" vertical="center" wrapText="1"/>
    </xf>
    <xf numFmtId="44" fontId="10" fillId="0" borderId="0" xfId="6" applyFont="1" applyAlignment="1">
      <alignment horizontal="right" vertical="center" wrapText="1"/>
    </xf>
    <xf numFmtId="0" fontId="25" fillId="6" borderId="77" xfId="7" applyFont="1" applyFill="1" applyBorder="1" applyAlignment="1">
      <alignment horizontal="left" vertical="center"/>
    </xf>
    <xf numFmtId="0" fontId="25" fillId="6" borderId="77" xfId="7" applyFont="1" applyFill="1" applyBorder="1" applyAlignment="1">
      <alignment horizontal="center" vertical="center"/>
    </xf>
    <xf numFmtId="0" fontId="10" fillId="0" borderId="45" xfId="7" applyFont="1" applyAlignment="1">
      <alignment vertical="center"/>
    </xf>
    <xf numFmtId="0" fontId="1" fillId="0" borderId="45" xfId="7"/>
    <xf numFmtId="0" fontId="6" fillId="14" borderId="121" xfId="7" applyFont="1" applyFill="1" applyBorder="1" applyAlignment="1">
      <alignment horizontal="left" vertical="center"/>
    </xf>
    <xf numFmtId="44" fontId="6" fillId="14" borderId="83" xfId="8" applyFont="1" applyFill="1" applyBorder="1" applyAlignment="1">
      <alignment horizontal="left" vertical="center"/>
    </xf>
    <xf numFmtId="44" fontId="26" fillId="14" borderId="84" xfId="8" applyFont="1" applyFill="1" applyBorder="1" applyAlignment="1">
      <alignment horizontal="center" vertical="center"/>
    </xf>
    <xf numFmtId="10" fontId="6" fillId="14" borderId="84" xfId="7" applyNumberFormat="1" applyFont="1" applyFill="1" applyBorder="1" applyAlignment="1">
      <alignment horizontal="center" vertical="center"/>
    </xf>
    <xf numFmtId="44" fontId="6" fillId="14" borderId="122" xfId="8" applyFont="1" applyFill="1" applyBorder="1" applyAlignment="1">
      <alignment horizontal="center" vertical="center"/>
    </xf>
    <xf numFmtId="0" fontId="12" fillId="0" borderId="123" xfId="7" applyFont="1" applyBorder="1" applyAlignment="1">
      <alignment vertical="center"/>
    </xf>
    <xf numFmtId="0" fontId="10" fillId="0" borderId="124" xfId="7" applyFont="1" applyBorder="1" applyAlignment="1">
      <alignment vertical="center"/>
    </xf>
    <xf numFmtId="0" fontId="10" fillId="0" borderId="125" xfId="7" applyFont="1" applyBorder="1" applyAlignment="1">
      <alignment horizontal="center" vertical="center"/>
    </xf>
    <xf numFmtId="0" fontId="6" fillId="3" borderId="126" xfId="7" applyFont="1" applyFill="1" applyBorder="1" applyAlignment="1">
      <alignment horizontal="left" vertical="center"/>
    </xf>
    <xf numFmtId="44" fontId="6" fillId="3" borderId="85" xfId="8" applyFont="1" applyFill="1" applyBorder="1" applyAlignment="1">
      <alignment horizontal="left" vertical="center"/>
    </xf>
    <xf numFmtId="44" fontId="6" fillId="3" borderId="86" xfId="8" applyFont="1" applyFill="1" applyBorder="1" applyAlignment="1">
      <alignment horizontal="center" vertical="center"/>
    </xf>
    <xf numFmtId="10" fontId="6" fillId="3" borderId="86" xfId="7" applyNumberFormat="1" applyFont="1" applyFill="1" applyBorder="1" applyAlignment="1">
      <alignment horizontal="center" vertical="center"/>
    </xf>
    <xf numFmtId="44" fontId="6" fillId="3" borderId="122" xfId="8" applyFont="1" applyFill="1" applyBorder="1" applyAlignment="1">
      <alignment horizontal="center" vertical="center"/>
    </xf>
    <xf numFmtId="164" fontId="10" fillId="0" borderId="45" xfId="7" applyNumberFormat="1" applyFont="1" applyAlignment="1">
      <alignment horizontal="center" vertical="center"/>
    </xf>
    <xf numFmtId="0" fontId="10" fillId="0" borderId="45" xfId="7" applyFont="1" applyAlignment="1">
      <alignment horizontal="center" vertical="center"/>
    </xf>
    <xf numFmtId="166" fontId="10" fillId="0" borderId="45" xfId="7" applyNumberFormat="1" applyFont="1" applyAlignment="1">
      <alignment vertical="center"/>
    </xf>
    <xf numFmtId="4" fontId="7" fillId="0" borderId="45" xfId="7" applyNumberFormat="1" applyFont="1"/>
    <xf numFmtId="0" fontId="5" fillId="0" borderId="45" xfId="7" applyFont="1" applyAlignment="1">
      <alignment vertical="center"/>
    </xf>
    <xf numFmtId="164" fontId="10" fillId="0" borderId="45" xfId="7" applyNumberFormat="1" applyFont="1" applyAlignment="1">
      <alignment vertical="center"/>
    </xf>
    <xf numFmtId="164" fontId="5" fillId="0" borderId="45" xfId="7" applyNumberFormat="1" applyFont="1" applyAlignment="1">
      <alignment vertical="center"/>
    </xf>
    <xf numFmtId="44" fontId="25" fillId="6" borderId="77" xfId="8" applyFont="1" applyFill="1" applyBorder="1" applyAlignment="1">
      <alignment horizontal="center" vertical="center"/>
    </xf>
    <xf numFmtId="9" fontId="25" fillId="6" borderId="77" xfId="7" applyNumberFormat="1" applyFont="1" applyFill="1" applyBorder="1" applyAlignment="1">
      <alignment horizontal="center" vertical="center"/>
    </xf>
    <xf numFmtId="44" fontId="10" fillId="0" borderId="45" xfId="7" applyNumberFormat="1" applyFont="1" applyAlignment="1">
      <alignment vertical="center"/>
    </xf>
    <xf numFmtId="44" fontId="10" fillId="0" borderId="45" xfId="7" applyNumberFormat="1" applyFont="1" applyAlignment="1">
      <alignment horizontal="center" vertical="center"/>
    </xf>
    <xf numFmtId="165" fontId="9" fillId="0" borderId="45" xfId="7" applyNumberFormat="1" applyFont="1" applyAlignment="1">
      <alignment horizontal="left"/>
    </xf>
    <xf numFmtId="165" fontId="10" fillId="0" borderId="45" xfId="7" applyNumberFormat="1" applyFont="1" applyAlignment="1">
      <alignment vertical="center"/>
    </xf>
    <xf numFmtId="4" fontId="10" fillId="0" borderId="45" xfId="7" applyNumberFormat="1" applyFont="1" applyAlignment="1">
      <alignment vertical="center"/>
    </xf>
    <xf numFmtId="0" fontId="1" fillId="0" borderId="45" xfId="7" applyAlignment="1">
      <alignment horizontal="center"/>
    </xf>
    <xf numFmtId="0" fontId="10" fillId="3" borderId="2" xfId="3" applyFont="1" applyFill="1" applyBorder="1"/>
    <xf numFmtId="0" fontId="10" fillId="3" borderId="4" xfId="3" applyFont="1" applyFill="1" applyBorder="1"/>
    <xf numFmtId="0" fontId="24" fillId="3" borderId="44" xfId="3" applyFont="1" applyFill="1" applyBorder="1" applyAlignment="1">
      <alignment vertical="center" wrapText="1"/>
    </xf>
    <xf numFmtId="0" fontId="24" fillId="3" borderId="45" xfId="3" applyFont="1" applyFill="1" applyAlignment="1">
      <alignment horizontal="center" vertical="center" wrapText="1"/>
    </xf>
    <xf numFmtId="164" fontId="24" fillId="3" borderId="45" xfId="3" applyNumberFormat="1" applyFont="1" applyFill="1" applyAlignment="1">
      <alignment horizontal="center" vertical="center" wrapText="1"/>
    </xf>
    <xf numFmtId="0" fontId="10" fillId="3" borderId="46" xfId="3" applyFont="1" applyFill="1" applyBorder="1"/>
    <xf numFmtId="0" fontId="5" fillId="3" borderId="46" xfId="3" applyFont="1" applyFill="1" applyBorder="1"/>
    <xf numFmtId="0" fontId="5" fillId="3" borderId="20" xfId="3" applyFont="1" applyFill="1" applyBorder="1"/>
    <xf numFmtId="0" fontId="5" fillId="3" borderId="54" xfId="3" applyFont="1" applyFill="1" applyBorder="1" applyAlignment="1">
      <alignment horizontal="center"/>
    </xf>
    <xf numFmtId="164" fontId="5" fillId="3" borderId="54" xfId="3" applyNumberFormat="1" applyFont="1" applyFill="1" applyBorder="1" applyAlignment="1">
      <alignment horizontal="center"/>
    </xf>
    <xf numFmtId="0" fontId="5" fillId="3" borderId="21" xfId="3" applyFont="1" applyFill="1" applyBorder="1"/>
    <xf numFmtId="0" fontId="5" fillId="3" borderId="44" xfId="3" applyFont="1" applyFill="1" applyBorder="1"/>
    <xf numFmtId="0" fontId="5" fillId="3" borderId="45" xfId="3" applyFont="1" applyFill="1" applyAlignment="1">
      <alignment horizontal="center"/>
    </xf>
    <xf numFmtId="164" fontId="5" fillId="3" borderId="45" xfId="3" applyNumberFormat="1" applyFont="1" applyFill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1" fillId="6" borderId="8" xfId="3" applyFont="1" applyFill="1" applyBorder="1" applyAlignment="1">
      <alignment horizontal="center" vertical="center" wrapText="1"/>
    </xf>
    <xf numFmtId="164" fontId="11" fillId="6" borderId="9" xfId="3" applyNumberFormat="1" applyFont="1" applyFill="1" applyBorder="1" applyAlignment="1">
      <alignment horizontal="center" vertical="center" wrapText="1"/>
    </xf>
    <xf numFmtId="0" fontId="5" fillId="3" borderId="10" xfId="3" applyFont="1" applyFill="1" applyBorder="1" applyAlignment="1">
      <alignment vertical="center" wrapText="1"/>
    </xf>
    <xf numFmtId="164" fontId="5" fillId="3" borderId="11" xfId="3" applyNumberFormat="1" applyFont="1" applyFill="1" applyBorder="1" applyAlignment="1">
      <alignment horizontal="center" vertical="center" wrapText="1"/>
    </xf>
    <xf numFmtId="164" fontId="5" fillId="3" borderId="12" xfId="3" applyNumberFormat="1" applyFont="1" applyFill="1" applyBorder="1" applyAlignment="1">
      <alignment horizontal="center" vertical="center" wrapText="1"/>
    </xf>
    <xf numFmtId="0" fontId="5" fillId="3" borderId="25" xfId="3" applyFont="1" applyFill="1" applyBorder="1" applyAlignment="1">
      <alignment vertical="center" wrapText="1"/>
    </xf>
    <xf numFmtId="164" fontId="5" fillId="3" borderId="26" xfId="3" applyNumberFormat="1" applyFont="1" applyFill="1" applyBorder="1" applyAlignment="1">
      <alignment horizontal="center" vertical="center" wrapText="1"/>
    </xf>
    <xf numFmtId="164" fontId="5" fillId="8" borderId="27" xfId="3" applyNumberFormat="1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vertical="center" wrapText="1"/>
    </xf>
    <xf numFmtId="164" fontId="4" fillId="3" borderId="11" xfId="3" applyNumberFormat="1" applyFont="1" applyFill="1" applyBorder="1" applyAlignment="1">
      <alignment horizontal="center" vertical="center" wrapText="1"/>
    </xf>
    <xf numFmtId="164" fontId="4" fillId="3" borderId="12" xfId="3" applyNumberFormat="1" applyFont="1" applyFill="1" applyBorder="1" applyAlignment="1">
      <alignment horizontal="center" vertical="center" wrapText="1"/>
    </xf>
    <xf numFmtId="0" fontId="4" fillId="3" borderId="25" xfId="3" applyFont="1" applyFill="1" applyBorder="1" applyAlignment="1">
      <alignment vertical="center" wrapText="1"/>
    </xf>
    <xf numFmtId="164" fontId="4" fillId="3" borderId="26" xfId="3" applyNumberFormat="1" applyFont="1" applyFill="1" applyBorder="1" applyAlignment="1">
      <alignment horizontal="center" vertical="center" wrapText="1"/>
    </xf>
    <xf numFmtId="164" fontId="4" fillId="3" borderId="27" xfId="3" applyNumberFormat="1" applyFont="1" applyFill="1" applyBorder="1" applyAlignment="1">
      <alignment horizontal="center" vertical="center" wrapText="1"/>
    </xf>
    <xf numFmtId="0" fontId="5" fillId="3" borderId="72" xfId="3" applyFont="1" applyFill="1" applyBorder="1" applyAlignment="1">
      <alignment vertical="center" wrapText="1"/>
    </xf>
    <xf numFmtId="164" fontId="5" fillId="3" borderId="73" xfId="3" applyNumberFormat="1" applyFont="1" applyFill="1" applyBorder="1" applyAlignment="1">
      <alignment horizontal="center" vertical="center" wrapText="1"/>
    </xf>
    <xf numFmtId="164" fontId="5" fillId="3" borderId="74" xfId="3" applyNumberFormat="1" applyFont="1" applyFill="1" applyBorder="1" applyAlignment="1">
      <alignment horizontal="center" vertical="center" wrapText="1"/>
    </xf>
    <xf numFmtId="0" fontId="5" fillId="3" borderId="45" xfId="3" applyFont="1" applyFill="1"/>
    <xf numFmtId="0" fontId="5" fillId="3" borderId="13" xfId="3" applyFont="1" applyFill="1" applyBorder="1" applyAlignment="1">
      <alignment vertical="center" wrapText="1"/>
    </xf>
    <xf numFmtId="164" fontId="5" fillId="3" borderId="15" xfId="3" applyNumberFormat="1" applyFont="1" applyFill="1" applyBorder="1" applyAlignment="1">
      <alignment horizontal="center" vertical="center" wrapText="1"/>
    </xf>
    <xf numFmtId="165" fontId="5" fillId="3" borderId="74" xfId="3" applyNumberFormat="1" applyFont="1" applyFill="1" applyBorder="1" applyAlignment="1">
      <alignment horizontal="center" vertical="center" wrapText="1"/>
    </xf>
    <xf numFmtId="0" fontId="10" fillId="3" borderId="44" xfId="3" applyFont="1" applyFill="1" applyBorder="1"/>
    <xf numFmtId="0" fontId="5" fillId="3" borderId="33" xfId="3" applyFont="1" applyFill="1" applyBorder="1" applyAlignment="1">
      <alignment vertical="center" wrapText="1"/>
    </xf>
    <xf numFmtId="164" fontId="5" fillId="3" borderId="34" xfId="3" applyNumberFormat="1" applyFont="1" applyFill="1" applyBorder="1" applyAlignment="1">
      <alignment horizontal="center" vertical="center" wrapText="1"/>
    </xf>
    <xf numFmtId="164" fontId="5" fillId="3" borderId="35" xfId="3" applyNumberFormat="1" applyFont="1" applyFill="1" applyBorder="1" applyAlignment="1">
      <alignment horizontal="center" vertical="center" wrapText="1"/>
    </xf>
    <xf numFmtId="0" fontId="10" fillId="3" borderId="45" xfId="3" applyFont="1" applyFill="1"/>
    <xf numFmtId="0" fontId="11" fillId="6" borderId="9" xfId="3" applyFont="1" applyFill="1" applyBorder="1" applyAlignment="1">
      <alignment horizontal="center" vertical="center" wrapText="1"/>
    </xf>
    <xf numFmtId="0" fontId="5" fillId="3" borderId="16" xfId="3" applyFont="1" applyFill="1" applyBorder="1" applyAlignment="1">
      <alignment vertical="center" wrapText="1"/>
    </xf>
    <xf numFmtId="164" fontId="11" fillId="9" borderId="40" xfId="3" applyNumberFormat="1" applyFont="1" applyFill="1" applyBorder="1" applyAlignment="1">
      <alignment horizontal="center" vertical="center" wrapText="1"/>
    </xf>
    <xf numFmtId="0" fontId="5" fillId="3" borderId="41" xfId="3" applyFont="1" applyFill="1" applyBorder="1" applyAlignment="1">
      <alignment vertical="center" wrapText="1"/>
    </xf>
    <xf numFmtId="164" fontId="5" fillId="3" borderId="42" xfId="3" applyNumberFormat="1" applyFont="1" applyFill="1" applyBorder="1" applyAlignment="1">
      <alignment horizontal="center" vertical="center" wrapText="1"/>
    </xf>
    <xf numFmtId="164" fontId="5" fillId="3" borderId="43" xfId="3" applyNumberFormat="1" applyFont="1" applyFill="1" applyBorder="1" applyAlignment="1">
      <alignment horizontal="center" vertical="center" wrapText="1"/>
    </xf>
    <xf numFmtId="0" fontId="10" fillId="0" borderId="44" xfId="3" applyFont="1" applyBorder="1"/>
    <xf numFmtId="0" fontId="10" fillId="0" borderId="46" xfId="3" applyFont="1" applyBorder="1"/>
    <xf numFmtId="0" fontId="10" fillId="3" borderId="17" xfId="3" applyFont="1" applyFill="1" applyBorder="1"/>
    <xf numFmtId="0" fontId="10" fillId="3" borderId="18" xfId="3" applyFont="1" applyFill="1" applyBorder="1"/>
    <xf numFmtId="0" fontId="10" fillId="3" borderId="19" xfId="3" applyFont="1" applyFill="1" applyBorder="1"/>
    <xf numFmtId="0" fontId="19" fillId="0" borderId="45" xfId="3" applyFont="1"/>
    <xf numFmtId="164" fontId="5" fillId="3" borderId="14" xfId="3" applyNumberFormat="1" applyFont="1" applyFill="1" applyBorder="1" applyAlignment="1">
      <alignment horizontal="center" vertical="center" wrapText="1"/>
    </xf>
    <xf numFmtId="164" fontId="5" fillId="3" borderId="15" xfId="3" applyNumberFormat="1" applyFont="1" applyFill="1" applyBorder="1" applyAlignment="1">
      <alignment vertical="center" wrapText="1"/>
    </xf>
    <xf numFmtId="0" fontId="11" fillId="7" borderId="22" xfId="3" applyFont="1" applyFill="1" applyBorder="1" applyAlignment="1">
      <alignment vertical="center" wrapText="1"/>
    </xf>
    <xf numFmtId="164" fontId="11" fillId="7" borderId="23" xfId="3" applyNumberFormat="1" applyFont="1" applyFill="1" applyBorder="1" applyAlignment="1">
      <alignment horizontal="center" vertical="center" wrapText="1"/>
    </xf>
    <xf numFmtId="164" fontId="11" fillId="7" borderId="24" xfId="3" applyNumberFormat="1" applyFont="1" applyFill="1" applyBorder="1" applyAlignment="1">
      <alignment vertical="center" wrapText="1"/>
    </xf>
    <xf numFmtId="0" fontId="5" fillId="3" borderId="44" xfId="0" applyFont="1" applyFill="1" applyBorder="1"/>
    <xf numFmtId="0" fontId="11" fillId="7" borderId="22" xfId="0" applyFont="1" applyFill="1" applyBorder="1" applyAlignment="1">
      <alignment vertical="center" wrapText="1"/>
    </xf>
    <xf numFmtId="164" fontId="11" fillId="7" borderId="23" xfId="0" applyNumberFormat="1" applyFont="1" applyFill="1" applyBorder="1" applyAlignment="1">
      <alignment horizontal="center" vertical="center" wrapText="1"/>
    </xf>
    <xf numFmtId="164" fontId="11" fillId="7" borderId="24" xfId="0" applyNumberFormat="1" applyFont="1" applyFill="1" applyBorder="1" applyAlignment="1">
      <alignment vertical="center" wrapText="1"/>
    </xf>
    <xf numFmtId="0" fontId="5" fillId="3" borderId="46" xfId="0" applyFont="1" applyFill="1" applyBorder="1"/>
    <xf numFmtId="164" fontId="5" fillId="3" borderId="12" xfId="3" applyNumberFormat="1" applyFont="1" applyFill="1" applyBorder="1" applyAlignment="1">
      <alignment vertical="center" wrapText="1"/>
    </xf>
    <xf numFmtId="43" fontId="5" fillId="3" borderId="45" xfId="3" applyNumberFormat="1" applyFont="1" applyFill="1" applyAlignment="1">
      <alignment horizontal="center"/>
    </xf>
    <xf numFmtId="164" fontId="5" fillId="3" borderId="27" xfId="3" applyNumberFormat="1" applyFont="1" applyFill="1" applyBorder="1" applyAlignment="1">
      <alignment vertical="center" wrapText="1"/>
    </xf>
    <xf numFmtId="0" fontId="11" fillId="7" borderId="3" xfId="3" applyFont="1" applyFill="1" applyBorder="1" applyAlignment="1">
      <alignment vertical="center" wrapText="1"/>
    </xf>
    <xf numFmtId="164" fontId="11" fillId="7" borderId="28" xfId="3" applyNumberFormat="1" applyFont="1" applyFill="1" applyBorder="1" applyAlignment="1">
      <alignment horizontal="center" vertical="center" wrapText="1"/>
    </xf>
    <xf numFmtId="164" fontId="11" fillId="7" borderId="29" xfId="3" applyNumberFormat="1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164" fontId="11" fillId="7" borderId="28" xfId="0" applyNumberFormat="1" applyFont="1" applyFill="1" applyBorder="1" applyAlignment="1">
      <alignment horizontal="center" vertical="center" wrapText="1"/>
    </xf>
    <xf numFmtId="164" fontId="11" fillId="7" borderId="29" xfId="0" applyNumberFormat="1" applyFont="1" applyFill="1" applyBorder="1" applyAlignment="1">
      <alignment vertical="center" wrapText="1"/>
    </xf>
    <xf numFmtId="0" fontId="11" fillId="6" borderId="30" xfId="3" applyFont="1" applyFill="1" applyBorder="1" applyAlignment="1">
      <alignment horizontal="center" vertical="center"/>
    </xf>
    <xf numFmtId="0" fontId="11" fillId="6" borderId="31" xfId="3" applyFont="1" applyFill="1" applyBorder="1" applyAlignment="1">
      <alignment horizontal="center" vertical="center" wrapText="1"/>
    </xf>
    <xf numFmtId="164" fontId="11" fillId="6" borderId="32" xfId="3" applyNumberFormat="1" applyFont="1" applyFill="1" applyBorder="1" applyAlignment="1">
      <alignment horizontal="center" vertical="center" wrapText="1"/>
    </xf>
    <xf numFmtId="164" fontId="10" fillId="3" borderId="15" xfId="0" applyNumberFormat="1" applyFont="1" applyFill="1" applyBorder="1" applyAlignment="1">
      <alignment vertical="center" wrapText="1"/>
    </xf>
    <xf numFmtId="0" fontId="11" fillId="7" borderId="25" xfId="3" applyFont="1" applyFill="1" applyBorder="1" applyAlignment="1">
      <alignment vertical="center" wrapText="1"/>
    </xf>
    <xf numFmtId="164" fontId="11" fillId="7" borderId="26" xfId="3" applyNumberFormat="1" applyFont="1" applyFill="1" applyBorder="1" applyAlignment="1">
      <alignment horizontal="center" vertical="center" wrapText="1"/>
    </xf>
    <xf numFmtId="164" fontId="11" fillId="7" borderId="27" xfId="3" applyNumberFormat="1" applyFont="1" applyFill="1" applyBorder="1" applyAlignment="1">
      <alignment vertical="center" wrapText="1"/>
    </xf>
    <xf numFmtId="164" fontId="5" fillId="3" borderId="12" xfId="0" applyNumberFormat="1" applyFont="1" applyFill="1" applyBorder="1" applyAlignment="1">
      <alignment vertical="center" wrapText="1"/>
    </xf>
    <xf numFmtId="0" fontId="5" fillId="3" borderId="17" xfId="3" applyFont="1" applyFill="1" applyBorder="1"/>
    <xf numFmtId="0" fontId="5" fillId="3" borderId="18" xfId="3" applyFont="1" applyFill="1" applyBorder="1" applyAlignment="1">
      <alignment horizontal="center"/>
    </xf>
    <xf numFmtId="164" fontId="5" fillId="3" borderId="18" xfId="3" applyNumberFormat="1" applyFont="1" applyFill="1" applyBorder="1" applyAlignment="1">
      <alignment horizontal="center"/>
    </xf>
    <xf numFmtId="0" fontId="5" fillId="3" borderId="19" xfId="3" applyFont="1" applyFill="1" applyBorder="1"/>
    <xf numFmtId="0" fontId="10" fillId="3" borderId="45" xfId="3" applyFont="1" applyFill="1" applyAlignment="1">
      <alignment horizontal="center"/>
    </xf>
    <xf numFmtId="164" fontId="10" fillId="3" borderId="45" xfId="3" applyNumberFormat="1" applyFont="1" applyFill="1" applyAlignment="1">
      <alignment horizontal="center"/>
    </xf>
    <xf numFmtId="0" fontId="10" fillId="0" borderId="45" xfId="3" applyFont="1" applyAlignment="1">
      <alignment horizontal="center"/>
    </xf>
    <xf numFmtId="164" fontId="10" fillId="0" borderId="45" xfId="3" applyNumberFormat="1" applyFont="1" applyAlignment="1">
      <alignment horizontal="center"/>
    </xf>
    <xf numFmtId="0" fontId="10" fillId="0" borderId="45" xfId="3" applyFont="1" applyAlignment="1">
      <alignment horizontal="center" vertical="center"/>
    </xf>
    <xf numFmtId="10" fontId="10" fillId="0" borderId="45" xfId="4" applyNumberFormat="1" applyFont="1" applyAlignment="1">
      <alignment vertical="center"/>
    </xf>
    <xf numFmtId="49" fontId="10" fillId="0" borderId="67" xfId="0" applyNumberFormat="1" applyFont="1" applyBorder="1" applyAlignment="1">
      <alignment horizontal="left" vertical="center" wrapText="1"/>
    </xf>
    <xf numFmtId="49" fontId="10" fillId="0" borderId="45" xfId="3" applyNumberFormat="1" applyFont="1" applyAlignment="1">
      <alignment horizontal="left"/>
    </xf>
    <xf numFmtId="44" fontId="19" fillId="0" borderId="0" xfId="6" applyFont="1"/>
    <xf numFmtId="0" fontId="19" fillId="0" borderId="0" xfId="0" applyFont="1" applyAlignment="1">
      <alignment horizontal="left"/>
    </xf>
    <xf numFmtId="0" fontId="11" fillId="4" borderId="114" xfId="0" applyFont="1" applyFill="1" applyBorder="1" applyAlignment="1">
      <alignment horizontal="center" vertical="center" wrapText="1"/>
    </xf>
    <xf numFmtId="0" fontId="17" fillId="0" borderId="6" xfId="0" applyFont="1" applyBorder="1"/>
    <xf numFmtId="0" fontId="17" fillId="0" borderId="115" xfId="0" applyFont="1" applyBorder="1"/>
    <xf numFmtId="0" fontId="11" fillId="5" borderId="114" xfId="0" applyFont="1" applyFill="1" applyBorder="1" applyAlignment="1">
      <alignment horizontal="center" vertical="center" wrapText="1"/>
    </xf>
    <xf numFmtId="0" fontId="11" fillId="9" borderId="37" xfId="3" applyFont="1" applyFill="1" applyBorder="1" applyAlignment="1">
      <alignment horizontal="center" vertical="center" wrapText="1"/>
    </xf>
    <xf numFmtId="0" fontId="17" fillId="0" borderId="38" xfId="3" applyFont="1" applyBorder="1"/>
    <xf numFmtId="0" fontId="17" fillId="0" borderId="39" xfId="3" applyFont="1" applyBorder="1"/>
    <xf numFmtId="0" fontId="11" fillId="4" borderId="5" xfId="3" applyFont="1" applyFill="1" applyBorder="1" applyAlignment="1">
      <alignment horizontal="center" vertical="center" wrapText="1"/>
    </xf>
    <xf numFmtId="0" fontId="17" fillId="0" borderId="6" xfId="3" applyFont="1" applyBorder="1"/>
    <xf numFmtId="0" fontId="17" fillId="0" borderId="7" xfId="3" applyFont="1" applyBorder="1"/>
    <xf numFmtId="0" fontId="11" fillId="5" borderId="5" xfId="3" applyFont="1" applyFill="1" applyBorder="1" applyAlignment="1">
      <alignment horizontal="center" vertical="center" wrapText="1"/>
    </xf>
    <xf numFmtId="0" fontId="12" fillId="0" borderId="80" xfId="3" applyFont="1" applyBorder="1" applyAlignment="1">
      <alignment horizontal="left" vertical="center"/>
    </xf>
    <xf numFmtId="0" fontId="12" fillId="0" borderId="81" xfId="3" applyFont="1" applyBorder="1" applyAlignment="1">
      <alignment horizontal="left" vertical="center"/>
    </xf>
    <xf numFmtId="0" fontId="12" fillId="0" borderId="82" xfId="3" applyFont="1" applyBorder="1" applyAlignment="1">
      <alignment horizontal="left" vertical="center"/>
    </xf>
    <xf numFmtId="0" fontId="4" fillId="0" borderId="77" xfId="3" applyFont="1" applyBorder="1" applyAlignment="1">
      <alignment horizontal="center" vertical="center" wrapText="1"/>
    </xf>
    <xf numFmtId="0" fontId="13" fillId="11" borderId="68" xfId="3" applyFont="1" applyFill="1" applyBorder="1" applyAlignment="1">
      <alignment horizontal="right" vertical="center" wrapText="1"/>
    </xf>
    <xf numFmtId="0" fontId="13" fillId="11" borderId="69" xfId="3" applyFont="1" applyFill="1" applyBorder="1" applyAlignment="1">
      <alignment horizontal="right" vertical="center" wrapText="1"/>
    </xf>
    <xf numFmtId="0" fontId="13" fillId="11" borderId="70" xfId="3" applyFont="1" applyFill="1" applyBorder="1" applyAlignment="1">
      <alignment horizontal="right" vertical="center" wrapText="1"/>
    </xf>
    <xf numFmtId="0" fontId="11" fillId="10" borderId="44" xfId="3" applyFont="1" applyFill="1" applyBorder="1" applyAlignment="1">
      <alignment horizontal="center" vertical="center" wrapText="1"/>
    </xf>
    <xf numFmtId="0" fontId="11" fillId="10" borderId="45" xfId="3" applyFont="1" applyFill="1" applyAlignment="1">
      <alignment horizontal="center" vertical="center" wrapText="1"/>
    </xf>
    <xf numFmtId="14" fontId="12" fillId="0" borderId="80" xfId="3" applyNumberFormat="1" applyFont="1" applyBorder="1" applyAlignment="1">
      <alignment horizontal="left" vertical="center"/>
    </xf>
    <xf numFmtId="14" fontId="12" fillId="0" borderId="81" xfId="3" applyNumberFormat="1" applyFont="1" applyBorder="1" applyAlignment="1">
      <alignment horizontal="left" vertical="center"/>
    </xf>
    <xf numFmtId="14" fontId="12" fillId="0" borderId="82" xfId="3" applyNumberFormat="1" applyFont="1" applyBorder="1" applyAlignment="1">
      <alignment horizontal="left" vertical="center"/>
    </xf>
    <xf numFmtId="0" fontId="11" fillId="6" borderId="37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center" vertical="center" wrapText="1"/>
    </xf>
    <xf numFmtId="0" fontId="11" fillId="6" borderId="62" xfId="0" applyFont="1" applyFill="1" applyBorder="1" applyAlignment="1">
      <alignment horizontal="center" vertical="center" wrapText="1"/>
    </xf>
    <xf numFmtId="0" fontId="11" fillId="10" borderId="37" xfId="3" applyFont="1" applyFill="1" applyBorder="1" applyAlignment="1">
      <alignment horizontal="center" vertical="center" wrapText="1"/>
    </xf>
    <xf numFmtId="0" fontId="17" fillId="0" borderId="62" xfId="3" applyFont="1" applyBorder="1"/>
    <xf numFmtId="0" fontId="4" fillId="0" borderId="48" xfId="3" applyFont="1" applyBorder="1" applyAlignment="1">
      <alignment horizontal="left" vertical="center" wrapText="1"/>
    </xf>
    <xf numFmtId="0" fontId="17" fillId="0" borderId="49" xfId="3" applyFont="1" applyBorder="1"/>
    <xf numFmtId="0" fontId="17" fillId="0" borderId="50" xfId="3" applyFont="1" applyBorder="1"/>
    <xf numFmtId="0" fontId="17" fillId="0" borderId="51" xfId="3" applyFont="1" applyBorder="1"/>
    <xf numFmtId="0" fontId="10" fillId="0" borderId="45" xfId="3" applyFont="1"/>
    <xf numFmtId="0" fontId="17" fillId="0" borderId="52" xfId="3" applyFont="1" applyBorder="1"/>
    <xf numFmtId="0" fontId="17" fillId="0" borderId="53" xfId="3" applyFont="1" applyBorder="1"/>
    <xf numFmtId="0" fontId="17" fillId="0" borderId="54" xfId="3" applyFont="1" applyBorder="1"/>
    <xf numFmtId="0" fontId="17" fillId="0" borderId="55" xfId="3" applyFont="1" applyBorder="1"/>
    <xf numFmtId="0" fontId="12" fillId="0" borderId="56" xfId="3" applyFont="1" applyBorder="1" applyAlignment="1">
      <alignment horizontal="left" vertical="center"/>
    </xf>
    <xf numFmtId="0" fontId="17" fillId="0" borderId="57" xfId="3" applyFont="1" applyBorder="1"/>
    <xf numFmtId="0" fontId="17" fillId="0" borderId="58" xfId="3" applyFont="1" applyBorder="1"/>
    <xf numFmtId="0" fontId="12" fillId="0" borderId="47" xfId="3" applyFont="1" applyBorder="1" applyAlignment="1">
      <alignment horizontal="left" vertical="center"/>
    </xf>
    <xf numFmtId="14" fontId="12" fillId="0" borderId="47" xfId="3" applyNumberFormat="1" applyFont="1" applyBorder="1" applyAlignment="1">
      <alignment horizontal="left" vertical="center"/>
    </xf>
    <xf numFmtId="0" fontId="12" fillId="0" borderId="59" xfId="3" applyFont="1" applyBorder="1" applyAlignment="1">
      <alignment horizontal="left" vertical="center"/>
    </xf>
    <xf numFmtId="0" fontId="17" fillId="0" borderId="60" xfId="3" applyFont="1" applyBorder="1"/>
    <xf numFmtId="0" fontId="17" fillId="0" borderId="61" xfId="3" applyFont="1" applyBorder="1"/>
  </cellXfs>
  <cellStyles count="9">
    <cellStyle name="Moeda" xfId="6" builtinId="4"/>
    <cellStyle name="Moeda 2" xfId="8" xr:uid="{72F7C4B0-FA80-4EB7-BFE2-9CBD18285D97}"/>
    <cellStyle name="Normal" xfId="0" builtinId="0"/>
    <cellStyle name="Normal 2" xfId="3" xr:uid="{A73283C8-6087-4EC1-94F8-EB69725DB896}"/>
    <cellStyle name="Normal 3" xfId="5" xr:uid="{EC44FB43-CA6D-4158-8982-CE74A5318A99}"/>
    <cellStyle name="Normal 3 2" xfId="7" xr:uid="{6F5C3568-53CE-45B8-880E-7869D4DD9A24}"/>
    <cellStyle name="Normal 4" xfId="2" xr:uid="{6815760E-718D-4D24-8155-E925FC93E5CB}"/>
    <cellStyle name="Normal 6" xfId="1" xr:uid="{7AE2F601-46E9-4822-BE52-FA344EC95F30}"/>
    <cellStyle name="Porcentagem 2" xfId="4" xr:uid="{2D464610-2983-405E-8D8C-2E574C610C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110490</xdr:colOff>
      <xdr:row>0</xdr:row>
      <xdr:rowOff>173355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4350" y="173355"/>
          <a:ext cx="1428750" cy="238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A3D60FDB-2A2C-4113-B88D-242E6F897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83755" y="8445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4340A343-05F5-4E60-BA2C-6412B4E4EE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66505" y="313055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2251710</xdr:colOff>
      <xdr:row>0</xdr:row>
      <xdr:rowOff>40640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19EC5939-CB6D-40AE-A48C-602250FC8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72850" y="40640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2136737</xdr:colOff>
      <xdr:row>0</xdr:row>
      <xdr:rowOff>24317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884090C7-A63B-49E3-B973-CBA71A4D44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1231" y="24317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BD%20Empreendimentos\2025%20-%20Jardim%20Campeche\04.%20Custo\04.1%20Custo%20-%20Param&#233;trico\02%20-%20Diretos\CTN-BD-JARDIM%20CAMPECHE-Gerenciamento%20Executivo.xlsx" TargetMode="External"/><Relationship Id="rId2" Type="http://schemas.microsoft.com/office/2019/04/relationships/externalLinkLongPath" Target="02%20-%20Diretos/CTN-BD-JARDIM%20CAMPECHE-Gerenciamento%20Executivo.xlsx?112F65C2" TargetMode="External"/><Relationship Id="rId1" Type="http://schemas.openxmlformats.org/officeDocument/2006/relationships/externalLinkPath" Target="file:///\\112F65C2\CTN-BD-JARDIM%20CAMPECHE-Gerenciamento%20Executiv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BD%20Empreendimentos\2025%20-%20Jardim%20Campeche\04.%20Custo\04.1%20Custo%20-%20Param&#233;trico\CTN-BD-JARDIM%20CAMPECHE-%20Apresenta&#231;&#227;o%20Or&#231;amento%20-%20R00.xlsx" TargetMode="External"/><Relationship Id="rId2" Type="http://schemas.microsoft.com/office/2019/04/relationships/externalLinkLongPath" Target="CTN-BD-JARDIM%20CAMPECHE-%20Apresenta&#231;&#227;o%20Or&#231;amento%20-%20R00.xlsx?1EB36643" TargetMode="External"/><Relationship Id="rId1" Type="http://schemas.openxmlformats.org/officeDocument/2006/relationships/externalLinkPath" Target="file:///\\1EB36643\CTN-BD-JARDIM%20CAMPECHE-%20Apresenta&#231;&#227;o%20Or&#231;amento%20-%20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rupo%20EIS/04.%20Custo/04.1%20Custo%20-%20Param&#233;trico/R02/CTN-EIS-JBL-%20OR&#199;AMENTO%20PARAMETRICO_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 "/>
      <sheetName val="DADOS_INICIAIS"/>
      <sheetName val="MOVIMENTAÇÃO_DE_TERRA"/>
      <sheetName val="INFRAESTRUTURA"/>
      <sheetName val="CONTENÇÕES"/>
      <sheetName val="SUPRAESTRUTURA"/>
      <sheetName val="ALVENARIA"/>
      <sheetName val="IMPERMEABILIZAÇÃO"/>
      <sheetName val="INSTALAÇÕES"/>
      <sheetName val="SISTEMAS ESPECIAIS"/>
      <sheetName val="ARQUITETURA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1">
          <cell r="L21">
            <v>441757.99199999997</v>
          </cell>
        </row>
      </sheetData>
      <sheetData sheetId="12">
        <row r="12">
          <cell r="M12">
            <v>15458.2</v>
          </cell>
        </row>
      </sheetData>
      <sheetData sheetId="13">
        <row r="24">
          <cell r="L24">
            <v>355261.06400000001</v>
          </cell>
        </row>
      </sheetData>
      <sheetData sheetId="14">
        <row r="15">
          <cell r="L15">
            <v>404818.13799999992</v>
          </cell>
        </row>
      </sheetData>
      <sheetData sheetId="15">
        <row r="21">
          <cell r="L21">
            <v>40200</v>
          </cell>
        </row>
      </sheetData>
      <sheetData sheetId="16"/>
      <sheetData sheetId="17">
        <row r="35">
          <cell r="L35">
            <v>363425.08288</v>
          </cell>
        </row>
      </sheetData>
      <sheetData sheetId="18">
        <row r="9">
          <cell r="F9">
            <v>4428459.7500000009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_PARAMÉTRICO"/>
      <sheetName val="MÃO DE OBRA"/>
      <sheetName val="ANÁLISE_CUSTOS"/>
      <sheetName val="CÁLCULO_MÉDIAS"/>
    </sheetNames>
    <sheetDataSet>
      <sheetData sheetId="0">
        <row r="2">
          <cell r="G2">
            <v>3632.7799999999997</v>
          </cell>
        </row>
        <row r="25">
          <cell r="B25">
            <v>3012.64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RESUMO"/>
      <sheetName val="EPCs"/>
      <sheetName val="CANTEIRO"/>
      <sheetName val="ORÇAMENTO"/>
      <sheetName val="ABC Serviços"/>
      <sheetName val="Custo Empreiteiro"/>
      <sheetName val="Planilha1"/>
      <sheetName val="COMPARATIVOS"/>
      <sheetName val="RESUMO SUPRAEST."/>
    </sheetNames>
    <sheetDataSet>
      <sheetData sheetId="0" refreshError="1"/>
      <sheetData sheetId="1">
        <row r="2">
          <cell r="B2">
            <v>2890686.8134851363</v>
          </cell>
        </row>
        <row r="20">
          <cell r="C20">
            <v>0</v>
          </cell>
        </row>
        <row r="22">
          <cell r="C2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32"/>
  <sheetViews>
    <sheetView showGridLines="0" tabSelected="1" zoomScale="78" zoomScaleNormal="78" workbookViewId="0">
      <selection activeCell="C36" sqref="C36"/>
    </sheetView>
  </sheetViews>
  <sheetFormatPr defaultColWidth="12.5703125" defaultRowHeight="19.5" x14ac:dyDescent="0.55000000000000004"/>
  <cols>
    <col min="1" max="1" width="10.7109375" style="48" customWidth="1"/>
    <col min="2" max="2" width="55.42578125" style="48" bestFit="1" customWidth="1"/>
    <col min="3" max="3" width="22.5703125" style="48" bestFit="1" customWidth="1"/>
    <col min="4" max="5" width="21.42578125" style="48" customWidth="1"/>
    <col min="6" max="6" width="24" style="48" customWidth="1"/>
    <col min="7" max="7" width="9.28515625" style="48" customWidth="1"/>
    <col min="8" max="27" width="8.5703125" style="48" customWidth="1"/>
    <col min="28" max="16384" width="12.5703125" style="48"/>
  </cols>
  <sheetData>
    <row r="1" spans="1:27" x14ac:dyDescent="0.55000000000000004">
      <c r="A1" s="100" t="s">
        <v>0</v>
      </c>
      <c r="B1" s="101" t="s">
        <v>458</v>
      </c>
      <c r="C1" s="102"/>
      <c r="D1" s="103"/>
      <c r="E1" s="103"/>
      <c r="F1" s="112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spans="1:27" x14ac:dyDescent="0.55000000000000004">
      <c r="A2" s="104" t="s">
        <v>1</v>
      </c>
      <c r="B2" s="1" t="s">
        <v>459</v>
      </c>
      <c r="C2" s="105"/>
      <c r="D2" s="106"/>
      <c r="E2" s="106"/>
      <c r="F2" s="114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spans="1:27" x14ac:dyDescent="0.55000000000000004">
      <c r="A3" s="104" t="s">
        <v>2</v>
      </c>
      <c r="B3" s="1" t="s">
        <v>460</v>
      </c>
      <c r="C3" s="105"/>
      <c r="D3" s="106"/>
      <c r="E3" s="106"/>
      <c r="F3" s="114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spans="1:27" x14ac:dyDescent="0.55000000000000004">
      <c r="A4" s="307" t="s">
        <v>3</v>
      </c>
      <c r="B4" s="308"/>
      <c r="C4" s="308"/>
      <c r="D4" s="308"/>
      <c r="E4" s="308"/>
      <c r="F4" s="309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</row>
    <row r="5" spans="1:27" x14ac:dyDescent="0.55000000000000004">
      <c r="A5" s="115"/>
      <c r="B5" s="116"/>
      <c r="C5" s="116"/>
      <c r="D5" s="117"/>
      <c r="E5" s="117"/>
      <c r="F5" s="118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</row>
    <row r="6" spans="1:27" x14ac:dyDescent="0.55000000000000004">
      <c r="A6" s="310" t="s">
        <v>4</v>
      </c>
      <c r="B6" s="308"/>
      <c r="C6" s="308"/>
      <c r="D6" s="308"/>
      <c r="E6" s="308"/>
      <c r="F6" s="309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</row>
    <row r="7" spans="1:27" ht="20.25" thickBot="1" x14ac:dyDescent="0.6">
      <c r="A7" s="107"/>
      <c r="B7" s="108"/>
      <c r="C7" s="109"/>
      <c r="D7" s="99"/>
      <c r="E7" s="99"/>
      <c r="F7" s="119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</row>
    <row r="8" spans="1:27" x14ac:dyDescent="0.55000000000000004">
      <c r="A8" s="120"/>
      <c r="B8" s="121" t="s">
        <v>5</v>
      </c>
      <c r="C8" s="122" t="s">
        <v>6</v>
      </c>
      <c r="D8" s="123" t="s">
        <v>7</v>
      </c>
      <c r="E8" s="124"/>
      <c r="F8" s="119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</row>
    <row r="9" spans="1:27" x14ac:dyDescent="0.55000000000000004">
      <c r="A9" s="120"/>
      <c r="B9" s="125" t="s">
        <v>8</v>
      </c>
      <c r="C9" s="126" t="s">
        <v>9</v>
      </c>
      <c r="D9" s="127">
        <v>866.65</v>
      </c>
      <c r="E9" s="124"/>
      <c r="F9" s="119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</row>
    <row r="10" spans="1:27" x14ac:dyDescent="0.55000000000000004">
      <c r="A10" s="120"/>
      <c r="B10" s="128" t="s">
        <v>10</v>
      </c>
      <c r="C10" s="129" t="s">
        <v>9</v>
      </c>
      <c r="D10" s="130">
        <v>3632.7799999999997</v>
      </c>
      <c r="E10" s="124"/>
      <c r="F10" s="119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</row>
    <row r="11" spans="1:27" x14ac:dyDescent="0.55000000000000004">
      <c r="A11" s="120"/>
      <c r="B11" s="128" t="s">
        <v>11</v>
      </c>
      <c r="C11" s="129" t="s">
        <v>12</v>
      </c>
      <c r="D11" s="130">
        <v>20</v>
      </c>
      <c r="E11" s="124"/>
      <c r="F11" s="119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</row>
    <row r="12" spans="1:27" x14ac:dyDescent="0.55000000000000004">
      <c r="A12" s="120"/>
      <c r="B12" s="128" t="s">
        <v>13</v>
      </c>
      <c r="C12" s="129" t="s">
        <v>14</v>
      </c>
      <c r="D12" s="131">
        <v>36</v>
      </c>
      <c r="E12" s="132"/>
      <c r="F12" s="119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</row>
    <row r="13" spans="1:27" ht="20.25" thickBot="1" x14ac:dyDescent="0.6">
      <c r="A13" s="120"/>
      <c r="B13" s="133" t="s">
        <v>15</v>
      </c>
      <c r="C13" s="134" t="s">
        <v>12</v>
      </c>
      <c r="D13" s="135">
        <v>7</v>
      </c>
      <c r="E13" s="124"/>
      <c r="F13" s="119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</row>
    <row r="14" spans="1:27" ht="20.25" thickBot="1" x14ac:dyDescent="0.6">
      <c r="A14" s="120"/>
      <c r="B14" s="136"/>
      <c r="C14" s="137"/>
      <c r="D14" s="124"/>
      <c r="E14" s="124"/>
      <c r="F14" s="119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</row>
    <row r="15" spans="1:27" x14ac:dyDescent="0.55000000000000004">
      <c r="A15" s="120"/>
      <c r="B15" s="138" t="s">
        <v>475</v>
      </c>
      <c r="C15" s="139" t="s">
        <v>476</v>
      </c>
      <c r="D15" s="139" t="s">
        <v>477</v>
      </c>
      <c r="E15" s="140" t="s">
        <v>478</v>
      </c>
      <c r="F15" s="119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</row>
    <row r="16" spans="1:27" x14ac:dyDescent="0.55000000000000004">
      <c r="A16" s="120"/>
      <c r="B16" s="141" t="s">
        <v>168</v>
      </c>
      <c r="C16" s="142">
        <f>GERENCIAMENTO_EXECUTIVO!F14</f>
        <v>2551044.0835699993</v>
      </c>
      <c r="D16" s="143">
        <f>C16/$C$38</f>
        <v>0.12298688700835819</v>
      </c>
      <c r="E16" s="144">
        <f>C16/$D$10</f>
        <v>702.22916982861591</v>
      </c>
      <c r="F16" s="119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</row>
    <row r="17" spans="1:27" x14ac:dyDescent="0.55000000000000004">
      <c r="A17" s="120"/>
      <c r="B17" s="145" t="s">
        <v>172</v>
      </c>
      <c r="C17" s="146">
        <f>GERENCIAMENTO_EXECUTIVO!F17</f>
        <v>309991.73780400783</v>
      </c>
      <c r="D17" s="147">
        <f>C17/$C$38</f>
        <v>1.4944829482316541E-2</v>
      </c>
      <c r="E17" s="148">
        <f>C17/$D$10</f>
        <v>85.331822407084346</v>
      </c>
      <c r="F17" s="119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</row>
    <row r="18" spans="1:27" x14ac:dyDescent="0.55000000000000004">
      <c r="A18" s="120"/>
      <c r="B18" s="141" t="s">
        <v>425</v>
      </c>
      <c r="C18" s="142">
        <f>GERENCIAMENTO_EXECUTIVO!F43</f>
        <v>692136.72210880008</v>
      </c>
      <c r="D18" s="143">
        <f t="shared" ref="D18:D33" si="0">C18/$C$38</f>
        <v>3.336819672563477E-2</v>
      </c>
      <c r="E18" s="144">
        <f t="shared" ref="E18:E33" si="1">C18/$D$10</f>
        <v>190.52536132350434</v>
      </c>
      <c r="F18" s="119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</row>
    <row r="19" spans="1:27" x14ac:dyDescent="0.55000000000000004">
      <c r="A19" s="120"/>
      <c r="B19" s="145" t="s">
        <v>65</v>
      </c>
      <c r="C19" s="146">
        <f>GERENCIAMENTO_EXECUTIVO!F29</f>
        <v>978970.993038713</v>
      </c>
      <c r="D19" s="147">
        <f t="shared" si="0"/>
        <v>4.7196595182636199E-2</v>
      </c>
      <c r="E19" s="148">
        <f t="shared" si="1"/>
        <v>269.48259818615855</v>
      </c>
      <c r="F19" s="119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</row>
    <row r="20" spans="1:27" x14ac:dyDescent="0.55000000000000004">
      <c r="A20" s="120"/>
      <c r="B20" s="141" t="s">
        <v>197</v>
      </c>
      <c r="C20" s="142">
        <f>GERENCIAMENTO_EXECUTIVO!F52</f>
        <v>2901220.4606840219</v>
      </c>
      <c r="D20" s="143">
        <f t="shared" si="0"/>
        <v>0.13986903451905477</v>
      </c>
      <c r="E20" s="144">
        <f t="shared" si="1"/>
        <v>798.62266932872956</v>
      </c>
      <c r="F20" s="119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</row>
    <row r="21" spans="1:27" x14ac:dyDescent="0.55000000000000004">
      <c r="A21" s="120"/>
      <c r="B21" s="145" t="s">
        <v>206</v>
      </c>
      <c r="C21" s="146">
        <f>GERENCIAMENTO_EXECUTIVO!F62</f>
        <v>529588.49855599995</v>
      </c>
      <c r="D21" s="147">
        <f t="shared" si="0"/>
        <v>2.5531679853091661E-2</v>
      </c>
      <c r="E21" s="148">
        <f t="shared" si="1"/>
        <v>145.78050378938443</v>
      </c>
      <c r="F21" s="119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spans="1:27" x14ac:dyDescent="0.55000000000000004">
      <c r="A22" s="120"/>
      <c r="B22" s="141" t="s">
        <v>479</v>
      </c>
      <c r="C22" s="142">
        <f>GERENCIAMENTO_EXECUTIVO!F72</f>
        <v>1372645.923</v>
      </c>
      <c r="D22" s="143">
        <f t="shared" si="0"/>
        <v>6.6175825859597401E-2</v>
      </c>
      <c r="E22" s="144">
        <f t="shared" si="1"/>
        <v>377.85</v>
      </c>
      <c r="F22" s="119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spans="1:27" x14ac:dyDescent="0.55000000000000004">
      <c r="A23" s="120"/>
      <c r="B23" s="145" t="s">
        <v>480</v>
      </c>
      <c r="C23" s="146">
        <f>GERENCIAMENTO_EXECUTIVO!F92</f>
        <v>697857.6183333334</v>
      </c>
      <c r="D23" s="147">
        <f t="shared" si="0"/>
        <v>3.364400349121939E-2</v>
      </c>
      <c r="E23" s="148">
        <f t="shared" si="1"/>
        <v>192.10015974909945</v>
      </c>
      <c r="F23" s="119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spans="1:27" x14ac:dyDescent="0.55000000000000004">
      <c r="A24" s="120"/>
      <c r="B24" s="141" t="s">
        <v>290</v>
      </c>
      <c r="C24" s="142">
        <f>GERENCIAMENTO_EXECUTIVO!F111</f>
        <v>292179.89388500003</v>
      </c>
      <c r="D24" s="143">
        <f t="shared" si="0"/>
        <v>1.4086113143549118E-2</v>
      </c>
      <c r="E24" s="144">
        <f t="shared" si="1"/>
        <v>80.428733335076728</v>
      </c>
      <c r="F24" s="119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spans="1:27" x14ac:dyDescent="0.55000000000000004">
      <c r="A25" s="120"/>
      <c r="B25" s="145" t="s">
        <v>306</v>
      </c>
      <c r="C25" s="146">
        <f>GERENCIAMENTO_EXECUTIVO!F121</f>
        <v>808212.99430000002</v>
      </c>
      <c r="D25" s="147">
        <f t="shared" si="0"/>
        <v>3.8964281663670226E-2</v>
      </c>
      <c r="E25" s="148">
        <f t="shared" si="1"/>
        <v>222.4778253293621</v>
      </c>
      <c r="F25" s="119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spans="1:27" x14ac:dyDescent="0.55000000000000004">
      <c r="A26" s="120"/>
      <c r="B26" s="141" t="s">
        <v>334</v>
      </c>
      <c r="C26" s="142">
        <f>GERENCIAMENTO_EXECUTIVO!F140</f>
        <v>299766.44000000006</v>
      </c>
      <c r="D26" s="143">
        <f t="shared" si="0"/>
        <v>1.4451863659519615E-2</v>
      </c>
      <c r="E26" s="144">
        <f t="shared" si="1"/>
        <v>82.517091593765684</v>
      </c>
      <c r="F26" s="119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spans="1:27" x14ac:dyDescent="0.55000000000000004">
      <c r="A27" s="120"/>
      <c r="B27" s="145" t="s">
        <v>320</v>
      </c>
      <c r="C27" s="146">
        <f>GERENCIAMENTO_EXECUTIVO!F130</f>
        <v>918707.1322750001</v>
      </c>
      <c r="D27" s="147">
        <f t="shared" si="0"/>
        <v>4.4291249609751344E-2</v>
      </c>
      <c r="E27" s="148">
        <f t="shared" si="1"/>
        <v>252.89368810525278</v>
      </c>
      <c r="F27" s="119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spans="1:27" x14ac:dyDescent="0.55000000000000004">
      <c r="A28" s="120"/>
      <c r="B28" s="141" t="s">
        <v>340</v>
      </c>
      <c r="C28" s="142">
        <f>GERENCIAMENTO_EXECUTIVO!F145</f>
        <v>678657.63479999988</v>
      </c>
      <c r="D28" s="143">
        <f t="shared" si="0"/>
        <v>3.2718364369345852E-2</v>
      </c>
      <c r="E28" s="144">
        <f t="shared" si="1"/>
        <v>186.81495570885104</v>
      </c>
      <c r="F28" s="119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spans="1:27" x14ac:dyDescent="0.55000000000000004">
      <c r="A29" s="120"/>
      <c r="B29" s="145" t="s">
        <v>481</v>
      </c>
      <c r="C29" s="146">
        <f>GERENCIAMENTO_EXECUTIVO!F152</f>
        <v>1379827.368</v>
      </c>
      <c r="D29" s="147">
        <f t="shared" si="0"/>
        <v>6.6522046283799458E-2</v>
      </c>
      <c r="E29" s="148">
        <f t="shared" si="1"/>
        <v>379.82684555629578</v>
      </c>
      <c r="F29" s="119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spans="1:27" x14ac:dyDescent="0.55000000000000004">
      <c r="A30" s="120"/>
      <c r="B30" s="141" t="s">
        <v>482</v>
      </c>
      <c r="C30" s="142">
        <v>0</v>
      </c>
      <c r="D30" s="143">
        <f t="shared" si="0"/>
        <v>0</v>
      </c>
      <c r="E30" s="144">
        <f t="shared" si="1"/>
        <v>0</v>
      </c>
      <c r="F30" s="119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spans="1:27" x14ac:dyDescent="0.55000000000000004">
      <c r="A31" s="120"/>
      <c r="B31" s="145" t="s">
        <v>362</v>
      </c>
      <c r="C31" s="146">
        <f>GERENCIAMENTO_EXECUTIVO!F167</f>
        <v>667706.87538079999</v>
      </c>
      <c r="D31" s="147">
        <f t="shared" si="0"/>
        <v>3.2190423742988618E-2</v>
      </c>
      <c r="E31" s="148">
        <f t="shared" si="1"/>
        <v>183.8005261482391</v>
      </c>
      <c r="F31" s="119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spans="1:27" x14ac:dyDescent="0.55000000000000004">
      <c r="A32" s="120"/>
      <c r="B32" s="141" t="s">
        <v>370</v>
      </c>
      <c r="C32" s="142">
        <f>GERENCIAMENTO_EXECUTIVO!F176</f>
        <v>965572.16800000006</v>
      </c>
      <c r="D32" s="143">
        <f t="shared" si="0"/>
        <v>4.6550632303478556E-2</v>
      </c>
      <c r="E32" s="144">
        <f t="shared" si="1"/>
        <v>265.79428646931552</v>
      </c>
      <c r="F32" s="119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spans="1:27" x14ac:dyDescent="0.55000000000000004">
      <c r="A33" s="120"/>
      <c r="B33" s="145" t="s">
        <v>483</v>
      </c>
      <c r="C33" s="146">
        <f>SUM(C17:C32)*0.02</f>
        <v>269860.84920331347</v>
      </c>
      <c r="D33" s="147">
        <f t="shared" si="0"/>
        <v>1.3010102797793069E-2</v>
      </c>
      <c r="E33" s="148">
        <f t="shared" si="1"/>
        <v>74.284941340602373</v>
      </c>
      <c r="F33" s="119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spans="1:27" x14ac:dyDescent="0.55000000000000004">
      <c r="A34" s="120"/>
      <c r="B34" s="149" t="s">
        <v>484</v>
      </c>
      <c r="C34" s="150">
        <f>SUM(C16:C33)</f>
        <v>16313947.392938988</v>
      </c>
      <c r="D34" s="151">
        <f>SUM(D16:D33)</f>
        <v>0.78650212969580491</v>
      </c>
      <c r="E34" s="152">
        <f>SUM(E16:E33)</f>
        <v>4490.7611781993373</v>
      </c>
      <c r="F34" s="119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</row>
    <row r="35" spans="1:27" x14ac:dyDescent="0.55000000000000004">
      <c r="A35" s="120"/>
      <c r="B35" s="149" t="s">
        <v>485</v>
      </c>
      <c r="C35" s="153">
        <v>3012.64</v>
      </c>
      <c r="D35" s="154">
        <v>46023</v>
      </c>
      <c r="E35" s="155" t="str">
        <f>ROUND(E34/C35,2)&amp;" CUB"</f>
        <v>1,49 CUB</v>
      </c>
      <c r="F35" s="119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</row>
    <row r="36" spans="1:27" x14ac:dyDescent="0.55000000000000004">
      <c r="A36" s="110"/>
      <c r="B36" s="145" t="s">
        <v>553</v>
      </c>
      <c r="C36" s="146">
        <f>[1]COMPLEMENTARES!$F$9</f>
        <v>4428459.7500000009</v>
      </c>
      <c r="D36" s="147">
        <f t="shared" ref="D36" si="2">C36/$C$38</f>
        <v>0.2134978703041952</v>
      </c>
      <c r="E36" s="148">
        <f t="shared" ref="E36" si="3">C36/$D$10</f>
        <v>1219.0277831302753</v>
      </c>
      <c r="F36" s="111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</row>
    <row r="37" spans="1:27" x14ac:dyDescent="0.55000000000000004">
      <c r="A37" s="120"/>
      <c r="B37" s="149" t="s">
        <v>484</v>
      </c>
      <c r="C37" s="150">
        <f>C36</f>
        <v>4428459.7500000009</v>
      </c>
      <c r="D37" s="151">
        <f>D36</f>
        <v>0.2134978703041952</v>
      </c>
      <c r="E37" s="152">
        <f>E36</f>
        <v>1219.0277831302753</v>
      </c>
      <c r="F37" s="119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</row>
    <row r="38" spans="1:27" x14ac:dyDescent="0.55000000000000004">
      <c r="A38" s="120"/>
      <c r="B38" s="149" t="s">
        <v>60</v>
      </c>
      <c r="C38" s="150">
        <f>C37+C34</f>
        <v>20742407.14293899</v>
      </c>
      <c r="D38" s="151">
        <f>D37+D34</f>
        <v>1</v>
      </c>
      <c r="E38" s="152">
        <f>E37+E34</f>
        <v>5709.7889613296129</v>
      </c>
      <c r="F38" s="119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</row>
    <row r="39" spans="1:27" ht="20.25" thickBot="1" x14ac:dyDescent="0.6">
      <c r="A39" s="120"/>
      <c r="B39" s="156" t="s">
        <v>485</v>
      </c>
      <c r="C39" s="157">
        <v>3012.64</v>
      </c>
      <c r="D39" s="158">
        <v>46023</v>
      </c>
      <c r="E39" s="159" t="str">
        <f>ROUND(+E38/C39,2)&amp;" CUB"</f>
        <v>1,9 CUB</v>
      </c>
      <c r="F39" s="119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</row>
    <row r="40" spans="1:27" ht="20.25" thickBot="1" x14ac:dyDescent="0.6">
      <c r="A40" s="160"/>
      <c r="B40" s="161"/>
      <c r="C40" s="161"/>
      <c r="D40" s="161"/>
      <c r="E40" s="161"/>
      <c r="F40" s="162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</row>
    <row r="41" spans="1:27" x14ac:dyDescent="0.55000000000000004">
      <c r="A41" s="163"/>
      <c r="B41" s="164"/>
      <c r="C41" s="164"/>
      <c r="D41" s="165"/>
      <c r="E41" s="165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</row>
    <row r="42" spans="1:27" x14ac:dyDescent="0.55000000000000004">
      <c r="A42" s="163"/>
      <c r="B42" s="164"/>
      <c r="C42" s="164"/>
      <c r="D42" s="165"/>
      <c r="E42" s="165"/>
      <c r="F42" s="16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</row>
    <row r="43" spans="1:27" x14ac:dyDescent="0.55000000000000004">
      <c r="A43" s="163"/>
      <c r="B43" s="164"/>
      <c r="C43" s="164"/>
      <c r="D43" s="165"/>
      <c r="E43" s="165"/>
      <c r="F43" s="16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</row>
    <row r="44" spans="1:27" x14ac:dyDescent="0.55000000000000004">
      <c r="A44" s="163"/>
      <c r="B44" s="164"/>
      <c r="C44" s="164"/>
      <c r="D44" s="165"/>
      <c r="E44" s="165"/>
      <c r="F44" s="16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</row>
    <row r="45" spans="1:27" x14ac:dyDescent="0.55000000000000004">
      <c r="A45" s="163"/>
      <c r="B45" s="164"/>
      <c r="C45" s="164"/>
      <c r="D45" s="165"/>
      <c r="E45" s="165"/>
      <c r="F45" s="16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</row>
    <row r="46" spans="1:27" x14ac:dyDescent="0.55000000000000004">
      <c r="A46" s="163"/>
      <c r="B46" s="164"/>
      <c r="C46" s="164"/>
      <c r="D46" s="165"/>
      <c r="E46" s="165"/>
      <c r="F46" s="16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</row>
    <row r="47" spans="1:27" x14ac:dyDescent="0.55000000000000004">
      <c r="A47" s="113"/>
      <c r="B47" s="166"/>
      <c r="C47" s="166"/>
      <c r="D47" s="167"/>
      <c r="E47" s="167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</row>
    <row r="48" spans="1:27" x14ac:dyDescent="0.55000000000000004">
      <c r="A48" s="113"/>
      <c r="B48" s="166"/>
      <c r="C48" s="166"/>
      <c r="D48" s="167"/>
      <c r="E48" s="167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</row>
    <row r="49" spans="1:27" x14ac:dyDescent="0.55000000000000004">
      <c r="A49" s="113"/>
      <c r="B49" s="166"/>
      <c r="C49" s="166"/>
      <c r="D49" s="167"/>
      <c r="E49" s="167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</row>
    <row r="50" spans="1:27" x14ac:dyDescent="0.55000000000000004">
      <c r="A50" s="113"/>
      <c r="B50" s="166"/>
      <c r="C50" s="166"/>
      <c r="D50" s="167"/>
      <c r="E50" s="167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</row>
    <row r="51" spans="1:27" x14ac:dyDescent="0.55000000000000004">
      <c r="A51" s="113"/>
      <c r="B51" s="166"/>
      <c r="C51" s="166"/>
      <c r="D51" s="167"/>
      <c r="E51" s="167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</row>
    <row r="52" spans="1:27" x14ac:dyDescent="0.55000000000000004">
      <c r="A52" s="113"/>
      <c r="B52" s="166"/>
      <c r="C52" s="166"/>
      <c r="D52" s="167"/>
      <c r="E52" s="167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</row>
    <row r="53" spans="1:27" x14ac:dyDescent="0.55000000000000004">
      <c r="A53" s="113"/>
      <c r="B53" s="166"/>
      <c r="C53" s="166"/>
      <c r="D53" s="167"/>
      <c r="E53" s="167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</row>
    <row r="54" spans="1:27" x14ac:dyDescent="0.55000000000000004">
      <c r="A54" s="113"/>
      <c r="B54" s="166"/>
      <c r="C54" s="166"/>
      <c r="D54" s="167"/>
      <c r="E54" s="167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</row>
    <row r="55" spans="1:27" x14ac:dyDescent="0.55000000000000004">
      <c r="A55" s="113"/>
      <c r="B55" s="166"/>
      <c r="C55" s="166"/>
      <c r="D55" s="167"/>
      <c r="E55" s="167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</row>
    <row r="56" spans="1:27" x14ac:dyDescent="0.55000000000000004">
      <c r="A56" s="113"/>
      <c r="B56" s="166"/>
      <c r="C56" s="166"/>
      <c r="D56" s="167"/>
      <c r="E56" s="167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</row>
    <row r="57" spans="1:27" x14ac:dyDescent="0.55000000000000004">
      <c r="A57" s="113"/>
      <c r="B57" s="166"/>
      <c r="C57" s="166"/>
      <c r="D57" s="167"/>
      <c r="E57" s="167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</row>
    <row r="58" spans="1:27" x14ac:dyDescent="0.55000000000000004">
      <c r="A58" s="113"/>
      <c r="B58" s="166"/>
      <c r="C58" s="166"/>
      <c r="D58" s="167"/>
      <c r="E58" s="167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</row>
    <row r="59" spans="1:27" x14ac:dyDescent="0.55000000000000004">
      <c r="A59" s="113"/>
      <c r="B59" s="166"/>
      <c r="C59" s="166"/>
      <c r="D59" s="167"/>
      <c r="E59" s="167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</row>
    <row r="60" spans="1:27" x14ac:dyDescent="0.55000000000000004">
      <c r="A60" s="113"/>
      <c r="B60" s="166"/>
      <c r="C60" s="166"/>
      <c r="D60" s="167"/>
      <c r="E60" s="167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</row>
    <row r="61" spans="1:27" x14ac:dyDescent="0.55000000000000004">
      <c r="A61" s="113"/>
      <c r="B61" s="166"/>
      <c r="C61" s="166"/>
      <c r="D61" s="167"/>
      <c r="E61" s="167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</row>
    <row r="62" spans="1:27" x14ac:dyDescent="0.55000000000000004">
      <c r="A62" s="113"/>
      <c r="B62" s="166"/>
      <c r="C62" s="166"/>
      <c r="D62" s="167"/>
      <c r="E62" s="167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</row>
    <row r="63" spans="1:27" x14ac:dyDescent="0.55000000000000004">
      <c r="A63" s="113"/>
      <c r="B63" s="166"/>
      <c r="C63" s="166"/>
      <c r="D63" s="167"/>
      <c r="E63" s="167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</row>
    <row r="64" spans="1:27" x14ac:dyDescent="0.55000000000000004">
      <c r="A64" s="113"/>
      <c r="B64" s="166"/>
      <c r="C64" s="166"/>
      <c r="D64" s="167"/>
      <c r="E64" s="167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</row>
    <row r="65" spans="1:27" x14ac:dyDescent="0.55000000000000004">
      <c r="A65" s="113"/>
      <c r="B65" s="166"/>
      <c r="C65" s="166"/>
      <c r="D65" s="167"/>
      <c r="E65" s="167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</row>
    <row r="66" spans="1:27" x14ac:dyDescent="0.55000000000000004">
      <c r="A66" s="113"/>
      <c r="B66" s="166"/>
      <c r="C66" s="166"/>
      <c r="D66" s="167"/>
      <c r="E66" s="167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</row>
    <row r="67" spans="1:27" x14ac:dyDescent="0.55000000000000004">
      <c r="A67" s="113"/>
      <c r="B67" s="166"/>
      <c r="C67" s="166"/>
      <c r="D67" s="167"/>
      <c r="E67" s="167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x14ac:dyDescent="0.55000000000000004">
      <c r="A68" s="113"/>
      <c r="B68" s="166"/>
      <c r="C68" s="166"/>
      <c r="D68" s="167"/>
      <c r="E68" s="167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x14ac:dyDescent="0.55000000000000004">
      <c r="A69" s="113"/>
      <c r="B69" s="166"/>
      <c r="C69" s="166"/>
      <c r="D69" s="167"/>
      <c r="E69" s="167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x14ac:dyDescent="0.55000000000000004">
      <c r="A70" s="113"/>
      <c r="B70" s="166"/>
      <c r="C70" s="166"/>
      <c r="D70" s="167"/>
      <c r="E70" s="167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x14ac:dyDescent="0.55000000000000004">
      <c r="A71" s="113"/>
      <c r="B71" s="166"/>
      <c r="C71" s="166"/>
      <c r="D71" s="167"/>
      <c r="E71" s="167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x14ac:dyDescent="0.55000000000000004">
      <c r="A72" s="113"/>
      <c r="B72" s="166"/>
      <c r="C72" s="166"/>
      <c r="D72" s="167"/>
      <c r="E72" s="167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x14ac:dyDescent="0.55000000000000004">
      <c r="A73" s="113"/>
      <c r="B73" s="166"/>
      <c r="C73" s="166"/>
      <c r="D73" s="167"/>
      <c r="E73" s="167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x14ac:dyDescent="0.55000000000000004">
      <c r="A74" s="113"/>
      <c r="B74" s="166"/>
      <c r="C74" s="166"/>
      <c r="D74" s="167"/>
      <c r="E74" s="167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</row>
    <row r="75" spans="1:27" x14ac:dyDescent="0.55000000000000004">
      <c r="A75" s="113"/>
      <c r="B75" s="166"/>
      <c r="C75" s="166"/>
      <c r="D75" s="167"/>
      <c r="E75" s="167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</row>
    <row r="76" spans="1:27" x14ac:dyDescent="0.55000000000000004">
      <c r="A76" s="113"/>
      <c r="B76" s="166"/>
      <c r="C76" s="166"/>
      <c r="D76" s="167"/>
      <c r="E76" s="167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</row>
    <row r="77" spans="1:27" x14ac:dyDescent="0.55000000000000004">
      <c r="A77" s="113"/>
      <c r="B77" s="166"/>
      <c r="C77" s="166"/>
      <c r="D77" s="167"/>
      <c r="E77" s="167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</row>
    <row r="78" spans="1:27" x14ac:dyDescent="0.55000000000000004">
      <c r="A78" s="113"/>
      <c r="B78" s="166"/>
      <c r="C78" s="166"/>
      <c r="D78" s="167"/>
      <c r="E78" s="167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</row>
    <row r="79" spans="1:27" x14ac:dyDescent="0.55000000000000004">
      <c r="A79" s="113"/>
      <c r="B79" s="166"/>
      <c r="C79" s="166"/>
      <c r="D79" s="167"/>
      <c r="E79" s="167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</row>
    <row r="80" spans="1:27" x14ac:dyDescent="0.55000000000000004">
      <c r="A80" s="113"/>
      <c r="B80" s="166"/>
      <c r="C80" s="166"/>
      <c r="D80" s="167"/>
      <c r="E80" s="167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</row>
    <row r="81" spans="1:27" x14ac:dyDescent="0.55000000000000004">
      <c r="A81" s="113"/>
      <c r="B81" s="166"/>
      <c r="C81" s="166"/>
      <c r="D81" s="167"/>
      <c r="E81" s="167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</row>
    <row r="82" spans="1:27" x14ac:dyDescent="0.55000000000000004">
      <c r="A82" s="113"/>
      <c r="B82" s="166"/>
      <c r="C82" s="166"/>
      <c r="D82" s="167"/>
      <c r="E82" s="167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</row>
    <row r="83" spans="1:27" x14ac:dyDescent="0.55000000000000004">
      <c r="A83" s="113"/>
      <c r="B83" s="166"/>
      <c r="C83" s="166"/>
      <c r="D83" s="167"/>
      <c r="E83" s="167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</row>
    <row r="84" spans="1:27" x14ac:dyDescent="0.55000000000000004">
      <c r="A84" s="113"/>
      <c r="B84" s="166"/>
      <c r="C84" s="166"/>
      <c r="D84" s="167"/>
      <c r="E84" s="167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</row>
    <row r="85" spans="1:27" x14ac:dyDescent="0.55000000000000004">
      <c r="A85" s="113"/>
      <c r="B85" s="166"/>
      <c r="C85" s="166"/>
      <c r="D85" s="167"/>
      <c r="E85" s="167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</row>
    <row r="86" spans="1:27" x14ac:dyDescent="0.55000000000000004">
      <c r="A86" s="113"/>
      <c r="B86" s="166"/>
      <c r="C86" s="166"/>
      <c r="D86" s="167"/>
      <c r="E86" s="167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</row>
    <row r="87" spans="1:27" x14ac:dyDescent="0.55000000000000004">
      <c r="A87" s="113"/>
      <c r="B87" s="166"/>
      <c r="C87" s="166"/>
      <c r="D87" s="167"/>
      <c r="E87" s="167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</row>
    <row r="88" spans="1:27" x14ac:dyDescent="0.55000000000000004">
      <c r="A88" s="113"/>
      <c r="B88" s="166"/>
      <c r="C88" s="166"/>
      <c r="D88" s="167"/>
      <c r="E88" s="167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</row>
    <row r="89" spans="1:27" x14ac:dyDescent="0.55000000000000004">
      <c r="A89" s="113"/>
      <c r="B89" s="166"/>
      <c r="C89" s="166"/>
      <c r="D89" s="167"/>
      <c r="E89" s="167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</row>
    <row r="90" spans="1:27" x14ac:dyDescent="0.55000000000000004">
      <c r="A90" s="113"/>
      <c r="B90" s="166"/>
      <c r="C90" s="166"/>
      <c r="D90" s="167"/>
      <c r="E90" s="167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</row>
    <row r="91" spans="1:27" x14ac:dyDescent="0.55000000000000004">
      <c r="A91" s="113"/>
      <c r="B91" s="166"/>
      <c r="C91" s="166"/>
      <c r="D91" s="167"/>
      <c r="E91" s="167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</row>
    <row r="92" spans="1:27" x14ac:dyDescent="0.55000000000000004">
      <c r="A92" s="113"/>
      <c r="B92" s="166"/>
      <c r="C92" s="166"/>
      <c r="D92" s="167"/>
      <c r="E92" s="167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</row>
    <row r="93" spans="1:27" x14ac:dyDescent="0.55000000000000004">
      <c r="A93" s="113"/>
      <c r="B93" s="166"/>
      <c r="C93" s="166"/>
      <c r="D93" s="167"/>
      <c r="E93" s="167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</row>
    <row r="94" spans="1:27" x14ac:dyDescent="0.55000000000000004">
      <c r="A94" s="113"/>
      <c r="B94" s="166"/>
      <c r="C94" s="166"/>
      <c r="D94" s="167"/>
      <c r="E94" s="167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</row>
    <row r="95" spans="1:27" x14ac:dyDescent="0.55000000000000004">
      <c r="A95" s="113"/>
      <c r="B95" s="166"/>
      <c r="C95" s="166"/>
      <c r="D95" s="167"/>
      <c r="E95" s="167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</row>
    <row r="96" spans="1:27" x14ac:dyDescent="0.55000000000000004">
      <c r="A96" s="113"/>
      <c r="B96" s="166"/>
      <c r="C96" s="166"/>
      <c r="D96" s="167"/>
      <c r="E96" s="167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</row>
    <row r="97" spans="1:27" x14ac:dyDescent="0.55000000000000004">
      <c r="A97" s="113"/>
      <c r="B97" s="166"/>
      <c r="C97" s="166"/>
      <c r="D97" s="167"/>
      <c r="E97" s="167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</row>
    <row r="98" spans="1:27" x14ac:dyDescent="0.55000000000000004">
      <c r="A98" s="113"/>
      <c r="B98" s="166"/>
      <c r="C98" s="166"/>
      <c r="D98" s="167"/>
      <c r="E98" s="167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</row>
    <row r="99" spans="1:27" x14ac:dyDescent="0.55000000000000004">
      <c r="A99" s="113"/>
      <c r="B99" s="166"/>
      <c r="C99" s="166"/>
      <c r="D99" s="167"/>
      <c r="E99" s="167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</row>
    <row r="100" spans="1:27" x14ac:dyDescent="0.55000000000000004">
      <c r="A100" s="113"/>
      <c r="B100" s="166"/>
      <c r="C100" s="166"/>
      <c r="D100" s="167"/>
      <c r="E100" s="167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</row>
    <row r="101" spans="1:27" x14ac:dyDescent="0.55000000000000004">
      <c r="A101" s="113"/>
      <c r="B101" s="166"/>
      <c r="C101" s="166"/>
      <c r="D101" s="167"/>
      <c r="E101" s="167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</row>
    <row r="102" spans="1:27" x14ac:dyDescent="0.55000000000000004">
      <c r="A102" s="113"/>
      <c r="B102" s="166"/>
      <c r="C102" s="166"/>
      <c r="D102" s="167"/>
      <c r="E102" s="167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</row>
    <row r="103" spans="1:27" x14ac:dyDescent="0.55000000000000004">
      <c r="A103" s="113"/>
      <c r="B103" s="166"/>
      <c r="C103" s="166"/>
      <c r="D103" s="167"/>
      <c r="E103" s="167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</row>
    <row r="104" spans="1:27" x14ac:dyDescent="0.55000000000000004">
      <c r="A104" s="113"/>
      <c r="B104" s="166"/>
      <c r="C104" s="166"/>
      <c r="D104" s="167"/>
      <c r="E104" s="167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</row>
    <row r="105" spans="1:27" x14ac:dyDescent="0.55000000000000004">
      <c r="A105" s="113"/>
      <c r="B105" s="166"/>
      <c r="C105" s="166"/>
      <c r="D105" s="167"/>
      <c r="E105" s="167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  <row r="106" spans="1:27" x14ac:dyDescent="0.55000000000000004">
      <c r="A106" s="113"/>
      <c r="B106" s="166"/>
      <c r="C106" s="166"/>
      <c r="D106" s="167"/>
      <c r="E106" s="167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</row>
    <row r="107" spans="1:27" x14ac:dyDescent="0.55000000000000004">
      <c r="A107" s="113"/>
      <c r="B107" s="166"/>
      <c r="C107" s="166"/>
      <c r="D107" s="167"/>
      <c r="E107" s="167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</row>
    <row r="108" spans="1:27" x14ac:dyDescent="0.55000000000000004">
      <c r="A108" s="113"/>
      <c r="B108" s="166"/>
      <c r="C108" s="166"/>
      <c r="D108" s="167"/>
      <c r="E108" s="167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</row>
    <row r="109" spans="1:27" x14ac:dyDescent="0.55000000000000004">
      <c r="A109" s="113"/>
      <c r="B109" s="166"/>
      <c r="C109" s="166"/>
      <c r="D109" s="167"/>
      <c r="E109" s="167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</row>
    <row r="110" spans="1:27" x14ac:dyDescent="0.55000000000000004">
      <c r="A110" s="113"/>
      <c r="B110" s="166"/>
      <c r="C110" s="166"/>
      <c r="D110" s="167"/>
      <c r="E110" s="167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</row>
    <row r="111" spans="1:27" x14ac:dyDescent="0.55000000000000004">
      <c r="A111" s="113"/>
      <c r="B111" s="166"/>
      <c r="C111" s="166"/>
      <c r="D111" s="167"/>
      <c r="E111" s="167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</row>
    <row r="112" spans="1:27" x14ac:dyDescent="0.55000000000000004">
      <c r="A112" s="113"/>
      <c r="B112" s="166"/>
      <c r="C112" s="166"/>
      <c r="D112" s="167"/>
      <c r="E112" s="167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</row>
    <row r="113" spans="1:27" x14ac:dyDescent="0.55000000000000004">
      <c r="A113" s="113"/>
      <c r="B113" s="166"/>
      <c r="C113" s="166"/>
      <c r="D113" s="167"/>
      <c r="E113" s="167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</row>
    <row r="114" spans="1:27" x14ac:dyDescent="0.55000000000000004">
      <c r="A114" s="113"/>
      <c r="B114" s="166"/>
      <c r="C114" s="166"/>
      <c r="D114" s="167"/>
      <c r="E114" s="167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</row>
    <row r="115" spans="1:27" x14ac:dyDescent="0.55000000000000004">
      <c r="A115" s="113"/>
      <c r="B115" s="166"/>
      <c r="C115" s="166"/>
      <c r="D115" s="167"/>
      <c r="E115" s="167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</row>
    <row r="116" spans="1:27" x14ac:dyDescent="0.55000000000000004">
      <c r="A116" s="113"/>
      <c r="B116" s="166"/>
      <c r="C116" s="166"/>
      <c r="D116" s="167"/>
      <c r="E116" s="167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</row>
    <row r="117" spans="1:27" x14ac:dyDescent="0.55000000000000004">
      <c r="A117" s="113"/>
      <c r="B117" s="166"/>
      <c r="C117" s="166"/>
      <c r="D117" s="167"/>
      <c r="E117" s="167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</row>
    <row r="118" spans="1:27" x14ac:dyDescent="0.55000000000000004">
      <c r="A118" s="113"/>
      <c r="B118" s="166"/>
      <c r="C118" s="166"/>
      <c r="D118" s="167"/>
      <c r="E118" s="167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</row>
    <row r="119" spans="1:27" x14ac:dyDescent="0.55000000000000004">
      <c r="A119" s="113"/>
      <c r="B119" s="166"/>
      <c r="C119" s="166"/>
      <c r="D119" s="167"/>
      <c r="E119" s="167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</row>
    <row r="120" spans="1:27" x14ac:dyDescent="0.55000000000000004">
      <c r="A120" s="113"/>
      <c r="B120" s="166"/>
      <c r="C120" s="166"/>
      <c r="D120" s="167"/>
      <c r="E120" s="167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</row>
    <row r="121" spans="1:27" x14ac:dyDescent="0.55000000000000004">
      <c r="A121" s="113"/>
      <c r="B121" s="166"/>
      <c r="C121" s="166"/>
      <c r="D121" s="167"/>
      <c r="E121" s="167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</row>
    <row r="122" spans="1:27" x14ac:dyDescent="0.55000000000000004">
      <c r="A122" s="113"/>
      <c r="B122" s="166"/>
      <c r="C122" s="166"/>
      <c r="D122" s="167"/>
      <c r="E122" s="167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</row>
    <row r="123" spans="1:27" x14ac:dyDescent="0.55000000000000004">
      <c r="A123" s="113"/>
      <c r="B123" s="166"/>
      <c r="C123" s="166"/>
      <c r="D123" s="167"/>
      <c r="E123" s="167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</row>
    <row r="124" spans="1:27" x14ac:dyDescent="0.55000000000000004">
      <c r="A124" s="113"/>
      <c r="B124" s="166"/>
      <c r="C124" s="166"/>
      <c r="D124" s="167"/>
      <c r="E124" s="167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</row>
    <row r="125" spans="1:27" x14ac:dyDescent="0.55000000000000004">
      <c r="A125" s="113"/>
      <c r="B125" s="166"/>
      <c r="C125" s="166"/>
      <c r="D125" s="167"/>
      <c r="E125" s="167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</row>
    <row r="126" spans="1:27" x14ac:dyDescent="0.55000000000000004">
      <c r="A126" s="113"/>
      <c r="B126" s="166"/>
      <c r="C126" s="166"/>
      <c r="D126" s="167"/>
      <c r="E126" s="167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</row>
    <row r="127" spans="1:27" x14ac:dyDescent="0.55000000000000004">
      <c r="A127" s="113"/>
      <c r="B127" s="166"/>
      <c r="C127" s="166"/>
      <c r="D127" s="167"/>
      <c r="E127" s="167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</row>
    <row r="128" spans="1:27" x14ac:dyDescent="0.55000000000000004">
      <c r="A128" s="113"/>
      <c r="B128" s="166"/>
      <c r="C128" s="166"/>
      <c r="D128" s="167"/>
      <c r="E128" s="167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</row>
    <row r="129" spans="1:27" x14ac:dyDescent="0.55000000000000004">
      <c r="A129" s="113"/>
      <c r="B129" s="166"/>
      <c r="C129" s="166"/>
      <c r="D129" s="167"/>
      <c r="E129" s="167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</row>
    <row r="130" spans="1:27" x14ac:dyDescent="0.55000000000000004">
      <c r="A130" s="113"/>
      <c r="B130" s="166"/>
      <c r="C130" s="166"/>
      <c r="D130" s="167"/>
      <c r="E130" s="167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</row>
    <row r="131" spans="1:27" x14ac:dyDescent="0.55000000000000004">
      <c r="A131" s="113"/>
      <c r="B131" s="166"/>
      <c r="C131" s="166"/>
      <c r="D131" s="167"/>
      <c r="E131" s="167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</row>
    <row r="132" spans="1:27" x14ac:dyDescent="0.55000000000000004">
      <c r="A132" s="113"/>
      <c r="B132" s="166"/>
      <c r="C132" s="166"/>
      <c r="D132" s="167"/>
      <c r="E132" s="167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</row>
    <row r="133" spans="1:27" x14ac:dyDescent="0.55000000000000004">
      <c r="A133" s="113"/>
      <c r="B133" s="166"/>
      <c r="C133" s="166"/>
      <c r="D133" s="167"/>
      <c r="E133" s="167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</row>
    <row r="134" spans="1:27" x14ac:dyDescent="0.55000000000000004">
      <c r="A134" s="113"/>
      <c r="B134" s="166"/>
      <c r="C134" s="166"/>
      <c r="D134" s="167"/>
      <c r="E134" s="167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</row>
    <row r="135" spans="1:27" x14ac:dyDescent="0.55000000000000004">
      <c r="A135" s="113"/>
      <c r="B135" s="166"/>
      <c r="C135" s="166"/>
      <c r="D135" s="167"/>
      <c r="E135" s="167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</row>
    <row r="136" spans="1:27" x14ac:dyDescent="0.55000000000000004">
      <c r="A136" s="113"/>
      <c r="B136" s="166"/>
      <c r="C136" s="166"/>
      <c r="D136" s="167"/>
      <c r="E136" s="167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</row>
    <row r="137" spans="1:27" x14ac:dyDescent="0.55000000000000004">
      <c r="A137" s="113"/>
      <c r="B137" s="166"/>
      <c r="C137" s="166"/>
      <c r="D137" s="167"/>
      <c r="E137" s="167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</row>
    <row r="138" spans="1:27" x14ac:dyDescent="0.55000000000000004">
      <c r="A138" s="113"/>
      <c r="B138" s="166"/>
      <c r="C138" s="166"/>
      <c r="D138" s="167"/>
      <c r="E138" s="167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</row>
    <row r="139" spans="1:27" x14ac:dyDescent="0.55000000000000004">
      <c r="A139" s="113"/>
      <c r="B139" s="166"/>
      <c r="C139" s="166"/>
      <c r="D139" s="167"/>
      <c r="E139" s="167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</row>
    <row r="140" spans="1:27" x14ac:dyDescent="0.55000000000000004">
      <c r="A140" s="113"/>
      <c r="B140" s="166"/>
      <c r="C140" s="166"/>
      <c r="D140" s="167"/>
      <c r="E140" s="167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</row>
    <row r="141" spans="1:27" x14ac:dyDescent="0.55000000000000004">
      <c r="A141" s="113"/>
      <c r="B141" s="166"/>
      <c r="C141" s="166"/>
      <c r="D141" s="167"/>
      <c r="E141" s="167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</row>
    <row r="142" spans="1:27" x14ac:dyDescent="0.55000000000000004">
      <c r="A142" s="113"/>
      <c r="B142" s="166"/>
      <c r="C142" s="166"/>
      <c r="D142" s="167"/>
      <c r="E142" s="167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</row>
    <row r="143" spans="1:27" x14ac:dyDescent="0.55000000000000004">
      <c r="A143" s="113"/>
      <c r="B143" s="166"/>
      <c r="C143" s="166"/>
      <c r="D143" s="167"/>
      <c r="E143" s="167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</row>
    <row r="144" spans="1:27" x14ac:dyDescent="0.55000000000000004">
      <c r="A144" s="113"/>
      <c r="B144" s="166"/>
      <c r="C144" s="166"/>
      <c r="D144" s="167"/>
      <c r="E144" s="167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</row>
    <row r="145" spans="1:27" x14ac:dyDescent="0.55000000000000004">
      <c r="A145" s="113"/>
      <c r="B145" s="166"/>
      <c r="C145" s="166"/>
      <c r="D145" s="167"/>
      <c r="E145" s="167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</row>
    <row r="146" spans="1:27" x14ac:dyDescent="0.55000000000000004">
      <c r="A146" s="113"/>
      <c r="B146" s="166"/>
      <c r="C146" s="166"/>
      <c r="D146" s="167"/>
      <c r="E146" s="167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</row>
    <row r="147" spans="1:27" x14ac:dyDescent="0.55000000000000004">
      <c r="A147" s="113"/>
      <c r="B147" s="166"/>
      <c r="C147" s="166"/>
      <c r="D147" s="167"/>
      <c r="E147" s="167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</row>
    <row r="148" spans="1:27" x14ac:dyDescent="0.55000000000000004">
      <c r="A148" s="113"/>
      <c r="B148" s="166"/>
      <c r="C148" s="166"/>
      <c r="D148" s="167"/>
      <c r="E148" s="167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</row>
    <row r="149" spans="1:27" x14ac:dyDescent="0.55000000000000004">
      <c r="A149" s="113"/>
      <c r="B149" s="166"/>
      <c r="C149" s="166"/>
      <c r="D149" s="167"/>
      <c r="E149" s="167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</row>
    <row r="150" spans="1:27" x14ac:dyDescent="0.55000000000000004">
      <c r="A150" s="113"/>
      <c r="B150" s="166"/>
      <c r="C150" s="166"/>
      <c r="D150" s="167"/>
      <c r="E150" s="167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</row>
    <row r="151" spans="1:27" x14ac:dyDescent="0.55000000000000004">
      <c r="A151" s="113"/>
      <c r="B151" s="166"/>
      <c r="C151" s="166"/>
      <c r="D151" s="167"/>
      <c r="E151" s="167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</row>
    <row r="152" spans="1:27" x14ac:dyDescent="0.55000000000000004">
      <c r="A152" s="113"/>
      <c r="B152" s="166"/>
      <c r="C152" s="166"/>
      <c r="D152" s="167"/>
      <c r="E152" s="167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</row>
    <row r="153" spans="1:27" x14ac:dyDescent="0.55000000000000004">
      <c r="A153" s="113"/>
      <c r="B153" s="166"/>
      <c r="C153" s="166"/>
      <c r="D153" s="167"/>
      <c r="E153" s="167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</row>
    <row r="154" spans="1:27" x14ac:dyDescent="0.55000000000000004">
      <c r="A154" s="113"/>
      <c r="B154" s="166"/>
      <c r="C154" s="166"/>
      <c r="D154" s="167"/>
      <c r="E154" s="167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</row>
    <row r="155" spans="1:27" x14ac:dyDescent="0.55000000000000004">
      <c r="A155" s="113"/>
      <c r="B155" s="166"/>
      <c r="C155" s="166"/>
      <c r="D155" s="167"/>
      <c r="E155" s="167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</row>
    <row r="156" spans="1:27" x14ac:dyDescent="0.55000000000000004">
      <c r="A156" s="113"/>
      <c r="B156" s="166"/>
      <c r="C156" s="166"/>
      <c r="D156" s="167"/>
      <c r="E156" s="167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</row>
    <row r="157" spans="1:27" x14ac:dyDescent="0.55000000000000004">
      <c r="A157" s="113"/>
      <c r="B157" s="166"/>
      <c r="C157" s="166"/>
      <c r="D157" s="167"/>
      <c r="E157" s="167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</row>
    <row r="158" spans="1:27" x14ac:dyDescent="0.55000000000000004">
      <c r="A158" s="113"/>
      <c r="B158" s="166"/>
      <c r="C158" s="166"/>
      <c r="D158" s="167"/>
      <c r="E158" s="167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</row>
    <row r="159" spans="1:27" x14ac:dyDescent="0.55000000000000004">
      <c r="A159" s="113"/>
      <c r="B159" s="166"/>
      <c r="C159" s="166"/>
      <c r="D159" s="167"/>
      <c r="E159" s="167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</row>
    <row r="160" spans="1:27" x14ac:dyDescent="0.55000000000000004">
      <c r="A160" s="113"/>
      <c r="B160" s="166"/>
      <c r="C160" s="166"/>
      <c r="D160" s="167"/>
      <c r="E160" s="167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</row>
    <row r="161" spans="1:27" x14ac:dyDescent="0.55000000000000004">
      <c r="A161" s="113"/>
      <c r="B161" s="166"/>
      <c r="C161" s="166"/>
      <c r="D161" s="167"/>
      <c r="E161" s="167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</row>
    <row r="162" spans="1:27" x14ac:dyDescent="0.55000000000000004">
      <c r="A162" s="113"/>
      <c r="B162" s="166"/>
      <c r="C162" s="166"/>
      <c r="D162" s="167"/>
      <c r="E162" s="167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</row>
    <row r="163" spans="1:27" x14ac:dyDescent="0.55000000000000004">
      <c r="A163" s="113"/>
      <c r="B163" s="166"/>
      <c r="C163" s="166"/>
      <c r="D163" s="167"/>
      <c r="E163" s="167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</row>
    <row r="164" spans="1:27" x14ac:dyDescent="0.55000000000000004">
      <c r="A164" s="113"/>
      <c r="B164" s="166"/>
      <c r="C164" s="166"/>
      <c r="D164" s="167"/>
      <c r="E164" s="167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</row>
    <row r="165" spans="1:27" x14ac:dyDescent="0.55000000000000004">
      <c r="A165" s="113"/>
      <c r="B165" s="166"/>
      <c r="C165" s="166"/>
      <c r="D165" s="167"/>
      <c r="E165" s="167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</row>
    <row r="166" spans="1:27" x14ac:dyDescent="0.55000000000000004">
      <c r="A166" s="113"/>
      <c r="B166" s="166"/>
      <c r="C166" s="166"/>
      <c r="D166" s="167"/>
      <c r="E166" s="167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</row>
    <row r="167" spans="1:27" x14ac:dyDescent="0.55000000000000004">
      <c r="A167" s="113"/>
      <c r="B167" s="166"/>
      <c r="C167" s="166"/>
      <c r="D167" s="167"/>
      <c r="E167" s="167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</row>
    <row r="168" spans="1:27" x14ac:dyDescent="0.55000000000000004">
      <c r="A168" s="113"/>
      <c r="B168" s="166"/>
      <c r="C168" s="166"/>
      <c r="D168" s="167"/>
      <c r="E168" s="167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</row>
    <row r="169" spans="1:27" x14ac:dyDescent="0.55000000000000004">
      <c r="A169" s="113"/>
      <c r="B169" s="166"/>
      <c r="C169" s="166"/>
      <c r="D169" s="167"/>
      <c r="E169" s="167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</row>
    <row r="170" spans="1:27" x14ac:dyDescent="0.55000000000000004">
      <c r="A170" s="113"/>
      <c r="B170" s="166"/>
      <c r="C170" s="166"/>
      <c r="D170" s="167"/>
      <c r="E170" s="167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</row>
    <row r="171" spans="1:27" x14ac:dyDescent="0.55000000000000004">
      <c r="A171" s="113"/>
      <c r="B171" s="166"/>
      <c r="C171" s="166"/>
      <c r="D171" s="167"/>
      <c r="E171" s="167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</row>
    <row r="172" spans="1:27" x14ac:dyDescent="0.55000000000000004">
      <c r="A172" s="113"/>
      <c r="B172" s="166"/>
      <c r="C172" s="166"/>
      <c r="D172" s="167"/>
      <c r="E172" s="167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</row>
    <row r="173" spans="1:27" x14ac:dyDescent="0.55000000000000004">
      <c r="A173" s="113"/>
      <c r="B173" s="166"/>
      <c r="C173" s="166"/>
      <c r="D173" s="167"/>
      <c r="E173" s="167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</row>
    <row r="174" spans="1:27" x14ac:dyDescent="0.55000000000000004">
      <c r="A174" s="113"/>
      <c r="B174" s="166"/>
      <c r="C174" s="166"/>
      <c r="D174" s="167"/>
      <c r="E174" s="167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</row>
    <row r="175" spans="1:27" x14ac:dyDescent="0.55000000000000004">
      <c r="A175" s="113"/>
      <c r="B175" s="166"/>
      <c r="C175" s="166"/>
      <c r="D175" s="167"/>
      <c r="E175" s="167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</row>
    <row r="176" spans="1:27" x14ac:dyDescent="0.55000000000000004">
      <c r="A176" s="113"/>
      <c r="B176" s="166"/>
      <c r="C176" s="166"/>
      <c r="D176" s="167"/>
      <c r="E176" s="167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</row>
    <row r="177" spans="1:27" x14ac:dyDescent="0.55000000000000004">
      <c r="A177" s="113"/>
      <c r="B177" s="166"/>
      <c r="C177" s="166"/>
      <c r="D177" s="167"/>
      <c r="E177" s="167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</row>
    <row r="178" spans="1:27" x14ac:dyDescent="0.55000000000000004">
      <c r="A178" s="113"/>
      <c r="B178" s="166"/>
      <c r="C178" s="166"/>
      <c r="D178" s="167"/>
      <c r="E178" s="167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</row>
    <row r="179" spans="1:27" x14ac:dyDescent="0.55000000000000004">
      <c r="A179" s="113"/>
      <c r="B179" s="166"/>
      <c r="C179" s="166"/>
      <c r="D179" s="167"/>
      <c r="E179" s="167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</row>
    <row r="180" spans="1:27" x14ac:dyDescent="0.55000000000000004">
      <c r="A180" s="113"/>
      <c r="B180" s="166"/>
      <c r="C180" s="166"/>
      <c r="D180" s="167"/>
      <c r="E180" s="167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</row>
    <row r="181" spans="1:27" x14ac:dyDescent="0.55000000000000004">
      <c r="A181" s="113"/>
      <c r="B181" s="166"/>
      <c r="C181" s="166"/>
      <c r="D181" s="167"/>
      <c r="E181" s="167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</row>
    <row r="182" spans="1:27" x14ac:dyDescent="0.55000000000000004">
      <c r="A182" s="113"/>
      <c r="B182" s="166"/>
      <c r="C182" s="166"/>
      <c r="D182" s="167"/>
      <c r="E182" s="167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</row>
    <row r="183" spans="1:27" x14ac:dyDescent="0.55000000000000004">
      <c r="A183" s="113"/>
      <c r="B183" s="166"/>
      <c r="C183" s="166"/>
      <c r="D183" s="167"/>
      <c r="E183" s="167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</row>
    <row r="184" spans="1:27" x14ac:dyDescent="0.55000000000000004">
      <c r="A184" s="113"/>
      <c r="B184" s="166"/>
      <c r="C184" s="166"/>
      <c r="D184" s="167"/>
      <c r="E184" s="167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</row>
    <row r="185" spans="1:27" x14ac:dyDescent="0.55000000000000004">
      <c r="A185" s="113"/>
      <c r="B185" s="166"/>
      <c r="C185" s="166"/>
      <c r="D185" s="167"/>
      <c r="E185" s="167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</row>
    <row r="186" spans="1:27" x14ac:dyDescent="0.55000000000000004">
      <c r="A186" s="113"/>
      <c r="B186" s="166"/>
      <c r="C186" s="166"/>
      <c r="D186" s="167"/>
      <c r="E186" s="167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</row>
    <row r="187" spans="1:27" x14ac:dyDescent="0.55000000000000004">
      <c r="A187" s="113"/>
      <c r="B187" s="166"/>
      <c r="C187" s="166"/>
      <c r="D187" s="167"/>
      <c r="E187" s="167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</row>
    <row r="188" spans="1:27" x14ac:dyDescent="0.55000000000000004">
      <c r="A188" s="113"/>
      <c r="B188" s="166"/>
      <c r="C188" s="166"/>
      <c r="D188" s="167"/>
      <c r="E188" s="167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</row>
    <row r="189" spans="1:27" x14ac:dyDescent="0.55000000000000004">
      <c r="A189" s="113"/>
      <c r="B189" s="166"/>
      <c r="C189" s="166"/>
      <c r="D189" s="167"/>
      <c r="E189" s="167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</row>
    <row r="190" spans="1:27" x14ac:dyDescent="0.55000000000000004">
      <c r="A190" s="113"/>
      <c r="B190" s="166"/>
      <c r="C190" s="166"/>
      <c r="D190" s="167"/>
      <c r="E190" s="167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</row>
    <row r="191" spans="1:27" x14ac:dyDescent="0.55000000000000004">
      <c r="A191" s="113"/>
      <c r="B191" s="166"/>
      <c r="C191" s="166"/>
      <c r="D191" s="167"/>
      <c r="E191" s="167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</row>
    <row r="192" spans="1:27" x14ac:dyDescent="0.55000000000000004">
      <c r="A192" s="113"/>
      <c r="B192" s="166"/>
      <c r="C192" s="166"/>
      <c r="D192" s="167"/>
      <c r="E192" s="167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</row>
    <row r="193" spans="1:27" x14ac:dyDescent="0.55000000000000004">
      <c r="A193" s="113"/>
      <c r="B193" s="166"/>
      <c r="C193" s="166"/>
      <c r="D193" s="167"/>
      <c r="E193" s="167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</row>
    <row r="194" spans="1:27" x14ac:dyDescent="0.55000000000000004">
      <c r="A194" s="113"/>
      <c r="B194" s="166"/>
      <c r="C194" s="166"/>
      <c r="D194" s="167"/>
      <c r="E194" s="167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</row>
    <row r="195" spans="1:27" x14ac:dyDescent="0.55000000000000004">
      <c r="A195" s="113"/>
      <c r="B195" s="166"/>
      <c r="C195" s="166"/>
      <c r="D195" s="167"/>
      <c r="E195" s="167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</row>
    <row r="196" spans="1:27" x14ac:dyDescent="0.55000000000000004">
      <c r="A196" s="113"/>
      <c r="B196" s="166"/>
      <c r="C196" s="166"/>
      <c r="D196" s="167"/>
      <c r="E196" s="167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</row>
    <row r="197" spans="1:27" x14ac:dyDescent="0.55000000000000004">
      <c r="A197" s="113"/>
      <c r="B197" s="166"/>
      <c r="C197" s="166"/>
      <c r="D197" s="167"/>
      <c r="E197" s="167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</row>
    <row r="198" spans="1:27" x14ac:dyDescent="0.55000000000000004">
      <c r="A198" s="113"/>
      <c r="B198" s="166"/>
      <c r="C198" s="166"/>
      <c r="D198" s="167"/>
      <c r="E198" s="167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</row>
    <row r="199" spans="1:27" x14ac:dyDescent="0.55000000000000004">
      <c r="A199" s="113"/>
      <c r="B199" s="166"/>
      <c r="C199" s="166"/>
      <c r="D199" s="167"/>
      <c r="E199" s="167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</row>
    <row r="200" spans="1:27" x14ac:dyDescent="0.55000000000000004">
      <c r="A200" s="113"/>
      <c r="B200" s="166"/>
      <c r="C200" s="166"/>
      <c r="D200" s="167"/>
      <c r="E200" s="167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</row>
    <row r="201" spans="1:27" x14ac:dyDescent="0.55000000000000004">
      <c r="A201" s="113"/>
      <c r="B201" s="166"/>
      <c r="C201" s="166"/>
      <c r="D201" s="167"/>
      <c r="E201" s="167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</row>
    <row r="202" spans="1:27" x14ac:dyDescent="0.55000000000000004">
      <c r="A202" s="113"/>
      <c r="B202" s="166"/>
      <c r="C202" s="166"/>
      <c r="D202" s="167"/>
      <c r="E202" s="167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</row>
    <row r="203" spans="1:27" x14ac:dyDescent="0.55000000000000004">
      <c r="A203" s="113"/>
      <c r="B203" s="166"/>
      <c r="C203" s="166"/>
      <c r="D203" s="167"/>
      <c r="E203" s="167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</row>
    <row r="204" spans="1:27" x14ac:dyDescent="0.55000000000000004">
      <c r="A204" s="113"/>
      <c r="B204" s="166"/>
      <c r="C204" s="166"/>
      <c r="D204" s="167"/>
      <c r="E204" s="167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</row>
    <row r="205" spans="1:27" x14ac:dyDescent="0.55000000000000004">
      <c r="A205" s="113"/>
      <c r="B205" s="166"/>
      <c r="C205" s="166"/>
      <c r="D205" s="167"/>
      <c r="E205" s="167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</row>
    <row r="206" spans="1:27" x14ac:dyDescent="0.55000000000000004">
      <c r="A206" s="113"/>
      <c r="B206" s="166"/>
      <c r="C206" s="166"/>
      <c r="D206" s="167"/>
      <c r="E206" s="167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</row>
    <row r="207" spans="1:27" x14ac:dyDescent="0.55000000000000004">
      <c r="A207" s="113"/>
      <c r="B207" s="166"/>
      <c r="C207" s="166"/>
      <c r="D207" s="167"/>
      <c r="E207" s="167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</row>
    <row r="208" spans="1:27" x14ac:dyDescent="0.55000000000000004">
      <c r="A208" s="113"/>
      <c r="B208" s="166"/>
      <c r="C208" s="166"/>
      <c r="D208" s="167"/>
      <c r="E208" s="167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</row>
    <row r="209" spans="1:27" x14ac:dyDescent="0.55000000000000004">
      <c r="A209" s="113"/>
      <c r="B209" s="166"/>
      <c r="C209" s="166"/>
      <c r="D209" s="167"/>
      <c r="E209" s="167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</row>
    <row r="210" spans="1:27" x14ac:dyDescent="0.55000000000000004">
      <c r="A210" s="113"/>
      <c r="B210" s="166"/>
      <c r="C210" s="166"/>
      <c r="D210" s="167"/>
      <c r="E210" s="167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</row>
    <row r="211" spans="1:27" x14ac:dyDescent="0.55000000000000004">
      <c r="A211" s="113"/>
      <c r="B211" s="166"/>
      <c r="C211" s="166"/>
      <c r="D211" s="167"/>
      <c r="E211" s="167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</row>
    <row r="212" spans="1:27" x14ac:dyDescent="0.55000000000000004">
      <c r="A212" s="113"/>
      <c r="B212" s="166"/>
      <c r="C212" s="166"/>
      <c r="D212" s="167"/>
      <c r="E212" s="167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</row>
    <row r="213" spans="1:27" x14ac:dyDescent="0.55000000000000004">
      <c r="A213" s="113"/>
      <c r="B213" s="166"/>
      <c r="C213" s="166"/>
      <c r="D213" s="167"/>
      <c r="E213" s="167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</row>
    <row r="214" spans="1:27" x14ac:dyDescent="0.55000000000000004">
      <c r="A214" s="113"/>
      <c r="B214" s="166"/>
      <c r="C214" s="166"/>
      <c r="D214" s="167"/>
      <c r="E214" s="167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</row>
    <row r="215" spans="1:27" x14ac:dyDescent="0.55000000000000004">
      <c r="A215" s="113"/>
      <c r="B215" s="166"/>
      <c r="C215" s="166"/>
      <c r="D215" s="167"/>
      <c r="E215" s="167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</row>
    <row r="216" spans="1:27" x14ac:dyDescent="0.55000000000000004">
      <c r="A216" s="113"/>
      <c r="B216" s="166"/>
      <c r="C216" s="166"/>
      <c r="D216" s="167"/>
      <c r="E216" s="167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</row>
    <row r="217" spans="1:27" x14ac:dyDescent="0.55000000000000004">
      <c r="A217" s="113"/>
      <c r="B217" s="166"/>
      <c r="C217" s="166"/>
      <c r="D217" s="167"/>
      <c r="E217" s="167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</row>
    <row r="218" spans="1:27" x14ac:dyDescent="0.55000000000000004">
      <c r="A218" s="113"/>
      <c r="B218" s="166"/>
      <c r="C218" s="166"/>
      <c r="D218" s="167"/>
      <c r="E218" s="167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</row>
    <row r="219" spans="1:27" x14ac:dyDescent="0.55000000000000004">
      <c r="A219" s="113"/>
      <c r="B219" s="166"/>
      <c r="C219" s="166"/>
      <c r="D219" s="167"/>
      <c r="E219" s="167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</row>
    <row r="220" spans="1:27" x14ac:dyDescent="0.55000000000000004">
      <c r="A220" s="113"/>
      <c r="B220" s="166"/>
      <c r="C220" s="166"/>
      <c r="D220" s="167"/>
      <c r="E220" s="167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</row>
    <row r="221" spans="1:27" x14ac:dyDescent="0.55000000000000004">
      <c r="A221" s="113"/>
      <c r="B221" s="166"/>
      <c r="C221" s="166"/>
      <c r="D221" s="167"/>
      <c r="E221" s="167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</row>
    <row r="222" spans="1:27" x14ac:dyDescent="0.55000000000000004">
      <c r="A222" s="113"/>
      <c r="B222" s="166"/>
      <c r="C222" s="166"/>
      <c r="D222" s="167"/>
      <c r="E222" s="167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</row>
    <row r="223" spans="1:27" x14ac:dyDescent="0.55000000000000004">
      <c r="A223" s="113"/>
      <c r="B223" s="166"/>
      <c r="C223" s="166"/>
      <c r="D223" s="167"/>
      <c r="E223" s="167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</row>
    <row r="224" spans="1:27" x14ac:dyDescent="0.55000000000000004">
      <c r="A224" s="113"/>
      <c r="B224" s="166"/>
      <c r="C224" s="166"/>
      <c r="D224" s="167"/>
      <c r="E224" s="167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</row>
    <row r="225" spans="1:27" x14ac:dyDescent="0.55000000000000004">
      <c r="A225" s="113"/>
      <c r="B225" s="166"/>
      <c r="C225" s="166"/>
      <c r="D225" s="167"/>
      <c r="E225" s="167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</row>
    <row r="226" spans="1:27" x14ac:dyDescent="0.55000000000000004">
      <c r="A226" s="113"/>
      <c r="B226" s="166"/>
      <c r="C226" s="166"/>
      <c r="D226" s="167"/>
      <c r="E226" s="167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</row>
    <row r="227" spans="1:27" x14ac:dyDescent="0.55000000000000004">
      <c r="A227" s="113"/>
      <c r="B227" s="166"/>
      <c r="C227" s="166"/>
      <c r="D227" s="167"/>
      <c r="E227" s="167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</row>
    <row r="228" spans="1:27" x14ac:dyDescent="0.55000000000000004">
      <c r="A228" s="113"/>
      <c r="B228" s="166"/>
      <c r="C228" s="166"/>
      <c r="D228" s="167"/>
      <c r="E228" s="167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</row>
    <row r="229" spans="1:27" x14ac:dyDescent="0.55000000000000004">
      <c r="A229" s="113"/>
      <c r="B229" s="166"/>
      <c r="C229" s="166"/>
      <c r="D229" s="167"/>
      <c r="E229" s="167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</row>
    <row r="230" spans="1:27" x14ac:dyDescent="0.55000000000000004">
      <c r="A230" s="113"/>
      <c r="B230" s="166"/>
      <c r="C230" s="166"/>
      <c r="D230" s="167"/>
      <c r="E230" s="167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</row>
    <row r="231" spans="1:27" x14ac:dyDescent="0.55000000000000004">
      <c r="A231" s="113"/>
      <c r="B231" s="166"/>
      <c r="C231" s="166"/>
      <c r="D231" s="167"/>
      <c r="E231" s="167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</row>
    <row r="232" spans="1:27" x14ac:dyDescent="0.55000000000000004">
      <c r="A232" s="113"/>
      <c r="B232" s="166"/>
      <c r="C232" s="166"/>
      <c r="D232" s="167"/>
      <c r="E232" s="167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</row>
    <row r="233" spans="1:27" x14ac:dyDescent="0.55000000000000004">
      <c r="A233" s="113"/>
      <c r="B233" s="166"/>
      <c r="C233" s="166"/>
      <c r="D233" s="167"/>
      <c r="E233" s="167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</row>
    <row r="234" spans="1:27" x14ac:dyDescent="0.55000000000000004">
      <c r="A234" s="113"/>
      <c r="B234" s="166"/>
      <c r="C234" s="166"/>
      <c r="D234" s="167"/>
      <c r="E234" s="167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</row>
    <row r="235" spans="1:27" x14ac:dyDescent="0.55000000000000004">
      <c r="A235" s="113"/>
      <c r="B235" s="166"/>
      <c r="C235" s="166"/>
      <c r="D235" s="167"/>
      <c r="E235" s="167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</row>
    <row r="236" spans="1:27" x14ac:dyDescent="0.55000000000000004">
      <c r="A236" s="113"/>
      <c r="B236" s="166"/>
      <c r="C236" s="166"/>
      <c r="D236" s="167"/>
      <c r="E236" s="167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</row>
    <row r="237" spans="1:27" x14ac:dyDescent="0.55000000000000004">
      <c r="A237" s="113"/>
      <c r="B237" s="166"/>
      <c r="C237" s="166"/>
      <c r="D237" s="167"/>
      <c r="E237" s="167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</row>
    <row r="238" spans="1:27" x14ac:dyDescent="0.55000000000000004">
      <c r="A238" s="113"/>
      <c r="B238" s="166"/>
      <c r="C238" s="166"/>
      <c r="D238" s="167"/>
      <c r="E238" s="167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</row>
    <row r="239" spans="1:27" x14ac:dyDescent="0.55000000000000004">
      <c r="A239" s="113"/>
      <c r="B239" s="166"/>
      <c r="C239" s="166"/>
      <c r="D239" s="167"/>
      <c r="E239" s="167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</row>
    <row r="240" spans="1:27" x14ac:dyDescent="0.55000000000000004">
      <c r="A240" s="113"/>
      <c r="B240" s="166"/>
      <c r="C240" s="166"/>
      <c r="D240" s="167"/>
      <c r="E240" s="167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</row>
    <row r="241" spans="1:27" x14ac:dyDescent="0.55000000000000004">
      <c r="A241" s="113"/>
      <c r="B241" s="166"/>
      <c r="C241" s="166"/>
      <c r="D241" s="167"/>
      <c r="E241" s="167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</row>
    <row r="242" spans="1:27" x14ac:dyDescent="0.55000000000000004">
      <c r="A242" s="113"/>
      <c r="B242" s="166"/>
      <c r="C242" s="166"/>
      <c r="D242" s="167"/>
      <c r="E242" s="167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</row>
    <row r="243" spans="1:27" x14ac:dyDescent="0.55000000000000004">
      <c r="A243" s="113"/>
      <c r="B243" s="166"/>
      <c r="C243" s="166"/>
      <c r="D243" s="167"/>
      <c r="E243" s="167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</row>
    <row r="244" spans="1:27" x14ac:dyDescent="0.55000000000000004">
      <c r="A244" s="113"/>
      <c r="B244" s="166"/>
      <c r="C244" s="166"/>
      <c r="D244" s="167"/>
      <c r="E244" s="167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</row>
    <row r="245" spans="1:27" x14ac:dyDescent="0.55000000000000004">
      <c r="A245" s="113"/>
      <c r="B245" s="166"/>
      <c r="C245" s="166"/>
      <c r="D245" s="167"/>
      <c r="E245" s="167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</row>
    <row r="246" spans="1:27" x14ac:dyDescent="0.55000000000000004">
      <c r="A246" s="113"/>
      <c r="B246" s="166"/>
      <c r="C246" s="166"/>
      <c r="D246" s="167"/>
      <c r="E246" s="167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</row>
    <row r="247" spans="1:27" x14ac:dyDescent="0.55000000000000004">
      <c r="A247" s="113"/>
      <c r="B247" s="166"/>
      <c r="C247" s="166"/>
      <c r="D247" s="167"/>
      <c r="E247" s="167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</row>
    <row r="248" spans="1:27" x14ac:dyDescent="0.55000000000000004">
      <c r="A248" s="113"/>
      <c r="B248" s="166"/>
      <c r="C248" s="166"/>
      <c r="D248" s="167"/>
      <c r="E248" s="167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</row>
    <row r="249" spans="1:27" x14ac:dyDescent="0.55000000000000004">
      <c r="A249" s="113"/>
      <c r="B249" s="166"/>
      <c r="C249" s="166"/>
      <c r="D249" s="167"/>
      <c r="E249" s="167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</row>
    <row r="250" spans="1:27" x14ac:dyDescent="0.55000000000000004">
      <c r="A250" s="113"/>
      <c r="B250" s="166"/>
      <c r="C250" s="166"/>
      <c r="D250" s="167"/>
      <c r="E250" s="167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</row>
    <row r="251" spans="1:27" x14ac:dyDescent="0.55000000000000004">
      <c r="A251" s="113"/>
      <c r="B251" s="166"/>
      <c r="C251" s="166"/>
      <c r="D251" s="167"/>
      <c r="E251" s="167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</row>
    <row r="252" spans="1:27" x14ac:dyDescent="0.55000000000000004">
      <c r="A252" s="113"/>
      <c r="B252" s="166"/>
      <c r="C252" s="166"/>
      <c r="D252" s="167"/>
      <c r="E252" s="167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</row>
    <row r="253" spans="1:27" x14ac:dyDescent="0.55000000000000004">
      <c r="A253" s="113"/>
      <c r="B253" s="166"/>
      <c r="C253" s="166"/>
      <c r="D253" s="167"/>
      <c r="E253" s="167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</row>
    <row r="254" spans="1:27" x14ac:dyDescent="0.55000000000000004">
      <c r="A254" s="113"/>
      <c r="B254" s="166"/>
      <c r="C254" s="166"/>
      <c r="D254" s="167"/>
      <c r="E254" s="167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</row>
    <row r="255" spans="1:27" x14ac:dyDescent="0.55000000000000004">
      <c r="A255" s="113"/>
      <c r="B255" s="166"/>
      <c r="C255" s="166"/>
      <c r="D255" s="167"/>
      <c r="E255" s="167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</row>
    <row r="256" spans="1:27" x14ac:dyDescent="0.55000000000000004">
      <c r="A256" s="113"/>
      <c r="B256" s="166"/>
      <c r="C256" s="166"/>
      <c r="D256" s="167"/>
      <c r="E256" s="167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</row>
    <row r="257" spans="1:27" x14ac:dyDescent="0.55000000000000004">
      <c r="A257" s="113"/>
      <c r="B257" s="166"/>
      <c r="C257" s="166"/>
      <c r="D257" s="167"/>
      <c r="E257" s="167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</row>
    <row r="258" spans="1:27" x14ac:dyDescent="0.55000000000000004">
      <c r="A258" s="113"/>
      <c r="B258" s="166"/>
      <c r="C258" s="166"/>
      <c r="D258" s="167"/>
      <c r="E258" s="167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</row>
    <row r="259" spans="1:27" x14ac:dyDescent="0.55000000000000004">
      <c r="A259" s="113"/>
      <c r="B259" s="166"/>
      <c r="C259" s="166"/>
      <c r="D259" s="167"/>
      <c r="E259" s="167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</row>
    <row r="260" spans="1:27" x14ac:dyDescent="0.55000000000000004">
      <c r="A260" s="113"/>
      <c r="B260" s="166"/>
      <c r="C260" s="166"/>
      <c r="D260" s="167"/>
      <c r="E260" s="167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</row>
    <row r="261" spans="1:27" x14ac:dyDescent="0.55000000000000004">
      <c r="A261" s="113"/>
      <c r="B261" s="166"/>
      <c r="C261" s="166"/>
      <c r="D261" s="167"/>
      <c r="E261" s="167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</row>
    <row r="262" spans="1:27" x14ac:dyDescent="0.55000000000000004">
      <c r="A262" s="113"/>
      <c r="B262" s="166"/>
      <c r="C262" s="166"/>
      <c r="D262" s="167"/>
      <c r="E262" s="167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</row>
    <row r="263" spans="1:27" x14ac:dyDescent="0.55000000000000004">
      <c r="A263" s="113"/>
      <c r="B263" s="166"/>
      <c r="C263" s="166"/>
      <c r="D263" s="167"/>
      <c r="E263" s="167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</row>
    <row r="264" spans="1:27" x14ac:dyDescent="0.55000000000000004">
      <c r="A264" s="113"/>
      <c r="B264" s="166"/>
      <c r="C264" s="166"/>
      <c r="D264" s="167"/>
      <c r="E264" s="167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</row>
    <row r="265" spans="1:27" x14ac:dyDescent="0.55000000000000004">
      <c r="A265" s="113"/>
      <c r="B265" s="166"/>
      <c r="C265" s="166"/>
      <c r="D265" s="167"/>
      <c r="E265" s="167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</row>
    <row r="266" spans="1:27" x14ac:dyDescent="0.55000000000000004">
      <c r="A266" s="113"/>
      <c r="B266" s="166"/>
      <c r="C266" s="166"/>
      <c r="D266" s="167"/>
      <c r="E266" s="167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</row>
    <row r="267" spans="1:27" x14ac:dyDescent="0.55000000000000004">
      <c r="A267" s="113"/>
      <c r="B267" s="166"/>
      <c r="C267" s="166"/>
      <c r="D267" s="167"/>
      <c r="E267" s="167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</row>
    <row r="268" spans="1:27" x14ac:dyDescent="0.55000000000000004">
      <c r="A268" s="113"/>
      <c r="B268" s="166"/>
      <c r="C268" s="166"/>
      <c r="D268" s="167"/>
      <c r="E268" s="167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</row>
    <row r="269" spans="1:27" x14ac:dyDescent="0.55000000000000004">
      <c r="A269" s="113"/>
      <c r="B269" s="166"/>
      <c r="C269" s="166"/>
      <c r="D269" s="167"/>
      <c r="E269" s="167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</row>
    <row r="270" spans="1:27" x14ac:dyDescent="0.55000000000000004">
      <c r="A270" s="113"/>
      <c r="B270" s="166"/>
      <c r="C270" s="166"/>
      <c r="D270" s="167"/>
      <c r="E270" s="167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</row>
    <row r="271" spans="1:27" x14ac:dyDescent="0.55000000000000004">
      <c r="A271" s="113"/>
      <c r="B271" s="166"/>
      <c r="C271" s="166"/>
      <c r="D271" s="167"/>
      <c r="E271" s="167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</row>
    <row r="272" spans="1:27" x14ac:dyDescent="0.55000000000000004">
      <c r="A272" s="113"/>
      <c r="B272" s="166"/>
      <c r="C272" s="166"/>
      <c r="D272" s="167"/>
      <c r="E272" s="167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</row>
    <row r="273" spans="1:27" x14ac:dyDescent="0.55000000000000004">
      <c r="A273" s="113"/>
      <c r="B273" s="166"/>
      <c r="C273" s="166"/>
      <c r="D273" s="167"/>
      <c r="E273" s="167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</row>
    <row r="274" spans="1:27" x14ac:dyDescent="0.55000000000000004">
      <c r="A274" s="113"/>
      <c r="B274" s="166"/>
      <c r="C274" s="166"/>
      <c r="D274" s="167"/>
      <c r="E274" s="167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</row>
    <row r="275" spans="1:27" x14ac:dyDescent="0.55000000000000004">
      <c r="A275" s="113"/>
      <c r="B275" s="166"/>
      <c r="C275" s="166"/>
      <c r="D275" s="167"/>
      <c r="E275" s="167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</row>
    <row r="276" spans="1:27" x14ac:dyDescent="0.55000000000000004">
      <c r="A276" s="113"/>
      <c r="B276" s="166"/>
      <c r="C276" s="166"/>
      <c r="D276" s="167"/>
      <c r="E276" s="167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</row>
    <row r="277" spans="1:27" x14ac:dyDescent="0.55000000000000004">
      <c r="A277" s="113"/>
      <c r="B277" s="166"/>
      <c r="C277" s="166"/>
      <c r="D277" s="167"/>
      <c r="E277" s="167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</row>
    <row r="278" spans="1:27" x14ac:dyDescent="0.55000000000000004">
      <c r="A278" s="113"/>
      <c r="B278" s="166"/>
      <c r="C278" s="166"/>
      <c r="D278" s="167"/>
      <c r="E278" s="167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</row>
    <row r="279" spans="1:27" x14ac:dyDescent="0.55000000000000004">
      <c r="A279" s="113"/>
      <c r="B279" s="166"/>
      <c r="C279" s="166"/>
      <c r="D279" s="167"/>
      <c r="E279" s="167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</row>
    <row r="280" spans="1:27" x14ac:dyDescent="0.55000000000000004">
      <c r="A280" s="113"/>
      <c r="B280" s="166"/>
      <c r="C280" s="166"/>
      <c r="D280" s="167"/>
      <c r="E280" s="167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</row>
    <row r="281" spans="1:27" x14ac:dyDescent="0.55000000000000004">
      <c r="A281" s="113"/>
      <c r="B281" s="166"/>
      <c r="C281" s="166"/>
      <c r="D281" s="167"/>
      <c r="E281" s="167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</row>
    <row r="282" spans="1:27" x14ac:dyDescent="0.55000000000000004">
      <c r="A282" s="113"/>
      <c r="B282" s="166"/>
      <c r="C282" s="166"/>
      <c r="D282" s="167"/>
      <c r="E282" s="167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</row>
    <row r="283" spans="1:27" x14ac:dyDescent="0.55000000000000004">
      <c r="A283" s="113"/>
      <c r="B283" s="166"/>
      <c r="C283" s="166"/>
      <c r="D283" s="167"/>
      <c r="E283" s="167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</row>
    <row r="284" spans="1:27" x14ac:dyDescent="0.55000000000000004">
      <c r="A284" s="113"/>
      <c r="B284" s="166"/>
      <c r="C284" s="166"/>
      <c r="D284" s="167"/>
      <c r="E284" s="167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</row>
    <row r="285" spans="1:27" x14ac:dyDescent="0.55000000000000004">
      <c r="A285" s="113"/>
      <c r="B285" s="166"/>
      <c r="C285" s="166"/>
      <c r="D285" s="167"/>
      <c r="E285" s="167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</row>
    <row r="286" spans="1:27" x14ac:dyDescent="0.55000000000000004">
      <c r="A286" s="113"/>
      <c r="B286" s="166"/>
      <c r="C286" s="166"/>
      <c r="D286" s="167"/>
      <c r="E286" s="167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</row>
    <row r="287" spans="1:27" x14ac:dyDescent="0.55000000000000004">
      <c r="A287" s="113"/>
      <c r="B287" s="166"/>
      <c r="C287" s="166"/>
      <c r="D287" s="167"/>
      <c r="E287" s="167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</row>
    <row r="288" spans="1:27" x14ac:dyDescent="0.55000000000000004">
      <c r="A288" s="113"/>
      <c r="B288" s="166"/>
      <c r="C288" s="166"/>
      <c r="D288" s="167"/>
      <c r="E288" s="167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</row>
    <row r="289" spans="1:27" x14ac:dyDescent="0.55000000000000004">
      <c r="A289" s="113"/>
      <c r="B289" s="166"/>
      <c r="C289" s="166"/>
      <c r="D289" s="167"/>
      <c r="E289" s="167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</row>
    <row r="290" spans="1:27" x14ac:dyDescent="0.55000000000000004">
      <c r="A290" s="113"/>
      <c r="B290" s="166"/>
      <c r="C290" s="166"/>
      <c r="D290" s="167"/>
      <c r="E290" s="167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</row>
    <row r="291" spans="1:27" x14ac:dyDescent="0.55000000000000004">
      <c r="A291" s="113"/>
      <c r="B291" s="166"/>
      <c r="C291" s="166"/>
      <c r="D291" s="167"/>
      <c r="E291" s="167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</row>
    <row r="292" spans="1:27" x14ac:dyDescent="0.55000000000000004">
      <c r="A292" s="113"/>
      <c r="B292" s="166"/>
      <c r="C292" s="166"/>
      <c r="D292" s="167"/>
      <c r="E292" s="167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</row>
    <row r="293" spans="1:27" x14ac:dyDescent="0.55000000000000004">
      <c r="A293" s="113"/>
      <c r="B293" s="166"/>
      <c r="C293" s="166"/>
      <c r="D293" s="167"/>
      <c r="E293" s="167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</row>
    <row r="294" spans="1:27" x14ac:dyDescent="0.55000000000000004">
      <c r="A294" s="113"/>
      <c r="B294" s="166"/>
      <c r="C294" s="166"/>
      <c r="D294" s="167"/>
      <c r="E294" s="167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</row>
    <row r="295" spans="1:27" x14ac:dyDescent="0.55000000000000004">
      <c r="A295" s="113"/>
      <c r="B295" s="166"/>
      <c r="C295" s="166"/>
      <c r="D295" s="167"/>
      <c r="E295" s="167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</row>
    <row r="296" spans="1:27" x14ac:dyDescent="0.55000000000000004">
      <c r="A296" s="113"/>
      <c r="B296" s="166"/>
      <c r="C296" s="166"/>
      <c r="D296" s="167"/>
      <c r="E296" s="167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</row>
    <row r="297" spans="1:27" x14ac:dyDescent="0.55000000000000004">
      <c r="A297" s="113"/>
      <c r="B297" s="166"/>
      <c r="C297" s="166"/>
      <c r="D297" s="167"/>
      <c r="E297" s="167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</row>
    <row r="298" spans="1:27" x14ac:dyDescent="0.55000000000000004">
      <c r="A298" s="113"/>
      <c r="B298" s="166"/>
      <c r="C298" s="166"/>
      <c r="D298" s="167"/>
      <c r="E298" s="167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</row>
    <row r="299" spans="1:27" x14ac:dyDescent="0.55000000000000004">
      <c r="A299" s="113"/>
      <c r="B299" s="166"/>
      <c r="C299" s="166"/>
      <c r="D299" s="167"/>
      <c r="E299" s="167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</row>
    <row r="300" spans="1:27" x14ac:dyDescent="0.55000000000000004">
      <c r="A300" s="113"/>
      <c r="B300" s="166"/>
      <c r="C300" s="166"/>
      <c r="D300" s="167"/>
      <c r="E300" s="167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</row>
    <row r="301" spans="1:27" x14ac:dyDescent="0.55000000000000004">
      <c r="A301" s="113"/>
      <c r="B301" s="166"/>
      <c r="C301" s="166"/>
      <c r="D301" s="167"/>
      <c r="E301" s="167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</row>
    <row r="302" spans="1:27" x14ac:dyDescent="0.55000000000000004">
      <c r="A302" s="113"/>
      <c r="B302" s="166"/>
      <c r="C302" s="166"/>
      <c r="D302" s="167"/>
      <c r="E302" s="167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</row>
    <row r="303" spans="1:27" x14ac:dyDescent="0.55000000000000004">
      <c r="A303" s="113"/>
      <c r="B303" s="166"/>
      <c r="C303" s="166"/>
      <c r="D303" s="167"/>
      <c r="E303" s="167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</row>
    <row r="304" spans="1:27" x14ac:dyDescent="0.55000000000000004">
      <c r="A304" s="113"/>
      <c r="B304" s="166"/>
      <c r="C304" s="166"/>
      <c r="D304" s="167"/>
      <c r="E304" s="167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</row>
    <row r="305" spans="1:27" x14ac:dyDescent="0.55000000000000004">
      <c r="A305" s="113"/>
      <c r="B305" s="166"/>
      <c r="C305" s="166"/>
      <c r="D305" s="167"/>
      <c r="E305" s="167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</row>
    <row r="306" spans="1:27" x14ac:dyDescent="0.55000000000000004">
      <c r="A306" s="113"/>
      <c r="B306" s="166"/>
      <c r="C306" s="166"/>
      <c r="D306" s="167"/>
      <c r="E306" s="167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</row>
    <row r="307" spans="1:27" x14ac:dyDescent="0.55000000000000004">
      <c r="A307" s="113"/>
      <c r="B307" s="166"/>
      <c r="C307" s="166"/>
      <c r="D307" s="167"/>
      <c r="E307" s="167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</row>
    <row r="308" spans="1:27" x14ac:dyDescent="0.55000000000000004">
      <c r="A308" s="113"/>
      <c r="B308" s="166"/>
      <c r="C308" s="166"/>
      <c r="D308" s="167"/>
      <c r="E308" s="167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</row>
    <row r="309" spans="1:27" x14ac:dyDescent="0.55000000000000004">
      <c r="A309" s="113"/>
      <c r="B309" s="166"/>
      <c r="C309" s="166"/>
      <c r="D309" s="167"/>
      <c r="E309" s="167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</row>
    <row r="310" spans="1:27" x14ac:dyDescent="0.55000000000000004">
      <c r="A310" s="113"/>
      <c r="B310" s="166"/>
      <c r="C310" s="166"/>
      <c r="D310" s="167"/>
      <c r="E310" s="167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</row>
    <row r="311" spans="1:27" x14ac:dyDescent="0.55000000000000004">
      <c r="A311" s="113"/>
      <c r="B311" s="166"/>
      <c r="C311" s="166"/>
      <c r="D311" s="167"/>
      <c r="E311" s="167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</row>
    <row r="312" spans="1:27" x14ac:dyDescent="0.55000000000000004">
      <c r="A312" s="113"/>
      <c r="B312" s="166"/>
      <c r="C312" s="166"/>
      <c r="D312" s="167"/>
      <c r="E312" s="167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</row>
    <row r="313" spans="1:27" x14ac:dyDescent="0.55000000000000004">
      <c r="A313" s="113"/>
      <c r="B313" s="166"/>
      <c r="C313" s="166"/>
      <c r="D313" s="167"/>
      <c r="E313" s="167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</row>
    <row r="314" spans="1:27" x14ac:dyDescent="0.55000000000000004">
      <c r="A314" s="113"/>
      <c r="B314" s="166"/>
      <c r="C314" s="166"/>
      <c r="D314" s="167"/>
      <c r="E314" s="167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</row>
    <row r="315" spans="1:27" x14ac:dyDescent="0.55000000000000004">
      <c r="A315" s="113"/>
      <c r="B315" s="166"/>
      <c r="C315" s="166"/>
      <c r="D315" s="167"/>
      <c r="E315" s="167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</row>
    <row r="316" spans="1:27" x14ac:dyDescent="0.55000000000000004">
      <c r="A316" s="113"/>
      <c r="B316" s="166"/>
      <c r="C316" s="166"/>
      <c r="D316" s="167"/>
      <c r="E316" s="167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</row>
    <row r="317" spans="1:27" x14ac:dyDescent="0.55000000000000004">
      <c r="A317" s="113"/>
      <c r="B317" s="166"/>
      <c r="C317" s="166"/>
      <c r="D317" s="167"/>
      <c r="E317" s="167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</row>
    <row r="318" spans="1:27" x14ac:dyDescent="0.55000000000000004">
      <c r="A318" s="113"/>
      <c r="B318" s="166"/>
      <c r="C318" s="166"/>
      <c r="D318" s="167"/>
      <c r="E318" s="167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</row>
    <row r="319" spans="1:27" x14ac:dyDescent="0.55000000000000004">
      <c r="A319" s="113"/>
      <c r="B319" s="166"/>
      <c r="C319" s="166"/>
      <c r="D319" s="167"/>
      <c r="E319" s="167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</row>
    <row r="320" spans="1:27" x14ac:dyDescent="0.55000000000000004">
      <c r="A320" s="113"/>
      <c r="B320" s="166"/>
      <c r="C320" s="166"/>
      <c r="D320" s="167"/>
      <c r="E320" s="167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</row>
    <row r="321" spans="1:27" x14ac:dyDescent="0.55000000000000004">
      <c r="A321" s="113"/>
      <c r="B321" s="166"/>
      <c r="C321" s="166"/>
      <c r="D321" s="167"/>
      <c r="E321" s="167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</row>
    <row r="322" spans="1:27" x14ac:dyDescent="0.55000000000000004">
      <c r="A322" s="113"/>
      <c r="B322" s="166"/>
      <c r="C322" s="166"/>
      <c r="D322" s="167"/>
      <c r="E322" s="167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</row>
    <row r="323" spans="1:27" x14ac:dyDescent="0.55000000000000004">
      <c r="A323" s="113"/>
      <c r="B323" s="166"/>
      <c r="C323" s="166"/>
      <c r="D323" s="167"/>
      <c r="E323" s="167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</row>
    <row r="324" spans="1:27" x14ac:dyDescent="0.55000000000000004">
      <c r="A324" s="113"/>
      <c r="B324" s="166"/>
      <c r="C324" s="166"/>
      <c r="D324" s="167"/>
      <c r="E324" s="167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</row>
    <row r="325" spans="1:27" x14ac:dyDescent="0.55000000000000004">
      <c r="A325" s="113"/>
      <c r="B325" s="166"/>
      <c r="C325" s="166"/>
      <c r="D325" s="167"/>
      <c r="E325" s="167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</row>
    <row r="326" spans="1:27" x14ac:dyDescent="0.55000000000000004">
      <c r="A326" s="113"/>
      <c r="B326" s="166"/>
      <c r="C326" s="166"/>
      <c r="D326" s="167"/>
      <c r="E326" s="167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</row>
    <row r="327" spans="1:27" x14ac:dyDescent="0.55000000000000004">
      <c r="A327" s="113"/>
      <c r="B327" s="166"/>
      <c r="C327" s="166"/>
      <c r="D327" s="167"/>
      <c r="E327" s="167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</row>
    <row r="328" spans="1:27" x14ac:dyDescent="0.55000000000000004">
      <c r="A328" s="113"/>
      <c r="B328" s="166"/>
      <c r="C328" s="166"/>
      <c r="D328" s="167"/>
      <c r="E328" s="167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</row>
    <row r="329" spans="1:27" x14ac:dyDescent="0.55000000000000004">
      <c r="A329" s="113"/>
      <c r="B329" s="166"/>
      <c r="C329" s="166"/>
      <c r="D329" s="167"/>
      <c r="E329" s="167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</row>
    <row r="330" spans="1:27" x14ac:dyDescent="0.55000000000000004">
      <c r="A330" s="113"/>
      <c r="B330" s="166"/>
      <c r="C330" s="166"/>
      <c r="D330" s="167"/>
      <c r="E330" s="167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</row>
    <row r="331" spans="1:27" x14ac:dyDescent="0.55000000000000004">
      <c r="A331" s="113"/>
      <c r="B331" s="166"/>
      <c r="C331" s="166"/>
      <c r="D331" s="167"/>
      <c r="E331" s="167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</row>
    <row r="332" spans="1:27" x14ac:dyDescent="0.55000000000000004">
      <c r="A332" s="113"/>
      <c r="B332" s="166"/>
      <c r="C332" s="166"/>
      <c r="D332" s="167"/>
      <c r="E332" s="167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</row>
    <row r="333" spans="1:27" x14ac:dyDescent="0.55000000000000004">
      <c r="A333" s="113"/>
      <c r="B333" s="166"/>
      <c r="C333" s="166"/>
      <c r="D333" s="167"/>
      <c r="E333" s="167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</row>
    <row r="334" spans="1:27" x14ac:dyDescent="0.55000000000000004">
      <c r="A334" s="113"/>
      <c r="B334" s="166"/>
      <c r="C334" s="166"/>
      <c r="D334" s="167"/>
      <c r="E334" s="167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</row>
    <row r="335" spans="1:27" x14ac:dyDescent="0.55000000000000004">
      <c r="A335" s="113"/>
      <c r="B335" s="166"/>
      <c r="C335" s="166"/>
      <c r="D335" s="167"/>
      <c r="E335" s="167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</row>
    <row r="336" spans="1:27" x14ac:dyDescent="0.55000000000000004">
      <c r="A336" s="113"/>
      <c r="B336" s="166"/>
      <c r="C336" s="166"/>
      <c r="D336" s="167"/>
      <c r="E336" s="167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</row>
    <row r="337" spans="1:27" x14ac:dyDescent="0.55000000000000004">
      <c r="A337" s="113"/>
      <c r="B337" s="166"/>
      <c r="C337" s="166"/>
      <c r="D337" s="167"/>
      <c r="E337" s="167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</row>
    <row r="338" spans="1:27" x14ac:dyDescent="0.55000000000000004">
      <c r="A338" s="113"/>
      <c r="B338" s="166"/>
      <c r="C338" s="166"/>
      <c r="D338" s="167"/>
      <c r="E338" s="167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</row>
    <row r="339" spans="1:27" x14ac:dyDescent="0.55000000000000004">
      <c r="A339" s="113"/>
      <c r="B339" s="166"/>
      <c r="C339" s="166"/>
      <c r="D339" s="167"/>
      <c r="E339" s="167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</row>
    <row r="340" spans="1:27" x14ac:dyDescent="0.55000000000000004">
      <c r="A340" s="113"/>
      <c r="B340" s="166"/>
      <c r="C340" s="166"/>
      <c r="D340" s="167"/>
      <c r="E340" s="167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</row>
    <row r="341" spans="1:27" x14ac:dyDescent="0.55000000000000004">
      <c r="A341" s="113"/>
      <c r="B341" s="166"/>
      <c r="C341" s="166"/>
      <c r="D341" s="167"/>
      <c r="E341" s="167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</row>
    <row r="342" spans="1:27" x14ac:dyDescent="0.55000000000000004">
      <c r="A342" s="113"/>
      <c r="B342" s="166"/>
      <c r="C342" s="166"/>
      <c r="D342" s="167"/>
      <c r="E342" s="167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</row>
    <row r="343" spans="1:27" x14ac:dyDescent="0.55000000000000004">
      <c r="A343" s="113"/>
      <c r="B343" s="166"/>
      <c r="C343" s="166"/>
      <c r="D343" s="167"/>
      <c r="E343" s="167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</row>
    <row r="344" spans="1:27" x14ac:dyDescent="0.55000000000000004">
      <c r="A344" s="113"/>
      <c r="B344" s="166"/>
      <c r="C344" s="166"/>
      <c r="D344" s="167"/>
      <c r="E344" s="167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</row>
    <row r="345" spans="1:27" x14ac:dyDescent="0.55000000000000004">
      <c r="A345" s="113"/>
      <c r="B345" s="166"/>
      <c r="C345" s="166"/>
      <c r="D345" s="167"/>
      <c r="E345" s="167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</row>
    <row r="346" spans="1:27" x14ac:dyDescent="0.55000000000000004">
      <c r="A346" s="113"/>
      <c r="B346" s="166"/>
      <c r="C346" s="166"/>
      <c r="D346" s="167"/>
      <c r="E346" s="167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</row>
    <row r="347" spans="1:27" x14ac:dyDescent="0.55000000000000004">
      <c r="A347" s="113"/>
      <c r="B347" s="166"/>
      <c r="C347" s="166"/>
      <c r="D347" s="167"/>
      <c r="E347" s="167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</row>
    <row r="348" spans="1:27" x14ac:dyDescent="0.55000000000000004">
      <c r="A348" s="113"/>
      <c r="B348" s="166"/>
      <c r="C348" s="166"/>
      <c r="D348" s="167"/>
      <c r="E348" s="167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</row>
    <row r="349" spans="1:27" x14ac:dyDescent="0.55000000000000004">
      <c r="A349" s="113"/>
      <c r="B349" s="166"/>
      <c r="C349" s="166"/>
      <c r="D349" s="167"/>
      <c r="E349" s="167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</row>
    <row r="350" spans="1:27" x14ac:dyDescent="0.55000000000000004">
      <c r="A350" s="113"/>
      <c r="B350" s="166"/>
      <c r="C350" s="166"/>
      <c r="D350" s="167"/>
      <c r="E350" s="167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</row>
    <row r="351" spans="1:27" x14ac:dyDescent="0.55000000000000004">
      <c r="A351" s="113"/>
      <c r="B351" s="166"/>
      <c r="C351" s="166"/>
      <c r="D351" s="167"/>
      <c r="E351" s="167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</row>
    <row r="352" spans="1:27" x14ac:dyDescent="0.55000000000000004">
      <c r="A352" s="113"/>
      <c r="B352" s="166"/>
      <c r="C352" s="166"/>
      <c r="D352" s="167"/>
      <c r="E352" s="167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</row>
    <row r="353" spans="1:27" x14ac:dyDescent="0.55000000000000004">
      <c r="A353" s="113"/>
      <c r="B353" s="166"/>
      <c r="C353" s="166"/>
      <c r="D353" s="167"/>
      <c r="E353" s="167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</row>
    <row r="354" spans="1:27" x14ac:dyDescent="0.55000000000000004">
      <c r="A354" s="113"/>
      <c r="B354" s="166"/>
      <c r="C354" s="166"/>
      <c r="D354" s="167"/>
      <c r="E354" s="167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</row>
    <row r="355" spans="1:27" x14ac:dyDescent="0.55000000000000004">
      <c r="A355" s="113"/>
      <c r="B355" s="166"/>
      <c r="C355" s="166"/>
      <c r="D355" s="167"/>
      <c r="E355" s="167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</row>
    <row r="356" spans="1:27" x14ac:dyDescent="0.55000000000000004">
      <c r="A356" s="113"/>
      <c r="B356" s="166"/>
      <c r="C356" s="166"/>
      <c r="D356" s="167"/>
      <c r="E356" s="167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</row>
    <row r="357" spans="1:27" x14ac:dyDescent="0.55000000000000004">
      <c r="A357" s="113"/>
      <c r="B357" s="166"/>
      <c r="C357" s="166"/>
      <c r="D357" s="167"/>
      <c r="E357" s="167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</row>
    <row r="358" spans="1:27" x14ac:dyDescent="0.55000000000000004">
      <c r="A358" s="113"/>
      <c r="B358" s="166"/>
      <c r="C358" s="166"/>
      <c r="D358" s="167"/>
      <c r="E358" s="167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</row>
    <row r="359" spans="1:27" x14ac:dyDescent="0.55000000000000004">
      <c r="A359" s="113"/>
      <c r="B359" s="166"/>
      <c r="C359" s="166"/>
      <c r="D359" s="167"/>
      <c r="E359" s="167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</row>
    <row r="360" spans="1:27" x14ac:dyDescent="0.55000000000000004">
      <c r="A360" s="113"/>
      <c r="B360" s="166"/>
      <c r="C360" s="166"/>
      <c r="D360" s="167"/>
      <c r="E360" s="167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</row>
    <row r="361" spans="1:27" x14ac:dyDescent="0.55000000000000004">
      <c r="A361" s="113"/>
      <c r="B361" s="166"/>
      <c r="C361" s="166"/>
      <c r="D361" s="167"/>
      <c r="E361" s="167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</row>
    <row r="362" spans="1:27" x14ac:dyDescent="0.55000000000000004">
      <c r="A362" s="113"/>
      <c r="B362" s="166"/>
      <c r="C362" s="166"/>
      <c r="D362" s="167"/>
      <c r="E362" s="167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</row>
    <row r="363" spans="1:27" x14ac:dyDescent="0.55000000000000004">
      <c r="A363" s="113"/>
      <c r="B363" s="166"/>
      <c r="C363" s="166"/>
      <c r="D363" s="167"/>
      <c r="E363" s="167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</row>
    <row r="364" spans="1:27" x14ac:dyDescent="0.55000000000000004">
      <c r="A364" s="113"/>
      <c r="B364" s="166"/>
      <c r="C364" s="166"/>
      <c r="D364" s="167"/>
      <c r="E364" s="167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</row>
    <row r="365" spans="1:27" x14ac:dyDescent="0.55000000000000004">
      <c r="A365" s="113"/>
      <c r="B365" s="166"/>
      <c r="C365" s="166"/>
      <c r="D365" s="167"/>
      <c r="E365" s="167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 spans="1:27" x14ac:dyDescent="0.55000000000000004">
      <c r="A366" s="113"/>
      <c r="B366" s="166"/>
      <c r="C366" s="166"/>
      <c r="D366" s="167"/>
      <c r="E366" s="167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 spans="1:27" x14ac:dyDescent="0.55000000000000004">
      <c r="A367" s="113"/>
      <c r="B367" s="166"/>
      <c r="C367" s="166"/>
      <c r="D367" s="167"/>
      <c r="E367" s="167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</row>
    <row r="368" spans="1:27" x14ac:dyDescent="0.55000000000000004">
      <c r="A368" s="113"/>
      <c r="B368" s="166"/>
      <c r="C368" s="166"/>
      <c r="D368" s="167"/>
      <c r="E368" s="167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</row>
    <row r="369" spans="1:27" x14ac:dyDescent="0.55000000000000004">
      <c r="A369" s="113"/>
      <c r="B369" s="166"/>
      <c r="C369" s="166"/>
      <c r="D369" s="167"/>
      <c r="E369" s="167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</row>
    <row r="370" spans="1:27" x14ac:dyDescent="0.55000000000000004">
      <c r="A370" s="113"/>
      <c r="B370" s="166"/>
      <c r="C370" s="166"/>
      <c r="D370" s="167"/>
      <c r="E370" s="167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</row>
    <row r="371" spans="1:27" x14ac:dyDescent="0.55000000000000004">
      <c r="A371" s="113"/>
      <c r="B371" s="166"/>
      <c r="C371" s="166"/>
      <c r="D371" s="167"/>
      <c r="E371" s="167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</row>
    <row r="372" spans="1:27" x14ac:dyDescent="0.55000000000000004">
      <c r="A372" s="113"/>
      <c r="B372" s="166"/>
      <c r="C372" s="166"/>
      <c r="D372" s="167"/>
      <c r="E372" s="167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</row>
    <row r="373" spans="1:27" x14ac:dyDescent="0.55000000000000004">
      <c r="A373" s="113"/>
      <c r="B373" s="166"/>
      <c r="C373" s="166"/>
      <c r="D373" s="167"/>
      <c r="E373" s="167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</row>
    <row r="374" spans="1:27" x14ac:dyDescent="0.55000000000000004">
      <c r="A374" s="113"/>
      <c r="B374" s="166"/>
      <c r="C374" s="166"/>
      <c r="D374" s="167"/>
      <c r="E374" s="167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</row>
    <row r="375" spans="1:27" x14ac:dyDescent="0.55000000000000004">
      <c r="A375" s="113"/>
      <c r="B375" s="166"/>
      <c r="C375" s="166"/>
      <c r="D375" s="167"/>
      <c r="E375" s="167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</row>
    <row r="376" spans="1:27" x14ac:dyDescent="0.55000000000000004">
      <c r="A376" s="113"/>
      <c r="B376" s="166"/>
      <c r="C376" s="166"/>
      <c r="D376" s="167"/>
      <c r="E376" s="167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</row>
    <row r="377" spans="1:27" x14ac:dyDescent="0.55000000000000004">
      <c r="A377" s="113"/>
      <c r="B377" s="166"/>
      <c r="C377" s="166"/>
      <c r="D377" s="167"/>
      <c r="E377" s="167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</row>
    <row r="378" spans="1:27" x14ac:dyDescent="0.55000000000000004">
      <c r="A378" s="113"/>
      <c r="B378" s="166"/>
      <c r="C378" s="166"/>
      <c r="D378" s="167"/>
      <c r="E378" s="167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</row>
    <row r="379" spans="1:27" x14ac:dyDescent="0.55000000000000004">
      <c r="A379" s="113"/>
      <c r="B379" s="166"/>
      <c r="C379" s="166"/>
      <c r="D379" s="167"/>
      <c r="E379" s="167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</row>
    <row r="380" spans="1:27" x14ac:dyDescent="0.55000000000000004">
      <c r="A380" s="113"/>
      <c r="B380" s="166"/>
      <c r="C380" s="166"/>
      <c r="D380" s="167"/>
      <c r="E380" s="167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</row>
    <row r="381" spans="1:27" x14ac:dyDescent="0.55000000000000004">
      <c r="A381" s="113"/>
      <c r="B381" s="166"/>
      <c r="C381" s="166"/>
      <c r="D381" s="167"/>
      <c r="E381" s="167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</row>
    <row r="382" spans="1:27" x14ac:dyDescent="0.55000000000000004">
      <c r="A382" s="113"/>
      <c r="B382" s="166"/>
      <c r="C382" s="166"/>
      <c r="D382" s="167"/>
      <c r="E382" s="167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</row>
    <row r="383" spans="1:27" x14ac:dyDescent="0.55000000000000004">
      <c r="A383" s="113"/>
      <c r="B383" s="166"/>
      <c r="C383" s="166"/>
      <c r="D383" s="167"/>
      <c r="E383" s="167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</row>
    <row r="384" spans="1:27" x14ac:dyDescent="0.55000000000000004">
      <c r="A384" s="113"/>
      <c r="B384" s="166"/>
      <c r="C384" s="166"/>
      <c r="D384" s="167"/>
      <c r="E384" s="167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</row>
    <row r="385" spans="1:27" x14ac:dyDescent="0.55000000000000004">
      <c r="A385" s="113"/>
      <c r="B385" s="166"/>
      <c r="C385" s="166"/>
      <c r="D385" s="167"/>
      <c r="E385" s="167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</row>
    <row r="386" spans="1:27" x14ac:dyDescent="0.55000000000000004">
      <c r="A386" s="113"/>
      <c r="B386" s="166"/>
      <c r="C386" s="166"/>
      <c r="D386" s="167"/>
      <c r="E386" s="167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</row>
    <row r="387" spans="1:27" x14ac:dyDescent="0.55000000000000004">
      <c r="A387" s="113"/>
      <c r="B387" s="166"/>
      <c r="C387" s="166"/>
      <c r="D387" s="167"/>
      <c r="E387" s="167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</row>
    <row r="388" spans="1:27" x14ac:dyDescent="0.55000000000000004">
      <c r="A388" s="113"/>
      <c r="B388" s="166"/>
      <c r="C388" s="166"/>
      <c r="D388" s="167"/>
      <c r="E388" s="167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</row>
    <row r="389" spans="1:27" x14ac:dyDescent="0.55000000000000004">
      <c r="A389" s="113"/>
      <c r="B389" s="166"/>
      <c r="C389" s="166"/>
      <c r="D389" s="167"/>
      <c r="E389" s="167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</row>
    <row r="390" spans="1:27" x14ac:dyDescent="0.55000000000000004">
      <c r="A390" s="113"/>
      <c r="B390" s="166"/>
      <c r="C390" s="166"/>
      <c r="D390" s="167"/>
      <c r="E390" s="167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</row>
    <row r="391" spans="1:27" x14ac:dyDescent="0.55000000000000004">
      <c r="A391" s="113"/>
      <c r="B391" s="166"/>
      <c r="C391" s="166"/>
      <c r="D391" s="167"/>
      <c r="E391" s="167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</row>
    <row r="392" spans="1:27" x14ac:dyDescent="0.55000000000000004">
      <c r="A392" s="113"/>
      <c r="B392" s="166"/>
      <c r="C392" s="166"/>
      <c r="D392" s="167"/>
      <c r="E392" s="167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</row>
    <row r="393" spans="1:27" x14ac:dyDescent="0.55000000000000004">
      <c r="A393" s="113"/>
      <c r="B393" s="166"/>
      <c r="C393" s="166"/>
      <c r="D393" s="167"/>
      <c r="E393" s="167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</row>
    <row r="394" spans="1:27" x14ac:dyDescent="0.55000000000000004">
      <c r="A394" s="113"/>
      <c r="B394" s="166"/>
      <c r="C394" s="166"/>
      <c r="D394" s="167"/>
      <c r="E394" s="167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</row>
    <row r="395" spans="1:27" x14ac:dyDescent="0.55000000000000004">
      <c r="A395" s="113"/>
      <c r="B395" s="166"/>
      <c r="C395" s="166"/>
      <c r="D395" s="167"/>
      <c r="E395" s="167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</row>
    <row r="396" spans="1:27" x14ac:dyDescent="0.55000000000000004">
      <c r="A396" s="113"/>
      <c r="B396" s="166"/>
      <c r="C396" s="166"/>
      <c r="D396" s="167"/>
      <c r="E396" s="167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</row>
    <row r="397" spans="1:27" x14ac:dyDescent="0.55000000000000004">
      <c r="A397" s="113"/>
      <c r="B397" s="166"/>
      <c r="C397" s="166"/>
      <c r="D397" s="167"/>
      <c r="E397" s="167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</row>
    <row r="398" spans="1:27" x14ac:dyDescent="0.55000000000000004">
      <c r="A398" s="113"/>
      <c r="B398" s="166"/>
      <c r="C398" s="166"/>
      <c r="D398" s="167"/>
      <c r="E398" s="167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</row>
    <row r="399" spans="1:27" x14ac:dyDescent="0.55000000000000004">
      <c r="A399" s="113"/>
      <c r="B399" s="166"/>
      <c r="C399" s="166"/>
      <c r="D399" s="167"/>
      <c r="E399" s="167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</row>
    <row r="400" spans="1:27" x14ac:dyDescent="0.55000000000000004">
      <c r="A400" s="113"/>
      <c r="B400" s="166"/>
      <c r="C400" s="166"/>
      <c r="D400" s="167"/>
      <c r="E400" s="167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</row>
    <row r="401" spans="1:27" x14ac:dyDescent="0.55000000000000004">
      <c r="A401" s="113"/>
      <c r="B401" s="166"/>
      <c r="C401" s="166"/>
      <c r="D401" s="167"/>
      <c r="E401" s="167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</row>
    <row r="402" spans="1:27" x14ac:dyDescent="0.55000000000000004">
      <c r="A402" s="113"/>
      <c r="B402" s="166"/>
      <c r="C402" s="166"/>
      <c r="D402" s="167"/>
      <c r="E402" s="167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</row>
    <row r="403" spans="1:27" x14ac:dyDescent="0.55000000000000004">
      <c r="A403" s="113"/>
      <c r="B403" s="166"/>
      <c r="C403" s="166"/>
      <c r="D403" s="167"/>
      <c r="E403" s="167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</row>
    <row r="404" spans="1:27" x14ac:dyDescent="0.55000000000000004">
      <c r="A404" s="113"/>
      <c r="B404" s="166"/>
      <c r="C404" s="166"/>
      <c r="D404" s="167"/>
      <c r="E404" s="167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</row>
    <row r="405" spans="1:27" x14ac:dyDescent="0.55000000000000004">
      <c r="A405" s="113"/>
      <c r="B405" s="166"/>
      <c r="C405" s="166"/>
      <c r="D405" s="167"/>
      <c r="E405" s="167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</row>
    <row r="406" spans="1:27" x14ac:dyDescent="0.55000000000000004">
      <c r="A406" s="113"/>
      <c r="B406" s="166"/>
      <c r="C406" s="166"/>
      <c r="D406" s="167"/>
      <c r="E406" s="167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</row>
    <row r="407" spans="1:27" x14ac:dyDescent="0.55000000000000004">
      <c r="A407" s="113"/>
      <c r="B407" s="166"/>
      <c r="C407" s="166"/>
      <c r="D407" s="167"/>
      <c r="E407" s="167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</row>
    <row r="408" spans="1:27" x14ac:dyDescent="0.55000000000000004">
      <c r="A408" s="113"/>
      <c r="B408" s="166"/>
      <c r="C408" s="166"/>
      <c r="D408" s="167"/>
      <c r="E408" s="167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</row>
    <row r="409" spans="1:27" x14ac:dyDescent="0.55000000000000004">
      <c r="A409" s="113"/>
      <c r="B409" s="166"/>
      <c r="C409" s="166"/>
      <c r="D409" s="167"/>
      <c r="E409" s="167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</row>
    <row r="410" spans="1:27" x14ac:dyDescent="0.55000000000000004">
      <c r="A410" s="113"/>
      <c r="B410" s="166"/>
      <c r="C410" s="166"/>
      <c r="D410" s="167"/>
      <c r="E410" s="167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</row>
    <row r="411" spans="1:27" x14ac:dyDescent="0.55000000000000004">
      <c r="A411" s="113"/>
      <c r="B411" s="166"/>
      <c r="C411" s="166"/>
      <c r="D411" s="167"/>
      <c r="E411" s="167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</row>
    <row r="412" spans="1:27" x14ac:dyDescent="0.55000000000000004">
      <c r="A412" s="113"/>
      <c r="B412" s="166"/>
      <c r="C412" s="166"/>
      <c r="D412" s="167"/>
      <c r="E412" s="167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</row>
    <row r="413" spans="1:27" x14ac:dyDescent="0.55000000000000004">
      <c r="A413" s="113"/>
      <c r="B413" s="166"/>
      <c r="C413" s="166"/>
      <c r="D413" s="167"/>
      <c r="E413" s="167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</row>
    <row r="414" spans="1:27" x14ac:dyDescent="0.55000000000000004">
      <c r="A414" s="113"/>
      <c r="B414" s="166"/>
      <c r="C414" s="166"/>
      <c r="D414" s="167"/>
      <c r="E414" s="167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</row>
    <row r="415" spans="1:27" x14ac:dyDescent="0.55000000000000004">
      <c r="A415" s="113"/>
      <c r="B415" s="166"/>
      <c r="C415" s="166"/>
      <c r="D415" s="167"/>
      <c r="E415" s="167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</row>
    <row r="416" spans="1:27" x14ac:dyDescent="0.55000000000000004">
      <c r="A416" s="113"/>
      <c r="B416" s="166"/>
      <c r="C416" s="166"/>
      <c r="D416" s="167"/>
      <c r="E416" s="167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</row>
    <row r="417" spans="1:27" x14ac:dyDescent="0.55000000000000004">
      <c r="A417" s="113"/>
      <c r="B417" s="166"/>
      <c r="C417" s="166"/>
      <c r="D417" s="167"/>
      <c r="E417" s="167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</row>
    <row r="418" spans="1:27" x14ac:dyDescent="0.55000000000000004">
      <c r="A418" s="113"/>
      <c r="B418" s="166"/>
      <c r="C418" s="166"/>
      <c r="D418" s="167"/>
      <c r="E418" s="167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</row>
    <row r="419" spans="1:27" x14ac:dyDescent="0.55000000000000004">
      <c r="A419" s="113"/>
      <c r="B419" s="166"/>
      <c r="C419" s="166"/>
      <c r="D419" s="167"/>
      <c r="E419" s="167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</row>
    <row r="420" spans="1:27" x14ac:dyDescent="0.55000000000000004">
      <c r="A420" s="113"/>
      <c r="B420" s="166"/>
      <c r="C420" s="166"/>
      <c r="D420" s="167"/>
      <c r="E420" s="167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</row>
    <row r="421" spans="1:27" x14ac:dyDescent="0.55000000000000004">
      <c r="A421" s="113"/>
      <c r="B421" s="166"/>
      <c r="C421" s="166"/>
      <c r="D421" s="167"/>
      <c r="E421" s="167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</row>
    <row r="422" spans="1:27" x14ac:dyDescent="0.55000000000000004">
      <c r="A422" s="113"/>
      <c r="B422" s="166"/>
      <c r="C422" s="166"/>
      <c r="D422" s="167"/>
      <c r="E422" s="167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</row>
    <row r="423" spans="1:27" x14ac:dyDescent="0.55000000000000004">
      <c r="A423" s="113"/>
      <c r="B423" s="166"/>
      <c r="C423" s="166"/>
      <c r="D423" s="167"/>
      <c r="E423" s="167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</row>
    <row r="424" spans="1:27" x14ac:dyDescent="0.55000000000000004">
      <c r="A424" s="113"/>
      <c r="B424" s="166"/>
      <c r="C424" s="166"/>
      <c r="D424" s="167"/>
      <c r="E424" s="167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</row>
    <row r="425" spans="1:27" x14ac:dyDescent="0.55000000000000004">
      <c r="A425" s="113"/>
      <c r="B425" s="166"/>
      <c r="C425" s="166"/>
      <c r="D425" s="167"/>
      <c r="E425" s="167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</row>
    <row r="426" spans="1:27" x14ac:dyDescent="0.55000000000000004">
      <c r="A426" s="113"/>
      <c r="B426" s="166"/>
      <c r="C426" s="166"/>
      <c r="D426" s="167"/>
      <c r="E426" s="167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</row>
    <row r="427" spans="1:27" x14ac:dyDescent="0.55000000000000004">
      <c r="A427" s="113"/>
      <c r="B427" s="166"/>
      <c r="C427" s="166"/>
      <c r="D427" s="167"/>
      <c r="E427" s="167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</row>
    <row r="428" spans="1:27" x14ac:dyDescent="0.55000000000000004">
      <c r="A428" s="113"/>
      <c r="B428" s="166"/>
      <c r="C428" s="166"/>
      <c r="D428" s="167"/>
      <c r="E428" s="167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</row>
    <row r="429" spans="1:27" x14ac:dyDescent="0.55000000000000004">
      <c r="A429" s="113"/>
      <c r="B429" s="166"/>
      <c r="C429" s="166"/>
      <c r="D429" s="167"/>
      <c r="E429" s="167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</row>
    <row r="430" spans="1:27" x14ac:dyDescent="0.55000000000000004">
      <c r="A430" s="113"/>
      <c r="B430" s="166"/>
      <c r="C430" s="166"/>
      <c r="D430" s="167"/>
      <c r="E430" s="167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</row>
    <row r="431" spans="1:27" x14ac:dyDescent="0.55000000000000004">
      <c r="A431" s="113"/>
      <c r="B431" s="166"/>
      <c r="C431" s="166"/>
      <c r="D431" s="167"/>
      <c r="E431" s="167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</row>
    <row r="432" spans="1:27" x14ac:dyDescent="0.55000000000000004">
      <c r="A432" s="113"/>
      <c r="B432" s="166"/>
      <c r="C432" s="166"/>
      <c r="D432" s="167"/>
      <c r="E432" s="167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</row>
    <row r="433" spans="1:27" x14ac:dyDescent="0.55000000000000004">
      <c r="A433" s="113"/>
      <c r="B433" s="166"/>
      <c r="C433" s="166"/>
      <c r="D433" s="167"/>
      <c r="E433" s="167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</row>
    <row r="434" spans="1:27" x14ac:dyDescent="0.55000000000000004">
      <c r="A434" s="113"/>
      <c r="B434" s="166"/>
      <c r="C434" s="166"/>
      <c r="D434" s="167"/>
      <c r="E434" s="167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</row>
    <row r="435" spans="1:27" x14ac:dyDescent="0.55000000000000004">
      <c r="A435" s="113"/>
      <c r="B435" s="166"/>
      <c r="C435" s="166"/>
      <c r="D435" s="167"/>
      <c r="E435" s="167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</row>
    <row r="436" spans="1:27" x14ac:dyDescent="0.55000000000000004">
      <c r="A436" s="113"/>
      <c r="B436" s="166"/>
      <c r="C436" s="166"/>
      <c r="D436" s="167"/>
      <c r="E436" s="167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</row>
    <row r="437" spans="1:27" x14ac:dyDescent="0.55000000000000004">
      <c r="A437" s="113"/>
      <c r="B437" s="166"/>
      <c r="C437" s="166"/>
      <c r="D437" s="167"/>
      <c r="E437" s="167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</row>
    <row r="438" spans="1:27" x14ac:dyDescent="0.55000000000000004">
      <c r="A438" s="113"/>
      <c r="B438" s="166"/>
      <c r="C438" s="166"/>
      <c r="D438" s="167"/>
      <c r="E438" s="167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</row>
    <row r="439" spans="1:27" x14ac:dyDescent="0.55000000000000004">
      <c r="A439" s="113"/>
      <c r="B439" s="166"/>
      <c r="C439" s="166"/>
      <c r="D439" s="167"/>
      <c r="E439" s="167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</row>
    <row r="440" spans="1:27" x14ac:dyDescent="0.55000000000000004">
      <c r="A440" s="113"/>
      <c r="B440" s="166"/>
      <c r="C440" s="166"/>
      <c r="D440" s="167"/>
      <c r="E440" s="167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</row>
    <row r="441" spans="1:27" x14ac:dyDescent="0.55000000000000004">
      <c r="A441" s="113"/>
      <c r="B441" s="166"/>
      <c r="C441" s="166"/>
      <c r="D441" s="167"/>
      <c r="E441" s="167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</row>
    <row r="442" spans="1:27" x14ac:dyDescent="0.55000000000000004">
      <c r="A442" s="113"/>
      <c r="B442" s="166"/>
      <c r="C442" s="166"/>
      <c r="D442" s="167"/>
      <c r="E442" s="167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</row>
    <row r="443" spans="1:27" x14ac:dyDescent="0.55000000000000004">
      <c r="A443" s="113"/>
      <c r="B443" s="166"/>
      <c r="C443" s="166"/>
      <c r="D443" s="167"/>
      <c r="E443" s="167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</row>
    <row r="444" spans="1:27" x14ac:dyDescent="0.55000000000000004">
      <c r="A444" s="113"/>
      <c r="B444" s="166"/>
      <c r="C444" s="166"/>
      <c r="D444" s="167"/>
      <c r="E444" s="167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</row>
    <row r="445" spans="1:27" x14ac:dyDescent="0.55000000000000004">
      <c r="A445" s="113"/>
      <c r="B445" s="166"/>
      <c r="C445" s="166"/>
      <c r="D445" s="167"/>
      <c r="E445" s="167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</row>
    <row r="446" spans="1:27" x14ac:dyDescent="0.55000000000000004">
      <c r="A446" s="113"/>
      <c r="B446" s="166"/>
      <c r="C446" s="166"/>
      <c r="D446" s="167"/>
      <c r="E446" s="167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</row>
    <row r="447" spans="1:27" x14ac:dyDescent="0.55000000000000004">
      <c r="A447" s="113"/>
      <c r="B447" s="166"/>
      <c r="C447" s="166"/>
      <c r="D447" s="167"/>
      <c r="E447" s="167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</row>
    <row r="448" spans="1:27" x14ac:dyDescent="0.55000000000000004">
      <c r="A448" s="113"/>
      <c r="B448" s="166"/>
      <c r="C448" s="166"/>
      <c r="D448" s="167"/>
      <c r="E448" s="167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</row>
    <row r="449" spans="1:27" x14ac:dyDescent="0.55000000000000004">
      <c r="A449" s="113"/>
      <c r="B449" s="166"/>
      <c r="C449" s="166"/>
      <c r="D449" s="167"/>
      <c r="E449" s="167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</row>
    <row r="450" spans="1:27" x14ac:dyDescent="0.55000000000000004">
      <c r="A450" s="113"/>
      <c r="B450" s="166"/>
      <c r="C450" s="166"/>
      <c r="D450" s="167"/>
      <c r="E450" s="167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</row>
    <row r="451" spans="1:27" x14ac:dyDescent="0.55000000000000004">
      <c r="A451" s="113"/>
      <c r="B451" s="166"/>
      <c r="C451" s="166"/>
      <c r="D451" s="167"/>
      <c r="E451" s="167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</row>
    <row r="452" spans="1:27" x14ac:dyDescent="0.55000000000000004">
      <c r="A452" s="113"/>
      <c r="B452" s="166"/>
      <c r="C452" s="166"/>
      <c r="D452" s="167"/>
      <c r="E452" s="167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</row>
    <row r="453" spans="1:27" x14ac:dyDescent="0.55000000000000004">
      <c r="A453" s="113"/>
      <c r="B453" s="166"/>
      <c r="C453" s="166"/>
      <c r="D453" s="167"/>
      <c r="E453" s="167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</row>
    <row r="454" spans="1:27" x14ac:dyDescent="0.55000000000000004">
      <c r="A454" s="113"/>
      <c r="B454" s="166"/>
      <c r="C454" s="166"/>
      <c r="D454" s="167"/>
      <c r="E454" s="167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</row>
    <row r="455" spans="1:27" x14ac:dyDescent="0.55000000000000004">
      <c r="A455" s="113"/>
      <c r="B455" s="166"/>
      <c r="C455" s="166"/>
      <c r="D455" s="167"/>
      <c r="E455" s="167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</row>
    <row r="456" spans="1:27" x14ac:dyDescent="0.55000000000000004">
      <c r="A456" s="113"/>
      <c r="B456" s="166"/>
      <c r="C456" s="166"/>
      <c r="D456" s="167"/>
      <c r="E456" s="167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</row>
    <row r="457" spans="1:27" x14ac:dyDescent="0.55000000000000004">
      <c r="A457" s="113"/>
      <c r="B457" s="166"/>
      <c r="C457" s="166"/>
      <c r="D457" s="167"/>
      <c r="E457" s="167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</row>
    <row r="458" spans="1:27" x14ac:dyDescent="0.55000000000000004">
      <c r="A458" s="113"/>
      <c r="B458" s="166"/>
      <c r="C458" s="166"/>
      <c r="D458" s="167"/>
      <c r="E458" s="167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</row>
    <row r="459" spans="1:27" x14ac:dyDescent="0.55000000000000004">
      <c r="A459" s="113"/>
      <c r="B459" s="166"/>
      <c r="C459" s="166"/>
      <c r="D459" s="167"/>
      <c r="E459" s="167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</row>
    <row r="460" spans="1:27" x14ac:dyDescent="0.55000000000000004">
      <c r="A460" s="113"/>
      <c r="B460" s="166"/>
      <c r="C460" s="166"/>
      <c r="D460" s="167"/>
      <c r="E460" s="167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</row>
    <row r="461" spans="1:27" x14ac:dyDescent="0.55000000000000004">
      <c r="A461" s="113"/>
      <c r="B461" s="166"/>
      <c r="C461" s="166"/>
      <c r="D461" s="167"/>
      <c r="E461" s="167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</row>
    <row r="462" spans="1:27" x14ac:dyDescent="0.55000000000000004">
      <c r="A462" s="113"/>
      <c r="B462" s="166"/>
      <c r="C462" s="166"/>
      <c r="D462" s="167"/>
      <c r="E462" s="167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</row>
    <row r="463" spans="1:27" x14ac:dyDescent="0.55000000000000004">
      <c r="A463" s="113"/>
      <c r="B463" s="166"/>
      <c r="C463" s="166"/>
      <c r="D463" s="167"/>
      <c r="E463" s="167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</row>
    <row r="464" spans="1:27" x14ac:dyDescent="0.55000000000000004">
      <c r="A464" s="113"/>
      <c r="B464" s="166"/>
      <c r="C464" s="166"/>
      <c r="D464" s="167"/>
      <c r="E464" s="167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</row>
    <row r="465" spans="1:27" x14ac:dyDescent="0.55000000000000004">
      <c r="A465" s="113"/>
      <c r="B465" s="166"/>
      <c r="C465" s="166"/>
      <c r="D465" s="167"/>
      <c r="E465" s="167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</row>
    <row r="466" spans="1:27" x14ac:dyDescent="0.55000000000000004">
      <c r="A466" s="113"/>
      <c r="B466" s="166"/>
      <c r="C466" s="166"/>
      <c r="D466" s="167"/>
      <c r="E466" s="167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</row>
    <row r="467" spans="1:27" x14ac:dyDescent="0.55000000000000004">
      <c r="A467" s="113"/>
      <c r="B467" s="166"/>
      <c r="C467" s="166"/>
      <c r="D467" s="167"/>
      <c r="E467" s="167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</row>
    <row r="468" spans="1:27" x14ac:dyDescent="0.55000000000000004">
      <c r="A468" s="113"/>
      <c r="B468" s="166"/>
      <c r="C468" s="166"/>
      <c r="D468" s="167"/>
      <c r="E468" s="167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</row>
    <row r="469" spans="1:27" x14ac:dyDescent="0.55000000000000004">
      <c r="A469" s="113"/>
      <c r="B469" s="166"/>
      <c r="C469" s="166"/>
      <c r="D469" s="167"/>
      <c r="E469" s="167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</row>
    <row r="470" spans="1:27" x14ac:dyDescent="0.55000000000000004">
      <c r="A470" s="113"/>
      <c r="B470" s="166"/>
      <c r="C470" s="166"/>
      <c r="D470" s="167"/>
      <c r="E470" s="167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</row>
    <row r="471" spans="1:27" x14ac:dyDescent="0.55000000000000004">
      <c r="A471" s="113"/>
      <c r="B471" s="166"/>
      <c r="C471" s="166"/>
      <c r="D471" s="167"/>
      <c r="E471" s="167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</row>
    <row r="472" spans="1:27" x14ac:dyDescent="0.55000000000000004">
      <c r="A472" s="113"/>
      <c r="B472" s="166"/>
      <c r="C472" s="166"/>
      <c r="D472" s="167"/>
      <c r="E472" s="167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</row>
    <row r="473" spans="1:27" x14ac:dyDescent="0.55000000000000004">
      <c r="A473" s="113"/>
      <c r="B473" s="166"/>
      <c r="C473" s="166"/>
      <c r="D473" s="167"/>
      <c r="E473" s="167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</row>
    <row r="474" spans="1:27" x14ac:dyDescent="0.55000000000000004">
      <c r="A474" s="113"/>
      <c r="B474" s="166"/>
      <c r="C474" s="166"/>
      <c r="D474" s="167"/>
      <c r="E474" s="167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</row>
    <row r="475" spans="1:27" x14ac:dyDescent="0.55000000000000004">
      <c r="A475" s="113"/>
      <c r="B475" s="166"/>
      <c r="C475" s="166"/>
      <c r="D475" s="167"/>
      <c r="E475" s="167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</row>
    <row r="476" spans="1:27" x14ac:dyDescent="0.55000000000000004">
      <c r="A476" s="113"/>
      <c r="B476" s="166"/>
      <c r="C476" s="166"/>
      <c r="D476" s="167"/>
      <c r="E476" s="167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</row>
    <row r="477" spans="1:27" x14ac:dyDescent="0.55000000000000004">
      <c r="A477" s="113"/>
      <c r="B477" s="166"/>
      <c r="C477" s="166"/>
      <c r="D477" s="167"/>
      <c r="E477" s="167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</row>
    <row r="478" spans="1:27" x14ac:dyDescent="0.55000000000000004">
      <c r="A478" s="113"/>
      <c r="B478" s="166"/>
      <c r="C478" s="166"/>
      <c r="D478" s="167"/>
      <c r="E478" s="167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</row>
    <row r="479" spans="1:27" x14ac:dyDescent="0.55000000000000004">
      <c r="A479" s="113"/>
      <c r="B479" s="166"/>
      <c r="C479" s="166"/>
      <c r="D479" s="167"/>
      <c r="E479" s="167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</row>
    <row r="480" spans="1:27" x14ac:dyDescent="0.55000000000000004">
      <c r="A480" s="113"/>
      <c r="B480" s="166"/>
      <c r="C480" s="166"/>
      <c r="D480" s="167"/>
      <c r="E480" s="167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</row>
    <row r="481" spans="1:27" x14ac:dyDescent="0.55000000000000004">
      <c r="A481" s="113"/>
      <c r="B481" s="166"/>
      <c r="C481" s="166"/>
      <c r="D481" s="167"/>
      <c r="E481" s="167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</row>
    <row r="482" spans="1:27" x14ac:dyDescent="0.55000000000000004">
      <c r="A482" s="113"/>
      <c r="B482" s="166"/>
      <c r="C482" s="166"/>
      <c r="D482" s="167"/>
      <c r="E482" s="167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</row>
    <row r="483" spans="1:27" x14ac:dyDescent="0.55000000000000004">
      <c r="A483" s="113"/>
      <c r="B483" s="166"/>
      <c r="C483" s="166"/>
      <c r="D483" s="167"/>
      <c r="E483" s="167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</row>
    <row r="484" spans="1:27" x14ac:dyDescent="0.55000000000000004">
      <c r="A484" s="113"/>
      <c r="B484" s="166"/>
      <c r="C484" s="166"/>
      <c r="D484" s="167"/>
      <c r="E484" s="167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</row>
    <row r="485" spans="1:27" x14ac:dyDescent="0.55000000000000004">
      <c r="A485" s="113"/>
      <c r="B485" s="166"/>
      <c r="C485" s="166"/>
      <c r="D485" s="167"/>
      <c r="E485" s="167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</row>
    <row r="486" spans="1:27" x14ac:dyDescent="0.55000000000000004">
      <c r="A486" s="113"/>
      <c r="B486" s="166"/>
      <c r="C486" s="166"/>
      <c r="D486" s="167"/>
      <c r="E486" s="167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</row>
    <row r="487" spans="1:27" x14ac:dyDescent="0.55000000000000004">
      <c r="A487" s="113"/>
      <c r="B487" s="166"/>
      <c r="C487" s="166"/>
      <c r="D487" s="167"/>
      <c r="E487" s="167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</row>
    <row r="488" spans="1:27" x14ac:dyDescent="0.55000000000000004">
      <c r="A488" s="113"/>
      <c r="B488" s="166"/>
      <c r="C488" s="166"/>
      <c r="D488" s="167"/>
      <c r="E488" s="167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</row>
    <row r="489" spans="1:27" x14ac:dyDescent="0.55000000000000004">
      <c r="A489" s="113"/>
      <c r="B489" s="166"/>
      <c r="C489" s="166"/>
      <c r="D489" s="167"/>
      <c r="E489" s="167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</row>
    <row r="490" spans="1:27" x14ac:dyDescent="0.55000000000000004">
      <c r="A490" s="113"/>
      <c r="B490" s="166"/>
      <c r="C490" s="166"/>
      <c r="D490" s="167"/>
      <c r="E490" s="167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</row>
    <row r="491" spans="1:27" x14ac:dyDescent="0.55000000000000004">
      <c r="A491" s="113"/>
      <c r="B491" s="166"/>
      <c r="C491" s="166"/>
      <c r="D491" s="167"/>
      <c r="E491" s="167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</row>
    <row r="492" spans="1:27" x14ac:dyDescent="0.55000000000000004">
      <c r="A492" s="113"/>
      <c r="B492" s="166"/>
      <c r="C492" s="166"/>
      <c r="D492" s="167"/>
      <c r="E492" s="167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</row>
    <row r="493" spans="1:27" x14ac:dyDescent="0.55000000000000004">
      <c r="A493" s="113"/>
      <c r="B493" s="166"/>
      <c r="C493" s="166"/>
      <c r="D493" s="167"/>
      <c r="E493" s="167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</row>
    <row r="494" spans="1:27" x14ac:dyDescent="0.55000000000000004">
      <c r="A494" s="113"/>
      <c r="B494" s="166"/>
      <c r="C494" s="166"/>
      <c r="D494" s="167"/>
      <c r="E494" s="167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</row>
    <row r="495" spans="1:27" x14ac:dyDescent="0.55000000000000004">
      <c r="A495" s="113"/>
      <c r="B495" s="166"/>
      <c r="C495" s="166"/>
      <c r="D495" s="167"/>
      <c r="E495" s="167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</row>
    <row r="496" spans="1:27" x14ac:dyDescent="0.55000000000000004">
      <c r="A496" s="113"/>
      <c r="B496" s="166"/>
      <c r="C496" s="166"/>
      <c r="D496" s="167"/>
      <c r="E496" s="167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</row>
    <row r="497" spans="1:27" x14ac:dyDescent="0.55000000000000004">
      <c r="A497" s="113"/>
      <c r="B497" s="166"/>
      <c r="C497" s="166"/>
      <c r="D497" s="167"/>
      <c r="E497" s="167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</row>
    <row r="498" spans="1:27" x14ac:dyDescent="0.55000000000000004">
      <c r="A498" s="113"/>
      <c r="B498" s="166"/>
      <c r="C498" s="166"/>
      <c r="D498" s="167"/>
      <c r="E498" s="167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</row>
    <row r="499" spans="1:27" x14ac:dyDescent="0.55000000000000004">
      <c r="A499" s="113"/>
      <c r="B499" s="166"/>
      <c r="C499" s="166"/>
      <c r="D499" s="167"/>
      <c r="E499" s="167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</row>
    <row r="500" spans="1:27" x14ac:dyDescent="0.55000000000000004">
      <c r="A500" s="113"/>
      <c r="B500" s="166"/>
      <c r="C500" s="166"/>
      <c r="D500" s="167"/>
      <c r="E500" s="167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</row>
    <row r="501" spans="1:27" x14ac:dyDescent="0.55000000000000004">
      <c r="A501" s="113"/>
      <c r="B501" s="166"/>
      <c r="C501" s="166"/>
      <c r="D501" s="167"/>
      <c r="E501" s="167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</row>
    <row r="502" spans="1:27" x14ac:dyDescent="0.55000000000000004">
      <c r="A502" s="113"/>
      <c r="B502" s="166"/>
      <c r="C502" s="166"/>
      <c r="D502" s="167"/>
      <c r="E502" s="167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</row>
    <row r="503" spans="1:27" x14ac:dyDescent="0.55000000000000004">
      <c r="A503" s="113"/>
      <c r="B503" s="166"/>
      <c r="C503" s="166"/>
      <c r="D503" s="167"/>
      <c r="E503" s="167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</row>
    <row r="504" spans="1:27" x14ac:dyDescent="0.55000000000000004">
      <c r="A504" s="113"/>
      <c r="B504" s="166"/>
      <c r="C504" s="166"/>
      <c r="D504" s="167"/>
      <c r="E504" s="167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</row>
    <row r="505" spans="1:27" x14ac:dyDescent="0.55000000000000004">
      <c r="A505" s="113"/>
      <c r="B505" s="166"/>
      <c r="C505" s="166"/>
      <c r="D505" s="167"/>
      <c r="E505" s="167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</row>
    <row r="506" spans="1:27" x14ac:dyDescent="0.55000000000000004">
      <c r="A506" s="113"/>
      <c r="B506" s="166"/>
      <c r="C506" s="166"/>
      <c r="D506" s="167"/>
      <c r="E506" s="167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</row>
    <row r="507" spans="1:27" x14ac:dyDescent="0.55000000000000004">
      <c r="A507" s="113"/>
      <c r="B507" s="166"/>
      <c r="C507" s="166"/>
      <c r="D507" s="167"/>
      <c r="E507" s="167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</row>
    <row r="508" spans="1:27" x14ac:dyDescent="0.55000000000000004">
      <c r="A508" s="113"/>
      <c r="B508" s="166"/>
      <c r="C508" s="166"/>
      <c r="D508" s="167"/>
      <c r="E508" s="167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</row>
    <row r="509" spans="1:27" x14ac:dyDescent="0.55000000000000004">
      <c r="A509" s="113"/>
      <c r="B509" s="166"/>
      <c r="C509" s="166"/>
      <c r="D509" s="167"/>
      <c r="E509" s="167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</row>
    <row r="510" spans="1:27" x14ac:dyDescent="0.55000000000000004">
      <c r="A510" s="113"/>
      <c r="B510" s="166"/>
      <c r="C510" s="166"/>
      <c r="D510" s="167"/>
      <c r="E510" s="167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</row>
    <row r="511" spans="1:27" x14ac:dyDescent="0.55000000000000004">
      <c r="A511" s="113"/>
      <c r="B511" s="166"/>
      <c r="C511" s="166"/>
      <c r="D511" s="167"/>
      <c r="E511" s="167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</row>
    <row r="512" spans="1:27" x14ac:dyDescent="0.55000000000000004">
      <c r="A512" s="113"/>
      <c r="B512" s="166"/>
      <c r="C512" s="166"/>
      <c r="D512" s="167"/>
      <c r="E512" s="167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</row>
    <row r="513" spans="1:27" x14ac:dyDescent="0.55000000000000004">
      <c r="A513" s="113"/>
      <c r="B513" s="166"/>
      <c r="C513" s="166"/>
      <c r="D513" s="167"/>
      <c r="E513" s="167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</row>
    <row r="514" spans="1:27" x14ac:dyDescent="0.55000000000000004">
      <c r="A514" s="113"/>
      <c r="B514" s="166"/>
      <c r="C514" s="166"/>
      <c r="D514" s="167"/>
      <c r="E514" s="167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</row>
    <row r="515" spans="1:27" x14ac:dyDescent="0.55000000000000004">
      <c r="A515" s="113"/>
      <c r="B515" s="166"/>
      <c r="C515" s="166"/>
      <c r="D515" s="167"/>
      <c r="E515" s="167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</row>
    <row r="516" spans="1:27" x14ac:dyDescent="0.55000000000000004">
      <c r="A516" s="113"/>
      <c r="B516" s="166"/>
      <c r="C516" s="166"/>
      <c r="D516" s="167"/>
      <c r="E516" s="167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</row>
    <row r="517" spans="1:27" x14ac:dyDescent="0.55000000000000004">
      <c r="A517" s="113"/>
      <c r="B517" s="166"/>
      <c r="C517" s="166"/>
      <c r="D517" s="167"/>
      <c r="E517" s="167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</row>
    <row r="518" spans="1:27" x14ac:dyDescent="0.55000000000000004">
      <c r="A518" s="113"/>
      <c r="B518" s="166"/>
      <c r="C518" s="166"/>
      <c r="D518" s="167"/>
      <c r="E518" s="167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</row>
    <row r="519" spans="1:27" x14ac:dyDescent="0.55000000000000004">
      <c r="A519" s="113"/>
      <c r="B519" s="166"/>
      <c r="C519" s="166"/>
      <c r="D519" s="167"/>
      <c r="E519" s="167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</row>
    <row r="520" spans="1:27" x14ac:dyDescent="0.55000000000000004">
      <c r="A520" s="113"/>
      <c r="B520" s="166"/>
      <c r="C520" s="166"/>
      <c r="D520" s="167"/>
      <c r="E520" s="167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</row>
    <row r="521" spans="1:27" x14ac:dyDescent="0.55000000000000004">
      <c r="A521" s="113"/>
      <c r="B521" s="166"/>
      <c r="C521" s="166"/>
      <c r="D521" s="167"/>
      <c r="E521" s="167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</row>
    <row r="522" spans="1:27" x14ac:dyDescent="0.55000000000000004">
      <c r="A522" s="113"/>
      <c r="B522" s="166"/>
      <c r="C522" s="166"/>
      <c r="D522" s="167"/>
      <c r="E522" s="167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</row>
    <row r="523" spans="1:27" x14ac:dyDescent="0.55000000000000004">
      <c r="A523" s="113"/>
      <c r="B523" s="166"/>
      <c r="C523" s="166"/>
      <c r="D523" s="167"/>
      <c r="E523" s="167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</row>
    <row r="524" spans="1:27" x14ac:dyDescent="0.55000000000000004">
      <c r="A524" s="113"/>
      <c r="B524" s="166"/>
      <c r="C524" s="166"/>
      <c r="D524" s="167"/>
      <c r="E524" s="167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</row>
    <row r="525" spans="1:27" x14ac:dyDescent="0.55000000000000004">
      <c r="A525" s="113"/>
      <c r="B525" s="166"/>
      <c r="C525" s="166"/>
      <c r="D525" s="167"/>
      <c r="E525" s="167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</row>
    <row r="526" spans="1:27" x14ac:dyDescent="0.55000000000000004">
      <c r="A526" s="113"/>
      <c r="B526" s="166"/>
      <c r="C526" s="166"/>
      <c r="D526" s="167"/>
      <c r="E526" s="167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</row>
    <row r="527" spans="1:27" x14ac:dyDescent="0.55000000000000004">
      <c r="A527" s="113"/>
      <c r="B527" s="166"/>
      <c r="C527" s="166"/>
      <c r="D527" s="167"/>
      <c r="E527" s="167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</row>
    <row r="528" spans="1:27" x14ac:dyDescent="0.55000000000000004">
      <c r="A528" s="113"/>
      <c r="B528" s="166"/>
      <c r="C528" s="166"/>
      <c r="D528" s="167"/>
      <c r="E528" s="167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</row>
    <row r="529" spans="1:27" x14ac:dyDescent="0.55000000000000004">
      <c r="A529" s="113"/>
      <c r="B529" s="166"/>
      <c r="C529" s="166"/>
      <c r="D529" s="167"/>
      <c r="E529" s="167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</row>
    <row r="530" spans="1:27" x14ac:dyDescent="0.55000000000000004">
      <c r="A530" s="113"/>
      <c r="B530" s="166"/>
      <c r="C530" s="166"/>
      <c r="D530" s="167"/>
      <c r="E530" s="167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</row>
    <row r="531" spans="1:27" x14ac:dyDescent="0.55000000000000004">
      <c r="A531" s="113"/>
      <c r="B531" s="166"/>
      <c r="C531" s="166"/>
      <c r="D531" s="167"/>
      <c r="E531" s="167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</row>
    <row r="532" spans="1:27" x14ac:dyDescent="0.55000000000000004">
      <c r="A532" s="113"/>
      <c r="B532" s="166"/>
      <c r="C532" s="166"/>
      <c r="D532" s="167"/>
      <c r="E532" s="167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</row>
    <row r="533" spans="1:27" x14ac:dyDescent="0.55000000000000004">
      <c r="A533" s="113"/>
      <c r="B533" s="166"/>
      <c r="C533" s="166"/>
      <c r="D533" s="167"/>
      <c r="E533" s="167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</row>
    <row r="534" spans="1:27" x14ac:dyDescent="0.55000000000000004">
      <c r="A534" s="113"/>
      <c r="B534" s="166"/>
      <c r="C534" s="166"/>
      <c r="D534" s="167"/>
      <c r="E534" s="167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</row>
    <row r="535" spans="1:27" x14ac:dyDescent="0.55000000000000004">
      <c r="A535" s="113"/>
      <c r="B535" s="166"/>
      <c r="C535" s="166"/>
      <c r="D535" s="167"/>
      <c r="E535" s="167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</row>
    <row r="536" spans="1:27" x14ac:dyDescent="0.55000000000000004">
      <c r="A536" s="113"/>
      <c r="B536" s="166"/>
      <c r="C536" s="166"/>
      <c r="D536" s="167"/>
      <c r="E536" s="167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</row>
    <row r="537" spans="1:27" x14ac:dyDescent="0.55000000000000004">
      <c r="A537" s="113"/>
      <c r="B537" s="166"/>
      <c r="C537" s="166"/>
      <c r="D537" s="167"/>
      <c r="E537" s="167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</row>
    <row r="538" spans="1:27" x14ac:dyDescent="0.55000000000000004">
      <c r="A538" s="113"/>
      <c r="B538" s="166"/>
      <c r="C538" s="166"/>
      <c r="D538" s="167"/>
      <c r="E538" s="167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</row>
    <row r="539" spans="1:27" x14ac:dyDescent="0.55000000000000004">
      <c r="A539" s="113"/>
      <c r="B539" s="166"/>
      <c r="C539" s="166"/>
      <c r="D539" s="167"/>
      <c r="E539" s="167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</row>
    <row r="540" spans="1:27" x14ac:dyDescent="0.55000000000000004">
      <c r="A540" s="113"/>
      <c r="B540" s="166"/>
      <c r="C540" s="166"/>
      <c r="D540" s="167"/>
      <c r="E540" s="167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</row>
    <row r="541" spans="1:27" x14ac:dyDescent="0.55000000000000004">
      <c r="A541" s="113"/>
      <c r="B541" s="166"/>
      <c r="C541" s="166"/>
      <c r="D541" s="167"/>
      <c r="E541" s="167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</row>
    <row r="542" spans="1:27" x14ac:dyDescent="0.55000000000000004">
      <c r="A542" s="113"/>
      <c r="B542" s="166"/>
      <c r="C542" s="166"/>
      <c r="D542" s="167"/>
      <c r="E542" s="167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</row>
    <row r="543" spans="1:27" x14ac:dyDescent="0.55000000000000004">
      <c r="A543" s="113"/>
      <c r="B543" s="166"/>
      <c r="C543" s="166"/>
      <c r="D543" s="167"/>
      <c r="E543" s="167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</row>
    <row r="544" spans="1:27" x14ac:dyDescent="0.55000000000000004">
      <c r="A544" s="113"/>
      <c r="B544" s="166"/>
      <c r="C544" s="166"/>
      <c r="D544" s="167"/>
      <c r="E544" s="167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</row>
    <row r="545" spans="1:27" x14ac:dyDescent="0.55000000000000004">
      <c r="A545" s="113"/>
      <c r="B545" s="166"/>
      <c r="C545" s="166"/>
      <c r="D545" s="167"/>
      <c r="E545" s="167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</row>
    <row r="546" spans="1:27" x14ac:dyDescent="0.55000000000000004">
      <c r="A546" s="113"/>
      <c r="B546" s="166"/>
      <c r="C546" s="166"/>
      <c r="D546" s="167"/>
      <c r="E546" s="167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</row>
    <row r="547" spans="1:27" x14ac:dyDescent="0.55000000000000004">
      <c r="A547" s="113"/>
      <c r="B547" s="166"/>
      <c r="C547" s="166"/>
      <c r="D547" s="167"/>
      <c r="E547" s="167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</row>
    <row r="548" spans="1:27" x14ac:dyDescent="0.55000000000000004">
      <c r="A548" s="113"/>
      <c r="B548" s="166"/>
      <c r="C548" s="166"/>
      <c r="D548" s="167"/>
      <c r="E548" s="167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</row>
    <row r="549" spans="1:27" x14ac:dyDescent="0.55000000000000004">
      <c r="A549" s="113"/>
      <c r="B549" s="166"/>
      <c r="C549" s="166"/>
      <c r="D549" s="167"/>
      <c r="E549" s="167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</row>
    <row r="550" spans="1:27" x14ac:dyDescent="0.55000000000000004">
      <c r="A550" s="113"/>
      <c r="B550" s="166"/>
      <c r="C550" s="166"/>
      <c r="D550" s="167"/>
      <c r="E550" s="167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</row>
    <row r="551" spans="1:27" x14ac:dyDescent="0.55000000000000004">
      <c r="A551" s="113"/>
      <c r="B551" s="166"/>
      <c r="C551" s="166"/>
      <c r="D551" s="167"/>
      <c r="E551" s="167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</row>
    <row r="552" spans="1:27" x14ac:dyDescent="0.55000000000000004">
      <c r="A552" s="113"/>
      <c r="B552" s="166"/>
      <c r="C552" s="166"/>
      <c r="D552" s="167"/>
      <c r="E552" s="167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</row>
    <row r="553" spans="1:27" x14ac:dyDescent="0.55000000000000004">
      <c r="A553" s="113"/>
      <c r="B553" s="166"/>
      <c r="C553" s="166"/>
      <c r="D553" s="167"/>
      <c r="E553" s="167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</row>
    <row r="554" spans="1:27" x14ac:dyDescent="0.55000000000000004">
      <c r="A554" s="113"/>
      <c r="B554" s="166"/>
      <c r="C554" s="166"/>
      <c r="D554" s="167"/>
      <c r="E554" s="167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</row>
    <row r="555" spans="1:27" x14ac:dyDescent="0.55000000000000004">
      <c r="A555" s="113"/>
      <c r="B555" s="166"/>
      <c r="C555" s="166"/>
      <c r="D555" s="167"/>
      <c r="E555" s="167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</row>
    <row r="556" spans="1:27" x14ac:dyDescent="0.55000000000000004">
      <c r="A556" s="113"/>
      <c r="B556" s="166"/>
      <c r="C556" s="166"/>
      <c r="D556" s="167"/>
      <c r="E556" s="167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</row>
    <row r="557" spans="1:27" x14ac:dyDescent="0.55000000000000004">
      <c r="A557" s="113"/>
      <c r="B557" s="166"/>
      <c r="C557" s="166"/>
      <c r="D557" s="167"/>
      <c r="E557" s="167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</row>
    <row r="558" spans="1:27" x14ac:dyDescent="0.55000000000000004">
      <c r="A558" s="113"/>
      <c r="B558" s="166"/>
      <c r="C558" s="166"/>
      <c r="D558" s="167"/>
      <c r="E558" s="167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</row>
    <row r="559" spans="1:27" x14ac:dyDescent="0.55000000000000004">
      <c r="A559" s="113"/>
      <c r="B559" s="166"/>
      <c r="C559" s="166"/>
      <c r="D559" s="167"/>
      <c r="E559" s="167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</row>
    <row r="560" spans="1:27" x14ac:dyDescent="0.55000000000000004">
      <c r="A560" s="113"/>
      <c r="B560" s="166"/>
      <c r="C560" s="166"/>
      <c r="D560" s="167"/>
      <c r="E560" s="167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</row>
    <row r="561" spans="1:27" x14ac:dyDescent="0.55000000000000004">
      <c r="A561" s="113"/>
      <c r="B561" s="166"/>
      <c r="C561" s="166"/>
      <c r="D561" s="167"/>
      <c r="E561" s="167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</row>
    <row r="562" spans="1:27" x14ac:dyDescent="0.55000000000000004">
      <c r="A562" s="113"/>
      <c r="B562" s="166"/>
      <c r="C562" s="166"/>
      <c r="D562" s="167"/>
      <c r="E562" s="167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</row>
    <row r="563" spans="1:27" x14ac:dyDescent="0.55000000000000004">
      <c r="A563" s="113"/>
      <c r="B563" s="166"/>
      <c r="C563" s="166"/>
      <c r="D563" s="167"/>
      <c r="E563" s="167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</row>
    <row r="564" spans="1:27" x14ac:dyDescent="0.55000000000000004">
      <c r="A564" s="113"/>
      <c r="B564" s="166"/>
      <c r="C564" s="166"/>
      <c r="D564" s="167"/>
      <c r="E564" s="167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</row>
    <row r="565" spans="1:27" x14ac:dyDescent="0.55000000000000004">
      <c r="A565" s="113"/>
      <c r="B565" s="166"/>
      <c r="C565" s="166"/>
      <c r="D565" s="167"/>
      <c r="E565" s="167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</row>
    <row r="566" spans="1:27" x14ac:dyDescent="0.55000000000000004">
      <c r="A566" s="113"/>
      <c r="B566" s="166"/>
      <c r="C566" s="166"/>
      <c r="D566" s="167"/>
      <c r="E566" s="167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</row>
    <row r="567" spans="1:27" x14ac:dyDescent="0.55000000000000004">
      <c r="A567" s="113"/>
      <c r="B567" s="166"/>
      <c r="C567" s="166"/>
      <c r="D567" s="167"/>
      <c r="E567" s="167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</row>
    <row r="568" spans="1:27" x14ac:dyDescent="0.55000000000000004">
      <c r="A568" s="113"/>
      <c r="B568" s="166"/>
      <c r="C568" s="166"/>
      <c r="D568" s="167"/>
      <c r="E568" s="167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</row>
    <row r="569" spans="1:27" x14ac:dyDescent="0.55000000000000004">
      <c r="A569" s="113"/>
      <c r="B569" s="166"/>
      <c r="C569" s="166"/>
      <c r="D569" s="167"/>
      <c r="E569" s="167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</row>
    <row r="570" spans="1:27" x14ac:dyDescent="0.55000000000000004">
      <c r="A570" s="113"/>
      <c r="B570" s="166"/>
      <c r="C570" s="166"/>
      <c r="D570" s="167"/>
      <c r="E570" s="167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</row>
    <row r="571" spans="1:27" x14ac:dyDescent="0.55000000000000004">
      <c r="A571" s="113"/>
      <c r="B571" s="166"/>
      <c r="C571" s="166"/>
      <c r="D571" s="167"/>
      <c r="E571" s="167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</row>
    <row r="572" spans="1:27" x14ac:dyDescent="0.55000000000000004">
      <c r="A572" s="113"/>
      <c r="B572" s="166"/>
      <c r="C572" s="166"/>
      <c r="D572" s="167"/>
      <c r="E572" s="167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</row>
    <row r="573" spans="1:27" x14ac:dyDescent="0.55000000000000004">
      <c r="A573" s="113"/>
      <c r="B573" s="166"/>
      <c r="C573" s="166"/>
      <c r="D573" s="167"/>
      <c r="E573" s="167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</row>
    <row r="574" spans="1:27" x14ac:dyDescent="0.55000000000000004">
      <c r="A574" s="113"/>
      <c r="B574" s="166"/>
      <c r="C574" s="166"/>
      <c r="D574" s="167"/>
      <c r="E574" s="167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</row>
    <row r="575" spans="1:27" x14ac:dyDescent="0.55000000000000004">
      <c r="A575" s="113"/>
      <c r="B575" s="166"/>
      <c r="C575" s="166"/>
      <c r="D575" s="167"/>
      <c r="E575" s="167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</row>
    <row r="576" spans="1:27" x14ac:dyDescent="0.55000000000000004">
      <c r="A576" s="113"/>
      <c r="B576" s="166"/>
      <c r="C576" s="166"/>
      <c r="D576" s="167"/>
      <c r="E576" s="167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</row>
    <row r="577" spans="1:27" x14ac:dyDescent="0.55000000000000004">
      <c r="A577" s="113"/>
      <c r="B577" s="166"/>
      <c r="C577" s="166"/>
      <c r="D577" s="167"/>
      <c r="E577" s="167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</row>
    <row r="578" spans="1:27" x14ac:dyDescent="0.55000000000000004">
      <c r="A578" s="113"/>
      <c r="B578" s="166"/>
      <c r="C578" s="166"/>
      <c r="D578" s="167"/>
      <c r="E578" s="167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</row>
    <row r="579" spans="1:27" x14ac:dyDescent="0.55000000000000004">
      <c r="A579" s="113"/>
      <c r="B579" s="166"/>
      <c r="C579" s="166"/>
      <c r="D579" s="167"/>
      <c r="E579" s="167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</row>
    <row r="580" spans="1:27" x14ac:dyDescent="0.55000000000000004">
      <c r="A580" s="113"/>
      <c r="B580" s="166"/>
      <c r="C580" s="166"/>
      <c r="D580" s="167"/>
      <c r="E580" s="167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</row>
    <row r="581" spans="1:27" x14ac:dyDescent="0.55000000000000004">
      <c r="A581" s="113"/>
      <c r="B581" s="166"/>
      <c r="C581" s="166"/>
      <c r="D581" s="167"/>
      <c r="E581" s="167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</row>
    <row r="582" spans="1:27" x14ac:dyDescent="0.55000000000000004">
      <c r="A582" s="113"/>
      <c r="B582" s="166"/>
      <c r="C582" s="166"/>
      <c r="D582" s="167"/>
      <c r="E582" s="167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</row>
    <row r="583" spans="1:27" x14ac:dyDescent="0.55000000000000004">
      <c r="A583" s="113"/>
      <c r="B583" s="166"/>
      <c r="C583" s="166"/>
      <c r="D583" s="167"/>
      <c r="E583" s="167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</row>
    <row r="584" spans="1:27" x14ac:dyDescent="0.55000000000000004">
      <c r="A584" s="113"/>
      <c r="B584" s="166"/>
      <c r="C584" s="166"/>
      <c r="D584" s="167"/>
      <c r="E584" s="167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</row>
    <row r="585" spans="1:27" x14ac:dyDescent="0.55000000000000004">
      <c r="A585" s="113"/>
      <c r="B585" s="166"/>
      <c r="C585" s="166"/>
      <c r="D585" s="167"/>
      <c r="E585" s="167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</row>
    <row r="586" spans="1:27" x14ac:dyDescent="0.55000000000000004">
      <c r="A586" s="113"/>
      <c r="B586" s="166"/>
      <c r="C586" s="166"/>
      <c r="D586" s="167"/>
      <c r="E586" s="167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</row>
    <row r="587" spans="1:27" x14ac:dyDescent="0.55000000000000004">
      <c r="A587" s="113"/>
      <c r="B587" s="166"/>
      <c r="C587" s="166"/>
      <c r="D587" s="167"/>
      <c r="E587" s="167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</row>
    <row r="588" spans="1:27" x14ac:dyDescent="0.55000000000000004">
      <c r="A588" s="113"/>
      <c r="B588" s="166"/>
      <c r="C588" s="166"/>
      <c r="D588" s="167"/>
      <c r="E588" s="167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</row>
    <row r="589" spans="1:27" x14ac:dyDescent="0.55000000000000004">
      <c r="A589" s="113"/>
      <c r="B589" s="166"/>
      <c r="C589" s="166"/>
      <c r="D589" s="167"/>
      <c r="E589" s="167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</row>
    <row r="590" spans="1:27" x14ac:dyDescent="0.55000000000000004">
      <c r="A590" s="113"/>
      <c r="B590" s="166"/>
      <c r="C590" s="166"/>
      <c r="D590" s="167"/>
      <c r="E590" s="167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</row>
    <row r="591" spans="1:27" x14ac:dyDescent="0.55000000000000004">
      <c r="A591" s="113"/>
      <c r="B591" s="166"/>
      <c r="C591" s="166"/>
      <c r="D591" s="167"/>
      <c r="E591" s="167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</row>
    <row r="592" spans="1:27" x14ac:dyDescent="0.55000000000000004">
      <c r="A592" s="113"/>
      <c r="B592" s="166"/>
      <c r="C592" s="166"/>
      <c r="D592" s="167"/>
      <c r="E592" s="167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</row>
    <row r="593" spans="1:27" x14ac:dyDescent="0.55000000000000004">
      <c r="A593" s="113"/>
      <c r="B593" s="166"/>
      <c r="C593" s="166"/>
      <c r="D593" s="167"/>
      <c r="E593" s="167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</row>
    <row r="594" spans="1:27" x14ac:dyDescent="0.55000000000000004">
      <c r="A594" s="113"/>
      <c r="B594" s="166"/>
      <c r="C594" s="166"/>
      <c r="D594" s="167"/>
      <c r="E594" s="167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</row>
    <row r="595" spans="1:27" x14ac:dyDescent="0.55000000000000004">
      <c r="A595" s="113"/>
      <c r="B595" s="166"/>
      <c r="C595" s="166"/>
      <c r="D595" s="167"/>
      <c r="E595" s="167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</row>
    <row r="596" spans="1:27" x14ac:dyDescent="0.55000000000000004">
      <c r="A596" s="113"/>
      <c r="B596" s="166"/>
      <c r="C596" s="166"/>
      <c r="D596" s="167"/>
      <c r="E596" s="167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</row>
    <row r="597" spans="1:27" x14ac:dyDescent="0.55000000000000004">
      <c r="A597" s="113"/>
      <c r="B597" s="166"/>
      <c r="C597" s="166"/>
      <c r="D597" s="167"/>
      <c r="E597" s="167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</row>
    <row r="598" spans="1:27" x14ac:dyDescent="0.55000000000000004">
      <c r="A598" s="113"/>
      <c r="B598" s="166"/>
      <c r="C598" s="166"/>
      <c r="D598" s="167"/>
      <c r="E598" s="167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</row>
    <row r="599" spans="1:27" x14ac:dyDescent="0.55000000000000004">
      <c r="A599" s="113"/>
      <c r="B599" s="166"/>
      <c r="C599" s="166"/>
      <c r="D599" s="167"/>
      <c r="E599" s="167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</row>
    <row r="600" spans="1:27" x14ac:dyDescent="0.55000000000000004">
      <c r="A600" s="113"/>
      <c r="B600" s="166"/>
      <c r="C600" s="166"/>
      <c r="D600" s="167"/>
      <c r="E600" s="167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</row>
    <row r="601" spans="1:27" x14ac:dyDescent="0.55000000000000004">
      <c r="A601" s="113"/>
      <c r="B601" s="166"/>
      <c r="C601" s="166"/>
      <c r="D601" s="167"/>
      <c r="E601" s="167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</row>
    <row r="602" spans="1:27" x14ac:dyDescent="0.55000000000000004">
      <c r="A602" s="113"/>
      <c r="B602" s="166"/>
      <c r="C602" s="166"/>
      <c r="D602" s="167"/>
      <c r="E602" s="167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</row>
    <row r="603" spans="1:27" x14ac:dyDescent="0.55000000000000004">
      <c r="A603" s="113"/>
      <c r="B603" s="166"/>
      <c r="C603" s="166"/>
      <c r="D603" s="167"/>
      <c r="E603" s="167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</row>
    <row r="604" spans="1:27" x14ac:dyDescent="0.55000000000000004">
      <c r="A604" s="113"/>
      <c r="B604" s="166"/>
      <c r="C604" s="166"/>
      <c r="D604" s="167"/>
      <c r="E604" s="167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</row>
    <row r="605" spans="1:27" x14ac:dyDescent="0.55000000000000004">
      <c r="A605" s="113"/>
      <c r="B605" s="166"/>
      <c r="C605" s="166"/>
      <c r="D605" s="167"/>
      <c r="E605" s="167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</row>
    <row r="606" spans="1:27" x14ac:dyDescent="0.55000000000000004">
      <c r="A606" s="113"/>
      <c r="B606" s="166"/>
      <c r="C606" s="166"/>
      <c r="D606" s="167"/>
      <c r="E606" s="167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</row>
    <row r="607" spans="1:27" x14ac:dyDescent="0.55000000000000004">
      <c r="A607" s="113"/>
      <c r="B607" s="166"/>
      <c r="C607" s="166"/>
      <c r="D607" s="167"/>
      <c r="E607" s="167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</row>
    <row r="608" spans="1:27" x14ac:dyDescent="0.55000000000000004">
      <c r="A608" s="113"/>
      <c r="B608" s="166"/>
      <c r="C608" s="166"/>
      <c r="D608" s="167"/>
      <c r="E608" s="167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</row>
    <row r="609" spans="1:27" x14ac:dyDescent="0.55000000000000004">
      <c r="A609" s="113"/>
      <c r="B609" s="166"/>
      <c r="C609" s="166"/>
      <c r="D609" s="167"/>
      <c r="E609" s="167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</row>
    <row r="610" spans="1:27" x14ac:dyDescent="0.55000000000000004">
      <c r="A610" s="113"/>
      <c r="B610" s="166"/>
      <c r="C610" s="166"/>
      <c r="D610" s="167"/>
      <c r="E610" s="167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</row>
    <row r="611" spans="1:27" x14ac:dyDescent="0.55000000000000004">
      <c r="A611" s="113"/>
      <c r="B611" s="166"/>
      <c r="C611" s="166"/>
      <c r="D611" s="167"/>
      <c r="E611" s="167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</row>
    <row r="612" spans="1:27" x14ac:dyDescent="0.55000000000000004">
      <c r="A612" s="113"/>
      <c r="B612" s="166"/>
      <c r="C612" s="166"/>
      <c r="D612" s="167"/>
      <c r="E612" s="167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</row>
    <row r="613" spans="1:27" x14ac:dyDescent="0.55000000000000004">
      <c r="A613" s="113"/>
      <c r="B613" s="166"/>
      <c r="C613" s="166"/>
      <c r="D613" s="167"/>
      <c r="E613" s="167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</row>
    <row r="614" spans="1:27" x14ac:dyDescent="0.55000000000000004">
      <c r="A614" s="113"/>
      <c r="B614" s="166"/>
      <c r="C614" s="166"/>
      <c r="D614" s="167"/>
      <c r="E614" s="167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</row>
    <row r="615" spans="1:27" x14ac:dyDescent="0.55000000000000004">
      <c r="A615" s="113"/>
      <c r="B615" s="166"/>
      <c r="C615" s="166"/>
      <c r="D615" s="167"/>
      <c r="E615" s="167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</row>
    <row r="616" spans="1:27" x14ac:dyDescent="0.55000000000000004">
      <c r="A616" s="113"/>
      <c r="B616" s="166"/>
      <c r="C616" s="166"/>
      <c r="D616" s="167"/>
      <c r="E616" s="167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</row>
    <row r="617" spans="1:27" x14ac:dyDescent="0.55000000000000004">
      <c r="A617" s="113"/>
      <c r="B617" s="166"/>
      <c r="C617" s="166"/>
      <c r="D617" s="167"/>
      <c r="E617" s="167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</row>
    <row r="618" spans="1:27" x14ac:dyDescent="0.55000000000000004">
      <c r="A618" s="113"/>
      <c r="B618" s="166"/>
      <c r="C618" s="166"/>
      <c r="D618" s="167"/>
      <c r="E618" s="167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</row>
    <row r="619" spans="1:27" x14ac:dyDescent="0.55000000000000004">
      <c r="A619" s="113"/>
      <c r="B619" s="166"/>
      <c r="C619" s="166"/>
      <c r="D619" s="167"/>
      <c r="E619" s="167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</row>
    <row r="620" spans="1:27" x14ac:dyDescent="0.55000000000000004">
      <c r="A620" s="113"/>
      <c r="B620" s="166"/>
      <c r="C620" s="166"/>
      <c r="D620" s="167"/>
      <c r="E620" s="167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</row>
    <row r="621" spans="1:27" x14ac:dyDescent="0.55000000000000004">
      <c r="A621" s="113"/>
      <c r="B621" s="166"/>
      <c r="C621" s="166"/>
      <c r="D621" s="167"/>
      <c r="E621" s="167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</row>
    <row r="622" spans="1:27" x14ac:dyDescent="0.55000000000000004">
      <c r="A622" s="113"/>
      <c r="B622" s="166"/>
      <c r="C622" s="166"/>
      <c r="D622" s="167"/>
      <c r="E622" s="167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</row>
    <row r="623" spans="1:27" x14ac:dyDescent="0.55000000000000004">
      <c r="A623" s="113"/>
      <c r="B623" s="166"/>
      <c r="C623" s="166"/>
      <c r="D623" s="167"/>
      <c r="E623" s="167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</row>
    <row r="624" spans="1:27" x14ac:dyDescent="0.55000000000000004">
      <c r="A624" s="113"/>
      <c r="B624" s="166"/>
      <c r="C624" s="166"/>
      <c r="D624" s="167"/>
      <c r="E624" s="167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</row>
    <row r="625" spans="1:27" x14ac:dyDescent="0.55000000000000004">
      <c r="A625" s="113"/>
      <c r="B625" s="166"/>
      <c r="C625" s="166"/>
      <c r="D625" s="167"/>
      <c r="E625" s="167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</row>
    <row r="626" spans="1:27" x14ac:dyDescent="0.55000000000000004">
      <c r="A626" s="113"/>
      <c r="B626" s="166"/>
      <c r="C626" s="166"/>
      <c r="D626" s="167"/>
      <c r="E626" s="167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</row>
    <row r="627" spans="1:27" x14ac:dyDescent="0.55000000000000004">
      <c r="A627" s="113"/>
      <c r="B627" s="166"/>
      <c r="C627" s="166"/>
      <c r="D627" s="167"/>
      <c r="E627" s="167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</row>
    <row r="628" spans="1:27" x14ac:dyDescent="0.55000000000000004">
      <c r="A628" s="113"/>
      <c r="B628" s="166"/>
      <c r="C628" s="166"/>
      <c r="D628" s="167"/>
      <c r="E628" s="167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</row>
    <row r="629" spans="1:27" x14ac:dyDescent="0.55000000000000004">
      <c r="A629" s="113"/>
      <c r="B629" s="166"/>
      <c r="C629" s="166"/>
      <c r="D629" s="167"/>
      <c r="E629" s="167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</row>
    <row r="630" spans="1:27" x14ac:dyDescent="0.55000000000000004">
      <c r="A630" s="113"/>
      <c r="B630" s="166"/>
      <c r="C630" s="166"/>
      <c r="D630" s="167"/>
      <c r="E630" s="167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</row>
    <row r="631" spans="1:27" x14ac:dyDescent="0.55000000000000004">
      <c r="A631" s="113"/>
      <c r="B631" s="166"/>
      <c r="C631" s="166"/>
      <c r="D631" s="167"/>
      <c r="E631" s="167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</row>
    <row r="632" spans="1:27" x14ac:dyDescent="0.55000000000000004">
      <c r="A632" s="113"/>
      <c r="B632" s="166"/>
      <c r="C632" s="166"/>
      <c r="D632" s="167"/>
      <c r="E632" s="167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</row>
    <row r="633" spans="1:27" x14ac:dyDescent="0.55000000000000004">
      <c r="A633" s="113"/>
      <c r="B633" s="166"/>
      <c r="C633" s="166"/>
      <c r="D633" s="167"/>
      <c r="E633" s="167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</row>
    <row r="634" spans="1:27" x14ac:dyDescent="0.55000000000000004">
      <c r="A634" s="113"/>
      <c r="B634" s="166"/>
      <c r="C634" s="166"/>
      <c r="D634" s="167"/>
      <c r="E634" s="167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</row>
    <row r="635" spans="1:27" x14ac:dyDescent="0.55000000000000004">
      <c r="A635" s="113"/>
      <c r="B635" s="166"/>
      <c r="C635" s="166"/>
      <c r="D635" s="167"/>
      <c r="E635" s="167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</row>
    <row r="636" spans="1:27" x14ac:dyDescent="0.55000000000000004">
      <c r="A636" s="113"/>
      <c r="B636" s="166"/>
      <c r="C636" s="166"/>
      <c r="D636" s="167"/>
      <c r="E636" s="167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</row>
    <row r="637" spans="1:27" x14ac:dyDescent="0.55000000000000004">
      <c r="A637" s="113"/>
      <c r="B637" s="166"/>
      <c r="C637" s="166"/>
      <c r="D637" s="167"/>
      <c r="E637" s="167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</row>
    <row r="638" spans="1:27" x14ac:dyDescent="0.55000000000000004">
      <c r="A638" s="113"/>
      <c r="B638" s="166"/>
      <c r="C638" s="166"/>
      <c r="D638" s="167"/>
      <c r="E638" s="167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</row>
    <row r="639" spans="1:27" x14ac:dyDescent="0.55000000000000004">
      <c r="A639" s="113"/>
      <c r="B639" s="166"/>
      <c r="C639" s="166"/>
      <c r="D639" s="167"/>
      <c r="E639" s="167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</row>
    <row r="640" spans="1:27" x14ac:dyDescent="0.55000000000000004">
      <c r="A640" s="113"/>
      <c r="B640" s="166"/>
      <c r="C640" s="166"/>
      <c r="D640" s="167"/>
      <c r="E640" s="167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</row>
    <row r="641" spans="1:27" x14ac:dyDescent="0.55000000000000004">
      <c r="A641" s="113"/>
      <c r="B641" s="166"/>
      <c r="C641" s="166"/>
      <c r="D641" s="167"/>
      <c r="E641" s="167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</row>
    <row r="642" spans="1:27" x14ac:dyDescent="0.55000000000000004">
      <c r="A642" s="113"/>
      <c r="B642" s="166"/>
      <c r="C642" s="166"/>
      <c r="D642" s="167"/>
      <c r="E642" s="167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</row>
    <row r="643" spans="1:27" x14ac:dyDescent="0.55000000000000004">
      <c r="A643" s="113"/>
      <c r="B643" s="166"/>
      <c r="C643" s="166"/>
      <c r="D643" s="167"/>
      <c r="E643" s="167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</row>
    <row r="644" spans="1:27" x14ac:dyDescent="0.55000000000000004">
      <c r="A644" s="113"/>
      <c r="B644" s="166"/>
      <c r="C644" s="166"/>
      <c r="D644" s="167"/>
      <c r="E644" s="167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</row>
    <row r="645" spans="1:27" x14ac:dyDescent="0.55000000000000004">
      <c r="A645" s="113"/>
      <c r="B645" s="166"/>
      <c r="C645" s="166"/>
      <c r="D645" s="167"/>
      <c r="E645" s="167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</row>
    <row r="646" spans="1:27" x14ac:dyDescent="0.55000000000000004">
      <c r="A646" s="113"/>
      <c r="B646" s="166"/>
      <c r="C646" s="166"/>
      <c r="D646" s="167"/>
      <c r="E646" s="167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</row>
    <row r="647" spans="1:27" x14ac:dyDescent="0.55000000000000004">
      <c r="A647" s="113"/>
      <c r="B647" s="166"/>
      <c r="C647" s="166"/>
      <c r="D647" s="167"/>
      <c r="E647" s="167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</row>
    <row r="648" spans="1:27" x14ac:dyDescent="0.55000000000000004">
      <c r="A648" s="113"/>
      <c r="B648" s="166"/>
      <c r="C648" s="166"/>
      <c r="D648" s="167"/>
      <c r="E648" s="167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</row>
    <row r="649" spans="1:27" x14ac:dyDescent="0.55000000000000004">
      <c r="A649" s="113"/>
      <c r="B649" s="166"/>
      <c r="C649" s="166"/>
      <c r="D649" s="167"/>
      <c r="E649" s="167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</row>
    <row r="650" spans="1:27" x14ac:dyDescent="0.55000000000000004">
      <c r="A650" s="113"/>
      <c r="B650" s="166"/>
      <c r="C650" s="166"/>
      <c r="D650" s="167"/>
      <c r="E650" s="167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</row>
    <row r="651" spans="1:27" x14ac:dyDescent="0.55000000000000004">
      <c r="A651" s="113"/>
      <c r="B651" s="166"/>
      <c r="C651" s="166"/>
      <c r="D651" s="167"/>
      <c r="E651" s="167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</row>
    <row r="652" spans="1:27" x14ac:dyDescent="0.55000000000000004">
      <c r="A652" s="113"/>
      <c r="B652" s="166"/>
      <c r="C652" s="166"/>
      <c r="D652" s="167"/>
      <c r="E652" s="167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</row>
    <row r="653" spans="1:27" x14ac:dyDescent="0.55000000000000004">
      <c r="A653" s="113"/>
      <c r="B653" s="166"/>
      <c r="C653" s="166"/>
      <c r="D653" s="167"/>
      <c r="E653" s="167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</row>
    <row r="654" spans="1:27" x14ac:dyDescent="0.55000000000000004">
      <c r="A654" s="113"/>
      <c r="B654" s="166"/>
      <c r="C654" s="166"/>
      <c r="D654" s="167"/>
      <c r="E654" s="167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</row>
    <row r="655" spans="1:27" x14ac:dyDescent="0.55000000000000004">
      <c r="A655" s="113"/>
      <c r="B655" s="166"/>
      <c r="C655" s="166"/>
      <c r="D655" s="167"/>
      <c r="E655" s="167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</row>
    <row r="656" spans="1:27" x14ac:dyDescent="0.55000000000000004">
      <c r="A656" s="113"/>
      <c r="B656" s="166"/>
      <c r="C656" s="166"/>
      <c r="D656" s="167"/>
      <c r="E656" s="167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</row>
    <row r="657" spans="1:27" x14ac:dyDescent="0.55000000000000004">
      <c r="A657" s="113"/>
      <c r="B657" s="166"/>
      <c r="C657" s="166"/>
      <c r="D657" s="167"/>
      <c r="E657" s="167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</row>
    <row r="658" spans="1:27" x14ac:dyDescent="0.55000000000000004">
      <c r="A658" s="113"/>
      <c r="B658" s="166"/>
      <c r="C658" s="166"/>
      <c r="D658" s="167"/>
      <c r="E658" s="167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</row>
    <row r="659" spans="1:27" x14ac:dyDescent="0.55000000000000004">
      <c r="A659" s="113"/>
      <c r="B659" s="166"/>
      <c r="C659" s="166"/>
      <c r="D659" s="167"/>
      <c r="E659" s="167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</row>
    <row r="660" spans="1:27" x14ac:dyDescent="0.55000000000000004">
      <c r="A660" s="113"/>
      <c r="B660" s="166"/>
      <c r="C660" s="166"/>
      <c r="D660" s="167"/>
      <c r="E660" s="167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</row>
    <row r="661" spans="1:27" x14ac:dyDescent="0.55000000000000004">
      <c r="A661" s="113"/>
      <c r="B661" s="166"/>
      <c r="C661" s="166"/>
      <c r="D661" s="167"/>
      <c r="E661" s="167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</row>
    <row r="662" spans="1:27" x14ac:dyDescent="0.55000000000000004">
      <c r="A662" s="113"/>
      <c r="B662" s="166"/>
      <c r="C662" s="166"/>
      <c r="D662" s="167"/>
      <c r="E662" s="167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</row>
    <row r="663" spans="1:27" x14ac:dyDescent="0.55000000000000004">
      <c r="A663" s="113"/>
      <c r="B663" s="166"/>
      <c r="C663" s="166"/>
      <c r="D663" s="167"/>
      <c r="E663" s="167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</row>
    <row r="664" spans="1:27" x14ac:dyDescent="0.55000000000000004">
      <c r="A664" s="113"/>
      <c r="B664" s="166"/>
      <c r="C664" s="166"/>
      <c r="D664" s="167"/>
      <c r="E664" s="167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</row>
    <row r="665" spans="1:27" x14ac:dyDescent="0.55000000000000004">
      <c r="A665" s="113"/>
      <c r="B665" s="166"/>
      <c r="C665" s="166"/>
      <c r="D665" s="167"/>
      <c r="E665" s="167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</row>
    <row r="666" spans="1:27" x14ac:dyDescent="0.55000000000000004">
      <c r="A666" s="113"/>
      <c r="B666" s="166"/>
      <c r="C666" s="166"/>
      <c r="D666" s="167"/>
      <c r="E666" s="167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</row>
    <row r="667" spans="1:27" x14ac:dyDescent="0.55000000000000004">
      <c r="A667" s="113"/>
      <c r="B667" s="166"/>
      <c r="C667" s="166"/>
      <c r="D667" s="167"/>
      <c r="E667" s="167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</row>
    <row r="668" spans="1:27" x14ac:dyDescent="0.55000000000000004">
      <c r="A668" s="113"/>
      <c r="B668" s="166"/>
      <c r="C668" s="166"/>
      <c r="D668" s="167"/>
      <c r="E668" s="167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</row>
    <row r="669" spans="1:27" x14ac:dyDescent="0.55000000000000004">
      <c r="A669" s="113"/>
      <c r="B669" s="166"/>
      <c r="C669" s="166"/>
      <c r="D669" s="167"/>
      <c r="E669" s="167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</row>
    <row r="670" spans="1:27" x14ac:dyDescent="0.55000000000000004">
      <c r="A670" s="113"/>
      <c r="B670" s="166"/>
      <c r="C670" s="166"/>
      <c r="D670" s="167"/>
      <c r="E670" s="167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</row>
    <row r="671" spans="1:27" x14ac:dyDescent="0.55000000000000004">
      <c r="A671" s="113"/>
      <c r="B671" s="166"/>
      <c r="C671" s="166"/>
      <c r="D671" s="167"/>
      <c r="E671" s="167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</row>
    <row r="672" spans="1:27" x14ac:dyDescent="0.55000000000000004">
      <c r="A672" s="113"/>
      <c r="B672" s="166"/>
      <c r="C672" s="166"/>
      <c r="D672" s="167"/>
      <c r="E672" s="167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</row>
    <row r="673" spans="1:27" x14ac:dyDescent="0.55000000000000004">
      <c r="A673" s="113"/>
      <c r="B673" s="166"/>
      <c r="C673" s="166"/>
      <c r="D673" s="167"/>
      <c r="E673" s="167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</row>
    <row r="674" spans="1:27" x14ac:dyDescent="0.55000000000000004">
      <c r="A674" s="113"/>
      <c r="B674" s="166"/>
      <c r="C674" s="166"/>
      <c r="D674" s="167"/>
      <c r="E674" s="167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</row>
    <row r="675" spans="1:27" x14ac:dyDescent="0.55000000000000004">
      <c r="A675" s="113"/>
      <c r="B675" s="166"/>
      <c r="C675" s="166"/>
      <c r="D675" s="167"/>
      <c r="E675" s="167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</row>
    <row r="676" spans="1:27" x14ac:dyDescent="0.55000000000000004">
      <c r="A676" s="113"/>
      <c r="B676" s="166"/>
      <c r="C676" s="166"/>
      <c r="D676" s="167"/>
      <c r="E676" s="167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</row>
    <row r="677" spans="1:27" x14ac:dyDescent="0.55000000000000004">
      <c r="A677" s="113"/>
      <c r="B677" s="166"/>
      <c r="C677" s="166"/>
      <c r="D677" s="167"/>
      <c r="E677" s="167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</row>
    <row r="678" spans="1:27" x14ac:dyDescent="0.55000000000000004">
      <c r="A678" s="113"/>
      <c r="B678" s="166"/>
      <c r="C678" s="166"/>
      <c r="D678" s="167"/>
      <c r="E678" s="167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</row>
    <row r="679" spans="1:27" x14ac:dyDescent="0.55000000000000004">
      <c r="A679" s="113"/>
      <c r="B679" s="166"/>
      <c r="C679" s="166"/>
      <c r="D679" s="167"/>
      <c r="E679" s="167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</row>
    <row r="680" spans="1:27" x14ac:dyDescent="0.55000000000000004">
      <c r="A680" s="113"/>
      <c r="B680" s="166"/>
      <c r="C680" s="166"/>
      <c r="D680" s="167"/>
      <c r="E680" s="167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</row>
    <row r="681" spans="1:27" x14ac:dyDescent="0.55000000000000004">
      <c r="A681" s="113"/>
      <c r="B681" s="166"/>
      <c r="C681" s="166"/>
      <c r="D681" s="167"/>
      <c r="E681" s="167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</row>
    <row r="682" spans="1:27" x14ac:dyDescent="0.55000000000000004">
      <c r="A682" s="113"/>
      <c r="B682" s="166"/>
      <c r="C682" s="166"/>
      <c r="D682" s="167"/>
      <c r="E682" s="167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</row>
    <row r="683" spans="1:27" x14ac:dyDescent="0.55000000000000004">
      <c r="A683" s="113"/>
      <c r="B683" s="166"/>
      <c r="C683" s="166"/>
      <c r="D683" s="167"/>
      <c r="E683" s="167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</row>
    <row r="684" spans="1:27" x14ac:dyDescent="0.55000000000000004">
      <c r="A684" s="113"/>
      <c r="B684" s="166"/>
      <c r="C684" s="166"/>
      <c r="D684" s="167"/>
      <c r="E684" s="167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</row>
    <row r="685" spans="1:27" x14ac:dyDescent="0.55000000000000004">
      <c r="A685" s="113"/>
      <c r="B685" s="166"/>
      <c r="C685" s="166"/>
      <c r="D685" s="167"/>
      <c r="E685" s="167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</row>
    <row r="686" spans="1:27" x14ac:dyDescent="0.55000000000000004">
      <c r="A686" s="113"/>
      <c r="B686" s="166"/>
      <c r="C686" s="166"/>
      <c r="D686" s="167"/>
      <c r="E686" s="167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</row>
    <row r="687" spans="1:27" x14ac:dyDescent="0.55000000000000004">
      <c r="A687" s="113"/>
      <c r="B687" s="166"/>
      <c r="C687" s="166"/>
      <c r="D687" s="167"/>
      <c r="E687" s="167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</row>
    <row r="688" spans="1:27" x14ac:dyDescent="0.55000000000000004">
      <c r="A688" s="113"/>
      <c r="B688" s="166"/>
      <c r="C688" s="166"/>
      <c r="D688" s="167"/>
      <c r="E688" s="167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</row>
    <row r="689" spans="1:27" x14ac:dyDescent="0.55000000000000004">
      <c r="A689" s="113"/>
      <c r="B689" s="166"/>
      <c r="C689" s="166"/>
      <c r="D689" s="167"/>
      <c r="E689" s="167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</row>
    <row r="690" spans="1:27" x14ac:dyDescent="0.55000000000000004">
      <c r="A690" s="113"/>
      <c r="B690" s="166"/>
      <c r="C690" s="166"/>
      <c r="D690" s="167"/>
      <c r="E690" s="167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</row>
    <row r="691" spans="1:27" x14ac:dyDescent="0.55000000000000004">
      <c r="A691" s="113"/>
      <c r="B691" s="166"/>
      <c r="C691" s="166"/>
      <c r="D691" s="167"/>
      <c r="E691" s="167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</row>
    <row r="692" spans="1:27" x14ac:dyDescent="0.55000000000000004">
      <c r="A692" s="113"/>
      <c r="B692" s="166"/>
      <c r="C692" s="166"/>
      <c r="D692" s="167"/>
      <c r="E692" s="167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</row>
    <row r="693" spans="1:27" x14ac:dyDescent="0.55000000000000004">
      <c r="A693" s="113"/>
      <c r="B693" s="166"/>
      <c r="C693" s="166"/>
      <c r="D693" s="167"/>
      <c r="E693" s="167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</row>
    <row r="694" spans="1:27" x14ac:dyDescent="0.55000000000000004">
      <c r="A694" s="113"/>
      <c r="B694" s="166"/>
      <c r="C694" s="166"/>
      <c r="D694" s="167"/>
      <c r="E694" s="167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</row>
    <row r="695" spans="1:27" x14ac:dyDescent="0.55000000000000004">
      <c r="A695" s="113"/>
      <c r="B695" s="166"/>
      <c r="C695" s="166"/>
      <c r="D695" s="167"/>
      <c r="E695" s="167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</row>
    <row r="696" spans="1:27" x14ac:dyDescent="0.55000000000000004">
      <c r="A696" s="113"/>
      <c r="B696" s="166"/>
      <c r="C696" s="166"/>
      <c r="D696" s="167"/>
      <c r="E696" s="167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</row>
    <row r="697" spans="1:27" x14ac:dyDescent="0.55000000000000004">
      <c r="A697" s="113"/>
      <c r="B697" s="166"/>
      <c r="C697" s="166"/>
      <c r="D697" s="167"/>
      <c r="E697" s="167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</row>
    <row r="698" spans="1:27" x14ac:dyDescent="0.55000000000000004">
      <c r="A698" s="113"/>
      <c r="B698" s="166"/>
      <c r="C698" s="166"/>
      <c r="D698" s="167"/>
      <c r="E698" s="167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</row>
    <row r="699" spans="1:27" x14ac:dyDescent="0.55000000000000004">
      <c r="A699" s="113"/>
      <c r="B699" s="166"/>
      <c r="C699" s="166"/>
      <c r="D699" s="167"/>
      <c r="E699" s="167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</row>
    <row r="700" spans="1:27" x14ac:dyDescent="0.55000000000000004">
      <c r="A700" s="113"/>
      <c r="B700" s="166"/>
      <c r="C700" s="166"/>
      <c r="D700" s="167"/>
      <c r="E700" s="167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</row>
    <row r="701" spans="1:27" x14ac:dyDescent="0.55000000000000004">
      <c r="A701" s="113"/>
      <c r="B701" s="166"/>
      <c r="C701" s="166"/>
      <c r="D701" s="167"/>
      <c r="E701" s="167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</row>
    <row r="702" spans="1:27" x14ac:dyDescent="0.55000000000000004">
      <c r="A702" s="113"/>
      <c r="B702" s="166"/>
      <c r="C702" s="166"/>
      <c r="D702" s="167"/>
      <c r="E702" s="167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</row>
    <row r="703" spans="1:27" x14ac:dyDescent="0.55000000000000004">
      <c r="A703" s="113"/>
      <c r="B703" s="166"/>
      <c r="C703" s="166"/>
      <c r="D703" s="167"/>
      <c r="E703" s="167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</row>
    <row r="704" spans="1:27" x14ac:dyDescent="0.55000000000000004">
      <c r="A704" s="113"/>
      <c r="B704" s="166"/>
      <c r="C704" s="166"/>
      <c r="D704" s="167"/>
      <c r="E704" s="167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</row>
    <row r="705" spans="1:27" x14ac:dyDescent="0.55000000000000004">
      <c r="A705" s="113"/>
      <c r="B705" s="166"/>
      <c r="C705" s="166"/>
      <c r="D705" s="167"/>
      <c r="E705" s="167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</row>
    <row r="706" spans="1:27" x14ac:dyDescent="0.55000000000000004">
      <c r="A706" s="113"/>
      <c r="B706" s="166"/>
      <c r="C706" s="166"/>
      <c r="D706" s="167"/>
      <c r="E706" s="167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</row>
    <row r="707" spans="1:27" x14ac:dyDescent="0.55000000000000004">
      <c r="A707" s="113"/>
      <c r="B707" s="166"/>
      <c r="C707" s="166"/>
      <c r="D707" s="167"/>
      <c r="E707" s="167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</row>
    <row r="708" spans="1:27" x14ac:dyDescent="0.55000000000000004">
      <c r="A708" s="113"/>
      <c r="B708" s="166"/>
      <c r="C708" s="166"/>
      <c r="D708" s="167"/>
      <c r="E708" s="167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</row>
    <row r="709" spans="1:27" x14ac:dyDescent="0.55000000000000004">
      <c r="A709" s="113"/>
      <c r="B709" s="166"/>
      <c r="C709" s="166"/>
      <c r="D709" s="167"/>
      <c r="E709" s="167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</row>
    <row r="710" spans="1:27" x14ac:dyDescent="0.55000000000000004">
      <c r="A710" s="113"/>
      <c r="B710" s="166"/>
      <c r="C710" s="166"/>
      <c r="D710" s="167"/>
      <c r="E710" s="167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</row>
    <row r="711" spans="1:27" x14ac:dyDescent="0.55000000000000004">
      <c r="A711" s="113"/>
      <c r="B711" s="166"/>
      <c r="C711" s="166"/>
      <c r="D711" s="167"/>
      <c r="E711" s="167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</row>
    <row r="712" spans="1:27" x14ac:dyDescent="0.55000000000000004">
      <c r="A712" s="113"/>
      <c r="B712" s="166"/>
      <c r="C712" s="166"/>
      <c r="D712" s="167"/>
      <c r="E712" s="167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</row>
    <row r="713" spans="1:27" x14ac:dyDescent="0.55000000000000004">
      <c r="A713" s="113"/>
      <c r="B713" s="166"/>
      <c r="C713" s="166"/>
      <c r="D713" s="167"/>
      <c r="E713" s="167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</row>
    <row r="714" spans="1:27" x14ac:dyDescent="0.55000000000000004">
      <c r="A714" s="113"/>
      <c r="B714" s="166"/>
      <c r="C714" s="166"/>
      <c r="D714" s="167"/>
      <c r="E714" s="167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</row>
    <row r="715" spans="1:27" x14ac:dyDescent="0.55000000000000004">
      <c r="A715" s="113"/>
      <c r="B715" s="166"/>
      <c r="C715" s="166"/>
      <c r="D715" s="167"/>
      <c r="E715" s="167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</row>
    <row r="716" spans="1:27" x14ac:dyDescent="0.55000000000000004">
      <c r="A716" s="113"/>
      <c r="B716" s="166"/>
      <c r="C716" s="166"/>
      <c r="D716" s="167"/>
      <c r="E716" s="167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</row>
    <row r="717" spans="1:27" x14ac:dyDescent="0.55000000000000004">
      <c r="A717" s="113"/>
      <c r="B717" s="166"/>
      <c r="C717" s="166"/>
      <c r="D717" s="167"/>
      <c r="E717" s="167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</row>
    <row r="718" spans="1:27" x14ac:dyDescent="0.55000000000000004">
      <c r="A718" s="113"/>
      <c r="B718" s="166"/>
      <c r="C718" s="166"/>
      <c r="D718" s="167"/>
      <c r="E718" s="167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</row>
    <row r="719" spans="1:27" x14ac:dyDescent="0.55000000000000004">
      <c r="A719" s="113"/>
      <c r="B719" s="166"/>
      <c r="C719" s="166"/>
      <c r="D719" s="167"/>
      <c r="E719" s="167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</row>
    <row r="720" spans="1:27" x14ac:dyDescent="0.55000000000000004">
      <c r="A720" s="113"/>
      <c r="B720" s="166"/>
      <c r="C720" s="166"/>
      <c r="D720" s="167"/>
      <c r="E720" s="167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</row>
    <row r="721" spans="1:27" x14ac:dyDescent="0.55000000000000004">
      <c r="A721" s="113"/>
      <c r="B721" s="166"/>
      <c r="C721" s="166"/>
      <c r="D721" s="167"/>
      <c r="E721" s="167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</row>
    <row r="722" spans="1:27" x14ac:dyDescent="0.55000000000000004">
      <c r="A722" s="113"/>
      <c r="B722" s="166"/>
      <c r="C722" s="166"/>
      <c r="D722" s="167"/>
      <c r="E722" s="167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</row>
    <row r="723" spans="1:27" x14ac:dyDescent="0.55000000000000004">
      <c r="A723" s="113"/>
      <c r="B723" s="166"/>
      <c r="C723" s="166"/>
      <c r="D723" s="167"/>
      <c r="E723" s="167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</row>
    <row r="724" spans="1:27" x14ac:dyDescent="0.55000000000000004">
      <c r="A724" s="113"/>
      <c r="B724" s="166"/>
      <c r="C724" s="166"/>
      <c r="D724" s="167"/>
      <c r="E724" s="167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</row>
    <row r="725" spans="1:27" x14ac:dyDescent="0.55000000000000004">
      <c r="A725" s="113"/>
      <c r="B725" s="166"/>
      <c r="C725" s="166"/>
      <c r="D725" s="167"/>
      <c r="E725" s="167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</row>
    <row r="726" spans="1:27" x14ac:dyDescent="0.55000000000000004">
      <c r="A726" s="113"/>
      <c r="B726" s="166"/>
      <c r="C726" s="166"/>
      <c r="D726" s="167"/>
      <c r="E726" s="167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</row>
    <row r="727" spans="1:27" x14ac:dyDescent="0.55000000000000004">
      <c r="A727" s="113"/>
      <c r="B727" s="166"/>
      <c r="C727" s="166"/>
      <c r="D727" s="167"/>
      <c r="E727" s="167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</row>
    <row r="728" spans="1:27" x14ac:dyDescent="0.55000000000000004">
      <c r="A728" s="113"/>
      <c r="B728" s="166"/>
      <c r="C728" s="166"/>
      <c r="D728" s="167"/>
      <c r="E728" s="167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</row>
    <row r="729" spans="1:27" x14ac:dyDescent="0.55000000000000004">
      <c r="A729" s="113"/>
      <c r="B729" s="166"/>
      <c r="C729" s="166"/>
      <c r="D729" s="167"/>
      <c r="E729" s="167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</row>
    <row r="730" spans="1:27" x14ac:dyDescent="0.55000000000000004">
      <c r="A730" s="113"/>
      <c r="B730" s="166"/>
      <c r="C730" s="166"/>
      <c r="D730" s="167"/>
      <c r="E730" s="167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</row>
    <row r="731" spans="1:27" x14ac:dyDescent="0.55000000000000004">
      <c r="A731" s="113"/>
      <c r="B731" s="166"/>
      <c r="C731" s="166"/>
      <c r="D731" s="167"/>
      <c r="E731" s="167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</row>
    <row r="732" spans="1:27" x14ac:dyDescent="0.55000000000000004">
      <c r="A732" s="113"/>
      <c r="B732" s="166"/>
      <c r="C732" s="166"/>
      <c r="D732" s="167"/>
      <c r="E732" s="167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</row>
    <row r="733" spans="1:27" x14ac:dyDescent="0.55000000000000004">
      <c r="A733" s="113"/>
      <c r="B733" s="166"/>
      <c r="C733" s="166"/>
      <c r="D733" s="167"/>
      <c r="E733" s="167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</row>
    <row r="734" spans="1:27" x14ac:dyDescent="0.55000000000000004">
      <c r="A734" s="113"/>
      <c r="B734" s="166"/>
      <c r="C734" s="166"/>
      <c r="D734" s="167"/>
      <c r="E734" s="167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</row>
    <row r="735" spans="1:27" x14ac:dyDescent="0.55000000000000004">
      <c r="A735" s="113"/>
      <c r="B735" s="166"/>
      <c r="C735" s="166"/>
      <c r="D735" s="167"/>
      <c r="E735" s="167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</row>
    <row r="736" spans="1:27" x14ac:dyDescent="0.55000000000000004">
      <c r="A736" s="113"/>
      <c r="B736" s="166"/>
      <c r="C736" s="166"/>
      <c r="D736" s="167"/>
      <c r="E736" s="167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</row>
    <row r="737" spans="1:27" x14ac:dyDescent="0.55000000000000004">
      <c r="A737" s="113"/>
      <c r="B737" s="166"/>
      <c r="C737" s="166"/>
      <c r="D737" s="167"/>
      <c r="E737" s="167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</row>
    <row r="738" spans="1:27" x14ac:dyDescent="0.55000000000000004">
      <c r="A738" s="113"/>
      <c r="B738" s="166"/>
      <c r="C738" s="166"/>
      <c r="D738" s="167"/>
      <c r="E738" s="167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</row>
    <row r="739" spans="1:27" x14ac:dyDescent="0.55000000000000004">
      <c r="A739" s="113"/>
      <c r="B739" s="166"/>
      <c r="C739" s="166"/>
      <c r="D739" s="167"/>
      <c r="E739" s="167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</row>
    <row r="740" spans="1:27" x14ac:dyDescent="0.55000000000000004">
      <c r="A740" s="113"/>
      <c r="B740" s="166"/>
      <c r="C740" s="166"/>
      <c r="D740" s="167"/>
      <c r="E740" s="167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</row>
    <row r="741" spans="1:27" x14ac:dyDescent="0.55000000000000004">
      <c r="A741" s="113"/>
      <c r="B741" s="166"/>
      <c r="C741" s="166"/>
      <c r="D741" s="167"/>
      <c r="E741" s="167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</row>
    <row r="742" spans="1:27" x14ac:dyDescent="0.55000000000000004">
      <c r="A742" s="113"/>
      <c r="B742" s="166"/>
      <c r="C742" s="166"/>
      <c r="D742" s="167"/>
      <c r="E742" s="167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</row>
    <row r="743" spans="1:27" x14ac:dyDescent="0.55000000000000004">
      <c r="A743" s="113"/>
      <c r="B743" s="166"/>
      <c r="C743" s="166"/>
      <c r="D743" s="167"/>
      <c r="E743" s="167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</row>
    <row r="744" spans="1:27" x14ac:dyDescent="0.55000000000000004">
      <c r="A744" s="113"/>
      <c r="B744" s="166"/>
      <c r="C744" s="166"/>
      <c r="D744" s="167"/>
      <c r="E744" s="167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</row>
    <row r="745" spans="1:27" x14ac:dyDescent="0.55000000000000004">
      <c r="A745" s="113"/>
      <c r="B745" s="166"/>
      <c r="C745" s="166"/>
      <c r="D745" s="167"/>
      <c r="E745" s="167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</row>
    <row r="746" spans="1:27" x14ac:dyDescent="0.55000000000000004">
      <c r="A746" s="113"/>
      <c r="B746" s="166"/>
      <c r="C746" s="166"/>
      <c r="D746" s="167"/>
      <c r="E746" s="167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</row>
    <row r="747" spans="1:27" x14ac:dyDescent="0.55000000000000004">
      <c r="A747" s="113"/>
      <c r="B747" s="166"/>
      <c r="C747" s="166"/>
      <c r="D747" s="167"/>
      <c r="E747" s="167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</row>
    <row r="748" spans="1:27" x14ac:dyDescent="0.55000000000000004">
      <c r="A748" s="113"/>
      <c r="B748" s="166"/>
      <c r="C748" s="166"/>
      <c r="D748" s="167"/>
      <c r="E748" s="167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</row>
    <row r="749" spans="1:27" x14ac:dyDescent="0.55000000000000004">
      <c r="A749" s="113"/>
      <c r="B749" s="166"/>
      <c r="C749" s="166"/>
      <c r="D749" s="167"/>
      <c r="E749" s="167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</row>
    <row r="750" spans="1:27" x14ac:dyDescent="0.55000000000000004">
      <c r="A750" s="113"/>
      <c r="B750" s="166"/>
      <c r="C750" s="166"/>
      <c r="D750" s="167"/>
      <c r="E750" s="167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</row>
    <row r="751" spans="1:27" x14ac:dyDescent="0.55000000000000004">
      <c r="A751" s="113"/>
      <c r="B751" s="166"/>
      <c r="C751" s="166"/>
      <c r="D751" s="167"/>
      <c r="E751" s="167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</row>
    <row r="752" spans="1:27" x14ac:dyDescent="0.55000000000000004">
      <c r="A752" s="113"/>
      <c r="B752" s="166"/>
      <c r="C752" s="166"/>
      <c r="D752" s="167"/>
      <c r="E752" s="167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</row>
    <row r="753" spans="1:27" x14ac:dyDescent="0.55000000000000004">
      <c r="A753" s="113"/>
      <c r="B753" s="166"/>
      <c r="C753" s="166"/>
      <c r="D753" s="167"/>
      <c r="E753" s="167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</row>
    <row r="754" spans="1:27" x14ac:dyDescent="0.55000000000000004">
      <c r="A754" s="113"/>
      <c r="B754" s="166"/>
      <c r="C754" s="166"/>
      <c r="D754" s="167"/>
      <c r="E754" s="167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</row>
    <row r="755" spans="1:27" x14ac:dyDescent="0.55000000000000004">
      <c r="A755" s="113"/>
      <c r="B755" s="166"/>
      <c r="C755" s="166"/>
      <c r="D755" s="167"/>
      <c r="E755" s="167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</row>
    <row r="756" spans="1:27" x14ac:dyDescent="0.55000000000000004">
      <c r="A756" s="113"/>
      <c r="B756" s="166"/>
      <c r="C756" s="166"/>
      <c r="D756" s="167"/>
      <c r="E756" s="167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</row>
    <row r="757" spans="1:27" x14ac:dyDescent="0.55000000000000004">
      <c r="A757" s="113"/>
      <c r="B757" s="166"/>
      <c r="C757" s="166"/>
      <c r="D757" s="167"/>
      <c r="E757" s="167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</row>
    <row r="758" spans="1:27" x14ac:dyDescent="0.55000000000000004">
      <c r="A758" s="113"/>
      <c r="B758" s="166"/>
      <c r="C758" s="166"/>
      <c r="D758" s="167"/>
      <c r="E758" s="167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</row>
    <row r="759" spans="1:27" x14ac:dyDescent="0.55000000000000004">
      <c r="A759" s="113"/>
      <c r="B759" s="166"/>
      <c r="C759" s="166"/>
      <c r="D759" s="167"/>
      <c r="E759" s="167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</row>
    <row r="760" spans="1:27" x14ac:dyDescent="0.55000000000000004">
      <c r="A760" s="113"/>
      <c r="B760" s="166"/>
      <c r="C760" s="166"/>
      <c r="D760" s="167"/>
      <c r="E760" s="167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</row>
    <row r="761" spans="1:27" x14ac:dyDescent="0.55000000000000004">
      <c r="A761" s="113"/>
      <c r="B761" s="166"/>
      <c r="C761" s="166"/>
      <c r="D761" s="167"/>
      <c r="E761" s="167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</row>
    <row r="762" spans="1:27" x14ac:dyDescent="0.55000000000000004">
      <c r="A762" s="113"/>
      <c r="B762" s="166"/>
      <c r="C762" s="166"/>
      <c r="D762" s="167"/>
      <c r="E762" s="167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</row>
    <row r="763" spans="1:27" x14ac:dyDescent="0.55000000000000004">
      <c r="A763" s="113"/>
      <c r="B763" s="166"/>
      <c r="C763" s="166"/>
      <c r="D763" s="167"/>
      <c r="E763" s="167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</row>
    <row r="764" spans="1:27" x14ac:dyDescent="0.55000000000000004">
      <c r="A764" s="113"/>
      <c r="B764" s="166"/>
      <c r="C764" s="166"/>
      <c r="D764" s="167"/>
      <c r="E764" s="167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</row>
    <row r="765" spans="1:27" x14ac:dyDescent="0.55000000000000004">
      <c r="A765" s="113"/>
      <c r="B765" s="166"/>
      <c r="C765" s="166"/>
      <c r="D765" s="167"/>
      <c r="E765" s="167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</row>
    <row r="766" spans="1:27" x14ac:dyDescent="0.55000000000000004">
      <c r="A766" s="113"/>
      <c r="B766" s="166"/>
      <c r="C766" s="166"/>
      <c r="D766" s="167"/>
      <c r="E766" s="167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</row>
    <row r="767" spans="1:27" x14ac:dyDescent="0.55000000000000004">
      <c r="A767" s="113"/>
      <c r="B767" s="166"/>
      <c r="C767" s="166"/>
      <c r="D767" s="167"/>
      <c r="E767" s="167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</row>
    <row r="768" spans="1:27" x14ac:dyDescent="0.55000000000000004">
      <c r="A768" s="113"/>
      <c r="B768" s="166"/>
      <c r="C768" s="166"/>
      <c r="D768" s="167"/>
      <c r="E768" s="167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</row>
    <row r="769" spans="1:27" x14ac:dyDescent="0.55000000000000004">
      <c r="A769" s="113"/>
      <c r="B769" s="166"/>
      <c r="C769" s="166"/>
      <c r="D769" s="167"/>
      <c r="E769" s="167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</row>
    <row r="770" spans="1:27" x14ac:dyDescent="0.55000000000000004">
      <c r="A770" s="113"/>
      <c r="B770" s="166"/>
      <c r="C770" s="166"/>
      <c r="D770" s="167"/>
      <c r="E770" s="167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</row>
    <row r="771" spans="1:27" x14ac:dyDescent="0.55000000000000004">
      <c r="A771" s="113"/>
      <c r="B771" s="166"/>
      <c r="C771" s="166"/>
      <c r="D771" s="167"/>
      <c r="E771" s="167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</row>
    <row r="772" spans="1:27" x14ac:dyDescent="0.55000000000000004">
      <c r="A772" s="113"/>
      <c r="B772" s="166"/>
      <c r="C772" s="166"/>
      <c r="D772" s="167"/>
      <c r="E772" s="167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</row>
    <row r="773" spans="1:27" x14ac:dyDescent="0.55000000000000004">
      <c r="A773" s="113"/>
      <c r="B773" s="166"/>
      <c r="C773" s="166"/>
      <c r="D773" s="167"/>
      <c r="E773" s="167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</row>
    <row r="774" spans="1:27" x14ac:dyDescent="0.55000000000000004">
      <c r="A774" s="113"/>
      <c r="B774" s="166"/>
      <c r="C774" s="166"/>
      <c r="D774" s="167"/>
      <c r="E774" s="167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</row>
    <row r="775" spans="1:27" x14ac:dyDescent="0.55000000000000004">
      <c r="A775" s="113"/>
      <c r="B775" s="166"/>
      <c r="C775" s="166"/>
      <c r="D775" s="167"/>
      <c r="E775" s="167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</row>
    <row r="776" spans="1:27" x14ac:dyDescent="0.55000000000000004">
      <c r="A776" s="113"/>
      <c r="B776" s="166"/>
      <c r="C776" s="166"/>
      <c r="D776" s="167"/>
      <c r="E776" s="167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</row>
    <row r="777" spans="1:27" x14ac:dyDescent="0.55000000000000004">
      <c r="A777" s="113"/>
      <c r="B777" s="166"/>
      <c r="C777" s="166"/>
      <c r="D777" s="167"/>
      <c r="E777" s="167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</row>
    <row r="778" spans="1:27" x14ac:dyDescent="0.55000000000000004">
      <c r="A778" s="113"/>
      <c r="B778" s="166"/>
      <c r="C778" s="166"/>
      <c r="D778" s="167"/>
      <c r="E778" s="167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</row>
    <row r="779" spans="1:27" x14ac:dyDescent="0.55000000000000004">
      <c r="A779" s="113"/>
      <c r="B779" s="166"/>
      <c r="C779" s="166"/>
      <c r="D779" s="167"/>
      <c r="E779" s="167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</row>
    <row r="780" spans="1:27" x14ac:dyDescent="0.55000000000000004">
      <c r="A780" s="113"/>
      <c r="B780" s="166"/>
      <c r="C780" s="166"/>
      <c r="D780" s="167"/>
      <c r="E780" s="167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</row>
    <row r="781" spans="1:27" x14ac:dyDescent="0.55000000000000004">
      <c r="A781" s="113"/>
      <c r="B781" s="166"/>
      <c r="C781" s="166"/>
      <c r="D781" s="167"/>
      <c r="E781" s="167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</row>
    <row r="782" spans="1:27" x14ac:dyDescent="0.55000000000000004">
      <c r="A782" s="113"/>
      <c r="B782" s="166"/>
      <c r="C782" s="166"/>
      <c r="D782" s="167"/>
      <c r="E782" s="167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</row>
    <row r="783" spans="1:27" x14ac:dyDescent="0.55000000000000004">
      <c r="A783" s="113"/>
      <c r="B783" s="166"/>
      <c r="C783" s="166"/>
      <c r="D783" s="167"/>
      <c r="E783" s="167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</row>
    <row r="784" spans="1:27" x14ac:dyDescent="0.55000000000000004">
      <c r="A784" s="113"/>
      <c r="B784" s="166"/>
      <c r="C784" s="166"/>
      <c r="D784" s="167"/>
      <c r="E784" s="167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</row>
    <row r="785" spans="1:27" x14ac:dyDescent="0.55000000000000004">
      <c r="A785" s="113"/>
      <c r="B785" s="166"/>
      <c r="C785" s="166"/>
      <c r="D785" s="167"/>
      <c r="E785" s="167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</row>
    <row r="786" spans="1:27" x14ac:dyDescent="0.55000000000000004">
      <c r="A786" s="113"/>
      <c r="B786" s="166"/>
      <c r="C786" s="166"/>
      <c r="D786" s="167"/>
      <c r="E786" s="167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</row>
    <row r="787" spans="1:27" x14ac:dyDescent="0.55000000000000004">
      <c r="A787" s="113"/>
      <c r="B787" s="166"/>
      <c r="C787" s="166"/>
      <c r="D787" s="167"/>
      <c r="E787" s="167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</row>
    <row r="788" spans="1:27" x14ac:dyDescent="0.55000000000000004">
      <c r="A788" s="113"/>
      <c r="B788" s="166"/>
      <c r="C788" s="166"/>
      <c r="D788" s="167"/>
      <c r="E788" s="167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</row>
    <row r="789" spans="1:27" x14ac:dyDescent="0.55000000000000004">
      <c r="A789" s="113"/>
      <c r="B789" s="166"/>
      <c r="C789" s="166"/>
      <c r="D789" s="167"/>
      <c r="E789" s="167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</row>
    <row r="790" spans="1:27" x14ac:dyDescent="0.55000000000000004">
      <c r="A790" s="113"/>
      <c r="B790" s="166"/>
      <c r="C790" s="166"/>
      <c r="D790" s="167"/>
      <c r="E790" s="167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</row>
    <row r="791" spans="1:27" x14ac:dyDescent="0.55000000000000004">
      <c r="A791" s="113"/>
      <c r="B791" s="166"/>
      <c r="C791" s="166"/>
      <c r="D791" s="167"/>
      <c r="E791" s="167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</row>
    <row r="792" spans="1:27" x14ac:dyDescent="0.55000000000000004">
      <c r="A792" s="113"/>
      <c r="B792" s="166"/>
      <c r="C792" s="166"/>
      <c r="D792" s="167"/>
      <c r="E792" s="167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</row>
    <row r="793" spans="1:27" x14ac:dyDescent="0.55000000000000004">
      <c r="A793" s="113"/>
      <c r="B793" s="166"/>
      <c r="C793" s="166"/>
      <c r="D793" s="167"/>
      <c r="E793" s="167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</row>
    <row r="794" spans="1:27" x14ac:dyDescent="0.55000000000000004">
      <c r="A794" s="113"/>
      <c r="B794" s="166"/>
      <c r="C794" s="166"/>
      <c r="D794" s="167"/>
      <c r="E794" s="167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</row>
    <row r="795" spans="1:27" x14ac:dyDescent="0.55000000000000004">
      <c r="A795" s="113"/>
      <c r="B795" s="166"/>
      <c r="C795" s="166"/>
      <c r="D795" s="167"/>
      <c r="E795" s="167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</row>
    <row r="796" spans="1:27" x14ac:dyDescent="0.55000000000000004">
      <c r="A796" s="113"/>
      <c r="B796" s="166"/>
      <c r="C796" s="166"/>
      <c r="D796" s="167"/>
      <c r="E796" s="167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 spans="1:27" x14ac:dyDescent="0.55000000000000004">
      <c r="A797" s="113"/>
      <c r="B797" s="166"/>
      <c r="C797" s="166"/>
      <c r="D797" s="167"/>
      <c r="E797" s="167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</row>
    <row r="798" spans="1:27" x14ac:dyDescent="0.55000000000000004">
      <c r="A798" s="113"/>
      <c r="B798" s="166"/>
      <c r="C798" s="166"/>
      <c r="D798" s="167"/>
      <c r="E798" s="167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</row>
    <row r="799" spans="1:27" x14ac:dyDescent="0.55000000000000004">
      <c r="A799" s="113"/>
      <c r="B799" s="166"/>
      <c r="C799" s="166"/>
      <c r="D799" s="167"/>
      <c r="E799" s="167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</row>
    <row r="800" spans="1:27" x14ac:dyDescent="0.55000000000000004">
      <c r="A800" s="113"/>
      <c r="B800" s="166"/>
      <c r="C800" s="166"/>
      <c r="D800" s="167"/>
      <c r="E800" s="167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</row>
    <row r="801" spans="1:27" x14ac:dyDescent="0.55000000000000004">
      <c r="A801" s="113"/>
      <c r="B801" s="166"/>
      <c r="C801" s="166"/>
      <c r="D801" s="167"/>
      <c r="E801" s="167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</row>
    <row r="802" spans="1:27" x14ac:dyDescent="0.55000000000000004">
      <c r="A802" s="113"/>
      <c r="B802" s="166"/>
      <c r="C802" s="166"/>
      <c r="D802" s="167"/>
      <c r="E802" s="167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</row>
    <row r="803" spans="1:27" x14ac:dyDescent="0.55000000000000004">
      <c r="A803" s="113"/>
      <c r="B803" s="166"/>
      <c r="C803" s="166"/>
      <c r="D803" s="167"/>
      <c r="E803" s="167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</row>
    <row r="804" spans="1:27" x14ac:dyDescent="0.55000000000000004">
      <c r="A804" s="113"/>
      <c r="B804" s="166"/>
      <c r="C804" s="166"/>
      <c r="D804" s="167"/>
      <c r="E804" s="167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</row>
    <row r="805" spans="1:27" x14ac:dyDescent="0.55000000000000004">
      <c r="A805" s="113"/>
      <c r="B805" s="166"/>
      <c r="C805" s="166"/>
      <c r="D805" s="167"/>
      <c r="E805" s="167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</row>
    <row r="806" spans="1:27" x14ac:dyDescent="0.55000000000000004">
      <c r="A806" s="113"/>
      <c r="B806" s="166"/>
      <c r="C806" s="166"/>
      <c r="D806" s="167"/>
      <c r="E806" s="167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</row>
    <row r="807" spans="1:27" x14ac:dyDescent="0.55000000000000004">
      <c r="A807" s="113"/>
      <c r="B807" s="166"/>
      <c r="C807" s="166"/>
      <c r="D807" s="167"/>
      <c r="E807" s="167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</row>
    <row r="808" spans="1:27" x14ac:dyDescent="0.55000000000000004">
      <c r="A808" s="113"/>
      <c r="B808" s="166"/>
      <c r="C808" s="166"/>
      <c r="D808" s="167"/>
      <c r="E808" s="167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</row>
    <row r="809" spans="1:27" x14ac:dyDescent="0.55000000000000004">
      <c r="A809" s="113"/>
      <c r="B809" s="166"/>
      <c r="C809" s="166"/>
      <c r="D809" s="167"/>
      <c r="E809" s="167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</row>
    <row r="810" spans="1:27" x14ac:dyDescent="0.55000000000000004">
      <c r="A810" s="113"/>
      <c r="B810" s="166"/>
      <c r="C810" s="166"/>
      <c r="D810" s="167"/>
      <c r="E810" s="167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</row>
    <row r="811" spans="1:27" x14ac:dyDescent="0.55000000000000004">
      <c r="A811" s="113"/>
      <c r="B811" s="166"/>
      <c r="C811" s="166"/>
      <c r="D811" s="167"/>
      <c r="E811" s="167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</row>
    <row r="812" spans="1:27" x14ac:dyDescent="0.55000000000000004">
      <c r="A812" s="113"/>
      <c r="B812" s="166"/>
      <c r="C812" s="166"/>
      <c r="D812" s="167"/>
      <c r="E812" s="167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</row>
    <row r="813" spans="1:27" x14ac:dyDescent="0.55000000000000004">
      <c r="A813" s="113"/>
      <c r="B813" s="166"/>
      <c r="C813" s="166"/>
      <c r="D813" s="167"/>
      <c r="E813" s="167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</row>
    <row r="814" spans="1:27" x14ac:dyDescent="0.55000000000000004">
      <c r="A814" s="113"/>
      <c r="B814" s="166"/>
      <c r="C814" s="166"/>
      <c r="D814" s="167"/>
      <c r="E814" s="167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</row>
    <row r="815" spans="1:27" x14ac:dyDescent="0.55000000000000004">
      <c r="A815" s="113"/>
      <c r="B815" s="166"/>
      <c r="C815" s="166"/>
      <c r="D815" s="167"/>
      <c r="E815" s="167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</row>
    <row r="816" spans="1:27" x14ac:dyDescent="0.55000000000000004">
      <c r="A816" s="113"/>
      <c r="B816" s="166"/>
      <c r="C816" s="166"/>
      <c r="D816" s="167"/>
      <c r="E816" s="167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</row>
    <row r="817" spans="1:27" x14ac:dyDescent="0.55000000000000004">
      <c r="A817" s="113"/>
      <c r="B817" s="166"/>
      <c r="C817" s="166"/>
      <c r="D817" s="167"/>
      <c r="E817" s="167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</row>
    <row r="818" spans="1:27" x14ac:dyDescent="0.55000000000000004">
      <c r="A818" s="113"/>
      <c r="B818" s="166"/>
      <c r="C818" s="166"/>
      <c r="D818" s="167"/>
      <c r="E818" s="167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</row>
    <row r="819" spans="1:27" x14ac:dyDescent="0.55000000000000004">
      <c r="A819" s="113"/>
      <c r="B819" s="166"/>
      <c r="C819" s="166"/>
      <c r="D819" s="167"/>
      <c r="E819" s="167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</row>
    <row r="820" spans="1:27" x14ac:dyDescent="0.55000000000000004">
      <c r="A820" s="113"/>
      <c r="B820" s="166"/>
      <c r="C820" s="166"/>
      <c r="D820" s="167"/>
      <c r="E820" s="167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</row>
    <row r="821" spans="1:27" x14ac:dyDescent="0.55000000000000004">
      <c r="A821" s="113"/>
      <c r="B821" s="166"/>
      <c r="C821" s="166"/>
      <c r="D821" s="167"/>
      <c r="E821" s="167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</row>
    <row r="822" spans="1:27" x14ac:dyDescent="0.55000000000000004">
      <c r="A822" s="113"/>
      <c r="B822" s="166"/>
      <c r="C822" s="166"/>
      <c r="D822" s="167"/>
      <c r="E822" s="167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</row>
    <row r="823" spans="1:27" x14ac:dyDescent="0.55000000000000004">
      <c r="A823" s="113"/>
      <c r="B823" s="166"/>
      <c r="C823" s="166"/>
      <c r="D823" s="167"/>
      <c r="E823" s="167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</row>
    <row r="824" spans="1:27" x14ac:dyDescent="0.55000000000000004">
      <c r="A824" s="113"/>
      <c r="B824" s="166"/>
      <c r="C824" s="166"/>
      <c r="D824" s="167"/>
      <c r="E824" s="167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</row>
    <row r="825" spans="1:27" x14ac:dyDescent="0.55000000000000004">
      <c r="A825" s="113"/>
      <c r="B825" s="166"/>
      <c r="C825" s="166"/>
      <c r="D825" s="167"/>
      <c r="E825" s="167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</row>
    <row r="826" spans="1:27" x14ac:dyDescent="0.55000000000000004">
      <c r="A826" s="113"/>
      <c r="B826" s="166"/>
      <c r="C826" s="166"/>
      <c r="D826" s="167"/>
      <c r="E826" s="167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</row>
    <row r="827" spans="1:27" x14ac:dyDescent="0.55000000000000004">
      <c r="A827" s="113"/>
      <c r="B827" s="166"/>
      <c r="C827" s="166"/>
      <c r="D827" s="167"/>
      <c r="E827" s="167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</row>
    <row r="828" spans="1:27" x14ac:dyDescent="0.55000000000000004">
      <c r="A828" s="113"/>
      <c r="B828" s="166"/>
      <c r="C828" s="166"/>
      <c r="D828" s="167"/>
      <c r="E828" s="167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</row>
    <row r="829" spans="1:27" x14ac:dyDescent="0.55000000000000004">
      <c r="A829" s="113"/>
      <c r="B829" s="166"/>
      <c r="C829" s="166"/>
      <c r="D829" s="167"/>
      <c r="E829" s="167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</row>
    <row r="830" spans="1:27" x14ac:dyDescent="0.55000000000000004">
      <c r="A830" s="113"/>
      <c r="B830" s="166"/>
      <c r="C830" s="166"/>
      <c r="D830" s="167"/>
      <c r="E830" s="167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</row>
    <row r="831" spans="1:27" x14ac:dyDescent="0.55000000000000004">
      <c r="A831" s="113"/>
      <c r="B831" s="166"/>
      <c r="C831" s="166"/>
      <c r="D831" s="167"/>
      <c r="E831" s="167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</row>
    <row r="832" spans="1:27" x14ac:dyDescent="0.55000000000000004">
      <c r="A832" s="113"/>
      <c r="B832" s="166"/>
      <c r="C832" s="166"/>
      <c r="D832" s="167"/>
      <c r="E832" s="167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</row>
    <row r="833" spans="1:27" x14ac:dyDescent="0.55000000000000004">
      <c r="A833" s="113"/>
      <c r="B833" s="166"/>
      <c r="C833" s="166"/>
      <c r="D833" s="167"/>
      <c r="E833" s="167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</row>
    <row r="834" spans="1:27" x14ac:dyDescent="0.55000000000000004">
      <c r="A834" s="113"/>
      <c r="B834" s="166"/>
      <c r="C834" s="166"/>
      <c r="D834" s="167"/>
      <c r="E834" s="167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</row>
    <row r="835" spans="1:27" x14ac:dyDescent="0.55000000000000004">
      <c r="A835" s="113"/>
      <c r="B835" s="166"/>
      <c r="C835" s="166"/>
      <c r="D835" s="167"/>
      <c r="E835" s="167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</row>
    <row r="836" spans="1:27" x14ac:dyDescent="0.55000000000000004">
      <c r="A836" s="113"/>
      <c r="B836" s="166"/>
      <c r="C836" s="166"/>
      <c r="D836" s="167"/>
      <c r="E836" s="167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</row>
    <row r="837" spans="1:27" x14ac:dyDescent="0.55000000000000004">
      <c r="A837" s="113"/>
      <c r="B837" s="166"/>
      <c r="C837" s="166"/>
      <c r="D837" s="167"/>
      <c r="E837" s="167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</row>
    <row r="838" spans="1:27" x14ac:dyDescent="0.55000000000000004">
      <c r="A838" s="113"/>
      <c r="B838" s="166"/>
      <c r="C838" s="166"/>
      <c r="D838" s="167"/>
      <c r="E838" s="167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</row>
    <row r="839" spans="1:27" x14ac:dyDescent="0.55000000000000004">
      <c r="A839" s="113"/>
      <c r="B839" s="166"/>
      <c r="C839" s="166"/>
      <c r="D839" s="167"/>
      <c r="E839" s="167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</row>
    <row r="840" spans="1:27" x14ac:dyDescent="0.55000000000000004">
      <c r="A840" s="113"/>
      <c r="B840" s="166"/>
      <c r="C840" s="166"/>
      <c r="D840" s="167"/>
      <c r="E840" s="167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</row>
    <row r="841" spans="1:27" x14ac:dyDescent="0.55000000000000004">
      <c r="A841" s="113"/>
      <c r="B841" s="166"/>
      <c r="C841" s="166"/>
      <c r="D841" s="167"/>
      <c r="E841" s="167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</row>
    <row r="842" spans="1:27" x14ac:dyDescent="0.55000000000000004">
      <c r="A842" s="113"/>
      <c r="B842" s="166"/>
      <c r="C842" s="166"/>
      <c r="D842" s="167"/>
      <c r="E842" s="167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</row>
    <row r="843" spans="1:27" x14ac:dyDescent="0.55000000000000004">
      <c r="A843" s="113"/>
      <c r="B843" s="166"/>
      <c r="C843" s="166"/>
      <c r="D843" s="167"/>
      <c r="E843" s="167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</row>
    <row r="844" spans="1:27" x14ac:dyDescent="0.55000000000000004">
      <c r="A844" s="113"/>
      <c r="B844" s="166"/>
      <c r="C844" s="166"/>
      <c r="D844" s="167"/>
      <c r="E844" s="167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</row>
    <row r="845" spans="1:27" x14ac:dyDescent="0.55000000000000004">
      <c r="A845" s="113"/>
      <c r="B845" s="166"/>
      <c r="C845" s="166"/>
      <c r="D845" s="167"/>
      <c r="E845" s="167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</row>
    <row r="846" spans="1:27" x14ac:dyDescent="0.55000000000000004">
      <c r="A846" s="113"/>
      <c r="B846" s="166"/>
      <c r="C846" s="166"/>
      <c r="D846" s="167"/>
      <c r="E846" s="167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</row>
    <row r="847" spans="1:27" x14ac:dyDescent="0.55000000000000004">
      <c r="A847" s="113"/>
      <c r="B847" s="166"/>
      <c r="C847" s="166"/>
      <c r="D847" s="167"/>
      <c r="E847" s="167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</row>
    <row r="848" spans="1:27" x14ac:dyDescent="0.55000000000000004">
      <c r="A848" s="113"/>
      <c r="B848" s="166"/>
      <c r="C848" s="166"/>
      <c r="D848" s="167"/>
      <c r="E848" s="167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</row>
    <row r="849" spans="1:27" x14ac:dyDescent="0.55000000000000004">
      <c r="A849" s="113"/>
      <c r="B849" s="166"/>
      <c r="C849" s="166"/>
      <c r="D849" s="167"/>
      <c r="E849" s="167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</row>
    <row r="850" spans="1:27" x14ac:dyDescent="0.55000000000000004">
      <c r="A850" s="113"/>
      <c r="B850" s="166"/>
      <c r="C850" s="166"/>
      <c r="D850" s="167"/>
      <c r="E850" s="167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</row>
    <row r="851" spans="1:27" x14ac:dyDescent="0.55000000000000004">
      <c r="A851" s="113"/>
      <c r="B851" s="166"/>
      <c r="C851" s="166"/>
      <c r="D851" s="167"/>
      <c r="E851" s="167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</row>
    <row r="852" spans="1:27" x14ac:dyDescent="0.55000000000000004">
      <c r="A852" s="113"/>
      <c r="B852" s="166"/>
      <c r="C852" s="166"/>
      <c r="D852" s="167"/>
      <c r="E852" s="167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</row>
    <row r="853" spans="1:27" x14ac:dyDescent="0.55000000000000004">
      <c r="A853" s="113"/>
      <c r="B853" s="166"/>
      <c r="C853" s="166"/>
      <c r="D853" s="167"/>
      <c r="E853" s="167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</row>
    <row r="854" spans="1:27" x14ac:dyDescent="0.55000000000000004">
      <c r="A854" s="113"/>
      <c r="B854" s="166"/>
      <c r="C854" s="166"/>
      <c r="D854" s="167"/>
      <c r="E854" s="167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</row>
    <row r="855" spans="1:27" x14ac:dyDescent="0.55000000000000004">
      <c r="A855" s="113"/>
      <c r="B855" s="166"/>
      <c r="C855" s="166"/>
      <c r="D855" s="167"/>
      <c r="E855" s="167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</row>
    <row r="856" spans="1:27" x14ac:dyDescent="0.55000000000000004">
      <c r="A856" s="113"/>
      <c r="B856" s="166"/>
      <c r="C856" s="166"/>
      <c r="D856" s="167"/>
      <c r="E856" s="167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</row>
    <row r="857" spans="1:27" x14ac:dyDescent="0.55000000000000004">
      <c r="A857" s="113"/>
      <c r="B857" s="166"/>
      <c r="C857" s="166"/>
      <c r="D857" s="167"/>
      <c r="E857" s="167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</row>
    <row r="858" spans="1:27" x14ac:dyDescent="0.55000000000000004">
      <c r="A858" s="113"/>
      <c r="B858" s="166"/>
      <c r="C858" s="166"/>
      <c r="D858" s="167"/>
      <c r="E858" s="167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</row>
    <row r="859" spans="1:27" x14ac:dyDescent="0.55000000000000004">
      <c r="A859" s="113"/>
      <c r="B859" s="166"/>
      <c r="C859" s="166"/>
      <c r="D859" s="167"/>
      <c r="E859" s="167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</row>
    <row r="860" spans="1:27" x14ac:dyDescent="0.55000000000000004">
      <c r="A860" s="113"/>
      <c r="B860" s="166"/>
      <c r="C860" s="166"/>
      <c r="D860" s="167"/>
      <c r="E860" s="167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</row>
    <row r="861" spans="1:27" x14ac:dyDescent="0.55000000000000004">
      <c r="A861" s="113"/>
      <c r="B861" s="166"/>
      <c r="C861" s="166"/>
      <c r="D861" s="167"/>
      <c r="E861" s="167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</row>
    <row r="862" spans="1:27" x14ac:dyDescent="0.55000000000000004">
      <c r="A862" s="113"/>
      <c r="B862" s="166"/>
      <c r="C862" s="166"/>
      <c r="D862" s="167"/>
      <c r="E862" s="167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</row>
    <row r="863" spans="1:27" x14ac:dyDescent="0.55000000000000004">
      <c r="A863" s="113"/>
      <c r="B863" s="166"/>
      <c r="C863" s="166"/>
      <c r="D863" s="167"/>
      <c r="E863" s="167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</row>
    <row r="864" spans="1:27" x14ac:dyDescent="0.55000000000000004">
      <c r="A864" s="113"/>
      <c r="B864" s="166"/>
      <c r="C864" s="166"/>
      <c r="D864" s="167"/>
      <c r="E864" s="167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</row>
    <row r="865" spans="1:27" x14ac:dyDescent="0.55000000000000004">
      <c r="A865" s="113"/>
      <c r="B865" s="166"/>
      <c r="C865" s="166"/>
      <c r="D865" s="167"/>
      <c r="E865" s="167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</row>
    <row r="866" spans="1:27" x14ac:dyDescent="0.55000000000000004">
      <c r="A866" s="113"/>
      <c r="B866" s="166"/>
      <c r="C866" s="166"/>
      <c r="D866" s="167"/>
      <c r="E866" s="167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</row>
    <row r="867" spans="1:27" x14ac:dyDescent="0.55000000000000004">
      <c r="A867" s="113"/>
      <c r="B867" s="166"/>
      <c r="C867" s="166"/>
      <c r="D867" s="167"/>
      <c r="E867" s="167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</row>
    <row r="868" spans="1:27" x14ac:dyDescent="0.55000000000000004">
      <c r="A868" s="113"/>
      <c r="B868" s="166"/>
      <c r="C868" s="166"/>
      <c r="D868" s="167"/>
      <c r="E868" s="167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</row>
    <row r="869" spans="1:27" x14ac:dyDescent="0.55000000000000004">
      <c r="A869" s="113"/>
      <c r="B869" s="166"/>
      <c r="C869" s="166"/>
      <c r="D869" s="167"/>
      <c r="E869" s="167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</row>
    <row r="870" spans="1:27" x14ac:dyDescent="0.55000000000000004">
      <c r="A870" s="113"/>
      <c r="B870" s="166"/>
      <c r="C870" s="166"/>
      <c r="D870" s="167"/>
      <c r="E870" s="167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</row>
    <row r="871" spans="1:27" x14ac:dyDescent="0.55000000000000004">
      <c r="A871" s="113"/>
      <c r="B871" s="166"/>
      <c r="C871" s="166"/>
      <c r="D871" s="167"/>
      <c r="E871" s="167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</row>
    <row r="872" spans="1:27" x14ac:dyDescent="0.55000000000000004">
      <c r="A872" s="113"/>
      <c r="B872" s="166"/>
      <c r="C872" s="166"/>
      <c r="D872" s="167"/>
      <c r="E872" s="167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</row>
    <row r="873" spans="1:27" x14ac:dyDescent="0.55000000000000004">
      <c r="A873" s="113"/>
      <c r="B873" s="166"/>
      <c r="C873" s="166"/>
      <c r="D873" s="167"/>
      <c r="E873" s="167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</row>
    <row r="874" spans="1:27" x14ac:dyDescent="0.55000000000000004">
      <c r="A874" s="113"/>
      <c r="B874" s="166"/>
      <c r="C874" s="166"/>
      <c r="D874" s="167"/>
      <c r="E874" s="167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</row>
    <row r="875" spans="1:27" x14ac:dyDescent="0.55000000000000004">
      <c r="A875" s="113"/>
      <c r="B875" s="166"/>
      <c r="C875" s="166"/>
      <c r="D875" s="167"/>
      <c r="E875" s="167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</row>
    <row r="876" spans="1:27" x14ac:dyDescent="0.55000000000000004">
      <c r="A876" s="113"/>
      <c r="B876" s="166"/>
      <c r="C876" s="166"/>
      <c r="D876" s="167"/>
      <c r="E876" s="167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</row>
    <row r="877" spans="1:27" x14ac:dyDescent="0.55000000000000004">
      <c r="A877" s="113"/>
      <c r="B877" s="166"/>
      <c r="C877" s="166"/>
      <c r="D877" s="167"/>
      <c r="E877" s="167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</row>
    <row r="878" spans="1:27" x14ac:dyDescent="0.55000000000000004">
      <c r="A878" s="113"/>
      <c r="B878" s="166"/>
      <c r="C878" s="166"/>
      <c r="D878" s="167"/>
      <c r="E878" s="167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</row>
    <row r="879" spans="1:27" x14ac:dyDescent="0.55000000000000004">
      <c r="A879" s="113"/>
      <c r="B879" s="166"/>
      <c r="C879" s="166"/>
      <c r="D879" s="167"/>
      <c r="E879" s="167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</row>
    <row r="880" spans="1:27" x14ac:dyDescent="0.55000000000000004">
      <c r="A880" s="113"/>
      <c r="B880" s="166"/>
      <c r="C880" s="166"/>
      <c r="D880" s="167"/>
      <c r="E880" s="167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</row>
    <row r="881" spans="1:27" x14ac:dyDescent="0.55000000000000004">
      <c r="A881" s="113"/>
      <c r="B881" s="166"/>
      <c r="C881" s="166"/>
      <c r="D881" s="167"/>
      <c r="E881" s="167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</row>
    <row r="882" spans="1:27" x14ac:dyDescent="0.55000000000000004">
      <c r="A882" s="113"/>
      <c r="B882" s="166"/>
      <c r="C882" s="166"/>
      <c r="D882" s="167"/>
      <c r="E882" s="167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</row>
    <row r="883" spans="1:27" x14ac:dyDescent="0.55000000000000004">
      <c r="A883" s="113"/>
      <c r="B883" s="166"/>
      <c r="C883" s="166"/>
      <c r="D883" s="167"/>
      <c r="E883" s="167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</row>
    <row r="884" spans="1:27" x14ac:dyDescent="0.55000000000000004">
      <c r="A884" s="113"/>
      <c r="B884" s="166"/>
      <c r="C884" s="166"/>
      <c r="D884" s="167"/>
      <c r="E884" s="167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</row>
    <row r="885" spans="1:27" x14ac:dyDescent="0.55000000000000004">
      <c r="A885" s="113"/>
      <c r="B885" s="166"/>
      <c r="C885" s="166"/>
      <c r="D885" s="167"/>
      <c r="E885" s="167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</row>
    <row r="886" spans="1:27" x14ac:dyDescent="0.55000000000000004">
      <c r="A886" s="113"/>
      <c r="B886" s="166"/>
      <c r="C886" s="166"/>
      <c r="D886" s="167"/>
      <c r="E886" s="167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</row>
    <row r="887" spans="1:27" x14ac:dyDescent="0.55000000000000004">
      <c r="A887" s="113"/>
      <c r="B887" s="166"/>
      <c r="C887" s="166"/>
      <c r="D887" s="167"/>
      <c r="E887" s="167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</row>
    <row r="888" spans="1:27" x14ac:dyDescent="0.55000000000000004">
      <c r="A888" s="113"/>
      <c r="B888" s="166"/>
      <c r="C888" s="166"/>
      <c r="D888" s="167"/>
      <c r="E888" s="167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</row>
    <row r="889" spans="1:27" x14ac:dyDescent="0.55000000000000004">
      <c r="A889" s="113"/>
      <c r="B889" s="166"/>
      <c r="C889" s="166"/>
      <c r="D889" s="167"/>
      <c r="E889" s="167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</row>
    <row r="890" spans="1:27" x14ac:dyDescent="0.55000000000000004">
      <c r="A890" s="113"/>
      <c r="B890" s="166"/>
      <c r="C890" s="166"/>
      <c r="D890" s="167"/>
      <c r="E890" s="167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</row>
    <row r="891" spans="1:27" x14ac:dyDescent="0.55000000000000004">
      <c r="A891" s="113"/>
      <c r="B891" s="166"/>
      <c r="C891" s="166"/>
      <c r="D891" s="167"/>
      <c r="E891" s="167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</row>
    <row r="892" spans="1:27" x14ac:dyDescent="0.55000000000000004">
      <c r="A892" s="113"/>
      <c r="B892" s="166"/>
      <c r="C892" s="166"/>
      <c r="D892" s="167"/>
      <c r="E892" s="167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</row>
    <row r="893" spans="1:27" x14ac:dyDescent="0.55000000000000004">
      <c r="A893" s="113"/>
      <c r="B893" s="166"/>
      <c r="C893" s="166"/>
      <c r="D893" s="167"/>
      <c r="E893" s="167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</row>
    <row r="894" spans="1:27" x14ac:dyDescent="0.55000000000000004">
      <c r="A894" s="113"/>
      <c r="B894" s="166"/>
      <c r="C894" s="166"/>
      <c r="D894" s="167"/>
      <c r="E894" s="167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</row>
    <row r="895" spans="1:27" x14ac:dyDescent="0.55000000000000004">
      <c r="A895" s="113"/>
      <c r="B895" s="166"/>
      <c r="C895" s="166"/>
      <c r="D895" s="167"/>
      <c r="E895" s="167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</row>
    <row r="896" spans="1:27" x14ac:dyDescent="0.55000000000000004">
      <c r="A896" s="113"/>
      <c r="B896" s="166"/>
      <c r="C896" s="166"/>
      <c r="D896" s="167"/>
      <c r="E896" s="167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</row>
    <row r="897" spans="1:27" x14ac:dyDescent="0.55000000000000004">
      <c r="A897" s="113"/>
      <c r="B897" s="166"/>
      <c r="C897" s="166"/>
      <c r="D897" s="167"/>
      <c r="E897" s="167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</row>
    <row r="898" spans="1:27" x14ac:dyDescent="0.55000000000000004">
      <c r="A898" s="113"/>
      <c r="B898" s="166"/>
      <c r="C898" s="166"/>
      <c r="D898" s="167"/>
      <c r="E898" s="167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</row>
    <row r="899" spans="1:27" x14ac:dyDescent="0.55000000000000004">
      <c r="A899" s="113"/>
      <c r="B899" s="166"/>
      <c r="C899" s="166"/>
      <c r="D899" s="167"/>
      <c r="E899" s="167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</row>
    <row r="900" spans="1:27" x14ac:dyDescent="0.55000000000000004">
      <c r="A900" s="113"/>
      <c r="B900" s="166"/>
      <c r="C900" s="166"/>
      <c r="D900" s="167"/>
      <c r="E900" s="167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</row>
    <row r="901" spans="1:27" x14ac:dyDescent="0.55000000000000004">
      <c r="A901" s="113"/>
      <c r="B901" s="166"/>
      <c r="C901" s="166"/>
      <c r="D901" s="167"/>
      <c r="E901" s="167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</row>
    <row r="902" spans="1:27" x14ac:dyDescent="0.55000000000000004">
      <c r="A902" s="113"/>
      <c r="B902" s="166"/>
      <c r="C902" s="166"/>
      <c r="D902" s="167"/>
      <c r="E902" s="167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</row>
    <row r="903" spans="1:27" x14ac:dyDescent="0.55000000000000004">
      <c r="A903" s="113"/>
      <c r="B903" s="166"/>
      <c r="C903" s="166"/>
      <c r="D903" s="167"/>
      <c r="E903" s="167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</row>
    <row r="904" spans="1:27" x14ac:dyDescent="0.55000000000000004">
      <c r="A904" s="113"/>
      <c r="B904" s="166"/>
      <c r="C904" s="166"/>
      <c r="D904" s="167"/>
      <c r="E904" s="167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</row>
    <row r="905" spans="1:27" x14ac:dyDescent="0.55000000000000004">
      <c r="A905" s="113"/>
      <c r="B905" s="166"/>
      <c r="C905" s="166"/>
      <c r="D905" s="167"/>
      <c r="E905" s="167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</row>
    <row r="906" spans="1:27" x14ac:dyDescent="0.55000000000000004">
      <c r="A906" s="113"/>
      <c r="B906" s="166"/>
      <c r="C906" s="166"/>
      <c r="D906" s="167"/>
      <c r="E906" s="167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</row>
    <row r="907" spans="1:27" x14ac:dyDescent="0.55000000000000004">
      <c r="A907" s="113"/>
      <c r="B907" s="166"/>
      <c r="C907" s="166"/>
      <c r="D907" s="167"/>
      <c r="E907" s="167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</row>
    <row r="908" spans="1:27" x14ac:dyDescent="0.55000000000000004">
      <c r="A908" s="113"/>
      <c r="B908" s="166"/>
      <c r="C908" s="166"/>
      <c r="D908" s="167"/>
      <c r="E908" s="167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</row>
    <row r="909" spans="1:27" x14ac:dyDescent="0.55000000000000004">
      <c r="A909" s="113"/>
      <c r="B909" s="166"/>
      <c r="C909" s="166"/>
      <c r="D909" s="167"/>
      <c r="E909" s="167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</row>
    <row r="910" spans="1:27" x14ac:dyDescent="0.55000000000000004">
      <c r="A910" s="113"/>
      <c r="B910" s="166"/>
      <c r="C910" s="166"/>
      <c r="D910" s="167"/>
      <c r="E910" s="167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</row>
    <row r="911" spans="1:27" x14ac:dyDescent="0.55000000000000004">
      <c r="A911" s="113"/>
      <c r="B911" s="166"/>
      <c r="C911" s="166"/>
      <c r="D911" s="167"/>
      <c r="E911" s="167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</row>
    <row r="912" spans="1:27" x14ac:dyDescent="0.55000000000000004">
      <c r="A912" s="113"/>
      <c r="B912" s="166"/>
      <c r="C912" s="166"/>
      <c r="D912" s="167"/>
      <c r="E912" s="167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</row>
    <row r="913" spans="1:27" x14ac:dyDescent="0.55000000000000004">
      <c r="A913" s="113"/>
      <c r="B913" s="166"/>
      <c r="C913" s="166"/>
      <c r="D913" s="167"/>
      <c r="E913" s="167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</row>
    <row r="914" spans="1:27" x14ac:dyDescent="0.55000000000000004">
      <c r="A914" s="113"/>
      <c r="B914" s="166"/>
      <c r="C914" s="166"/>
      <c r="D914" s="167"/>
      <c r="E914" s="167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</row>
    <row r="915" spans="1:27" x14ac:dyDescent="0.55000000000000004">
      <c r="A915" s="113"/>
      <c r="B915" s="166"/>
      <c r="C915" s="166"/>
      <c r="D915" s="167"/>
      <c r="E915" s="167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</row>
    <row r="916" spans="1:27" x14ac:dyDescent="0.55000000000000004">
      <c r="A916" s="113"/>
      <c r="B916" s="166"/>
      <c r="C916" s="166"/>
      <c r="D916" s="167"/>
      <c r="E916" s="167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</row>
    <row r="917" spans="1:27" x14ac:dyDescent="0.55000000000000004">
      <c r="A917" s="113"/>
      <c r="B917" s="166"/>
      <c r="C917" s="166"/>
      <c r="D917" s="167"/>
      <c r="E917" s="167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</row>
    <row r="918" spans="1:27" x14ac:dyDescent="0.55000000000000004">
      <c r="A918" s="113"/>
      <c r="B918" s="166"/>
      <c r="C918" s="166"/>
      <c r="D918" s="167"/>
      <c r="E918" s="167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</row>
    <row r="919" spans="1:27" x14ac:dyDescent="0.55000000000000004">
      <c r="A919" s="113"/>
      <c r="B919" s="166"/>
      <c r="C919" s="166"/>
      <c r="D919" s="167"/>
      <c r="E919" s="167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</row>
    <row r="920" spans="1:27" x14ac:dyDescent="0.55000000000000004">
      <c r="A920" s="113"/>
      <c r="B920" s="166"/>
      <c r="C920" s="166"/>
      <c r="D920" s="167"/>
      <c r="E920" s="167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</row>
    <row r="921" spans="1:27" x14ac:dyDescent="0.55000000000000004">
      <c r="A921" s="113"/>
      <c r="B921" s="166"/>
      <c r="C921" s="166"/>
      <c r="D921" s="167"/>
      <c r="E921" s="167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</row>
    <row r="922" spans="1:27" x14ac:dyDescent="0.55000000000000004">
      <c r="A922" s="113"/>
      <c r="B922" s="166"/>
      <c r="C922" s="166"/>
      <c r="D922" s="167"/>
      <c r="E922" s="167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</row>
    <row r="923" spans="1:27" x14ac:dyDescent="0.55000000000000004">
      <c r="A923" s="113"/>
      <c r="B923" s="166"/>
      <c r="C923" s="166"/>
      <c r="D923" s="167"/>
      <c r="E923" s="167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</row>
    <row r="924" spans="1:27" x14ac:dyDescent="0.55000000000000004">
      <c r="A924" s="113"/>
      <c r="B924" s="166"/>
      <c r="C924" s="166"/>
      <c r="D924" s="167"/>
      <c r="E924" s="167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</row>
    <row r="925" spans="1:27" x14ac:dyDescent="0.55000000000000004">
      <c r="A925" s="113"/>
      <c r="B925" s="166"/>
      <c r="C925" s="166"/>
      <c r="D925" s="167"/>
      <c r="E925" s="167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</row>
    <row r="926" spans="1:27" x14ac:dyDescent="0.55000000000000004">
      <c r="A926" s="113"/>
      <c r="B926" s="166"/>
      <c r="C926" s="166"/>
      <c r="D926" s="167"/>
      <c r="E926" s="167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</row>
    <row r="927" spans="1:27" x14ac:dyDescent="0.55000000000000004">
      <c r="A927" s="113"/>
      <c r="B927" s="166"/>
      <c r="C927" s="166"/>
      <c r="D927" s="167"/>
      <c r="E927" s="167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</row>
    <row r="928" spans="1:27" x14ac:dyDescent="0.55000000000000004">
      <c r="A928" s="113"/>
      <c r="B928" s="166"/>
      <c r="C928" s="166"/>
      <c r="D928" s="167"/>
      <c r="E928" s="167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</row>
    <row r="929" spans="1:27" x14ac:dyDescent="0.55000000000000004">
      <c r="A929" s="113"/>
      <c r="B929" s="166"/>
      <c r="C929" s="166"/>
      <c r="D929" s="167"/>
      <c r="E929" s="167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</row>
    <row r="930" spans="1:27" x14ac:dyDescent="0.55000000000000004">
      <c r="A930" s="113"/>
      <c r="B930" s="166"/>
      <c r="C930" s="166"/>
      <c r="D930" s="167"/>
      <c r="E930" s="167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</row>
    <row r="931" spans="1:27" x14ac:dyDescent="0.55000000000000004">
      <c r="A931" s="113"/>
      <c r="B931" s="166"/>
      <c r="C931" s="166"/>
      <c r="D931" s="167"/>
      <c r="E931" s="167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</row>
    <row r="932" spans="1:27" x14ac:dyDescent="0.55000000000000004">
      <c r="A932" s="113"/>
      <c r="B932" s="166"/>
      <c r="C932" s="166"/>
      <c r="D932" s="167"/>
      <c r="E932" s="167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</row>
    <row r="933" spans="1:27" x14ac:dyDescent="0.55000000000000004">
      <c r="A933" s="113"/>
      <c r="B933" s="166"/>
      <c r="C933" s="166"/>
      <c r="D933" s="167"/>
      <c r="E933" s="167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</row>
    <row r="934" spans="1:27" x14ac:dyDescent="0.55000000000000004">
      <c r="A934" s="113"/>
      <c r="B934" s="166"/>
      <c r="C934" s="166"/>
      <c r="D934" s="167"/>
      <c r="E934" s="167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</row>
    <row r="935" spans="1:27" x14ac:dyDescent="0.55000000000000004">
      <c r="A935" s="113"/>
      <c r="B935" s="166"/>
      <c r="C935" s="166"/>
      <c r="D935" s="167"/>
      <c r="E935" s="167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</row>
    <row r="936" spans="1:27" x14ac:dyDescent="0.55000000000000004">
      <c r="A936" s="113"/>
      <c r="B936" s="166"/>
      <c r="C936" s="166"/>
      <c r="D936" s="167"/>
      <c r="E936" s="167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</row>
    <row r="937" spans="1:27" x14ac:dyDescent="0.55000000000000004">
      <c r="A937" s="113"/>
      <c r="B937" s="166"/>
      <c r="C937" s="166"/>
      <c r="D937" s="167"/>
      <c r="E937" s="167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</row>
    <row r="938" spans="1:27" x14ac:dyDescent="0.55000000000000004">
      <c r="A938" s="113"/>
      <c r="B938" s="166"/>
      <c r="C938" s="166"/>
      <c r="D938" s="167"/>
      <c r="E938" s="167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</row>
    <row r="939" spans="1:27" x14ac:dyDescent="0.55000000000000004">
      <c r="A939" s="113"/>
      <c r="B939" s="166"/>
      <c r="C939" s="166"/>
      <c r="D939" s="167"/>
      <c r="E939" s="167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</row>
    <row r="940" spans="1:27" x14ac:dyDescent="0.55000000000000004">
      <c r="A940" s="113"/>
      <c r="B940" s="166"/>
      <c r="C940" s="166"/>
      <c r="D940" s="167"/>
      <c r="E940" s="167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</row>
    <row r="941" spans="1:27" x14ac:dyDescent="0.55000000000000004">
      <c r="A941" s="113"/>
      <c r="B941" s="166"/>
      <c r="C941" s="166"/>
      <c r="D941" s="167"/>
      <c r="E941" s="167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</row>
    <row r="942" spans="1:27" x14ac:dyDescent="0.55000000000000004">
      <c r="A942" s="113"/>
      <c r="B942" s="166"/>
      <c r="C942" s="166"/>
      <c r="D942" s="167"/>
      <c r="E942" s="167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</row>
    <row r="943" spans="1:27" x14ac:dyDescent="0.55000000000000004">
      <c r="A943" s="113"/>
      <c r="B943" s="166"/>
      <c r="C943" s="166"/>
      <c r="D943" s="167"/>
      <c r="E943" s="167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</row>
    <row r="944" spans="1:27" x14ac:dyDescent="0.55000000000000004">
      <c r="A944" s="113"/>
      <c r="B944" s="166"/>
      <c r="C944" s="166"/>
      <c r="D944" s="167"/>
      <c r="E944" s="167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</row>
    <row r="945" spans="1:27" x14ac:dyDescent="0.55000000000000004">
      <c r="A945" s="113"/>
      <c r="B945" s="166"/>
      <c r="C945" s="166"/>
      <c r="D945" s="167"/>
      <c r="E945" s="167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</row>
    <row r="946" spans="1:27" x14ac:dyDescent="0.55000000000000004">
      <c r="A946" s="113"/>
      <c r="B946" s="166"/>
      <c r="C946" s="166"/>
      <c r="D946" s="167"/>
      <c r="E946" s="167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</row>
    <row r="947" spans="1:27" x14ac:dyDescent="0.55000000000000004">
      <c r="A947" s="113"/>
      <c r="B947" s="166"/>
      <c r="C947" s="166"/>
      <c r="D947" s="167"/>
      <c r="E947" s="167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</row>
    <row r="948" spans="1:27" x14ac:dyDescent="0.55000000000000004">
      <c r="A948" s="113"/>
      <c r="B948" s="166"/>
      <c r="C948" s="166"/>
      <c r="D948" s="167"/>
      <c r="E948" s="167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</row>
    <row r="949" spans="1:27" x14ac:dyDescent="0.55000000000000004">
      <c r="A949" s="113"/>
      <c r="B949" s="166"/>
      <c r="C949" s="166"/>
      <c r="D949" s="167"/>
      <c r="E949" s="167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</row>
    <row r="950" spans="1:27" x14ac:dyDescent="0.55000000000000004">
      <c r="A950" s="113"/>
      <c r="B950" s="166"/>
      <c r="C950" s="166"/>
      <c r="D950" s="167"/>
      <c r="E950" s="167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</row>
    <row r="951" spans="1:27" x14ac:dyDescent="0.55000000000000004">
      <c r="A951" s="113"/>
      <c r="B951" s="166"/>
      <c r="C951" s="166"/>
      <c r="D951" s="167"/>
      <c r="E951" s="167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</row>
    <row r="952" spans="1:27" x14ac:dyDescent="0.55000000000000004">
      <c r="A952" s="113"/>
      <c r="B952" s="166"/>
      <c r="C952" s="166"/>
      <c r="D952" s="167"/>
      <c r="E952" s="167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</row>
    <row r="953" spans="1:27" x14ac:dyDescent="0.55000000000000004">
      <c r="A953" s="113"/>
      <c r="B953" s="166"/>
      <c r="C953" s="166"/>
      <c r="D953" s="167"/>
      <c r="E953" s="167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</row>
    <row r="954" spans="1:27" x14ac:dyDescent="0.55000000000000004">
      <c r="A954" s="113"/>
      <c r="B954" s="166"/>
      <c r="C954" s="166"/>
      <c r="D954" s="167"/>
      <c r="E954" s="167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</row>
    <row r="955" spans="1:27" x14ac:dyDescent="0.55000000000000004">
      <c r="A955" s="113"/>
      <c r="B955" s="166"/>
      <c r="C955" s="166"/>
      <c r="D955" s="167"/>
      <c r="E955" s="167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</row>
    <row r="956" spans="1:27" x14ac:dyDescent="0.55000000000000004">
      <c r="A956" s="113"/>
      <c r="B956" s="166"/>
      <c r="C956" s="166"/>
      <c r="D956" s="167"/>
      <c r="E956" s="167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</row>
    <row r="957" spans="1:27" x14ac:dyDescent="0.55000000000000004">
      <c r="A957" s="113"/>
      <c r="B957" s="166"/>
      <c r="C957" s="166"/>
      <c r="D957" s="167"/>
      <c r="E957" s="167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</row>
    <row r="958" spans="1:27" x14ac:dyDescent="0.55000000000000004">
      <c r="A958" s="113"/>
      <c r="B958" s="166"/>
      <c r="C958" s="166"/>
      <c r="D958" s="167"/>
      <c r="E958" s="167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</row>
    <row r="959" spans="1:27" x14ac:dyDescent="0.55000000000000004">
      <c r="A959" s="113"/>
      <c r="B959" s="166"/>
      <c r="C959" s="166"/>
      <c r="D959" s="167"/>
      <c r="E959" s="167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</row>
    <row r="960" spans="1:27" x14ac:dyDescent="0.55000000000000004">
      <c r="A960" s="113"/>
      <c r="B960" s="166"/>
      <c r="C960" s="166"/>
      <c r="D960" s="167"/>
      <c r="E960" s="167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</row>
    <row r="961" spans="1:27" x14ac:dyDescent="0.55000000000000004">
      <c r="A961" s="113"/>
      <c r="B961" s="166"/>
      <c r="C961" s="166"/>
      <c r="D961" s="167"/>
      <c r="E961" s="167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</row>
    <row r="962" spans="1:27" x14ac:dyDescent="0.55000000000000004">
      <c r="A962" s="113"/>
      <c r="B962" s="166"/>
      <c r="C962" s="166"/>
      <c r="D962" s="167"/>
      <c r="E962" s="167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</row>
    <row r="963" spans="1:27" x14ac:dyDescent="0.55000000000000004">
      <c r="A963" s="113"/>
      <c r="B963" s="166"/>
      <c r="C963" s="166"/>
      <c r="D963" s="167"/>
      <c r="E963" s="167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</row>
    <row r="964" spans="1:27" x14ac:dyDescent="0.55000000000000004">
      <c r="A964" s="113"/>
      <c r="B964" s="166"/>
      <c r="C964" s="166"/>
      <c r="D964" s="167"/>
      <c r="E964" s="167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</row>
    <row r="965" spans="1:27" x14ac:dyDescent="0.55000000000000004">
      <c r="A965" s="113"/>
      <c r="B965" s="166"/>
      <c r="C965" s="166"/>
      <c r="D965" s="167"/>
      <c r="E965" s="167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</row>
    <row r="966" spans="1:27" x14ac:dyDescent="0.55000000000000004">
      <c r="A966" s="113"/>
      <c r="B966" s="166"/>
      <c r="C966" s="166"/>
      <c r="D966" s="167"/>
      <c r="E966" s="167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</row>
    <row r="967" spans="1:27" x14ac:dyDescent="0.55000000000000004">
      <c r="A967" s="113"/>
      <c r="B967" s="166"/>
      <c r="C967" s="166"/>
      <c r="D967" s="167"/>
      <c r="E967" s="167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</row>
    <row r="968" spans="1:27" x14ac:dyDescent="0.55000000000000004">
      <c r="A968" s="113"/>
      <c r="B968" s="166"/>
      <c r="C968" s="166"/>
      <c r="D968" s="167"/>
      <c r="E968" s="167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</row>
    <row r="969" spans="1:27" x14ac:dyDescent="0.55000000000000004">
      <c r="A969" s="113"/>
      <c r="B969" s="166"/>
      <c r="C969" s="166"/>
      <c r="D969" s="167"/>
      <c r="E969" s="167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</row>
    <row r="970" spans="1:27" x14ac:dyDescent="0.55000000000000004">
      <c r="A970" s="113"/>
      <c r="B970" s="166"/>
      <c r="C970" s="166"/>
      <c r="D970" s="167"/>
      <c r="E970" s="167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</row>
    <row r="971" spans="1:27" x14ac:dyDescent="0.55000000000000004">
      <c r="A971" s="113"/>
      <c r="B971" s="166"/>
      <c r="C971" s="166"/>
      <c r="D971" s="167"/>
      <c r="E971" s="167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</row>
    <row r="972" spans="1:27" x14ac:dyDescent="0.55000000000000004">
      <c r="A972" s="113"/>
      <c r="B972" s="166"/>
      <c r="C972" s="166"/>
      <c r="D972" s="167"/>
      <c r="E972" s="167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</row>
    <row r="973" spans="1:27" x14ac:dyDescent="0.55000000000000004">
      <c r="A973" s="113"/>
      <c r="B973" s="166"/>
      <c r="C973" s="166"/>
      <c r="D973" s="167"/>
      <c r="E973" s="167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</row>
    <row r="974" spans="1:27" x14ac:dyDescent="0.55000000000000004">
      <c r="A974" s="113"/>
      <c r="B974" s="166"/>
      <c r="C974" s="166"/>
      <c r="D974" s="167"/>
      <c r="E974" s="167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</row>
    <row r="975" spans="1:27" x14ac:dyDescent="0.55000000000000004">
      <c r="A975" s="113"/>
      <c r="B975" s="166"/>
      <c r="C975" s="166"/>
      <c r="D975" s="167"/>
      <c r="E975" s="167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</row>
    <row r="976" spans="1:27" x14ac:dyDescent="0.55000000000000004">
      <c r="A976" s="113"/>
      <c r="B976" s="166"/>
      <c r="C976" s="166"/>
      <c r="D976" s="167"/>
      <c r="E976" s="167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</row>
    <row r="977" spans="1:27" x14ac:dyDescent="0.55000000000000004">
      <c r="A977" s="113"/>
      <c r="B977" s="166"/>
      <c r="C977" s="166"/>
      <c r="D977" s="167"/>
      <c r="E977" s="167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</row>
    <row r="978" spans="1:27" x14ac:dyDescent="0.55000000000000004">
      <c r="A978" s="113"/>
      <c r="B978" s="166"/>
      <c r="C978" s="166"/>
      <c r="D978" s="167"/>
      <c r="E978" s="167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</row>
    <row r="979" spans="1:27" x14ac:dyDescent="0.55000000000000004">
      <c r="A979" s="113"/>
      <c r="B979" s="166"/>
      <c r="C979" s="166"/>
      <c r="D979" s="167"/>
      <c r="E979" s="167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</row>
    <row r="980" spans="1:27" x14ac:dyDescent="0.55000000000000004">
      <c r="A980" s="113"/>
      <c r="B980" s="166"/>
      <c r="C980" s="166"/>
      <c r="D980" s="167"/>
      <c r="E980" s="167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</row>
    <row r="981" spans="1:27" x14ac:dyDescent="0.55000000000000004">
      <c r="A981" s="113"/>
      <c r="B981" s="166"/>
      <c r="C981" s="166"/>
      <c r="D981" s="167"/>
      <c r="E981" s="167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</row>
    <row r="982" spans="1:27" x14ac:dyDescent="0.55000000000000004">
      <c r="A982" s="113"/>
      <c r="B982" s="166"/>
      <c r="C982" s="166"/>
      <c r="D982" s="167"/>
      <c r="E982" s="167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</row>
    <row r="983" spans="1:27" x14ac:dyDescent="0.55000000000000004">
      <c r="A983" s="113"/>
      <c r="B983" s="166"/>
      <c r="C983" s="166"/>
      <c r="D983" s="167"/>
      <c r="E983" s="167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</row>
    <row r="984" spans="1:27" x14ac:dyDescent="0.55000000000000004">
      <c r="A984" s="113"/>
      <c r="B984" s="166"/>
      <c r="C984" s="166"/>
      <c r="D984" s="167"/>
      <c r="E984" s="167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</row>
    <row r="985" spans="1:27" x14ac:dyDescent="0.55000000000000004">
      <c r="A985" s="113"/>
      <c r="B985" s="166"/>
      <c r="C985" s="166"/>
      <c r="D985" s="167"/>
      <c r="E985" s="167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</row>
    <row r="986" spans="1:27" x14ac:dyDescent="0.55000000000000004">
      <c r="A986" s="113"/>
      <c r="B986" s="166"/>
      <c r="C986" s="166"/>
      <c r="D986" s="167"/>
      <c r="E986" s="167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</row>
    <row r="987" spans="1:27" x14ac:dyDescent="0.55000000000000004">
      <c r="A987" s="113"/>
      <c r="B987" s="166"/>
      <c r="C987" s="166"/>
      <c r="D987" s="167"/>
      <c r="E987" s="167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</row>
    <row r="988" spans="1:27" x14ac:dyDescent="0.55000000000000004">
      <c r="A988" s="113"/>
      <c r="B988" s="166"/>
      <c r="C988" s="166"/>
      <c r="D988" s="167"/>
      <c r="E988" s="167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</row>
    <row r="989" spans="1:27" x14ac:dyDescent="0.55000000000000004">
      <c r="A989" s="113"/>
      <c r="B989" s="166"/>
      <c r="C989" s="166"/>
      <c r="D989" s="167"/>
      <c r="E989" s="167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</row>
    <row r="990" spans="1:27" x14ac:dyDescent="0.55000000000000004">
      <c r="A990" s="113"/>
      <c r="B990" s="166"/>
      <c r="C990" s="166"/>
      <c r="D990" s="167"/>
      <c r="E990" s="167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</row>
    <row r="991" spans="1:27" x14ac:dyDescent="0.55000000000000004">
      <c r="A991" s="113"/>
      <c r="B991" s="166"/>
      <c r="C991" s="166"/>
      <c r="D991" s="167"/>
      <c r="E991" s="167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</row>
    <row r="992" spans="1:27" x14ac:dyDescent="0.55000000000000004">
      <c r="A992" s="113"/>
      <c r="B992" s="166"/>
      <c r="C992" s="166"/>
      <c r="D992" s="167"/>
      <c r="E992" s="167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</row>
    <row r="993" spans="1:27" x14ac:dyDescent="0.55000000000000004">
      <c r="A993" s="113"/>
      <c r="B993" s="166"/>
      <c r="C993" s="166"/>
      <c r="D993" s="167"/>
      <c r="E993" s="167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</row>
    <row r="994" spans="1:27" x14ac:dyDescent="0.55000000000000004">
      <c r="A994" s="113"/>
      <c r="B994" s="166"/>
      <c r="C994" s="166"/>
      <c r="D994" s="167"/>
      <c r="E994" s="167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</row>
    <row r="995" spans="1:27" x14ac:dyDescent="0.55000000000000004">
      <c r="A995" s="113"/>
      <c r="B995" s="166"/>
      <c r="C995" s="166"/>
      <c r="D995" s="167"/>
      <c r="E995" s="167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</row>
    <row r="996" spans="1:27" x14ac:dyDescent="0.55000000000000004">
      <c r="A996" s="113"/>
      <c r="B996" s="166"/>
      <c r="C996" s="166"/>
      <c r="D996" s="167"/>
      <c r="E996" s="167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</row>
    <row r="997" spans="1:27" x14ac:dyDescent="0.55000000000000004">
      <c r="A997" s="113"/>
      <c r="B997" s="166"/>
      <c r="C997" s="166"/>
      <c r="D997" s="167"/>
      <c r="E997" s="167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</row>
    <row r="998" spans="1:27" x14ac:dyDescent="0.55000000000000004">
      <c r="A998" s="113"/>
      <c r="B998" s="166"/>
      <c r="C998" s="166"/>
      <c r="D998" s="167"/>
      <c r="E998" s="167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</row>
    <row r="999" spans="1:27" x14ac:dyDescent="0.55000000000000004">
      <c r="A999" s="113"/>
      <c r="B999" s="166"/>
      <c r="C999" s="166"/>
      <c r="D999" s="167"/>
      <c r="E999" s="167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</row>
    <row r="1000" spans="1:27" x14ac:dyDescent="0.55000000000000004">
      <c r="A1000" s="113"/>
      <c r="B1000" s="166"/>
      <c r="C1000" s="166"/>
      <c r="D1000" s="167"/>
      <c r="E1000" s="167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</row>
    <row r="1001" spans="1:27" x14ac:dyDescent="0.55000000000000004">
      <c r="A1001" s="113"/>
      <c r="B1001" s="166"/>
      <c r="C1001" s="166"/>
      <c r="D1001" s="167"/>
      <c r="E1001" s="167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  <c r="AA1001" s="113"/>
    </row>
    <row r="1002" spans="1:27" x14ac:dyDescent="0.55000000000000004">
      <c r="A1002" s="113"/>
      <c r="B1002" s="166"/>
      <c r="C1002" s="166"/>
      <c r="D1002" s="167"/>
      <c r="E1002" s="167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  <c r="Z1002" s="113"/>
      <c r="AA1002" s="113"/>
    </row>
    <row r="1003" spans="1:27" x14ac:dyDescent="0.55000000000000004">
      <c r="A1003" s="113"/>
      <c r="B1003" s="166"/>
      <c r="C1003" s="166"/>
      <c r="D1003" s="167"/>
      <c r="E1003" s="167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  <c r="Z1003" s="113"/>
      <c r="AA1003" s="113"/>
    </row>
    <row r="1004" spans="1:27" x14ac:dyDescent="0.55000000000000004">
      <c r="A1004" s="113"/>
      <c r="B1004" s="166"/>
      <c r="C1004" s="166"/>
      <c r="D1004" s="167"/>
      <c r="E1004" s="167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  <c r="Z1004" s="113"/>
      <c r="AA1004" s="113"/>
    </row>
    <row r="1005" spans="1:27" x14ac:dyDescent="0.55000000000000004">
      <c r="A1005" s="113"/>
      <c r="B1005" s="166"/>
      <c r="C1005" s="166"/>
      <c r="D1005" s="167"/>
      <c r="E1005" s="167"/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/>
      <c r="W1005" s="113"/>
      <c r="X1005" s="113"/>
      <c r="Y1005" s="113"/>
      <c r="Z1005" s="113"/>
      <c r="AA1005" s="113"/>
    </row>
    <row r="1006" spans="1:27" x14ac:dyDescent="0.55000000000000004">
      <c r="A1006" s="113"/>
      <c r="B1006" s="166"/>
      <c r="C1006" s="166"/>
      <c r="D1006" s="167"/>
      <c r="E1006" s="167"/>
      <c r="F1006" s="113"/>
      <c r="G1006" s="113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  <c r="R1006" s="113"/>
      <c r="S1006" s="113"/>
      <c r="T1006" s="113"/>
      <c r="U1006" s="113"/>
      <c r="V1006" s="113"/>
      <c r="W1006" s="113"/>
      <c r="X1006" s="113"/>
      <c r="Y1006" s="113"/>
      <c r="Z1006" s="113"/>
      <c r="AA1006" s="113"/>
    </row>
    <row r="1007" spans="1:27" x14ac:dyDescent="0.55000000000000004">
      <c r="A1007" s="113"/>
      <c r="B1007" s="166"/>
      <c r="C1007" s="166"/>
      <c r="D1007" s="167"/>
      <c r="E1007" s="167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/>
      <c r="W1007" s="113"/>
      <c r="X1007" s="113"/>
      <c r="Y1007" s="113"/>
      <c r="Z1007" s="113"/>
      <c r="AA1007" s="113"/>
    </row>
    <row r="1008" spans="1:27" x14ac:dyDescent="0.55000000000000004">
      <c r="A1008" s="113"/>
      <c r="B1008" s="166"/>
      <c r="C1008" s="166"/>
      <c r="D1008" s="167"/>
      <c r="E1008" s="167"/>
      <c r="F1008" s="113"/>
      <c r="G1008" s="113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  <c r="R1008" s="113"/>
      <c r="S1008" s="113"/>
      <c r="T1008" s="113"/>
      <c r="U1008" s="113"/>
      <c r="V1008" s="113"/>
      <c r="W1008" s="113"/>
      <c r="X1008" s="113"/>
      <c r="Y1008" s="113"/>
      <c r="Z1008" s="113"/>
      <c r="AA1008" s="113"/>
    </row>
    <row r="1009" spans="1:27" x14ac:dyDescent="0.55000000000000004">
      <c r="A1009" s="113"/>
      <c r="B1009" s="166"/>
      <c r="C1009" s="166"/>
      <c r="D1009" s="167"/>
      <c r="E1009" s="167"/>
      <c r="F1009" s="113"/>
      <c r="G1009" s="113"/>
      <c r="H1009" s="113"/>
      <c r="I1009" s="113"/>
      <c r="J1009" s="113"/>
      <c r="K1009" s="113"/>
      <c r="L1009" s="113"/>
      <c r="M1009" s="113"/>
      <c r="N1009" s="113"/>
      <c r="O1009" s="113"/>
      <c r="P1009" s="113"/>
      <c r="Q1009" s="113"/>
      <c r="R1009" s="113"/>
      <c r="S1009" s="113"/>
      <c r="T1009" s="113"/>
      <c r="U1009" s="113"/>
      <c r="V1009" s="113"/>
      <c r="W1009" s="113"/>
      <c r="X1009" s="113"/>
      <c r="Y1009" s="113"/>
      <c r="Z1009" s="113"/>
      <c r="AA1009" s="113"/>
    </row>
    <row r="1010" spans="1:27" x14ac:dyDescent="0.55000000000000004">
      <c r="A1010" s="113"/>
      <c r="B1010" s="166"/>
      <c r="C1010" s="166"/>
      <c r="D1010" s="167"/>
      <c r="E1010" s="167"/>
      <c r="F1010" s="113"/>
      <c r="G1010" s="113"/>
      <c r="H1010" s="113"/>
      <c r="I1010" s="113"/>
      <c r="J1010" s="113"/>
      <c r="K1010" s="113"/>
      <c r="L1010" s="113"/>
      <c r="M1010" s="113"/>
      <c r="N1010" s="113"/>
      <c r="O1010" s="113"/>
      <c r="P1010" s="113"/>
      <c r="Q1010" s="113"/>
      <c r="R1010" s="113"/>
      <c r="S1010" s="113"/>
      <c r="T1010" s="113"/>
      <c r="U1010" s="113"/>
      <c r="V1010" s="113"/>
      <c r="W1010" s="113"/>
      <c r="X1010" s="113"/>
      <c r="Y1010" s="113"/>
      <c r="Z1010" s="113"/>
      <c r="AA1010" s="113"/>
    </row>
    <row r="1011" spans="1:27" x14ac:dyDescent="0.55000000000000004">
      <c r="A1011" s="113"/>
      <c r="B1011" s="166"/>
      <c r="C1011" s="166"/>
      <c r="D1011" s="167"/>
      <c r="E1011" s="167"/>
      <c r="F1011" s="113"/>
      <c r="G1011" s="113"/>
      <c r="H1011" s="113"/>
      <c r="I1011" s="113"/>
      <c r="J1011" s="113"/>
      <c r="K1011" s="113"/>
      <c r="L1011" s="113"/>
      <c r="M1011" s="113"/>
      <c r="N1011" s="113"/>
      <c r="O1011" s="113"/>
      <c r="P1011" s="113"/>
      <c r="Q1011" s="113"/>
      <c r="R1011" s="113"/>
      <c r="S1011" s="113"/>
      <c r="T1011" s="113"/>
      <c r="U1011" s="113"/>
      <c r="V1011" s="113"/>
      <c r="W1011" s="113"/>
      <c r="X1011" s="113"/>
      <c r="Y1011" s="113"/>
      <c r="Z1011" s="113"/>
      <c r="AA1011" s="113"/>
    </row>
    <row r="1012" spans="1:27" x14ac:dyDescent="0.55000000000000004">
      <c r="A1012" s="113"/>
      <c r="B1012" s="166"/>
      <c r="C1012" s="166"/>
      <c r="D1012" s="167"/>
      <c r="E1012" s="167"/>
      <c r="F1012" s="113"/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13"/>
      <c r="Q1012" s="113"/>
      <c r="R1012" s="113"/>
      <c r="S1012" s="113"/>
      <c r="T1012" s="113"/>
      <c r="U1012" s="113"/>
      <c r="V1012" s="113"/>
      <c r="W1012" s="113"/>
      <c r="X1012" s="113"/>
      <c r="Y1012" s="113"/>
      <c r="Z1012" s="113"/>
      <c r="AA1012" s="113"/>
    </row>
    <row r="1013" spans="1:27" x14ac:dyDescent="0.55000000000000004">
      <c r="A1013" s="113"/>
      <c r="B1013" s="166"/>
      <c r="C1013" s="166"/>
      <c r="D1013" s="167"/>
      <c r="E1013" s="167"/>
      <c r="F1013" s="113"/>
      <c r="G1013" s="113"/>
      <c r="H1013" s="113"/>
      <c r="I1013" s="113"/>
      <c r="J1013" s="113"/>
      <c r="K1013" s="113"/>
      <c r="L1013" s="113"/>
      <c r="M1013" s="113"/>
      <c r="N1013" s="113"/>
      <c r="O1013" s="113"/>
      <c r="P1013" s="113"/>
      <c r="Q1013" s="113"/>
      <c r="R1013" s="113"/>
      <c r="S1013" s="113"/>
      <c r="T1013" s="113"/>
      <c r="U1013" s="113"/>
      <c r="V1013" s="113"/>
      <c r="W1013" s="113"/>
      <c r="X1013" s="113"/>
      <c r="Y1013" s="113"/>
      <c r="Z1013" s="113"/>
      <c r="AA1013" s="113"/>
    </row>
    <row r="1014" spans="1:27" x14ac:dyDescent="0.55000000000000004">
      <c r="A1014" s="113"/>
      <c r="B1014" s="166"/>
      <c r="C1014" s="166"/>
      <c r="D1014" s="167"/>
      <c r="E1014" s="167"/>
      <c r="F1014" s="113"/>
      <c r="G1014" s="113"/>
      <c r="H1014" s="113"/>
      <c r="I1014" s="113"/>
      <c r="J1014" s="113"/>
      <c r="K1014" s="113"/>
      <c r="L1014" s="113"/>
      <c r="M1014" s="113"/>
      <c r="N1014" s="113"/>
      <c r="O1014" s="113"/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3"/>
      <c r="AA1014" s="113"/>
    </row>
    <row r="1015" spans="1:27" x14ac:dyDescent="0.55000000000000004">
      <c r="A1015" s="113"/>
      <c r="B1015" s="166"/>
      <c r="C1015" s="166"/>
      <c r="D1015" s="167"/>
      <c r="E1015" s="167"/>
      <c r="F1015" s="113"/>
      <c r="G1015" s="113"/>
      <c r="H1015" s="113"/>
      <c r="I1015" s="113"/>
      <c r="J1015" s="113"/>
      <c r="K1015" s="113"/>
      <c r="L1015" s="113"/>
      <c r="M1015" s="113"/>
      <c r="N1015" s="113"/>
      <c r="O1015" s="113"/>
      <c r="P1015" s="113"/>
      <c r="Q1015" s="113"/>
      <c r="R1015" s="113"/>
      <c r="S1015" s="113"/>
      <c r="T1015" s="113"/>
      <c r="U1015" s="113"/>
      <c r="V1015" s="113"/>
      <c r="W1015" s="113"/>
      <c r="X1015" s="113"/>
      <c r="Y1015" s="113"/>
      <c r="Z1015" s="113"/>
      <c r="AA1015" s="113"/>
    </row>
    <row r="1016" spans="1:27" x14ac:dyDescent="0.55000000000000004">
      <c r="A1016" s="113"/>
      <c r="B1016" s="166"/>
      <c r="C1016" s="166"/>
      <c r="D1016" s="167"/>
      <c r="E1016" s="167"/>
      <c r="F1016" s="113"/>
      <c r="G1016" s="113"/>
      <c r="H1016" s="113"/>
      <c r="I1016" s="113"/>
      <c r="J1016" s="113"/>
      <c r="K1016" s="113"/>
      <c r="L1016" s="113"/>
      <c r="M1016" s="113"/>
      <c r="N1016" s="113"/>
      <c r="O1016" s="113"/>
      <c r="P1016" s="113"/>
      <c r="Q1016" s="113"/>
      <c r="R1016" s="113"/>
      <c r="S1016" s="113"/>
      <c r="T1016" s="113"/>
      <c r="U1016" s="113"/>
      <c r="V1016" s="113"/>
      <c r="W1016" s="113"/>
      <c r="X1016" s="113"/>
      <c r="Y1016" s="113"/>
      <c r="Z1016" s="113"/>
      <c r="AA1016" s="113"/>
    </row>
    <row r="1017" spans="1:27" x14ac:dyDescent="0.55000000000000004">
      <c r="A1017" s="113"/>
      <c r="B1017" s="166"/>
      <c r="C1017" s="166"/>
      <c r="D1017" s="167"/>
      <c r="E1017" s="167"/>
      <c r="F1017" s="113"/>
      <c r="G1017" s="113"/>
      <c r="H1017" s="113"/>
      <c r="I1017" s="113"/>
      <c r="J1017" s="113"/>
      <c r="K1017" s="113"/>
      <c r="L1017" s="113"/>
      <c r="M1017" s="113"/>
      <c r="N1017" s="113"/>
      <c r="O1017" s="113"/>
      <c r="P1017" s="113"/>
      <c r="Q1017" s="113"/>
      <c r="R1017" s="113"/>
      <c r="S1017" s="113"/>
      <c r="T1017" s="113"/>
      <c r="U1017" s="113"/>
      <c r="V1017" s="113"/>
      <c r="W1017" s="113"/>
      <c r="X1017" s="113"/>
      <c r="Y1017" s="113"/>
      <c r="Z1017" s="113"/>
      <c r="AA1017" s="113"/>
    </row>
    <row r="1018" spans="1:27" x14ac:dyDescent="0.55000000000000004">
      <c r="A1018" s="113"/>
      <c r="B1018" s="166"/>
      <c r="C1018" s="166"/>
      <c r="D1018" s="167"/>
      <c r="E1018" s="167"/>
      <c r="F1018" s="113"/>
      <c r="G1018" s="113"/>
      <c r="H1018" s="113"/>
      <c r="I1018" s="113"/>
      <c r="J1018" s="113"/>
      <c r="K1018" s="113"/>
      <c r="L1018" s="113"/>
      <c r="M1018" s="113"/>
      <c r="N1018" s="113"/>
      <c r="O1018" s="113"/>
      <c r="P1018" s="113"/>
      <c r="Q1018" s="113"/>
      <c r="R1018" s="113"/>
      <c r="S1018" s="113"/>
      <c r="T1018" s="113"/>
      <c r="U1018" s="113"/>
      <c r="V1018" s="113"/>
      <c r="W1018" s="113"/>
      <c r="X1018" s="113"/>
      <c r="Y1018" s="113"/>
      <c r="Z1018" s="113"/>
      <c r="AA1018" s="113"/>
    </row>
    <row r="1019" spans="1:27" x14ac:dyDescent="0.55000000000000004">
      <c r="A1019" s="113"/>
      <c r="B1019" s="166"/>
      <c r="C1019" s="166"/>
      <c r="D1019" s="167"/>
      <c r="E1019" s="167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113"/>
      <c r="S1019" s="113"/>
      <c r="T1019" s="113"/>
      <c r="U1019" s="113"/>
      <c r="V1019" s="113"/>
      <c r="W1019" s="113"/>
      <c r="X1019" s="113"/>
      <c r="Y1019" s="113"/>
      <c r="Z1019" s="113"/>
      <c r="AA1019" s="113"/>
    </row>
    <row r="1020" spans="1:27" x14ac:dyDescent="0.55000000000000004">
      <c r="A1020" s="113"/>
      <c r="B1020" s="166"/>
      <c r="C1020" s="166"/>
      <c r="D1020" s="167"/>
      <c r="E1020" s="167"/>
      <c r="F1020" s="113"/>
      <c r="G1020" s="113"/>
      <c r="H1020" s="113"/>
      <c r="I1020" s="113"/>
      <c r="J1020" s="113"/>
      <c r="K1020" s="113"/>
      <c r="L1020" s="113"/>
      <c r="M1020" s="113"/>
      <c r="N1020" s="113"/>
      <c r="O1020" s="113"/>
      <c r="P1020" s="113"/>
      <c r="Q1020" s="113"/>
      <c r="R1020" s="113"/>
      <c r="S1020" s="113"/>
      <c r="T1020" s="113"/>
      <c r="U1020" s="113"/>
      <c r="V1020" s="113"/>
      <c r="W1020" s="113"/>
      <c r="X1020" s="113"/>
      <c r="Y1020" s="113"/>
      <c r="Z1020" s="113"/>
      <c r="AA1020" s="113"/>
    </row>
    <row r="1021" spans="1:27" x14ac:dyDescent="0.55000000000000004">
      <c r="A1021" s="113"/>
      <c r="B1021" s="166"/>
      <c r="C1021" s="166"/>
      <c r="D1021" s="167"/>
      <c r="E1021" s="167"/>
      <c r="F1021" s="113"/>
      <c r="G1021" s="113"/>
      <c r="H1021" s="113"/>
      <c r="I1021" s="113"/>
      <c r="J1021" s="113"/>
      <c r="K1021" s="113"/>
      <c r="L1021" s="113"/>
      <c r="M1021" s="113"/>
      <c r="N1021" s="113"/>
      <c r="O1021" s="113"/>
      <c r="P1021" s="113"/>
      <c r="Q1021" s="113"/>
      <c r="R1021" s="113"/>
      <c r="S1021" s="113"/>
      <c r="T1021" s="113"/>
      <c r="U1021" s="113"/>
      <c r="V1021" s="113"/>
      <c r="W1021" s="113"/>
      <c r="X1021" s="113"/>
      <c r="Y1021" s="113"/>
      <c r="Z1021" s="113"/>
      <c r="AA1021" s="113"/>
    </row>
    <row r="1022" spans="1:27" x14ac:dyDescent="0.55000000000000004">
      <c r="A1022" s="113"/>
      <c r="B1022" s="166"/>
      <c r="C1022" s="166"/>
      <c r="D1022" s="167"/>
      <c r="E1022" s="167"/>
      <c r="F1022" s="113"/>
      <c r="G1022" s="113"/>
      <c r="H1022" s="113"/>
      <c r="I1022" s="113"/>
      <c r="J1022" s="113"/>
      <c r="K1022" s="113"/>
      <c r="L1022" s="113"/>
      <c r="M1022" s="113"/>
      <c r="N1022" s="113"/>
      <c r="O1022" s="113"/>
      <c r="P1022" s="113"/>
      <c r="Q1022" s="113"/>
      <c r="R1022" s="113"/>
      <c r="S1022" s="113"/>
      <c r="T1022" s="113"/>
      <c r="U1022" s="113"/>
      <c r="V1022" s="113"/>
      <c r="W1022" s="113"/>
      <c r="X1022" s="113"/>
      <c r="Y1022" s="113"/>
      <c r="Z1022" s="113"/>
      <c r="AA1022" s="113"/>
    </row>
    <row r="1023" spans="1:27" x14ac:dyDescent="0.55000000000000004">
      <c r="A1023" s="113"/>
      <c r="B1023" s="166"/>
      <c r="C1023" s="166"/>
      <c r="D1023" s="167"/>
      <c r="E1023" s="167"/>
      <c r="F1023" s="113"/>
      <c r="G1023" s="113"/>
      <c r="H1023" s="113"/>
      <c r="I1023" s="113"/>
      <c r="J1023" s="113"/>
      <c r="K1023" s="113"/>
      <c r="L1023" s="113"/>
      <c r="M1023" s="113"/>
      <c r="N1023" s="113"/>
      <c r="O1023" s="113"/>
      <c r="P1023" s="113"/>
      <c r="Q1023" s="113"/>
      <c r="R1023" s="113"/>
      <c r="S1023" s="113"/>
      <c r="T1023" s="113"/>
      <c r="U1023" s="113"/>
      <c r="V1023" s="113"/>
      <c r="W1023" s="113"/>
      <c r="X1023" s="113"/>
      <c r="Y1023" s="113"/>
      <c r="Z1023" s="113"/>
      <c r="AA1023" s="113"/>
    </row>
    <row r="1024" spans="1:27" x14ac:dyDescent="0.55000000000000004">
      <c r="A1024" s="113"/>
      <c r="B1024" s="166"/>
      <c r="C1024" s="166"/>
      <c r="D1024" s="167"/>
      <c r="E1024" s="167"/>
      <c r="F1024" s="113"/>
      <c r="G1024" s="113"/>
      <c r="H1024" s="113"/>
      <c r="I1024" s="113"/>
      <c r="J1024" s="113"/>
      <c r="K1024" s="113"/>
      <c r="L1024" s="113"/>
      <c r="M1024" s="113"/>
      <c r="N1024" s="113"/>
      <c r="O1024" s="113"/>
      <c r="P1024" s="113"/>
      <c r="Q1024" s="113"/>
      <c r="R1024" s="113"/>
      <c r="S1024" s="113"/>
      <c r="T1024" s="113"/>
      <c r="U1024" s="113"/>
      <c r="V1024" s="113"/>
      <c r="W1024" s="113"/>
      <c r="X1024" s="113"/>
      <c r="Y1024" s="113"/>
      <c r="Z1024" s="113"/>
      <c r="AA1024" s="113"/>
    </row>
    <row r="1025" spans="1:27" x14ac:dyDescent="0.55000000000000004">
      <c r="A1025" s="113"/>
      <c r="B1025" s="166"/>
      <c r="C1025" s="166"/>
      <c r="D1025" s="167"/>
      <c r="E1025" s="167"/>
      <c r="F1025" s="113"/>
      <c r="G1025" s="113"/>
      <c r="H1025" s="113"/>
      <c r="I1025" s="113"/>
      <c r="J1025" s="113"/>
      <c r="K1025" s="113"/>
      <c r="L1025" s="113"/>
      <c r="M1025" s="113"/>
      <c r="N1025" s="113"/>
      <c r="O1025" s="113"/>
      <c r="P1025" s="113"/>
      <c r="Q1025" s="113"/>
      <c r="R1025" s="113"/>
      <c r="S1025" s="113"/>
      <c r="T1025" s="113"/>
      <c r="U1025" s="113"/>
      <c r="V1025" s="113"/>
      <c r="W1025" s="113"/>
      <c r="X1025" s="113"/>
      <c r="Y1025" s="113"/>
      <c r="Z1025" s="113"/>
      <c r="AA1025" s="113"/>
    </row>
    <row r="1026" spans="1:27" x14ac:dyDescent="0.55000000000000004">
      <c r="A1026" s="113"/>
      <c r="B1026" s="166"/>
      <c r="C1026" s="166"/>
      <c r="D1026" s="167"/>
      <c r="E1026" s="167"/>
      <c r="F1026" s="113"/>
      <c r="G1026" s="113"/>
      <c r="H1026" s="113"/>
      <c r="I1026" s="113"/>
      <c r="J1026" s="113"/>
      <c r="K1026" s="113"/>
      <c r="L1026" s="113"/>
      <c r="M1026" s="113"/>
      <c r="N1026" s="113"/>
      <c r="O1026" s="113"/>
      <c r="P1026" s="113"/>
      <c r="Q1026" s="113"/>
      <c r="R1026" s="113"/>
      <c r="S1026" s="113"/>
      <c r="T1026" s="113"/>
      <c r="U1026" s="113"/>
      <c r="V1026" s="113"/>
      <c r="W1026" s="113"/>
      <c r="X1026" s="113"/>
      <c r="Y1026" s="113"/>
      <c r="Z1026" s="113"/>
      <c r="AA1026" s="113"/>
    </row>
    <row r="1027" spans="1:27" x14ac:dyDescent="0.55000000000000004">
      <c r="A1027" s="113"/>
      <c r="B1027" s="166"/>
      <c r="C1027" s="166"/>
      <c r="D1027" s="167"/>
      <c r="E1027" s="167"/>
      <c r="F1027" s="113"/>
      <c r="G1027" s="113"/>
      <c r="H1027" s="113"/>
      <c r="I1027" s="113"/>
      <c r="J1027" s="113"/>
      <c r="K1027" s="113"/>
      <c r="L1027" s="113"/>
      <c r="M1027" s="113"/>
      <c r="N1027" s="113"/>
      <c r="O1027" s="113"/>
      <c r="P1027" s="113"/>
      <c r="Q1027" s="113"/>
      <c r="R1027" s="113"/>
      <c r="S1027" s="113"/>
      <c r="T1027" s="113"/>
      <c r="U1027" s="113"/>
      <c r="V1027" s="113"/>
      <c r="W1027" s="113"/>
      <c r="X1027" s="113"/>
      <c r="Y1027" s="113"/>
      <c r="Z1027" s="113"/>
      <c r="AA1027" s="113"/>
    </row>
    <row r="1028" spans="1:27" x14ac:dyDescent="0.55000000000000004">
      <c r="A1028" s="113"/>
      <c r="B1028" s="166"/>
      <c r="C1028" s="166"/>
      <c r="D1028" s="167"/>
      <c r="E1028" s="167"/>
      <c r="F1028" s="113"/>
      <c r="G1028" s="113"/>
      <c r="H1028" s="113"/>
      <c r="I1028" s="113"/>
      <c r="J1028" s="113"/>
      <c r="K1028" s="113"/>
      <c r="L1028" s="113"/>
      <c r="M1028" s="113"/>
      <c r="N1028" s="113"/>
      <c r="O1028" s="113"/>
      <c r="P1028" s="113"/>
      <c r="Q1028" s="113"/>
      <c r="R1028" s="113"/>
      <c r="S1028" s="113"/>
      <c r="T1028" s="113"/>
      <c r="U1028" s="113"/>
      <c r="V1028" s="113"/>
      <c r="W1028" s="113"/>
      <c r="X1028" s="113"/>
      <c r="Y1028" s="113"/>
      <c r="Z1028" s="113"/>
      <c r="AA1028" s="113"/>
    </row>
    <row r="1029" spans="1:27" x14ac:dyDescent="0.55000000000000004">
      <c r="A1029" s="113"/>
      <c r="B1029" s="166"/>
      <c r="C1029" s="166"/>
      <c r="D1029" s="167"/>
      <c r="E1029" s="167"/>
      <c r="F1029" s="113"/>
      <c r="G1029" s="113"/>
      <c r="H1029" s="113"/>
      <c r="I1029" s="113"/>
      <c r="J1029" s="113"/>
      <c r="K1029" s="113"/>
      <c r="L1029" s="113"/>
      <c r="M1029" s="113"/>
      <c r="N1029" s="113"/>
      <c r="O1029" s="113"/>
      <c r="P1029" s="113"/>
      <c r="Q1029" s="113"/>
      <c r="R1029" s="113"/>
      <c r="S1029" s="113"/>
      <c r="T1029" s="113"/>
      <c r="U1029" s="113"/>
      <c r="V1029" s="113"/>
      <c r="W1029" s="113"/>
      <c r="X1029" s="113"/>
      <c r="Y1029" s="113"/>
      <c r="Z1029" s="113"/>
      <c r="AA1029" s="113"/>
    </row>
    <row r="1030" spans="1:27" x14ac:dyDescent="0.55000000000000004">
      <c r="A1030" s="113"/>
      <c r="B1030" s="166"/>
      <c r="C1030" s="166"/>
      <c r="D1030" s="167"/>
      <c r="E1030" s="167"/>
      <c r="F1030" s="113"/>
      <c r="G1030" s="113"/>
      <c r="H1030" s="113"/>
      <c r="I1030" s="113"/>
      <c r="J1030" s="113"/>
      <c r="K1030" s="113"/>
      <c r="L1030" s="113"/>
      <c r="M1030" s="113"/>
      <c r="N1030" s="113"/>
      <c r="O1030" s="113"/>
      <c r="P1030" s="113"/>
      <c r="Q1030" s="113"/>
      <c r="R1030" s="113"/>
      <c r="S1030" s="113"/>
      <c r="T1030" s="113"/>
      <c r="U1030" s="113"/>
      <c r="V1030" s="113"/>
      <c r="W1030" s="113"/>
      <c r="X1030" s="113"/>
      <c r="Y1030" s="113"/>
      <c r="Z1030" s="113"/>
      <c r="AA1030" s="113"/>
    </row>
    <row r="1031" spans="1:27" x14ac:dyDescent="0.55000000000000004">
      <c r="A1031" s="113"/>
      <c r="B1031" s="166"/>
      <c r="C1031" s="166"/>
      <c r="D1031" s="167"/>
      <c r="E1031" s="167"/>
      <c r="F1031" s="113"/>
      <c r="G1031" s="113"/>
      <c r="H1031" s="113"/>
      <c r="I1031" s="113"/>
      <c r="J1031" s="113"/>
      <c r="K1031" s="113"/>
      <c r="L1031" s="113"/>
      <c r="M1031" s="113"/>
      <c r="N1031" s="113"/>
      <c r="O1031" s="113"/>
      <c r="P1031" s="113"/>
      <c r="Q1031" s="113"/>
      <c r="R1031" s="113"/>
      <c r="S1031" s="113"/>
      <c r="T1031" s="113"/>
      <c r="U1031" s="113"/>
      <c r="V1031" s="113"/>
      <c r="W1031" s="113"/>
      <c r="X1031" s="113"/>
      <c r="Y1031" s="113"/>
      <c r="Z1031" s="113"/>
      <c r="AA1031" s="113"/>
    </row>
    <row r="1032" spans="1:27" x14ac:dyDescent="0.55000000000000004">
      <c r="A1032" s="113"/>
      <c r="B1032" s="166"/>
      <c r="C1032" s="166"/>
      <c r="D1032" s="167"/>
      <c r="E1032" s="167"/>
      <c r="F1032" s="113"/>
      <c r="G1032" s="113"/>
      <c r="H1032" s="113"/>
      <c r="I1032" s="113"/>
      <c r="J1032" s="113"/>
      <c r="K1032" s="113"/>
      <c r="L1032" s="113"/>
      <c r="M1032" s="113"/>
      <c r="N1032" s="113"/>
      <c r="O1032" s="113"/>
      <c r="P1032" s="113"/>
      <c r="Q1032" s="113"/>
      <c r="R1032" s="113"/>
      <c r="S1032" s="113"/>
      <c r="T1032" s="113"/>
      <c r="U1032" s="113"/>
      <c r="V1032" s="113"/>
      <c r="W1032" s="113"/>
      <c r="X1032" s="113"/>
      <c r="Y1032" s="113"/>
      <c r="Z1032" s="113"/>
      <c r="AA1032" s="113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64EB-EB45-4C98-A8AB-3B8F75FA95A8}">
  <dimension ref="A1:G1000"/>
  <sheetViews>
    <sheetView showGridLines="0" workbookViewId="0">
      <selection sqref="A1:XFD1048576"/>
    </sheetView>
  </sheetViews>
  <sheetFormatPr defaultColWidth="14.42578125" defaultRowHeight="15" customHeight="1" x14ac:dyDescent="0.55000000000000004"/>
  <cols>
    <col min="1" max="1" width="12" style="50" customWidth="1"/>
    <col min="2" max="2" width="38.140625" style="50" customWidth="1"/>
    <col min="3" max="3" width="15.5703125" style="50" customWidth="1"/>
    <col min="4" max="4" width="12.42578125" style="50" customWidth="1"/>
    <col min="5" max="5" width="12.7109375" style="50" customWidth="1"/>
    <col min="6" max="6" width="10.42578125" style="50" customWidth="1"/>
    <col min="7" max="7" width="36" style="50" customWidth="1"/>
    <col min="8" max="13" width="16.28515625" style="50" customWidth="1"/>
    <col min="14" max="24" width="8.7109375" style="50" customWidth="1"/>
    <col min="25" max="16384" width="14.42578125" style="50"/>
  </cols>
  <sheetData>
    <row r="1" spans="1:7" ht="19.5" x14ac:dyDescent="0.55000000000000004">
      <c r="A1" s="2" t="s">
        <v>0</v>
      </c>
      <c r="B1" s="3" t="str">
        <f>OBRA!B1</f>
        <v>Jardim Campeche</v>
      </c>
      <c r="C1" s="4"/>
      <c r="D1" s="5"/>
      <c r="E1" s="4"/>
      <c r="F1" s="4"/>
      <c r="G1" s="213"/>
    </row>
    <row r="2" spans="1:7" ht="19.5" x14ac:dyDescent="0.55000000000000004">
      <c r="A2" s="6" t="s">
        <v>1</v>
      </c>
      <c r="B2" s="7" t="str">
        <f>OBRA!B2</f>
        <v>BD Empreendimentos</v>
      </c>
      <c r="C2" s="8"/>
      <c r="D2" s="9"/>
      <c r="E2" s="8"/>
      <c r="F2" s="8"/>
      <c r="G2" s="214"/>
    </row>
    <row r="3" spans="1:7" ht="19.5" x14ac:dyDescent="0.55000000000000004">
      <c r="A3" s="6" t="s">
        <v>2</v>
      </c>
      <c r="B3" s="7" t="str">
        <f>OBRA!B3</f>
        <v>R00</v>
      </c>
      <c r="C3" s="8"/>
      <c r="D3" s="9"/>
      <c r="E3" s="8"/>
      <c r="F3" s="12"/>
      <c r="G3" s="214"/>
    </row>
    <row r="4" spans="1:7" ht="22.15" customHeight="1" x14ac:dyDescent="0.55000000000000004">
      <c r="A4" s="314" t="s">
        <v>16</v>
      </c>
      <c r="B4" s="315"/>
      <c r="C4" s="315"/>
      <c r="D4" s="315"/>
      <c r="E4" s="315"/>
      <c r="F4" s="315"/>
      <c r="G4" s="316"/>
    </row>
    <row r="5" spans="1:7" ht="19.5" x14ac:dyDescent="0.55000000000000004">
      <c r="A5" s="215"/>
      <c r="B5" s="216"/>
      <c r="C5" s="216"/>
      <c r="D5" s="217"/>
      <c r="E5" s="216"/>
      <c r="F5" s="216"/>
      <c r="G5" s="218"/>
    </row>
    <row r="6" spans="1:7" ht="24" customHeight="1" x14ac:dyDescent="0.55000000000000004">
      <c r="A6" s="317" t="s">
        <v>39</v>
      </c>
      <c r="B6" s="315"/>
      <c r="C6" s="315"/>
      <c r="D6" s="315"/>
      <c r="E6" s="315"/>
      <c r="F6" s="315"/>
      <c r="G6" s="316"/>
    </row>
    <row r="7" spans="1:7" ht="19.5" x14ac:dyDescent="0.55000000000000004">
      <c r="A7" s="10"/>
      <c r="B7" s="11"/>
      <c r="C7" s="12"/>
      <c r="D7" s="13"/>
      <c r="E7" s="12"/>
      <c r="F7" s="12"/>
      <c r="G7" s="219"/>
    </row>
    <row r="8" spans="1:7" ht="19.5" x14ac:dyDescent="0.55000000000000004">
      <c r="A8" s="220" t="s">
        <v>39</v>
      </c>
      <c r="B8" s="221"/>
      <c r="C8" s="221"/>
      <c r="D8" s="222"/>
      <c r="E8" s="221"/>
      <c r="F8" s="221"/>
      <c r="G8" s="223"/>
    </row>
    <row r="9" spans="1:7" ht="20.25" thickBot="1" x14ac:dyDescent="0.6">
      <c r="A9" s="224"/>
      <c r="B9" s="225"/>
      <c r="C9" s="225"/>
      <c r="D9" s="226"/>
      <c r="E9" s="225"/>
      <c r="F9" s="225"/>
      <c r="G9" s="219"/>
    </row>
    <row r="10" spans="1:7" ht="58.5" x14ac:dyDescent="0.55000000000000004">
      <c r="A10" s="224"/>
      <c r="B10" s="227" t="s">
        <v>5</v>
      </c>
      <c r="C10" s="228" t="s">
        <v>6</v>
      </c>
      <c r="D10" s="229" t="s">
        <v>7</v>
      </c>
      <c r="E10" s="225"/>
      <c r="F10" s="225"/>
      <c r="G10" s="219"/>
    </row>
    <row r="11" spans="1:7" ht="19.5" x14ac:dyDescent="0.55000000000000004">
      <c r="A11" s="224"/>
      <c r="B11" s="230" t="s">
        <v>41</v>
      </c>
      <c r="C11" s="231" t="s">
        <v>410</v>
      </c>
      <c r="D11" s="232">
        <f>OBRA!D10/OBRA!D12</f>
        <v>100.91055555555555</v>
      </c>
      <c r="E11" s="225"/>
      <c r="F11" s="225"/>
      <c r="G11" s="219"/>
    </row>
    <row r="12" spans="1:7" ht="19.5" x14ac:dyDescent="0.55000000000000004">
      <c r="A12" s="224"/>
      <c r="B12" s="233" t="s">
        <v>37</v>
      </c>
      <c r="C12" s="234" t="s">
        <v>38</v>
      </c>
      <c r="D12" s="235">
        <v>49</v>
      </c>
      <c r="E12" s="225"/>
      <c r="F12" s="225"/>
      <c r="G12" s="219"/>
    </row>
    <row r="13" spans="1:7" ht="19.5" x14ac:dyDescent="0.55000000000000004">
      <c r="A13" s="224"/>
      <c r="B13" s="236" t="s">
        <v>42</v>
      </c>
      <c r="C13" s="237" t="s">
        <v>20</v>
      </c>
      <c r="D13" s="238">
        <f>ROUNDUP((D12*OBRA!D10)/OBRA!D12/180,)</f>
        <v>28</v>
      </c>
      <c r="E13" s="225"/>
      <c r="F13" s="225"/>
      <c r="G13" s="219"/>
    </row>
    <row r="14" spans="1:7" ht="19.5" x14ac:dyDescent="0.55000000000000004">
      <c r="A14" s="224"/>
      <c r="B14" s="239" t="s">
        <v>40</v>
      </c>
      <c r="C14" s="240" t="s">
        <v>20</v>
      </c>
      <c r="D14" s="241">
        <v>4</v>
      </c>
      <c r="E14" s="225"/>
      <c r="F14" s="225"/>
      <c r="G14" s="219"/>
    </row>
    <row r="15" spans="1:7" ht="19.5" x14ac:dyDescent="0.55000000000000004">
      <c r="A15" s="224"/>
      <c r="B15" s="242" t="s">
        <v>43</v>
      </c>
      <c r="C15" s="243" t="s">
        <v>20</v>
      </c>
      <c r="D15" s="244">
        <f>ROUNDUP($D$13/20,0)</f>
        <v>2</v>
      </c>
      <c r="E15" s="245" t="s">
        <v>44</v>
      </c>
      <c r="F15" s="245"/>
      <c r="G15" s="219"/>
    </row>
    <row r="16" spans="1:7" ht="19.5" x14ac:dyDescent="0.55000000000000004">
      <c r="A16" s="224"/>
      <c r="B16" s="246" t="s">
        <v>411</v>
      </c>
      <c r="C16" s="243" t="s">
        <v>20</v>
      </c>
      <c r="D16" s="247">
        <f>ROUNDUP(OBRA!$D$13/5,0)</f>
        <v>2</v>
      </c>
      <c r="E16" s="245" t="s">
        <v>412</v>
      </c>
      <c r="F16" s="245"/>
      <c r="G16" s="219"/>
    </row>
    <row r="17" spans="1:7" ht="19.5" x14ac:dyDescent="0.55000000000000004">
      <c r="A17" s="224"/>
      <c r="B17" s="242" t="s">
        <v>45</v>
      </c>
      <c r="C17" s="243" t="s">
        <v>46</v>
      </c>
      <c r="D17" s="248">
        <f>800*D13</f>
        <v>22400</v>
      </c>
      <c r="E17" s="245" t="s">
        <v>47</v>
      </c>
      <c r="F17" s="245"/>
      <c r="G17" s="219"/>
    </row>
    <row r="18" spans="1:7" ht="19.5" x14ac:dyDescent="0.55000000000000004">
      <c r="A18" s="249"/>
      <c r="B18" s="242" t="s">
        <v>48</v>
      </c>
      <c r="C18" s="243" t="s">
        <v>46</v>
      </c>
      <c r="D18" s="248">
        <f>500*(D13+D14)*OBRA!D12/12</f>
        <v>48000</v>
      </c>
      <c r="E18" s="245" t="s">
        <v>49</v>
      </c>
      <c r="F18" s="245"/>
      <c r="G18" s="218"/>
    </row>
    <row r="19" spans="1:7" ht="20.25" thickBot="1" x14ac:dyDescent="0.6">
      <c r="A19" s="249"/>
      <c r="B19" s="250" t="s">
        <v>50</v>
      </c>
      <c r="C19" s="251" t="s">
        <v>20</v>
      </c>
      <c r="D19" s="252">
        <f>ROUNDUP($D$13/20,0)</f>
        <v>2</v>
      </c>
      <c r="E19" s="245" t="s">
        <v>51</v>
      </c>
      <c r="F19" s="245"/>
      <c r="G19" s="218"/>
    </row>
    <row r="20" spans="1:7" ht="19.5" x14ac:dyDescent="0.55000000000000004">
      <c r="A20" s="249"/>
      <c r="B20" s="253"/>
      <c r="C20" s="253"/>
      <c r="D20" s="253"/>
      <c r="E20" s="253"/>
      <c r="F20" s="253"/>
      <c r="G20" s="218"/>
    </row>
    <row r="21" spans="1:7" ht="15.75" customHeight="1" x14ac:dyDescent="0.55000000000000004">
      <c r="A21" s="220" t="s">
        <v>52</v>
      </c>
      <c r="B21" s="221"/>
      <c r="C21" s="221"/>
      <c r="D21" s="222"/>
      <c r="E21" s="221"/>
      <c r="F21" s="221"/>
      <c r="G21" s="223"/>
    </row>
    <row r="22" spans="1:7" ht="15.75" customHeight="1" thickBot="1" x14ac:dyDescent="0.6">
      <c r="A22" s="224"/>
      <c r="B22" s="225"/>
      <c r="C22" s="225"/>
      <c r="D22" s="226"/>
      <c r="E22" s="225"/>
      <c r="F22" s="225"/>
      <c r="G22" s="219"/>
    </row>
    <row r="23" spans="1:7" ht="15.75" customHeight="1" x14ac:dyDescent="0.55000000000000004">
      <c r="A23" s="224"/>
      <c r="B23" s="227" t="s">
        <v>5</v>
      </c>
      <c r="C23" s="228" t="s">
        <v>6</v>
      </c>
      <c r="D23" s="228" t="s">
        <v>7</v>
      </c>
      <c r="E23" s="228" t="s">
        <v>53</v>
      </c>
      <c r="F23" s="254" t="s">
        <v>54</v>
      </c>
      <c r="G23" s="219"/>
    </row>
    <row r="24" spans="1:7" ht="15.75" customHeight="1" x14ac:dyDescent="0.55000000000000004">
      <c r="A24" s="224"/>
      <c r="B24" s="230" t="s">
        <v>55</v>
      </c>
      <c r="C24" s="231" t="s">
        <v>20</v>
      </c>
      <c r="D24" s="243">
        <f>D28*1.5</f>
        <v>6</v>
      </c>
      <c r="E24" s="243">
        <v>200</v>
      </c>
      <c r="F24" s="244">
        <f>D24*E24</f>
        <v>1200</v>
      </c>
      <c r="G24" s="219"/>
    </row>
    <row r="25" spans="1:7" ht="15.75" customHeight="1" x14ac:dyDescent="0.55000000000000004">
      <c r="A25" s="224"/>
      <c r="B25" s="246" t="s">
        <v>56</v>
      </c>
      <c r="C25" s="243" t="s">
        <v>20</v>
      </c>
      <c r="D25" s="243">
        <v>1</v>
      </c>
      <c r="E25" s="243">
        <v>1000</v>
      </c>
      <c r="F25" s="244">
        <f t="shared" ref="F25:F28" si="0">E25*D25</f>
        <v>1000</v>
      </c>
      <c r="G25" s="219"/>
    </row>
    <row r="26" spans="1:7" ht="15.75" customHeight="1" x14ac:dyDescent="0.55000000000000004">
      <c r="A26" s="249"/>
      <c r="B26" s="246" t="s">
        <v>57</v>
      </c>
      <c r="C26" s="243" t="s">
        <v>20</v>
      </c>
      <c r="D26" s="243">
        <v>1</v>
      </c>
      <c r="E26" s="243">
        <v>5000</v>
      </c>
      <c r="F26" s="244">
        <f t="shared" si="0"/>
        <v>5000</v>
      </c>
      <c r="G26" s="218"/>
    </row>
    <row r="27" spans="1:7" ht="15.75" customHeight="1" x14ac:dyDescent="0.55000000000000004">
      <c r="A27" s="249"/>
      <c r="B27" s="246" t="s">
        <v>58</v>
      </c>
      <c r="C27" s="243" t="s">
        <v>19</v>
      </c>
      <c r="D27" s="243">
        <v>2</v>
      </c>
      <c r="E27" s="243">
        <v>900</v>
      </c>
      <c r="F27" s="244">
        <f t="shared" si="0"/>
        <v>1800</v>
      </c>
      <c r="G27" s="218"/>
    </row>
    <row r="28" spans="1:7" ht="15.75" customHeight="1" thickBot="1" x14ac:dyDescent="0.6">
      <c r="A28" s="249"/>
      <c r="B28" s="255" t="s">
        <v>59</v>
      </c>
      <c r="C28" s="251" t="s">
        <v>20</v>
      </c>
      <c r="D28" s="251">
        <f>D14</f>
        <v>4</v>
      </c>
      <c r="E28" s="251">
        <v>800</v>
      </c>
      <c r="F28" s="252">
        <f t="shared" si="0"/>
        <v>3200</v>
      </c>
      <c r="G28" s="218"/>
    </row>
    <row r="29" spans="1:7" ht="15.75" customHeight="1" thickBot="1" x14ac:dyDescent="0.6">
      <c r="A29" s="249"/>
      <c r="B29" s="311" t="s">
        <v>60</v>
      </c>
      <c r="C29" s="312"/>
      <c r="D29" s="312"/>
      <c r="E29" s="313"/>
      <c r="F29" s="256">
        <f>F26+F27+F28+F25+F24</f>
        <v>12200</v>
      </c>
      <c r="G29" s="218"/>
    </row>
    <row r="30" spans="1:7" ht="15.75" customHeight="1" x14ac:dyDescent="0.55000000000000004">
      <c r="A30" s="249"/>
      <c r="B30" s="227" t="s">
        <v>5</v>
      </c>
      <c r="C30" s="228" t="s">
        <v>6</v>
      </c>
      <c r="D30" s="228" t="s">
        <v>7</v>
      </c>
      <c r="E30" s="228" t="s">
        <v>53</v>
      </c>
      <c r="F30" s="254" t="s">
        <v>54</v>
      </c>
      <c r="G30" s="218"/>
    </row>
    <row r="31" spans="1:7" ht="15.75" customHeight="1" x14ac:dyDescent="0.55000000000000004">
      <c r="A31" s="249"/>
      <c r="B31" s="230" t="s">
        <v>61</v>
      </c>
      <c r="C31" s="231" t="s">
        <v>20</v>
      </c>
      <c r="D31" s="243">
        <f>D14/2</f>
        <v>2</v>
      </c>
      <c r="E31" s="243">
        <v>6000</v>
      </c>
      <c r="F31" s="244">
        <f>D31*E31</f>
        <v>12000</v>
      </c>
      <c r="G31" s="218"/>
    </row>
    <row r="32" spans="1:7" ht="15.75" customHeight="1" x14ac:dyDescent="0.55000000000000004">
      <c r="A32" s="249"/>
      <c r="B32" s="246" t="s">
        <v>62</v>
      </c>
      <c r="C32" s="243" t="s">
        <v>20</v>
      </c>
      <c r="D32" s="243">
        <v>1</v>
      </c>
      <c r="E32" s="243">
        <v>2000</v>
      </c>
      <c r="F32" s="244">
        <f t="shared" ref="F32:F33" si="1">E32*D32</f>
        <v>2000</v>
      </c>
      <c r="G32" s="218"/>
    </row>
    <row r="33" spans="1:7" ht="15.75" customHeight="1" thickBot="1" x14ac:dyDescent="0.6">
      <c r="A33" s="249"/>
      <c r="B33" s="257" t="s">
        <v>63</v>
      </c>
      <c r="C33" s="258" t="s">
        <v>20</v>
      </c>
      <c r="D33" s="258">
        <v>1</v>
      </c>
      <c r="E33" s="258">
        <v>500</v>
      </c>
      <c r="F33" s="259">
        <f t="shared" si="1"/>
        <v>500</v>
      </c>
      <c r="G33" s="218"/>
    </row>
    <row r="34" spans="1:7" ht="15.75" customHeight="1" thickBot="1" x14ac:dyDescent="0.6">
      <c r="A34" s="260"/>
      <c r="B34" s="311" t="s">
        <v>60</v>
      </c>
      <c r="C34" s="312"/>
      <c r="D34" s="312"/>
      <c r="E34" s="313"/>
      <c r="F34" s="256">
        <f>+F31+F32+F33</f>
        <v>14500</v>
      </c>
      <c r="G34" s="261"/>
    </row>
    <row r="35" spans="1:7" ht="15.75" customHeight="1" thickBot="1" x14ac:dyDescent="0.6">
      <c r="A35" s="262"/>
      <c r="B35" s="263"/>
      <c r="C35" s="263"/>
      <c r="D35" s="263"/>
      <c r="E35" s="263"/>
      <c r="F35" s="263"/>
      <c r="G35" s="264"/>
    </row>
    <row r="36" spans="1:7" ht="15.75" customHeight="1" x14ac:dyDescent="0.55000000000000004"/>
    <row r="37" spans="1:7" ht="15.75" customHeight="1" x14ac:dyDescent="0.55000000000000004"/>
    <row r="38" spans="1:7" ht="15.75" customHeight="1" x14ac:dyDescent="0.55000000000000004"/>
    <row r="39" spans="1:7" ht="15.75" customHeight="1" x14ac:dyDescent="0.55000000000000004"/>
    <row r="40" spans="1:7" ht="15.75" customHeight="1" x14ac:dyDescent="0.55000000000000004"/>
    <row r="41" spans="1:7" ht="15.75" customHeight="1" x14ac:dyDescent="0.55000000000000004"/>
    <row r="42" spans="1:7" ht="15.75" customHeight="1" x14ac:dyDescent="0.55000000000000004"/>
    <row r="43" spans="1:7" ht="15.75" customHeight="1" x14ac:dyDescent="0.55000000000000004"/>
    <row r="44" spans="1:7" ht="15.75" customHeight="1" x14ac:dyDescent="0.55000000000000004"/>
    <row r="45" spans="1:7" ht="15.75" customHeight="1" x14ac:dyDescent="0.55000000000000004"/>
    <row r="46" spans="1:7" ht="15.75" customHeight="1" x14ac:dyDescent="0.55000000000000004"/>
    <row r="47" spans="1:7" ht="15.75" customHeight="1" x14ac:dyDescent="0.55000000000000004"/>
    <row r="48" spans="1:7" ht="15.75" customHeight="1" x14ac:dyDescent="0.55000000000000004"/>
    <row r="49" s="50" customFormat="1" ht="15.75" customHeight="1" x14ac:dyDescent="0.55000000000000004"/>
    <row r="50" s="50" customFormat="1" ht="15.75" customHeight="1" x14ac:dyDescent="0.55000000000000004"/>
    <row r="51" s="50" customFormat="1" ht="15.75" customHeight="1" x14ac:dyDescent="0.55000000000000004"/>
    <row r="52" s="50" customFormat="1" ht="15.75" customHeight="1" x14ac:dyDescent="0.55000000000000004"/>
    <row r="53" s="50" customFormat="1" ht="15.75" customHeight="1" x14ac:dyDescent="0.55000000000000004"/>
    <row r="54" s="50" customFormat="1" ht="15.75" customHeight="1" x14ac:dyDescent="0.55000000000000004"/>
    <row r="55" s="50" customFormat="1" ht="15.75" customHeight="1" x14ac:dyDescent="0.55000000000000004"/>
    <row r="56" s="50" customFormat="1" ht="15.75" customHeight="1" x14ac:dyDescent="0.55000000000000004"/>
    <row r="57" s="50" customFormat="1" ht="15.75" customHeight="1" x14ac:dyDescent="0.55000000000000004"/>
    <row r="58" s="50" customFormat="1" ht="15.75" customHeight="1" x14ac:dyDescent="0.55000000000000004"/>
    <row r="59" s="50" customFormat="1" ht="15.75" customHeight="1" x14ac:dyDescent="0.55000000000000004"/>
    <row r="60" s="50" customFormat="1" ht="15.75" customHeight="1" x14ac:dyDescent="0.55000000000000004"/>
    <row r="61" s="50" customFormat="1" ht="15.75" customHeight="1" x14ac:dyDescent="0.55000000000000004"/>
    <row r="62" s="50" customFormat="1" ht="15.75" customHeight="1" x14ac:dyDescent="0.55000000000000004"/>
    <row r="63" s="50" customFormat="1" ht="15.75" customHeight="1" x14ac:dyDescent="0.55000000000000004"/>
    <row r="64" s="50" customFormat="1" ht="15.75" customHeight="1" x14ac:dyDescent="0.55000000000000004"/>
    <row r="65" s="50" customFormat="1" ht="15.75" customHeight="1" x14ac:dyDescent="0.55000000000000004"/>
    <row r="66" s="50" customFormat="1" ht="15.75" customHeight="1" x14ac:dyDescent="0.55000000000000004"/>
    <row r="67" s="50" customFormat="1" ht="15.75" customHeight="1" x14ac:dyDescent="0.55000000000000004"/>
    <row r="68" s="50" customFormat="1" ht="15.75" customHeight="1" x14ac:dyDescent="0.55000000000000004"/>
    <row r="69" s="50" customFormat="1" ht="15.75" customHeight="1" x14ac:dyDescent="0.55000000000000004"/>
    <row r="70" s="50" customFormat="1" ht="15.75" customHeight="1" x14ac:dyDescent="0.55000000000000004"/>
    <row r="71" s="50" customFormat="1" ht="15.75" customHeight="1" x14ac:dyDescent="0.55000000000000004"/>
    <row r="72" s="50" customFormat="1" ht="15.75" customHeight="1" x14ac:dyDescent="0.55000000000000004"/>
    <row r="73" s="50" customFormat="1" ht="15.75" customHeight="1" x14ac:dyDescent="0.55000000000000004"/>
    <row r="74" s="50" customFormat="1" ht="15.75" customHeight="1" x14ac:dyDescent="0.55000000000000004"/>
    <row r="75" s="50" customFormat="1" ht="15.75" customHeight="1" x14ac:dyDescent="0.55000000000000004"/>
    <row r="76" s="50" customFormat="1" ht="15.75" customHeight="1" x14ac:dyDescent="0.55000000000000004"/>
    <row r="77" s="50" customFormat="1" ht="15.75" customHeight="1" x14ac:dyDescent="0.55000000000000004"/>
    <row r="78" s="50" customFormat="1" ht="15.75" customHeight="1" x14ac:dyDescent="0.55000000000000004"/>
    <row r="79" s="50" customFormat="1" ht="15.75" customHeight="1" x14ac:dyDescent="0.55000000000000004"/>
    <row r="80" s="50" customFormat="1" ht="15.75" customHeight="1" x14ac:dyDescent="0.55000000000000004"/>
    <row r="81" s="50" customFormat="1" ht="15.75" customHeight="1" x14ac:dyDescent="0.55000000000000004"/>
    <row r="82" s="50" customFormat="1" ht="15.75" customHeight="1" x14ac:dyDescent="0.55000000000000004"/>
    <row r="83" s="50" customFormat="1" ht="15.75" customHeight="1" x14ac:dyDescent="0.55000000000000004"/>
    <row r="84" s="50" customFormat="1" ht="15.75" customHeight="1" x14ac:dyDescent="0.55000000000000004"/>
    <row r="85" s="50" customFormat="1" ht="15.75" customHeight="1" x14ac:dyDescent="0.55000000000000004"/>
    <row r="86" s="50" customFormat="1" ht="15.75" customHeight="1" x14ac:dyDescent="0.55000000000000004"/>
    <row r="87" s="50" customFormat="1" ht="15.75" customHeight="1" x14ac:dyDescent="0.55000000000000004"/>
    <row r="88" s="50" customFormat="1" ht="15.75" customHeight="1" x14ac:dyDescent="0.55000000000000004"/>
    <row r="89" s="50" customFormat="1" ht="15.75" customHeight="1" x14ac:dyDescent="0.55000000000000004"/>
    <row r="90" s="50" customFormat="1" ht="15.75" customHeight="1" x14ac:dyDescent="0.55000000000000004"/>
    <row r="91" s="50" customFormat="1" ht="15.75" customHeight="1" x14ac:dyDescent="0.55000000000000004"/>
    <row r="92" s="50" customFormat="1" ht="15.75" customHeight="1" x14ac:dyDescent="0.55000000000000004"/>
    <row r="93" s="50" customFormat="1" ht="15.75" customHeight="1" x14ac:dyDescent="0.55000000000000004"/>
    <row r="94" s="50" customFormat="1" ht="15.75" customHeight="1" x14ac:dyDescent="0.55000000000000004"/>
    <row r="95" s="50" customFormat="1" ht="15.75" customHeight="1" x14ac:dyDescent="0.55000000000000004"/>
    <row r="96" s="50" customFormat="1" ht="15.75" customHeight="1" x14ac:dyDescent="0.55000000000000004"/>
    <row r="97" s="50" customFormat="1" ht="15.75" customHeight="1" x14ac:dyDescent="0.55000000000000004"/>
    <row r="98" s="50" customFormat="1" ht="15.75" customHeight="1" x14ac:dyDescent="0.55000000000000004"/>
    <row r="99" s="50" customFormat="1" ht="15.75" customHeight="1" x14ac:dyDescent="0.55000000000000004"/>
    <row r="100" s="50" customFormat="1" ht="15.75" customHeight="1" x14ac:dyDescent="0.55000000000000004"/>
    <row r="101" s="50" customFormat="1" ht="15.75" customHeight="1" x14ac:dyDescent="0.55000000000000004"/>
    <row r="102" s="50" customFormat="1" ht="15.75" customHeight="1" x14ac:dyDescent="0.55000000000000004"/>
    <row r="103" s="50" customFormat="1" ht="15.75" customHeight="1" x14ac:dyDescent="0.55000000000000004"/>
    <row r="104" s="50" customFormat="1" ht="15.75" customHeight="1" x14ac:dyDescent="0.55000000000000004"/>
    <row r="105" s="50" customFormat="1" ht="15.75" customHeight="1" x14ac:dyDescent="0.55000000000000004"/>
    <row r="106" s="50" customFormat="1" ht="15.75" customHeight="1" x14ac:dyDescent="0.55000000000000004"/>
    <row r="107" s="50" customFormat="1" ht="15.75" customHeight="1" x14ac:dyDescent="0.55000000000000004"/>
    <row r="108" s="50" customFormat="1" ht="15.75" customHeight="1" x14ac:dyDescent="0.55000000000000004"/>
    <row r="109" s="50" customFormat="1" ht="15.75" customHeight="1" x14ac:dyDescent="0.55000000000000004"/>
    <row r="110" s="50" customFormat="1" ht="15.75" customHeight="1" x14ac:dyDescent="0.55000000000000004"/>
    <row r="111" s="50" customFormat="1" ht="15.75" customHeight="1" x14ac:dyDescent="0.55000000000000004"/>
    <row r="112" s="50" customFormat="1" ht="15.75" customHeight="1" x14ac:dyDescent="0.55000000000000004"/>
    <row r="113" s="50" customFormat="1" ht="15.75" customHeight="1" x14ac:dyDescent="0.55000000000000004"/>
    <row r="114" s="50" customFormat="1" ht="15.75" customHeight="1" x14ac:dyDescent="0.55000000000000004"/>
    <row r="115" s="50" customFormat="1" ht="15.75" customHeight="1" x14ac:dyDescent="0.55000000000000004"/>
    <row r="116" s="50" customFormat="1" ht="15.75" customHeight="1" x14ac:dyDescent="0.55000000000000004"/>
    <row r="117" s="50" customFormat="1" ht="15.75" customHeight="1" x14ac:dyDescent="0.55000000000000004"/>
    <row r="118" s="50" customFormat="1" ht="15.75" customHeight="1" x14ac:dyDescent="0.55000000000000004"/>
    <row r="119" s="50" customFormat="1" ht="15.75" customHeight="1" x14ac:dyDescent="0.55000000000000004"/>
    <row r="120" s="50" customFormat="1" ht="15.75" customHeight="1" x14ac:dyDescent="0.55000000000000004"/>
    <row r="121" s="50" customFormat="1" ht="15.75" customHeight="1" x14ac:dyDescent="0.55000000000000004"/>
    <row r="122" s="50" customFormat="1" ht="15.75" customHeight="1" x14ac:dyDescent="0.55000000000000004"/>
    <row r="123" s="50" customFormat="1" ht="15.75" customHeight="1" x14ac:dyDescent="0.55000000000000004"/>
    <row r="124" s="50" customFormat="1" ht="15.75" customHeight="1" x14ac:dyDescent="0.55000000000000004"/>
    <row r="125" s="50" customFormat="1" ht="15.75" customHeight="1" x14ac:dyDescent="0.55000000000000004"/>
    <row r="126" s="50" customFormat="1" ht="15.75" customHeight="1" x14ac:dyDescent="0.55000000000000004"/>
    <row r="127" s="50" customFormat="1" ht="15.75" customHeight="1" x14ac:dyDescent="0.55000000000000004"/>
    <row r="128" s="50" customFormat="1" ht="15.75" customHeight="1" x14ac:dyDescent="0.55000000000000004"/>
    <row r="129" s="50" customFormat="1" ht="15.75" customHeight="1" x14ac:dyDescent="0.55000000000000004"/>
    <row r="130" s="50" customFormat="1" ht="15.75" customHeight="1" x14ac:dyDescent="0.55000000000000004"/>
    <row r="131" s="50" customFormat="1" ht="15.75" customHeight="1" x14ac:dyDescent="0.55000000000000004"/>
    <row r="132" s="50" customFormat="1" ht="15.75" customHeight="1" x14ac:dyDescent="0.55000000000000004"/>
    <row r="133" s="50" customFormat="1" ht="15.75" customHeight="1" x14ac:dyDescent="0.55000000000000004"/>
    <row r="134" s="50" customFormat="1" ht="15.75" customHeight="1" x14ac:dyDescent="0.55000000000000004"/>
    <row r="135" s="50" customFormat="1" ht="15.75" customHeight="1" x14ac:dyDescent="0.55000000000000004"/>
    <row r="136" s="50" customFormat="1" ht="15.75" customHeight="1" x14ac:dyDescent="0.55000000000000004"/>
    <row r="137" s="50" customFormat="1" ht="15.75" customHeight="1" x14ac:dyDescent="0.55000000000000004"/>
    <row r="138" s="50" customFormat="1" ht="15.75" customHeight="1" x14ac:dyDescent="0.55000000000000004"/>
    <row r="139" s="50" customFormat="1" ht="15.75" customHeight="1" x14ac:dyDescent="0.55000000000000004"/>
    <row r="140" s="50" customFormat="1" ht="15.75" customHeight="1" x14ac:dyDescent="0.55000000000000004"/>
    <row r="141" s="50" customFormat="1" ht="15.75" customHeight="1" x14ac:dyDescent="0.55000000000000004"/>
    <row r="142" s="50" customFormat="1" ht="15.75" customHeight="1" x14ac:dyDescent="0.55000000000000004"/>
    <row r="143" s="50" customFormat="1" ht="15.75" customHeight="1" x14ac:dyDescent="0.55000000000000004"/>
    <row r="144" s="50" customFormat="1" ht="15.75" customHeight="1" x14ac:dyDescent="0.55000000000000004"/>
    <row r="145" s="50" customFormat="1" ht="15.75" customHeight="1" x14ac:dyDescent="0.55000000000000004"/>
    <row r="146" s="50" customFormat="1" ht="15.75" customHeight="1" x14ac:dyDescent="0.55000000000000004"/>
    <row r="147" s="50" customFormat="1" ht="15.75" customHeight="1" x14ac:dyDescent="0.55000000000000004"/>
    <row r="148" s="50" customFormat="1" ht="15.75" customHeight="1" x14ac:dyDescent="0.55000000000000004"/>
    <row r="149" s="50" customFormat="1" ht="15.75" customHeight="1" x14ac:dyDescent="0.55000000000000004"/>
    <row r="150" s="50" customFormat="1" ht="15.75" customHeight="1" x14ac:dyDescent="0.55000000000000004"/>
    <row r="151" s="50" customFormat="1" ht="15.75" customHeight="1" x14ac:dyDescent="0.55000000000000004"/>
    <row r="152" s="50" customFormat="1" ht="15.75" customHeight="1" x14ac:dyDescent="0.55000000000000004"/>
    <row r="153" s="50" customFormat="1" ht="15.75" customHeight="1" x14ac:dyDescent="0.55000000000000004"/>
    <row r="154" s="50" customFormat="1" ht="15.75" customHeight="1" x14ac:dyDescent="0.55000000000000004"/>
    <row r="155" s="50" customFormat="1" ht="15.75" customHeight="1" x14ac:dyDescent="0.55000000000000004"/>
    <row r="156" s="50" customFormat="1" ht="15.75" customHeight="1" x14ac:dyDescent="0.55000000000000004"/>
    <row r="157" s="50" customFormat="1" ht="15.75" customHeight="1" x14ac:dyDescent="0.55000000000000004"/>
    <row r="158" s="50" customFormat="1" ht="15.75" customHeight="1" x14ac:dyDescent="0.55000000000000004"/>
    <row r="159" s="50" customFormat="1" ht="15.75" customHeight="1" x14ac:dyDescent="0.55000000000000004"/>
    <row r="160" s="50" customFormat="1" ht="15.75" customHeight="1" x14ac:dyDescent="0.55000000000000004"/>
    <row r="161" s="50" customFormat="1" ht="15.75" customHeight="1" x14ac:dyDescent="0.55000000000000004"/>
    <row r="162" s="50" customFormat="1" ht="15.75" customHeight="1" x14ac:dyDescent="0.55000000000000004"/>
    <row r="163" s="50" customFormat="1" ht="15.75" customHeight="1" x14ac:dyDescent="0.55000000000000004"/>
    <row r="164" s="50" customFormat="1" ht="15.75" customHeight="1" x14ac:dyDescent="0.55000000000000004"/>
    <row r="165" s="50" customFormat="1" ht="15.75" customHeight="1" x14ac:dyDescent="0.55000000000000004"/>
    <row r="166" s="50" customFormat="1" ht="15.75" customHeight="1" x14ac:dyDescent="0.55000000000000004"/>
    <row r="167" s="50" customFormat="1" ht="15.75" customHeight="1" x14ac:dyDescent="0.55000000000000004"/>
    <row r="168" s="50" customFormat="1" ht="15.75" customHeight="1" x14ac:dyDescent="0.55000000000000004"/>
    <row r="169" s="50" customFormat="1" ht="15.75" customHeight="1" x14ac:dyDescent="0.55000000000000004"/>
    <row r="170" s="50" customFormat="1" ht="15.75" customHeight="1" x14ac:dyDescent="0.55000000000000004"/>
    <row r="171" s="50" customFormat="1" ht="15.75" customHeight="1" x14ac:dyDescent="0.55000000000000004"/>
    <row r="172" s="50" customFormat="1" ht="15.75" customHeight="1" x14ac:dyDescent="0.55000000000000004"/>
    <row r="173" s="50" customFormat="1" ht="15.75" customHeight="1" x14ac:dyDescent="0.55000000000000004"/>
    <row r="174" s="50" customFormat="1" ht="15.75" customHeight="1" x14ac:dyDescent="0.55000000000000004"/>
    <row r="175" s="50" customFormat="1" ht="15.75" customHeight="1" x14ac:dyDescent="0.55000000000000004"/>
    <row r="176" s="50" customFormat="1" ht="15.75" customHeight="1" x14ac:dyDescent="0.55000000000000004"/>
    <row r="177" s="50" customFormat="1" ht="15.75" customHeight="1" x14ac:dyDescent="0.55000000000000004"/>
    <row r="178" s="50" customFormat="1" ht="15.75" customHeight="1" x14ac:dyDescent="0.55000000000000004"/>
    <row r="179" s="50" customFormat="1" ht="15.75" customHeight="1" x14ac:dyDescent="0.55000000000000004"/>
    <row r="180" s="50" customFormat="1" ht="15.75" customHeight="1" x14ac:dyDescent="0.55000000000000004"/>
    <row r="181" s="50" customFormat="1" ht="15.75" customHeight="1" x14ac:dyDescent="0.55000000000000004"/>
    <row r="182" s="50" customFormat="1" ht="15.75" customHeight="1" x14ac:dyDescent="0.55000000000000004"/>
    <row r="183" s="50" customFormat="1" ht="15.75" customHeight="1" x14ac:dyDescent="0.55000000000000004"/>
    <row r="184" s="50" customFormat="1" ht="15.75" customHeight="1" x14ac:dyDescent="0.55000000000000004"/>
    <row r="185" s="50" customFormat="1" ht="15.75" customHeight="1" x14ac:dyDescent="0.55000000000000004"/>
    <row r="186" s="50" customFormat="1" ht="15.75" customHeight="1" x14ac:dyDescent="0.55000000000000004"/>
    <row r="187" s="50" customFormat="1" ht="15.75" customHeight="1" x14ac:dyDescent="0.55000000000000004"/>
    <row r="188" s="50" customFormat="1" ht="15.75" customHeight="1" x14ac:dyDescent="0.55000000000000004"/>
    <row r="189" s="50" customFormat="1" ht="15.75" customHeight="1" x14ac:dyDescent="0.55000000000000004"/>
    <row r="190" s="50" customFormat="1" ht="15.75" customHeight="1" x14ac:dyDescent="0.55000000000000004"/>
    <row r="191" s="50" customFormat="1" ht="15.75" customHeight="1" x14ac:dyDescent="0.55000000000000004"/>
    <row r="192" s="50" customFormat="1" ht="15.75" customHeight="1" x14ac:dyDescent="0.55000000000000004"/>
    <row r="193" s="50" customFormat="1" ht="15.75" customHeight="1" x14ac:dyDescent="0.55000000000000004"/>
    <row r="194" s="50" customFormat="1" ht="15.75" customHeight="1" x14ac:dyDescent="0.55000000000000004"/>
    <row r="195" s="50" customFormat="1" ht="15.75" customHeight="1" x14ac:dyDescent="0.55000000000000004"/>
    <row r="196" s="50" customFormat="1" ht="15.75" customHeight="1" x14ac:dyDescent="0.55000000000000004"/>
    <row r="197" s="50" customFormat="1" ht="15.75" customHeight="1" x14ac:dyDescent="0.55000000000000004"/>
    <row r="198" s="50" customFormat="1" ht="15.75" customHeight="1" x14ac:dyDescent="0.55000000000000004"/>
    <row r="199" s="50" customFormat="1" ht="15.75" customHeight="1" x14ac:dyDescent="0.55000000000000004"/>
    <row r="200" s="50" customFormat="1" ht="15.75" customHeight="1" x14ac:dyDescent="0.55000000000000004"/>
    <row r="201" s="50" customFormat="1" ht="15.75" customHeight="1" x14ac:dyDescent="0.55000000000000004"/>
    <row r="202" s="50" customFormat="1" ht="15.75" customHeight="1" x14ac:dyDescent="0.55000000000000004"/>
    <row r="203" s="50" customFormat="1" ht="15.75" customHeight="1" x14ac:dyDescent="0.55000000000000004"/>
    <row r="204" s="50" customFormat="1" ht="15.75" customHeight="1" x14ac:dyDescent="0.55000000000000004"/>
    <row r="205" s="50" customFormat="1" ht="15.75" customHeight="1" x14ac:dyDescent="0.55000000000000004"/>
    <row r="206" s="50" customFormat="1" ht="15.75" customHeight="1" x14ac:dyDescent="0.55000000000000004"/>
    <row r="207" s="50" customFormat="1" ht="15.75" customHeight="1" x14ac:dyDescent="0.55000000000000004"/>
    <row r="208" s="50" customFormat="1" ht="15.75" customHeight="1" x14ac:dyDescent="0.55000000000000004"/>
    <row r="209" s="50" customFormat="1" ht="15.75" customHeight="1" x14ac:dyDescent="0.55000000000000004"/>
    <row r="210" s="50" customFormat="1" ht="15.75" customHeight="1" x14ac:dyDescent="0.55000000000000004"/>
    <row r="211" s="50" customFormat="1" ht="15.75" customHeight="1" x14ac:dyDescent="0.55000000000000004"/>
    <row r="212" s="50" customFormat="1" ht="15.75" customHeight="1" x14ac:dyDescent="0.55000000000000004"/>
    <row r="213" s="50" customFormat="1" ht="15.75" customHeight="1" x14ac:dyDescent="0.55000000000000004"/>
    <row r="214" s="50" customFormat="1" ht="15.75" customHeight="1" x14ac:dyDescent="0.55000000000000004"/>
    <row r="215" s="50" customFormat="1" ht="15.75" customHeight="1" x14ac:dyDescent="0.55000000000000004"/>
    <row r="216" s="50" customFormat="1" ht="15.75" customHeight="1" x14ac:dyDescent="0.55000000000000004"/>
    <row r="217" s="50" customFormat="1" ht="15.75" customHeight="1" x14ac:dyDescent="0.55000000000000004"/>
    <row r="218" s="50" customFormat="1" ht="15.75" customHeight="1" x14ac:dyDescent="0.55000000000000004"/>
    <row r="219" s="50" customFormat="1" ht="15.75" customHeight="1" x14ac:dyDescent="0.55000000000000004"/>
    <row r="220" s="50" customFormat="1" ht="15.75" customHeight="1" x14ac:dyDescent="0.55000000000000004"/>
    <row r="221" s="50" customFormat="1" ht="15.75" customHeight="1" x14ac:dyDescent="0.55000000000000004"/>
    <row r="222" s="50" customFormat="1" ht="15.75" customHeight="1" x14ac:dyDescent="0.55000000000000004"/>
    <row r="223" s="50" customFormat="1" ht="15.75" customHeight="1" x14ac:dyDescent="0.55000000000000004"/>
    <row r="224" s="50" customFormat="1" ht="15.75" customHeight="1" x14ac:dyDescent="0.55000000000000004"/>
    <row r="225" s="50" customFormat="1" ht="15.75" customHeight="1" x14ac:dyDescent="0.55000000000000004"/>
    <row r="226" s="50" customFormat="1" ht="15.75" customHeight="1" x14ac:dyDescent="0.55000000000000004"/>
    <row r="227" s="50" customFormat="1" ht="15.75" customHeight="1" x14ac:dyDescent="0.55000000000000004"/>
    <row r="228" s="50" customFormat="1" ht="15.75" customHeight="1" x14ac:dyDescent="0.55000000000000004"/>
    <row r="229" s="50" customFormat="1" ht="15.75" customHeight="1" x14ac:dyDescent="0.55000000000000004"/>
    <row r="230" s="50" customFormat="1" ht="15.75" customHeight="1" x14ac:dyDescent="0.55000000000000004"/>
    <row r="231" s="50" customFormat="1" ht="15.75" customHeight="1" x14ac:dyDescent="0.55000000000000004"/>
    <row r="232" s="50" customFormat="1" ht="15.75" customHeight="1" x14ac:dyDescent="0.55000000000000004"/>
    <row r="233" s="50" customFormat="1" ht="15.75" customHeight="1" x14ac:dyDescent="0.55000000000000004"/>
    <row r="234" s="50" customFormat="1" ht="15.75" customHeight="1" x14ac:dyDescent="0.55000000000000004"/>
    <row r="235" s="50" customFormat="1" ht="15.75" customHeight="1" x14ac:dyDescent="0.55000000000000004"/>
    <row r="236" s="50" customFormat="1" ht="15.75" customHeight="1" x14ac:dyDescent="0.55000000000000004"/>
    <row r="237" s="50" customFormat="1" ht="15.75" customHeight="1" x14ac:dyDescent="0.55000000000000004"/>
    <row r="238" s="50" customFormat="1" ht="15.75" customHeight="1" x14ac:dyDescent="0.55000000000000004"/>
    <row r="239" s="50" customFormat="1" ht="15.75" customHeight="1" x14ac:dyDescent="0.55000000000000004"/>
    <row r="240" s="50" customFormat="1" ht="15.75" customHeight="1" x14ac:dyDescent="0.55000000000000004"/>
    <row r="241" s="50" customFormat="1" ht="15.75" customHeight="1" x14ac:dyDescent="0.55000000000000004"/>
    <row r="242" s="50" customFormat="1" ht="15.75" customHeight="1" x14ac:dyDescent="0.55000000000000004"/>
    <row r="243" s="50" customFormat="1" ht="15.75" customHeight="1" x14ac:dyDescent="0.55000000000000004"/>
    <row r="244" s="50" customFormat="1" ht="15.75" customHeight="1" x14ac:dyDescent="0.55000000000000004"/>
    <row r="245" s="50" customFormat="1" ht="15.75" customHeight="1" x14ac:dyDescent="0.55000000000000004"/>
    <row r="246" s="50" customFormat="1" ht="15.75" customHeight="1" x14ac:dyDescent="0.55000000000000004"/>
    <row r="247" s="50" customFormat="1" ht="15.75" customHeight="1" x14ac:dyDescent="0.55000000000000004"/>
    <row r="248" s="50" customFormat="1" ht="15.75" customHeight="1" x14ac:dyDescent="0.55000000000000004"/>
    <row r="249" s="50" customFormat="1" ht="15.75" customHeight="1" x14ac:dyDescent="0.55000000000000004"/>
    <row r="250" s="50" customFormat="1" ht="15.75" customHeight="1" x14ac:dyDescent="0.55000000000000004"/>
    <row r="251" s="50" customFormat="1" ht="15.75" customHeight="1" x14ac:dyDescent="0.55000000000000004"/>
    <row r="252" s="50" customFormat="1" ht="15.75" customHeight="1" x14ac:dyDescent="0.55000000000000004"/>
    <row r="253" s="50" customFormat="1" ht="15.75" customHeight="1" x14ac:dyDescent="0.55000000000000004"/>
    <row r="254" s="50" customFormat="1" ht="15.75" customHeight="1" x14ac:dyDescent="0.55000000000000004"/>
    <row r="255" s="50" customFormat="1" ht="15.75" customHeight="1" x14ac:dyDescent="0.55000000000000004"/>
    <row r="256" s="50" customFormat="1" ht="15.75" customHeight="1" x14ac:dyDescent="0.55000000000000004"/>
    <row r="257" s="50" customFormat="1" ht="15.75" customHeight="1" x14ac:dyDescent="0.55000000000000004"/>
    <row r="258" s="50" customFormat="1" ht="15.75" customHeight="1" x14ac:dyDescent="0.55000000000000004"/>
    <row r="259" s="50" customFormat="1" ht="15.75" customHeight="1" x14ac:dyDescent="0.55000000000000004"/>
    <row r="260" s="50" customFormat="1" ht="15.75" customHeight="1" x14ac:dyDescent="0.55000000000000004"/>
    <row r="261" s="50" customFormat="1" ht="15.75" customHeight="1" x14ac:dyDescent="0.55000000000000004"/>
    <row r="262" s="50" customFormat="1" ht="15.75" customHeight="1" x14ac:dyDescent="0.55000000000000004"/>
    <row r="263" s="50" customFormat="1" ht="15.75" customHeight="1" x14ac:dyDescent="0.55000000000000004"/>
    <row r="264" s="50" customFormat="1" ht="15.75" customHeight="1" x14ac:dyDescent="0.55000000000000004"/>
    <row r="265" s="50" customFormat="1" ht="15.75" customHeight="1" x14ac:dyDescent="0.55000000000000004"/>
    <row r="266" s="50" customFormat="1" ht="15.75" customHeight="1" x14ac:dyDescent="0.55000000000000004"/>
    <row r="267" s="50" customFormat="1" ht="15.75" customHeight="1" x14ac:dyDescent="0.55000000000000004"/>
    <row r="268" s="50" customFormat="1" ht="15.75" customHeight="1" x14ac:dyDescent="0.55000000000000004"/>
    <row r="269" s="50" customFormat="1" ht="15.75" customHeight="1" x14ac:dyDescent="0.55000000000000004"/>
    <row r="270" s="50" customFormat="1" ht="15.75" customHeight="1" x14ac:dyDescent="0.55000000000000004"/>
    <row r="271" s="50" customFormat="1" ht="15.75" customHeight="1" x14ac:dyDescent="0.55000000000000004"/>
    <row r="272" s="50" customFormat="1" ht="15.75" customHeight="1" x14ac:dyDescent="0.55000000000000004"/>
    <row r="273" s="50" customFormat="1" ht="15.75" customHeight="1" x14ac:dyDescent="0.55000000000000004"/>
    <row r="274" s="50" customFormat="1" ht="15.75" customHeight="1" x14ac:dyDescent="0.55000000000000004"/>
    <row r="275" s="50" customFormat="1" ht="15.75" customHeight="1" x14ac:dyDescent="0.55000000000000004"/>
    <row r="276" s="50" customFormat="1" ht="15.75" customHeight="1" x14ac:dyDescent="0.55000000000000004"/>
    <row r="277" s="50" customFormat="1" ht="15.75" customHeight="1" x14ac:dyDescent="0.55000000000000004"/>
    <row r="278" s="50" customFormat="1" ht="15.75" customHeight="1" x14ac:dyDescent="0.55000000000000004"/>
    <row r="279" s="50" customFormat="1" ht="15.75" customHeight="1" x14ac:dyDescent="0.55000000000000004"/>
    <row r="280" s="50" customFormat="1" ht="15.75" customHeight="1" x14ac:dyDescent="0.55000000000000004"/>
    <row r="281" s="50" customFormat="1" ht="15.75" customHeight="1" x14ac:dyDescent="0.55000000000000004"/>
    <row r="282" s="50" customFormat="1" ht="15.75" customHeight="1" x14ac:dyDescent="0.55000000000000004"/>
    <row r="283" s="50" customFormat="1" ht="15.75" customHeight="1" x14ac:dyDescent="0.55000000000000004"/>
    <row r="284" s="50" customFormat="1" ht="15.75" customHeight="1" x14ac:dyDescent="0.55000000000000004"/>
    <row r="285" s="50" customFormat="1" ht="15.75" customHeight="1" x14ac:dyDescent="0.55000000000000004"/>
    <row r="286" s="50" customFormat="1" ht="15.75" customHeight="1" x14ac:dyDescent="0.55000000000000004"/>
    <row r="287" s="50" customFormat="1" ht="15.75" customHeight="1" x14ac:dyDescent="0.55000000000000004"/>
    <row r="288" s="50" customFormat="1" ht="15.75" customHeight="1" x14ac:dyDescent="0.55000000000000004"/>
    <row r="289" s="50" customFormat="1" ht="15.75" customHeight="1" x14ac:dyDescent="0.55000000000000004"/>
    <row r="290" s="50" customFormat="1" ht="15.75" customHeight="1" x14ac:dyDescent="0.55000000000000004"/>
    <row r="291" s="50" customFormat="1" ht="15.75" customHeight="1" x14ac:dyDescent="0.55000000000000004"/>
    <row r="292" s="50" customFormat="1" ht="15.75" customHeight="1" x14ac:dyDescent="0.55000000000000004"/>
    <row r="293" s="50" customFormat="1" ht="15.75" customHeight="1" x14ac:dyDescent="0.55000000000000004"/>
    <row r="294" s="50" customFormat="1" ht="15.75" customHeight="1" x14ac:dyDescent="0.55000000000000004"/>
    <row r="295" s="50" customFormat="1" ht="15.75" customHeight="1" x14ac:dyDescent="0.55000000000000004"/>
    <row r="296" s="50" customFormat="1" ht="15.75" customHeight="1" x14ac:dyDescent="0.55000000000000004"/>
    <row r="297" s="50" customFormat="1" ht="15.75" customHeight="1" x14ac:dyDescent="0.55000000000000004"/>
    <row r="298" s="50" customFormat="1" ht="15.75" customHeight="1" x14ac:dyDescent="0.55000000000000004"/>
    <row r="299" s="50" customFormat="1" ht="15.75" customHeight="1" x14ac:dyDescent="0.55000000000000004"/>
    <row r="300" s="50" customFormat="1" ht="15.75" customHeight="1" x14ac:dyDescent="0.55000000000000004"/>
    <row r="301" s="50" customFormat="1" ht="15.75" customHeight="1" x14ac:dyDescent="0.55000000000000004"/>
    <row r="302" s="50" customFormat="1" ht="15.75" customHeight="1" x14ac:dyDescent="0.55000000000000004"/>
    <row r="303" s="50" customFormat="1" ht="15.75" customHeight="1" x14ac:dyDescent="0.55000000000000004"/>
    <row r="304" s="50" customFormat="1" ht="15.75" customHeight="1" x14ac:dyDescent="0.55000000000000004"/>
    <row r="305" s="50" customFormat="1" ht="15.75" customHeight="1" x14ac:dyDescent="0.55000000000000004"/>
    <row r="306" s="50" customFormat="1" ht="15.75" customHeight="1" x14ac:dyDescent="0.55000000000000004"/>
    <row r="307" s="50" customFormat="1" ht="15.75" customHeight="1" x14ac:dyDescent="0.55000000000000004"/>
    <row r="308" s="50" customFormat="1" ht="15.75" customHeight="1" x14ac:dyDescent="0.55000000000000004"/>
    <row r="309" s="50" customFormat="1" ht="15.75" customHeight="1" x14ac:dyDescent="0.55000000000000004"/>
    <row r="310" s="50" customFormat="1" ht="15.75" customHeight="1" x14ac:dyDescent="0.55000000000000004"/>
    <row r="311" s="50" customFormat="1" ht="15.75" customHeight="1" x14ac:dyDescent="0.55000000000000004"/>
    <row r="312" s="50" customFormat="1" ht="15.75" customHeight="1" x14ac:dyDescent="0.55000000000000004"/>
    <row r="313" s="50" customFormat="1" ht="15.75" customHeight="1" x14ac:dyDescent="0.55000000000000004"/>
    <row r="314" s="50" customFormat="1" ht="15.75" customHeight="1" x14ac:dyDescent="0.55000000000000004"/>
    <row r="315" s="50" customFormat="1" ht="15.75" customHeight="1" x14ac:dyDescent="0.55000000000000004"/>
    <row r="316" s="50" customFormat="1" ht="15.75" customHeight="1" x14ac:dyDescent="0.55000000000000004"/>
    <row r="317" s="50" customFormat="1" ht="15.75" customHeight="1" x14ac:dyDescent="0.55000000000000004"/>
    <row r="318" s="50" customFormat="1" ht="15.75" customHeight="1" x14ac:dyDescent="0.55000000000000004"/>
    <row r="319" s="50" customFormat="1" ht="15.75" customHeight="1" x14ac:dyDescent="0.55000000000000004"/>
    <row r="320" s="50" customFormat="1" ht="15.75" customHeight="1" x14ac:dyDescent="0.55000000000000004"/>
    <row r="321" s="50" customFormat="1" ht="15.75" customHeight="1" x14ac:dyDescent="0.55000000000000004"/>
    <row r="322" s="50" customFormat="1" ht="15.75" customHeight="1" x14ac:dyDescent="0.55000000000000004"/>
    <row r="323" s="50" customFormat="1" ht="15.75" customHeight="1" x14ac:dyDescent="0.55000000000000004"/>
    <row r="324" s="50" customFormat="1" ht="15.75" customHeight="1" x14ac:dyDescent="0.55000000000000004"/>
    <row r="325" s="50" customFormat="1" ht="15.75" customHeight="1" x14ac:dyDescent="0.55000000000000004"/>
    <row r="326" s="50" customFormat="1" ht="15.75" customHeight="1" x14ac:dyDescent="0.55000000000000004"/>
    <row r="327" s="50" customFormat="1" ht="15.75" customHeight="1" x14ac:dyDescent="0.55000000000000004"/>
    <row r="328" s="50" customFormat="1" ht="15.75" customHeight="1" x14ac:dyDescent="0.55000000000000004"/>
    <row r="329" s="50" customFormat="1" ht="15.75" customHeight="1" x14ac:dyDescent="0.55000000000000004"/>
    <row r="330" s="50" customFormat="1" ht="15.75" customHeight="1" x14ac:dyDescent="0.55000000000000004"/>
    <row r="331" s="50" customFormat="1" ht="15.75" customHeight="1" x14ac:dyDescent="0.55000000000000004"/>
    <row r="332" s="50" customFormat="1" ht="15.75" customHeight="1" x14ac:dyDescent="0.55000000000000004"/>
    <row r="333" s="50" customFormat="1" ht="15.75" customHeight="1" x14ac:dyDescent="0.55000000000000004"/>
    <row r="334" s="50" customFormat="1" ht="15.75" customHeight="1" x14ac:dyDescent="0.55000000000000004"/>
    <row r="335" s="50" customFormat="1" ht="15.75" customHeight="1" x14ac:dyDescent="0.55000000000000004"/>
    <row r="336" s="50" customFormat="1" ht="15.75" customHeight="1" x14ac:dyDescent="0.55000000000000004"/>
    <row r="337" s="50" customFormat="1" ht="15.75" customHeight="1" x14ac:dyDescent="0.55000000000000004"/>
    <row r="338" s="50" customFormat="1" ht="15.75" customHeight="1" x14ac:dyDescent="0.55000000000000004"/>
    <row r="339" s="50" customFormat="1" ht="15.75" customHeight="1" x14ac:dyDescent="0.55000000000000004"/>
    <row r="340" s="50" customFormat="1" ht="15.75" customHeight="1" x14ac:dyDescent="0.55000000000000004"/>
    <row r="341" s="50" customFormat="1" ht="15.75" customHeight="1" x14ac:dyDescent="0.55000000000000004"/>
    <row r="342" s="50" customFormat="1" ht="15.75" customHeight="1" x14ac:dyDescent="0.55000000000000004"/>
    <row r="343" s="50" customFormat="1" ht="15.75" customHeight="1" x14ac:dyDescent="0.55000000000000004"/>
    <row r="344" s="50" customFormat="1" ht="15.75" customHeight="1" x14ac:dyDescent="0.55000000000000004"/>
    <row r="345" s="50" customFormat="1" ht="15.75" customHeight="1" x14ac:dyDescent="0.55000000000000004"/>
    <row r="346" s="50" customFormat="1" ht="15.75" customHeight="1" x14ac:dyDescent="0.55000000000000004"/>
    <row r="347" s="50" customFormat="1" ht="15.75" customHeight="1" x14ac:dyDescent="0.55000000000000004"/>
    <row r="348" s="50" customFormat="1" ht="15.75" customHeight="1" x14ac:dyDescent="0.55000000000000004"/>
    <row r="349" s="50" customFormat="1" ht="15.75" customHeight="1" x14ac:dyDescent="0.55000000000000004"/>
    <row r="350" s="50" customFormat="1" ht="15.75" customHeight="1" x14ac:dyDescent="0.55000000000000004"/>
    <row r="351" s="50" customFormat="1" ht="15.75" customHeight="1" x14ac:dyDescent="0.55000000000000004"/>
    <row r="352" s="50" customFormat="1" ht="15.75" customHeight="1" x14ac:dyDescent="0.55000000000000004"/>
    <row r="353" s="50" customFormat="1" ht="15.75" customHeight="1" x14ac:dyDescent="0.55000000000000004"/>
    <row r="354" s="50" customFormat="1" ht="15.75" customHeight="1" x14ac:dyDescent="0.55000000000000004"/>
    <row r="355" s="50" customFormat="1" ht="15.75" customHeight="1" x14ac:dyDescent="0.55000000000000004"/>
    <row r="356" s="50" customFormat="1" ht="15.75" customHeight="1" x14ac:dyDescent="0.55000000000000004"/>
    <row r="357" s="50" customFormat="1" ht="15.75" customHeight="1" x14ac:dyDescent="0.55000000000000004"/>
    <row r="358" s="50" customFormat="1" ht="15.75" customHeight="1" x14ac:dyDescent="0.55000000000000004"/>
    <row r="359" s="50" customFormat="1" ht="15.75" customHeight="1" x14ac:dyDescent="0.55000000000000004"/>
    <row r="360" s="50" customFormat="1" ht="15.75" customHeight="1" x14ac:dyDescent="0.55000000000000004"/>
    <row r="361" s="50" customFormat="1" ht="15.75" customHeight="1" x14ac:dyDescent="0.55000000000000004"/>
    <row r="362" s="50" customFormat="1" ht="15.75" customHeight="1" x14ac:dyDescent="0.55000000000000004"/>
    <row r="363" s="50" customFormat="1" ht="15.75" customHeight="1" x14ac:dyDescent="0.55000000000000004"/>
    <row r="364" s="50" customFormat="1" ht="15.75" customHeight="1" x14ac:dyDescent="0.55000000000000004"/>
    <row r="365" s="50" customFormat="1" ht="15.75" customHeight="1" x14ac:dyDescent="0.55000000000000004"/>
    <row r="366" s="50" customFormat="1" ht="15.75" customHeight="1" x14ac:dyDescent="0.55000000000000004"/>
    <row r="367" s="50" customFormat="1" ht="15.75" customHeight="1" x14ac:dyDescent="0.55000000000000004"/>
    <row r="368" s="50" customFormat="1" ht="15.75" customHeight="1" x14ac:dyDescent="0.55000000000000004"/>
    <row r="369" s="50" customFormat="1" ht="15.75" customHeight="1" x14ac:dyDescent="0.55000000000000004"/>
    <row r="370" s="50" customFormat="1" ht="15.75" customHeight="1" x14ac:dyDescent="0.55000000000000004"/>
    <row r="371" s="50" customFormat="1" ht="15.75" customHeight="1" x14ac:dyDescent="0.55000000000000004"/>
    <row r="372" s="50" customFormat="1" ht="15.75" customHeight="1" x14ac:dyDescent="0.55000000000000004"/>
    <row r="373" s="50" customFormat="1" ht="15.75" customHeight="1" x14ac:dyDescent="0.55000000000000004"/>
    <row r="374" s="50" customFormat="1" ht="15.75" customHeight="1" x14ac:dyDescent="0.55000000000000004"/>
    <row r="375" s="50" customFormat="1" ht="15.75" customHeight="1" x14ac:dyDescent="0.55000000000000004"/>
    <row r="376" s="50" customFormat="1" ht="15.75" customHeight="1" x14ac:dyDescent="0.55000000000000004"/>
    <row r="377" s="50" customFormat="1" ht="15.75" customHeight="1" x14ac:dyDescent="0.55000000000000004"/>
    <row r="378" s="50" customFormat="1" ht="15.75" customHeight="1" x14ac:dyDescent="0.55000000000000004"/>
    <row r="379" s="50" customFormat="1" ht="15.75" customHeight="1" x14ac:dyDescent="0.55000000000000004"/>
    <row r="380" s="50" customFormat="1" ht="15.75" customHeight="1" x14ac:dyDescent="0.55000000000000004"/>
    <row r="381" s="50" customFormat="1" ht="15.75" customHeight="1" x14ac:dyDescent="0.55000000000000004"/>
    <row r="382" s="50" customFormat="1" ht="15.75" customHeight="1" x14ac:dyDescent="0.55000000000000004"/>
    <row r="383" s="50" customFormat="1" ht="15.75" customHeight="1" x14ac:dyDescent="0.55000000000000004"/>
    <row r="384" s="50" customFormat="1" ht="15.75" customHeight="1" x14ac:dyDescent="0.55000000000000004"/>
    <row r="385" s="50" customFormat="1" ht="15.75" customHeight="1" x14ac:dyDescent="0.55000000000000004"/>
    <row r="386" s="50" customFormat="1" ht="15.75" customHeight="1" x14ac:dyDescent="0.55000000000000004"/>
    <row r="387" s="50" customFormat="1" ht="15.75" customHeight="1" x14ac:dyDescent="0.55000000000000004"/>
    <row r="388" s="50" customFormat="1" ht="15.75" customHeight="1" x14ac:dyDescent="0.55000000000000004"/>
    <row r="389" s="50" customFormat="1" ht="15.75" customHeight="1" x14ac:dyDescent="0.55000000000000004"/>
    <row r="390" s="50" customFormat="1" ht="15.75" customHeight="1" x14ac:dyDescent="0.55000000000000004"/>
    <row r="391" s="50" customFormat="1" ht="15.75" customHeight="1" x14ac:dyDescent="0.55000000000000004"/>
    <row r="392" s="50" customFormat="1" ht="15.75" customHeight="1" x14ac:dyDescent="0.55000000000000004"/>
    <row r="393" s="50" customFormat="1" ht="15.75" customHeight="1" x14ac:dyDescent="0.55000000000000004"/>
    <row r="394" s="50" customFormat="1" ht="15.75" customHeight="1" x14ac:dyDescent="0.55000000000000004"/>
    <row r="395" s="50" customFormat="1" ht="15.75" customHeight="1" x14ac:dyDescent="0.55000000000000004"/>
    <row r="396" s="50" customFormat="1" ht="15.75" customHeight="1" x14ac:dyDescent="0.55000000000000004"/>
    <row r="397" s="50" customFormat="1" ht="15.75" customHeight="1" x14ac:dyDescent="0.55000000000000004"/>
    <row r="398" s="50" customFormat="1" ht="15.75" customHeight="1" x14ac:dyDescent="0.55000000000000004"/>
    <row r="399" s="50" customFormat="1" ht="15.75" customHeight="1" x14ac:dyDescent="0.55000000000000004"/>
    <row r="400" s="50" customFormat="1" ht="15.75" customHeight="1" x14ac:dyDescent="0.55000000000000004"/>
    <row r="401" s="50" customFormat="1" ht="15.75" customHeight="1" x14ac:dyDescent="0.55000000000000004"/>
    <row r="402" s="50" customFormat="1" ht="15.75" customHeight="1" x14ac:dyDescent="0.55000000000000004"/>
    <row r="403" s="50" customFormat="1" ht="15.75" customHeight="1" x14ac:dyDescent="0.55000000000000004"/>
    <row r="404" s="50" customFormat="1" ht="15.75" customHeight="1" x14ac:dyDescent="0.55000000000000004"/>
    <row r="405" s="50" customFormat="1" ht="15.75" customHeight="1" x14ac:dyDescent="0.55000000000000004"/>
    <row r="406" s="50" customFormat="1" ht="15.75" customHeight="1" x14ac:dyDescent="0.55000000000000004"/>
    <row r="407" s="50" customFormat="1" ht="15.75" customHeight="1" x14ac:dyDescent="0.55000000000000004"/>
    <row r="408" s="50" customFormat="1" ht="15.75" customHeight="1" x14ac:dyDescent="0.55000000000000004"/>
    <row r="409" s="50" customFormat="1" ht="15.75" customHeight="1" x14ac:dyDescent="0.55000000000000004"/>
    <row r="410" s="50" customFormat="1" ht="15.75" customHeight="1" x14ac:dyDescent="0.55000000000000004"/>
    <row r="411" s="50" customFormat="1" ht="15.75" customHeight="1" x14ac:dyDescent="0.55000000000000004"/>
    <row r="412" s="50" customFormat="1" ht="15.75" customHeight="1" x14ac:dyDescent="0.55000000000000004"/>
    <row r="413" s="50" customFormat="1" ht="15.75" customHeight="1" x14ac:dyDescent="0.55000000000000004"/>
    <row r="414" s="50" customFormat="1" ht="15.75" customHeight="1" x14ac:dyDescent="0.55000000000000004"/>
    <row r="415" s="50" customFormat="1" ht="15.75" customHeight="1" x14ac:dyDescent="0.55000000000000004"/>
    <row r="416" s="50" customFormat="1" ht="15.75" customHeight="1" x14ac:dyDescent="0.55000000000000004"/>
    <row r="417" s="50" customFormat="1" ht="15.75" customHeight="1" x14ac:dyDescent="0.55000000000000004"/>
    <row r="418" s="50" customFormat="1" ht="15.75" customHeight="1" x14ac:dyDescent="0.55000000000000004"/>
    <row r="419" s="50" customFormat="1" ht="15.75" customHeight="1" x14ac:dyDescent="0.55000000000000004"/>
    <row r="420" s="50" customFormat="1" ht="15.75" customHeight="1" x14ac:dyDescent="0.55000000000000004"/>
    <row r="421" s="50" customFormat="1" ht="15.75" customHeight="1" x14ac:dyDescent="0.55000000000000004"/>
    <row r="422" s="50" customFormat="1" ht="15.75" customHeight="1" x14ac:dyDescent="0.55000000000000004"/>
    <row r="423" s="50" customFormat="1" ht="15.75" customHeight="1" x14ac:dyDescent="0.55000000000000004"/>
    <row r="424" s="50" customFormat="1" ht="15.75" customHeight="1" x14ac:dyDescent="0.55000000000000004"/>
    <row r="425" s="50" customFormat="1" ht="15.75" customHeight="1" x14ac:dyDescent="0.55000000000000004"/>
    <row r="426" s="50" customFormat="1" ht="15.75" customHeight="1" x14ac:dyDescent="0.55000000000000004"/>
    <row r="427" s="50" customFormat="1" ht="15.75" customHeight="1" x14ac:dyDescent="0.55000000000000004"/>
    <row r="428" s="50" customFormat="1" ht="15.75" customHeight="1" x14ac:dyDescent="0.55000000000000004"/>
    <row r="429" s="50" customFormat="1" ht="15.75" customHeight="1" x14ac:dyDescent="0.55000000000000004"/>
    <row r="430" s="50" customFormat="1" ht="15.75" customHeight="1" x14ac:dyDescent="0.55000000000000004"/>
    <row r="431" s="50" customFormat="1" ht="15.75" customHeight="1" x14ac:dyDescent="0.55000000000000004"/>
    <row r="432" s="50" customFormat="1" ht="15.75" customHeight="1" x14ac:dyDescent="0.55000000000000004"/>
    <row r="433" s="50" customFormat="1" ht="15.75" customHeight="1" x14ac:dyDescent="0.55000000000000004"/>
    <row r="434" s="50" customFormat="1" ht="15.75" customHeight="1" x14ac:dyDescent="0.55000000000000004"/>
    <row r="435" s="50" customFormat="1" ht="15.75" customHeight="1" x14ac:dyDescent="0.55000000000000004"/>
    <row r="436" s="50" customFormat="1" ht="15.75" customHeight="1" x14ac:dyDescent="0.55000000000000004"/>
    <row r="437" s="50" customFormat="1" ht="15.75" customHeight="1" x14ac:dyDescent="0.55000000000000004"/>
    <row r="438" s="50" customFormat="1" ht="15.75" customHeight="1" x14ac:dyDescent="0.55000000000000004"/>
    <row r="439" s="50" customFormat="1" ht="15.75" customHeight="1" x14ac:dyDescent="0.55000000000000004"/>
    <row r="440" s="50" customFormat="1" ht="15.75" customHeight="1" x14ac:dyDescent="0.55000000000000004"/>
    <row r="441" s="50" customFormat="1" ht="15.75" customHeight="1" x14ac:dyDescent="0.55000000000000004"/>
    <row r="442" s="50" customFormat="1" ht="15.75" customHeight="1" x14ac:dyDescent="0.55000000000000004"/>
    <row r="443" s="50" customFormat="1" ht="15.75" customHeight="1" x14ac:dyDescent="0.55000000000000004"/>
    <row r="444" s="50" customFormat="1" ht="15.75" customHeight="1" x14ac:dyDescent="0.55000000000000004"/>
    <row r="445" s="50" customFormat="1" ht="15.75" customHeight="1" x14ac:dyDescent="0.55000000000000004"/>
    <row r="446" s="50" customFormat="1" ht="15.75" customHeight="1" x14ac:dyDescent="0.55000000000000004"/>
    <row r="447" s="50" customFormat="1" ht="15.75" customHeight="1" x14ac:dyDescent="0.55000000000000004"/>
    <row r="448" s="50" customFormat="1" ht="15.75" customHeight="1" x14ac:dyDescent="0.55000000000000004"/>
    <row r="449" s="50" customFormat="1" ht="15.75" customHeight="1" x14ac:dyDescent="0.55000000000000004"/>
    <row r="450" s="50" customFormat="1" ht="15.75" customHeight="1" x14ac:dyDescent="0.55000000000000004"/>
    <row r="451" s="50" customFormat="1" ht="15.75" customHeight="1" x14ac:dyDescent="0.55000000000000004"/>
    <row r="452" s="50" customFormat="1" ht="15.75" customHeight="1" x14ac:dyDescent="0.55000000000000004"/>
    <row r="453" s="50" customFormat="1" ht="15.75" customHeight="1" x14ac:dyDescent="0.55000000000000004"/>
    <row r="454" s="50" customFormat="1" ht="15.75" customHeight="1" x14ac:dyDescent="0.55000000000000004"/>
    <row r="455" s="50" customFormat="1" ht="15.75" customHeight="1" x14ac:dyDescent="0.55000000000000004"/>
    <row r="456" s="50" customFormat="1" ht="15.75" customHeight="1" x14ac:dyDescent="0.55000000000000004"/>
    <row r="457" s="50" customFormat="1" ht="15.75" customHeight="1" x14ac:dyDescent="0.55000000000000004"/>
    <row r="458" s="50" customFormat="1" ht="15.75" customHeight="1" x14ac:dyDescent="0.55000000000000004"/>
    <row r="459" s="50" customFormat="1" ht="15.75" customHeight="1" x14ac:dyDescent="0.55000000000000004"/>
    <row r="460" s="50" customFormat="1" ht="15.75" customHeight="1" x14ac:dyDescent="0.55000000000000004"/>
    <row r="461" s="50" customFormat="1" ht="15.75" customHeight="1" x14ac:dyDescent="0.55000000000000004"/>
    <row r="462" s="50" customFormat="1" ht="15.75" customHeight="1" x14ac:dyDescent="0.55000000000000004"/>
    <row r="463" s="50" customFormat="1" ht="15.75" customHeight="1" x14ac:dyDescent="0.55000000000000004"/>
    <row r="464" s="50" customFormat="1" ht="15.75" customHeight="1" x14ac:dyDescent="0.55000000000000004"/>
    <row r="465" s="50" customFormat="1" ht="15.75" customHeight="1" x14ac:dyDescent="0.55000000000000004"/>
    <row r="466" s="50" customFormat="1" ht="15.75" customHeight="1" x14ac:dyDescent="0.55000000000000004"/>
    <row r="467" s="50" customFormat="1" ht="15.75" customHeight="1" x14ac:dyDescent="0.55000000000000004"/>
    <row r="468" s="50" customFormat="1" ht="15.75" customHeight="1" x14ac:dyDescent="0.55000000000000004"/>
    <row r="469" s="50" customFormat="1" ht="15.75" customHeight="1" x14ac:dyDescent="0.55000000000000004"/>
    <row r="470" s="50" customFormat="1" ht="15.75" customHeight="1" x14ac:dyDescent="0.55000000000000004"/>
    <row r="471" s="50" customFormat="1" ht="15.75" customHeight="1" x14ac:dyDescent="0.55000000000000004"/>
    <row r="472" s="50" customFormat="1" ht="15.75" customHeight="1" x14ac:dyDescent="0.55000000000000004"/>
    <row r="473" s="50" customFormat="1" ht="15.75" customHeight="1" x14ac:dyDescent="0.55000000000000004"/>
    <row r="474" s="50" customFormat="1" ht="15.75" customHeight="1" x14ac:dyDescent="0.55000000000000004"/>
    <row r="475" s="50" customFormat="1" ht="15.75" customHeight="1" x14ac:dyDescent="0.55000000000000004"/>
    <row r="476" s="50" customFormat="1" ht="15.75" customHeight="1" x14ac:dyDescent="0.55000000000000004"/>
    <row r="477" s="50" customFormat="1" ht="15.75" customHeight="1" x14ac:dyDescent="0.55000000000000004"/>
    <row r="478" s="50" customFormat="1" ht="15.75" customHeight="1" x14ac:dyDescent="0.55000000000000004"/>
    <row r="479" s="50" customFormat="1" ht="15.75" customHeight="1" x14ac:dyDescent="0.55000000000000004"/>
    <row r="480" s="50" customFormat="1" ht="15.75" customHeight="1" x14ac:dyDescent="0.55000000000000004"/>
    <row r="481" s="50" customFormat="1" ht="15.75" customHeight="1" x14ac:dyDescent="0.55000000000000004"/>
    <row r="482" s="50" customFormat="1" ht="15.75" customHeight="1" x14ac:dyDescent="0.55000000000000004"/>
    <row r="483" s="50" customFormat="1" ht="15.75" customHeight="1" x14ac:dyDescent="0.55000000000000004"/>
    <row r="484" s="50" customFormat="1" ht="15.75" customHeight="1" x14ac:dyDescent="0.55000000000000004"/>
    <row r="485" s="50" customFormat="1" ht="15.75" customHeight="1" x14ac:dyDescent="0.55000000000000004"/>
    <row r="486" s="50" customFormat="1" ht="15.75" customHeight="1" x14ac:dyDescent="0.55000000000000004"/>
    <row r="487" s="50" customFormat="1" ht="15.75" customHeight="1" x14ac:dyDescent="0.55000000000000004"/>
    <row r="488" s="50" customFormat="1" ht="15.75" customHeight="1" x14ac:dyDescent="0.55000000000000004"/>
    <row r="489" s="50" customFormat="1" ht="15.75" customHeight="1" x14ac:dyDescent="0.55000000000000004"/>
    <row r="490" s="50" customFormat="1" ht="15.75" customHeight="1" x14ac:dyDescent="0.55000000000000004"/>
    <row r="491" s="50" customFormat="1" ht="15.75" customHeight="1" x14ac:dyDescent="0.55000000000000004"/>
    <row r="492" s="50" customFormat="1" ht="15.75" customHeight="1" x14ac:dyDescent="0.55000000000000004"/>
    <row r="493" s="50" customFormat="1" ht="15.75" customHeight="1" x14ac:dyDescent="0.55000000000000004"/>
    <row r="494" s="50" customFormat="1" ht="15.75" customHeight="1" x14ac:dyDescent="0.55000000000000004"/>
    <row r="495" s="50" customFormat="1" ht="15.75" customHeight="1" x14ac:dyDescent="0.55000000000000004"/>
    <row r="496" s="50" customFormat="1" ht="15.75" customHeight="1" x14ac:dyDescent="0.55000000000000004"/>
    <row r="497" s="50" customFormat="1" ht="15.75" customHeight="1" x14ac:dyDescent="0.55000000000000004"/>
    <row r="498" s="50" customFormat="1" ht="15.75" customHeight="1" x14ac:dyDescent="0.55000000000000004"/>
    <row r="499" s="50" customFormat="1" ht="15.75" customHeight="1" x14ac:dyDescent="0.55000000000000004"/>
    <row r="500" s="50" customFormat="1" ht="15.75" customHeight="1" x14ac:dyDescent="0.55000000000000004"/>
    <row r="501" s="50" customFormat="1" ht="15.75" customHeight="1" x14ac:dyDescent="0.55000000000000004"/>
    <row r="502" s="50" customFormat="1" ht="15.75" customHeight="1" x14ac:dyDescent="0.55000000000000004"/>
    <row r="503" s="50" customFormat="1" ht="15.75" customHeight="1" x14ac:dyDescent="0.55000000000000004"/>
    <row r="504" s="50" customFormat="1" ht="15.75" customHeight="1" x14ac:dyDescent="0.55000000000000004"/>
    <row r="505" s="50" customFormat="1" ht="15.75" customHeight="1" x14ac:dyDescent="0.55000000000000004"/>
    <row r="506" s="50" customFormat="1" ht="15.75" customHeight="1" x14ac:dyDescent="0.55000000000000004"/>
    <row r="507" s="50" customFormat="1" ht="15.75" customHeight="1" x14ac:dyDescent="0.55000000000000004"/>
    <row r="508" s="50" customFormat="1" ht="15.75" customHeight="1" x14ac:dyDescent="0.55000000000000004"/>
    <row r="509" s="50" customFormat="1" ht="15.75" customHeight="1" x14ac:dyDescent="0.55000000000000004"/>
    <row r="510" s="50" customFormat="1" ht="15.75" customHeight="1" x14ac:dyDescent="0.55000000000000004"/>
    <row r="511" s="50" customFormat="1" ht="15.75" customHeight="1" x14ac:dyDescent="0.55000000000000004"/>
    <row r="512" s="50" customFormat="1" ht="15.75" customHeight="1" x14ac:dyDescent="0.55000000000000004"/>
    <row r="513" s="50" customFormat="1" ht="15.75" customHeight="1" x14ac:dyDescent="0.55000000000000004"/>
    <row r="514" s="50" customFormat="1" ht="15.75" customHeight="1" x14ac:dyDescent="0.55000000000000004"/>
    <row r="515" s="50" customFormat="1" ht="15.75" customHeight="1" x14ac:dyDescent="0.55000000000000004"/>
    <row r="516" s="50" customFormat="1" ht="15.75" customHeight="1" x14ac:dyDescent="0.55000000000000004"/>
    <row r="517" s="50" customFormat="1" ht="15.75" customHeight="1" x14ac:dyDescent="0.55000000000000004"/>
    <row r="518" s="50" customFormat="1" ht="15.75" customHeight="1" x14ac:dyDescent="0.55000000000000004"/>
    <row r="519" s="50" customFormat="1" ht="15.75" customHeight="1" x14ac:dyDescent="0.55000000000000004"/>
    <row r="520" s="50" customFormat="1" ht="15.75" customHeight="1" x14ac:dyDescent="0.55000000000000004"/>
    <row r="521" s="50" customFormat="1" ht="15.75" customHeight="1" x14ac:dyDescent="0.55000000000000004"/>
    <row r="522" s="50" customFormat="1" ht="15.75" customHeight="1" x14ac:dyDescent="0.55000000000000004"/>
    <row r="523" s="50" customFormat="1" ht="15.75" customHeight="1" x14ac:dyDescent="0.55000000000000004"/>
    <row r="524" s="50" customFormat="1" ht="15.75" customHeight="1" x14ac:dyDescent="0.55000000000000004"/>
    <row r="525" s="50" customFormat="1" ht="15.75" customHeight="1" x14ac:dyDescent="0.55000000000000004"/>
    <row r="526" s="50" customFormat="1" ht="15.75" customHeight="1" x14ac:dyDescent="0.55000000000000004"/>
    <row r="527" s="50" customFormat="1" ht="15.75" customHeight="1" x14ac:dyDescent="0.55000000000000004"/>
    <row r="528" s="50" customFormat="1" ht="15.75" customHeight="1" x14ac:dyDescent="0.55000000000000004"/>
    <row r="529" s="50" customFormat="1" ht="15.75" customHeight="1" x14ac:dyDescent="0.55000000000000004"/>
    <row r="530" s="50" customFormat="1" ht="15.75" customHeight="1" x14ac:dyDescent="0.55000000000000004"/>
    <row r="531" s="50" customFormat="1" ht="15.75" customHeight="1" x14ac:dyDescent="0.55000000000000004"/>
    <row r="532" s="50" customFormat="1" ht="15.75" customHeight="1" x14ac:dyDescent="0.55000000000000004"/>
    <row r="533" s="50" customFormat="1" ht="15.75" customHeight="1" x14ac:dyDescent="0.55000000000000004"/>
    <row r="534" s="50" customFormat="1" ht="15.75" customHeight="1" x14ac:dyDescent="0.55000000000000004"/>
    <row r="535" s="50" customFormat="1" ht="15.75" customHeight="1" x14ac:dyDescent="0.55000000000000004"/>
    <row r="536" s="50" customFormat="1" ht="15.75" customHeight="1" x14ac:dyDescent="0.55000000000000004"/>
    <row r="537" s="50" customFormat="1" ht="15.75" customHeight="1" x14ac:dyDescent="0.55000000000000004"/>
    <row r="538" s="50" customFormat="1" ht="15.75" customHeight="1" x14ac:dyDescent="0.55000000000000004"/>
    <row r="539" s="50" customFormat="1" ht="15.75" customHeight="1" x14ac:dyDescent="0.55000000000000004"/>
    <row r="540" s="50" customFormat="1" ht="15.75" customHeight="1" x14ac:dyDescent="0.55000000000000004"/>
    <row r="541" s="50" customFormat="1" ht="15.75" customHeight="1" x14ac:dyDescent="0.55000000000000004"/>
    <row r="542" s="50" customFormat="1" ht="15.75" customHeight="1" x14ac:dyDescent="0.55000000000000004"/>
    <row r="543" s="50" customFormat="1" ht="15.75" customHeight="1" x14ac:dyDescent="0.55000000000000004"/>
    <row r="544" s="50" customFormat="1" ht="15.75" customHeight="1" x14ac:dyDescent="0.55000000000000004"/>
    <row r="545" s="50" customFormat="1" ht="15.75" customHeight="1" x14ac:dyDescent="0.55000000000000004"/>
    <row r="546" s="50" customFormat="1" ht="15.75" customHeight="1" x14ac:dyDescent="0.55000000000000004"/>
    <row r="547" s="50" customFormat="1" ht="15.75" customHeight="1" x14ac:dyDescent="0.55000000000000004"/>
    <row r="548" s="50" customFormat="1" ht="15.75" customHeight="1" x14ac:dyDescent="0.55000000000000004"/>
    <row r="549" s="50" customFormat="1" ht="15.75" customHeight="1" x14ac:dyDescent="0.55000000000000004"/>
    <row r="550" s="50" customFormat="1" ht="15.75" customHeight="1" x14ac:dyDescent="0.55000000000000004"/>
    <row r="551" s="50" customFormat="1" ht="15.75" customHeight="1" x14ac:dyDescent="0.55000000000000004"/>
    <row r="552" s="50" customFormat="1" ht="15.75" customHeight="1" x14ac:dyDescent="0.55000000000000004"/>
    <row r="553" s="50" customFormat="1" ht="15.75" customHeight="1" x14ac:dyDescent="0.55000000000000004"/>
    <row r="554" s="50" customFormat="1" ht="15.75" customHeight="1" x14ac:dyDescent="0.55000000000000004"/>
    <row r="555" s="50" customFormat="1" ht="15.75" customHeight="1" x14ac:dyDescent="0.55000000000000004"/>
    <row r="556" s="50" customFormat="1" ht="15.75" customHeight="1" x14ac:dyDescent="0.55000000000000004"/>
    <row r="557" s="50" customFormat="1" ht="15.75" customHeight="1" x14ac:dyDescent="0.55000000000000004"/>
    <row r="558" s="50" customFormat="1" ht="15.75" customHeight="1" x14ac:dyDescent="0.55000000000000004"/>
    <row r="559" s="50" customFormat="1" ht="15.75" customHeight="1" x14ac:dyDescent="0.55000000000000004"/>
    <row r="560" s="50" customFormat="1" ht="15.75" customHeight="1" x14ac:dyDescent="0.55000000000000004"/>
    <row r="561" s="50" customFormat="1" ht="15.75" customHeight="1" x14ac:dyDescent="0.55000000000000004"/>
    <row r="562" s="50" customFormat="1" ht="15.75" customHeight="1" x14ac:dyDescent="0.55000000000000004"/>
    <row r="563" s="50" customFormat="1" ht="15.75" customHeight="1" x14ac:dyDescent="0.55000000000000004"/>
    <row r="564" s="50" customFormat="1" ht="15.75" customHeight="1" x14ac:dyDescent="0.55000000000000004"/>
    <row r="565" s="50" customFormat="1" ht="15.75" customHeight="1" x14ac:dyDescent="0.55000000000000004"/>
    <row r="566" s="50" customFormat="1" ht="15.75" customHeight="1" x14ac:dyDescent="0.55000000000000004"/>
    <row r="567" s="50" customFormat="1" ht="15.75" customHeight="1" x14ac:dyDescent="0.55000000000000004"/>
    <row r="568" s="50" customFormat="1" ht="15.75" customHeight="1" x14ac:dyDescent="0.55000000000000004"/>
    <row r="569" s="50" customFormat="1" ht="15.75" customHeight="1" x14ac:dyDescent="0.55000000000000004"/>
    <row r="570" s="50" customFormat="1" ht="15.75" customHeight="1" x14ac:dyDescent="0.55000000000000004"/>
    <row r="571" s="50" customFormat="1" ht="15.75" customHeight="1" x14ac:dyDescent="0.55000000000000004"/>
    <row r="572" s="50" customFormat="1" ht="15.75" customHeight="1" x14ac:dyDescent="0.55000000000000004"/>
    <row r="573" s="50" customFormat="1" ht="15.75" customHeight="1" x14ac:dyDescent="0.55000000000000004"/>
    <row r="574" s="50" customFormat="1" ht="15.75" customHeight="1" x14ac:dyDescent="0.55000000000000004"/>
    <row r="575" s="50" customFormat="1" ht="15.75" customHeight="1" x14ac:dyDescent="0.55000000000000004"/>
    <row r="576" s="50" customFormat="1" ht="15.75" customHeight="1" x14ac:dyDescent="0.55000000000000004"/>
    <row r="577" s="50" customFormat="1" ht="15.75" customHeight="1" x14ac:dyDescent="0.55000000000000004"/>
    <row r="578" s="50" customFormat="1" ht="15.75" customHeight="1" x14ac:dyDescent="0.55000000000000004"/>
    <row r="579" s="50" customFormat="1" ht="15.75" customHeight="1" x14ac:dyDescent="0.55000000000000004"/>
    <row r="580" s="50" customFormat="1" ht="15.75" customHeight="1" x14ac:dyDescent="0.55000000000000004"/>
    <row r="581" s="50" customFormat="1" ht="15.75" customHeight="1" x14ac:dyDescent="0.55000000000000004"/>
    <row r="582" s="50" customFormat="1" ht="15.75" customHeight="1" x14ac:dyDescent="0.55000000000000004"/>
    <row r="583" s="50" customFormat="1" ht="15.75" customHeight="1" x14ac:dyDescent="0.55000000000000004"/>
    <row r="584" s="50" customFormat="1" ht="15.75" customHeight="1" x14ac:dyDescent="0.55000000000000004"/>
    <row r="585" s="50" customFormat="1" ht="15.75" customHeight="1" x14ac:dyDescent="0.55000000000000004"/>
    <row r="586" s="50" customFormat="1" ht="15.75" customHeight="1" x14ac:dyDescent="0.55000000000000004"/>
    <row r="587" s="50" customFormat="1" ht="15.75" customHeight="1" x14ac:dyDescent="0.55000000000000004"/>
    <row r="588" s="50" customFormat="1" ht="15.75" customHeight="1" x14ac:dyDescent="0.55000000000000004"/>
    <row r="589" s="50" customFormat="1" ht="15.75" customHeight="1" x14ac:dyDescent="0.55000000000000004"/>
    <row r="590" s="50" customFormat="1" ht="15.75" customHeight="1" x14ac:dyDescent="0.55000000000000004"/>
    <row r="591" s="50" customFormat="1" ht="15.75" customHeight="1" x14ac:dyDescent="0.55000000000000004"/>
    <row r="592" s="50" customFormat="1" ht="15.75" customHeight="1" x14ac:dyDescent="0.55000000000000004"/>
    <row r="593" s="50" customFormat="1" ht="15.75" customHeight="1" x14ac:dyDescent="0.55000000000000004"/>
    <row r="594" s="50" customFormat="1" ht="15.75" customHeight="1" x14ac:dyDescent="0.55000000000000004"/>
    <row r="595" s="50" customFormat="1" ht="15.75" customHeight="1" x14ac:dyDescent="0.55000000000000004"/>
    <row r="596" s="50" customFormat="1" ht="15.75" customHeight="1" x14ac:dyDescent="0.55000000000000004"/>
    <row r="597" s="50" customFormat="1" ht="15.75" customHeight="1" x14ac:dyDescent="0.55000000000000004"/>
    <row r="598" s="50" customFormat="1" ht="15.75" customHeight="1" x14ac:dyDescent="0.55000000000000004"/>
    <row r="599" s="50" customFormat="1" ht="15.75" customHeight="1" x14ac:dyDescent="0.55000000000000004"/>
    <row r="600" s="50" customFormat="1" ht="15.75" customHeight="1" x14ac:dyDescent="0.55000000000000004"/>
    <row r="601" s="50" customFormat="1" ht="15.75" customHeight="1" x14ac:dyDescent="0.55000000000000004"/>
    <row r="602" s="50" customFormat="1" ht="15.75" customHeight="1" x14ac:dyDescent="0.55000000000000004"/>
    <row r="603" s="50" customFormat="1" ht="15.75" customHeight="1" x14ac:dyDescent="0.55000000000000004"/>
    <row r="604" s="50" customFormat="1" ht="15.75" customHeight="1" x14ac:dyDescent="0.55000000000000004"/>
    <row r="605" s="50" customFormat="1" ht="15.75" customHeight="1" x14ac:dyDescent="0.55000000000000004"/>
    <row r="606" s="50" customFormat="1" ht="15.75" customHeight="1" x14ac:dyDescent="0.55000000000000004"/>
    <row r="607" s="50" customFormat="1" ht="15.75" customHeight="1" x14ac:dyDescent="0.55000000000000004"/>
    <row r="608" s="50" customFormat="1" ht="15.75" customHeight="1" x14ac:dyDescent="0.55000000000000004"/>
    <row r="609" s="50" customFormat="1" ht="15.75" customHeight="1" x14ac:dyDescent="0.55000000000000004"/>
    <row r="610" s="50" customFormat="1" ht="15.75" customHeight="1" x14ac:dyDescent="0.55000000000000004"/>
    <row r="611" s="50" customFormat="1" ht="15.75" customHeight="1" x14ac:dyDescent="0.55000000000000004"/>
    <row r="612" s="50" customFormat="1" ht="15.75" customHeight="1" x14ac:dyDescent="0.55000000000000004"/>
    <row r="613" s="50" customFormat="1" ht="15.75" customHeight="1" x14ac:dyDescent="0.55000000000000004"/>
    <row r="614" s="50" customFormat="1" ht="15.75" customHeight="1" x14ac:dyDescent="0.55000000000000004"/>
    <row r="615" s="50" customFormat="1" ht="15.75" customHeight="1" x14ac:dyDescent="0.55000000000000004"/>
    <row r="616" s="50" customFormat="1" ht="15.75" customHeight="1" x14ac:dyDescent="0.55000000000000004"/>
    <row r="617" s="50" customFormat="1" ht="15.75" customHeight="1" x14ac:dyDescent="0.55000000000000004"/>
    <row r="618" s="50" customFormat="1" ht="15.75" customHeight="1" x14ac:dyDescent="0.55000000000000004"/>
    <row r="619" s="50" customFormat="1" ht="15.75" customHeight="1" x14ac:dyDescent="0.55000000000000004"/>
    <row r="620" s="50" customFormat="1" ht="15.75" customHeight="1" x14ac:dyDescent="0.55000000000000004"/>
    <row r="621" s="50" customFormat="1" ht="15.75" customHeight="1" x14ac:dyDescent="0.55000000000000004"/>
    <row r="622" s="50" customFormat="1" ht="15.75" customHeight="1" x14ac:dyDescent="0.55000000000000004"/>
    <row r="623" s="50" customFormat="1" ht="15.75" customHeight="1" x14ac:dyDescent="0.55000000000000004"/>
    <row r="624" s="50" customFormat="1" ht="15.75" customHeight="1" x14ac:dyDescent="0.55000000000000004"/>
    <row r="625" s="50" customFormat="1" ht="15.75" customHeight="1" x14ac:dyDescent="0.55000000000000004"/>
    <row r="626" s="50" customFormat="1" ht="15.75" customHeight="1" x14ac:dyDescent="0.55000000000000004"/>
    <row r="627" s="50" customFormat="1" ht="15.75" customHeight="1" x14ac:dyDescent="0.55000000000000004"/>
    <row r="628" s="50" customFormat="1" ht="15.75" customHeight="1" x14ac:dyDescent="0.55000000000000004"/>
    <row r="629" s="50" customFormat="1" ht="15.75" customHeight="1" x14ac:dyDescent="0.55000000000000004"/>
    <row r="630" s="50" customFormat="1" ht="15.75" customHeight="1" x14ac:dyDescent="0.55000000000000004"/>
    <row r="631" s="50" customFormat="1" ht="15.75" customHeight="1" x14ac:dyDescent="0.55000000000000004"/>
    <row r="632" s="50" customFormat="1" ht="15.75" customHeight="1" x14ac:dyDescent="0.55000000000000004"/>
    <row r="633" s="50" customFormat="1" ht="15.75" customHeight="1" x14ac:dyDescent="0.55000000000000004"/>
    <row r="634" s="50" customFormat="1" ht="15.75" customHeight="1" x14ac:dyDescent="0.55000000000000004"/>
    <row r="635" s="50" customFormat="1" ht="15.75" customHeight="1" x14ac:dyDescent="0.55000000000000004"/>
    <row r="636" s="50" customFormat="1" ht="15.75" customHeight="1" x14ac:dyDescent="0.55000000000000004"/>
    <row r="637" s="50" customFormat="1" ht="15.75" customHeight="1" x14ac:dyDescent="0.55000000000000004"/>
    <row r="638" s="50" customFormat="1" ht="15.75" customHeight="1" x14ac:dyDescent="0.55000000000000004"/>
    <row r="639" s="50" customFormat="1" ht="15.75" customHeight="1" x14ac:dyDescent="0.55000000000000004"/>
    <row r="640" s="50" customFormat="1" ht="15.75" customHeight="1" x14ac:dyDescent="0.55000000000000004"/>
    <row r="641" s="50" customFormat="1" ht="15.75" customHeight="1" x14ac:dyDescent="0.55000000000000004"/>
    <row r="642" s="50" customFormat="1" ht="15.75" customHeight="1" x14ac:dyDescent="0.55000000000000004"/>
    <row r="643" s="50" customFormat="1" ht="15.75" customHeight="1" x14ac:dyDescent="0.55000000000000004"/>
    <row r="644" s="50" customFormat="1" ht="15.75" customHeight="1" x14ac:dyDescent="0.55000000000000004"/>
    <row r="645" s="50" customFormat="1" ht="15.75" customHeight="1" x14ac:dyDescent="0.55000000000000004"/>
    <row r="646" s="50" customFormat="1" ht="15.75" customHeight="1" x14ac:dyDescent="0.55000000000000004"/>
    <row r="647" s="50" customFormat="1" ht="15.75" customHeight="1" x14ac:dyDescent="0.55000000000000004"/>
    <row r="648" s="50" customFormat="1" ht="15.75" customHeight="1" x14ac:dyDescent="0.55000000000000004"/>
    <row r="649" s="50" customFormat="1" ht="15.75" customHeight="1" x14ac:dyDescent="0.55000000000000004"/>
    <row r="650" s="50" customFormat="1" ht="15.75" customHeight="1" x14ac:dyDescent="0.55000000000000004"/>
    <row r="651" s="50" customFormat="1" ht="15.75" customHeight="1" x14ac:dyDescent="0.55000000000000004"/>
    <row r="652" s="50" customFormat="1" ht="15.75" customHeight="1" x14ac:dyDescent="0.55000000000000004"/>
    <row r="653" s="50" customFormat="1" ht="15.75" customHeight="1" x14ac:dyDescent="0.55000000000000004"/>
    <row r="654" s="50" customFormat="1" ht="15.75" customHeight="1" x14ac:dyDescent="0.55000000000000004"/>
    <row r="655" s="50" customFormat="1" ht="15.75" customHeight="1" x14ac:dyDescent="0.55000000000000004"/>
    <row r="656" s="50" customFormat="1" ht="15.75" customHeight="1" x14ac:dyDescent="0.55000000000000004"/>
    <row r="657" s="50" customFormat="1" ht="15.75" customHeight="1" x14ac:dyDescent="0.55000000000000004"/>
    <row r="658" s="50" customFormat="1" ht="15.75" customHeight="1" x14ac:dyDescent="0.55000000000000004"/>
    <row r="659" s="50" customFormat="1" ht="15.75" customHeight="1" x14ac:dyDescent="0.55000000000000004"/>
    <row r="660" s="50" customFormat="1" ht="15.75" customHeight="1" x14ac:dyDescent="0.55000000000000004"/>
    <row r="661" s="50" customFormat="1" ht="15.75" customHeight="1" x14ac:dyDescent="0.55000000000000004"/>
    <row r="662" s="50" customFormat="1" ht="15.75" customHeight="1" x14ac:dyDescent="0.55000000000000004"/>
    <row r="663" s="50" customFormat="1" ht="15.75" customHeight="1" x14ac:dyDescent="0.55000000000000004"/>
    <row r="664" s="50" customFormat="1" ht="15.75" customHeight="1" x14ac:dyDescent="0.55000000000000004"/>
    <row r="665" s="50" customFormat="1" ht="15.75" customHeight="1" x14ac:dyDescent="0.55000000000000004"/>
    <row r="666" s="50" customFormat="1" ht="15.75" customHeight="1" x14ac:dyDescent="0.55000000000000004"/>
    <row r="667" s="50" customFormat="1" ht="15.75" customHeight="1" x14ac:dyDescent="0.55000000000000004"/>
    <row r="668" s="50" customFormat="1" ht="15.75" customHeight="1" x14ac:dyDescent="0.55000000000000004"/>
    <row r="669" s="50" customFormat="1" ht="15.75" customHeight="1" x14ac:dyDescent="0.55000000000000004"/>
    <row r="670" s="50" customFormat="1" ht="15.75" customHeight="1" x14ac:dyDescent="0.55000000000000004"/>
    <row r="671" s="50" customFormat="1" ht="15.75" customHeight="1" x14ac:dyDescent="0.55000000000000004"/>
    <row r="672" s="50" customFormat="1" ht="15.75" customHeight="1" x14ac:dyDescent="0.55000000000000004"/>
    <row r="673" s="50" customFormat="1" ht="15.75" customHeight="1" x14ac:dyDescent="0.55000000000000004"/>
    <row r="674" s="50" customFormat="1" ht="15.75" customHeight="1" x14ac:dyDescent="0.55000000000000004"/>
    <row r="675" s="50" customFormat="1" ht="15.75" customHeight="1" x14ac:dyDescent="0.55000000000000004"/>
    <row r="676" s="50" customFormat="1" ht="15.75" customHeight="1" x14ac:dyDescent="0.55000000000000004"/>
    <row r="677" s="50" customFormat="1" ht="15.75" customHeight="1" x14ac:dyDescent="0.55000000000000004"/>
    <row r="678" s="50" customFormat="1" ht="15.75" customHeight="1" x14ac:dyDescent="0.55000000000000004"/>
    <row r="679" s="50" customFormat="1" ht="15.75" customHeight="1" x14ac:dyDescent="0.55000000000000004"/>
    <row r="680" s="50" customFormat="1" ht="15.75" customHeight="1" x14ac:dyDescent="0.55000000000000004"/>
    <row r="681" s="50" customFormat="1" ht="15.75" customHeight="1" x14ac:dyDescent="0.55000000000000004"/>
    <row r="682" s="50" customFormat="1" ht="15.75" customHeight="1" x14ac:dyDescent="0.55000000000000004"/>
    <row r="683" s="50" customFormat="1" ht="15.75" customHeight="1" x14ac:dyDescent="0.55000000000000004"/>
    <row r="684" s="50" customFormat="1" ht="15.75" customHeight="1" x14ac:dyDescent="0.55000000000000004"/>
    <row r="685" s="50" customFormat="1" ht="15.75" customHeight="1" x14ac:dyDescent="0.55000000000000004"/>
    <row r="686" s="50" customFormat="1" ht="15.75" customHeight="1" x14ac:dyDescent="0.55000000000000004"/>
    <row r="687" s="50" customFormat="1" ht="15.75" customHeight="1" x14ac:dyDescent="0.55000000000000004"/>
    <row r="688" s="50" customFormat="1" ht="15.75" customHeight="1" x14ac:dyDescent="0.55000000000000004"/>
    <row r="689" s="50" customFormat="1" ht="15.75" customHeight="1" x14ac:dyDescent="0.55000000000000004"/>
    <row r="690" s="50" customFormat="1" ht="15.75" customHeight="1" x14ac:dyDescent="0.55000000000000004"/>
    <row r="691" s="50" customFormat="1" ht="15.75" customHeight="1" x14ac:dyDescent="0.55000000000000004"/>
    <row r="692" s="50" customFormat="1" ht="15.75" customHeight="1" x14ac:dyDescent="0.55000000000000004"/>
    <row r="693" s="50" customFormat="1" ht="15.75" customHeight="1" x14ac:dyDescent="0.55000000000000004"/>
    <row r="694" s="50" customFormat="1" ht="15.75" customHeight="1" x14ac:dyDescent="0.55000000000000004"/>
    <row r="695" s="50" customFormat="1" ht="15.75" customHeight="1" x14ac:dyDescent="0.55000000000000004"/>
    <row r="696" s="50" customFormat="1" ht="15.75" customHeight="1" x14ac:dyDescent="0.55000000000000004"/>
    <row r="697" s="50" customFormat="1" ht="15.75" customHeight="1" x14ac:dyDescent="0.55000000000000004"/>
    <row r="698" s="50" customFormat="1" ht="15.75" customHeight="1" x14ac:dyDescent="0.55000000000000004"/>
    <row r="699" s="50" customFormat="1" ht="15.75" customHeight="1" x14ac:dyDescent="0.55000000000000004"/>
    <row r="700" s="50" customFormat="1" ht="15.75" customHeight="1" x14ac:dyDescent="0.55000000000000004"/>
    <row r="701" s="50" customFormat="1" ht="15.75" customHeight="1" x14ac:dyDescent="0.55000000000000004"/>
    <row r="702" s="50" customFormat="1" ht="15.75" customHeight="1" x14ac:dyDescent="0.55000000000000004"/>
    <row r="703" s="50" customFormat="1" ht="15.75" customHeight="1" x14ac:dyDescent="0.55000000000000004"/>
    <row r="704" s="50" customFormat="1" ht="15.75" customHeight="1" x14ac:dyDescent="0.55000000000000004"/>
    <row r="705" s="50" customFormat="1" ht="15.75" customHeight="1" x14ac:dyDescent="0.55000000000000004"/>
    <row r="706" s="50" customFormat="1" ht="15.75" customHeight="1" x14ac:dyDescent="0.55000000000000004"/>
    <row r="707" s="50" customFormat="1" ht="15.75" customHeight="1" x14ac:dyDescent="0.55000000000000004"/>
    <row r="708" s="50" customFormat="1" ht="15.75" customHeight="1" x14ac:dyDescent="0.55000000000000004"/>
    <row r="709" s="50" customFormat="1" ht="15.75" customHeight="1" x14ac:dyDescent="0.55000000000000004"/>
    <row r="710" s="50" customFormat="1" ht="15.75" customHeight="1" x14ac:dyDescent="0.55000000000000004"/>
    <row r="711" s="50" customFormat="1" ht="15.75" customHeight="1" x14ac:dyDescent="0.55000000000000004"/>
    <row r="712" s="50" customFormat="1" ht="15.75" customHeight="1" x14ac:dyDescent="0.55000000000000004"/>
    <row r="713" s="50" customFormat="1" ht="15.75" customHeight="1" x14ac:dyDescent="0.55000000000000004"/>
    <row r="714" s="50" customFormat="1" ht="15.75" customHeight="1" x14ac:dyDescent="0.55000000000000004"/>
    <row r="715" s="50" customFormat="1" ht="15.75" customHeight="1" x14ac:dyDescent="0.55000000000000004"/>
    <row r="716" s="50" customFormat="1" ht="15.75" customHeight="1" x14ac:dyDescent="0.55000000000000004"/>
    <row r="717" s="50" customFormat="1" ht="15.75" customHeight="1" x14ac:dyDescent="0.55000000000000004"/>
    <row r="718" s="50" customFormat="1" ht="15.75" customHeight="1" x14ac:dyDescent="0.55000000000000004"/>
    <row r="719" s="50" customFormat="1" ht="15.75" customHeight="1" x14ac:dyDescent="0.55000000000000004"/>
    <row r="720" s="50" customFormat="1" ht="15.75" customHeight="1" x14ac:dyDescent="0.55000000000000004"/>
    <row r="721" s="50" customFormat="1" ht="15.75" customHeight="1" x14ac:dyDescent="0.55000000000000004"/>
    <row r="722" s="50" customFormat="1" ht="15.75" customHeight="1" x14ac:dyDescent="0.55000000000000004"/>
    <row r="723" s="50" customFormat="1" ht="15.75" customHeight="1" x14ac:dyDescent="0.55000000000000004"/>
    <row r="724" s="50" customFormat="1" ht="15.75" customHeight="1" x14ac:dyDescent="0.55000000000000004"/>
    <row r="725" s="50" customFormat="1" ht="15.75" customHeight="1" x14ac:dyDescent="0.55000000000000004"/>
    <row r="726" s="50" customFormat="1" ht="15.75" customHeight="1" x14ac:dyDescent="0.55000000000000004"/>
    <row r="727" s="50" customFormat="1" ht="15.75" customHeight="1" x14ac:dyDescent="0.55000000000000004"/>
    <row r="728" s="50" customFormat="1" ht="15.75" customHeight="1" x14ac:dyDescent="0.55000000000000004"/>
    <row r="729" s="50" customFormat="1" ht="15.75" customHeight="1" x14ac:dyDescent="0.55000000000000004"/>
    <row r="730" s="50" customFormat="1" ht="15.75" customHeight="1" x14ac:dyDescent="0.55000000000000004"/>
    <row r="731" s="50" customFormat="1" ht="15.75" customHeight="1" x14ac:dyDescent="0.55000000000000004"/>
    <row r="732" s="50" customFormat="1" ht="15.75" customHeight="1" x14ac:dyDescent="0.55000000000000004"/>
    <row r="733" s="50" customFormat="1" ht="15.75" customHeight="1" x14ac:dyDescent="0.55000000000000004"/>
    <row r="734" s="50" customFormat="1" ht="15.75" customHeight="1" x14ac:dyDescent="0.55000000000000004"/>
    <row r="735" s="50" customFormat="1" ht="15.75" customHeight="1" x14ac:dyDescent="0.55000000000000004"/>
    <row r="736" s="50" customFormat="1" ht="15.75" customHeight="1" x14ac:dyDescent="0.55000000000000004"/>
    <row r="737" s="50" customFormat="1" ht="15.75" customHeight="1" x14ac:dyDescent="0.55000000000000004"/>
    <row r="738" s="50" customFormat="1" ht="15.75" customHeight="1" x14ac:dyDescent="0.55000000000000004"/>
    <row r="739" s="50" customFormat="1" ht="15.75" customHeight="1" x14ac:dyDescent="0.55000000000000004"/>
    <row r="740" s="50" customFormat="1" ht="15.75" customHeight="1" x14ac:dyDescent="0.55000000000000004"/>
    <row r="741" s="50" customFormat="1" ht="15.75" customHeight="1" x14ac:dyDescent="0.55000000000000004"/>
    <row r="742" s="50" customFormat="1" ht="15.75" customHeight="1" x14ac:dyDescent="0.55000000000000004"/>
    <row r="743" s="50" customFormat="1" ht="15.75" customHeight="1" x14ac:dyDescent="0.55000000000000004"/>
    <row r="744" s="50" customFormat="1" ht="15.75" customHeight="1" x14ac:dyDescent="0.55000000000000004"/>
    <row r="745" s="50" customFormat="1" ht="15.75" customHeight="1" x14ac:dyDescent="0.55000000000000004"/>
    <row r="746" s="50" customFormat="1" ht="15.75" customHeight="1" x14ac:dyDescent="0.55000000000000004"/>
    <row r="747" s="50" customFormat="1" ht="15.75" customHeight="1" x14ac:dyDescent="0.55000000000000004"/>
    <row r="748" s="50" customFormat="1" ht="15.75" customHeight="1" x14ac:dyDescent="0.55000000000000004"/>
    <row r="749" s="50" customFormat="1" ht="15.75" customHeight="1" x14ac:dyDescent="0.55000000000000004"/>
    <row r="750" s="50" customFormat="1" ht="15.75" customHeight="1" x14ac:dyDescent="0.55000000000000004"/>
    <row r="751" s="50" customFormat="1" ht="15.75" customHeight="1" x14ac:dyDescent="0.55000000000000004"/>
    <row r="752" s="50" customFormat="1" ht="15.75" customHeight="1" x14ac:dyDescent="0.55000000000000004"/>
    <row r="753" s="50" customFormat="1" ht="15.75" customHeight="1" x14ac:dyDescent="0.55000000000000004"/>
    <row r="754" s="50" customFormat="1" ht="15.75" customHeight="1" x14ac:dyDescent="0.55000000000000004"/>
    <row r="755" s="50" customFormat="1" ht="15.75" customHeight="1" x14ac:dyDescent="0.55000000000000004"/>
    <row r="756" s="50" customFormat="1" ht="15.75" customHeight="1" x14ac:dyDescent="0.55000000000000004"/>
    <row r="757" s="50" customFormat="1" ht="15.75" customHeight="1" x14ac:dyDescent="0.55000000000000004"/>
    <row r="758" s="50" customFormat="1" ht="15.75" customHeight="1" x14ac:dyDescent="0.55000000000000004"/>
    <row r="759" s="50" customFormat="1" ht="15.75" customHeight="1" x14ac:dyDescent="0.55000000000000004"/>
    <row r="760" s="50" customFormat="1" ht="15.75" customHeight="1" x14ac:dyDescent="0.55000000000000004"/>
    <row r="761" s="50" customFormat="1" ht="15.75" customHeight="1" x14ac:dyDescent="0.55000000000000004"/>
    <row r="762" s="50" customFormat="1" ht="15.75" customHeight="1" x14ac:dyDescent="0.55000000000000004"/>
    <row r="763" s="50" customFormat="1" ht="15.75" customHeight="1" x14ac:dyDescent="0.55000000000000004"/>
    <row r="764" s="50" customFormat="1" ht="15.75" customHeight="1" x14ac:dyDescent="0.55000000000000004"/>
    <row r="765" s="50" customFormat="1" ht="15.75" customHeight="1" x14ac:dyDescent="0.55000000000000004"/>
    <row r="766" s="50" customFormat="1" ht="15.75" customHeight="1" x14ac:dyDescent="0.55000000000000004"/>
    <row r="767" s="50" customFormat="1" ht="15.75" customHeight="1" x14ac:dyDescent="0.55000000000000004"/>
    <row r="768" s="50" customFormat="1" ht="15.75" customHeight="1" x14ac:dyDescent="0.55000000000000004"/>
    <row r="769" s="50" customFormat="1" ht="15.75" customHeight="1" x14ac:dyDescent="0.55000000000000004"/>
    <row r="770" s="50" customFormat="1" ht="15.75" customHeight="1" x14ac:dyDescent="0.55000000000000004"/>
    <row r="771" s="50" customFormat="1" ht="15.75" customHeight="1" x14ac:dyDescent="0.55000000000000004"/>
    <row r="772" s="50" customFormat="1" ht="15.75" customHeight="1" x14ac:dyDescent="0.55000000000000004"/>
    <row r="773" s="50" customFormat="1" ht="15.75" customHeight="1" x14ac:dyDescent="0.55000000000000004"/>
    <row r="774" s="50" customFormat="1" ht="15.75" customHeight="1" x14ac:dyDescent="0.55000000000000004"/>
    <row r="775" s="50" customFormat="1" ht="15.75" customHeight="1" x14ac:dyDescent="0.55000000000000004"/>
    <row r="776" s="50" customFormat="1" ht="15.75" customHeight="1" x14ac:dyDescent="0.55000000000000004"/>
    <row r="777" s="50" customFormat="1" ht="15.75" customHeight="1" x14ac:dyDescent="0.55000000000000004"/>
    <row r="778" s="50" customFormat="1" ht="15.75" customHeight="1" x14ac:dyDescent="0.55000000000000004"/>
    <row r="779" s="50" customFormat="1" ht="15.75" customHeight="1" x14ac:dyDescent="0.55000000000000004"/>
    <row r="780" s="50" customFormat="1" ht="15.75" customHeight="1" x14ac:dyDescent="0.55000000000000004"/>
    <row r="781" s="50" customFormat="1" ht="15.75" customHeight="1" x14ac:dyDescent="0.55000000000000004"/>
    <row r="782" s="50" customFormat="1" ht="15.75" customHeight="1" x14ac:dyDescent="0.55000000000000004"/>
    <row r="783" s="50" customFormat="1" ht="15.75" customHeight="1" x14ac:dyDescent="0.55000000000000004"/>
    <row r="784" s="50" customFormat="1" ht="15.75" customHeight="1" x14ac:dyDescent="0.55000000000000004"/>
    <row r="785" s="50" customFormat="1" ht="15.75" customHeight="1" x14ac:dyDescent="0.55000000000000004"/>
    <row r="786" s="50" customFormat="1" ht="15.75" customHeight="1" x14ac:dyDescent="0.55000000000000004"/>
    <row r="787" s="50" customFormat="1" ht="15.75" customHeight="1" x14ac:dyDescent="0.55000000000000004"/>
    <row r="788" s="50" customFormat="1" ht="15.75" customHeight="1" x14ac:dyDescent="0.55000000000000004"/>
    <row r="789" s="50" customFormat="1" ht="15.75" customHeight="1" x14ac:dyDescent="0.55000000000000004"/>
    <row r="790" s="50" customFormat="1" ht="15.75" customHeight="1" x14ac:dyDescent="0.55000000000000004"/>
    <row r="791" s="50" customFormat="1" ht="15.75" customHeight="1" x14ac:dyDescent="0.55000000000000004"/>
    <row r="792" s="50" customFormat="1" ht="15.75" customHeight="1" x14ac:dyDescent="0.55000000000000004"/>
    <row r="793" s="50" customFormat="1" ht="15.75" customHeight="1" x14ac:dyDescent="0.55000000000000004"/>
    <row r="794" s="50" customFormat="1" ht="15.75" customHeight="1" x14ac:dyDescent="0.55000000000000004"/>
    <row r="795" s="50" customFormat="1" ht="15.75" customHeight="1" x14ac:dyDescent="0.55000000000000004"/>
    <row r="796" s="50" customFormat="1" ht="15.75" customHeight="1" x14ac:dyDescent="0.55000000000000004"/>
    <row r="797" s="50" customFormat="1" ht="15.75" customHeight="1" x14ac:dyDescent="0.55000000000000004"/>
    <row r="798" s="50" customFormat="1" ht="15.75" customHeight="1" x14ac:dyDescent="0.55000000000000004"/>
    <row r="799" s="50" customFormat="1" ht="15.75" customHeight="1" x14ac:dyDescent="0.55000000000000004"/>
    <row r="800" s="50" customFormat="1" ht="15.75" customHeight="1" x14ac:dyDescent="0.55000000000000004"/>
    <row r="801" s="50" customFormat="1" ht="15.75" customHeight="1" x14ac:dyDescent="0.55000000000000004"/>
    <row r="802" s="50" customFormat="1" ht="15.75" customHeight="1" x14ac:dyDescent="0.55000000000000004"/>
    <row r="803" s="50" customFormat="1" ht="15.75" customHeight="1" x14ac:dyDescent="0.55000000000000004"/>
    <row r="804" s="50" customFormat="1" ht="15.75" customHeight="1" x14ac:dyDescent="0.55000000000000004"/>
    <row r="805" s="50" customFormat="1" ht="15.75" customHeight="1" x14ac:dyDescent="0.55000000000000004"/>
    <row r="806" s="50" customFormat="1" ht="15.75" customHeight="1" x14ac:dyDescent="0.55000000000000004"/>
    <row r="807" s="50" customFormat="1" ht="15.75" customHeight="1" x14ac:dyDescent="0.55000000000000004"/>
    <row r="808" s="50" customFormat="1" ht="15.75" customHeight="1" x14ac:dyDescent="0.55000000000000004"/>
    <row r="809" s="50" customFormat="1" ht="15.75" customHeight="1" x14ac:dyDescent="0.55000000000000004"/>
    <row r="810" s="50" customFormat="1" ht="15.75" customHeight="1" x14ac:dyDescent="0.55000000000000004"/>
    <row r="811" s="50" customFormat="1" ht="15.75" customHeight="1" x14ac:dyDescent="0.55000000000000004"/>
    <row r="812" s="50" customFormat="1" ht="15.75" customHeight="1" x14ac:dyDescent="0.55000000000000004"/>
    <row r="813" s="50" customFormat="1" ht="15.75" customHeight="1" x14ac:dyDescent="0.55000000000000004"/>
    <row r="814" s="50" customFormat="1" ht="15.75" customHeight="1" x14ac:dyDescent="0.55000000000000004"/>
    <row r="815" s="50" customFormat="1" ht="15.75" customHeight="1" x14ac:dyDescent="0.55000000000000004"/>
    <row r="816" s="50" customFormat="1" ht="15.75" customHeight="1" x14ac:dyDescent="0.55000000000000004"/>
    <row r="817" s="50" customFormat="1" ht="15.75" customHeight="1" x14ac:dyDescent="0.55000000000000004"/>
    <row r="818" s="50" customFormat="1" ht="15.75" customHeight="1" x14ac:dyDescent="0.55000000000000004"/>
    <row r="819" s="50" customFormat="1" ht="15.75" customHeight="1" x14ac:dyDescent="0.55000000000000004"/>
    <row r="820" s="50" customFormat="1" ht="15.75" customHeight="1" x14ac:dyDescent="0.55000000000000004"/>
    <row r="821" s="50" customFormat="1" ht="15.75" customHeight="1" x14ac:dyDescent="0.55000000000000004"/>
    <row r="822" s="50" customFormat="1" ht="15.75" customHeight="1" x14ac:dyDescent="0.55000000000000004"/>
    <row r="823" s="50" customFormat="1" ht="15.75" customHeight="1" x14ac:dyDescent="0.55000000000000004"/>
    <row r="824" s="50" customFormat="1" ht="15.75" customHeight="1" x14ac:dyDescent="0.55000000000000004"/>
    <row r="825" s="50" customFormat="1" ht="15.75" customHeight="1" x14ac:dyDescent="0.55000000000000004"/>
    <row r="826" s="50" customFormat="1" ht="15.75" customHeight="1" x14ac:dyDescent="0.55000000000000004"/>
    <row r="827" s="50" customFormat="1" ht="15.75" customHeight="1" x14ac:dyDescent="0.55000000000000004"/>
    <row r="828" s="50" customFormat="1" ht="15.75" customHeight="1" x14ac:dyDescent="0.55000000000000004"/>
    <row r="829" s="50" customFormat="1" ht="15.75" customHeight="1" x14ac:dyDescent="0.55000000000000004"/>
    <row r="830" s="50" customFormat="1" ht="15.75" customHeight="1" x14ac:dyDescent="0.55000000000000004"/>
    <row r="831" s="50" customFormat="1" ht="15.75" customHeight="1" x14ac:dyDescent="0.55000000000000004"/>
    <row r="832" s="50" customFormat="1" ht="15.75" customHeight="1" x14ac:dyDescent="0.55000000000000004"/>
    <row r="833" s="50" customFormat="1" ht="15.75" customHeight="1" x14ac:dyDescent="0.55000000000000004"/>
    <row r="834" s="50" customFormat="1" ht="15.75" customHeight="1" x14ac:dyDescent="0.55000000000000004"/>
    <row r="835" s="50" customFormat="1" ht="15.75" customHeight="1" x14ac:dyDescent="0.55000000000000004"/>
    <row r="836" s="50" customFormat="1" ht="15.75" customHeight="1" x14ac:dyDescent="0.55000000000000004"/>
    <row r="837" s="50" customFormat="1" ht="15.75" customHeight="1" x14ac:dyDescent="0.55000000000000004"/>
    <row r="838" s="50" customFormat="1" ht="15.75" customHeight="1" x14ac:dyDescent="0.55000000000000004"/>
    <row r="839" s="50" customFormat="1" ht="15.75" customHeight="1" x14ac:dyDescent="0.55000000000000004"/>
    <row r="840" s="50" customFormat="1" ht="15.75" customHeight="1" x14ac:dyDescent="0.55000000000000004"/>
    <row r="841" s="50" customFormat="1" ht="15.75" customHeight="1" x14ac:dyDescent="0.55000000000000004"/>
    <row r="842" s="50" customFormat="1" ht="15.75" customHeight="1" x14ac:dyDescent="0.55000000000000004"/>
    <row r="843" s="50" customFormat="1" ht="15.75" customHeight="1" x14ac:dyDescent="0.55000000000000004"/>
    <row r="844" s="50" customFormat="1" ht="15.75" customHeight="1" x14ac:dyDescent="0.55000000000000004"/>
    <row r="845" s="50" customFormat="1" ht="15.75" customHeight="1" x14ac:dyDescent="0.55000000000000004"/>
    <row r="846" s="50" customFormat="1" ht="15.75" customHeight="1" x14ac:dyDescent="0.55000000000000004"/>
    <row r="847" s="50" customFormat="1" ht="15.75" customHeight="1" x14ac:dyDescent="0.55000000000000004"/>
    <row r="848" s="50" customFormat="1" ht="15.75" customHeight="1" x14ac:dyDescent="0.55000000000000004"/>
    <row r="849" s="50" customFormat="1" ht="15.75" customHeight="1" x14ac:dyDescent="0.55000000000000004"/>
    <row r="850" s="50" customFormat="1" ht="15.75" customHeight="1" x14ac:dyDescent="0.55000000000000004"/>
    <row r="851" s="50" customFormat="1" ht="15.75" customHeight="1" x14ac:dyDescent="0.55000000000000004"/>
    <row r="852" s="50" customFormat="1" ht="15.75" customHeight="1" x14ac:dyDescent="0.55000000000000004"/>
    <row r="853" s="50" customFormat="1" ht="15.75" customHeight="1" x14ac:dyDescent="0.55000000000000004"/>
    <row r="854" s="50" customFormat="1" ht="15.75" customHeight="1" x14ac:dyDescent="0.55000000000000004"/>
    <row r="855" s="50" customFormat="1" ht="15.75" customHeight="1" x14ac:dyDescent="0.55000000000000004"/>
    <row r="856" s="50" customFormat="1" ht="15.75" customHeight="1" x14ac:dyDescent="0.55000000000000004"/>
    <row r="857" s="50" customFormat="1" ht="15.75" customHeight="1" x14ac:dyDescent="0.55000000000000004"/>
    <row r="858" s="50" customFormat="1" ht="15.75" customHeight="1" x14ac:dyDescent="0.55000000000000004"/>
    <row r="859" s="50" customFormat="1" ht="15.75" customHeight="1" x14ac:dyDescent="0.55000000000000004"/>
    <row r="860" s="50" customFormat="1" ht="15.75" customHeight="1" x14ac:dyDescent="0.55000000000000004"/>
    <row r="861" s="50" customFormat="1" ht="15.75" customHeight="1" x14ac:dyDescent="0.55000000000000004"/>
    <row r="862" s="50" customFormat="1" ht="15.75" customHeight="1" x14ac:dyDescent="0.55000000000000004"/>
    <row r="863" s="50" customFormat="1" ht="15.75" customHeight="1" x14ac:dyDescent="0.55000000000000004"/>
    <row r="864" s="50" customFormat="1" ht="15.75" customHeight="1" x14ac:dyDescent="0.55000000000000004"/>
    <row r="865" s="50" customFormat="1" ht="15.75" customHeight="1" x14ac:dyDescent="0.55000000000000004"/>
    <row r="866" s="50" customFormat="1" ht="15.75" customHeight="1" x14ac:dyDescent="0.55000000000000004"/>
    <row r="867" s="50" customFormat="1" ht="15.75" customHeight="1" x14ac:dyDescent="0.55000000000000004"/>
    <row r="868" s="50" customFormat="1" ht="15.75" customHeight="1" x14ac:dyDescent="0.55000000000000004"/>
    <row r="869" s="50" customFormat="1" ht="15.75" customHeight="1" x14ac:dyDescent="0.55000000000000004"/>
    <row r="870" s="50" customFormat="1" ht="15.75" customHeight="1" x14ac:dyDescent="0.55000000000000004"/>
    <row r="871" s="50" customFormat="1" ht="15.75" customHeight="1" x14ac:dyDescent="0.55000000000000004"/>
    <row r="872" s="50" customFormat="1" ht="15.75" customHeight="1" x14ac:dyDescent="0.55000000000000004"/>
    <row r="873" s="50" customFormat="1" ht="15.75" customHeight="1" x14ac:dyDescent="0.55000000000000004"/>
    <row r="874" s="50" customFormat="1" ht="15.75" customHeight="1" x14ac:dyDescent="0.55000000000000004"/>
    <row r="875" s="50" customFormat="1" ht="15.75" customHeight="1" x14ac:dyDescent="0.55000000000000004"/>
    <row r="876" s="50" customFormat="1" ht="15.75" customHeight="1" x14ac:dyDescent="0.55000000000000004"/>
    <row r="877" s="50" customFormat="1" ht="15.75" customHeight="1" x14ac:dyDescent="0.55000000000000004"/>
    <row r="878" s="50" customFormat="1" ht="15.75" customHeight="1" x14ac:dyDescent="0.55000000000000004"/>
    <row r="879" s="50" customFormat="1" ht="15.75" customHeight="1" x14ac:dyDescent="0.55000000000000004"/>
    <row r="880" s="50" customFormat="1" ht="15.75" customHeight="1" x14ac:dyDescent="0.55000000000000004"/>
    <row r="881" s="50" customFormat="1" ht="15.75" customHeight="1" x14ac:dyDescent="0.55000000000000004"/>
    <row r="882" s="50" customFormat="1" ht="15.75" customHeight="1" x14ac:dyDescent="0.55000000000000004"/>
    <row r="883" s="50" customFormat="1" ht="15.75" customHeight="1" x14ac:dyDescent="0.55000000000000004"/>
    <row r="884" s="50" customFormat="1" ht="15.75" customHeight="1" x14ac:dyDescent="0.55000000000000004"/>
    <row r="885" s="50" customFormat="1" ht="15.75" customHeight="1" x14ac:dyDescent="0.55000000000000004"/>
    <row r="886" s="50" customFormat="1" ht="15.75" customHeight="1" x14ac:dyDescent="0.55000000000000004"/>
    <row r="887" s="50" customFormat="1" ht="15.75" customHeight="1" x14ac:dyDescent="0.55000000000000004"/>
    <row r="888" s="50" customFormat="1" ht="15.75" customHeight="1" x14ac:dyDescent="0.55000000000000004"/>
    <row r="889" s="50" customFormat="1" ht="15.75" customHeight="1" x14ac:dyDescent="0.55000000000000004"/>
    <row r="890" s="50" customFormat="1" ht="15.75" customHeight="1" x14ac:dyDescent="0.55000000000000004"/>
    <row r="891" s="50" customFormat="1" ht="15.75" customHeight="1" x14ac:dyDescent="0.55000000000000004"/>
    <row r="892" s="50" customFormat="1" ht="15.75" customHeight="1" x14ac:dyDescent="0.55000000000000004"/>
    <row r="893" s="50" customFormat="1" ht="15.75" customHeight="1" x14ac:dyDescent="0.55000000000000004"/>
    <row r="894" s="50" customFormat="1" ht="15.75" customHeight="1" x14ac:dyDescent="0.55000000000000004"/>
    <row r="895" s="50" customFormat="1" ht="15.75" customHeight="1" x14ac:dyDescent="0.55000000000000004"/>
    <row r="896" s="50" customFormat="1" ht="15.75" customHeight="1" x14ac:dyDescent="0.55000000000000004"/>
    <row r="897" s="50" customFormat="1" ht="15.75" customHeight="1" x14ac:dyDescent="0.55000000000000004"/>
    <row r="898" s="50" customFormat="1" ht="15.75" customHeight="1" x14ac:dyDescent="0.55000000000000004"/>
    <row r="899" s="50" customFormat="1" ht="15.75" customHeight="1" x14ac:dyDescent="0.55000000000000004"/>
    <row r="900" s="50" customFormat="1" ht="15.75" customHeight="1" x14ac:dyDescent="0.55000000000000004"/>
    <row r="901" s="50" customFormat="1" ht="15.75" customHeight="1" x14ac:dyDescent="0.55000000000000004"/>
    <row r="902" s="50" customFormat="1" ht="15.75" customHeight="1" x14ac:dyDescent="0.55000000000000004"/>
    <row r="903" s="50" customFormat="1" ht="15.75" customHeight="1" x14ac:dyDescent="0.55000000000000004"/>
    <row r="904" s="50" customFormat="1" ht="15.75" customHeight="1" x14ac:dyDescent="0.55000000000000004"/>
    <row r="905" s="50" customFormat="1" ht="15.75" customHeight="1" x14ac:dyDescent="0.55000000000000004"/>
    <row r="906" s="50" customFormat="1" ht="15.75" customHeight="1" x14ac:dyDescent="0.55000000000000004"/>
    <row r="907" s="50" customFormat="1" ht="15.75" customHeight="1" x14ac:dyDescent="0.55000000000000004"/>
    <row r="908" s="50" customFormat="1" ht="15.75" customHeight="1" x14ac:dyDescent="0.55000000000000004"/>
    <row r="909" s="50" customFormat="1" ht="15.75" customHeight="1" x14ac:dyDescent="0.55000000000000004"/>
    <row r="910" s="50" customFormat="1" ht="15.75" customHeight="1" x14ac:dyDescent="0.55000000000000004"/>
    <row r="911" s="50" customFormat="1" ht="15.75" customHeight="1" x14ac:dyDescent="0.55000000000000004"/>
    <row r="912" s="50" customFormat="1" ht="15.75" customHeight="1" x14ac:dyDescent="0.55000000000000004"/>
    <row r="913" s="50" customFormat="1" ht="15.75" customHeight="1" x14ac:dyDescent="0.55000000000000004"/>
    <row r="914" s="50" customFormat="1" ht="15.75" customHeight="1" x14ac:dyDescent="0.55000000000000004"/>
    <row r="915" s="50" customFormat="1" ht="15.75" customHeight="1" x14ac:dyDescent="0.55000000000000004"/>
    <row r="916" s="50" customFormat="1" ht="15.75" customHeight="1" x14ac:dyDescent="0.55000000000000004"/>
    <row r="917" s="50" customFormat="1" ht="15.75" customHeight="1" x14ac:dyDescent="0.55000000000000004"/>
    <row r="918" s="50" customFormat="1" ht="15.75" customHeight="1" x14ac:dyDescent="0.55000000000000004"/>
    <row r="919" s="50" customFormat="1" ht="15.75" customHeight="1" x14ac:dyDescent="0.55000000000000004"/>
    <row r="920" s="50" customFormat="1" ht="15.75" customHeight="1" x14ac:dyDescent="0.55000000000000004"/>
    <row r="921" s="50" customFormat="1" ht="15.75" customHeight="1" x14ac:dyDescent="0.55000000000000004"/>
    <row r="922" s="50" customFormat="1" ht="15.75" customHeight="1" x14ac:dyDescent="0.55000000000000004"/>
    <row r="923" s="50" customFormat="1" ht="15.75" customHeight="1" x14ac:dyDescent="0.55000000000000004"/>
    <row r="924" s="50" customFormat="1" ht="15.75" customHeight="1" x14ac:dyDescent="0.55000000000000004"/>
    <row r="925" s="50" customFormat="1" ht="15.75" customHeight="1" x14ac:dyDescent="0.55000000000000004"/>
    <row r="926" s="50" customFormat="1" ht="15.75" customHeight="1" x14ac:dyDescent="0.55000000000000004"/>
    <row r="927" s="50" customFormat="1" ht="15.75" customHeight="1" x14ac:dyDescent="0.55000000000000004"/>
    <row r="928" s="50" customFormat="1" ht="15.75" customHeight="1" x14ac:dyDescent="0.55000000000000004"/>
    <row r="929" s="50" customFormat="1" ht="15.75" customHeight="1" x14ac:dyDescent="0.55000000000000004"/>
    <row r="930" s="50" customFormat="1" ht="15.75" customHeight="1" x14ac:dyDescent="0.55000000000000004"/>
    <row r="931" s="50" customFormat="1" ht="15.75" customHeight="1" x14ac:dyDescent="0.55000000000000004"/>
    <row r="932" s="50" customFormat="1" ht="15.75" customHeight="1" x14ac:dyDescent="0.55000000000000004"/>
    <row r="933" s="50" customFormat="1" ht="15.75" customHeight="1" x14ac:dyDescent="0.55000000000000004"/>
    <row r="934" s="50" customFormat="1" ht="15.75" customHeight="1" x14ac:dyDescent="0.55000000000000004"/>
    <row r="935" s="50" customFormat="1" ht="15.75" customHeight="1" x14ac:dyDescent="0.55000000000000004"/>
    <row r="936" s="50" customFormat="1" ht="15.75" customHeight="1" x14ac:dyDescent="0.55000000000000004"/>
    <row r="937" s="50" customFormat="1" ht="15.75" customHeight="1" x14ac:dyDescent="0.55000000000000004"/>
    <row r="938" s="50" customFormat="1" ht="15.75" customHeight="1" x14ac:dyDescent="0.55000000000000004"/>
    <row r="939" s="50" customFormat="1" ht="15.75" customHeight="1" x14ac:dyDescent="0.55000000000000004"/>
    <row r="940" s="50" customFormat="1" ht="15.75" customHeight="1" x14ac:dyDescent="0.55000000000000004"/>
    <row r="941" s="50" customFormat="1" ht="15.75" customHeight="1" x14ac:dyDescent="0.55000000000000004"/>
    <row r="942" s="50" customFormat="1" ht="15.75" customHeight="1" x14ac:dyDescent="0.55000000000000004"/>
    <row r="943" s="50" customFormat="1" ht="15.75" customHeight="1" x14ac:dyDescent="0.55000000000000004"/>
    <row r="944" s="50" customFormat="1" ht="15.75" customHeight="1" x14ac:dyDescent="0.55000000000000004"/>
    <row r="945" s="50" customFormat="1" ht="15.75" customHeight="1" x14ac:dyDescent="0.55000000000000004"/>
    <row r="946" s="50" customFormat="1" ht="15.75" customHeight="1" x14ac:dyDescent="0.55000000000000004"/>
    <row r="947" s="50" customFormat="1" ht="15.75" customHeight="1" x14ac:dyDescent="0.55000000000000004"/>
    <row r="948" s="50" customFormat="1" ht="15.75" customHeight="1" x14ac:dyDescent="0.55000000000000004"/>
    <row r="949" s="50" customFormat="1" ht="15.75" customHeight="1" x14ac:dyDescent="0.55000000000000004"/>
    <row r="950" s="50" customFormat="1" ht="15.75" customHeight="1" x14ac:dyDescent="0.55000000000000004"/>
    <row r="951" s="50" customFormat="1" ht="15.75" customHeight="1" x14ac:dyDescent="0.55000000000000004"/>
    <row r="952" s="50" customFormat="1" ht="15.75" customHeight="1" x14ac:dyDescent="0.55000000000000004"/>
    <row r="953" s="50" customFormat="1" ht="15.75" customHeight="1" x14ac:dyDescent="0.55000000000000004"/>
    <row r="954" s="50" customFormat="1" ht="15.75" customHeight="1" x14ac:dyDescent="0.55000000000000004"/>
    <row r="955" s="50" customFormat="1" ht="15.75" customHeight="1" x14ac:dyDescent="0.55000000000000004"/>
    <row r="956" s="50" customFormat="1" ht="15.75" customHeight="1" x14ac:dyDescent="0.55000000000000004"/>
    <row r="957" s="50" customFormat="1" ht="15.75" customHeight="1" x14ac:dyDescent="0.55000000000000004"/>
    <row r="958" s="50" customFormat="1" ht="15.75" customHeight="1" x14ac:dyDescent="0.55000000000000004"/>
    <row r="959" s="50" customFormat="1" ht="15.75" customHeight="1" x14ac:dyDescent="0.55000000000000004"/>
    <row r="960" s="50" customFormat="1" ht="15.75" customHeight="1" x14ac:dyDescent="0.55000000000000004"/>
    <row r="961" s="50" customFormat="1" ht="15.75" customHeight="1" x14ac:dyDescent="0.55000000000000004"/>
    <row r="962" s="50" customFormat="1" ht="15.75" customHeight="1" x14ac:dyDescent="0.55000000000000004"/>
    <row r="963" s="50" customFormat="1" ht="15.75" customHeight="1" x14ac:dyDescent="0.55000000000000004"/>
    <row r="964" s="50" customFormat="1" ht="15.75" customHeight="1" x14ac:dyDescent="0.55000000000000004"/>
    <row r="965" s="50" customFormat="1" ht="15.75" customHeight="1" x14ac:dyDescent="0.55000000000000004"/>
    <row r="966" s="50" customFormat="1" ht="15.75" customHeight="1" x14ac:dyDescent="0.55000000000000004"/>
    <row r="967" s="50" customFormat="1" ht="15.75" customHeight="1" x14ac:dyDescent="0.55000000000000004"/>
    <row r="968" s="50" customFormat="1" ht="15.75" customHeight="1" x14ac:dyDescent="0.55000000000000004"/>
    <row r="969" s="50" customFormat="1" ht="15.75" customHeight="1" x14ac:dyDescent="0.55000000000000004"/>
    <row r="970" s="50" customFormat="1" ht="15.75" customHeight="1" x14ac:dyDescent="0.55000000000000004"/>
    <row r="971" s="50" customFormat="1" ht="15.75" customHeight="1" x14ac:dyDescent="0.55000000000000004"/>
    <row r="972" s="50" customFormat="1" ht="15.75" customHeight="1" x14ac:dyDescent="0.55000000000000004"/>
    <row r="973" s="50" customFormat="1" ht="15.75" customHeight="1" x14ac:dyDescent="0.55000000000000004"/>
    <row r="974" s="50" customFormat="1" ht="15.75" customHeight="1" x14ac:dyDescent="0.55000000000000004"/>
    <row r="975" s="50" customFormat="1" ht="15.75" customHeight="1" x14ac:dyDescent="0.55000000000000004"/>
    <row r="976" s="50" customFormat="1" ht="15.75" customHeight="1" x14ac:dyDescent="0.55000000000000004"/>
    <row r="977" s="50" customFormat="1" ht="15.75" customHeight="1" x14ac:dyDescent="0.55000000000000004"/>
    <row r="978" s="50" customFormat="1" ht="15.75" customHeight="1" x14ac:dyDescent="0.55000000000000004"/>
    <row r="979" s="50" customFormat="1" ht="15.75" customHeight="1" x14ac:dyDescent="0.55000000000000004"/>
    <row r="980" s="50" customFormat="1" ht="15.75" customHeight="1" x14ac:dyDescent="0.55000000000000004"/>
    <row r="981" s="50" customFormat="1" ht="15.75" customHeight="1" x14ac:dyDescent="0.55000000000000004"/>
    <row r="982" s="50" customFormat="1" ht="15.75" customHeight="1" x14ac:dyDescent="0.55000000000000004"/>
    <row r="983" s="50" customFormat="1" ht="15.75" customHeight="1" x14ac:dyDescent="0.55000000000000004"/>
    <row r="984" s="50" customFormat="1" ht="15.75" customHeight="1" x14ac:dyDescent="0.55000000000000004"/>
    <row r="985" s="50" customFormat="1" ht="15.75" customHeight="1" x14ac:dyDescent="0.55000000000000004"/>
    <row r="986" s="50" customFormat="1" ht="15.75" customHeight="1" x14ac:dyDescent="0.55000000000000004"/>
    <row r="987" s="50" customFormat="1" ht="15.75" customHeight="1" x14ac:dyDescent="0.55000000000000004"/>
    <row r="988" s="50" customFormat="1" ht="15.75" customHeight="1" x14ac:dyDescent="0.55000000000000004"/>
    <row r="989" s="50" customFormat="1" ht="15.75" customHeight="1" x14ac:dyDescent="0.55000000000000004"/>
    <row r="990" s="50" customFormat="1" ht="15.75" customHeight="1" x14ac:dyDescent="0.55000000000000004"/>
    <row r="991" s="50" customFormat="1" ht="15.75" customHeight="1" x14ac:dyDescent="0.55000000000000004"/>
    <row r="992" s="50" customFormat="1" ht="15.75" customHeight="1" x14ac:dyDescent="0.55000000000000004"/>
    <row r="993" s="50" customFormat="1" ht="15.75" customHeight="1" x14ac:dyDescent="0.55000000000000004"/>
    <row r="994" s="50" customFormat="1" ht="15.75" customHeight="1" x14ac:dyDescent="0.55000000000000004"/>
    <row r="995" s="50" customFormat="1" ht="15.75" customHeight="1" x14ac:dyDescent="0.55000000000000004"/>
    <row r="996" s="50" customFormat="1" ht="15.75" customHeight="1" x14ac:dyDescent="0.55000000000000004"/>
    <row r="997" s="50" customFormat="1" ht="15.75" customHeight="1" x14ac:dyDescent="0.55000000000000004"/>
    <row r="998" s="50" customFormat="1" ht="15.75" customHeight="1" x14ac:dyDescent="0.55000000000000004"/>
    <row r="999" s="50" customFormat="1" ht="15.75" customHeight="1" x14ac:dyDescent="0.55000000000000004"/>
    <row r="1000" s="50" customFormat="1" ht="15.75" customHeight="1" x14ac:dyDescent="0.55000000000000004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F8F7-9D8D-402C-8366-3222F553DE41}">
  <sheetPr>
    <pageSetUpPr fitToPage="1"/>
  </sheetPr>
  <dimension ref="A1:Z1005"/>
  <sheetViews>
    <sheetView showGridLines="0" workbookViewId="0">
      <selection activeCell="A4" sqref="A4:F4"/>
    </sheetView>
  </sheetViews>
  <sheetFormatPr defaultColWidth="14.42578125" defaultRowHeight="15" customHeight="1" x14ac:dyDescent="0.55000000000000004"/>
  <cols>
    <col min="1" max="1" width="10.7109375" style="50" customWidth="1"/>
    <col min="2" max="2" width="83.7109375" style="50" customWidth="1"/>
    <col min="3" max="3" width="11.28515625" style="50" customWidth="1"/>
    <col min="4" max="4" width="13.85546875" style="50" customWidth="1"/>
    <col min="5" max="5" width="11.140625" style="50" customWidth="1"/>
    <col min="6" max="6" width="24" style="50" customWidth="1"/>
    <col min="7" max="24" width="8.5703125" style="50" customWidth="1"/>
    <col min="25" max="26" width="12.5703125" style="50" customWidth="1"/>
    <col min="27" max="16384" width="14.42578125" style="50"/>
  </cols>
  <sheetData>
    <row r="1" spans="1:26" ht="18" customHeight="1" x14ac:dyDescent="0.55000000000000004">
      <c r="A1" s="2" t="s">
        <v>0</v>
      </c>
      <c r="B1" s="3" t="str">
        <f>OBRA!B1</f>
        <v>Jardim Campeche</v>
      </c>
      <c r="C1" s="4"/>
      <c r="D1" s="5"/>
      <c r="E1" s="4"/>
      <c r="F1" s="213"/>
    </row>
    <row r="2" spans="1:26" ht="18" customHeight="1" x14ac:dyDescent="0.55000000000000004">
      <c r="A2" s="6" t="s">
        <v>1</v>
      </c>
      <c r="B2" s="7" t="str">
        <f>OBRA!B2</f>
        <v>BD Empreendimentos</v>
      </c>
      <c r="C2" s="8"/>
      <c r="D2" s="9"/>
      <c r="E2" s="8"/>
      <c r="F2" s="214"/>
    </row>
    <row r="3" spans="1:26" ht="18" customHeight="1" x14ac:dyDescent="0.55000000000000004">
      <c r="A3" s="6" t="s">
        <v>2</v>
      </c>
      <c r="B3" s="7" t="str">
        <f>OBRA!B3</f>
        <v>R00</v>
      </c>
      <c r="C3" s="8"/>
      <c r="D3" s="9"/>
      <c r="E3" s="8"/>
      <c r="F3" s="214"/>
    </row>
    <row r="4" spans="1:26" ht="24.75" customHeight="1" x14ac:dyDescent="0.55000000000000004">
      <c r="A4" s="314" t="s">
        <v>16</v>
      </c>
      <c r="B4" s="315"/>
      <c r="C4" s="315"/>
      <c r="D4" s="315"/>
      <c r="E4" s="315"/>
      <c r="F4" s="316"/>
    </row>
    <row r="5" spans="1:26" ht="14.25" customHeight="1" x14ac:dyDescent="0.55000000000000004">
      <c r="A5" s="215"/>
      <c r="B5" s="216"/>
      <c r="C5" s="216"/>
      <c r="D5" s="217"/>
      <c r="E5" s="216"/>
      <c r="F5" s="218"/>
    </row>
    <row r="6" spans="1:26" ht="21.6" customHeight="1" x14ac:dyDescent="0.55000000000000004">
      <c r="A6" s="317" t="s">
        <v>17</v>
      </c>
      <c r="B6" s="315"/>
      <c r="C6" s="315"/>
      <c r="D6" s="315"/>
      <c r="E6" s="315"/>
      <c r="F6" s="316"/>
    </row>
    <row r="7" spans="1:26" ht="14.25" customHeight="1" x14ac:dyDescent="0.55000000000000004">
      <c r="A7" s="10"/>
      <c r="B7" s="11"/>
      <c r="C7" s="12"/>
      <c r="D7" s="13"/>
      <c r="E7" s="12"/>
      <c r="F7" s="219"/>
    </row>
    <row r="8" spans="1:26" ht="21.75" customHeight="1" x14ac:dyDescent="0.55000000000000004">
      <c r="A8" s="220" t="s">
        <v>18</v>
      </c>
      <c r="B8" s="221"/>
      <c r="C8" s="221"/>
      <c r="D8" s="222"/>
      <c r="E8" s="221"/>
      <c r="F8" s="223"/>
    </row>
    <row r="9" spans="1:26" ht="21.75" customHeight="1" thickBot="1" x14ac:dyDescent="0.6">
      <c r="A9" s="224"/>
      <c r="B9" s="225"/>
      <c r="C9" s="225"/>
      <c r="D9" s="226"/>
      <c r="E9" s="225"/>
      <c r="F9" s="219"/>
    </row>
    <row r="10" spans="1:26" ht="21.75" customHeight="1" x14ac:dyDescent="0.55000000000000004">
      <c r="A10" s="224"/>
      <c r="B10" s="227" t="s">
        <v>5</v>
      </c>
      <c r="C10" s="228" t="s">
        <v>6</v>
      </c>
      <c r="D10" s="229" t="s">
        <v>7</v>
      </c>
      <c r="E10" s="225"/>
      <c r="F10" s="219"/>
    </row>
    <row r="11" spans="1:26" ht="21.75" customHeight="1" x14ac:dyDescent="0.55000000000000004">
      <c r="A11" s="224"/>
      <c r="B11" s="246" t="s">
        <v>464</v>
      </c>
      <c r="C11" s="266" t="s">
        <v>19</v>
      </c>
      <c r="D11" s="267">
        <v>123.46</v>
      </c>
      <c r="E11" s="225"/>
      <c r="F11" s="219"/>
    </row>
    <row r="12" spans="1:26" ht="21.75" customHeight="1" x14ac:dyDescent="0.55000000000000004">
      <c r="A12" s="224"/>
      <c r="B12" s="246" t="s">
        <v>465</v>
      </c>
      <c r="C12" s="266" t="s">
        <v>19</v>
      </c>
      <c r="D12" s="267">
        <v>116.66</v>
      </c>
      <c r="E12" s="225"/>
      <c r="F12" s="219"/>
    </row>
    <row r="13" spans="1:26" ht="21.75" customHeight="1" thickBot="1" x14ac:dyDescent="0.6">
      <c r="A13" s="224"/>
      <c r="B13" s="268" t="s">
        <v>21</v>
      </c>
      <c r="C13" s="269" t="s">
        <v>19</v>
      </c>
      <c r="D13" s="270">
        <f>D11</f>
        <v>123.46</v>
      </c>
      <c r="E13" s="225"/>
      <c r="F13" s="219"/>
    </row>
    <row r="14" spans="1:26" s="48" customFormat="1" ht="21.75" customHeight="1" thickBot="1" x14ac:dyDescent="0.6">
      <c r="A14" s="271"/>
      <c r="B14" s="272" t="s">
        <v>461</v>
      </c>
      <c r="C14" s="273" t="s">
        <v>19</v>
      </c>
      <c r="D14" s="274">
        <f>D12</f>
        <v>116.66</v>
      </c>
      <c r="E14" s="164"/>
      <c r="F14" s="275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1:26" ht="21.75" customHeight="1" x14ac:dyDescent="0.55000000000000004">
      <c r="A15" s="224"/>
      <c r="B15" s="225"/>
      <c r="C15" s="225"/>
      <c r="D15" s="226"/>
      <c r="E15" s="225"/>
      <c r="F15" s="219"/>
    </row>
    <row r="16" spans="1:26" ht="21.75" customHeight="1" x14ac:dyDescent="0.55000000000000004">
      <c r="A16" s="220" t="s">
        <v>22</v>
      </c>
      <c r="B16" s="221"/>
      <c r="C16" s="221"/>
      <c r="D16" s="222"/>
      <c r="E16" s="221"/>
      <c r="F16" s="223"/>
    </row>
    <row r="17" spans="1:26" ht="21.75" customHeight="1" thickBot="1" x14ac:dyDescent="0.6">
      <c r="A17" s="224"/>
      <c r="B17" s="225"/>
      <c r="C17" s="225"/>
      <c r="D17" s="226"/>
      <c r="E17" s="225"/>
      <c r="F17" s="219"/>
    </row>
    <row r="18" spans="1:26" ht="21.75" customHeight="1" x14ac:dyDescent="0.55000000000000004">
      <c r="A18" s="224"/>
      <c r="B18" s="227" t="s">
        <v>5</v>
      </c>
      <c r="C18" s="228" t="s">
        <v>6</v>
      </c>
      <c r="D18" s="229" t="s">
        <v>7</v>
      </c>
      <c r="E18" s="225"/>
      <c r="F18" s="219"/>
    </row>
    <row r="19" spans="1:26" ht="21.75" customHeight="1" x14ac:dyDescent="0.55000000000000004">
      <c r="A19" s="224"/>
      <c r="B19" s="230" t="s">
        <v>23</v>
      </c>
      <c r="C19" s="231" t="s">
        <v>19</v>
      </c>
      <c r="D19" s="276">
        <f>D12</f>
        <v>116.66</v>
      </c>
      <c r="E19" s="277"/>
      <c r="F19" s="219"/>
    </row>
    <row r="20" spans="1:26" ht="21.75" customHeight="1" x14ac:dyDescent="0.55000000000000004">
      <c r="A20" s="224"/>
      <c r="B20" s="233" t="s">
        <v>24</v>
      </c>
      <c r="C20" s="234" t="s">
        <v>20</v>
      </c>
      <c r="D20" s="278">
        <v>4</v>
      </c>
      <c r="E20" s="225"/>
      <c r="F20" s="219"/>
    </row>
    <row r="21" spans="1:26" ht="21.75" customHeight="1" x14ac:dyDescent="0.55000000000000004">
      <c r="A21" s="224"/>
      <c r="B21" s="279" t="s">
        <v>25</v>
      </c>
      <c r="C21" s="280" t="s">
        <v>19</v>
      </c>
      <c r="D21" s="281">
        <f>(D19*D20)</f>
        <v>466.64</v>
      </c>
      <c r="E21" s="225"/>
      <c r="F21" s="219"/>
    </row>
    <row r="22" spans="1:26" ht="21.75" customHeight="1" x14ac:dyDescent="0.55000000000000004">
      <c r="A22" s="224"/>
      <c r="B22" s="225"/>
      <c r="C22" s="225"/>
      <c r="D22" s="226"/>
      <c r="E22" s="225"/>
      <c r="F22" s="219"/>
    </row>
    <row r="23" spans="1:26" ht="21.75" customHeight="1" x14ac:dyDescent="0.55000000000000004">
      <c r="A23" s="220" t="s">
        <v>413</v>
      </c>
      <c r="B23" s="221"/>
      <c r="C23" s="221"/>
      <c r="D23" s="222"/>
      <c r="E23" s="221"/>
      <c r="F23" s="223"/>
    </row>
    <row r="24" spans="1:26" ht="21.75" customHeight="1" thickBot="1" x14ac:dyDescent="0.6">
      <c r="A24" s="224"/>
      <c r="B24" s="225"/>
      <c r="C24" s="225"/>
      <c r="D24" s="226"/>
      <c r="E24" s="225"/>
      <c r="F24" s="219"/>
    </row>
    <row r="25" spans="1:26" ht="21.75" customHeight="1" x14ac:dyDescent="0.55000000000000004">
      <c r="A25" s="224"/>
      <c r="B25" s="227" t="s">
        <v>5</v>
      </c>
      <c r="C25" s="228" t="s">
        <v>6</v>
      </c>
      <c r="D25" s="229" t="s">
        <v>7</v>
      </c>
      <c r="E25" s="225"/>
      <c r="F25" s="219"/>
    </row>
    <row r="26" spans="1:26" ht="21.75" customHeight="1" x14ac:dyDescent="0.55000000000000004">
      <c r="A26" s="224"/>
      <c r="B26" s="230" t="s">
        <v>414</v>
      </c>
      <c r="C26" s="231" t="s">
        <v>19</v>
      </c>
      <c r="D26" s="278">
        <v>194.45</v>
      </c>
      <c r="E26" s="225"/>
      <c r="F26" s="219"/>
    </row>
    <row r="27" spans="1:26" ht="21.75" customHeight="1" x14ac:dyDescent="0.55000000000000004">
      <c r="A27" s="224"/>
      <c r="B27" s="279" t="s">
        <v>26</v>
      </c>
      <c r="C27" s="280" t="s">
        <v>19</v>
      </c>
      <c r="D27" s="281">
        <f>D26</f>
        <v>194.45</v>
      </c>
      <c r="E27" s="225"/>
      <c r="F27" s="219"/>
    </row>
    <row r="28" spans="1:26" ht="21.75" customHeight="1" x14ac:dyDescent="0.55000000000000004">
      <c r="A28" s="224"/>
      <c r="B28" s="225"/>
      <c r="C28" s="225"/>
      <c r="D28" s="226"/>
      <c r="E28" s="225"/>
      <c r="F28" s="219"/>
    </row>
    <row r="29" spans="1:26" ht="21.75" customHeight="1" x14ac:dyDescent="0.55000000000000004">
      <c r="A29" s="220" t="s">
        <v>26</v>
      </c>
      <c r="B29" s="221"/>
      <c r="C29" s="221"/>
      <c r="D29" s="222"/>
      <c r="E29" s="221"/>
      <c r="F29" s="223"/>
    </row>
    <row r="30" spans="1:26" ht="21.75" customHeight="1" thickBot="1" x14ac:dyDescent="0.6">
      <c r="A30" s="224"/>
      <c r="B30" s="225"/>
      <c r="C30" s="225"/>
      <c r="D30" s="226"/>
      <c r="E30" s="225"/>
      <c r="F30" s="219"/>
    </row>
    <row r="31" spans="1:26" ht="21.75" customHeight="1" x14ac:dyDescent="0.55000000000000004">
      <c r="A31" s="224"/>
      <c r="B31" s="227" t="s">
        <v>5</v>
      </c>
      <c r="C31" s="228" t="s">
        <v>6</v>
      </c>
      <c r="D31" s="229" t="s">
        <v>7</v>
      </c>
      <c r="E31" s="225"/>
      <c r="F31" s="219"/>
    </row>
    <row r="32" spans="1:26" s="48" customFormat="1" ht="21.75" customHeight="1" x14ac:dyDescent="0.55000000000000004">
      <c r="A32" s="271"/>
      <c r="B32" s="230" t="s">
        <v>462</v>
      </c>
      <c r="C32" s="231" t="s">
        <v>19</v>
      </c>
      <c r="D32" s="276">
        <f>D12</f>
        <v>116.66</v>
      </c>
      <c r="E32" s="164"/>
      <c r="F32" s="275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1:26" s="48" customFormat="1" ht="21.75" customHeight="1" x14ac:dyDescent="0.55000000000000004">
      <c r="A33" s="271"/>
      <c r="B33" s="233" t="s">
        <v>463</v>
      </c>
      <c r="C33" s="234" t="s">
        <v>19</v>
      </c>
      <c r="D33" s="278">
        <v>24.839999999999996</v>
      </c>
      <c r="E33" s="164"/>
      <c r="F33" s="275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 s="48" customFormat="1" ht="21.75" customHeight="1" x14ac:dyDescent="0.55000000000000004">
      <c r="A34" s="271"/>
      <c r="B34" s="282" t="s">
        <v>26</v>
      </c>
      <c r="C34" s="283" t="s">
        <v>28</v>
      </c>
      <c r="D34" s="284">
        <f>D32*D33</f>
        <v>2897.8343999999993</v>
      </c>
      <c r="E34" s="164"/>
      <c r="F34" s="275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1:26" ht="21.75" customHeight="1" x14ac:dyDescent="0.55000000000000004">
      <c r="A35" s="224"/>
      <c r="B35" s="225"/>
      <c r="C35" s="225"/>
      <c r="D35" s="226"/>
      <c r="E35" s="225"/>
      <c r="F35" s="219"/>
    </row>
    <row r="36" spans="1:26" ht="21.75" customHeight="1" x14ac:dyDescent="0.55000000000000004">
      <c r="A36" s="220" t="s">
        <v>29</v>
      </c>
      <c r="B36" s="221"/>
      <c r="C36" s="221"/>
      <c r="D36" s="222"/>
      <c r="E36" s="221"/>
      <c r="F36" s="223"/>
    </row>
    <row r="37" spans="1:26" ht="21.75" customHeight="1" thickBot="1" x14ac:dyDescent="0.6">
      <c r="A37" s="224"/>
      <c r="B37" s="225"/>
      <c r="C37" s="225"/>
      <c r="D37" s="226"/>
      <c r="E37" s="225"/>
      <c r="F37" s="219"/>
    </row>
    <row r="38" spans="1:26" ht="21.75" customHeight="1" x14ac:dyDescent="0.55000000000000004">
      <c r="A38" s="224"/>
      <c r="B38" s="285" t="s">
        <v>5</v>
      </c>
      <c r="C38" s="286" t="s">
        <v>6</v>
      </c>
      <c r="D38" s="287" t="s">
        <v>7</v>
      </c>
      <c r="E38" s="225"/>
      <c r="F38" s="219"/>
    </row>
    <row r="39" spans="1:26" ht="21.75" customHeight="1" x14ac:dyDescent="0.55000000000000004">
      <c r="A39" s="224"/>
      <c r="B39" s="246" t="s">
        <v>30</v>
      </c>
      <c r="C39" s="266" t="s">
        <v>28</v>
      </c>
      <c r="D39" s="288">
        <f>0.9*2.4</f>
        <v>2.16</v>
      </c>
      <c r="E39" s="225"/>
      <c r="F39" s="219"/>
    </row>
    <row r="40" spans="1:26" ht="21.75" customHeight="1" x14ac:dyDescent="0.55000000000000004">
      <c r="A40" s="224"/>
      <c r="B40" s="246" t="s">
        <v>31</v>
      </c>
      <c r="C40" s="266" t="s">
        <v>20</v>
      </c>
      <c r="D40" s="288">
        <v>1</v>
      </c>
      <c r="E40" s="225"/>
      <c r="F40" s="219"/>
    </row>
    <row r="41" spans="1:26" ht="21.75" customHeight="1" x14ac:dyDescent="0.55000000000000004">
      <c r="A41" s="224"/>
      <c r="B41" s="246" t="s">
        <v>32</v>
      </c>
      <c r="C41" s="266" t="s">
        <v>20</v>
      </c>
      <c r="D41" s="288">
        <f>D40*OBRA!D13</f>
        <v>7</v>
      </c>
      <c r="E41" s="225"/>
      <c r="F41" s="219"/>
    </row>
    <row r="42" spans="1:26" ht="21.75" customHeight="1" x14ac:dyDescent="0.55000000000000004">
      <c r="A42" s="224"/>
      <c r="B42" s="289" t="s">
        <v>29</v>
      </c>
      <c r="C42" s="290" t="s">
        <v>28</v>
      </c>
      <c r="D42" s="291">
        <f>D39*D41</f>
        <v>15.120000000000001</v>
      </c>
      <c r="E42" s="225"/>
      <c r="F42" s="219"/>
    </row>
    <row r="43" spans="1:26" ht="21.75" customHeight="1" x14ac:dyDescent="0.55000000000000004">
      <c r="A43" s="224"/>
      <c r="B43" s="225"/>
      <c r="C43" s="225"/>
      <c r="D43" s="226"/>
      <c r="E43" s="225"/>
      <c r="F43" s="219"/>
    </row>
    <row r="44" spans="1:26" ht="21.75" customHeight="1" x14ac:dyDescent="0.55000000000000004">
      <c r="A44" s="220" t="s">
        <v>33</v>
      </c>
      <c r="B44" s="221"/>
      <c r="C44" s="221"/>
      <c r="D44" s="222"/>
      <c r="E44" s="221"/>
      <c r="F44" s="223"/>
    </row>
    <row r="45" spans="1:26" ht="21.75" customHeight="1" thickBot="1" x14ac:dyDescent="0.6">
      <c r="A45" s="224"/>
      <c r="B45" s="225"/>
      <c r="C45" s="225"/>
      <c r="D45" s="226"/>
      <c r="E45" s="225"/>
      <c r="F45" s="219"/>
    </row>
    <row r="46" spans="1:26" ht="21.75" customHeight="1" x14ac:dyDescent="0.55000000000000004">
      <c r="A46" s="224"/>
      <c r="B46" s="227" t="s">
        <v>5</v>
      </c>
      <c r="C46" s="228" t="s">
        <v>6</v>
      </c>
      <c r="D46" s="229" t="s">
        <v>7</v>
      </c>
      <c r="E46" s="225"/>
      <c r="F46" s="219"/>
    </row>
    <row r="47" spans="1:26" ht="21.75" customHeight="1" x14ac:dyDescent="0.55000000000000004">
      <c r="A47" s="224"/>
      <c r="B47" s="230" t="s">
        <v>34</v>
      </c>
      <c r="C47" s="231" t="s">
        <v>19</v>
      </c>
      <c r="D47" s="292">
        <f>20+34</f>
        <v>54</v>
      </c>
      <c r="E47" s="225"/>
      <c r="F47" s="219"/>
    </row>
    <row r="48" spans="1:26" ht="21.75" customHeight="1" x14ac:dyDescent="0.55000000000000004">
      <c r="A48" s="224"/>
      <c r="B48" s="233" t="s">
        <v>35</v>
      </c>
      <c r="C48" s="234" t="s">
        <v>19</v>
      </c>
      <c r="D48" s="278">
        <v>2.4</v>
      </c>
      <c r="E48" s="225"/>
      <c r="F48" s="219"/>
    </row>
    <row r="49" spans="1:6" ht="21.75" customHeight="1" x14ac:dyDescent="0.55000000000000004">
      <c r="A49" s="224"/>
      <c r="B49" s="279" t="s">
        <v>36</v>
      </c>
      <c r="C49" s="280" t="s">
        <v>28</v>
      </c>
      <c r="D49" s="281">
        <f>D48*D47</f>
        <v>129.6</v>
      </c>
      <c r="E49" s="225"/>
      <c r="F49" s="219"/>
    </row>
    <row r="50" spans="1:6" ht="21.75" customHeight="1" x14ac:dyDescent="0.55000000000000004">
      <c r="A50" s="224"/>
      <c r="B50" s="225"/>
      <c r="C50" s="225"/>
      <c r="D50" s="226"/>
      <c r="E50" s="225"/>
      <c r="F50" s="219"/>
    </row>
    <row r="51" spans="1:6" ht="21.75" customHeight="1" thickBot="1" x14ac:dyDescent="0.6">
      <c r="A51" s="293"/>
      <c r="B51" s="294"/>
      <c r="C51" s="294"/>
      <c r="D51" s="295"/>
      <c r="E51" s="294"/>
      <c r="F51" s="296"/>
    </row>
    <row r="52" spans="1:6" ht="21.75" customHeight="1" x14ac:dyDescent="0.55000000000000004">
      <c r="A52" s="253"/>
      <c r="B52" s="297"/>
      <c r="C52" s="297"/>
      <c r="D52" s="298"/>
      <c r="E52" s="297"/>
      <c r="F52" s="253"/>
    </row>
    <row r="53" spans="1:6" ht="21.75" customHeight="1" x14ac:dyDescent="0.55000000000000004">
      <c r="A53" s="253"/>
      <c r="B53" s="297"/>
      <c r="C53" s="297"/>
      <c r="D53" s="298"/>
      <c r="E53" s="297"/>
      <c r="F53" s="253"/>
    </row>
    <row r="54" spans="1:6" ht="21.75" customHeight="1" x14ac:dyDescent="0.55000000000000004">
      <c r="B54" s="299"/>
      <c r="C54" s="299"/>
      <c r="D54" s="300"/>
      <c r="E54" s="299"/>
    </row>
    <row r="55" spans="1:6" ht="21.75" customHeight="1" x14ac:dyDescent="0.55000000000000004">
      <c r="B55" s="299"/>
      <c r="C55" s="299"/>
      <c r="D55" s="300"/>
      <c r="E55" s="299"/>
    </row>
    <row r="56" spans="1:6" ht="21.75" customHeight="1" x14ac:dyDescent="0.55000000000000004">
      <c r="B56" s="299"/>
      <c r="C56" s="299"/>
      <c r="D56" s="300"/>
      <c r="E56" s="299"/>
    </row>
    <row r="57" spans="1:6" ht="21.75" customHeight="1" x14ac:dyDescent="0.55000000000000004">
      <c r="B57" s="299"/>
      <c r="C57" s="299"/>
      <c r="D57" s="300"/>
      <c r="E57" s="299"/>
    </row>
    <row r="58" spans="1:6" ht="21.75" customHeight="1" x14ac:dyDescent="0.55000000000000004">
      <c r="B58" s="299"/>
      <c r="C58" s="299"/>
      <c r="D58" s="300"/>
      <c r="E58" s="299"/>
    </row>
    <row r="59" spans="1:6" ht="21.75" customHeight="1" x14ac:dyDescent="0.55000000000000004">
      <c r="B59" s="299"/>
      <c r="C59" s="299"/>
      <c r="D59" s="300"/>
      <c r="E59" s="299"/>
    </row>
    <row r="60" spans="1:6" ht="21.75" customHeight="1" x14ac:dyDescent="0.55000000000000004">
      <c r="B60" s="299"/>
      <c r="C60" s="299"/>
      <c r="D60" s="300"/>
      <c r="E60" s="299"/>
    </row>
    <row r="61" spans="1:6" ht="21.75" customHeight="1" x14ac:dyDescent="0.55000000000000004">
      <c r="B61" s="299"/>
      <c r="C61" s="299"/>
      <c r="D61" s="300"/>
      <c r="E61" s="299"/>
    </row>
    <row r="62" spans="1:6" ht="21.75" customHeight="1" x14ac:dyDescent="0.55000000000000004">
      <c r="B62" s="299"/>
      <c r="C62" s="299"/>
      <c r="D62" s="300"/>
      <c r="E62" s="299"/>
    </row>
    <row r="63" spans="1:6" ht="21.75" customHeight="1" x14ac:dyDescent="0.55000000000000004">
      <c r="B63" s="299"/>
      <c r="C63" s="299"/>
      <c r="D63" s="300"/>
      <c r="E63" s="299"/>
    </row>
    <row r="64" spans="1:6" ht="21.75" customHeight="1" x14ac:dyDescent="0.55000000000000004">
      <c r="B64" s="299"/>
      <c r="C64" s="299"/>
      <c r="D64" s="300"/>
      <c r="E64" s="299"/>
    </row>
    <row r="65" spans="2:5" ht="21.75" customHeight="1" x14ac:dyDescent="0.55000000000000004">
      <c r="B65" s="299"/>
      <c r="C65" s="299"/>
      <c r="D65" s="300"/>
      <c r="E65" s="299"/>
    </row>
    <row r="66" spans="2:5" ht="21.75" customHeight="1" x14ac:dyDescent="0.55000000000000004">
      <c r="B66" s="299"/>
      <c r="C66" s="299"/>
      <c r="D66" s="300"/>
      <c r="E66" s="299"/>
    </row>
    <row r="67" spans="2:5" ht="21.75" customHeight="1" x14ac:dyDescent="0.55000000000000004">
      <c r="B67" s="299"/>
      <c r="C67" s="299"/>
      <c r="D67" s="300"/>
      <c r="E67" s="299"/>
    </row>
    <row r="68" spans="2:5" ht="21.75" customHeight="1" x14ac:dyDescent="0.55000000000000004">
      <c r="B68" s="299"/>
      <c r="C68" s="299"/>
      <c r="D68" s="300"/>
      <c r="E68" s="299"/>
    </row>
    <row r="69" spans="2:5" ht="21.75" customHeight="1" x14ac:dyDescent="0.55000000000000004">
      <c r="B69" s="299"/>
      <c r="C69" s="299"/>
      <c r="D69" s="300"/>
      <c r="E69" s="299"/>
    </row>
    <row r="70" spans="2:5" ht="21.75" customHeight="1" x14ac:dyDescent="0.55000000000000004">
      <c r="B70" s="299"/>
      <c r="C70" s="299"/>
      <c r="D70" s="300"/>
      <c r="E70" s="299"/>
    </row>
    <row r="71" spans="2:5" ht="21.75" customHeight="1" x14ac:dyDescent="0.55000000000000004">
      <c r="B71" s="299"/>
      <c r="C71" s="299"/>
      <c r="D71" s="300"/>
      <c r="E71" s="299"/>
    </row>
    <row r="72" spans="2:5" ht="21.75" customHeight="1" x14ac:dyDescent="0.55000000000000004">
      <c r="B72" s="299"/>
      <c r="C72" s="299"/>
      <c r="D72" s="300"/>
      <c r="E72" s="299"/>
    </row>
    <row r="73" spans="2:5" ht="21.75" customHeight="1" x14ac:dyDescent="0.55000000000000004">
      <c r="B73" s="299"/>
      <c r="C73" s="299"/>
      <c r="D73" s="300"/>
      <c r="E73" s="299"/>
    </row>
    <row r="74" spans="2:5" ht="21.75" customHeight="1" x14ac:dyDescent="0.55000000000000004">
      <c r="B74" s="299"/>
      <c r="C74" s="299"/>
      <c r="D74" s="300"/>
      <c r="E74" s="299"/>
    </row>
    <row r="75" spans="2:5" ht="21.75" customHeight="1" x14ac:dyDescent="0.55000000000000004">
      <c r="B75" s="299"/>
      <c r="C75" s="299"/>
      <c r="D75" s="300"/>
      <c r="E75" s="299"/>
    </row>
    <row r="76" spans="2:5" ht="21.75" customHeight="1" x14ac:dyDescent="0.55000000000000004">
      <c r="B76" s="299"/>
      <c r="C76" s="299"/>
      <c r="D76" s="300"/>
      <c r="E76" s="299"/>
    </row>
    <row r="77" spans="2:5" ht="21.75" customHeight="1" x14ac:dyDescent="0.55000000000000004">
      <c r="B77" s="299"/>
      <c r="C77" s="299"/>
      <c r="D77" s="300"/>
      <c r="E77" s="299"/>
    </row>
    <row r="78" spans="2:5" ht="21.75" customHeight="1" x14ac:dyDescent="0.55000000000000004">
      <c r="B78" s="299"/>
      <c r="C78" s="299"/>
      <c r="D78" s="300"/>
      <c r="E78" s="299"/>
    </row>
    <row r="79" spans="2:5" ht="21.75" customHeight="1" x14ac:dyDescent="0.55000000000000004">
      <c r="B79" s="299"/>
      <c r="C79" s="299"/>
      <c r="D79" s="300"/>
      <c r="E79" s="299"/>
    </row>
    <row r="80" spans="2:5" ht="21.75" customHeight="1" x14ac:dyDescent="0.55000000000000004">
      <c r="B80" s="299"/>
      <c r="C80" s="299"/>
      <c r="D80" s="300"/>
      <c r="E80" s="299"/>
    </row>
    <row r="81" spans="2:5" ht="21.75" customHeight="1" x14ac:dyDescent="0.55000000000000004">
      <c r="B81" s="299"/>
      <c r="C81" s="299"/>
      <c r="D81" s="300"/>
      <c r="E81" s="299"/>
    </row>
    <row r="82" spans="2:5" ht="21.75" customHeight="1" x14ac:dyDescent="0.55000000000000004">
      <c r="B82" s="299"/>
      <c r="C82" s="299"/>
      <c r="D82" s="300"/>
      <c r="E82" s="299"/>
    </row>
    <row r="83" spans="2:5" ht="21.75" customHeight="1" x14ac:dyDescent="0.55000000000000004">
      <c r="B83" s="299"/>
      <c r="C83" s="299"/>
      <c r="D83" s="300"/>
      <c r="E83" s="299"/>
    </row>
    <row r="84" spans="2:5" ht="21.75" customHeight="1" x14ac:dyDescent="0.55000000000000004">
      <c r="B84" s="299"/>
      <c r="C84" s="299"/>
      <c r="D84" s="300"/>
      <c r="E84" s="299"/>
    </row>
    <row r="85" spans="2:5" ht="21.75" customHeight="1" x14ac:dyDescent="0.55000000000000004">
      <c r="B85" s="299"/>
      <c r="C85" s="299"/>
      <c r="D85" s="300"/>
      <c r="E85" s="299"/>
    </row>
    <row r="86" spans="2:5" ht="21.75" customHeight="1" x14ac:dyDescent="0.55000000000000004">
      <c r="B86" s="299"/>
      <c r="C86" s="299"/>
      <c r="D86" s="300"/>
      <c r="E86" s="299"/>
    </row>
    <row r="87" spans="2:5" ht="21.75" customHeight="1" x14ac:dyDescent="0.55000000000000004">
      <c r="B87" s="299"/>
      <c r="C87" s="299"/>
      <c r="D87" s="300"/>
      <c r="E87" s="299"/>
    </row>
    <row r="88" spans="2:5" ht="21.75" customHeight="1" x14ac:dyDescent="0.55000000000000004">
      <c r="B88" s="299"/>
      <c r="C88" s="299"/>
      <c r="D88" s="300"/>
      <c r="E88" s="299"/>
    </row>
    <row r="89" spans="2:5" ht="21.75" customHeight="1" x14ac:dyDescent="0.55000000000000004">
      <c r="B89" s="299"/>
      <c r="C89" s="299"/>
      <c r="D89" s="300"/>
      <c r="E89" s="299"/>
    </row>
    <row r="90" spans="2:5" ht="21.75" customHeight="1" x14ac:dyDescent="0.55000000000000004">
      <c r="B90" s="299"/>
      <c r="C90" s="299"/>
      <c r="D90" s="300"/>
      <c r="E90" s="299"/>
    </row>
    <row r="91" spans="2:5" ht="21.75" customHeight="1" x14ac:dyDescent="0.55000000000000004">
      <c r="B91" s="299"/>
      <c r="C91" s="299"/>
      <c r="D91" s="300"/>
      <c r="E91" s="299"/>
    </row>
    <row r="92" spans="2:5" ht="21.75" customHeight="1" x14ac:dyDescent="0.55000000000000004">
      <c r="B92" s="299"/>
      <c r="C92" s="299"/>
      <c r="D92" s="300"/>
      <c r="E92" s="299"/>
    </row>
    <row r="93" spans="2:5" ht="21.75" customHeight="1" x14ac:dyDescent="0.55000000000000004">
      <c r="B93" s="299"/>
      <c r="C93" s="299"/>
      <c r="D93" s="300"/>
      <c r="E93" s="299"/>
    </row>
    <row r="94" spans="2:5" ht="21.75" customHeight="1" x14ac:dyDescent="0.55000000000000004">
      <c r="B94" s="299"/>
      <c r="C94" s="299"/>
      <c r="D94" s="300"/>
      <c r="E94" s="299"/>
    </row>
    <row r="95" spans="2:5" ht="21.75" customHeight="1" x14ac:dyDescent="0.55000000000000004">
      <c r="B95" s="299"/>
      <c r="C95" s="299"/>
      <c r="D95" s="300"/>
      <c r="E95" s="299"/>
    </row>
    <row r="96" spans="2:5" ht="21.75" customHeight="1" x14ac:dyDescent="0.55000000000000004">
      <c r="B96" s="299"/>
      <c r="C96" s="299"/>
      <c r="D96" s="300"/>
      <c r="E96" s="299"/>
    </row>
    <row r="97" spans="2:5" ht="21.75" customHeight="1" x14ac:dyDescent="0.55000000000000004">
      <c r="B97" s="299"/>
      <c r="C97" s="299"/>
      <c r="D97" s="300"/>
      <c r="E97" s="299"/>
    </row>
    <row r="98" spans="2:5" ht="21.75" customHeight="1" x14ac:dyDescent="0.55000000000000004">
      <c r="B98" s="299"/>
      <c r="C98" s="299"/>
      <c r="D98" s="300"/>
      <c r="E98" s="299"/>
    </row>
    <row r="99" spans="2:5" ht="21.75" customHeight="1" x14ac:dyDescent="0.55000000000000004">
      <c r="B99" s="299"/>
      <c r="C99" s="299"/>
      <c r="D99" s="300"/>
      <c r="E99" s="299"/>
    </row>
    <row r="100" spans="2:5" ht="21.75" customHeight="1" x14ac:dyDescent="0.55000000000000004">
      <c r="B100" s="299"/>
      <c r="C100" s="299"/>
      <c r="D100" s="300"/>
      <c r="E100" s="299"/>
    </row>
    <row r="101" spans="2:5" ht="21.75" customHeight="1" x14ac:dyDescent="0.55000000000000004">
      <c r="B101" s="299"/>
      <c r="C101" s="299"/>
      <c r="D101" s="300"/>
      <c r="E101" s="299"/>
    </row>
    <row r="102" spans="2:5" ht="21.75" customHeight="1" x14ac:dyDescent="0.55000000000000004">
      <c r="B102" s="299"/>
      <c r="C102" s="299"/>
      <c r="D102" s="300"/>
      <c r="E102" s="299"/>
    </row>
    <row r="103" spans="2:5" ht="21.75" customHeight="1" x14ac:dyDescent="0.55000000000000004">
      <c r="B103" s="299"/>
      <c r="C103" s="299"/>
      <c r="D103" s="300"/>
      <c r="E103" s="299"/>
    </row>
    <row r="104" spans="2:5" ht="21.75" customHeight="1" x14ac:dyDescent="0.55000000000000004">
      <c r="B104" s="299"/>
      <c r="C104" s="299"/>
      <c r="D104" s="300"/>
      <c r="E104" s="299"/>
    </row>
    <row r="105" spans="2:5" ht="21.75" customHeight="1" x14ac:dyDescent="0.55000000000000004">
      <c r="B105" s="299"/>
      <c r="C105" s="299"/>
      <c r="D105" s="300"/>
      <c r="E105" s="299"/>
    </row>
    <row r="106" spans="2:5" ht="21.75" customHeight="1" x14ac:dyDescent="0.55000000000000004">
      <c r="B106" s="299"/>
      <c r="C106" s="299"/>
      <c r="D106" s="300"/>
      <c r="E106" s="299"/>
    </row>
    <row r="107" spans="2:5" ht="21.75" customHeight="1" x14ac:dyDescent="0.55000000000000004">
      <c r="B107" s="299"/>
      <c r="C107" s="299"/>
      <c r="D107" s="300"/>
      <c r="E107" s="299"/>
    </row>
    <row r="108" spans="2:5" ht="21.75" customHeight="1" x14ac:dyDescent="0.55000000000000004">
      <c r="B108" s="299"/>
      <c r="C108" s="299"/>
      <c r="D108" s="300"/>
      <c r="E108" s="299"/>
    </row>
    <row r="109" spans="2:5" ht="21.75" customHeight="1" x14ac:dyDescent="0.55000000000000004">
      <c r="B109" s="299"/>
      <c r="C109" s="299"/>
      <c r="D109" s="300"/>
      <c r="E109" s="299"/>
    </row>
    <row r="110" spans="2:5" ht="21.75" customHeight="1" x14ac:dyDescent="0.55000000000000004">
      <c r="B110" s="299"/>
      <c r="C110" s="299"/>
      <c r="D110" s="300"/>
      <c r="E110" s="299"/>
    </row>
    <row r="111" spans="2:5" ht="21.75" customHeight="1" x14ac:dyDescent="0.55000000000000004">
      <c r="B111" s="299"/>
      <c r="C111" s="299"/>
      <c r="D111" s="300"/>
      <c r="E111" s="299"/>
    </row>
    <row r="112" spans="2:5" ht="21.75" customHeight="1" x14ac:dyDescent="0.55000000000000004">
      <c r="B112" s="299"/>
      <c r="C112" s="299"/>
      <c r="D112" s="300"/>
      <c r="E112" s="299"/>
    </row>
    <row r="113" spans="2:5" ht="21.75" customHeight="1" x14ac:dyDescent="0.55000000000000004">
      <c r="B113" s="299"/>
      <c r="C113" s="299"/>
      <c r="D113" s="300"/>
      <c r="E113" s="299"/>
    </row>
    <row r="114" spans="2:5" ht="21.75" customHeight="1" x14ac:dyDescent="0.55000000000000004">
      <c r="B114" s="299"/>
      <c r="C114" s="299"/>
      <c r="D114" s="300"/>
      <c r="E114" s="299"/>
    </row>
    <row r="115" spans="2:5" ht="21.75" customHeight="1" x14ac:dyDescent="0.55000000000000004">
      <c r="B115" s="299"/>
      <c r="C115" s="299"/>
      <c r="D115" s="300"/>
      <c r="E115" s="299"/>
    </row>
    <row r="116" spans="2:5" ht="21.75" customHeight="1" x14ac:dyDescent="0.55000000000000004">
      <c r="B116" s="299"/>
      <c r="C116" s="299"/>
      <c r="D116" s="300"/>
      <c r="E116" s="299"/>
    </row>
    <row r="117" spans="2:5" ht="21.75" customHeight="1" x14ac:dyDescent="0.55000000000000004">
      <c r="B117" s="299"/>
      <c r="C117" s="299"/>
      <c r="D117" s="300"/>
      <c r="E117" s="299"/>
    </row>
    <row r="118" spans="2:5" ht="21.75" customHeight="1" x14ac:dyDescent="0.55000000000000004">
      <c r="B118" s="299"/>
      <c r="C118" s="299"/>
      <c r="D118" s="300"/>
      <c r="E118" s="299"/>
    </row>
    <row r="119" spans="2:5" ht="21.75" customHeight="1" x14ac:dyDescent="0.55000000000000004">
      <c r="B119" s="299"/>
      <c r="C119" s="299"/>
      <c r="D119" s="300"/>
      <c r="E119" s="299"/>
    </row>
    <row r="120" spans="2:5" ht="21.75" customHeight="1" x14ac:dyDescent="0.55000000000000004">
      <c r="B120" s="299"/>
      <c r="C120" s="299"/>
      <c r="D120" s="300"/>
      <c r="E120" s="299"/>
    </row>
    <row r="121" spans="2:5" ht="21.75" customHeight="1" x14ac:dyDescent="0.55000000000000004">
      <c r="B121" s="299"/>
      <c r="C121" s="299"/>
      <c r="D121" s="300"/>
      <c r="E121" s="299"/>
    </row>
    <row r="122" spans="2:5" ht="21.75" customHeight="1" x14ac:dyDescent="0.55000000000000004">
      <c r="B122" s="299"/>
      <c r="C122" s="299"/>
      <c r="D122" s="300"/>
      <c r="E122" s="299"/>
    </row>
    <row r="123" spans="2:5" ht="21.75" customHeight="1" x14ac:dyDescent="0.55000000000000004">
      <c r="B123" s="299"/>
      <c r="C123" s="299"/>
      <c r="D123" s="300"/>
      <c r="E123" s="299"/>
    </row>
    <row r="124" spans="2:5" ht="21.75" customHeight="1" x14ac:dyDescent="0.55000000000000004">
      <c r="B124" s="299"/>
      <c r="C124" s="299"/>
      <c r="D124" s="300"/>
      <c r="E124" s="299"/>
    </row>
    <row r="125" spans="2:5" ht="21.75" customHeight="1" x14ac:dyDescent="0.55000000000000004">
      <c r="B125" s="299"/>
      <c r="C125" s="299"/>
      <c r="D125" s="300"/>
      <c r="E125" s="299"/>
    </row>
    <row r="126" spans="2:5" ht="21.75" customHeight="1" x14ac:dyDescent="0.55000000000000004">
      <c r="B126" s="299"/>
      <c r="C126" s="299"/>
      <c r="D126" s="300"/>
      <c r="E126" s="299"/>
    </row>
    <row r="127" spans="2:5" ht="21.75" customHeight="1" x14ac:dyDescent="0.55000000000000004">
      <c r="B127" s="299"/>
      <c r="C127" s="299"/>
      <c r="D127" s="300"/>
      <c r="E127" s="299"/>
    </row>
    <row r="128" spans="2:5" ht="21.75" customHeight="1" x14ac:dyDescent="0.55000000000000004">
      <c r="B128" s="299"/>
      <c r="C128" s="299"/>
      <c r="D128" s="300"/>
      <c r="E128" s="299"/>
    </row>
    <row r="129" spans="2:5" ht="21.75" customHeight="1" x14ac:dyDescent="0.55000000000000004">
      <c r="B129" s="299"/>
      <c r="C129" s="299"/>
      <c r="D129" s="300"/>
      <c r="E129" s="299"/>
    </row>
    <row r="130" spans="2:5" ht="21.75" customHeight="1" x14ac:dyDescent="0.55000000000000004">
      <c r="B130" s="299"/>
      <c r="C130" s="299"/>
      <c r="D130" s="300"/>
      <c r="E130" s="299"/>
    </row>
    <row r="131" spans="2:5" ht="21.75" customHeight="1" x14ac:dyDescent="0.55000000000000004">
      <c r="B131" s="299"/>
      <c r="C131" s="299"/>
      <c r="D131" s="300"/>
      <c r="E131" s="299"/>
    </row>
    <row r="132" spans="2:5" ht="21.75" customHeight="1" x14ac:dyDescent="0.55000000000000004">
      <c r="B132" s="299"/>
      <c r="C132" s="299"/>
      <c r="D132" s="300"/>
      <c r="E132" s="299"/>
    </row>
    <row r="133" spans="2:5" ht="21.75" customHeight="1" x14ac:dyDescent="0.55000000000000004">
      <c r="B133" s="299"/>
      <c r="C133" s="299"/>
      <c r="D133" s="300"/>
      <c r="E133" s="299"/>
    </row>
    <row r="134" spans="2:5" ht="21.75" customHeight="1" x14ac:dyDescent="0.55000000000000004">
      <c r="B134" s="299"/>
      <c r="C134" s="299"/>
      <c r="D134" s="300"/>
      <c r="E134" s="299"/>
    </row>
    <row r="135" spans="2:5" ht="21.75" customHeight="1" x14ac:dyDescent="0.55000000000000004">
      <c r="B135" s="299"/>
      <c r="C135" s="299"/>
      <c r="D135" s="300"/>
      <c r="E135" s="299"/>
    </row>
    <row r="136" spans="2:5" ht="21.75" customHeight="1" x14ac:dyDescent="0.55000000000000004">
      <c r="B136" s="299"/>
      <c r="C136" s="299"/>
      <c r="D136" s="300"/>
      <c r="E136" s="299"/>
    </row>
    <row r="137" spans="2:5" ht="21.75" customHeight="1" x14ac:dyDescent="0.55000000000000004">
      <c r="B137" s="299"/>
      <c r="C137" s="299"/>
      <c r="D137" s="300"/>
      <c r="E137" s="299"/>
    </row>
    <row r="138" spans="2:5" ht="21.75" customHeight="1" x14ac:dyDescent="0.55000000000000004">
      <c r="B138" s="299"/>
      <c r="C138" s="299"/>
      <c r="D138" s="300"/>
      <c r="E138" s="299"/>
    </row>
    <row r="139" spans="2:5" ht="21.75" customHeight="1" x14ac:dyDescent="0.55000000000000004">
      <c r="B139" s="299"/>
      <c r="C139" s="299"/>
      <c r="D139" s="300"/>
      <c r="E139" s="299"/>
    </row>
    <row r="140" spans="2:5" ht="21.75" customHeight="1" x14ac:dyDescent="0.55000000000000004">
      <c r="B140" s="299"/>
      <c r="C140" s="299"/>
      <c r="D140" s="300"/>
      <c r="E140" s="299"/>
    </row>
    <row r="141" spans="2:5" ht="21.75" customHeight="1" x14ac:dyDescent="0.55000000000000004">
      <c r="B141" s="299"/>
      <c r="C141" s="299"/>
      <c r="D141" s="300"/>
      <c r="E141" s="299"/>
    </row>
    <row r="142" spans="2:5" ht="21.75" customHeight="1" x14ac:dyDescent="0.55000000000000004">
      <c r="B142" s="299"/>
      <c r="C142" s="299"/>
      <c r="D142" s="300"/>
      <c r="E142" s="299"/>
    </row>
    <row r="143" spans="2:5" ht="21.75" customHeight="1" x14ac:dyDescent="0.55000000000000004">
      <c r="B143" s="299"/>
      <c r="C143" s="299"/>
      <c r="D143" s="300"/>
      <c r="E143" s="299"/>
    </row>
    <row r="144" spans="2:5" ht="21.75" customHeight="1" x14ac:dyDescent="0.55000000000000004">
      <c r="B144" s="299"/>
      <c r="C144" s="299"/>
      <c r="D144" s="300"/>
      <c r="E144" s="299"/>
    </row>
    <row r="145" spans="2:5" ht="21.75" customHeight="1" x14ac:dyDescent="0.55000000000000004">
      <c r="B145" s="299"/>
      <c r="C145" s="299"/>
      <c r="D145" s="300"/>
      <c r="E145" s="299"/>
    </row>
    <row r="146" spans="2:5" ht="21.75" customHeight="1" x14ac:dyDescent="0.55000000000000004">
      <c r="B146" s="299"/>
      <c r="C146" s="299"/>
      <c r="D146" s="300"/>
      <c r="E146" s="299"/>
    </row>
    <row r="147" spans="2:5" ht="21.75" customHeight="1" x14ac:dyDescent="0.55000000000000004">
      <c r="B147" s="299"/>
      <c r="C147" s="299"/>
      <c r="D147" s="300"/>
      <c r="E147" s="299"/>
    </row>
    <row r="148" spans="2:5" ht="21.75" customHeight="1" x14ac:dyDescent="0.55000000000000004">
      <c r="B148" s="299"/>
      <c r="C148" s="299"/>
      <c r="D148" s="300"/>
      <c r="E148" s="299"/>
    </row>
    <row r="149" spans="2:5" ht="21.75" customHeight="1" x14ac:dyDescent="0.55000000000000004">
      <c r="B149" s="299"/>
      <c r="C149" s="299"/>
      <c r="D149" s="300"/>
      <c r="E149" s="299"/>
    </row>
    <row r="150" spans="2:5" ht="21.75" customHeight="1" x14ac:dyDescent="0.55000000000000004">
      <c r="B150" s="299"/>
      <c r="C150" s="299"/>
      <c r="D150" s="300"/>
      <c r="E150" s="299"/>
    </row>
    <row r="151" spans="2:5" ht="21.75" customHeight="1" x14ac:dyDescent="0.55000000000000004">
      <c r="B151" s="299"/>
      <c r="C151" s="299"/>
      <c r="D151" s="300"/>
      <c r="E151" s="299"/>
    </row>
    <row r="152" spans="2:5" ht="21.75" customHeight="1" x14ac:dyDescent="0.55000000000000004">
      <c r="B152" s="299"/>
      <c r="C152" s="299"/>
      <c r="D152" s="300"/>
      <c r="E152" s="299"/>
    </row>
    <row r="153" spans="2:5" ht="21.75" customHeight="1" x14ac:dyDescent="0.55000000000000004">
      <c r="B153" s="299"/>
      <c r="C153" s="299"/>
      <c r="D153" s="300"/>
      <c r="E153" s="299"/>
    </row>
    <row r="154" spans="2:5" ht="21.75" customHeight="1" x14ac:dyDescent="0.55000000000000004">
      <c r="B154" s="299"/>
      <c r="C154" s="299"/>
      <c r="D154" s="300"/>
      <c r="E154" s="299"/>
    </row>
    <row r="155" spans="2:5" ht="21.75" customHeight="1" x14ac:dyDescent="0.55000000000000004">
      <c r="B155" s="299"/>
      <c r="C155" s="299"/>
      <c r="D155" s="300"/>
      <c r="E155" s="299"/>
    </row>
    <row r="156" spans="2:5" ht="21.75" customHeight="1" x14ac:dyDescent="0.55000000000000004">
      <c r="B156" s="299"/>
      <c r="C156" s="299"/>
      <c r="D156" s="300"/>
      <c r="E156" s="299"/>
    </row>
    <row r="157" spans="2:5" ht="21.75" customHeight="1" x14ac:dyDescent="0.55000000000000004">
      <c r="B157" s="299"/>
      <c r="C157" s="299"/>
      <c r="D157" s="300"/>
      <c r="E157" s="299"/>
    </row>
    <row r="158" spans="2:5" ht="21.75" customHeight="1" x14ac:dyDescent="0.55000000000000004">
      <c r="B158" s="299"/>
      <c r="C158" s="299"/>
      <c r="D158" s="300"/>
      <c r="E158" s="299"/>
    </row>
    <row r="159" spans="2:5" ht="21.75" customHeight="1" x14ac:dyDescent="0.55000000000000004">
      <c r="B159" s="299"/>
      <c r="C159" s="299"/>
      <c r="D159" s="300"/>
      <c r="E159" s="299"/>
    </row>
    <row r="160" spans="2:5" ht="21.75" customHeight="1" x14ac:dyDescent="0.55000000000000004">
      <c r="B160" s="299"/>
      <c r="C160" s="299"/>
      <c r="D160" s="300"/>
      <c r="E160" s="299"/>
    </row>
    <row r="161" spans="2:5" ht="21.75" customHeight="1" x14ac:dyDescent="0.55000000000000004">
      <c r="B161" s="299"/>
      <c r="C161" s="299"/>
      <c r="D161" s="300"/>
      <c r="E161" s="299"/>
    </row>
    <row r="162" spans="2:5" ht="21.75" customHeight="1" x14ac:dyDescent="0.55000000000000004">
      <c r="B162" s="299"/>
      <c r="C162" s="299"/>
      <c r="D162" s="300"/>
      <c r="E162" s="299"/>
    </row>
    <row r="163" spans="2:5" ht="21.75" customHeight="1" x14ac:dyDescent="0.55000000000000004">
      <c r="B163" s="299"/>
      <c r="C163" s="299"/>
      <c r="D163" s="300"/>
      <c r="E163" s="299"/>
    </row>
    <row r="164" spans="2:5" ht="21.75" customHeight="1" x14ac:dyDescent="0.55000000000000004">
      <c r="B164" s="299"/>
      <c r="C164" s="299"/>
      <c r="D164" s="300"/>
      <c r="E164" s="299"/>
    </row>
    <row r="165" spans="2:5" ht="21.75" customHeight="1" x14ac:dyDescent="0.55000000000000004">
      <c r="B165" s="299"/>
      <c r="C165" s="299"/>
      <c r="D165" s="300"/>
      <c r="E165" s="299"/>
    </row>
    <row r="166" spans="2:5" ht="21.75" customHeight="1" x14ac:dyDescent="0.55000000000000004">
      <c r="B166" s="299"/>
      <c r="C166" s="299"/>
      <c r="D166" s="300"/>
      <c r="E166" s="299"/>
    </row>
    <row r="167" spans="2:5" ht="21.75" customHeight="1" x14ac:dyDescent="0.55000000000000004">
      <c r="B167" s="299"/>
      <c r="C167" s="299"/>
      <c r="D167" s="300"/>
      <c r="E167" s="299"/>
    </row>
    <row r="168" spans="2:5" ht="21.75" customHeight="1" x14ac:dyDescent="0.55000000000000004">
      <c r="B168" s="299"/>
      <c r="C168" s="299"/>
      <c r="D168" s="300"/>
      <c r="E168" s="299"/>
    </row>
    <row r="169" spans="2:5" ht="21.75" customHeight="1" x14ac:dyDescent="0.55000000000000004">
      <c r="B169" s="299"/>
      <c r="C169" s="299"/>
      <c r="D169" s="300"/>
      <c r="E169" s="299"/>
    </row>
    <row r="170" spans="2:5" ht="21.75" customHeight="1" x14ac:dyDescent="0.55000000000000004">
      <c r="B170" s="299"/>
      <c r="C170" s="299"/>
      <c r="D170" s="300"/>
      <c r="E170" s="299"/>
    </row>
    <row r="171" spans="2:5" ht="21.75" customHeight="1" x14ac:dyDescent="0.55000000000000004">
      <c r="B171" s="299"/>
      <c r="C171" s="299"/>
      <c r="D171" s="300"/>
      <c r="E171" s="299"/>
    </row>
    <row r="172" spans="2:5" ht="21.75" customHeight="1" x14ac:dyDescent="0.55000000000000004">
      <c r="B172" s="299"/>
      <c r="C172" s="299"/>
      <c r="D172" s="300"/>
      <c r="E172" s="299"/>
    </row>
    <row r="173" spans="2:5" ht="21.75" customHeight="1" x14ac:dyDescent="0.55000000000000004">
      <c r="B173" s="299"/>
      <c r="C173" s="299"/>
      <c r="D173" s="300"/>
      <c r="E173" s="299"/>
    </row>
    <row r="174" spans="2:5" ht="21.75" customHeight="1" x14ac:dyDescent="0.55000000000000004">
      <c r="B174" s="299"/>
      <c r="C174" s="299"/>
      <c r="D174" s="300"/>
      <c r="E174" s="299"/>
    </row>
    <row r="175" spans="2:5" ht="21.75" customHeight="1" x14ac:dyDescent="0.55000000000000004">
      <c r="B175" s="299"/>
      <c r="C175" s="299"/>
      <c r="D175" s="300"/>
      <c r="E175" s="299"/>
    </row>
    <row r="176" spans="2:5" ht="21.75" customHeight="1" x14ac:dyDescent="0.55000000000000004">
      <c r="B176" s="299"/>
      <c r="C176" s="299"/>
      <c r="D176" s="300"/>
      <c r="E176" s="299"/>
    </row>
    <row r="177" spans="2:5" ht="21.75" customHeight="1" x14ac:dyDescent="0.55000000000000004">
      <c r="B177" s="299"/>
      <c r="C177" s="299"/>
      <c r="D177" s="300"/>
      <c r="E177" s="299"/>
    </row>
    <row r="178" spans="2:5" ht="21.75" customHeight="1" x14ac:dyDescent="0.55000000000000004">
      <c r="B178" s="299"/>
      <c r="C178" s="299"/>
      <c r="D178" s="300"/>
      <c r="E178" s="299"/>
    </row>
    <row r="179" spans="2:5" ht="21.75" customHeight="1" x14ac:dyDescent="0.55000000000000004">
      <c r="B179" s="299"/>
      <c r="C179" s="299"/>
      <c r="D179" s="300"/>
      <c r="E179" s="299"/>
    </row>
    <row r="180" spans="2:5" ht="21.75" customHeight="1" x14ac:dyDescent="0.55000000000000004">
      <c r="B180" s="299"/>
      <c r="C180" s="299"/>
      <c r="D180" s="300"/>
      <c r="E180" s="299"/>
    </row>
    <row r="181" spans="2:5" ht="21.75" customHeight="1" x14ac:dyDescent="0.55000000000000004">
      <c r="B181" s="299"/>
      <c r="C181" s="299"/>
      <c r="D181" s="300"/>
      <c r="E181" s="299"/>
    </row>
    <row r="182" spans="2:5" ht="21.75" customHeight="1" x14ac:dyDescent="0.55000000000000004">
      <c r="B182" s="299"/>
      <c r="C182" s="299"/>
      <c r="D182" s="300"/>
      <c r="E182" s="299"/>
    </row>
    <row r="183" spans="2:5" ht="21.75" customHeight="1" x14ac:dyDescent="0.55000000000000004">
      <c r="B183" s="299"/>
      <c r="C183" s="299"/>
      <c r="D183" s="300"/>
      <c r="E183" s="299"/>
    </row>
    <row r="184" spans="2:5" ht="21.75" customHeight="1" x14ac:dyDescent="0.55000000000000004">
      <c r="B184" s="299"/>
      <c r="C184" s="299"/>
      <c r="D184" s="300"/>
      <c r="E184" s="299"/>
    </row>
    <row r="185" spans="2:5" ht="21.75" customHeight="1" x14ac:dyDescent="0.55000000000000004">
      <c r="B185" s="299"/>
      <c r="C185" s="299"/>
      <c r="D185" s="300"/>
      <c r="E185" s="299"/>
    </row>
    <row r="186" spans="2:5" ht="21.75" customHeight="1" x14ac:dyDescent="0.55000000000000004">
      <c r="B186" s="299"/>
      <c r="C186" s="299"/>
      <c r="D186" s="300"/>
      <c r="E186" s="299"/>
    </row>
    <row r="187" spans="2:5" ht="21.75" customHeight="1" x14ac:dyDescent="0.55000000000000004">
      <c r="B187" s="299"/>
      <c r="C187" s="299"/>
      <c r="D187" s="300"/>
      <c r="E187" s="299"/>
    </row>
    <row r="188" spans="2:5" ht="21.75" customHeight="1" x14ac:dyDescent="0.55000000000000004">
      <c r="B188" s="299"/>
      <c r="C188" s="299"/>
      <c r="D188" s="300"/>
      <c r="E188" s="299"/>
    </row>
    <row r="189" spans="2:5" ht="21.75" customHeight="1" x14ac:dyDescent="0.55000000000000004">
      <c r="B189" s="299"/>
      <c r="C189" s="299"/>
      <c r="D189" s="300"/>
      <c r="E189" s="299"/>
    </row>
    <row r="190" spans="2:5" ht="21.75" customHeight="1" x14ac:dyDescent="0.55000000000000004">
      <c r="B190" s="299"/>
      <c r="C190" s="299"/>
      <c r="D190" s="300"/>
      <c r="E190" s="299"/>
    </row>
    <row r="191" spans="2:5" ht="21.75" customHeight="1" x14ac:dyDescent="0.55000000000000004">
      <c r="B191" s="299"/>
      <c r="C191" s="299"/>
      <c r="D191" s="300"/>
      <c r="E191" s="299"/>
    </row>
    <row r="192" spans="2:5" ht="21.75" customHeight="1" x14ac:dyDescent="0.55000000000000004">
      <c r="B192" s="299"/>
      <c r="C192" s="299"/>
      <c r="D192" s="300"/>
      <c r="E192" s="299"/>
    </row>
    <row r="193" spans="2:5" ht="21.75" customHeight="1" x14ac:dyDescent="0.55000000000000004">
      <c r="B193" s="299"/>
      <c r="C193" s="299"/>
      <c r="D193" s="300"/>
      <c r="E193" s="299"/>
    </row>
    <row r="194" spans="2:5" ht="21.75" customHeight="1" x14ac:dyDescent="0.55000000000000004">
      <c r="B194" s="299"/>
      <c r="C194" s="299"/>
      <c r="D194" s="300"/>
      <c r="E194" s="299"/>
    </row>
    <row r="195" spans="2:5" ht="21.75" customHeight="1" x14ac:dyDescent="0.55000000000000004">
      <c r="B195" s="299"/>
      <c r="C195" s="299"/>
      <c r="D195" s="300"/>
      <c r="E195" s="299"/>
    </row>
    <row r="196" spans="2:5" ht="21.75" customHeight="1" x14ac:dyDescent="0.55000000000000004">
      <c r="B196" s="299"/>
      <c r="C196" s="299"/>
      <c r="D196" s="300"/>
      <c r="E196" s="299"/>
    </row>
    <row r="197" spans="2:5" ht="21.75" customHeight="1" x14ac:dyDescent="0.55000000000000004">
      <c r="B197" s="299"/>
      <c r="C197" s="299"/>
      <c r="D197" s="300"/>
      <c r="E197" s="299"/>
    </row>
    <row r="198" spans="2:5" ht="21.75" customHeight="1" x14ac:dyDescent="0.55000000000000004">
      <c r="B198" s="299"/>
      <c r="C198" s="299"/>
      <c r="D198" s="300"/>
      <c r="E198" s="299"/>
    </row>
    <row r="199" spans="2:5" ht="21.75" customHeight="1" x14ac:dyDescent="0.55000000000000004">
      <c r="B199" s="299"/>
      <c r="C199" s="299"/>
      <c r="D199" s="300"/>
      <c r="E199" s="299"/>
    </row>
    <row r="200" spans="2:5" ht="21.75" customHeight="1" x14ac:dyDescent="0.55000000000000004">
      <c r="B200" s="299"/>
      <c r="C200" s="299"/>
      <c r="D200" s="300"/>
      <c r="E200" s="299"/>
    </row>
    <row r="201" spans="2:5" ht="21.75" customHeight="1" x14ac:dyDescent="0.55000000000000004">
      <c r="B201" s="299"/>
      <c r="C201" s="299"/>
      <c r="D201" s="300"/>
      <c r="E201" s="299"/>
    </row>
    <row r="202" spans="2:5" ht="21.75" customHeight="1" x14ac:dyDescent="0.55000000000000004">
      <c r="B202" s="299"/>
      <c r="C202" s="299"/>
      <c r="D202" s="300"/>
      <c r="E202" s="299"/>
    </row>
    <row r="203" spans="2:5" ht="21.75" customHeight="1" x14ac:dyDescent="0.55000000000000004">
      <c r="B203" s="299"/>
      <c r="C203" s="299"/>
      <c r="D203" s="300"/>
      <c r="E203" s="299"/>
    </row>
    <row r="204" spans="2:5" ht="21.75" customHeight="1" x14ac:dyDescent="0.55000000000000004">
      <c r="B204" s="299"/>
      <c r="C204" s="299"/>
      <c r="D204" s="300"/>
      <c r="E204" s="299"/>
    </row>
    <row r="205" spans="2:5" ht="21.75" customHeight="1" x14ac:dyDescent="0.55000000000000004">
      <c r="B205" s="299"/>
      <c r="C205" s="299"/>
      <c r="D205" s="300"/>
      <c r="E205" s="299"/>
    </row>
    <row r="206" spans="2:5" ht="21.75" customHeight="1" x14ac:dyDescent="0.55000000000000004">
      <c r="B206" s="299"/>
      <c r="C206" s="299"/>
      <c r="D206" s="300"/>
      <c r="E206" s="299"/>
    </row>
    <row r="207" spans="2:5" ht="21.75" customHeight="1" x14ac:dyDescent="0.55000000000000004">
      <c r="B207" s="299"/>
      <c r="C207" s="299"/>
      <c r="D207" s="300"/>
      <c r="E207" s="299"/>
    </row>
    <row r="208" spans="2:5" ht="21.75" customHeight="1" x14ac:dyDescent="0.55000000000000004">
      <c r="B208" s="299"/>
      <c r="C208" s="299"/>
      <c r="D208" s="300"/>
      <c r="E208" s="299"/>
    </row>
    <row r="209" spans="2:5" ht="21.75" customHeight="1" x14ac:dyDescent="0.55000000000000004">
      <c r="B209" s="299"/>
      <c r="C209" s="299"/>
      <c r="D209" s="300"/>
      <c r="E209" s="299"/>
    </row>
    <row r="210" spans="2:5" ht="21.75" customHeight="1" x14ac:dyDescent="0.55000000000000004">
      <c r="B210" s="299"/>
      <c r="C210" s="299"/>
      <c r="D210" s="300"/>
      <c r="E210" s="299"/>
    </row>
    <row r="211" spans="2:5" ht="21.75" customHeight="1" x14ac:dyDescent="0.55000000000000004">
      <c r="B211" s="299"/>
      <c r="C211" s="299"/>
      <c r="D211" s="300"/>
      <c r="E211" s="299"/>
    </row>
    <row r="212" spans="2:5" ht="21.75" customHeight="1" x14ac:dyDescent="0.55000000000000004">
      <c r="B212" s="299"/>
      <c r="C212" s="299"/>
      <c r="D212" s="300"/>
      <c r="E212" s="299"/>
    </row>
    <row r="213" spans="2:5" ht="21.75" customHeight="1" x14ac:dyDescent="0.55000000000000004">
      <c r="B213" s="299"/>
      <c r="C213" s="299"/>
      <c r="D213" s="300"/>
      <c r="E213" s="299"/>
    </row>
    <row r="214" spans="2:5" ht="21.75" customHeight="1" x14ac:dyDescent="0.55000000000000004">
      <c r="B214" s="299"/>
      <c r="C214" s="299"/>
      <c r="D214" s="300"/>
      <c r="E214" s="299"/>
    </row>
    <row r="215" spans="2:5" ht="21.75" customHeight="1" x14ac:dyDescent="0.55000000000000004">
      <c r="B215" s="299"/>
      <c r="C215" s="299"/>
      <c r="D215" s="300"/>
      <c r="E215" s="299"/>
    </row>
    <row r="216" spans="2:5" ht="21.75" customHeight="1" x14ac:dyDescent="0.55000000000000004">
      <c r="B216" s="299"/>
      <c r="C216" s="299"/>
      <c r="D216" s="300"/>
      <c r="E216" s="299"/>
    </row>
    <row r="217" spans="2:5" ht="21.75" customHeight="1" x14ac:dyDescent="0.55000000000000004">
      <c r="B217" s="299"/>
      <c r="C217" s="299"/>
      <c r="D217" s="300"/>
      <c r="E217" s="299"/>
    </row>
    <row r="218" spans="2:5" ht="21.75" customHeight="1" x14ac:dyDescent="0.55000000000000004">
      <c r="B218" s="299"/>
      <c r="C218" s="299"/>
      <c r="D218" s="300"/>
      <c r="E218" s="299"/>
    </row>
    <row r="219" spans="2:5" ht="21.75" customHeight="1" x14ac:dyDescent="0.55000000000000004">
      <c r="B219" s="299"/>
      <c r="C219" s="299"/>
      <c r="D219" s="300"/>
      <c r="E219" s="299"/>
    </row>
    <row r="220" spans="2:5" ht="21.75" customHeight="1" x14ac:dyDescent="0.55000000000000004">
      <c r="B220" s="299"/>
      <c r="C220" s="299"/>
      <c r="D220" s="300"/>
      <c r="E220" s="299"/>
    </row>
    <row r="221" spans="2:5" ht="21.75" customHeight="1" x14ac:dyDescent="0.55000000000000004">
      <c r="B221" s="299"/>
      <c r="C221" s="299"/>
      <c r="D221" s="300"/>
      <c r="E221" s="299"/>
    </row>
    <row r="222" spans="2:5" ht="21.75" customHeight="1" x14ac:dyDescent="0.55000000000000004">
      <c r="B222" s="299"/>
      <c r="C222" s="299"/>
      <c r="D222" s="300"/>
      <c r="E222" s="299"/>
    </row>
    <row r="223" spans="2:5" ht="21.75" customHeight="1" x14ac:dyDescent="0.55000000000000004">
      <c r="B223" s="299"/>
      <c r="C223" s="299"/>
      <c r="D223" s="300"/>
      <c r="E223" s="299"/>
    </row>
    <row r="224" spans="2:5" ht="21.75" customHeight="1" x14ac:dyDescent="0.55000000000000004">
      <c r="B224" s="299"/>
      <c r="C224" s="299"/>
      <c r="D224" s="300"/>
      <c r="E224" s="299"/>
    </row>
    <row r="225" spans="2:5" ht="21.75" customHeight="1" x14ac:dyDescent="0.55000000000000004">
      <c r="B225" s="299"/>
      <c r="C225" s="299"/>
      <c r="D225" s="300"/>
      <c r="E225" s="299"/>
    </row>
    <row r="226" spans="2:5" ht="21.75" customHeight="1" x14ac:dyDescent="0.55000000000000004">
      <c r="B226" s="299"/>
      <c r="C226" s="299"/>
      <c r="D226" s="300"/>
      <c r="E226" s="299"/>
    </row>
    <row r="227" spans="2:5" ht="21.75" customHeight="1" x14ac:dyDescent="0.55000000000000004">
      <c r="B227" s="299"/>
      <c r="C227" s="299"/>
      <c r="D227" s="300"/>
      <c r="E227" s="299"/>
    </row>
    <row r="228" spans="2:5" ht="21.75" customHeight="1" x14ac:dyDescent="0.55000000000000004">
      <c r="B228" s="299"/>
      <c r="C228" s="299"/>
      <c r="D228" s="300"/>
      <c r="E228" s="299"/>
    </row>
    <row r="229" spans="2:5" ht="21.75" customHeight="1" x14ac:dyDescent="0.55000000000000004">
      <c r="B229" s="299"/>
      <c r="C229" s="299"/>
      <c r="D229" s="300"/>
      <c r="E229" s="299"/>
    </row>
    <row r="230" spans="2:5" ht="21.75" customHeight="1" x14ac:dyDescent="0.55000000000000004">
      <c r="B230" s="299"/>
      <c r="C230" s="299"/>
      <c r="D230" s="300"/>
      <c r="E230" s="299"/>
    </row>
    <row r="231" spans="2:5" ht="21.75" customHeight="1" x14ac:dyDescent="0.55000000000000004">
      <c r="B231" s="299"/>
      <c r="C231" s="299"/>
      <c r="D231" s="300"/>
      <c r="E231" s="299"/>
    </row>
    <row r="232" spans="2:5" ht="21.75" customHeight="1" x14ac:dyDescent="0.55000000000000004">
      <c r="B232" s="299"/>
      <c r="C232" s="299"/>
      <c r="D232" s="300"/>
      <c r="E232" s="299"/>
    </row>
    <row r="233" spans="2:5" ht="21.75" customHeight="1" x14ac:dyDescent="0.55000000000000004">
      <c r="B233" s="299"/>
      <c r="C233" s="299"/>
      <c r="D233" s="300"/>
      <c r="E233" s="299"/>
    </row>
    <row r="234" spans="2:5" ht="21.75" customHeight="1" x14ac:dyDescent="0.55000000000000004">
      <c r="B234" s="299"/>
      <c r="C234" s="299"/>
      <c r="D234" s="300"/>
      <c r="E234" s="299"/>
    </row>
    <row r="235" spans="2:5" ht="21.75" customHeight="1" x14ac:dyDescent="0.55000000000000004">
      <c r="B235" s="299"/>
      <c r="C235" s="299"/>
      <c r="D235" s="300"/>
      <c r="E235" s="299"/>
    </row>
    <row r="236" spans="2:5" ht="21.75" customHeight="1" x14ac:dyDescent="0.55000000000000004">
      <c r="B236" s="299"/>
      <c r="C236" s="299"/>
      <c r="D236" s="300"/>
      <c r="E236" s="299"/>
    </row>
    <row r="237" spans="2:5" ht="21.75" customHeight="1" x14ac:dyDescent="0.55000000000000004">
      <c r="B237" s="299"/>
      <c r="C237" s="299"/>
      <c r="D237" s="300"/>
      <c r="E237" s="299"/>
    </row>
    <row r="238" spans="2:5" ht="21.75" customHeight="1" x14ac:dyDescent="0.55000000000000004">
      <c r="B238" s="299"/>
      <c r="C238" s="299"/>
      <c r="D238" s="300"/>
      <c r="E238" s="299"/>
    </row>
    <row r="239" spans="2:5" ht="21.75" customHeight="1" x14ac:dyDescent="0.55000000000000004">
      <c r="B239" s="299"/>
      <c r="C239" s="299"/>
      <c r="D239" s="300"/>
      <c r="E239" s="299"/>
    </row>
    <row r="240" spans="2:5" ht="21.75" customHeight="1" x14ac:dyDescent="0.55000000000000004">
      <c r="B240" s="299"/>
      <c r="C240" s="299"/>
      <c r="D240" s="300"/>
      <c r="E240" s="299"/>
    </row>
    <row r="241" spans="1:26" ht="21.75" customHeight="1" x14ac:dyDescent="0.55000000000000004">
      <c r="B241" s="299"/>
      <c r="C241" s="299"/>
      <c r="D241" s="300"/>
      <c r="E241" s="299"/>
    </row>
    <row r="242" spans="1:26" ht="21.75" customHeight="1" x14ac:dyDescent="0.55000000000000004">
      <c r="B242" s="299"/>
      <c r="C242" s="299"/>
      <c r="D242" s="300"/>
      <c r="E242" s="299"/>
    </row>
    <row r="243" spans="1:26" ht="21.75" customHeight="1" x14ac:dyDescent="0.55000000000000004">
      <c r="B243" s="299"/>
      <c r="C243" s="299"/>
      <c r="D243" s="300"/>
      <c r="E243" s="299"/>
    </row>
    <row r="244" spans="1:26" ht="21.75" customHeight="1" x14ac:dyDescent="0.55000000000000004">
      <c r="B244" s="299"/>
      <c r="C244" s="299"/>
      <c r="D244" s="300"/>
      <c r="E244" s="299"/>
    </row>
    <row r="245" spans="1:26" ht="21.75" customHeight="1" x14ac:dyDescent="0.55000000000000004">
      <c r="B245" s="299"/>
      <c r="C245" s="299"/>
      <c r="D245" s="300"/>
      <c r="E245" s="299"/>
    </row>
    <row r="246" spans="1:26" ht="21.75" customHeight="1" x14ac:dyDescent="0.55000000000000004">
      <c r="B246" s="299"/>
      <c r="C246" s="299"/>
      <c r="D246" s="300"/>
      <c r="E246" s="299"/>
    </row>
    <row r="247" spans="1:26" ht="21.75" customHeight="1" x14ac:dyDescent="0.55000000000000004">
      <c r="B247" s="299"/>
      <c r="C247" s="299"/>
      <c r="D247" s="300"/>
      <c r="E247" s="299"/>
    </row>
    <row r="248" spans="1:26" ht="21.75" customHeight="1" x14ac:dyDescent="0.55000000000000004">
      <c r="B248" s="299"/>
      <c r="C248" s="299"/>
      <c r="D248" s="300"/>
      <c r="E248" s="299"/>
    </row>
    <row r="249" spans="1:26" ht="21.75" customHeight="1" x14ac:dyDescent="0.55000000000000004">
      <c r="B249" s="299"/>
      <c r="C249" s="299"/>
      <c r="D249" s="300"/>
      <c r="E249" s="299"/>
    </row>
    <row r="250" spans="1:26" ht="15.75" customHeight="1" x14ac:dyDescent="0.55000000000000004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5.75" customHeight="1" x14ac:dyDescent="0.55000000000000004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5.75" customHeight="1" x14ac:dyDescent="0.55000000000000004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5.75" customHeight="1" x14ac:dyDescent="0.55000000000000004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5.75" customHeight="1" x14ac:dyDescent="0.55000000000000004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5.75" customHeight="1" x14ac:dyDescent="0.55000000000000004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5.75" customHeight="1" x14ac:dyDescent="0.55000000000000004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5.75" customHeight="1" x14ac:dyDescent="0.55000000000000004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5.75" customHeight="1" x14ac:dyDescent="0.55000000000000004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5.75" customHeight="1" x14ac:dyDescent="0.55000000000000004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5.75" customHeight="1" x14ac:dyDescent="0.55000000000000004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5.75" customHeight="1" x14ac:dyDescent="0.55000000000000004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5.75" customHeight="1" x14ac:dyDescent="0.55000000000000004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5.75" customHeight="1" x14ac:dyDescent="0.55000000000000004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5.75" customHeight="1" x14ac:dyDescent="0.55000000000000004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5.75" customHeight="1" x14ac:dyDescent="0.55000000000000004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5.75" customHeight="1" x14ac:dyDescent="0.55000000000000004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5.75" customHeight="1" x14ac:dyDescent="0.55000000000000004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5.75" customHeight="1" x14ac:dyDescent="0.55000000000000004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5.75" customHeight="1" x14ac:dyDescent="0.55000000000000004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5.75" customHeight="1" x14ac:dyDescent="0.55000000000000004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5.75" customHeight="1" x14ac:dyDescent="0.55000000000000004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5.75" customHeight="1" x14ac:dyDescent="0.55000000000000004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5.75" customHeight="1" x14ac:dyDescent="0.55000000000000004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5.75" customHeight="1" x14ac:dyDescent="0.55000000000000004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5.75" customHeight="1" x14ac:dyDescent="0.55000000000000004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5.75" customHeight="1" x14ac:dyDescent="0.55000000000000004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5.75" customHeight="1" x14ac:dyDescent="0.55000000000000004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5.75" customHeight="1" x14ac:dyDescent="0.55000000000000004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5.75" customHeight="1" x14ac:dyDescent="0.55000000000000004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5.75" customHeight="1" x14ac:dyDescent="0.55000000000000004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5.75" customHeight="1" x14ac:dyDescent="0.55000000000000004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5.75" customHeight="1" x14ac:dyDescent="0.55000000000000004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5.75" customHeight="1" x14ac:dyDescent="0.55000000000000004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5.75" customHeight="1" x14ac:dyDescent="0.55000000000000004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5.75" customHeight="1" x14ac:dyDescent="0.55000000000000004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5.75" customHeight="1" x14ac:dyDescent="0.55000000000000004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5.75" customHeight="1" x14ac:dyDescent="0.55000000000000004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5.75" customHeight="1" x14ac:dyDescent="0.55000000000000004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5.75" customHeight="1" x14ac:dyDescent="0.55000000000000004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5.75" customHeight="1" x14ac:dyDescent="0.55000000000000004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5.75" customHeight="1" x14ac:dyDescent="0.55000000000000004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5.75" customHeight="1" x14ac:dyDescent="0.55000000000000004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5.75" customHeight="1" x14ac:dyDescent="0.55000000000000004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5.75" customHeight="1" x14ac:dyDescent="0.55000000000000004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5.75" customHeight="1" x14ac:dyDescent="0.55000000000000004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5.75" customHeight="1" x14ac:dyDescent="0.55000000000000004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5.75" customHeight="1" x14ac:dyDescent="0.55000000000000004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5.75" customHeight="1" x14ac:dyDescent="0.55000000000000004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5.75" customHeight="1" x14ac:dyDescent="0.55000000000000004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5.75" customHeight="1" x14ac:dyDescent="0.55000000000000004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5.75" customHeight="1" x14ac:dyDescent="0.55000000000000004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5.75" customHeight="1" x14ac:dyDescent="0.55000000000000004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5.75" customHeight="1" x14ac:dyDescent="0.55000000000000004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5.75" customHeight="1" x14ac:dyDescent="0.55000000000000004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5.75" customHeight="1" x14ac:dyDescent="0.55000000000000004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5.75" customHeight="1" x14ac:dyDescent="0.55000000000000004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5.75" customHeight="1" x14ac:dyDescent="0.55000000000000004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5.75" customHeight="1" x14ac:dyDescent="0.55000000000000004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5.75" customHeight="1" x14ac:dyDescent="0.55000000000000004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5.75" customHeight="1" x14ac:dyDescent="0.55000000000000004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5.75" customHeight="1" x14ac:dyDescent="0.55000000000000004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5.75" customHeight="1" x14ac:dyDescent="0.55000000000000004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5.75" customHeight="1" x14ac:dyDescent="0.55000000000000004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5.75" customHeight="1" x14ac:dyDescent="0.55000000000000004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5.75" customHeight="1" x14ac:dyDescent="0.55000000000000004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5.75" customHeight="1" x14ac:dyDescent="0.55000000000000004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5.75" customHeight="1" x14ac:dyDescent="0.55000000000000004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5.75" customHeight="1" x14ac:dyDescent="0.55000000000000004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5.75" customHeight="1" x14ac:dyDescent="0.55000000000000004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5.75" customHeight="1" x14ac:dyDescent="0.55000000000000004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5.75" customHeight="1" x14ac:dyDescent="0.55000000000000004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5.75" customHeight="1" x14ac:dyDescent="0.55000000000000004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5.75" customHeight="1" x14ac:dyDescent="0.55000000000000004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5.75" customHeight="1" x14ac:dyDescent="0.55000000000000004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5.75" customHeight="1" x14ac:dyDescent="0.55000000000000004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5.75" customHeight="1" x14ac:dyDescent="0.55000000000000004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5.75" customHeight="1" x14ac:dyDescent="0.55000000000000004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5.75" customHeight="1" x14ac:dyDescent="0.55000000000000004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5.75" customHeight="1" x14ac:dyDescent="0.55000000000000004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5.75" customHeight="1" x14ac:dyDescent="0.55000000000000004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5.75" customHeight="1" x14ac:dyDescent="0.55000000000000004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5.75" customHeight="1" x14ac:dyDescent="0.55000000000000004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5.75" customHeight="1" x14ac:dyDescent="0.55000000000000004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5.75" customHeight="1" x14ac:dyDescent="0.55000000000000004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5.75" customHeight="1" x14ac:dyDescent="0.55000000000000004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5.75" customHeight="1" x14ac:dyDescent="0.55000000000000004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5.75" customHeight="1" x14ac:dyDescent="0.55000000000000004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5.75" customHeight="1" x14ac:dyDescent="0.55000000000000004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5.75" customHeight="1" x14ac:dyDescent="0.55000000000000004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5.75" customHeight="1" x14ac:dyDescent="0.55000000000000004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5.75" customHeight="1" x14ac:dyDescent="0.55000000000000004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5.75" customHeight="1" x14ac:dyDescent="0.55000000000000004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5.75" customHeight="1" x14ac:dyDescent="0.55000000000000004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5.75" customHeight="1" x14ac:dyDescent="0.55000000000000004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5.75" customHeight="1" x14ac:dyDescent="0.55000000000000004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5.75" customHeight="1" x14ac:dyDescent="0.55000000000000004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5.75" customHeight="1" x14ac:dyDescent="0.55000000000000004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5.75" customHeight="1" x14ac:dyDescent="0.55000000000000004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5.75" customHeight="1" x14ac:dyDescent="0.55000000000000004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5.75" customHeight="1" x14ac:dyDescent="0.55000000000000004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5.75" customHeight="1" x14ac:dyDescent="0.55000000000000004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5.75" customHeight="1" x14ac:dyDescent="0.55000000000000004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5.75" customHeight="1" x14ac:dyDescent="0.55000000000000004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5.75" customHeight="1" x14ac:dyDescent="0.55000000000000004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5.75" customHeight="1" x14ac:dyDescent="0.55000000000000004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5.75" customHeight="1" x14ac:dyDescent="0.55000000000000004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5.75" customHeight="1" x14ac:dyDescent="0.55000000000000004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5.75" customHeight="1" x14ac:dyDescent="0.55000000000000004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5.75" customHeight="1" x14ac:dyDescent="0.55000000000000004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5.75" customHeight="1" x14ac:dyDescent="0.55000000000000004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5.75" customHeight="1" x14ac:dyDescent="0.55000000000000004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5.75" customHeight="1" x14ac:dyDescent="0.55000000000000004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5.75" customHeight="1" x14ac:dyDescent="0.55000000000000004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5.75" customHeight="1" x14ac:dyDescent="0.55000000000000004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5.75" customHeight="1" x14ac:dyDescent="0.55000000000000004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5.75" customHeight="1" x14ac:dyDescent="0.55000000000000004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5.75" customHeight="1" x14ac:dyDescent="0.55000000000000004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5.75" customHeight="1" x14ac:dyDescent="0.55000000000000004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5.75" customHeight="1" x14ac:dyDescent="0.55000000000000004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5.75" customHeight="1" x14ac:dyDescent="0.55000000000000004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5.75" customHeight="1" x14ac:dyDescent="0.55000000000000004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5.75" customHeight="1" x14ac:dyDescent="0.55000000000000004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5.75" customHeight="1" x14ac:dyDescent="0.55000000000000004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5.75" customHeight="1" x14ac:dyDescent="0.55000000000000004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5.75" customHeight="1" x14ac:dyDescent="0.55000000000000004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5.75" customHeight="1" x14ac:dyDescent="0.55000000000000004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5.75" customHeight="1" x14ac:dyDescent="0.55000000000000004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5.75" customHeight="1" x14ac:dyDescent="0.55000000000000004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5.75" customHeight="1" x14ac:dyDescent="0.55000000000000004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5.75" customHeight="1" x14ac:dyDescent="0.55000000000000004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5.75" customHeight="1" x14ac:dyDescent="0.55000000000000004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5.75" customHeight="1" x14ac:dyDescent="0.55000000000000004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5.75" customHeight="1" x14ac:dyDescent="0.55000000000000004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5.75" customHeight="1" x14ac:dyDescent="0.55000000000000004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5.75" customHeight="1" x14ac:dyDescent="0.55000000000000004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5.75" customHeight="1" x14ac:dyDescent="0.55000000000000004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5.75" customHeight="1" x14ac:dyDescent="0.55000000000000004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5.75" customHeight="1" x14ac:dyDescent="0.55000000000000004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5.75" customHeight="1" x14ac:dyDescent="0.55000000000000004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5.75" customHeight="1" x14ac:dyDescent="0.55000000000000004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5.75" customHeight="1" x14ac:dyDescent="0.55000000000000004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5.75" customHeight="1" x14ac:dyDescent="0.55000000000000004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5.75" customHeight="1" x14ac:dyDescent="0.55000000000000004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5.75" customHeight="1" x14ac:dyDescent="0.55000000000000004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5.75" customHeight="1" x14ac:dyDescent="0.55000000000000004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5.75" customHeight="1" x14ac:dyDescent="0.55000000000000004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5.75" customHeight="1" x14ac:dyDescent="0.55000000000000004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5.75" customHeight="1" x14ac:dyDescent="0.55000000000000004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5.75" customHeight="1" x14ac:dyDescent="0.55000000000000004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5.75" customHeight="1" x14ac:dyDescent="0.55000000000000004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5.75" customHeight="1" x14ac:dyDescent="0.55000000000000004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5.75" customHeight="1" x14ac:dyDescent="0.55000000000000004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5.75" customHeight="1" x14ac:dyDescent="0.55000000000000004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5.75" customHeight="1" x14ac:dyDescent="0.55000000000000004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5.75" customHeight="1" x14ac:dyDescent="0.55000000000000004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5.75" customHeight="1" x14ac:dyDescent="0.55000000000000004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5.75" customHeight="1" x14ac:dyDescent="0.55000000000000004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5.75" customHeight="1" x14ac:dyDescent="0.55000000000000004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5.75" customHeight="1" x14ac:dyDescent="0.55000000000000004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5.75" customHeight="1" x14ac:dyDescent="0.55000000000000004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5.75" customHeight="1" x14ac:dyDescent="0.55000000000000004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5.75" customHeight="1" x14ac:dyDescent="0.55000000000000004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5.75" customHeight="1" x14ac:dyDescent="0.55000000000000004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5.75" customHeight="1" x14ac:dyDescent="0.55000000000000004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5.75" customHeight="1" x14ac:dyDescent="0.55000000000000004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5.75" customHeight="1" x14ac:dyDescent="0.55000000000000004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5.75" customHeight="1" x14ac:dyDescent="0.55000000000000004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5.75" customHeight="1" x14ac:dyDescent="0.55000000000000004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5.75" customHeight="1" x14ac:dyDescent="0.55000000000000004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5.75" customHeight="1" x14ac:dyDescent="0.55000000000000004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5.75" customHeight="1" x14ac:dyDescent="0.55000000000000004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5.75" customHeight="1" x14ac:dyDescent="0.55000000000000004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5.75" customHeight="1" x14ac:dyDescent="0.55000000000000004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5.75" customHeight="1" x14ac:dyDescent="0.55000000000000004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5.75" customHeight="1" x14ac:dyDescent="0.55000000000000004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5.75" customHeight="1" x14ac:dyDescent="0.55000000000000004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5.75" customHeight="1" x14ac:dyDescent="0.55000000000000004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5.75" customHeight="1" x14ac:dyDescent="0.55000000000000004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5.75" customHeight="1" x14ac:dyDescent="0.55000000000000004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5.75" customHeight="1" x14ac:dyDescent="0.55000000000000004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5.75" customHeight="1" x14ac:dyDescent="0.55000000000000004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5.75" customHeight="1" x14ac:dyDescent="0.55000000000000004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5.75" customHeight="1" x14ac:dyDescent="0.55000000000000004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5.75" customHeight="1" x14ac:dyDescent="0.55000000000000004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5.75" customHeight="1" x14ac:dyDescent="0.55000000000000004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5.75" customHeight="1" x14ac:dyDescent="0.55000000000000004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5.75" customHeight="1" x14ac:dyDescent="0.55000000000000004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5.75" customHeight="1" x14ac:dyDescent="0.55000000000000004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5.75" customHeight="1" x14ac:dyDescent="0.55000000000000004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5.75" customHeight="1" x14ac:dyDescent="0.55000000000000004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5.75" customHeight="1" x14ac:dyDescent="0.55000000000000004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5.75" customHeight="1" x14ac:dyDescent="0.55000000000000004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5.75" customHeight="1" x14ac:dyDescent="0.55000000000000004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5.75" customHeight="1" x14ac:dyDescent="0.55000000000000004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5.75" customHeight="1" x14ac:dyDescent="0.55000000000000004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5.75" customHeight="1" x14ac:dyDescent="0.55000000000000004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5.75" customHeight="1" x14ac:dyDescent="0.55000000000000004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5.75" customHeight="1" x14ac:dyDescent="0.55000000000000004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5.75" customHeight="1" x14ac:dyDescent="0.55000000000000004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5.75" customHeight="1" x14ac:dyDescent="0.55000000000000004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5.75" customHeight="1" x14ac:dyDescent="0.55000000000000004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5.75" customHeight="1" x14ac:dyDescent="0.55000000000000004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5.75" customHeight="1" x14ac:dyDescent="0.55000000000000004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5.75" customHeight="1" x14ac:dyDescent="0.55000000000000004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5.75" customHeight="1" x14ac:dyDescent="0.55000000000000004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5.75" customHeight="1" x14ac:dyDescent="0.55000000000000004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5.75" customHeight="1" x14ac:dyDescent="0.55000000000000004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5.75" customHeight="1" x14ac:dyDescent="0.55000000000000004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5.75" customHeight="1" x14ac:dyDescent="0.55000000000000004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5.75" customHeight="1" x14ac:dyDescent="0.55000000000000004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5.75" customHeight="1" x14ac:dyDescent="0.55000000000000004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5.75" customHeight="1" x14ac:dyDescent="0.55000000000000004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5.75" customHeight="1" x14ac:dyDescent="0.55000000000000004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5.75" customHeight="1" x14ac:dyDescent="0.55000000000000004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5.75" customHeight="1" x14ac:dyDescent="0.55000000000000004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5.75" customHeight="1" x14ac:dyDescent="0.55000000000000004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5.75" customHeight="1" x14ac:dyDescent="0.55000000000000004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5.75" customHeight="1" x14ac:dyDescent="0.55000000000000004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5.75" customHeight="1" x14ac:dyDescent="0.55000000000000004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5.75" customHeight="1" x14ac:dyDescent="0.55000000000000004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5.75" customHeight="1" x14ac:dyDescent="0.55000000000000004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5.75" customHeight="1" x14ac:dyDescent="0.55000000000000004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5.75" customHeight="1" x14ac:dyDescent="0.55000000000000004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5.75" customHeight="1" x14ac:dyDescent="0.55000000000000004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5.75" customHeight="1" x14ac:dyDescent="0.55000000000000004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5.75" customHeight="1" x14ac:dyDescent="0.55000000000000004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5.75" customHeight="1" x14ac:dyDescent="0.55000000000000004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5.75" customHeight="1" x14ac:dyDescent="0.55000000000000004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5.75" customHeight="1" x14ac:dyDescent="0.55000000000000004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5.75" customHeight="1" x14ac:dyDescent="0.55000000000000004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5.75" customHeight="1" x14ac:dyDescent="0.55000000000000004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5.75" customHeight="1" x14ac:dyDescent="0.55000000000000004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5.75" customHeight="1" x14ac:dyDescent="0.55000000000000004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5.75" customHeight="1" x14ac:dyDescent="0.55000000000000004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5.75" customHeight="1" x14ac:dyDescent="0.55000000000000004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5.75" customHeight="1" x14ac:dyDescent="0.55000000000000004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5.75" customHeight="1" x14ac:dyDescent="0.55000000000000004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5.75" customHeight="1" x14ac:dyDescent="0.55000000000000004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5.75" customHeight="1" x14ac:dyDescent="0.55000000000000004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5.75" customHeight="1" x14ac:dyDescent="0.55000000000000004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5.75" customHeight="1" x14ac:dyDescent="0.55000000000000004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5.75" customHeight="1" x14ac:dyDescent="0.55000000000000004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5.75" customHeight="1" x14ac:dyDescent="0.55000000000000004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5.75" customHeight="1" x14ac:dyDescent="0.55000000000000004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5.75" customHeight="1" x14ac:dyDescent="0.55000000000000004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5.75" customHeight="1" x14ac:dyDescent="0.55000000000000004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5.75" customHeight="1" x14ac:dyDescent="0.55000000000000004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5.75" customHeight="1" x14ac:dyDescent="0.55000000000000004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5.75" customHeight="1" x14ac:dyDescent="0.55000000000000004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5.75" customHeight="1" x14ac:dyDescent="0.55000000000000004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5.75" customHeight="1" x14ac:dyDescent="0.55000000000000004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5.75" customHeight="1" x14ac:dyDescent="0.55000000000000004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5.75" customHeight="1" x14ac:dyDescent="0.55000000000000004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5.75" customHeight="1" x14ac:dyDescent="0.55000000000000004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5.75" customHeight="1" x14ac:dyDescent="0.55000000000000004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5.75" customHeight="1" x14ac:dyDescent="0.55000000000000004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5.75" customHeight="1" x14ac:dyDescent="0.55000000000000004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5.75" customHeight="1" x14ac:dyDescent="0.55000000000000004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5.75" customHeight="1" x14ac:dyDescent="0.55000000000000004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5.75" customHeight="1" x14ac:dyDescent="0.55000000000000004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5.75" customHeight="1" x14ac:dyDescent="0.55000000000000004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5.75" customHeight="1" x14ac:dyDescent="0.55000000000000004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5.75" customHeight="1" x14ac:dyDescent="0.55000000000000004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5.75" customHeight="1" x14ac:dyDescent="0.55000000000000004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5.75" customHeight="1" x14ac:dyDescent="0.55000000000000004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5.75" customHeight="1" x14ac:dyDescent="0.55000000000000004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5.75" customHeight="1" x14ac:dyDescent="0.55000000000000004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5.75" customHeight="1" x14ac:dyDescent="0.55000000000000004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5.75" customHeight="1" x14ac:dyDescent="0.55000000000000004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5.75" customHeight="1" x14ac:dyDescent="0.55000000000000004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5.75" customHeight="1" x14ac:dyDescent="0.55000000000000004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5.75" customHeight="1" x14ac:dyDescent="0.55000000000000004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5.75" customHeight="1" x14ac:dyDescent="0.55000000000000004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5.75" customHeight="1" x14ac:dyDescent="0.55000000000000004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5.75" customHeight="1" x14ac:dyDescent="0.55000000000000004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5.75" customHeight="1" x14ac:dyDescent="0.55000000000000004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5.75" customHeight="1" x14ac:dyDescent="0.55000000000000004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5.75" customHeight="1" x14ac:dyDescent="0.55000000000000004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5.75" customHeight="1" x14ac:dyDescent="0.55000000000000004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5.75" customHeight="1" x14ac:dyDescent="0.55000000000000004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5.75" customHeight="1" x14ac:dyDescent="0.55000000000000004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5.75" customHeight="1" x14ac:dyDescent="0.55000000000000004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5.75" customHeight="1" x14ac:dyDescent="0.55000000000000004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5.75" customHeight="1" x14ac:dyDescent="0.55000000000000004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5.75" customHeight="1" x14ac:dyDescent="0.55000000000000004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5.75" customHeight="1" x14ac:dyDescent="0.55000000000000004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5.75" customHeight="1" x14ac:dyDescent="0.55000000000000004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5.75" customHeight="1" x14ac:dyDescent="0.55000000000000004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5.75" customHeight="1" x14ac:dyDescent="0.55000000000000004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5.75" customHeight="1" x14ac:dyDescent="0.55000000000000004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5.75" customHeight="1" x14ac:dyDescent="0.55000000000000004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5.75" customHeight="1" x14ac:dyDescent="0.55000000000000004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5.75" customHeight="1" x14ac:dyDescent="0.55000000000000004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5.75" customHeight="1" x14ac:dyDescent="0.55000000000000004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5.75" customHeight="1" x14ac:dyDescent="0.55000000000000004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5.75" customHeight="1" x14ac:dyDescent="0.55000000000000004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5.75" customHeight="1" x14ac:dyDescent="0.55000000000000004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5.75" customHeight="1" x14ac:dyDescent="0.55000000000000004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5.75" customHeight="1" x14ac:dyDescent="0.55000000000000004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5.75" customHeight="1" x14ac:dyDescent="0.55000000000000004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5.75" customHeight="1" x14ac:dyDescent="0.55000000000000004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5.75" customHeight="1" x14ac:dyDescent="0.55000000000000004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5.75" customHeight="1" x14ac:dyDescent="0.55000000000000004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5.75" customHeight="1" x14ac:dyDescent="0.55000000000000004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5.75" customHeight="1" x14ac:dyDescent="0.55000000000000004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5.75" customHeight="1" x14ac:dyDescent="0.55000000000000004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5.75" customHeight="1" x14ac:dyDescent="0.55000000000000004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5.75" customHeight="1" x14ac:dyDescent="0.55000000000000004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5.75" customHeight="1" x14ac:dyDescent="0.55000000000000004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5.75" customHeight="1" x14ac:dyDescent="0.55000000000000004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5.75" customHeight="1" x14ac:dyDescent="0.55000000000000004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5.75" customHeight="1" x14ac:dyDescent="0.55000000000000004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5.75" customHeight="1" x14ac:dyDescent="0.55000000000000004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5.75" customHeight="1" x14ac:dyDescent="0.55000000000000004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5.75" customHeight="1" x14ac:dyDescent="0.55000000000000004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5.75" customHeight="1" x14ac:dyDescent="0.55000000000000004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5.75" customHeight="1" x14ac:dyDescent="0.55000000000000004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5.75" customHeight="1" x14ac:dyDescent="0.55000000000000004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5.75" customHeight="1" x14ac:dyDescent="0.55000000000000004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5.75" customHeight="1" x14ac:dyDescent="0.55000000000000004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5.75" customHeight="1" x14ac:dyDescent="0.55000000000000004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5.75" customHeight="1" x14ac:dyDescent="0.55000000000000004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5.75" customHeight="1" x14ac:dyDescent="0.55000000000000004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5.75" customHeight="1" x14ac:dyDescent="0.55000000000000004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5.75" customHeight="1" x14ac:dyDescent="0.55000000000000004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5.75" customHeight="1" x14ac:dyDescent="0.55000000000000004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5.75" customHeight="1" x14ac:dyDescent="0.55000000000000004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5.75" customHeight="1" x14ac:dyDescent="0.55000000000000004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5.75" customHeight="1" x14ac:dyDescent="0.55000000000000004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5.75" customHeight="1" x14ac:dyDescent="0.55000000000000004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5.75" customHeight="1" x14ac:dyDescent="0.55000000000000004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5.75" customHeight="1" x14ac:dyDescent="0.55000000000000004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5.75" customHeight="1" x14ac:dyDescent="0.55000000000000004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5.75" customHeight="1" x14ac:dyDescent="0.55000000000000004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5.75" customHeight="1" x14ac:dyDescent="0.55000000000000004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5.75" customHeight="1" x14ac:dyDescent="0.55000000000000004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5.75" customHeight="1" x14ac:dyDescent="0.55000000000000004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5.75" customHeight="1" x14ac:dyDescent="0.55000000000000004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5.75" customHeight="1" x14ac:dyDescent="0.55000000000000004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5.75" customHeight="1" x14ac:dyDescent="0.55000000000000004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5.75" customHeight="1" x14ac:dyDescent="0.55000000000000004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5.75" customHeight="1" x14ac:dyDescent="0.55000000000000004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5.75" customHeight="1" x14ac:dyDescent="0.55000000000000004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5.75" customHeight="1" x14ac:dyDescent="0.55000000000000004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5.75" customHeight="1" x14ac:dyDescent="0.55000000000000004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5.75" customHeight="1" x14ac:dyDescent="0.55000000000000004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5.75" customHeight="1" x14ac:dyDescent="0.55000000000000004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5.75" customHeight="1" x14ac:dyDescent="0.55000000000000004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5.75" customHeight="1" x14ac:dyDescent="0.55000000000000004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5.75" customHeight="1" x14ac:dyDescent="0.55000000000000004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5.75" customHeight="1" x14ac:dyDescent="0.55000000000000004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5.75" customHeight="1" x14ac:dyDescent="0.55000000000000004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5.75" customHeight="1" x14ac:dyDescent="0.55000000000000004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5.75" customHeight="1" x14ac:dyDescent="0.55000000000000004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5.75" customHeight="1" x14ac:dyDescent="0.55000000000000004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5.75" customHeight="1" x14ac:dyDescent="0.55000000000000004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5.75" customHeight="1" x14ac:dyDescent="0.55000000000000004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5.75" customHeight="1" x14ac:dyDescent="0.55000000000000004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5.75" customHeight="1" x14ac:dyDescent="0.55000000000000004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5.75" customHeight="1" x14ac:dyDescent="0.55000000000000004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5.75" customHeight="1" x14ac:dyDescent="0.55000000000000004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5.75" customHeight="1" x14ac:dyDescent="0.55000000000000004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5.75" customHeight="1" x14ac:dyDescent="0.55000000000000004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5.75" customHeight="1" x14ac:dyDescent="0.55000000000000004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5.75" customHeight="1" x14ac:dyDescent="0.55000000000000004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5.75" customHeight="1" x14ac:dyDescent="0.55000000000000004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5.75" customHeight="1" x14ac:dyDescent="0.55000000000000004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5.75" customHeight="1" x14ac:dyDescent="0.55000000000000004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5.75" customHeight="1" x14ac:dyDescent="0.55000000000000004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5.75" customHeight="1" x14ac:dyDescent="0.55000000000000004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5.75" customHeight="1" x14ac:dyDescent="0.55000000000000004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5.75" customHeight="1" x14ac:dyDescent="0.55000000000000004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5.75" customHeight="1" x14ac:dyDescent="0.55000000000000004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5.75" customHeight="1" x14ac:dyDescent="0.55000000000000004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5.75" customHeight="1" x14ac:dyDescent="0.55000000000000004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5.75" customHeight="1" x14ac:dyDescent="0.55000000000000004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5.75" customHeight="1" x14ac:dyDescent="0.55000000000000004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5.75" customHeight="1" x14ac:dyDescent="0.55000000000000004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5.75" customHeight="1" x14ac:dyDescent="0.55000000000000004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5.75" customHeight="1" x14ac:dyDescent="0.55000000000000004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5.75" customHeight="1" x14ac:dyDescent="0.55000000000000004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5.75" customHeight="1" x14ac:dyDescent="0.55000000000000004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5.75" customHeight="1" x14ac:dyDescent="0.55000000000000004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5.75" customHeight="1" x14ac:dyDescent="0.55000000000000004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5.75" customHeight="1" x14ac:dyDescent="0.55000000000000004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5.75" customHeight="1" x14ac:dyDescent="0.55000000000000004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5.75" customHeight="1" x14ac:dyDescent="0.55000000000000004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5.75" customHeight="1" x14ac:dyDescent="0.55000000000000004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5.75" customHeight="1" x14ac:dyDescent="0.55000000000000004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5.75" customHeight="1" x14ac:dyDescent="0.55000000000000004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5.75" customHeight="1" x14ac:dyDescent="0.55000000000000004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5.75" customHeight="1" x14ac:dyDescent="0.55000000000000004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5.75" customHeight="1" x14ac:dyDescent="0.55000000000000004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5.75" customHeight="1" x14ac:dyDescent="0.55000000000000004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5.75" customHeight="1" x14ac:dyDescent="0.55000000000000004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5.75" customHeight="1" x14ac:dyDescent="0.55000000000000004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5.75" customHeight="1" x14ac:dyDescent="0.55000000000000004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5.75" customHeight="1" x14ac:dyDescent="0.55000000000000004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5.75" customHeight="1" x14ac:dyDescent="0.55000000000000004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5.75" customHeight="1" x14ac:dyDescent="0.55000000000000004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5.75" customHeight="1" x14ac:dyDescent="0.55000000000000004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5.75" customHeight="1" x14ac:dyDescent="0.55000000000000004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5.75" customHeight="1" x14ac:dyDescent="0.55000000000000004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5.75" customHeight="1" x14ac:dyDescent="0.55000000000000004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5.75" customHeight="1" x14ac:dyDescent="0.55000000000000004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5.75" customHeight="1" x14ac:dyDescent="0.55000000000000004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5.75" customHeight="1" x14ac:dyDescent="0.55000000000000004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5.75" customHeight="1" x14ac:dyDescent="0.55000000000000004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5.75" customHeight="1" x14ac:dyDescent="0.55000000000000004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5.75" customHeight="1" x14ac:dyDescent="0.55000000000000004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5.75" customHeight="1" x14ac:dyDescent="0.55000000000000004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5.75" customHeight="1" x14ac:dyDescent="0.55000000000000004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5.75" customHeight="1" x14ac:dyDescent="0.55000000000000004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5.75" customHeight="1" x14ac:dyDescent="0.55000000000000004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5.75" customHeight="1" x14ac:dyDescent="0.55000000000000004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5.75" customHeight="1" x14ac:dyDescent="0.55000000000000004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5.75" customHeight="1" x14ac:dyDescent="0.55000000000000004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5.75" customHeight="1" x14ac:dyDescent="0.55000000000000004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5.75" customHeight="1" x14ac:dyDescent="0.55000000000000004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5.75" customHeight="1" x14ac:dyDescent="0.55000000000000004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5.75" customHeight="1" x14ac:dyDescent="0.55000000000000004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5.75" customHeight="1" x14ac:dyDescent="0.55000000000000004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5.75" customHeight="1" x14ac:dyDescent="0.55000000000000004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5.75" customHeight="1" x14ac:dyDescent="0.55000000000000004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5.75" customHeight="1" x14ac:dyDescent="0.55000000000000004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5.75" customHeight="1" x14ac:dyDescent="0.55000000000000004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5.75" customHeight="1" x14ac:dyDescent="0.55000000000000004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5.75" customHeight="1" x14ac:dyDescent="0.55000000000000004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5.75" customHeight="1" x14ac:dyDescent="0.55000000000000004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5.75" customHeight="1" x14ac:dyDescent="0.55000000000000004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5.75" customHeight="1" x14ac:dyDescent="0.55000000000000004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5.75" customHeight="1" x14ac:dyDescent="0.55000000000000004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5.75" customHeight="1" x14ac:dyDescent="0.55000000000000004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5.75" customHeight="1" x14ac:dyDescent="0.55000000000000004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5.75" customHeight="1" x14ac:dyDescent="0.55000000000000004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5.75" customHeight="1" x14ac:dyDescent="0.55000000000000004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5.75" customHeight="1" x14ac:dyDescent="0.55000000000000004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5.75" customHeight="1" x14ac:dyDescent="0.55000000000000004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5.75" customHeight="1" x14ac:dyDescent="0.55000000000000004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5.75" customHeight="1" x14ac:dyDescent="0.55000000000000004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5.75" customHeight="1" x14ac:dyDescent="0.55000000000000004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5.75" customHeight="1" x14ac:dyDescent="0.55000000000000004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5.75" customHeight="1" x14ac:dyDescent="0.55000000000000004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5.75" customHeight="1" x14ac:dyDescent="0.55000000000000004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5.75" customHeight="1" x14ac:dyDescent="0.55000000000000004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5.75" customHeight="1" x14ac:dyDescent="0.55000000000000004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5.75" customHeight="1" x14ac:dyDescent="0.55000000000000004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5.75" customHeight="1" x14ac:dyDescent="0.55000000000000004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5.75" customHeight="1" x14ac:dyDescent="0.55000000000000004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5.75" customHeight="1" x14ac:dyDescent="0.55000000000000004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5.75" customHeight="1" x14ac:dyDescent="0.55000000000000004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5.75" customHeight="1" x14ac:dyDescent="0.55000000000000004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5.75" customHeight="1" x14ac:dyDescent="0.55000000000000004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5.75" customHeight="1" x14ac:dyDescent="0.55000000000000004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5.75" customHeight="1" x14ac:dyDescent="0.55000000000000004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5.75" customHeight="1" x14ac:dyDescent="0.55000000000000004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5.75" customHeight="1" x14ac:dyDescent="0.55000000000000004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5.75" customHeight="1" x14ac:dyDescent="0.55000000000000004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5.75" customHeight="1" x14ac:dyDescent="0.55000000000000004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5.75" customHeight="1" x14ac:dyDescent="0.55000000000000004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5.75" customHeight="1" x14ac:dyDescent="0.55000000000000004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5.75" customHeight="1" x14ac:dyDescent="0.55000000000000004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5.75" customHeight="1" x14ac:dyDescent="0.55000000000000004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5.75" customHeight="1" x14ac:dyDescent="0.55000000000000004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5.75" customHeight="1" x14ac:dyDescent="0.55000000000000004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5.75" customHeight="1" x14ac:dyDescent="0.55000000000000004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5.75" customHeight="1" x14ac:dyDescent="0.55000000000000004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5.75" customHeight="1" x14ac:dyDescent="0.55000000000000004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5.75" customHeight="1" x14ac:dyDescent="0.55000000000000004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5.75" customHeight="1" x14ac:dyDescent="0.55000000000000004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5.75" customHeight="1" x14ac:dyDescent="0.55000000000000004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5.75" customHeight="1" x14ac:dyDescent="0.55000000000000004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5.75" customHeight="1" x14ac:dyDescent="0.55000000000000004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5.75" customHeight="1" x14ac:dyDescent="0.55000000000000004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5.75" customHeight="1" x14ac:dyDescent="0.55000000000000004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5.75" customHeight="1" x14ac:dyDescent="0.55000000000000004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5.75" customHeight="1" x14ac:dyDescent="0.55000000000000004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5.75" customHeight="1" x14ac:dyDescent="0.55000000000000004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5.75" customHeight="1" x14ac:dyDescent="0.55000000000000004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5.75" customHeight="1" x14ac:dyDescent="0.55000000000000004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5.75" customHeight="1" x14ac:dyDescent="0.55000000000000004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5.75" customHeight="1" x14ac:dyDescent="0.55000000000000004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5.75" customHeight="1" x14ac:dyDescent="0.55000000000000004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5.75" customHeight="1" x14ac:dyDescent="0.55000000000000004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5.75" customHeight="1" x14ac:dyDescent="0.55000000000000004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5.75" customHeight="1" x14ac:dyDescent="0.55000000000000004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5.75" customHeight="1" x14ac:dyDescent="0.55000000000000004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5.75" customHeight="1" x14ac:dyDescent="0.55000000000000004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5.75" customHeight="1" x14ac:dyDescent="0.55000000000000004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5.75" customHeight="1" x14ac:dyDescent="0.55000000000000004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5.75" customHeight="1" x14ac:dyDescent="0.55000000000000004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5.75" customHeight="1" x14ac:dyDescent="0.55000000000000004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5.75" customHeight="1" x14ac:dyDescent="0.55000000000000004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5.75" customHeight="1" x14ac:dyDescent="0.55000000000000004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5.75" customHeight="1" x14ac:dyDescent="0.55000000000000004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5.75" customHeight="1" x14ac:dyDescent="0.55000000000000004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5.75" customHeight="1" x14ac:dyDescent="0.55000000000000004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5.75" customHeight="1" x14ac:dyDescent="0.55000000000000004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5.75" customHeight="1" x14ac:dyDescent="0.55000000000000004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5.75" customHeight="1" x14ac:dyDescent="0.55000000000000004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5.75" customHeight="1" x14ac:dyDescent="0.55000000000000004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5.75" customHeight="1" x14ac:dyDescent="0.55000000000000004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5.75" customHeight="1" x14ac:dyDescent="0.55000000000000004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5.75" customHeight="1" x14ac:dyDescent="0.55000000000000004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5.75" customHeight="1" x14ac:dyDescent="0.55000000000000004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5.75" customHeight="1" x14ac:dyDescent="0.55000000000000004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5.75" customHeight="1" x14ac:dyDescent="0.55000000000000004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5.75" customHeight="1" x14ac:dyDescent="0.55000000000000004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5.75" customHeight="1" x14ac:dyDescent="0.55000000000000004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5.75" customHeight="1" x14ac:dyDescent="0.55000000000000004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5.75" customHeight="1" x14ac:dyDescent="0.55000000000000004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5.75" customHeight="1" x14ac:dyDescent="0.55000000000000004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5.75" customHeight="1" x14ac:dyDescent="0.55000000000000004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5.75" customHeight="1" x14ac:dyDescent="0.55000000000000004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5.75" customHeight="1" x14ac:dyDescent="0.55000000000000004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5.75" customHeight="1" x14ac:dyDescent="0.55000000000000004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5.75" customHeight="1" x14ac:dyDescent="0.55000000000000004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5.75" customHeight="1" x14ac:dyDescent="0.55000000000000004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5.75" customHeight="1" x14ac:dyDescent="0.55000000000000004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5.75" customHeight="1" x14ac:dyDescent="0.55000000000000004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5.75" customHeight="1" x14ac:dyDescent="0.55000000000000004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5.75" customHeight="1" x14ac:dyDescent="0.55000000000000004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5.75" customHeight="1" x14ac:dyDescent="0.55000000000000004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5.75" customHeight="1" x14ac:dyDescent="0.55000000000000004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5.75" customHeight="1" x14ac:dyDescent="0.55000000000000004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5.75" customHeight="1" x14ac:dyDescent="0.55000000000000004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5.75" customHeight="1" x14ac:dyDescent="0.55000000000000004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5.75" customHeight="1" x14ac:dyDescent="0.55000000000000004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5.75" customHeight="1" x14ac:dyDescent="0.55000000000000004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5.75" customHeight="1" x14ac:dyDescent="0.55000000000000004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5.75" customHeight="1" x14ac:dyDescent="0.55000000000000004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5.75" customHeight="1" x14ac:dyDescent="0.55000000000000004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5.75" customHeight="1" x14ac:dyDescent="0.55000000000000004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5.75" customHeight="1" x14ac:dyDescent="0.55000000000000004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5.75" customHeight="1" x14ac:dyDescent="0.55000000000000004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5.75" customHeight="1" x14ac:dyDescent="0.55000000000000004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5.75" customHeight="1" x14ac:dyDescent="0.55000000000000004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5.75" customHeight="1" x14ac:dyDescent="0.55000000000000004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5.75" customHeight="1" x14ac:dyDescent="0.55000000000000004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5.75" customHeight="1" x14ac:dyDescent="0.55000000000000004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5.75" customHeight="1" x14ac:dyDescent="0.55000000000000004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5.75" customHeight="1" x14ac:dyDescent="0.55000000000000004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5.75" customHeight="1" x14ac:dyDescent="0.55000000000000004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5.75" customHeight="1" x14ac:dyDescent="0.55000000000000004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5.75" customHeight="1" x14ac:dyDescent="0.55000000000000004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5.75" customHeight="1" x14ac:dyDescent="0.55000000000000004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5.75" customHeight="1" x14ac:dyDescent="0.55000000000000004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5.75" customHeight="1" x14ac:dyDescent="0.55000000000000004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5.75" customHeight="1" x14ac:dyDescent="0.55000000000000004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5.75" customHeight="1" x14ac:dyDescent="0.55000000000000004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5.75" customHeight="1" x14ac:dyDescent="0.55000000000000004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5.75" customHeight="1" x14ac:dyDescent="0.55000000000000004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5.75" customHeight="1" x14ac:dyDescent="0.55000000000000004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5.75" customHeight="1" x14ac:dyDescent="0.55000000000000004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5.75" customHeight="1" x14ac:dyDescent="0.55000000000000004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5.75" customHeight="1" x14ac:dyDescent="0.55000000000000004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5.75" customHeight="1" x14ac:dyDescent="0.55000000000000004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5.75" customHeight="1" x14ac:dyDescent="0.55000000000000004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5.75" customHeight="1" x14ac:dyDescent="0.55000000000000004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5.75" customHeight="1" x14ac:dyDescent="0.55000000000000004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5.75" customHeight="1" x14ac:dyDescent="0.55000000000000004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5.75" customHeight="1" x14ac:dyDescent="0.55000000000000004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5.75" customHeight="1" x14ac:dyDescent="0.55000000000000004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5.75" customHeight="1" x14ac:dyDescent="0.55000000000000004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5.75" customHeight="1" x14ac:dyDescent="0.55000000000000004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5.75" customHeight="1" x14ac:dyDescent="0.55000000000000004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5.75" customHeight="1" x14ac:dyDescent="0.55000000000000004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5.75" customHeight="1" x14ac:dyDescent="0.55000000000000004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5.75" customHeight="1" x14ac:dyDescent="0.55000000000000004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5.75" customHeight="1" x14ac:dyDescent="0.55000000000000004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5.75" customHeight="1" x14ac:dyDescent="0.55000000000000004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5.75" customHeight="1" x14ac:dyDescent="0.55000000000000004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5.75" customHeight="1" x14ac:dyDescent="0.55000000000000004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5.75" customHeight="1" x14ac:dyDescent="0.55000000000000004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5.75" customHeight="1" x14ac:dyDescent="0.55000000000000004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5.75" customHeight="1" x14ac:dyDescent="0.55000000000000004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5.75" customHeight="1" x14ac:dyDescent="0.55000000000000004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5.75" customHeight="1" x14ac:dyDescent="0.55000000000000004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5.75" customHeight="1" x14ac:dyDescent="0.55000000000000004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5.75" customHeight="1" x14ac:dyDescent="0.55000000000000004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5.75" customHeight="1" x14ac:dyDescent="0.55000000000000004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5.75" customHeight="1" x14ac:dyDescent="0.55000000000000004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5.75" customHeight="1" x14ac:dyDescent="0.55000000000000004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5.75" customHeight="1" x14ac:dyDescent="0.55000000000000004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5.75" customHeight="1" x14ac:dyDescent="0.55000000000000004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5.75" customHeight="1" x14ac:dyDescent="0.55000000000000004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5.75" customHeight="1" x14ac:dyDescent="0.55000000000000004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5.75" customHeight="1" x14ac:dyDescent="0.55000000000000004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5.75" customHeight="1" x14ac:dyDescent="0.55000000000000004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5.75" customHeight="1" x14ac:dyDescent="0.55000000000000004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5.75" customHeight="1" x14ac:dyDescent="0.55000000000000004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5.75" customHeight="1" x14ac:dyDescent="0.55000000000000004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5.75" customHeight="1" x14ac:dyDescent="0.55000000000000004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5.75" customHeight="1" x14ac:dyDescent="0.55000000000000004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5.75" customHeight="1" x14ac:dyDescent="0.55000000000000004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5.75" customHeight="1" x14ac:dyDescent="0.55000000000000004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5.75" customHeight="1" x14ac:dyDescent="0.55000000000000004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5.75" customHeight="1" x14ac:dyDescent="0.55000000000000004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5.75" customHeight="1" x14ac:dyDescent="0.55000000000000004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5.75" customHeight="1" x14ac:dyDescent="0.55000000000000004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5.75" customHeight="1" x14ac:dyDescent="0.55000000000000004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5.75" customHeight="1" x14ac:dyDescent="0.55000000000000004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5.75" customHeight="1" x14ac:dyDescent="0.55000000000000004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5.75" customHeight="1" x14ac:dyDescent="0.55000000000000004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5.75" customHeight="1" x14ac:dyDescent="0.55000000000000004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5.75" customHeight="1" x14ac:dyDescent="0.55000000000000004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5.75" customHeight="1" x14ac:dyDescent="0.55000000000000004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5.75" customHeight="1" x14ac:dyDescent="0.55000000000000004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5.75" customHeight="1" x14ac:dyDescent="0.55000000000000004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5.75" customHeight="1" x14ac:dyDescent="0.55000000000000004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5.75" customHeight="1" x14ac:dyDescent="0.55000000000000004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5.75" customHeight="1" x14ac:dyDescent="0.55000000000000004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5.75" customHeight="1" x14ac:dyDescent="0.55000000000000004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5.75" customHeight="1" x14ac:dyDescent="0.55000000000000004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5.75" customHeight="1" x14ac:dyDescent="0.55000000000000004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5.75" customHeight="1" x14ac:dyDescent="0.55000000000000004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5.75" customHeight="1" x14ac:dyDescent="0.55000000000000004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5.75" customHeight="1" x14ac:dyDescent="0.55000000000000004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5.75" customHeight="1" x14ac:dyDescent="0.55000000000000004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5.75" customHeight="1" x14ac:dyDescent="0.55000000000000004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5.75" customHeight="1" x14ac:dyDescent="0.55000000000000004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5.75" customHeight="1" x14ac:dyDescent="0.55000000000000004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5.75" customHeight="1" x14ac:dyDescent="0.55000000000000004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5.75" customHeight="1" x14ac:dyDescent="0.55000000000000004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5.75" customHeight="1" x14ac:dyDescent="0.55000000000000004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5.75" customHeight="1" x14ac:dyDescent="0.55000000000000004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5.75" customHeight="1" x14ac:dyDescent="0.55000000000000004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5.75" customHeight="1" x14ac:dyDescent="0.55000000000000004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5.75" customHeight="1" x14ac:dyDescent="0.55000000000000004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5.75" customHeight="1" x14ac:dyDescent="0.55000000000000004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5.75" customHeight="1" x14ac:dyDescent="0.55000000000000004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5.75" customHeight="1" x14ac:dyDescent="0.55000000000000004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5.75" customHeight="1" x14ac:dyDescent="0.55000000000000004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5.75" customHeight="1" x14ac:dyDescent="0.55000000000000004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5.75" customHeight="1" x14ac:dyDescent="0.55000000000000004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5.75" customHeight="1" x14ac:dyDescent="0.55000000000000004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5.75" customHeight="1" x14ac:dyDescent="0.55000000000000004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5.75" customHeight="1" x14ac:dyDescent="0.55000000000000004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5.75" customHeight="1" x14ac:dyDescent="0.55000000000000004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5.75" customHeight="1" x14ac:dyDescent="0.55000000000000004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5.75" customHeight="1" x14ac:dyDescent="0.55000000000000004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5.75" customHeight="1" x14ac:dyDescent="0.55000000000000004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5.75" customHeight="1" x14ac:dyDescent="0.55000000000000004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5.75" customHeight="1" x14ac:dyDescent="0.55000000000000004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5.75" customHeight="1" x14ac:dyDescent="0.55000000000000004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5.75" customHeight="1" x14ac:dyDescent="0.55000000000000004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5.75" customHeight="1" x14ac:dyDescent="0.55000000000000004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5.75" customHeight="1" x14ac:dyDescent="0.55000000000000004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5.75" customHeight="1" x14ac:dyDescent="0.55000000000000004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5.75" customHeight="1" x14ac:dyDescent="0.55000000000000004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5.75" customHeight="1" x14ac:dyDescent="0.55000000000000004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5.75" customHeight="1" x14ac:dyDescent="0.55000000000000004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5.75" customHeight="1" x14ac:dyDescent="0.55000000000000004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5.75" customHeight="1" x14ac:dyDescent="0.55000000000000004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5.75" customHeight="1" x14ac:dyDescent="0.55000000000000004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5.75" customHeight="1" x14ac:dyDescent="0.55000000000000004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5.75" customHeight="1" x14ac:dyDescent="0.55000000000000004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5.75" customHeight="1" x14ac:dyDescent="0.55000000000000004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5.75" customHeight="1" x14ac:dyDescent="0.55000000000000004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5.75" customHeight="1" x14ac:dyDescent="0.55000000000000004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5.75" customHeight="1" x14ac:dyDescent="0.55000000000000004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5.75" customHeight="1" x14ac:dyDescent="0.55000000000000004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5.75" customHeight="1" x14ac:dyDescent="0.55000000000000004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5.75" customHeight="1" x14ac:dyDescent="0.55000000000000004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5.75" customHeight="1" x14ac:dyDescent="0.55000000000000004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5.75" customHeight="1" x14ac:dyDescent="0.55000000000000004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5.75" customHeight="1" x14ac:dyDescent="0.55000000000000004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5.75" customHeight="1" x14ac:dyDescent="0.55000000000000004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5.75" customHeight="1" x14ac:dyDescent="0.55000000000000004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5.75" customHeight="1" x14ac:dyDescent="0.55000000000000004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5.75" customHeight="1" x14ac:dyDescent="0.55000000000000004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5.75" customHeight="1" x14ac:dyDescent="0.55000000000000004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5.75" customHeight="1" x14ac:dyDescent="0.55000000000000004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5.75" customHeight="1" x14ac:dyDescent="0.55000000000000004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5.75" customHeight="1" x14ac:dyDescent="0.55000000000000004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5.75" customHeight="1" x14ac:dyDescent="0.55000000000000004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5.75" customHeight="1" x14ac:dyDescent="0.55000000000000004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5.75" customHeight="1" x14ac:dyDescent="0.55000000000000004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5.75" customHeight="1" x14ac:dyDescent="0.55000000000000004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5.75" customHeight="1" x14ac:dyDescent="0.55000000000000004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5.75" customHeight="1" x14ac:dyDescent="0.55000000000000004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5.75" customHeight="1" x14ac:dyDescent="0.55000000000000004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5.75" customHeight="1" x14ac:dyDescent="0.55000000000000004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5.75" customHeight="1" x14ac:dyDescent="0.55000000000000004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5.75" customHeight="1" x14ac:dyDescent="0.55000000000000004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5.75" customHeight="1" x14ac:dyDescent="0.55000000000000004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5.75" customHeight="1" x14ac:dyDescent="0.55000000000000004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5.75" customHeight="1" x14ac:dyDescent="0.55000000000000004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5.75" customHeight="1" x14ac:dyDescent="0.55000000000000004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5.75" customHeight="1" x14ac:dyDescent="0.55000000000000004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5.75" customHeight="1" x14ac:dyDescent="0.55000000000000004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5.75" customHeight="1" x14ac:dyDescent="0.55000000000000004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5.75" customHeight="1" x14ac:dyDescent="0.55000000000000004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5.75" customHeight="1" x14ac:dyDescent="0.55000000000000004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5.75" customHeight="1" x14ac:dyDescent="0.55000000000000004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5.75" customHeight="1" x14ac:dyDescent="0.55000000000000004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5.75" customHeight="1" x14ac:dyDescent="0.55000000000000004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5.75" customHeight="1" x14ac:dyDescent="0.55000000000000004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5.75" customHeight="1" x14ac:dyDescent="0.55000000000000004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5.75" customHeight="1" x14ac:dyDescent="0.55000000000000004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5.75" customHeight="1" x14ac:dyDescent="0.55000000000000004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5.75" customHeight="1" x14ac:dyDescent="0.55000000000000004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5.75" customHeight="1" x14ac:dyDescent="0.55000000000000004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5.75" customHeight="1" x14ac:dyDescent="0.55000000000000004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5.75" customHeight="1" x14ac:dyDescent="0.55000000000000004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5.75" customHeight="1" x14ac:dyDescent="0.55000000000000004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5.75" customHeight="1" x14ac:dyDescent="0.55000000000000004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5.75" customHeight="1" x14ac:dyDescent="0.55000000000000004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5.75" customHeight="1" x14ac:dyDescent="0.55000000000000004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5.75" customHeight="1" x14ac:dyDescent="0.55000000000000004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5.75" customHeight="1" x14ac:dyDescent="0.55000000000000004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5.75" customHeight="1" x14ac:dyDescent="0.55000000000000004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5.75" customHeight="1" x14ac:dyDescent="0.55000000000000004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5.75" customHeight="1" x14ac:dyDescent="0.55000000000000004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5.75" customHeight="1" x14ac:dyDescent="0.55000000000000004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5.75" customHeight="1" x14ac:dyDescent="0.55000000000000004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5.75" customHeight="1" x14ac:dyDescent="0.55000000000000004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5.75" customHeight="1" x14ac:dyDescent="0.55000000000000004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5.75" customHeight="1" x14ac:dyDescent="0.55000000000000004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5.75" customHeight="1" x14ac:dyDescent="0.55000000000000004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5.75" customHeight="1" x14ac:dyDescent="0.55000000000000004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5.75" customHeight="1" x14ac:dyDescent="0.55000000000000004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5.75" customHeight="1" x14ac:dyDescent="0.55000000000000004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5.75" customHeight="1" x14ac:dyDescent="0.55000000000000004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5.75" customHeight="1" x14ac:dyDescent="0.55000000000000004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5.75" customHeight="1" x14ac:dyDescent="0.55000000000000004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5.75" customHeight="1" x14ac:dyDescent="0.55000000000000004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5.75" customHeight="1" x14ac:dyDescent="0.55000000000000004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5.75" customHeight="1" x14ac:dyDescent="0.55000000000000004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5.75" customHeight="1" x14ac:dyDescent="0.55000000000000004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5.75" customHeight="1" x14ac:dyDescent="0.55000000000000004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5.75" customHeight="1" x14ac:dyDescent="0.55000000000000004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5.75" customHeight="1" x14ac:dyDescent="0.55000000000000004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5.75" customHeight="1" x14ac:dyDescent="0.55000000000000004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5.75" customHeight="1" x14ac:dyDescent="0.55000000000000004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5.75" customHeight="1" x14ac:dyDescent="0.55000000000000004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5.75" customHeight="1" x14ac:dyDescent="0.55000000000000004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5.75" customHeight="1" x14ac:dyDescent="0.55000000000000004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5.75" customHeight="1" x14ac:dyDescent="0.55000000000000004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5.75" customHeight="1" x14ac:dyDescent="0.55000000000000004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5.75" customHeight="1" x14ac:dyDescent="0.55000000000000004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5.75" customHeight="1" x14ac:dyDescent="0.55000000000000004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5.75" customHeight="1" x14ac:dyDescent="0.55000000000000004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5.75" customHeight="1" x14ac:dyDescent="0.55000000000000004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5.75" customHeight="1" x14ac:dyDescent="0.55000000000000004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5.75" customHeight="1" x14ac:dyDescent="0.55000000000000004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5.75" customHeight="1" x14ac:dyDescent="0.55000000000000004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5.75" customHeight="1" x14ac:dyDescent="0.55000000000000004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5.75" customHeight="1" x14ac:dyDescent="0.55000000000000004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5.75" customHeight="1" x14ac:dyDescent="0.55000000000000004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  <row r="1001" spans="1:26" ht="15.75" customHeight="1" x14ac:dyDescent="0.55000000000000004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  <c r="U1001" s="265"/>
      <c r="V1001" s="265"/>
      <c r="W1001" s="265"/>
      <c r="X1001" s="265"/>
      <c r="Y1001" s="265"/>
      <c r="Z1001" s="265"/>
    </row>
    <row r="1002" spans="1:26" ht="15.75" customHeight="1" x14ac:dyDescent="0.55000000000000004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  <c r="U1002" s="265"/>
      <c r="V1002" s="265"/>
      <c r="W1002" s="265"/>
      <c r="X1002" s="265"/>
      <c r="Y1002" s="265"/>
      <c r="Z1002" s="265"/>
    </row>
    <row r="1003" spans="1:26" ht="15.75" customHeight="1" x14ac:dyDescent="0.55000000000000004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  <c r="U1003" s="265"/>
      <c r="V1003" s="265"/>
      <c r="W1003" s="265"/>
      <c r="X1003" s="265"/>
      <c r="Y1003" s="265"/>
      <c r="Z1003" s="265"/>
    </row>
    <row r="1004" spans="1:26" ht="15.75" customHeight="1" x14ac:dyDescent="0.55000000000000004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  <c r="U1004" s="265"/>
      <c r="V1004" s="265"/>
      <c r="W1004" s="265"/>
      <c r="X1004" s="265"/>
      <c r="Y1004" s="265"/>
      <c r="Z1004" s="265"/>
    </row>
    <row r="1005" spans="1:26" ht="15.75" customHeight="1" x14ac:dyDescent="0.55000000000000004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  <c r="U1005" s="265"/>
      <c r="V1005" s="265"/>
      <c r="W1005" s="265"/>
      <c r="X1005" s="265"/>
      <c r="Y1005" s="265"/>
      <c r="Z1005" s="265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4198-0323-4FC1-9217-C971E0FCA92B}">
  <sheetPr>
    <pageSetUpPr fitToPage="1"/>
  </sheetPr>
  <dimension ref="A1:Z996"/>
  <sheetViews>
    <sheetView showGridLines="0" workbookViewId="0">
      <selection activeCell="A31" sqref="A1:XFD1048576"/>
    </sheetView>
  </sheetViews>
  <sheetFormatPr defaultColWidth="14.42578125" defaultRowHeight="15" customHeight="1" x14ac:dyDescent="0.55000000000000004"/>
  <cols>
    <col min="1" max="1" width="17.28515625" style="50" customWidth="1"/>
    <col min="2" max="2" width="60.5703125" style="50" customWidth="1"/>
    <col min="3" max="3" width="6.28515625" style="50" customWidth="1"/>
    <col min="4" max="4" width="15.7109375" style="50" customWidth="1"/>
    <col min="5" max="5" width="19.28515625" style="50" customWidth="1"/>
    <col min="6" max="6" width="17.5703125" style="50" customWidth="1"/>
    <col min="7" max="7" width="71.42578125" style="304" customWidth="1"/>
    <col min="8" max="8" width="9.140625" style="50" customWidth="1"/>
    <col min="9" max="9" width="11.7109375" style="50" customWidth="1"/>
    <col min="10" max="26" width="9.140625" style="50" customWidth="1"/>
    <col min="27" max="16384" width="14.42578125" style="50"/>
  </cols>
  <sheetData>
    <row r="1" spans="1:26" ht="9" customHeight="1" x14ac:dyDescent="0.55000000000000004">
      <c r="A1" s="321" t="s">
        <v>66</v>
      </c>
      <c r="B1" s="321"/>
      <c r="C1" s="321"/>
      <c r="D1" s="321"/>
      <c r="E1" s="321"/>
      <c r="F1" s="321"/>
      <c r="G1" s="3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9" customHeight="1" x14ac:dyDescent="0.55000000000000004">
      <c r="A2" s="321"/>
      <c r="B2" s="321"/>
      <c r="C2" s="321"/>
      <c r="D2" s="321"/>
      <c r="E2" s="321"/>
      <c r="F2" s="321"/>
      <c r="G2" s="3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9" customHeight="1" x14ac:dyDescent="0.55000000000000004">
      <c r="A3" s="321"/>
      <c r="B3" s="321"/>
      <c r="C3" s="321"/>
      <c r="D3" s="321"/>
      <c r="E3" s="321"/>
      <c r="F3" s="321"/>
      <c r="G3" s="3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9" customHeight="1" x14ac:dyDescent="0.55000000000000004">
      <c r="A4" s="321"/>
      <c r="B4" s="321"/>
      <c r="C4" s="321"/>
      <c r="D4" s="321"/>
      <c r="E4" s="321"/>
      <c r="F4" s="321"/>
      <c r="G4" s="3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9" customHeight="1" x14ac:dyDescent="0.55000000000000004">
      <c r="A5" s="321"/>
      <c r="B5" s="321"/>
      <c r="C5" s="321"/>
      <c r="D5" s="321"/>
      <c r="E5" s="321"/>
      <c r="F5" s="321"/>
      <c r="G5" s="3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1.45" customHeight="1" thickBot="1" x14ac:dyDescent="0.6">
      <c r="A6" s="14"/>
      <c r="B6" s="15"/>
      <c r="C6" s="15"/>
      <c r="D6" s="16"/>
      <c r="E6" s="16"/>
      <c r="F6" s="17"/>
      <c r="G6" s="83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8" customHeight="1" x14ac:dyDescent="0.55000000000000004">
      <c r="A7" s="80" t="s">
        <v>67</v>
      </c>
      <c r="B7" s="318" t="str">
        <f>OBRA!B1</f>
        <v>Jardim Campeche</v>
      </c>
      <c r="C7" s="319"/>
      <c r="D7" s="319"/>
      <c r="E7" s="319"/>
      <c r="F7" s="319"/>
      <c r="G7" s="3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8" customHeight="1" x14ac:dyDescent="0.55000000000000004">
      <c r="A8" s="81" t="s">
        <v>0</v>
      </c>
      <c r="B8" s="318" t="str">
        <f>OBRA!B2</f>
        <v>BD Empreendimentos</v>
      </c>
      <c r="C8" s="319"/>
      <c r="D8" s="319"/>
      <c r="E8" s="319"/>
      <c r="F8" s="319"/>
      <c r="G8" s="3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8" customHeight="1" x14ac:dyDescent="0.55000000000000004">
      <c r="A9" s="81" t="s">
        <v>68</v>
      </c>
      <c r="B9" s="327">
        <v>45690</v>
      </c>
      <c r="C9" s="328"/>
      <c r="D9" s="328"/>
      <c r="E9" s="328"/>
      <c r="F9" s="328"/>
      <c r="G9" s="329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8" customHeight="1" thickBot="1" x14ac:dyDescent="0.6">
      <c r="A10" s="82" t="s">
        <v>69</v>
      </c>
      <c r="B10" s="318" t="str">
        <f>OBRA!B3</f>
        <v>R00</v>
      </c>
      <c r="C10" s="319"/>
      <c r="D10" s="319"/>
      <c r="E10" s="319"/>
      <c r="F10" s="319"/>
      <c r="G10" s="320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1.45" customHeight="1" x14ac:dyDescent="0.55000000000000004">
      <c r="A11" s="21"/>
      <c r="B11" s="21"/>
      <c r="C11" s="21"/>
      <c r="D11" s="22"/>
      <c r="E11" s="22"/>
      <c r="F11" s="22"/>
      <c r="G11" s="84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1" customHeight="1" x14ac:dyDescent="0.55000000000000004">
      <c r="A12" s="325" t="s">
        <v>70</v>
      </c>
      <c r="B12" s="326"/>
      <c r="C12" s="326"/>
      <c r="D12" s="326"/>
      <c r="E12" s="326"/>
      <c r="F12" s="326"/>
      <c r="G12" s="326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9.5" customHeight="1" x14ac:dyDescent="0.55000000000000004">
      <c r="A13" s="23" t="s">
        <v>71</v>
      </c>
      <c r="B13" s="23" t="s">
        <v>5</v>
      </c>
      <c r="C13" s="23" t="s">
        <v>72</v>
      </c>
      <c r="D13" s="24" t="s">
        <v>73</v>
      </c>
      <c r="E13" s="24" t="s">
        <v>74</v>
      </c>
      <c r="F13" s="24" t="s">
        <v>75</v>
      </c>
      <c r="G13" s="85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</row>
    <row r="14" spans="1:26" ht="15.75" customHeight="1" x14ac:dyDescent="0.55000000000000004">
      <c r="A14" s="25" t="s">
        <v>76</v>
      </c>
      <c r="B14" s="26" t="s">
        <v>70</v>
      </c>
      <c r="C14" s="26"/>
      <c r="D14" s="27"/>
      <c r="E14" s="27"/>
      <c r="F14" s="77">
        <f>F15+F20</f>
        <v>408539.85956307157</v>
      </c>
      <c r="G14" s="86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 x14ac:dyDescent="0.55000000000000004">
      <c r="A15" s="28" t="s">
        <v>77</v>
      </c>
      <c r="B15" s="29" t="s">
        <v>78</v>
      </c>
      <c r="C15" s="29"/>
      <c r="D15" s="30"/>
      <c r="E15" s="30"/>
      <c r="F15" s="78">
        <f>F16+F17+F18+F19</f>
        <v>310726.94328850124</v>
      </c>
      <c r="G15" s="87"/>
      <c r="H15" s="30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 x14ac:dyDescent="0.55000000000000004">
      <c r="A16" s="68" t="s">
        <v>79</v>
      </c>
      <c r="B16" s="69" t="s">
        <v>80</v>
      </c>
      <c r="C16" s="69"/>
      <c r="D16" s="70"/>
      <c r="E16" s="70"/>
      <c r="F16" s="79">
        <v>18489.049516069506</v>
      </c>
      <c r="G16" s="8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55000000000000004">
      <c r="A17" s="68" t="s">
        <v>81</v>
      </c>
      <c r="B17" s="69" t="s">
        <v>82</v>
      </c>
      <c r="C17" s="69"/>
      <c r="D17" s="70"/>
      <c r="E17" s="70"/>
      <c r="F17" s="79">
        <v>208534.21906487082</v>
      </c>
      <c r="G17" s="8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 x14ac:dyDescent="0.55000000000000004">
      <c r="A18" s="68" t="s">
        <v>83</v>
      </c>
      <c r="B18" s="69" t="s">
        <v>84</v>
      </c>
      <c r="C18" s="69"/>
      <c r="D18" s="70"/>
      <c r="E18" s="70"/>
      <c r="F18" s="71">
        <v>59535.621700461917</v>
      </c>
      <c r="G18" s="89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55000000000000004">
      <c r="A19" s="68" t="s">
        <v>85</v>
      </c>
      <c r="B19" s="69" t="s">
        <v>86</v>
      </c>
      <c r="C19" s="69"/>
      <c r="D19" s="70"/>
      <c r="E19" s="70"/>
      <c r="F19" s="71">
        <v>24168.053007099035</v>
      </c>
      <c r="G19" s="89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55000000000000004">
      <c r="A20" s="28" t="s">
        <v>87</v>
      </c>
      <c r="B20" s="29" t="s">
        <v>88</v>
      </c>
      <c r="C20" s="29"/>
      <c r="D20" s="30"/>
      <c r="E20" s="30"/>
      <c r="F20" s="31">
        <f>SUM(F21:F23)</f>
        <v>97812.916274570322</v>
      </c>
      <c r="G20" s="90"/>
      <c r="H20" s="30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55000000000000004">
      <c r="A21" s="72" t="s">
        <v>89</v>
      </c>
      <c r="B21" s="69" t="s">
        <v>90</v>
      </c>
      <c r="C21" s="69"/>
      <c r="D21" s="70"/>
      <c r="E21" s="70"/>
      <c r="F21" s="71">
        <v>32356.333999976196</v>
      </c>
      <c r="G21" s="89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55000000000000004">
      <c r="A22" s="72" t="s">
        <v>91</v>
      </c>
      <c r="B22" s="69" t="s">
        <v>92</v>
      </c>
      <c r="C22" s="69"/>
      <c r="D22" s="70"/>
      <c r="E22" s="70"/>
      <c r="F22" s="71">
        <v>50089.728299938208</v>
      </c>
      <c r="G22" s="89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55000000000000004">
      <c r="A23" s="68" t="s">
        <v>93</v>
      </c>
      <c r="B23" s="69" t="s">
        <v>94</v>
      </c>
      <c r="C23" s="69"/>
      <c r="D23" s="70"/>
      <c r="E23" s="70"/>
      <c r="F23" s="71">
        <v>15366.853974655922</v>
      </c>
      <c r="G23" s="89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55000000000000004">
      <c r="A24" s="32" t="s">
        <v>95</v>
      </c>
      <c r="B24" s="33" t="s">
        <v>96</v>
      </c>
      <c r="C24" s="33"/>
      <c r="D24" s="34"/>
      <c r="E24" s="34"/>
      <c r="F24" s="35">
        <f>F25+F39+F58</f>
        <v>2142504.2240069276</v>
      </c>
      <c r="G24" s="9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55000000000000004">
      <c r="A25" s="36" t="s">
        <v>97</v>
      </c>
      <c r="B25" s="29" t="s">
        <v>98</v>
      </c>
      <c r="C25" s="29"/>
      <c r="D25" s="30"/>
      <c r="E25" s="30"/>
      <c r="F25" s="31">
        <f>F26+F28+F38</f>
        <v>337318.92798834905</v>
      </c>
      <c r="G25" s="90"/>
      <c r="H25" s="30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55000000000000004">
      <c r="A26" s="72" t="s">
        <v>99</v>
      </c>
      <c r="B26" s="69" t="s">
        <v>100</v>
      </c>
      <c r="C26" s="69"/>
      <c r="D26" s="70"/>
      <c r="E26" s="70"/>
      <c r="F26" s="71">
        <f>F27</f>
        <v>43200</v>
      </c>
      <c r="G26" s="8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55000000000000004">
      <c r="A27" s="37" t="s">
        <v>101</v>
      </c>
      <c r="B27" s="38" t="s">
        <v>102</v>
      </c>
      <c r="C27" s="38" t="s">
        <v>103</v>
      </c>
      <c r="D27" s="39">
        <f>OBRA!D12</f>
        <v>36</v>
      </c>
      <c r="E27" s="40">
        <v>1200</v>
      </c>
      <c r="F27" s="41">
        <f>E27*D27</f>
        <v>43200</v>
      </c>
      <c r="G27" s="92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55000000000000004">
      <c r="A28" s="72" t="s">
        <v>104</v>
      </c>
      <c r="B28" s="69" t="s">
        <v>105</v>
      </c>
      <c r="C28" s="69"/>
      <c r="D28" s="70"/>
      <c r="E28" s="70"/>
      <c r="F28" s="71">
        <f>SUM(F29:F37)</f>
        <v>266909.00949660898</v>
      </c>
      <c r="G28" s="8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55000000000000004">
      <c r="A29" s="37" t="s">
        <v>106</v>
      </c>
      <c r="B29" s="38" t="s">
        <v>21</v>
      </c>
      <c r="C29" s="38" t="s">
        <v>19</v>
      </c>
      <c r="D29" s="39">
        <f>EPCs!D13</f>
        <v>123.46</v>
      </c>
      <c r="E29" s="44">
        <v>243.95614637281909</v>
      </c>
      <c r="F29" s="41">
        <f>E29*D29</f>
        <v>30118.825831188242</v>
      </c>
      <c r="G29" s="92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55000000000000004">
      <c r="A30" s="37" t="s">
        <v>106</v>
      </c>
      <c r="B30" s="38" t="s">
        <v>461</v>
      </c>
      <c r="C30" s="38" t="s">
        <v>19</v>
      </c>
      <c r="D30" s="39">
        <f>EPCs!D14</f>
        <v>116.66</v>
      </c>
      <c r="E30" s="44">
        <v>115.53300000000002</v>
      </c>
      <c r="F30" s="41">
        <f>E30*D30</f>
        <v>13478.079780000002</v>
      </c>
      <c r="G30" s="92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9.5" customHeight="1" x14ac:dyDescent="0.55000000000000004">
      <c r="A31" s="37" t="s">
        <v>107</v>
      </c>
      <c r="B31" s="38" t="s">
        <v>109</v>
      </c>
      <c r="C31" s="38" t="s">
        <v>19</v>
      </c>
      <c r="D31" s="39">
        <f>EPCs!D21</f>
        <v>466.64</v>
      </c>
      <c r="E31" s="44">
        <v>41.842177000000007</v>
      </c>
      <c r="F31" s="41">
        <f t="shared" ref="F31:F37" si="0">E31*D31</f>
        <v>19525.233475280002</v>
      </c>
      <c r="G31" s="92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9.5" customHeight="1" x14ac:dyDescent="0.55000000000000004">
      <c r="A32" s="37" t="s">
        <v>108</v>
      </c>
      <c r="B32" s="38" t="s">
        <v>466</v>
      </c>
      <c r="C32" s="38" t="s">
        <v>19</v>
      </c>
      <c r="D32" s="39">
        <f>EPCs!D27</f>
        <v>194.45</v>
      </c>
      <c r="E32" s="44">
        <v>21.879000000000001</v>
      </c>
      <c r="F32" s="41">
        <f t="shared" si="0"/>
        <v>4254.3715499999998</v>
      </c>
      <c r="G32" s="92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9.5" customHeight="1" x14ac:dyDescent="0.55000000000000004">
      <c r="A33" s="37" t="s">
        <v>110</v>
      </c>
      <c r="B33" s="38" t="s">
        <v>111</v>
      </c>
      <c r="C33" s="38" t="s">
        <v>28</v>
      </c>
      <c r="D33" s="39">
        <f>EPCs!D42</f>
        <v>15.120000000000001</v>
      </c>
      <c r="E33" s="44">
        <v>36.2575754061344</v>
      </c>
      <c r="F33" s="41">
        <f t="shared" si="0"/>
        <v>548.21454014075221</v>
      </c>
      <c r="G33" s="92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9.5" customHeight="1" x14ac:dyDescent="0.55000000000000004">
      <c r="A34" s="37" t="s">
        <v>112</v>
      </c>
      <c r="B34" s="38" t="s">
        <v>26</v>
      </c>
      <c r="C34" s="38" t="s">
        <v>28</v>
      </c>
      <c r="D34" s="39">
        <f>EPCs!D34</f>
        <v>2897.8343999999993</v>
      </c>
      <c r="E34" s="44">
        <v>7.8</v>
      </c>
      <c r="F34" s="41">
        <f t="shared" si="0"/>
        <v>22603.108319999992</v>
      </c>
      <c r="G34" s="9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9.5" customHeight="1" x14ac:dyDescent="0.55000000000000004">
      <c r="A35" s="37" t="s">
        <v>113</v>
      </c>
      <c r="B35" s="43" t="s">
        <v>415</v>
      </c>
      <c r="C35" s="38" t="s">
        <v>19</v>
      </c>
      <c r="D35" s="39">
        <f>D31</f>
        <v>466.64</v>
      </c>
      <c r="E35" s="44">
        <v>268.40000000000003</v>
      </c>
      <c r="F35" s="41">
        <f t="shared" si="0"/>
        <v>125246.17600000001</v>
      </c>
      <c r="G35" s="9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 x14ac:dyDescent="0.55000000000000004">
      <c r="A36" s="37" t="s">
        <v>114</v>
      </c>
      <c r="B36" s="38" t="s">
        <v>115</v>
      </c>
      <c r="C36" s="38" t="s">
        <v>116</v>
      </c>
      <c r="D36" s="39">
        <v>1</v>
      </c>
      <c r="E36" s="44">
        <v>3135.0000000000005</v>
      </c>
      <c r="F36" s="41">
        <f t="shared" si="0"/>
        <v>3135.0000000000005</v>
      </c>
      <c r="G36" s="92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55000000000000004">
      <c r="A37" s="37" t="s">
        <v>117</v>
      </c>
      <c r="B37" s="38" t="s">
        <v>118</v>
      </c>
      <c r="C37" s="38" t="s">
        <v>116</v>
      </c>
      <c r="D37" s="39">
        <v>1</v>
      </c>
      <c r="E37" s="39">
        <f>CANTEIRO!D18</f>
        <v>48000</v>
      </c>
      <c r="F37" s="41">
        <f t="shared" si="0"/>
        <v>48000</v>
      </c>
      <c r="G37" s="92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 x14ac:dyDescent="0.55000000000000004">
      <c r="A38" s="72" t="s">
        <v>119</v>
      </c>
      <c r="B38" s="69" t="s">
        <v>120</v>
      </c>
      <c r="C38" s="69"/>
      <c r="D38" s="70"/>
      <c r="E38" s="70"/>
      <c r="F38" s="71">
        <v>27209.918491740049</v>
      </c>
      <c r="G38" s="89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55000000000000004">
      <c r="A39" s="36" t="s">
        <v>121</v>
      </c>
      <c r="B39" s="29" t="s">
        <v>122</v>
      </c>
      <c r="C39" s="29"/>
      <c r="D39" s="30"/>
      <c r="E39" s="30"/>
      <c r="F39" s="31">
        <f>F40+F47+F49+F57</f>
        <v>1502849.0360185788</v>
      </c>
      <c r="G39" s="90"/>
      <c r="H39" s="30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55000000000000004">
      <c r="A40" s="72" t="s">
        <v>123</v>
      </c>
      <c r="B40" s="69" t="s">
        <v>124</v>
      </c>
      <c r="C40" s="69"/>
      <c r="D40" s="70"/>
      <c r="E40" s="70"/>
      <c r="F40" s="71">
        <f>SUM(F41:F46)</f>
        <v>1106201.8636282475</v>
      </c>
      <c r="G40" s="89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55000000000000004">
      <c r="A41" s="37" t="s">
        <v>125</v>
      </c>
      <c r="B41" s="38" t="s">
        <v>405</v>
      </c>
      <c r="C41" s="38" t="s">
        <v>103</v>
      </c>
      <c r="D41" s="39">
        <f>OBRA!$D$12</f>
        <v>36</v>
      </c>
      <c r="E41" s="40">
        <v>6600</v>
      </c>
      <c r="F41" s="41">
        <f>E41*D41</f>
        <v>237600</v>
      </c>
      <c r="G41" s="92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55000000000000004">
      <c r="A42" s="37" t="s">
        <v>126</v>
      </c>
      <c r="B42" s="38" t="s">
        <v>406</v>
      </c>
      <c r="C42" s="38" t="s">
        <v>103</v>
      </c>
      <c r="D42" s="39">
        <f>OBRA!$D$12</f>
        <v>36</v>
      </c>
      <c r="E42" s="40">
        <v>7500</v>
      </c>
      <c r="F42" s="41">
        <f>E42*D42</f>
        <v>270000</v>
      </c>
      <c r="G42" s="92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55000000000000004">
      <c r="A43" s="74" t="s">
        <v>127</v>
      </c>
      <c r="B43" s="75" t="s">
        <v>467</v>
      </c>
      <c r="C43" s="75" t="s">
        <v>103</v>
      </c>
      <c r="D43" s="39">
        <f>OBRA!$D$12</f>
        <v>36</v>
      </c>
      <c r="E43" s="76">
        <v>5500</v>
      </c>
      <c r="F43" s="41">
        <f t="shared" ref="F43:F56" si="1">E43*D43</f>
        <v>198000</v>
      </c>
      <c r="G43" s="92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55000000000000004">
      <c r="A44" s="37" t="s">
        <v>127</v>
      </c>
      <c r="B44" s="38" t="s">
        <v>468</v>
      </c>
      <c r="C44" s="38" t="s">
        <v>103</v>
      </c>
      <c r="D44" s="39">
        <f>D62</f>
        <v>13</v>
      </c>
      <c r="E44" s="40">
        <v>3500</v>
      </c>
      <c r="F44" s="41">
        <f t="shared" si="1"/>
        <v>45500</v>
      </c>
      <c r="G44" s="92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55000000000000004">
      <c r="A45" s="37" t="s">
        <v>128</v>
      </c>
      <c r="B45" s="38" t="s">
        <v>416</v>
      </c>
      <c r="C45" s="38" t="s">
        <v>103</v>
      </c>
      <c r="D45" s="39">
        <f>OBRA!$D$12</f>
        <v>36</v>
      </c>
      <c r="E45" s="95">
        <v>4776.5</v>
      </c>
      <c r="F45" s="41">
        <f t="shared" si="1"/>
        <v>171954</v>
      </c>
      <c r="G45" s="9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55000000000000004">
      <c r="A46" s="37" t="s">
        <v>408</v>
      </c>
      <c r="B46" s="38" t="s">
        <v>407</v>
      </c>
      <c r="C46" s="38" t="s">
        <v>103</v>
      </c>
      <c r="D46" s="39">
        <f>OBRA!$D$12</f>
        <v>36</v>
      </c>
      <c r="E46" s="40">
        <v>5087.440656340209</v>
      </c>
      <c r="F46" s="41">
        <f t="shared" si="1"/>
        <v>183147.86362824752</v>
      </c>
      <c r="G46" s="9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55000000000000004">
      <c r="A47" s="72" t="s">
        <v>129</v>
      </c>
      <c r="B47" s="69" t="s">
        <v>130</v>
      </c>
      <c r="C47" s="69"/>
      <c r="D47" s="70"/>
      <c r="E47" s="70"/>
      <c r="F47" s="71">
        <f>SUM(F48)</f>
        <v>10833.125</v>
      </c>
      <c r="G47" s="89"/>
      <c r="H47" s="30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55000000000000004">
      <c r="A48" s="37" t="s">
        <v>131</v>
      </c>
      <c r="B48" s="38" t="s">
        <v>132</v>
      </c>
      <c r="C48" s="38" t="s">
        <v>28</v>
      </c>
      <c r="D48" s="39">
        <f>OBRA!D9</f>
        <v>866.65</v>
      </c>
      <c r="E48" s="40">
        <v>12.5</v>
      </c>
      <c r="F48" s="41">
        <f t="shared" si="1"/>
        <v>10833.125</v>
      </c>
      <c r="G48" s="97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55000000000000004">
      <c r="A49" s="72" t="s">
        <v>133</v>
      </c>
      <c r="B49" s="69" t="s">
        <v>134</v>
      </c>
      <c r="C49" s="69"/>
      <c r="D49" s="70"/>
      <c r="E49" s="70"/>
      <c r="F49" s="71">
        <f>SUM(F50:F56)</f>
        <v>183914.36051672918</v>
      </c>
      <c r="G49" s="89"/>
      <c r="H49" s="30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55000000000000004">
      <c r="A50" s="37" t="s">
        <v>135</v>
      </c>
      <c r="B50" s="38" t="s">
        <v>136</v>
      </c>
      <c r="C50" s="45" t="s">
        <v>103</v>
      </c>
      <c r="D50" s="39">
        <v>6</v>
      </c>
      <c r="E50" s="44">
        <v>2850</v>
      </c>
      <c r="F50" s="41">
        <f t="shared" si="1"/>
        <v>17100</v>
      </c>
      <c r="G50" s="303"/>
      <c r="H50" s="21"/>
      <c r="I50" s="2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55000000000000004">
      <c r="A51" s="37" t="s">
        <v>137</v>
      </c>
      <c r="B51" s="38" t="s">
        <v>39</v>
      </c>
      <c r="C51" s="38" t="s">
        <v>116</v>
      </c>
      <c r="D51" s="40">
        <v>1</v>
      </c>
      <c r="E51" s="40">
        <v>114828.98397705094</v>
      </c>
      <c r="F51" s="41">
        <f t="shared" si="1"/>
        <v>114828.98397705094</v>
      </c>
      <c r="G51" s="9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55000000000000004">
      <c r="A52" s="37" t="s">
        <v>138</v>
      </c>
      <c r="B52" s="38" t="s">
        <v>139</v>
      </c>
      <c r="C52" s="38" t="s">
        <v>116</v>
      </c>
      <c r="D52" s="40">
        <v>1</v>
      </c>
      <c r="E52" s="40">
        <v>4360.6345000511255</v>
      </c>
      <c r="F52" s="41">
        <f t="shared" si="1"/>
        <v>4360.6345000511255</v>
      </c>
      <c r="G52" s="9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55000000000000004">
      <c r="A53" s="37" t="s">
        <v>140</v>
      </c>
      <c r="B53" s="38" t="s">
        <v>141</v>
      </c>
      <c r="C53" s="38" t="s">
        <v>116</v>
      </c>
      <c r="D53" s="40">
        <v>1</v>
      </c>
      <c r="E53" s="40">
        <v>5449.2060396271418</v>
      </c>
      <c r="F53" s="41">
        <f t="shared" si="1"/>
        <v>5449.2060396271418</v>
      </c>
      <c r="G53" s="9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55000000000000004">
      <c r="A54" s="37" t="s">
        <v>142</v>
      </c>
      <c r="B54" s="38" t="s">
        <v>143</v>
      </c>
      <c r="C54" s="38" t="s">
        <v>116</v>
      </c>
      <c r="D54" s="40">
        <v>1</v>
      </c>
      <c r="E54" s="40">
        <v>12200</v>
      </c>
      <c r="F54" s="41">
        <f t="shared" si="1"/>
        <v>12200</v>
      </c>
      <c r="G54" s="93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55000000000000004">
      <c r="A55" s="37" t="s">
        <v>144</v>
      </c>
      <c r="B55" s="38" t="s">
        <v>145</v>
      </c>
      <c r="C55" s="45" t="s">
        <v>116</v>
      </c>
      <c r="D55" s="40">
        <v>1</v>
      </c>
      <c r="E55" s="40">
        <v>14500</v>
      </c>
      <c r="F55" s="41">
        <f t="shared" si="1"/>
        <v>14500</v>
      </c>
      <c r="G55" s="9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55000000000000004">
      <c r="A56" s="37" t="s">
        <v>146</v>
      </c>
      <c r="B56" s="38" t="s">
        <v>147</v>
      </c>
      <c r="C56" s="38" t="s">
        <v>28</v>
      </c>
      <c r="D56" s="39">
        <f>EPCs!D49</f>
        <v>129.6</v>
      </c>
      <c r="E56" s="40">
        <v>119.41</v>
      </c>
      <c r="F56" s="41">
        <f t="shared" si="1"/>
        <v>15475.535999999998</v>
      </c>
      <c r="G56" s="92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55000000000000004">
      <c r="A57" s="72" t="s">
        <v>148</v>
      </c>
      <c r="B57" s="69" t="s">
        <v>149</v>
      </c>
      <c r="C57" s="69"/>
      <c r="D57" s="70"/>
      <c r="E57" s="70"/>
      <c r="F57" s="98">
        <v>201899.68687360233</v>
      </c>
      <c r="G57" s="89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55000000000000004">
      <c r="A58" s="36" t="s">
        <v>150</v>
      </c>
      <c r="B58" s="29" t="s">
        <v>151</v>
      </c>
      <c r="C58" s="29"/>
      <c r="D58" s="30"/>
      <c r="E58" s="30"/>
      <c r="F58" s="31">
        <f>F59+F68</f>
        <v>302336.26</v>
      </c>
      <c r="G58" s="90"/>
      <c r="H58" s="30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55000000000000004">
      <c r="A59" s="72" t="s">
        <v>152</v>
      </c>
      <c r="B59" s="69" t="s">
        <v>64</v>
      </c>
      <c r="C59" s="69"/>
      <c r="D59" s="70"/>
      <c r="E59" s="70"/>
      <c r="F59" s="71">
        <f>SUM(F60:F67)</f>
        <v>232136.26</v>
      </c>
      <c r="G59" s="89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55000000000000004">
      <c r="A60" s="37" t="s">
        <v>153</v>
      </c>
      <c r="B60" s="38" t="s">
        <v>154</v>
      </c>
      <c r="C60" s="38" t="s">
        <v>116</v>
      </c>
      <c r="D60" s="39">
        <v>1</v>
      </c>
      <c r="E60" s="39">
        <v>22400</v>
      </c>
      <c r="F60" s="41">
        <f t="shared" ref="F60:F67" si="2">E60*D60</f>
        <v>22400</v>
      </c>
      <c r="G60" s="9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55000000000000004">
      <c r="A61" s="37" t="s">
        <v>155</v>
      </c>
      <c r="B61" s="38" t="s">
        <v>469</v>
      </c>
      <c r="C61" s="38" t="s">
        <v>103</v>
      </c>
      <c r="D61" s="39">
        <v>1</v>
      </c>
      <c r="E61" s="40">
        <v>4880.2600000000011</v>
      </c>
      <c r="F61" s="41">
        <f t="shared" si="2"/>
        <v>4880.2600000000011</v>
      </c>
      <c r="G61" s="93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55000000000000004">
      <c r="A62" s="37" t="s">
        <v>155</v>
      </c>
      <c r="B62" s="38" t="s">
        <v>470</v>
      </c>
      <c r="C62" s="38" t="s">
        <v>103</v>
      </c>
      <c r="D62" s="39">
        <v>13</v>
      </c>
      <c r="E62" s="40">
        <v>7000</v>
      </c>
      <c r="F62" s="41">
        <f t="shared" si="2"/>
        <v>91000</v>
      </c>
      <c r="G62" s="93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55000000000000004">
      <c r="A63" s="37" t="s">
        <v>156</v>
      </c>
      <c r="B63" s="38" t="s">
        <v>396</v>
      </c>
      <c r="C63" s="38" t="s">
        <v>72</v>
      </c>
      <c r="D63" s="39">
        <v>1</v>
      </c>
      <c r="E63" s="42">
        <v>17600</v>
      </c>
      <c r="F63" s="41">
        <f t="shared" si="2"/>
        <v>17600</v>
      </c>
      <c r="G63" s="93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55000000000000004">
      <c r="A64" s="37" t="s">
        <v>157</v>
      </c>
      <c r="B64" s="38" t="s">
        <v>471</v>
      </c>
      <c r="C64" s="38" t="s">
        <v>72</v>
      </c>
      <c r="D64" s="39">
        <v>1</v>
      </c>
      <c r="E64" s="42">
        <v>13000</v>
      </c>
      <c r="F64" s="41">
        <f t="shared" si="2"/>
        <v>13000</v>
      </c>
      <c r="G64" s="93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55000000000000004">
      <c r="A65" s="37" t="s">
        <v>158</v>
      </c>
      <c r="B65" s="38" t="s">
        <v>472</v>
      </c>
      <c r="C65" s="38" t="s">
        <v>103</v>
      </c>
      <c r="D65" s="39">
        <v>10</v>
      </c>
      <c r="E65" s="42">
        <v>6650</v>
      </c>
      <c r="F65" s="41">
        <f t="shared" si="2"/>
        <v>66500</v>
      </c>
      <c r="G65" s="93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55000000000000004">
      <c r="A66" s="37" t="s">
        <v>159</v>
      </c>
      <c r="B66" s="38" t="s">
        <v>473</v>
      </c>
      <c r="C66" s="38" t="s">
        <v>72</v>
      </c>
      <c r="D66" s="39">
        <v>1</v>
      </c>
      <c r="E66" s="42">
        <v>7000</v>
      </c>
      <c r="F66" s="41">
        <f t="shared" si="2"/>
        <v>7000</v>
      </c>
      <c r="G66" s="93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55000000000000004">
      <c r="A67" s="37" t="s">
        <v>160</v>
      </c>
      <c r="B67" s="38" t="s">
        <v>474</v>
      </c>
      <c r="C67" s="38" t="s">
        <v>72</v>
      </c>
      <c r="D67" s="39">
        <v>1</v>
      </c>
      <c r="E67" s="42">
        <v>9756</v>
      </c>
      <c r="F67" s="41">
        <f t="shared" si="2"/>
        <v>9756</v>
      </c>
      <c r="G67" s="9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55000000000000004">
      <c r="A68" s="72" t="s">
        <v>397</v>
      </c>
      <c r="B68" s="69" t="s">
        <v>398</v>
      </c>
      <c r="C68" s="69"/>
      <c r="D68" s="73"/>
      <c r="E68" s="73"/>
      <c r="F68" s="71">
        <f>SUM(F69:F71)</f>
        <v>70200</v>
      </c>
      <c r="G68" s="89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55000000000000004">
      <c r="A69" s="37" t="s">
        <v>399</v>
      </c>
      <c r="B69" s="38" t="s">
        <v>161</v>
      </c>
      <c r="C69" s="38" t="s">
        <v>103</v>
      </c>
      <c r="D69" s="95">
        <v>11</v>
      </c>
      <c r="E69" s="95">
        <v>3600</v>
      </c>
      <c r="F69" s="41">
        <f t="shared" ref="F69:F71" si="3">E69*D69</f>
        <v>39600</v>
      </c>
      <c r="G69" s="93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55000000000000004">
      <c r="A70" s="37" t="s">
        <v>417</v>
      </c>
      <c r="B70" s="38" t="s">
        <v>162</v>
      </c>
      <c r="C70" s="38" t="s">
        <v>72</v>
      </c>
      <c r="D70" s="95">
        <v>48</v>
      </c>
      <c r="E70" s="95">
        <v>450</v>
      </c>
      <c r="F70" s="41">
        <f t="shared" si="3"/>
        <v>21600</v>
      </c>
      <c r="G70" s="93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55000000000000004">
      <c r="A71" s="37" t="s">
        <v>418</v>
      </c>
      <c r="B71" s="46" t="s">
        <v>419</v>
      </c>
      <c r="C71" s="38" t="s">
        <v>103</v>
      </c>
      <c r="D71" s="96">
        <v>6</v>
      </c>
      <c r="E71" s="96">
        <v>1500</v>
      </c>
      <c r="F71" s="41">
        <f t="shared" si="3"/>
        <v>9000</v>
      </c>
      <c r="G71" s="93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9.5" customHeight="1" thickBot="1" x14ac:dyDescent="0.6">
      <c r="A72" s="322" t="s">
        <v>163</v>
      </c>
      <c r="B72" s="323"/>
      <c r="C72" s="323"/>
      <c r="D72" s="323"/>
      <c r="E72" s="324"/>
      <c r="F72" s="47">
        <f>F24+F14</f>
        <v>2551044.0835699993</v>
      </c>
      <c r="G72" s="94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9.5" customHeight="1" x14ac:dyDescent="0.55000000000000004">
      <c r="A73" s="21"/>
      <c r="B73" s="21"/>
      <c r="C73" s="21"/>
      <c r="D73" s="22"/>
      <c r="E73" s="22"/>
      <c r="F73" s="22"/>
      <c r="G73" s="84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9.5" customHeight="1" x14ac:dyDescent="0.55000000000000004">
      <c r="A74" s="21"/>
      <c r="B74" s="21"/>
      <c r="C74" s="21"/>
      <c r="D74" s="22"/>
      <c r="E74" s="22"/>
      <c r="F74" s="22"/>
      <c r="G74" s="84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9.5" customHeight="1" x14ac:dyDescent="0.55000000000000004">
      <c r="A75" s="21"/>
      <c r="B75" s="21"/>
      <c r="C75" s="21"/>
      <c r="D75" s="22"/>
      <c r="E75" s="22"/>
      <c r="F75" s="22"/>
      <c r="G75" s="84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9.5" customHeight="1" x14ac:dyDescent="0.55000000000000004">
      <c r="A76" s="21"/>
      <c r="B76" s="21"/>
      <c r="C76" s="21"/>
      <c r="D76" s="22"/>
      <c r="E76" s="22"/>
      <c r="F76" s="22"/>
      <c r="G76" s="84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9.5" customHeight="1" x14ac:dyDescent="0.55000000000000004">
      <c r="A77" s="21"/>
      <c r="B77" s="21"/>
      <c r="C77" s="21"/>
      <c r="D77" s="22"/>
      <c r="E77" s="22"/>
      <c r="F77" s="22"/>
      <c r="G77" s="84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9.5" customHeight="1" x14ac:dyDescent="0.55000000000000004">
      <c r="A78" s="21"/>
      <c r="B78" s="21"/>
      <c r="C78" s="21"/>
      <c r="D78" s="22"/>
      <c r="E78" s="22"/>
      <c r="F78" s="22"/>
      <c r="G78" s="84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9.5" customHeight="1" x14ac:dyDescent="0.55000000000000004">
      <c r="A79" s="21"/>
      <c r="B79" s="21"/>
      <c r="C79" s="21"/>
      <c r="D79" s="22"/>
      <c r="E79" s="22"/>
      <c r="F79" s="22"/>
      <c r="G79" s="84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9.5" customHeight="1" x14ac:dyDescent="0.55000000000000004">
      <c r="A80" s="21"/>
      <c r="B80" s="21"/>
      <c r="C80" s="21"/>
      <c r="D80" s="22"/>
      <c r="E80" s="22"/>
      <c r="F80" s="22"/>
      <c r="G80" s="84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9.5" customHeight="1" x14ac:dyDescent="0.55000000000000004">
      <c r="A81" s="21"/>
      <c r="B81" s="21"/>
      <c r="C81" s="21"/>
      <c r="D81" s="22"/>
      <c r="E81" s="22"/>
      <c r="F81" s="22"/>
      <c r="G81" s="84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9.5" customHeight="1" x14ac:dyDescent="0.55000000000000004">
      <c r="A82" s="21"/>
      <c r="B82" s="21"/>
      <c r="C82" s="21"/>
      <c r="D82" s="22"/>
      <c r="E82" s="22"/>
      <c r="F82" s="22"/>
      <c r="G82" s="84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9.5" customHeight="1" x14ac:dyDescent="0.55000000000000004">
      <c r="A83" s="21"/>
      <c r="B83" s="21"/>
      <c r="C83" s="21"/>
      <c r="D83" s="22"/>
      <c r="E83" s="22"/>
      <c r="F83" s="22"/>
      <c r="G83" s="84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9.5" customHeight="1" x14ac:dyDescent="0.55000000000000004">
      <c r="A84" s="21"/>
      <c r="B84" s="21"/>
      <c r="C84" s="21"/>
      <c r="D84" s="22"/>
      <c r="E84" s="22"/>
      <c r="F84" s="22"/>
      <c r="G84" s="84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9.5" customHeight="1" x14ac:dyDescent="0.55000000000000004">
      <c r="A85" s="21"/>
      <c r="B85" s="21"/>
      <c r="C85" s="21"/>
      <c r="D85" s="22"/>
      <c r="E85" s="22"/>
      <c r="F85" s="22"/>
      <c r="G85" s="84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9.5" customHeight="1" x14ac:dyDescent="0.55000000000000004">
      <c r="A86" s="21"/>
      <c r="B86" s="21"/>
      <c r="C86" s="21"/>
      <c r="D86" s="22"/>
      <c r="E86" s="22"/>
      <c r="F86" s="22"/>
      <c r="G86" s="84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9.5" customHeight="1" x14ac:dyDescent="0.55000000000000004">
      <c r="A87" s="21"/>
      <c r="B87" s="21"/>
      <c r="C87" s="21"/>
      <c r="D87" s="22"/>
      <c r="E87" s="22"/>
      <c r="F87" s="22"/>
      <c r="G87" s="84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9.5" customHeight="1" x14ac:dyDescent="0.55000000000000004">
      <c r="A88" s="21"/>
      <c r="B88" s="21"/>
      <c r="C88" s="21"/>
      <c r="D88" s="22"/>
      <c r="E88" s="22"/>
      <c r="F88" s="22"/>
      <c r="G88" s="84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9.5" customHeight="1" x14ac:dyDescent="0.55000000000000004">
      <c r="A89" s="21"/>
      <c r="B89" s="21"/>
      <c r="C89" s="21"/>
      <c r="D89" s="22"/>
      <c r="E89" s="22"/>
      <c r="F89" s="22"/>
      <c r="G89" s="84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9.5" customHeight="1" x14ac:dyDescent="0.55000000000000004">
      <c r="A90" s="21"/>
      <c r="B90" s="21"/>
      <c r="C90" s="21"/>
      <c r="D90" s="22"/>
      <c r="E90" s="22"/>
      <c r="F90" s="22"/>
      <c r="G90" s="84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9.5" customHeight="1" x14ac:dyDescent="0.55000000000000004">
      <c r="A91" s="21"/>
      <c r="B91" s="21"/>
      <c r="C91" s="21"/>
      <c r="D91" s="22"/>
      <c r="E91" s="22"/>
      <c r="F91" s="22"/>
      <c r="G91" s="84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9.5" customHeight="1" x14ac:dyDescent="0.55000000000000004">
      <c r="A92" s="21"/>
      <c r="B92" s="21"/>
      <c r="C92" s="21"/>
      <c r="D92" s="22"/>
      <c r="E92" s="22"/>
      <c r="F92" s="22"/>
      <c r="G92" s="84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9.5" customHeight="1" x14ac:dyDescent="0.55000000000000004">
      <c r="A93" s="21"/>
      <c r="B93" s="21"/>
      <c r="C93" s="21"/>
      <c r="D93" s="22"/>
      <c r="E93" s="22"/>
      <c r="F93" s="22"/>
      <c r="G93" s="84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9.5" customHeight="1" x14ac:dyDescent="0.55000000000000004">
      <c r="A94" s="21"/>
      <c r="B94" s="21"/>
      <c r="C94" s="21"/>
      <c r="D94" s="22"/>
      <c r="E94" s="22"/>
      <c r="F94" s="22"/>
      <c r="G94" s="84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9.5" customHeight="1" x14ac:dyDescent="0.55000000000000004">
      <c r="A95" s="21"/>
      <c r="B95" s="21"/>
      <c r="C95" s="21"/>
      <c r="D95" s="22"/>
      <c r="E95" s="22"/>
      <c r="F95" s="22"/>
      <c r="G95" s="84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9.5" customHeight="1" x14ac:dyDescent="0.55000000000000004">
      <c r="A96" s="21"/>
      <c r="B96" s="21"/>
      <c r="C96" s="21"/>
      <c r="D96" s="22"/>
      <c r="E96" s="22"/>
      <c r="F96" s="22"/>
      <c r="G96" s="84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9.5" customHeight="1" x14ac:dyDescent="0.55000000000000004">
      <c r="A97" s="21"/>
      <c r="B97" s="21"/>
      <c r="C97" s="21"/>
      <c r="D97" s="22"/>
      <c r="E97" s="22"/>
      <c r="F97" s="22"/>
      <c r="G97" s="84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9.5" customHeight="1" x14ac:dyDescent="0.55000000000000004">
      <c r="A98" s="21"/>
      <c r="B98" s="21"/>
      <c r="C98" s="21"/>
      <c r="D98" s="22"/>
      <c r="E98" s="22"/>
      <c r="F98" s="22"/>
      <c r="G98" s="84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9.5" customHeight="1" x14ac:dyDescent="0.55000000000000004">
      <c r="A99" s="21"/>
      <c r="B99" s="21"/>
      <c r="C99" s="21"/>
      <c r="D99" s="22"/>
      <c r="E99" s="22"/>
      <c r="F99" s="22"/>
      <c r="G99" s="84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9.5" customHeight="1" x14ac:dyDescent="0.55000000000000004">
      <c r="A100" s="21"/>
      <c r="B100" s="21"/>
      <c r="C100" s="21"/>
      <c r="D100" s="22"/>
      <c r="E100" s="22"/>
      <c r="F100" s="22"/>
      <c r="G100" s="84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9.5" customHeight="1" x14ac:dyDescent="0.55000000000000004">
      <c r="A101" s="21"/>
      <c r="B101" s="21"/>
      <c r="C101" s="21"/>
      <c r="D101" s="22"/>
      <c r="E101" s="22"/>
      <c r="F101" s="22"/>
      <c r="G101" s="84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9.5" customHeight="1" x14ac:dyDescent="0.55000000000000004">
      <c r="A102" s="21"/>
      <c r="B102" s="21"/>
      <c r="C102" s="21"/>
      <c r="D102" s="22"/>
      <c r="E102" s="22"/>
      <c r="F102" s="22"/>
      <c r="G102" s="84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9.5" customHeight="1" x14ac:dyDescent="0.55000000000000004">
      <c r="A103" s="21"/>
      <c r="B103" s="21"/>
      <c r="C103" s="21"/>
      <c r="D103" s="22"/>
      <c r="E103" s="22"/>
      <c r="F103" s="22"/>
      <c r="G103" s="84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9.5" customHeight="1" x14ac:dyDescent="0.55000000000000004">
      <c r="A104" s="21"/>
      <c r="B104" s="21"/>
      <c r="C104" s="21"/>
      <c r="D104" s="22"/>
      <c r="E104" s="22"/>
      <c r="F104" s="22"/>
      <c r="G104" s="84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9.5" customHeight="1" x14ac:dyDescent="0.55000000000000004">
      <c r="A105" s="21"/>
      <c r="B105" s="21"/>
      <c r="C105" s="21"/>
      <c r="D105" s="22"/>
      <c r="E105" s="22"/>
      <c r="F105" s="22"/>
      <c r="G105" s="84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9.5" customHeight="1" x14ac:dyDescent="0.55000000000000004">
      <c r="A106" s="21"/>
      <c r="B106" s="21"/>
      <c r="C106" s="21"/>
      <c r="D106" s="22"/>
      <c r="E106" s="22"/>
      <c r="F106" s="22"/>
      <c r="G106" s="84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9.5" customHeight="1" x14ac:dyDescent="0.55000000000000004">
      <c r="A107" s="21"/>
      <c r="B107" s="21"/>
      <c r="C107" s="21"/>
      <c r="D107" s="22"/>
      <c r="E107" s="22"/>
      <c r="F107" s="22"/>
      <c r="G107" s="84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9.5" customHeight="1" x14ac:dyDescent="0.55000000000000004">
      <c r="A108" s="21"/>
      <c r="B108" s="21"/>
      <c r="C108" s="21"/>
      <c r="D108" s="22"/>
      <c r="E108" s="22"/>
      <c r="F108" s="22"/>
      <c r="G108" s="84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9.5" customHeight="1" x14ac:dyDescent="0.55000000000000004">
      <c r="A109" s="21"/>
      <c r="B109" s="21"/>
      <c r="C109" s="21"/>
      <c r="D109" s="22"/>
      <c r="E109" s="22"/>
      <c r="F109" s="22"/>
      <c r="G109" s="84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9.5" customHeight="1" x14ac:dyDescent="0.55000000000000004">
      <c r="A110" s="21"/>
      <c r="B110" s="21"/>
      <c r="C110" s="21"/>
      <c r="D110" s="22"/>
      <c r="E110" s="22"/>
      <c r="F110" s="22"/>
      <c r="G110" s="84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9.5" customHeight="1" x14ac:dyDescent="0.55000000000000004">
      <c r="A111" s="21"/>
      <c r="B111" s="21"/>
      <c r="C111" s="21"/>
      <c r="D111" s="22"/>
      <c r="E111" s="22"/>
      <c r="F111" s="22"/>
      <c r="G111" s="84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9.5" customHeight="1" x14ac:dyDescent="0.55000000000000004">
      <c r="A112" s="21"/>
      <c r="B112" s="21"/>
      <c r="C112" s="21"/>
      <c r="D112" s="22"/>
      <c r="E112" s="22"/>
      <c r="F112" s="22"/>
      <c r="G112" s="84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9.5" customHeight="1" x14ac:dyDescent="0.55000000000000004">
      <c r="A113" s="21"/>
      <c r="B113" s="21"/>
      <c r="C113" s="21"/>
      <c r="D113" s="22"/>
      <c r="E113" s="22"/>
      <c r="F113" s="22"/>
      <c r="G113" s="84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9.5" customHeight="1" x14ac:dyDescent="0.55000000000000004">
      <c r="A114" s="21"/>
      <c r="B114" s="21"/>
      <c r="C114" s="21"/>
      <c r="D114" s="22"/>
      <c r="E114" s="22"/>
      <c r="F114" s="22"/>
      <c r="G114" s="84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9.5" customHeight="1" x14ac:dyDescent="0.55000000000000004">
      <c r="A115" s="21"/>
      <c r="B115" s="21"/>
      <c r="C115" s="21"/>
      <c r="D115" s="22"/>
      <c r="E115" s="22"/>
      <c r="F115" s="22"/>
      <c r="G115" s="84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9.5" customHeight="1" x14ac:dyDescent="0.55000000000000004">
      <c r="A116" s="21"/>
      <c r="B116" s="21"/>
      <c r="C116" s="21"/>
      <c r="D116" s="22"/>
      <c r="E116" s="22"/>
      <c r="F116" s="22"/>
      <c r="G116" s="84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9.5" customHeight="1" x14ac:dyDescent="0.55000000000000004">
      <c r="A117" s="21"/>
      <c r="B117" s="21"/>
      <c r="C117" s="21"/>
      <c r="D117" s="22"/>
      <c r="E117" s="22"/>
      <c r="F117" s="22"/>
      <c r="G117" s="84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9.5" customHeight="1" x14ac:dyDescent="0.55000000000000004">
      <c r="A118" s="21"/>
      <c r="B118" s="21"/>
      <c r="C118" s="21"/>
      <c r="D118" s="22"/>
      <c r="E118" s="22"/>
      <c r="F118" s="22"/>
      <c r="G118" s="84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9.5" customHeight="1" x14ac:dyDescent="0.55000000000000004">
      <c r="A119" s="21"/>
      <c r="B119" s="21"/>
      <c r="C119" s="21"/>
      <c r="D119" s="22"/>
      <c r="E119" s="22"/>
      <c r="F119" s="22"/>
      <c r="G119" s="84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9.5" customHeight="1" x14ac:dyDescent="0.55000000000000004">
      <c r="A120" s="21"/>
      <c r="B120" s="21"/>
      <c r="C120" s="21"/>
      <c r="D120" s="22"/>
      <c r="E120" s="22"/>
      <c r="F120" s="22"/>
      <c r="G120" s="84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9.5" customHeight="1" x14ac:dyDescent="0.55000000000000004">
      <c r="A121" s="21"/>
      <c r="B121" s="21"/>
      <c r="C121" s="21"/>
      <c r="D121" s="22"/>
      <c r="E121" s="22"/>
      <c r="F121" s="22"/>
      <c r="G121" s="84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9.5" customHeight="1" x14ac:dyDescent="0.55000000000000004">
      <c r="A122" s="21"/>
      <c r="B122" s="21"/>
      <c r="C122" s="21"/>
      <c r="D122" s="22"/>
      <c r="E122" s="22"/>
      <c r="F122" s="22"/>
      <c r="G122" s="84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9.5" customHeight="1" x14ac:dyDescent="0.55000000000000004">
      <c r="A123" s="21"/>
      <c r="B123" s="21"/>
      <c r="C123" s="21"/>
      <c r="D123" s="22"/>
      <c r="E123" s="22"/>
      <c r="F123" s="22"/>
      <c r="G123" s="84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9.5" customHeight="1" x14ac:dyDescent="0.55000000000000004">
      <c r="A124" s="21"/>
      <c r="B124" s="21"/>
      <c r="C124" s="21"/>
      <c r="D124" s="22"/>
      <c r="E124" s="22"/>
      <c r="F124" s="22"/>
      <c r="G124" s="84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9.5" customHeight="1" x14ac:dyDescent="0.55000000000000004">
      <c r="A125" s="21"/>
      <c r="B125" s="21"/>
      <c r="C125" s="21"/>
      <c r="D125" s="22"/>
      <c r="E125" s="22"/>
      <c r="F125" s="22"/>
      <c r="G125" s="84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9.5" customHeight="1" x14ac:dyDescent="0.55000000000000004">
      <c r="A126" s="21"/>
      <c r="B126" s="21"/>
      <c r="C126" s="21"/>
      <c r="D126" s="22"/>
      <c r="E126" s="22"/>
      <c r="F126" s="22"/>
      <c r="G126" s="84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9.5" customHeight="1" x14ac:dyDescent="0.55000000000000004">
      <c r="A127" s="21"/>
      <c r="B127" s="21"/>
      <c r="C127" s="21"/>
      <c r="D127" s="22"/>
      <c r="E127" s="22"/>
      <c r="F127" s="22"/>
      <c r="G127" s="84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9.5" customHeight="1" x14ac:dyDescent="0.55000000000000004">
      <c r="A128" s="21"/>
      <c r="B128" s="21"/>
      <c r="C128" s="21"/>
      <c r="D128" s="22"/>
      <c r="E128" s="22"/>
      <c r="F128" s="22"/>
      <c r="G128" s="84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9.5" customHeight="1" x14ac:dyDescent="0.55000000000000004">
      <c r="A129" s="21"/>
      <c r="B129" s="21"/>
      <c r="C129" s="21"/>
      <c r="D129" s="22"/>
      <c r="E129" s="22"/>
      <c r="F129" s="22"/>
      <c r="G129" s="84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9.5" customHeight="1" x14ac:dyDescent="0.55000000000000004">
      <c r="A130" s="21"/>
      <c r="B130" s="21"/>
      <c r="C130" s="21"/>
      <c r="D130" s="22"/>
      <c r="E130" s="22"/>
      <c r="F130" s="22"/>
      <c r="G130" s="84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9.5" customHeight="1" x14ac:dyDescent="0.55000000000000004">
      <c r="A131" s="21"/>
      <c r="B131" s="21"/>
      <c r="C131" s="21"/>
      <c r="D131" s="22"/>
      <c r="E131" s="22"/>
      <c r="F131" s="22"/>
      <c r="G131" s="84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9.5" customHeight="1" x14ac:dyDescent="0.55000000000000004">
      <c r="A132" s="21"/>
      <c r="B132" s="21"/>
      <c r="C132" s="21"/>
      <c r="D132" s="22"/>
      <c r="E132" s="22"/>
      <c r="F132" s="22"/>
      <c r="G132" s="84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9.5" customHeight="1" x14ac:dyDescent="0.55000000000000004">
      <c r="A133" s="21"/>
      <c r="B133" s="21"/>
      <c r="C133" s="21"/>
      <c r="D133" s="22"/>
      <c r="E133" s="22"/>
      <c r="F133" s="22"/>
      <c r="G133" s="84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9.5" customHeight="1" x14ac:dyDescent="0.55000000000000004">
      <c r="A134" s="21"/>
      <c r="B134" s="21"/>
      <c r="C134" s="21"/>
      <c r="D134" s="22"/>
      <c r="E134" s="22"/>
      <c r="F134" s="22"/>
      <c r="G134" s="84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9.5" customHeight="1" x14ac:dyDescent="0.55000000000000004">
      <c r="A135" s="21"/>
      <c r="B135" s="21"/>
      <c r="C135" s="21"/>
      <c r="D135" s="22"/>
      <c r="E135" s="22"/>
      <c r="F135" s="22"/>
      <c r="G135" s="84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9.5" customHeight="1" x14ac:dyDescent="0.55000000000000004">
      <c r="A136" s="21"/>
      <c r="B136" s="21"/>
      <c r="C136" s="21"/>
      <c r="D136" s="22"/>
      <c r="E136" s="22"/>
      <c r="F136" s="22"/>
      <c r="G136" s="84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9.5" customHeight="1" x14ac:dyDescent="0.55000000000000004">
      <c r="A137" s="21"/>
      <c r="B137" s="21"/>
      <c r="C137" s="21"/>
      <c r="D137" s="22"/>
      <c r="E137" s="22"/>
      <c r="F137" s="22"/>
      <c r="G137" s="84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9.5" customHeight="1" x14ac:dyDescent="0.55000000000000004">
      <c r="A138" s="21"/>
      <c r="B138" s="21"/>
      <c r="C138" s="21"/>
      <c r="D138" s="22"/>
      <c r="E138" s="22"/>
      <c r="F138" s="22"/>
      <c r="G138" s="84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9.5" customHeight="1" x14ac:dyDescent="0.55000000000000004">
      <c r="A139" s="21"/>
      <c r="B139" s="21"/>
      <c r="C139" s="21"/>
      <c r="D139" s="22"/>
      <c r="E139" s="22"/>
      <c r="F139" s="22"/>
      <c r="G139" s="84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9.5" customHeight="1" x14ac:dyDescent="0.55000000000000004">
      <c r="A140" s="21"/>
      <c r="B140" s="21"/>
      <c r="C140" s="21"/>
      <c r="D140" s="22"/>
      <c r="E140" s="22"/>
      <c r="F140" s="22"/>
      <c r="G140" s="84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9.5" customHeight="1" x14ac:dyDescent="0.55000000000000004">
      <c r="A141" s="21"/>
      <c r="B141" s="21"/>
      <c r="C141" s="21"/>
      <c r="D141" s="22"/>
      <c r="E141" s="22"/>
      <c r="F141" s="22"/>
      <c r="G141" s="84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9.5" customHeight="1" x14ac:dyDescent="0.55000000000000004">
      <c r="A142" s="21"/>
      <c r="B142" s="21"/>
      <c r="C142" s="21"/>
      <c r="D142" s="22"/>
      <c r="E142" s="22"/>
      <c r="F142" s="22"/>
      <c r="G142" s="84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9.5" customHeight="1" x14ac:dyDescent="0.55000000000000004">
      <c r="A143" s="21"/>
      <c r="B143" s="21"/>
      <c r="C143" s="21"/>
      <c r="D143" s="22"/>
      <c r="E143" s="22"/>
      <c r="F143" s="22"/>
      <c r="G143" s="84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9.5" customHeight="1" x14ac:dyDescent="0.55000000000000004">
      <c r="A144" s="21"/>
      <c r="B144" s="21"/>
      <c r="C144" s="21"/>
      <c r="D144" s="22"/>
      <c r="E144" s="22"/>
      <c r="F144" s="22"/>
      <c r="G144" s="84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9.5" customHeight="1" x14ac:dyDescent="0.55000000000000004">
      <c r="A145" s="21"/>
      <c r="B145" s="21"/>
      <c r="C145" s="21"/>
      <c r="D145" s="22"/>
      <c r="E145" s="22"/>
      <c r="F145" s="22"/>
      <c r="G145" s="84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9.5" customHeight="1" x14ac:dyDescent="0.55000000000000004">
      <c r="A146" s="21"/>
      <c r="B146" s="21"/>
      <c r="C146" s="21"/>
      <c r="D146" s="22"/>
      <c r="E146" s="22"/>
      <c r="F146" s="22"/>
      <c r="G146" s="84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9.5" customHeight="1" x14ac:dyDescent="0.55000000000000004">
      <c r="A147" s="21"/>
      <c r="B147" s="21"/>
      <c r="C147" s="21"/>
      <c r="D147" s="22"/>
      <c r="E147" s="22"/>
      <c r="F147" s="22"/>
      <c r="G147" s="84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9.5" customHeight="1" x14ac:dyDescent="0.55000000000000004">
      <c r="A148" s="21"/>
      <c r="B148" s="21"/>
      <c r="C148" s="21"/>
      <c r="D148" s="22"/>
      <c r="E148" s="22"/>
      <c r="F148" s="22"/>
      <c r="G148" s="84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9.5" customHeight="1" x14ac:dyDescent="0.55000000000000004">
      <c r="A149" s="21"/>
      <c r="B149" s="21"/>
      <c r="C149" s="21"/>
      <c r="D149" s="22"/>
      <c r="E149" s="22"/>
      <c r="F149" s="22"/>
      <c r="G149" s="84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9.5" customHeight="1" x14ac:dyDescent="0.55000000000000004">
      <c r="A150" s="21"/>
      <c r="B150" s="21"/>
      <c r="C150" s="21"/>
      <c r="D150" s="22"/>
      <c r="E150" s="22"/>
      <c r="F150" s="22"/>
      <c r="G150" s="84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9.5" customHeight="1" x14ac:dyDescent="0.55000000000000004">
      <c r="A151" s="21"/>
      <c r="B151" s="21"/>
      <c r="C151" s="21"/>
      <c r="D151" s="22"/>
      <c r="E151" s="22"/>
      <c r="F151" s="22"/>
      <c r="G151" s="84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9.5" customHeight="1" x14ac:dyDescent="0.55000000000000004">
      <c r="A152" s="21"/>
      <c r="B152" s="21"/>
      <c r="C152" s="21"/>
      <c r="D152" s="22"/>
      <c r="E152" s="22"/>
      <c r="F152" s="22"/>
      <c r="G152" s="84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9.5" customHeight="1" x14ac:dyDescent="0.55000000000000004">
      <c r="A153" s="21"/>
      <c r="B153" s="21"/>
      <c r="C153" s="21"/>
      <c r="D153" s="22"/>
      <c r="E153" s="22"/>
      <c r="F153" s="22"/>
      <c r="G153" s="84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9.5" customHeight="1" x14ac:dyDescent="0.55000000000000004">
      <c r="A154" s="21"/>
      <c r="B154" s="21"/>
      <c r="C154" s="21"/>
      <c r="D154" s="22"/>
      <c r="E154" s="22"/>
      <c r="F154" s="22"/>
      <c r="G154" s="84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9.5" customHeight="1" x14ac:dyDescent="0.55000000000000004">
      <c r="A155" s="21"/>
      <c r="B155" s="21"/>
      <c r="C155" s="21"/>
      <c r="D155" s="22"/>
      <c r="E155" s="22"/>
      <c r="F155" s="22"/>
      <c r="G155" s="84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9.5" customHeight="1" x14ac:dyDescent="0.55000000000000004">
      <c r="A156" s="21"/>
      <c r="B156" s="21"/>
      <c r="C156" s="21"/>
      <c r="D156" s="22"/>
      <c r="E156" s="22"/>
      <c r="F156" s="22"/>
      <c r="G156" s="84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9.5" customHeight="1" x14ac:dyDescent="0.55000000000000004">
      <c r="A157" s="21"/>
      <c r="B157" s="21"/>
      <c r="C157" s="21"/>
      <c r="D157" s="22"/>
      <c r="E157" s="22"/>
      <c r="F157" s="22"/>
      <c r="G157" s="84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9.5" customHeight="1" x14ac:dyDescent="0.55000000000000004">
      <c r="A158" s="21"/>
      <c r="B158" s="21"/>
      <c r="C158" s="21"/>
      <c r="D158" s="22"/>
      <c r="E158" s="22"/>
      <c r="F158" s="22"/>
      <c r="G158" s="84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9.5" customHeight="1" x14ac:dyDescent="0.55000000000000004">
      <c r="A159" s="21"/>
      <c r="B159" s="21"/>
      <c r="C159" s="21"/>
      <c r="D159" s="22"/>
      <c r="E159" s="22"/>
      <c r="F159" s="22"/>
      <c r="G159" s="84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9.5" customHeight="1" x14ac:dyDescent="0.55000000000000004">
      <c r="A160" s="21"/>
      <c r="B160" s="21"/>
      <c r="C160" s="21"/>
      <c r="D160" s="22"/>
      <c r="E160" s="22"/>
      <c r="F160" s="22"/>
      <c r="G160" s="84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9.5" customHeight="1" x14ac:dyDescent="0.55000000000000004">
      <c r="A161" s="21"/>
      <c r="B161" s="21"/>
      <c r="C161" s="21"/>
      <c r="D161" s="22"/>
      <c r="E161" s="22"/>
      <c r="F161" s="22"/>
      <c r="G161" s="84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9.5" customHeight="1" x14ac:dyDescent="0.55000000000000004">
      <c r="A162" s="21"/>
      <c r="B162" s="21"/>
      <c r="C162" s="21"/>
      <c r="D162" s="22"/>
      <c r="E162" s="22"/>
      <c r="F162" s="22"/>
      <c r="G162" s="84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9.5" customHeight="1" x14ac:dyDescent="0.55000000000000004">
      <c r="A163" s="21"/>
      <c r="B163" s="21"/>
      <c r="C163" s="21"/>
      <c r="D163" s="22"/>
      <c r="E163" s="22"/>
      <c r="F163" s="22"/>
      <c r="G163" s="84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9.5" customHeight="1" x14ac:dyDescent="0.55000000000000004">
      <c r="A164" s="21"/>
      <c r="B164" s="21"/>
      <c r="C164" s="21"/>
      <c r="D164" s="22"/>
      <c r="E164" s="22"/>
      <c r="F164" s="22"/>
      <c r="G164" s="84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9.5" customHeight="1" x14ac:dyDescent="0.55000000000000004">
      <c r="A165" s="21"/>
      <c r="B165" s="21"/>
      <c r="C165" s="21"/>
      <c r="D165" s="22"/>
      <c r="E165" s="22"/>
      <c r="F165" s="22"/>
      <c r="G165" s="84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9.5" customHeight="1" x14ac:dyDescent="0.55000000000000004">
      <c r="A166" s="21"/>
      <c r="B166" s="21"/>
      <c r="C166" s="21"/>
      <c r="D166" s="22"/>
      <c r="E166" s="22"/>
      <c r="F166" s="22"/>
      <c r="G166" s="84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9.5" customHeight="1" x14ac:dyDescent="0.55000000000000004">
      <c r="A167" s="21"/>
      <c r="B167" s="21"/>
      <c r="C167" s="21"/>
      <c r="D167" s="22"/>
      <c r="E167" s="22"/>
      <c r="F167" s="22"/>
      <c r="G167" s="84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9.5" customHeight="1" x14ac:dyDescent="0.55000000000000004">
      <c r="A168" s="21"/>
      <c r="B168" s="21"/>
      <c r="C168" s="21"/>
      <c r="D168" s="22"/>
      <c r="E168" s="22"/>
      <c r="F168" s="22"/>
      <c r="G168" s="84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9.5" customHeight="1" x14ac:dyDescent="0.55000000000000004">
      <c r="A169" s="21"/>
      <c r="B169" s="21"/>
      <c r="C169" s="21"/>
      <c r="D169" s="22"/>
      <c r="E169" s="22"/>
      <c r="F169" s="22"/>
      <c r="G169" s="84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9.5" customHeight="1" x14ac:dyDescent="0.55000000000000004">
      <c r="A170" s="21"/>
      <c r="B170" s="21"/>
      <c r="C170" s="21"/>
      <c r="D170" s="22"/>
      <c r="E170" s="22"/>
      <c r="F170" s="22"/>
      <c r="G170" s="84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9.5" customHeight="1" x14ac:dyDescent="0.55000000000000004">
      <c r="A171" s="21"/>
      <c r="B171" s="21"/>
      <c r="C171" s="21"/>
      <c r="D171" s="22"/>
      <c r="E171" s="22"/>
      <c r="F171" s="22"/>
      <c r="G171" s="84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9.5" customHeight="1" x14ac:dyDescent="0.55000000000000004">
      <c r="A172" s="21"/>
      <c r="B172" s="21"/>
      <c r="C172" s="21"/>
      <c r="D172" s="22"/>
      <c r="E172" s="22"/>
      <c r="F172" s="22"/>
      <c r="G172" s="84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9.5" customHeight="1" x14ac:dyDescent="0.55000000000000004">
      <c r="A173" s="21"/>
      <c r="B173" s="21"/>
      <c r="C173" s="21"/>
      <c r="D173" s="22"/>
      <c r="E173" s="22"/>
      <c r="F173" s="22"/>
      <c r="G173" s="84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9.5" customHeight="1" x14ac:dyDescent="0.55000000000000004">
      <c r="A174" s="21"/>
      <c r="B174" s="21"/>
      <c r="C174" s="21"/>
      <c r="D174" s="22"/>
      <c r="E174" s="22"/>
      <c r="F174" s="22"/>
      <c r="G174" s="84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9.5" customHeight="1" x14ac:dyDescent="0.55000000000000004">
      <c r="A175" s="21"/>
      <c r="B175" s="21"/>
      <c r="C175" s="21"/>
      <c r="D175" s="22"/>
      <c r="E175" s="22"/>
      <c r="F175" s="22"/>
      <c r="G175" s="84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9.5" customHeight="1" x14ac:dyDescent="0.55000000000000004">
      <c r="A176" s="21"/>
      <c r="B176" s="21"/>
      <c r="C176" s="21"/>
      <c r="D176" s="22"/>
      <c r="E176" s="22"/>
      <c r="F176" s="22"/>
      <c r="G176" s="84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9.5" customHeight="1" x14ac:dyDescent="0.55000000000000004">
      <c r="A177" s="21"/>
      <c r="B177" s="21"/>
      <c r="C177" s="21"/>
      <c r="D177" s="22"/>
      <c r="E177" s="22"/>
      <c r="F177" s="22"/>
      <c r="G177" s="84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9.5" customHeight="1" x14ac:dyDescent="0.55000000000000004">
      <c r="A178" s="21"/>
      <c r="B178" s="21"/>
      <c r="C178" s="21"/>
      <c r="D178" s="22"/>
      <c r="E178" s="22"/>
      <c r="F178" s="22"/>
      <c r="G178" s="84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9.5" customHeight="1" x14ac:dyDescent="0.55000000000000004">
      <c r="A179" s="21"/>
      <c r="B179" s="21"/>
      <c r="C179" s="21"/>
      <c r="D179" s="22"/>
      <c r="E179" s="22"/>
      <c r="F179" s="22"/>
      <c r="G179" s="84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9.5" customHeight="1" x14ac:dyDescent="0.55000000000000004">
      <c r="A180" s="21"/>
      <c r="B180" s="21"/>
      <c r="C180" s="21"/>
      <c r="D180" s="22"/>
      <c r="E180" s="22"/>
      <c r="F180" s="22"/>
      <c r="G180" s="84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9.5" customHeight="1" x14ac:dyDescent="0.55000000000000004">
      <c r="A181" s="21"/>
      <c r="B181" s="21"/>
      <c r="C181" s="21"/>
      <c r="D181" s="22"/>
      <c r="E181" s="22"/>
      <c r="F181" s="22"/>
      <c r="G181" s="84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9.5" customHeight="1" x14ac:dyDescent="0.55000000000000004">
      <c r="A182" s="21"/>
      <c r="B182" s="21"/>
      <c r="C182" s="21"/>
      <c r="D182" s="22"/>
      <c r="E182" s="22"/>
      <c r="F182" s="22"/>
      <c r="G182" s="84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9.5" customHeight="1" x14ac:dyDescent="0.55000000000000004">
      <c r="A183" s="21"/>
      <c r="B183" s="21"/>
      <c r="C183" s="21"/>
      <c r="D183" s="22"/>
      <c r="E183" s="22"/>
      <c r="F183" s="22"/>
      <c r="G183" s="84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9.5" customHeight="1" x14ac:dyDescent="0.55000000000000004">
      <c r="A184" s="21"/>
      <c r="B184" s="21"/>
      <c r="C184" s="21"/>
      <c r="D184" s="22"/>
      <c r="E184" s="22"/>
      <c r="F184" s="22"/>
      <c r="G184" s="84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9.5" customHeight="1" x14ac:dyDescent="0.55000000000000004">
      <c r="A185" s="21"/>
      <c r="B185" s="21"/>
      <c r="C185" s="21"/>
      <c r="D185" s="22"/>
      <c r="E185" s="22"/>
      <c r="F185" s="22"/>
      <c r="G185" s="84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9.5" customHeight="1" x14ac:dyDescent="0.55000000000000004">
      <c r="A186" s="21"/>
      <c r="B186" s="21"/>
      <c r="C186" s="21"/>
      <c r="D186" s="22"/>
      <c r="E186" s="22"/>
      <c r="F186" s="22"/>
      <c r="G186" s="84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9.5" customHeight="1" x14ac:dyDescent="0.55000000000000004">
      <c r="A187" s="21"/>
      <c r="B187" s="21"/>
      <c r="C187" s="21"/>
      <c r="D187" s="22"/>
      <c r="E187" s="22"/>
      <c r="F187" s="22"/>
      <c r="G187" s="84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9.5" customHeight="1" x14ac:dyDescent="0.55000000000000004">
      <c r="A188" s="21"/>
      <c r="B188" s="21"/>
      <c r="C188" s="21"/>
      <c r="D188" s="22"/>
      <c r="E188" s="22"/>
      <c r="F188" s="22"/>
      <c r="G188" s="84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9.5" customHeight="1" x14ac:dyDescent="0.55000000000000004">
      <c r="A189" s="21"/>
      <c r="B189" s="21"/>
      <c r="C189" s="21"/>
      <c r="D189" s="22"/>
      <c r="E189" s="22"/>
      <c r="F189" s="22"/>
      <c r="G189" s="84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9.5" customHeight="1" x14ac:dyDescent="0.55000000000000004">
      <c r="A190" s="21"/>
      <c r="B190" s="21"/>
      <c r="C190" s="21"/>
      <c r="D190" s="22"/>
      <c r="E190" s="22"/>
      <c r="F190" s="22"/>
      <c r="G190" s="84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9.5" customHeight="1" x14ac:dyDescent="0.55000000000000004">
      <c r="A191" s="21"/>
      <c r="B191" s="21"/>
      <c r="C191" s="21"/>
      <c r="D191" s="22"/>
      <c r="E191" s="22"/>
      <c r="F191" s="22"/>
      <c r="G191" s="84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9.5" customHeight="1" x14ac:dyDescent="0.55000000000000004">
      <c r="A192" s="21"/>
      <c r="B192" s="21"/>
      <c r="C192" s="21"/>
      <c r="D192" s="22"/>
      <c r="E192" s="22"/>
      <c r="F192" s="22"/>
      <c r="G192" s="84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9.5" customHeight="1" x14ac:dyDescent="0.55000000000000004">
      <c r="A193" s="21"/>
      <c r="B193" s="21"/>
      <c r="C193" s="21"/>
      <c r="D193" s="22"/>
      <c r="E193" s="22"/>
      <c r="F193" s="22"/>
      <c r="G193" s="84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9.5" customHeight="1" x14ac:dyDescent="0.55000000000000004">
      <c r="A194" s="21"/>
      <c r="B194" s="21"/>
      <c r="C194" s="21"/>
      <c r="D194" s="22"/>
      <c r="E194" s="22"/>
      <c r="F194" s="22"/>
      <c r="G194" s="84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9.5" customHeight="1" x14ac:dyDescent="0.55000000000000004">
      <c r="A195" s="21"/>
      <c r="B195" s="21"/>
      <c r="C195" s="21"/>
      <c r="D195" s="22"/>
      <c r="E195" s="22"/>
      <c r="F195" s="22"/>
      <c r="G195" s="84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9.5" customHeight="1" x14ac:dyDescent="0.55000000000000004">
      <c r="A196" s="21"/>
      <c r="B196" s="21"/>
      <c r="C196" s="21"/>
      <c r="D196" s="22"/>
      <c r="E196" s="22"/>
      <c r="F196" s="22"/>
      <c r="G196" s="84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9.5" customHeight="1" x14ac:dyDescent="0.55000000000000004">
      <c r="A197" s="21"/>
      <c r="B197" s="21"/>
      <c r="C197" s="21"/>
      <c r="D197" s="22"/>
      <c r="E197" s="22"/>
      <c r="F197" s="22"/>
      <c r="G197" s="84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9.5" customHeight="1" x14ac:dyDescent="0.55000000000000004">
      <c r="A198" s="21"/>
      <c r="B198" s="21"/>
      <c r="C198" s="21"/>
      <c r="D198" s="22"/>
      <c r="E198" s="22"/>
      <c r="F198" s="22"/>
      <c r="G198" s="84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9.5" customHeight="1" x14ac:dyDescent="0.55000000000000004">
      <c r="A199" s="21"/>
      <c r="B199" s="21"/>
      <c r="C199" s="21"/>
      <c r="D199" s="22"/>
      <c r="E199" s="22"/>
      <c r="F199" s="22"/>
      <c r="G199" s="84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9.5" customHeight="1" x14ac:dyDescent="0.55000000000000004">
      <c r="A200" s="21"/>
      <c r="B200" s="21"/>
      <c r="C200" s="21"/>
      <c r="D200" s="22"/>
      <c r="E200" s="22"/>
      <c r="F200" s="22"/>
      <c r="G200" s="84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9.5" customHeight="1" x14ac:dyDescent="0.55000000000000004">
      <c r="A201" s="21"/>
      <c r="B201" s="21"/>
      <c r="C201" s="21"/>
      <c r="D201" s="22"/>
      <c r="E201" s="22"/>
      <c r="F201" s="22"/>
      <c r="G201" s="84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9.5" customHeight="1" x14ac:dyDescent="0.55000000000000004">
      <c r="A202" s="21"/>
      <c r="B202" s="21"/>
      <c r="C202" s="21"/>
      <c r="D202" s="22"/>
      <c r="E202" s="22"/>
      <c r="F202" s="22"/>
      <c r="G202" s="84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9.5" customHeight="1" x14ac:dyDescent="0.55000000000000004">
      <c r="A203" s="21"/>
      <c r="B203" s="21"/>
      <c r="C203" s="21"/>
      <c r="D203" s="22"/>
      <c r="E203" s="22"/>
      <c r="F203" s="22"/>
      <c r="G203" s="84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9.5" customHeight="1" x14ac:dyDescent="0.55000000000000004">
      <c r="A204" s="21"/>
      <c r="B204" s="21"/>
      <c r="C204" s="21"/>
      <c r="D204" s="22"/>
      <c r="E204" s="22"/>
      <c r="F204" s="22"/>
      <c r="G204" s="84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9.5" customHeight="1" x14ac:dyDescent="0.55000000000000004">
      <c r="A205" s="21"/>
      <c r="B205" s="21"/>
      <c r="C205" s="21"/>
      <c r="D205" s="22"/>
      <c r="E205" s="22"/>
      <c r="F205" s="22"/>
      <c r="G205" s="84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9.5" customHeight="1" x14ac:dyDescent="0.55000000000000004">
      <c r="A206" s="21"/>
      <c r="B206" s="21"/>
      <c r="C206" s="21"/>
      <c r="D206" s="22"/>
      <c r="E206" s="22"/>
      <c r="F206" s="22"/>
      <c r="G206" s="84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9.5" customHeight="1" x14ac:dyDescent="0.55000000000000004">
      <c r="A207" s="21"/>
      <c r="B207" s="21"/>
      <c r="C207" s="21"/>
      <c r="D207" s="22"/>
      <c r="E207" s="22"/>
      <c r="F207" s="22"/>
      <c r="G207" s="84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9.5" customHeight="1" x14ac:dyDescent="0.55000000000000004">
      <c r="A208" s="21"/>
      <c r="B208" s="21"/>
      <c r="C208" s="21"/>
      <c r="D208" s="22"/>
      <c r="E208" s="22"/>
      <c r="F208" s="22"/>
      <c r="G208" s="84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9.5" customHeight="1" x14ac:dyDescent="0.55000000000000004">
      <c r="A209" s="21"/>
      <c r="B209" s="21"/>
      <c r="C209" s="21"/>
      <c r="D209" s="22"/>
      <c r="E209" s="22"/>
      <c r="F209" s="22"/>
      <c r="G209" s="84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9.5" customHeight="1" x14ac:dyDescent="0.55000000000000004">
      <c r="A210" s="21"/>
      <c r="B210" s="21"/>
      <c r="C210" s="21"/>
      <c r="D210" s="22"/>
      <c r="E210" s="22"/>
      <c r="F210" s="22"/>
      <c r="G210" s="84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9.5" customHeight="1" x14ac:dyDescent="0.55000000000000004">
      <c r="A211" s="21"/>
      <c r="B211" s="21"/>
      <c r="C211" s="21"/>
      <c r="D211" s="22"/>
      <c r="E211" s="22"/>
      <c r="F211" s="22"/>
      <c r="G211" s="84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9.5" customHeight="1" x14ac:dyDescent="0.55000000000000004">
      <c r="A212" s="21"/>
      <c r="B212" s="21"/>
      <c r="C212" s="21"/>
      <c r="D212" s="22"/>
      <c r="E212" s="22"/>
      <c r="F212" s="22"/>
      <c r="G212" s="84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9.5" customHeight="1" x14ac:dyDescent="0.55000000000000004">
      <c r="A213" s="21"/>
      <c r="B213" s="21"/>
      <c r="C213" s="21"/>
      <c r="D213" s="22"/>
      <c r="E213" s="22"/>
      <c r="F213" s="22"/>
      <c r="G213" s="84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9.5" customHeight="1" x14ac:dyDescent="0.55000000000000004">
      <c r="A214" s="21"/>
      <c r="B214" s="21"/>
      <c r="C214" s="21"/>
      <c r="D214" s="22"/>
      <c r="E214" s="22"/>
      <c r="F214" s="22"/>
      <c r="G214" s="84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9.5" customHeight="1" x14ac:dyDescent="0.55000000000000004">
      <c r="A215" s="21"/>
      <c r="B215" s="21"/>
      <c r="C215" s="21"/>
      <c r="D215" s="22"/>
      <c r="E215" s="22"/>
      <c r="F215" s="22"/>
      <c r="G215" s="84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9.5" customHeight="1" x14ac:dyDescent="0.55000000000000004">
      <c r="A216" s="21"/>
      <c r="B216" s="21"/>
      <c r="C216" s="21"/>
      <c r="D216" s="22"/>
      <c r="E216" s="22"/>
      <c r="F216" s="22"/>
      <c r="G216" s="84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9.5" customHeight="1" x14ac:dyDescent="0.55000000000000004">
      <c r="A217" s="21"/>
      <c r="B217" s="21"/>
      <c r="C217" s="21"/>
      <c r="D217" s="22"/>
      <c r="E217" s="22"/>
      <c r="F217" s="22"/>
      <c r="G217" s="84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9.5" customHeight="1" x14ac:dyDescent="0.55000000000000004">
      <c r="A218" s="21"/>
      <c r="B218" s="21"/>
      <c r="C218" s="21"/>
      <c r="D218" s="22"/>
      <c r="E218" s="22"/>
      <c r="F218" s="22"/>
      <c r="G218" s="84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9.5" customHeight="1" x14ac:dyDescent="0.55000000000000004">
      <c r="A219" s="21"/>
      <c r="B219" s="21"/>
      <c r="C219" s="21"/>
      <c r="D219" s="22"/>
      <c r="E219" s="22"/>
      <c r="F219" s="22"/>
      <c r="G219" s="84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9.5" customHeight="1" x14ac:dyDescent="0.55000000000000004">
      <c r="A220" s="21"/>
      <c r="B220" s="21"/>
      <c r="C220" s="21"/>
      <c r="D220" s="22"/>
      <c r="E220" s="22"/>
      <c r="F220" s="22"/>
      <c r="G220" s="84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9.5" customHeight="1" x14ac:dyDescent="0.55000000000000004">
      <c r="A221" s="21"/>
      <c r="B221" s="21"/>
      <c r="C221" s="21"/>
      <c r="D221" s="22"/>
      <c r="E221" s="22"/>
      <c r="F221" s="22"/>
      <c r="G221" s="84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9.5" customHeight="1" x14ac:dyDescent="0.55000000000000004">
      <c r="A222" s="21"/>
      <c r="B222" s="21"/>
      <c r="C222" s="21"/>
      <c r="D222" s="22"/>
      <c r="E222" s="22"/>
      <c r="F222" s="22"/>
      <c r="G222" s="84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9.5" customHeight="1" x14ac:dyDescent="0.55000000000000004">
      <c r="A223" s="21"/>
      <c r="B223" s="21"/>
      <c r="C223" s="21"/>
      <c r="D223" s="22"/>
      <c r="E223" s="22"/>
      <c r="F223" s="22"/>
      <c r="G223" s="84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9.5" customHeight="1" x14ac:dyDescent="0.55000000000000004">
      <c r="A224" s="21"/>
      <c r="B224" s="21"/>
      <c r="C224" s="21"/>
      <c r="D224" s="22"/>
      <c r="E224" s="22"/>
      <c r="F224" s="22"/>
      <c r="G224" s="84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9.5" customHeight="1" x14ac:dyDescent="0.55000000000000004">
      <c r="A225" s="21"/>
      <c r="B225" s="21"/>
      <c r="C225" s="21"/>
      <c r="D225" s="22"/>
      <c r="E225" s="22"/>
      <c r="F225" s="22"/>
      <c r="G225" s="84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9.5" customHeight="1" x14ac:dyDescent="0.55000000000000004">
      <c r="A226" s="21"/>
      <c r="B226" s="21"/>
      <c r="C226" s="21"/>
      <c r="D226" s="22"/>
      <c r="E226" s="22"/>
      <c r="F226" s="22"/>
      <c r="G226" s="84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9.5" customHeight="1" x14ac:dyDescent="0.55000000000000004">
      <c r="A227" s="21"/>
      <c r="B227" s="21"/>
      <c r="C227" s="21"/>
      <c r="D227" s="22"/>
      <c r="E227" s="22"/>
      <c r="F227" s="22"/>
      <c r="G227" s="84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9.5" customHeight="1" x14ac:dyDescent="0.55000000000000004">
      <c r="A228" s="21"/>
      <c r="B228" s="21"/>
      <c r="C228" s="21"/>
      <c r="D228" s="22"/>
      <c r="E228" s="22"/>
      <c r="F228" s="22"/>
      <c r="G228" s="84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9.5" customHeight="1" x14ac:dyDescent="0.55000000000000004">
      <c r="A229" s="21"/>
      <c r="B229" s="21"/>
      <c r="C229" s="21"/>
      <c r="D229" s="22"/>
      <c r="E229" s="22"/>
      <c r="F229" s="22"/>
      <c r="G229" s="84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9.5" customHeight="1" x14ac:dyDescent="0.55000000000000004">
      <c r="A230" s="21"/>
      <c r="B230" s="21"/>
      <c r="C230" s="21"/>
      <c r="D230" s="22"/>
      <c r="E230" s="22"/>
      <c r="F230" s="22"/>
      <c r="G230" s="84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9.5" customHeight="1" x14ac:dyDescent="0.55000000000000004">
      <c r="A231" s="21"/>
      <c r="B231" s="21"/>
      <c r="C231" s="21"/>
      <c r="D231" s="22"/>
      <c r="E231" s="22"/>
      <c r="F231" s="22"/>
      <c r="G231" s="84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9.5" customHeight="1" x14ac:dyDescent="0.55000000000000004">
      <c r="A232" s="21"/>
      <c r="B232" s="21"/>
      <c r="C232" s="21"/>
      <c r="D232" s="22"/>
      <c r="E232" s="22"/>
      <c r="F232" s="22"/>
      <c r="G232" s="84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9.5" customHeight="1" x14ac:dyDescent="0.55000000000000004">
      <c r="A233" s="21"/>
      <c r="B233" s="21"/>
      <c r="C233" s="21"/>
      <c r="D233" s="22"/>
      <c r="E233" s="22"/>
      <c r="F233" s="22"/>
      <c r="G233" s="84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9.5" customHeight="1" x14ac:dyDescent="0.55000000000000004">
      <c r="A234" s="21"/>
      <c r="B234" s="21"/>
      <c r="C234" s="21"/>
      <c r="D234" s="22"/>
      <c r="E234" s="22"/>
      <c r="F234" s="22"/>
      <c r="G234" s="84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9.5" customHeight="1" x14ac:dyDescent="0.55000000000000004">
      <c r="A235" s="21"/>
      <c r="B235" s="21"/>
      <c r="C235" s="21"/>
      <c r="D235" s="22"/>
      <c r="E235" s="22"/>
      <c r="F235" s="22"/>
      <c r="G235" s="84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9.5" customHeight="1" x14ac:dyDescent="0.55000000000000004">
      <c r="A236" s="21"/>
      <c r="B236" s="21"/>
      <c r="C236" s="21"/>
      <c r="D236" s="22"/>
      <c r="E236" s="22"/>
      <c r="F236" s="22"/>
      <c r="G236" s="84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9.5" customHeight="1" x14ac:dyDescent="0.55000000000000004">
      <c r="A237" s="21"/>
      <c r="B237" s="21"/>
      <c r="C237" s="21"/>
      <c r="D237" s="22"/>
      <c r="E237" s="22"/>
      <c r="F237" s="22"/>
      <c r="G237" s="84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9.5" customHeight="1" x14ac:dyDescent="0.55000000000000004">
      <c r="A238" s="21"/>
      <c r="B238" s="21"/>
      <c r="C238" s="21"/>
      <c r="D238" s="22"/>
      <c r="E238" s="22"/>
      <c r="F238" s="22"/>
      <c r="G238" s="84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9.5" customHeight="1" x14ac:dyDescent="0.55000000000000004">
      <c r="A239" s="21"/>
      <c r="B239" s="21"/>
      <c r="C239" s="21"/>
      <c r="D239" s="22"/>
      <c r="E239" s="22"/>
      <c r="F239" s="22"/>
      <c r="G239" s="84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9.5" customHeight="1" x14ac:dyDescent="0.55000000000000004">
      <c r="A240" s="21"/>
      <c r="B240" s="21"/>
      <c r="C240" s="21"/>
      <c r="D240" s="22"/>
      <c r="E240" s="22"/>
      <c r="F240" s="22"/>
      <c r="G240" s="84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9.5" customHeight="1" x14ac:dyDescent="0.55000000000000004">
      <c r="A241" s="21"/>
      <c r="B241" s="21"/>
      <c r="C241" s="21"/>
      <c r="D241" s="22"/>
      <c r="E241" s="22"/>
      <c r="F241" s="22"/>
      <c r="G241" s="84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9.5" customHeight="1" x14ac:dyDescent="0.55000000000000004">
      <c r="A242" s="21"/>
      <c r="B242" s="21"/>
      <c r="C242" s="21"/>
      <c r="D242" s="22"/>
      <c r="E242" s="22"/>
      <c r="F242" s="22"/>
      <c r="G242" s="84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9.5" customHeight="1" x14ac:dyDescent="0.55000000000000004">
      <c r="A243" s="21"/>
      <c r="B243" s="21"/>
      <c r="C243" s="21"/>
      <c r="D243" s="22"/>
      <c r="E243" s="22"/>
      <c r="F243" s="22"/>
      <c r="G243" s="84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9.5" customHeight="1" x14ac:dyDescent="0.55000000000000004">
      <c r="A244" s="21"/>
      <c r="B244" s="21"/>
      <c r="C244" s="21"/>
      <c r="D244" s="22"/>
      <c r="E244" s="22"/>
      <c r="F244" s="22"/>
      <c r="G244" s="84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9.5" customHeight="1" x14ac:dyDescent="0.55000000000000004">
      <c r="A245" s="21"/>
      <c r="B245" s="21"/>
      <c r="C245" s="21"/>
      <c r="D245" s="22"/>
      <c r="E245" s="22"/>
      <c r="F245" s="22"/>
      <c r="G245" s="84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9.5" customHeight="1" x14ac:dyDescent="0.55000000000000004">
      <c r="A246" s="21"/>
      <c r="B246" s="21"/>
      <c r="C246" s="21"/>
      <c r="D246" s="22"/>
      <c r="E246" s="22"/>
      <c r="F246" s="22"/>
      <c r="G246" s="84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9.5" customHeight="1" x14ac:dyDescent="0.55000000000000004">
      <c r="A247" s="21"/>
      <c r="B247" s="21"/>
      <c r="C247" s="21"/>
      <c r="D247" s="22"/>
      <c r="E247" s="22"/>
      <c r="F247" s="22"/>
      <c r="G247" s="84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9.5" customHeight="1" x14ac:dyDescent="0.55000000000000004">
      <c r="A248" s="21"/>
      <c r="B248" s="21"/>
      <c r="C248" s="21"/>
      <c r="D248" s="22"/>
      <c r="E248" s="22"/>
      <c r="F248" s="22"/>
      <c r="G248" s="84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9.5" customHeight="1" x14ac:dyDescent="0.55000000000000004">
      <c r="A249" s="21"/>
      <c r="B249" s="21"/>
      <c r="C249" s="21"/>
      <c r="D249" s="22"/>
      <c r="E249" s="22"/>
      <c r="F249" s="22"/>
      <c r="G249" s="84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9.5" customHeight="1" x14ac:dyDescent="0.55000000000000004">
      <c r="A250" s="21"/>
      <c r="B250" s="21"/>
      <c r="C250" s="21"/>
      <c r="D250" s="22"/>
      <c r="E250" s="22"/>
      <c r="F250" s="22"/>
      <c r="G250" s="84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9.5" customHeight="1" x14ac:dyDescent="0.55000000000000004">
      <c r="A251" s="21"/>
      <c r="B251" s="21"/>
      <c r="C251" s="21"/>
      <c r="D251" s="22"/>
      <c r="E251" s="22"/>
      <c r="F251" s="22"/>
      <c r="G251" s="84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9.5" customHeight="1" x14ac:dyDescent="0.55000000000000004">
      <c r="A252" s="21"/>
      <c r="B252" s="21"/>
      <c r="C252" s="21"/>
      <c r="D252" s="22"/>
      <c r="E252" s="22"/>
      <c r="F252" s="22"/>
      <c r="G252" s="84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9.5" customHeight="1" x14ac:dyDescent="0.55000000000000004">
      <c r="A253" s="21"/>
      <c r="B253" s="21"/>
      <c r="C253" s="21"/>
      <c r="D253" s="22"/>
      <c r="E253" s="22"/>
      <c r="F253" s="22"/>
      <c r="G253" s="84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9.5" customHeight="1" x14ac:dyDescent="0.55000000000000004">
      <c r="A254" s="21"/>
      <c r="B254" s="21"/>
      <c r="C254" s="21"/>
      <c r="D254" s="22"/>
      <c r="E254" s="22"/>
      <c r="F254" s="22"/>
      <c r="G254" s="84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9.5" customHeight="1" x14ac:dyDescent="0.55000000000000004">
      <c r="A255" s="21"/>
      <c r="B255" s="21"/>
      <c r="C255" s="21"/>
      <c r="D255" s="22"/>
      <c r="E255" s="22"/>
      <c r="F255" s="22"/>
      <c r="G255" s="84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9.5" customHeight="1" x14ac:dyDescent="0.55000000000000004">
      <c r="A256" s="21"/>
      <c r="B256" s="21"/>
      <c r="C256" s="21"/>
      <c r="D256" s="22"/>
      <c r="E256" s="22"/>
      <c r="F256" s="22"/>
      <c r="G256" s="84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9.5" customHeight="1" x14ac:dyDescent="0.55000000000000004">
      <c r="A257" s="21"/>
      <c r="B257" s="21"/>
      <c r="C257" s="21"/>
      <c r="D257" s="22"/>
      <c r="E257" s="22"/>
      <c r="F257" s="22"/>
      <c r="G257" s="84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9.5" customHeight="1" x14ac:dyDescent="0.55000000000000004">
      <c r="A258" s="21"/>
      <c r="B258" s="21"/>
      <c r="C258" s="21"/>
      <c r="D258" s="22"/>
      <c r="E258" s="22"/>
      <c r="F258" s="22"/>
      <c r="G258" s="84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9.5" customHeight="1" x14ac:dyDescent="0.55000000000000004">
      <c r="A259" s="21"/>
      <c r="B259" s="21"/>
      <c r="C259" s="21"/>
      <c r="D259" s="22"/>
      <c r="E259" s="22"/>
      <c r="F259" s="22"/>
      <c r="G259" s="84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9.5" customHeight="1" x14ac:dyDescent="0.55000000000000004">
      <c r="A260" s="21"/>
      <c r="B260" s="21"/>
      <c r="C260" s="21"/>
      <c r="D260" s="22"/>
      <c r="E260" s="22"/>
      <c r="F260" s="22"/>
      <c r="G260" s="84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9.5" customHeight="1" x14ac:dyDescent="0.55000000000000004">
      <c r="A261" s="21"/>
      <c r="B261" s="21"/>
      <c r="C261" s="21"/>
      <c r="D261" s="22"/>
      <c r="E261" s="22"/>
      <c r="F261" s="22"/>
      <c r="G261" s="84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9.5" customHeight="1" x14ac:dyDescent="0.55000000000000004">
      <c r="A262" s="21"/>
      <c r="B262" s="21"/>
      <c r="C262" s="21"/>
      <c r="D262" s="22"/>
      <c r="E262" s="22"/>
      <c r="F262" s="22"/>
      <c r="G262" s="84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9.5" customHeight="1" x14ac:dyDescent="0.55000000000000004">
      <c r="A263" s="21"/>
      <c r="B263" s="21"/>
      <c r="C263" s="21"/>
      <c r="D263" s="22"/>
      <c r="E263" s="22"/>
      <c r="F263" s="22"/>
      <c r="G263" s="84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9.5" customHeight="1" x14ac:dyDescent="0.55000000000000004">
      <c r="A264" s="21"/>
      <c r="B264" s="21"/>
      <c r="C264" s="21"/>
      <c r="D264" s="22"/>
      <c r="E264" s="22"/>
      <c r="F264" s="22"/>
      <c r="G264" s="84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9.5" customHeight="1" x14ac:dyDescent="0.55000000000000004">
      <c r="A265" s="21"/>
      <c r="B265" s="21"/>
      <c r="C265" s="21"/>
      <c r="D265" s="22"/>
      <c r="E265" s="22"/>
      <c r="F265" s="22"/>
      <c r="G265" s="84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9.5" customHeight="1" x14ac:dyDescent="0.55000000000000004">
      <c r="A266" s="21"/>
      <c r="B266" s="21"/>
      <c r="C266" s="21"/>
      <c r="D266" s="22"/>
      <c r="E266" s="22"/>
      <c r="F266" s="22"/>
      <c r="G266" s="84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9.5" customHeight="1" x14ac:dyDescent="0.55000000000000004">
      <c r="A267" s="21"/>
      <c r="B267" s="21"/>
      <c r="C267" s="21"/>
      <c r="D267" s="22"/>
      <c r="E267" s="22"/>
      <c r="F267" s="22"/>
      <c r="G267" s="84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9.5" customHeight="1" x14ac:dyDescent="0.55000000000000004">
      <c r="A268" s="21"/>
      <c r="B268" s="21"/>
      <c r="C268" s="21"/>
      <c r="D268" s="22"/>
      <c r="E268" s="22"/>
      <c r="F268" s="22"/>
      <c r="G268" s="84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9.5" customHeight="1" x14ac:dyDescent="0.55000000000000004">
      <c r="A269" s="21"/>
      <c r="B269" s="21"/>
      <c r="C269" s="21"/>
      <c r="D269" s="22"/>
      <c r="E269" s="22"/>
      <c r="F269" s="22"/>
      <c r="G269" s="84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9.5" customHeight="1" x14ac:dyDescent="0.55000000000000004">
      <c r="A270" s="21"/>
      <c r="B270" s="21"/>
      <c r="C270" s="21"/>
      <c r="D270" s="22"/>
      <c r="E270" s="22"/>
      <c r="F270" s="22"/>
      <c r="G270" s="84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9.5" customHeight="1" x14ac:dyDescent="0.55000000000000004">
      <c r="A271" s="21"/>
      <c r="B271" s="21"/>
      <c r="C271" s="21"/>
      <c r="D271" s="22"/>
      <c r="E271" s="22"/>
      <c r="F271" s="22"/>
      <c r="G271" s="84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9.5" customHeight="1" x14ac:dyDescent="0.55000000000000004">
      <c r="A272" s="21"/>
      <c r="B272" s="21"/>
      <c r="C272" s="21"/>
      <c r="D272" s="22"/>
      <c r="E272" s="22"/>
      <c r="F272" s="22"/>
      <c r="G272" s="84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9.5" customHeight="1" x14ac:dyDescent="0.55000000000000004">
      <c r="A273" s="21"/>
      <c r="B273" s="21"/>
      <c r="C273" s="21"/>
      <c r="D273" s="22"/>
      <c r="E273" s="22"/>
      <c r="F273" s="22"/>
      <c r="G273" s="84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9.5" customHeight="1" x14ac:dyDescent="0.55000000000000004">
      <c r="A274" s="21"/>
      <c r="B274" s="21"/>
      <c r="C274" s="21"/>
      <c r="D274" s="22"/>
      <c r="E274" s="22"/>
      <c r="F274" s="22"/>
      <c r="G274" s="84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9.5" customHeight="1" x14ac:dyDescent="0.55000000000000004">
      <c r="A275" s="21"/>
      <c r="B275" s="21"/>
      <c r="C275" s="21"/>
      <c r="D275" s="22"/>
      <c r="E275" s="22"/>
      <c r="F275" s="22"/>
      <c r="G275" s="84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9.5" customHeight="1" x14ac:dyDescent="0.55000000000000004">
      <c r="A276" s="21"/>
      <c r="B276" s="21"/>
      <c r="C276" s="21"/>
      <c r="D276" s="22"/>
      <c r="E276" s="22"/>
      <c r="F276" s="22"/>
      <c r="G276" s="84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9.5" customHeight="1" x14ac:dyDescent="0.55000000000000004">
      <c r="A277" s="21"/>
      <c r="B277" s="21"/>
      <c r="C277" s="21"/>
      <c r="D277" s="22"/>
      <c r="E277" s="22"/>
      <c r="F277" s="22"/>
      <c r="G277" s="84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9.5" customHeight="1" x14ac:dyDescent="0.55000000000000004">
      <c r="A278" s="21"/>
      <c r="B278" s="21"/>
      <c r="C278" s="21"/>
      <c r="D278" s="22"/>
      <c r="E278" s="22"/>
      <c r="F278" s="22"/>
      <c r="G278" s="84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9.5" customHeight="1" x14ac:dyDescent="0.55000000000000004">
      <c r="A279" s="21"/>
      <c r="B279" s="21"/>
      <c r="C279" s="21"/>
      <c r="D279" s="22"/>
      <c r="E279" s="22"/>
      <c r="F279" s="22"/>
      <c r="G279" s="84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9.5" customHeight="1" x14ac:dyDescent="0.55000000000000004">
      <c r="A280" s="21"/>
      <c r="B280" s="21"/>
      <c r="C280" s="21"/>
      <c r="D280" s="22"/>
      <c r="E280" s="22"/>
      <c r="F280" s="22"/>
      <c r="G280" s="84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9.5" customHeight="1" x14ac:dyDescent="0.55000000000000004">
      <c r="A281" s="21"/>
      <c r="B281" s="21"/>
      <c r="C281" s="21"/>
      <c r="D281" s="22"/>
      <c r="E281" s="22"/>
      <c r="F281" s="22"/>
      <c r="G281" s="84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9.5" customHeight="1" x14ac:dyDescent="0.55000000000000004">
      <c r="A282" s="21"/>
      <c r="B282" s="21"/>
      <c r="C282" s="21"/>
      <c r="D282" s="22"/>
      <c r="E282" s="22"/>
      <c r="F282" s="22"/>
      <c r="G282" s="84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9.5" customHeight="1" x14ac:dyDescent="0.55000000000000004">
      <c r="A283" s="21"/>
      <c r="B283" s="21"/>
      <c r="C283" s="21"/>
      <c r="D283" s="22"/>
      <c r="E283" s="22"/>
      <c r="F283" s="22"/>
      <c r="G283" s="84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9.5" customHeight="1" x14ac:dyDescent="0.55000000000000004">
      <c r="A284" s="21"/>
      <c r="B284" s="21"/>
      <c r="C284" s="21"/>
      <c r="D284" s="22"/>
      <c r="E284" s="22"/>
      <c r="F284" s="22"/>
      <c r="G284" s="84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9.5" customHeight="1" x14ac:dyDescent="0.55000000000000004">
      <c r="A285" s="21"/>
      <c r="B285" s="21"/>
      <c r="C285" s="21"/>
      <c r="D285" s="22"/>
      <c r="E285" s="22"/>
      <c r="F285" s="22"/>
      <c r="G285" s="84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9.5" customHeight="1" x14ac:dyDescent="0.55000000000000004">
      <c r="A286" s="21"/>
      <c r="B286" s="21"/>
      <c r="C286" s="21"/>
      <c r="D286" s="22"/>
      <c r="E286" s="22"/>
      <c r="F286" s="22"/>
      <c r="G286" s="84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9.5" customHeight="1" x14ac:dyDescent="0.55000000000000004">
      <c r="A287" s="21"/>
      <c r="B287" s="21"/>
      <c r="C287" s="21"/>
      <c r="D287" s="22"/>
      <c r="E287" s="22"/>
      <c r="F287" s="22"/>
      <c r="G287" s="84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9.5" customHeight="1" x14ac:dyDescent="0.55000000000000004">
      <c r="A288" s="21"/>
      <c r="B288" s="21"/>
      <c r="C288" s="21"/>
      <c r="D288" s="22"/>
      <c r="E288" s="22"/>
      <c r="F288" s="22"/>
      <c r="G288" s="84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9.5" customHeight="1" x14ac:dyDescent="0.55000000000000004">
      <c r="A289" s="21"/>
      <c r="B289" s="21"/>
      <c r="C289" s="21"/>
      <c r="D289" s="22"/>
      <c r="E289" s="22"/>
      <c r="F289" s="22"/>
      <c r="G289" s="84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9.5" customHeight="1" x14ac:dyDescent="0.55000000000000004">
      <c r="A290" s="21"/>
      <c r="B290" s="21"/>
      <c r="C290" s="21"/>
      <c r="D290" s="22"/>
      <c r="E290" s="22"/>
      <c r="F290" s="22"/>
      <c r="G290" s="84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9.5" customHeight="1" x14ac:dyDescent="0.55000000000000004">
      <c r="A291" s="21"/>
      <c r="B291" s="21"/>
      <c r="C291" s="21"/>
      <c r="D291" s="22"/>
      <c r="E291" s="22"/>
      <c r="F291" s="22"/>
      <c r="G291" s="84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9.5" customHeight="1" x14ac:dyDescent="0.55000000000000004">
      <c r="A292" s="21"/>
      <c r="B292" s="21"/>
      <c r="C292" s="21"/>
      <c r="D292" s="22"/>
      <c r="E292" s="22"/>
      <c r="F292" s="22"/>
      <c r="G292" s="84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9.5" customHeight="1" x14ac:dyDescent="0.55000000000000004">
      <c r="A293" s="21"/>
      <c r="B293" s="21"/>
      <c r="C293" s="21"/>
      <c r="D293" s="22"/>
      <c r="E293" s="22"/>
      <c r="F293" s="22"/>
      <c r="G293" s="84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9.5" customHeight="1" x14ac:dyDescent="0.55000000000000004">
      <c r="A294" s="21"/>
      <c r="B294" s="21"/>
      <c r="C294" s="21"/>
      <c r="D294" s="22"/>
      <c r="E294" s="22"/>
      <c r="F294" s="22"/>
      <c r="G294" s="84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9.5" customHeight="1" x14ac:dyDescent="0.55000000000000004">
      <c r="A295" s="21"/>
      <c r="B295" s="21"/>
      <c r="C295" s="21"/>
      <c r="D295" s="22"/>
      <c r="E295" s="22"/>
      <c r="F295" s="22"/>
      <c r="G295" s="84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9.5" customHeight="1" x14ac:dyDescent="0.55000000000000004">
      <c r="A296" s="21"/>
      <c r="B296" s="21"/>
      <c r="C296" s="21"/>
      <c r="D296" s="22"/>
      <c r="E296" s="22"/>
      <c r="F296" s="22"/>
      <c r="G296" s="84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9.5" customHeight="1" x14ac:dyDescent="0.55000000000000004">
      <c r="A297" s="21"/>
      <c r="B297" s="21"/>
      <c r="C297" s="21"/>
      <c r="D297" s="22"/>
      <c r="E297" s="22"/>
      <c r="F297" s="22"/>
      <c r="G297" s="84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9.5" customHeight="1" x14ac:dyDescent="0.55000000000000004">
      <c r="A298" s="21"/>
      <c r="B298" s="21"/>
      <c r="C298" s="21"/>
      <c r="D298" s="22"/>
      <c r="E298" s="22"/>
      <c r="F298" s="22"/>
      <c r="G298" s="84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9.5" customHeight="1" x14ac:dyDescent="0.55000000000000004">
      <c r="A299" s="21"/>
      <c r="B299" s="21"/>
      <c r="C299" s="21"/>
      <c r="D299" s="22"/>
      <c r="E299" s="22"/>
      <c r="F299" s="22"/>
      <c r="G299" s="84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9.5" customHeight="1" x14ac:dyDescent="0.55000000000000004">
      <c r="A300" s="21"/>
      <c r="B300" s="21"/>
      <c r="C300" s="21"/>
      <c r="D300" s="22"/>
      <c r="E300" s="22"/>
      <c r="F300" s="22"/>
      <c r="G300" s="84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9.5" customHeight="1" x14ac:dyDescent="0.55000000000000004">
      <c r="A301" s="21"/>
      <c r="B301" s="21"/>
      <c r="C301" s="21"/>
      <c r="D301" s="22"/>
      <c r="E301" s="22"/>
      <c r="F301" s="22"/>
      <c r="G301" s="84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9.5" customHeight="1" x14ac:dyDescent="0.55000000000000004">
      <c r="A302" s="21"/>
      <c r="B302" s="21"/>
      <c r="C302" s="21"/>
      <c r="D302" s="22"/>
      <c r="E302" s="22"/>
      <c r="F302" s="22"/>
      <c r="G302" s="84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9.5" customHeight="1" x14ac:dyDescent="0.55000000000000004">
      <c r="A303" s="21"/>
      <c r="B303" s="21"/>
      <c r="C303" s="21"/>
      <c r="D303" s="22"/>
      <c r="E303" s="22"/>
      <c r="F303" s="22"/>
      <c r="G303" s="84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9.5" customHeight="1" x14ac:dyDescent="0.55000000000000004">
      <c r="A304" s="21"/>
      <c r="B304" s="21"/>
      <c r="C304" s="21"/>
      <c r="D304" s="22"/>
      <c r="E304" s="22"/>
      <c r="F304" s="22"/>
      <c r="G304" s="84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9.5" customHeight="1" x14ac:dyDescent="0.55000000000000004">
      <c r="A305" s="21"/>
      <c r="B305" s="21"/>
      <c r="C305" s="21"/>
      <c r="D305" s="22"/>
      <c r="E305" s="22"/>
      <c r="F305" s="22"/>
      <c r="G305" s="84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9.5" customHeight="1" x14ac:dyDescent="0.55000000000000004">
      <c r="A306" s="21"/>
      <c r="B306" s="21"/>
      <c r="C306" s="21"/>
      <c r="D306" s="22"/>
      <c r="E306" s="22"/>
      <c r="F306" s="22"/>
      <c r="G306" s="84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9.5" customHeight="1" x14ac:dyDescent="0.55000000000000004">
      <c r="A307" s="21"/>
      <c r="B307" s="21"/>
      <c r="C307" s="21"/>
      <c r="D307" s="22"/>
      <c r="E307" s="22"/>
      <c r="F307" s="22"/>
      <c r="G307" s="84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9.5" customHeight="1" x14ac:dyDescent="0.55000000000000004">
      <c r="A308" s="21"/>
      <c r="B308" s="21"/>
      <c r="C308" s="21"/>
      <c r="D308" s="22"/>
      <c r="E308" s="22"/>
      <c r="F308" s="22"/>
      <c r="G308" s="84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9.5" customHeight="1" x14ac:dyDescent="0.55000000000000004">
      <c r="A309" s="21"/>
      <c r="B309" s="21"/>
      <c r="C309" s="21"/>
      <c r="D309" s="22"/>
      <c r="E309" s="22"/>
      <c r="F309" s="22"/>
      <c r="G309" s="84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9.5" customHeight="1" x14ac:dyDescent="0.55000000000000004">
      <c r="A310" s="21"/>
      <c r="B310" s="21"/>
      <c r="C310" s="21"/>
      <c r="D310" s="22"/>
      <c r="E310" s="22"/>
      <c r="F310" s="22"/>
      <c r="G310" s="84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9.5" customHeight="1" x14ac:dyDescent="0.55000000000000004">
      <c r="A311" s="21"/>
      <c r="B311" s="21"/>
      <c r="C311" s="21"/>
      <c r="D311" s="22"/>
      <c r="E311" s="22"/>
      <c r="F311" s="22"/>
      <c r="G311" s="84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9.5" customHeight="1" x14ac:dyDescent="0.55000000000000004">
      <c r="A312" s="21"/>
      <c r="B312" s="21"/>
      <c r="C312" s="21"/>
      <c r="D312" s="22"/>
      <c r="E312" s="22"/>
      <c r="F312" s="22"/>
      <c r="G312" s="84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9.5" customHeight="1" x14ac:dyDescent="0.55000000000000004">
      <c r="A313" s="21"/>
      <c r="B313" s="21"/>
      <c r="C313" s="21"/>
      <c r="D313" s="22"/>
      <c r="E313" s="22"/>
      <c r="F313" s="22"/>
      <c r="G313" s="84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9.5" customHeight="1" x14ac:dyDescent="0.55000000000000004">
      <c r="A314" s="21"/>
      <c r="B314" s="21"/>
      <c r="C314" s="21"/>
      <c r="D314" s="22"/>
      <c r="E314" s="22"/>
      <c r="F314" s="22"/>
      <c r="G314" s="84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9.5" customHeight="1" x14ac:dyDescent="0.55000000000000004">
      <c r="A315" s="21"/>
      <c r="B315" s="21"/>
      <c r="C315" s="21"/>
      <c r="D315" s="22"/>
      <c r="E315" s="22"/>
      <c r="F315" s="22"/>
      <c r="G315" s="84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9.5" customHeight="1" x14ac:dyDescent="0.55000000000000004">
      <c r="A316" s="21"/>
      <c r="B316" s="21"/>
      <c r="C316" s="21"/>
      <c r="D316" s="22"/>
      <c r="E316" s="22"/>
      <c r="F316" s="22"/>
      <c r="G316" s="84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9.5" customHeight="1" x14ac:dyDescent="0.55000000000000004">
      <c r="A317" s="21"/>
      <c r="B317" s="21"/>
      <c r="C317" s="21"/>
      <c r="D317" s="22"/>
      <c r="E317" s="22"/>
      <c r="F317" s="22"/>
      <c r="G317" s="84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9.5" customHeight="1" x14ac:dyDescent="0.55000000000000004">
      <c r="A318" s="21"/>
      <c r="B318" s="21"/>
      <c r="C318" s="21"/>
      <c r="D318" s="22"/>
      <c r="E318" s="22"/>
      <c r="F318" s="22"/>
      <c r="G318" s="84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9.5" customHeight="1" x14ac:dyDescent="0.55000000000000004">
      <c r="A319" s="21"/>
      <c r="B319" s="21"/>
      <c r="C319" s="21"/>
      <c r="D319" s="22"/>
      <c r="E319" s="22"/>
      <c r="F319" s="22"/>
      <c r="G319" s="84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9.5" customHeight="1" x14ac:dyDescent="0.55000000000000004">
      <c r="A320" s="21"/>
      <c r="B320" s="21"/>
      <c r="C320" s="21"/>
      <c r="D320" s="22"/>
      <c r="E320" s="22"/>
      <c r="F320" s="22"/>
      <c r="G320" s="84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9.5" customHeight="1" x14ac:dyDescent="0.55000000000000004">
      <c r="A321" s="21"/>
      <c r="B321" s="21"/>
      <c r="C321" s="21"/>
      <c r="D321" s="22"/>
      <c r="E321" s="22"/>
      <c r="F321" s="22"/>
      <c r="G321" s="84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9.5" customHeight="1" x14ac:dyDescent="0.55000000000000004">
      <c r="A322" s="21"/>
      <c r="B322" s="21"/>
      <c r="C322" s="21"/>
      <c r="D322" s="22"/>
      <c r="E322" s="22"/>
      <c r="F322" s="22"/>
      <c r="G322" s="84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9.5" customHeight="1" x14ac:dyDescent="0.55000000000000004">
      <c r="A323" s="21"/>
      <c r="B323" s="21"/>
      <c r="C323" s="21"/>
      <c r="D323" s="22"/>
      <c r="E323" s="22"/>
      <c r="F323" s="22"/>
      <c r="G323" s="84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9.5" customHeight="1" x14ac:dyDescent="0.55000000000000004">
      <c r="A324" s="21"/>
      <c r="B324" s="21"/>
      <c r="C324" s="21"/>
      <c r="D324" s="22"/>
      <c r="E324" s="22"/>
      <c r="F324" s="22"/>
      <c r="G324" s="84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9.5" customHeight="1" x14ac:dyDescent="0.55000000000000004">
      <c r="A325" s="21"/>
      <c r="B325" s="21"/>
      <c r="C325" s="21"/>
      <c r="D325" s="22"/>
      <c r="E325" s="22"/>
      <c r="F325" s="22"/>
      <c r="G325" s="84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9.5" customHeight="1" x14ac:dyDescent="0.55000000000000004">
      <c r="A326" s="21"/>
      <c r="B326" s="21"/>
      <c r="C326" s="21"/>
      <c r="D326" s="22"/>
      <c r="E326" s="22"/>
      <c r="F326" s="22"/>
      <c r="G326" s="84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9.5" customHeight="1" x14ac:dyDescent="0.55000000000000004">
      <c r="A327" s="21"/>
      <c r="B327" s="21"/>
      <c r="C327" s="21"/>
      <c r="D327" s="22"/>
      <c r="E327" s="22"/>
      <c r="F327" s="22"/>
      <c r="G327" s="84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9.5" customHeight="1" x14ac:dyDescent="0.55000000000000004">
      <c r="A328" s="21"/>
      <c r="B328" s="21"/>
      <c r="C328" s="21"/>
      <c r="D328" s="22"/>
      <c r="E328" s="22"/>
      <c r="F328" s="22"/>
      <c r="G328" s="84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9.5" customHeight="1" x14ac:dyDescent="0.55000000000000004">
      <c r="A329" s="21"/>
      <c r="B329" s="21"/>
      <c r="C329" s="21"/>
      <c r="D329" s="22"/>
      <c r="E329" s="22"/>
      <c r="F329" s="22"/>
      <c r="G329" s="84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9.5" customHeight="1" x14ac:dyDescent="0.55000000000000004">
      <c r="A330" s="21"/>
      <c r="B330" s="21"/>
      <c r="C330" s="21"/>
      <c r="D330" s="22"/>
      <c r="E330" s="22"/>
      <c r="F330" s="22"/>
      <c r="G330" s="84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9.5" customHeight="1" x14ac:dyDescent="0.55000000000000004">
      <c r="A331" s="21"/>
      <c r="B331" s="21"/>
      <c r="C331" s="21"/>
      <c r="D331" s="22"/>
      <c r="E331" s="22"/>
      <c r="F331" s="22"/>
      <c r="G331" s="84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9.5" customHeight="1" x14ac:dyDescent="0.55000000000000004">
      <c r="A332" s="21"/>
      <c r="B332" s="21"/>
      <c r="C332" s="21"/>
      <c r="D332" s="22"/>
      <c r="E332" s="22"/>
      <c r="F332" s="22"/>
      <c r="G332" s="84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9.5" customHeight="1" x14ac:dyDescent="0.55000000000000004">
      <c r="A333" s="21"/>
      <c r="B333" s="21"/>
      <c r="C333" s="21"/>
      <c r="D333" s="22"/>
      <c r="E333" s="22"/>
      <c r="F333" s="22"/>
      <c r="G333" s="84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9.5" customHeight="1" x14ac:dyDescent="0.55000000000000004">
      <c r="A334" s="21"/>
      <c r="B334" s="21"/>
      <c r="C334" s="21"/>
      <c r="D334" s="22"/>
      <c r="E334" s="22"/>
      <c r="F334" s="22"/>
      <c r="G334" s="84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9.5" customHeight="1" x14ac:dyDescent="0.55000000000000004">
      <c r="A335" s="21"/>
      <c r="B335" s="21"/>
      <c r="C335" s="21"/>
      <c r="D335" s="22"/>
      <c r="E335" s="22"/>
      <c r="F335" s="22"/>
      <c r="G335" s="84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9.5" customHeight="1" x14ac:dyDescent="0.55000000000000004">
      <c r="A336" s="21"/>
      <c r="B336" s="21"/>
      <c r="C336" s="21"/>
      <c r="D336" s="22"/>
      <c r="E336" s="22"/>
      <c r="F336" s="22"/>
      <c r="G336" s="84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9.5" customHeight="1" x14ac:dyDescent="0.55000000000000004">
      <c r="A337" s="21"/>
      <c r="B337" s="21"/>
      <c r="C337" s="21"/>
      <c r="D337" s="22"/>
      <c r="E337" s="22"/>
      <c r="F337" s="22"/>
      <c r="G337" s="84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9.5" customHeight="1" x14ac:dyDescent="0.55000000000000004">
      <c r="A338" s="21"/>
      <c r="B338" s="21"/>
      <c r="C338" s="21"/>
      <c r="D338" s="22"/>
      <c r="E338" s="22"/>
      <c r="F338" s="22"/>
      <c r="G338" s="84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9.5" customHeight="1" x14ac:dyDescent="0.55000000000000004">
      <c r="A339" s="21"/>
      <c r="B339" s="21"/>
      <c r="C339" s="21"/>
      <c r="D339" s="22"/>
      <c r="E339" s="22"/>
      <c r="F339" s="22"/>
      <c r="G339" s="84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9.5" customHeight="1" x14ac:dyDescent="0.55000000000000004">
      <c r="A340" s="21"/>
      <c r="B340" s="21"/>
      <c r="C340" s="21"/>
      <c r="D340" s="22"/>
      <c r="E340" s="22"/>
      <c r="F340" s="22"/>
      <c r="G340" s="84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9.5" customHeight="1" x14ac:dyDescent="0.55000000000000004">
      <c r="A341" s="21"/>
      <c r="B341" s="21"/>
      <c r="C341" s="21"/>
      <c r="D341" s="22"/>
      <c r="E341" s="22"/>
      <c r="F341" s="22"/>
      <c r="G341" s="84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9.5" customHeight="1" x14ac:dyDescent="0.55000000000000004">
      <c r="A342" s="21"/>
      <c r="B342" s="21"/>
      <c r="C342" s="21"/>
      <c r="D342" s="22"/>
      <c r="E342" s="22"/>
      <c r="F342" s="22"/>
      <c r="G342" s="84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9.5" customHeight="1" x14ac:dyDescent="0.55000000000000004">
      <c r="A343" s="21"/>
      <c r="B343" s="21"/>
      <c r="C343" s="21"/>
      <c r="D343" s="22"/>
      <c r="E343" s="22"/>
      <c r="F343" s="22"/>
      <c r="G343" s="84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9.5" customHeight="1" x14ac:dyDescent="0.55000000000000004">
      <c r="A344" s="21"/>
      <c r="B344" s="21"/>
      <c r="C344" s="21"/>
      <c r="D344" s="22"/>
      <c r="E344" s="22"/>
      <c r="F344" s="22"/>
      <c r="G344" s="84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9.5" customHeight="1" x14ac:dyDescent="0.55000000000000004">
      <c r="A345" s="21"/>
      <c r="B345" s="21"/>
      <c r="C345" s="21"/>
      <c r="D345" s="22"/>
      <c r="E345" s="22"/>
      <c r="F345" s="22"/>
      <c r="G345" s="84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9.5" customHeight="1" x14ac:dyDescent="0.55000000000000004">
      <c r="A346" s="21"/>
      <c r="B346" s="21"/>
      <c r="C346" s="21"/>
      <c r="D346" s="22"/>
      <c r="E346" s="22"/>
      <c r="F346" s="22"/>
      <c r="G346" s="84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9.5" customHeight="1" x14ac:dyDescent="0.55000000000000004">
      <c r="A347" s="21"/>
      <c r="B347" s="21"/>
      <c r="C347" s="21"/>
      <c r="D347" s="22"/>
      <c r="E347" s="22"/>
      <c r="F347" s="22"/>
      <c r="G347" s="84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9.5" customHeight="1" x14ac:dyDescent="0.55000000000000004">
      <c r="A348" s="21"/>
      <c r="B348" s="21"/>
      <c r="C348" s="21"/>
      <c r="D348" s="22"/>
      <c r="E348" s="22"/>
      <c r="F348" s="22"/>
      <c r="G348" s="84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9.5" customHeight="1" x14ac:dyDescent="0.55000000000000004">
      <c r="A349" s="21"/>
      <c r="B349" s="21"/>
      <c r="C349" s="21"/>
      <c r="D349" s="22"/>
      <c r="E349" s="22"/>
      <c r="F349" s="22"/>
      <c r="G349" s="84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9.5" customHeight="1" x14ac:dyDescent="0.55000000000000004">
      <c r="A350" s="21"/>
      <c r="B350" s="21"/>
      <c r="C350" s="21"/>
      <c r="D350" s="22"/>
      <c r="E350" s="22"/>
      <c r="F350" s="22"/>
      <c r="G350" s="84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9.5" customHeight="1" x14ac:dyDescent="0.55000000000000004">
      <c r="A351" s="21"/>
      <c r="B351" s="21"/>
      <c r="C351" s="21"/>
      <c r="D351" s="22"/>
      <c r="E351" s="22"/>
      <c r="F351" s="22"/>
      <c r="G351" s="84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9.5" customHeight="1" x14ac:dyDescent="0.55000000000000004">
      <c r="A352" s="21"/>
      <c r="B352" s="21"/>
      <c r="C352" s="21"/>
      <c r="D352" s="22"/>
      <c r="E352" s="22"/>
      <c r="F352" s="22"/>
      <c r="G352" s="84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9.5" customHeight="1" x14ac:dyDescent="0.55000000000000004">
      <c r="A353" s="21"/>
      <c r="B353" s="21"/>
      <c r="C353" s="21"/>
      <c r="D353" s="22"/>
      <c r="E353" s="22"/>
      <c r="F353" s="22"/>
      <c r="G353" s="84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9.5" customHeight="1" x14ac:dyDescent="0.55000000000000004">
      <c r="A354" s="21"/>
      <c r="B354" s="21"/>
      <c r="C354" s="21"/>
      <c r="D354" s="22"/>
      <c r="E354" s="22"/>
      <c r="F354" s="22"/>
      <c r="G354" s="84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9.5" customHeight="1" x14ac:dyDescent="0.55000000000000004">
      <c r="A355" s="21"/>
      <c r="B355" s="21"/>
      <c r="C355" s="21"/>
      <c r="D355" s="22"/>
      <c r="E355" s="22"/>
      <c r="F355" s="22"/>
      <c r="G355" s="84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9.5" customHeight="1" x14ac:dyDescent="0.55000000000000004">
      <c r="A356" s="21"/>
      <c r="B356" s="21"/>
      <c r="C356" s="21"/>
      <c r="D356" s="22"/>
      <c r="E356" s="22"/>
      <c r="F356" s="22"/>
      <c r="G356" s="84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9.5" customHeight="1" x14ac:dyDescent="0.55000000000000004">
      <c r="A357" s="21"/>
      <c r="B357" s="21"/>
      <c r="C357" s="21"/>
      <c r="D357" s="22"/>
      <c r="E357" s="22"/>
      <c r="F357" s="22"/>
      <c r="G357" s="84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9.5" customHeight="1" x14ac:dyDescent="0.55000000000000004">
      <c r="A358" s="21"/>
      <c r="B358" s="21"/>
      <c r="C358" s="21"/>
      <c r="D358" s="22"/>
      <c r="E358" s="22"/>
      <c r="F358" s="22"/>
      <c r="G358" s="84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9.5" customHeight="1" x14ac:dyDescent="0.55000000000000004">
      <c r="A359" s="21"/>
      <c r="B359" s="21"/>
      <c r="C359" s="21"/>
      <c r="D359" s="22"/>
      <c r="E359" s="22"/>
      <c r="F359" s="22"/>
      <c r="G359" s="84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9.5" customHeight="1" x14ac:dyDescent="0.55000000000000004">
      <c r="A360" s="21"/>
      <c r="B360" s="21"/>
      <c r="C360" s="21"/>
      <c r="D360" s="22"/>
      <c r="E360" s="22"/>
      <c r="F360" s="22"/>
      <c r="G360" s="84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9.5" customHeight="1" x14ac:dyDescent="0.55000000000000004">
      <c r="A361" s="21"/>
      <c r="B361" s="21"/>
      <c r="C361" s="21"/>
      <c r="D361" s="22"/>
      <c r="E361" s="22"/>
      <c r="F361" s="22"/>
      <c r="G361" s="84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9.5" customHeight="1" x14ac:dyDescent="0.55000000000000004">
      <c r="A362" s="21"/>
      <c r="B362" s="21"/>
      <c r="C362" s="21"/>
      <c r="D362" s="22"/>
      <c r="E362" s="22"/>
      <c r="F362" s="22"/>
      <c r="G362" s="84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9.5" customHeight="1" x14ac:dyDescent="0.55000000000000004">
      <c r="A363" s="21"/>
      <c r="B363" s="21"/>
      <c r="C363" s="21"/>
      <c r="D363" s="22"/>
      <c r="E363" s="22"/>
      <c r="F363" s="22"/>
      <c r="G363" s="84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9.5" customHeight="1" x14ac:dyDescent="0.55000000000000004">
      <c r="A364" s="21"/>
      <c r="B364" s="21"/>
      <c r="C364" s="21"/>
      <c r="D364" s="22"/>
      <c r="E364" s="22"/>
      <c r="F364" s="22"/>
      <c r="G364" s="84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9.5" customHeight="1" x14ac:dyDescent="0.55000000000000004">
      <c r="A365" s="21"/>
      <c r="B365" s="21"/>
      <c r="C365" s="21"/>
      <c r="D365" s="22"/>
      <c r="E365" s="22"/>
      <c r="F365" s="22"/>
      <c r="G365" s="84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9.5" customHeight="1" x14ac:dyDescent="0.55000000000000004">
      <c r="A366" s="21"/>
      <c r="B366" s="21"/>
      <c r="C366" s="21"/>
      <c r="D366" s="22"/>
      <c r="E366" s="22"/>
      <c r="F366" s="22"/>
      <c r="G366" s="84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9.5" customHeight="1" x14ac:dyDescent="0.55000000000000004">
      <c r="A367" s="21"/>
      <c r="B367" s="21"/>
      <c r="C367" s="21"/>
      <c r="D367" s="22"/>
      <c r="E367" s="22"/>
      <c r="F367" s="22"/>
      <c r="G367" s="84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9.5" customHeight="1" x14ac:dyDescent="0.55000000000000004">
      <c r="A368" s="21"/>
      <c r="B368" s="21"/>
      <c r="C368" s="21"/>
      <c r="D368" s="22"/>
      <c r="E368" s="22"/>
      <c r="F368" s="22"/>
      <c r="G368" s="84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9.5" customHeight="1" x14ac:dyDescent="0.55000000000000004">
      <c r="A369" s="21"/>
      <c r="B369" s="21"/>
      <c r="C369" s="21"/>
      <c r="D369" s="22"/>
      <c r="E369" s="22"/>
      <c r="F369" s="22"/>
      <c r="G369" s="84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9.5" customHeight="1" x14ac:dyDescent="0.55000000000000004">
      <c r="A370" s="21"/>
      <c r="B370" s="21"/>
      <c r="C370" s="21"/>
      <c r="D370" s="22"/>
      <c r="E370" s="22"/>
      <c r="F370" s="22"/>
      <c r="G370" s="84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9.5" customHeight="1" x14ac:dyDescent="0.55000000000000004">
      <c r="A371" s="21"/>
      <c r="B371" s="21"/>
      <c r="C371" s="21"/>
      <c r="D371" s="22"/>
      <c r="E371" s="22"/>
      <c r="F371" s="22"/>
      <c r="G371" s="84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9.5" customHeight="1" x14ac:dyDescent="0.55000000000000004">
      <c r="A372" s="21"/>
      <c r="B372" s="21"/>
      <c r="C372" s="21"/>
      <c r="D372" s="22"/>
      <c r="E372" s="22"/>
      <c r="F372" s="22"/>
      <c r="G372" s="84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9.5" customHeight="1" x14ac:dyDescent="0.55000000000000004">
      <c r="A373" s="21"/>
      <c r="B373" s="21"/>
      <c r="C373" s="21"/>
      <c r="D373" s="22"/>
      <c r="E373" s="22"/>
      <c r="F373" s="22"/>
      <c r="G373" s="84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9.5" customHeight="1" x14ac:dyDescent="0.55000000000000004">
      <c r="A374" s="21"/>
      <c r="B374" s="21"/>
      <c r="C374" s="21"/>
      <c r="D374" s="22"/>
      <c r="E374" s="22"/>
      <c r="F374" s="22"/>
      <c r="G374" s="84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9.5" customHeight="1" x14ac:dyDescent="0.55000000000000004">
      <c r="A375" s="21"/>
      <c r="B375" s="21"/>
      <c r="C375" s="21"/>
      <c r="D375" s="22"/>
      <c r="E375" s="22"/>
      <c r="F375" s="22"/>
      <c r="G375" s="84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9.5" customHeight="1" x14ac:dyDescent="0.55000000000000004">
      <c r="A376" s="21"/>
      <c r="B376" s="21"/>
      <c r="C376" s="21"/>
      <c r="D376" s="22"/>
      <c r="E376" s="22"/>
      <c r="F376" s="22"/>
      <c r="G376" s="84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9.5" customHeight="1" x14ac:dyDescent="0.55000000000000004">
      <c r="A377" s="21"/>
      <c r="B377" s="21"/>
      <c r="C377" s="21"/>
      <c r="D377" s="22"/>
      <c r="E377" s="22"/>
      <c r="F377" s="22"/>
      <c r="G377" s="84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9.5" customHeight="1" x14ac:dyDescent="0.55000000000000004">
      <c r="A378" s="21"/>
      <c r="B378" s="21"/>
      <c r="C378" s="21"/>
      <c r="D378" s="22"/>
      <c r="E378" s="22"/>
      <c r="F378" s="22"/>
      <c r="G378" s="84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9.5" customHeight="1" x14ac:dyDescent="0.55000000000000004">
      <c r="A379" s="21"/>
      <c r="B379" s="21"/>
      <c r="C379" s="21"/>
      <c r="D379" s="22"/>
      <c r="E379" s="22"/>
      <c r="F379" s="22"/>
      <c r="G379" s="84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9.5" customHeight="1" x14ac:dyDescent="0.55000000000000004">
      <c r="A380" s="21"/>
      <c r="B380" s="21"/>
      <c r="C380" s="21"/>
      <c r="D380" s="22"/>
      <c r="E380" s="22"/>
      <c r="F380" s="22"/>
      <c r="G380" s="84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9.5" customHeight="1" x14ac:dyDescent="0.55000000000000004">
      <c r="A381" s="21"/>
      <c r="B381" s="21"/>
      <c r="C381" s="21"/>
      <c r="D381" s="22"/>
      <c r="E381" s="22"/>
      <c r="F381" s="22"/>
      <c r="G381" s="84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9.5" customHeight="1" x14ac:dyDescent="0.55000000000000004">
      <c r="A382" s="21"/>
      <c r="B382" s="21"/>
      <c r="C382" s="21"/>
      <c r="D382" s="22"/>
      <c r="E382" s="22"/>
      <c r="F382" s="22"/>
      <c r="G382" s="84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9.5" customHeight="1" x14ac:dyDescent="0.55000000000000004">
      <c r="A383" s="21"/>
      <c r="B383" s="21"/>
      <c r="C383" s="21"/>
      <c r="D383" s="22"/>
      <c r="E383" s="22"/>
      <c r="F383" s="22"/>
      <c r="G383" s="84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9.5" customHeight="1" x14ac:dyDescent="0.55000000000000004">
      <c r="A384" s="21"/>
      <c r="B384" s="21"/>
      <c r="C384" s="21"/>
      <c r="D384" s="22"/>
      <c r="E384" s="22"/>
      <c r="F384" s="22"/>
      <c r="G384" s="84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9.5" customHeight="1" x14ac:dyDescent="0.55000000000000004">
      <c r="A385" s="21"/>
      <c r="B385" s="21"/>
      <c r="C385" s="21"/>
      <c r="D385" s="22"/>
      <c r="E385" s="22"/>
      <c r="F385" s="22"/>
      <c r="G385" s="84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9.5" customHeight="1" x14ac:dyDescent="0.55000000000000004">
      <c r="A386" s="21"/>
      <c r="B386" s="21"/>
      <c r="C386" s="21"/>
      <c r="D386" s="22"/>
      <c r="E386" s="22"/>
      <c r="F386" s="22"/>
      <c r="G386" s="84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9.5" customHeight="1" x14ac:dyDescent="0.55000000000000004">
      <c r="A387" s="21"/>
      <c r="B387" s="21"/>
      <c r="C387" s="21"/>
      <c r="D387" s="22"/>
      <c r="E387" s="22"/>
      <c r="F387" s="22"/>
      <c r="G387" s="84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9.5" customHeight="1" x14ac:dyDescent="0.55000000000000004">
      <c r="A388" s="21"/>
      <c r="B388" s="21"/>
      <c r="C388" s="21"/>
      <c r="D388" s="22"/>
      <c r="E388" s="22"/>
      <c r="F388" s="22"/>
      <c r="G388" s="84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9.5" customHeight="1" x14ac:dyDescent="0.55000000000000004">
      <c r="A389" s="21"/>
      <c r="B389" s="21"/>
      <c r="C389" s="21"/>
      <c r="D389" s="22"/>
      <c r="E389" s="22"/>
      <c r="F389" s="22"/>
      <c r="G389" s="84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9.5" customHeight="1" x14ac:dyDescent="0.55000000000000004">
      <c r="A390" s="21"/>
      <c r="B390" s="21"/>
      <c r="C390" s="21"/>
      <c r="D390" s="22"/>
      <c r="E390" s="22"/>
      <c r="F390" s="22"/>
      <c r="G390" s="84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9.5" customHeight="1" x14ac:dyDescent="0.55000000000000004">
      <c r="A391" s="21"/>
      <c r="B391" s="21"/>
      <c r="C391" s="21"/>
      <c r="D391" s="22"/>
      <c r="E391" s="22"/>
      <c r="F391" s="22"/>
      <c r="G391" s="84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9.5" customHeight="1" x14ac:dyDescent="0.55000000000000004">
      <c r="A392" s="21"/>
      <c r="B392" s="21"/>
      <c r="C392" s="21"/>
      <c r="D392" s="22"/>
      <c r="E392" s="22"/>
      <c r="F392" s="22"/>
      <c r="G392" s="84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9.5" customHeight="1" x14ac:dyDescent="0.55000000000000004">
      <c r="A393" s="21"/>
      <c r="B393" s="21"/>
      <c r="C393" s="21"/>
      <c r="D393" s="22"/>
      <c r="E393" s="22"/>
      <c r="F393" s="22"/>
      <c r="G393" s="84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9.5" customHeight="1" x14ac:dyDescent="0.55000000000000004">
      <c r="A394" s="21"/>
      <c r="B394" s="21"/>
      <c r="C394" s="21"/>
      <c r="D394" s="22"/>
      <c r="E394" s="22"/>
      <c r="F394" s="22"/>
      <c r="G394" s="84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9.5" customHeight="1" x14ac:dyDescent="0.55000000000000004">
      <c r="A395" s="21"/>
      <c r="B395" s="21"/>
      <c r="C395" s="21"/>
      <c r="D395" s="22"/>
      <c r="E395" s="22"/>
      <c r="F395" s="22"/>
      <c r="G395" s="84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9.5" customHeight="1" x14ac:dyDescent="0.55000000000000004">
      <c r="A396" s="21"/>
      <c r="B396" s="21"/>
      <c r="C396" s="21"/>
      <c r="D396" s="22"/>
      <c r="E396" s="22"/>
      <c r="F396" s="22"/>
      <c r="G396" s="84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9.5" customHeight="1" x14ac:dyDescent="0.55000000000000004">
      <c r="A397" s="21"/>
      <c r="B397" s="21"/>
      <c r="C397" s="21"/>
      <c r="D397" s="22"/>
      <c r="E397" s="22"/>
      <c r="F397" s="22"/>
      <c r="G397" s="84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9.5" customHeight="1" x14ac:dyDescent="0.55000000000000004">
      <c r="A398" s="21"/>
      <c r="B398" s="21"/>
      <c r="C398" s="21"/>
      <c r="D398" s="22"/>
      <c r="E398" s="22"/>
      <c r="F398" s="22"/>
      <c r="G398" s="84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9.5" customHeight="1" x14ac:dyDescent="0.55000000000000004">
      <c r="A399" s="21"/>
      <c r="B399" s="21"/>
      <c r="C399" s="21"/>
      <c r="D399" s="22"/>
      <c r="E399" s="22"/>
      <c r="F399" s="22"/>
      <c r="G399" s="84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9.5" customHeight="1" x14ac:dyDescent="0.55000000000000004">
      <c r="A400" s="21"/>
      <c r="B400" s="21"/>
      <c r="C400" s="21"/>
      <c r="D400" s="22"/>
      <c r="E400" s="22"/>
      <c r="F400" s="22"/>
      <c r="G400" s="84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9.5" customHeight="1" x14ac:dyDescent="0.55000000000000004">
      <c r="A401" s="21"/>
      <c r="B401" s="21"/>
      <c r="C401" s="21"/>
      <c r="D401" s="22"/>
      <c r="E401" s="22"/>
      <c r="F401" s="22"/>
      <c r="G401" s="84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9.5" customHeight="1" x14ac:dyDescent="0.55000000000000004">
      <c r="A402" s="21"/>
      <c r="B402" s="21"/>
      <c r="C402" s="21"/>
      <c r="D402" s="22"/>
      <c r="E402" s="22"/>
      <c r="F402" s="22"/>
      <c r="G402" s="84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9.5" customHeight="1" x14ac:dyDescent="0.55000000000000004">
      <c r="A403" s="21"/>
      <c r="B403" s="21"/>
      <c r="C403" s="21"/>
      <c r="D403" s="22"/>
      <c r="E403" s="22"/>
      <c r="F403" s="22"/>
      <c r="G403" s="84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9.5" customHeight="1" x14ac:dyDescent="0.55000000000000004">
      <c r="A404" s="21"/>
      <c r="B404" s="21"/>
      <c r="C404" s="21"/>
      <c r="D404" s="22"/>
      <c r="E404" s="22"/>
      <c r="F404" s="22"/>
      <c r="G404" s="84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9.5" customHeight="1" x14ac:dyDescent="0.55000000000000004">
      <c r="A405" s="21"/>
      <c r="B405" s="21"/>
      <c r="C405" s="21"/>
      <c r="D405" s="22"/>
      <c r="E405" s="22"/>
      <c r="F405" s="22"/>
      <c r="G405" s="84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9.5" customHeight="1" x14ac:dyDescent="0.55000000000000004">
      <c r="A406" s="21"/>
      <c r="B406" s="21"/>
      <c r="C406" s="21"/>
      <c r="D406" s="22"/>
      <c r="E406" s="22"/>
      <c r="F406" s="22"/>
      <c r="G406" s="84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9.5" customHeight="1" x14ac:dyDescent="0.55000000000000004">
      <c r="A407" s="21"/>
      <c r="B407" s="21"/>
      <c r="C407" s="21"/>
      <c r="D407" s="22"/>
      <c r="E407" s="22"/>
      <c r="F407" s="22"/>
      <c r="G407" s="84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9.5" customHeight="1" x14ac:dyDescent="0.55000000000000004">
      <c r="A408" s="21"/>
      <c r="B408" s="21"/>
      <c r="C408" s="21"/>
      <c r="D408" s="22"/>
      <c r="E408" s="22"/>
      <c r="F408" s="22"/>
      <c r="G408" s="84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9.5" customHeight="1" x14ac:dyDescent="0.55000000000000004">
      <c r="A409" s="21"/>
      <c r="B409" s="21"/>
      <c r="C409" s="21"/>
      <c r="D409" s="22"/>
      <c r="E409" s="22"/>
      <c r="F409" s="22"/>
      <c r="G409" s="84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9.5" customHeight="1" x14ac:dyDescent="0.55000000000000004">
      <c r="A410" s="21"/>
      <c r="B410" s="21"/>
      <c r="C410" s="21"/>
      <c r="D410" s="22"/>
      <c r="E410" s="22"/>
      <c r="F410" s="22"/>
      <c r="G410" s="84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9.5" customHeight="1" x14ac:dyDescent="0.55000000000000004">
      <c r="A411" s="21"/>
      <c r="B411" s="21"/>
      <c r="C411" s="21"/>
      <c r="D411" s="22"/>
      <c r="E411" s="22"/>
      <c r="F411" s="22"/>
      <c r="G411" s="84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9.5" customHeight="1" x14ac:dyDescent="0.55000000000000004">
      <c r="A412" s="21"/>
      <c r="B412" s="21"/>
      <c r="C412" s="21"/>
      <c r="D412" s="22"/>
      <c r="E412" s="22"/>
      <c r="F412" s="22"/>
      <c r="G412" s="84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9.5" customHeight="1" x14ac:dyDescent="0.55000000000000004">
      <c r="A413" s="21"/>
      <c r="B413" s="21"/>
      <c r="C413" s="21"/>
      <c r="D413" s="22"/>
      <c r="E413" s="22"/>
      <c r="F413" s="22"/>
      <c r="G413" s="84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9.5" customHeight="1" x14ac:dyDescent="0.55000000000000004">
      <c r="A414" s="21"/>
      <c r="B414" s="21"/>
      <c r="C414" s="21"/>
      <c r="D414" s="22"/>
      <c r="E414" s="22"/>
      <c r="F414" s="22"/>
      <c r="G414" s="84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9.5" customHeight="1" x14ac:dyDescent="0.55000000000000004">
      <c r="A415" s="21"/>
      <c r="B415" s="21"/>
      <c r="C415" s="21"/>
      <c r="D415" s="22"/>
      <c r="E415" s="22"/>
      <c r="F415" s="22"/>
      <c r="G415" s="84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9.5" customHeight="1" x14ac:dyDescent="0.55000000000000004">
      <c r="A416" s="21"/>
      <c r="B416" s="21"/>
      <c r="C416" s="21"/>
      <c r="D416" s="22"/>
      <c r="E416" s="22"/>
      <c r="F416" s="22"/>
      <c r="G416" s="84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9.5" customHeight="1" x14ac:dyDescent="0.55000000000000004">
      <c r="A417" s="21"/>
      <c r="B417" s="21"/>
      <c r="C417" s="21"/>
      <c r="D417" s="22"/>
      <c r="E417" s="22"/>
      <c r="F417" s="22"/>
      <c r="G417" s="84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9.5" customHeight="1" x14ac:dyDescent="0.55000000000000004">
      <c r="A418" s="21"/>
      <c r="B418" s="21"/>
      <c r="C418" s="21"/>
      <c r="D418" s="22"/>
      <c r="E418" s="22"/>
      <c r="F418" s="22"/>
      <c r="G418" s="84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9.5" customHeight="1" x14ac:dyDescent="0.55000000000000004">
      <c r="A419" s="21"/>
      <c r="B419" s="21"/>
      <c r="C419" s="21"/>
      <c r="D419" s="22"/>
      <c r="E419" s="22"/>
      <c r="F419" s="22"/>
      <c r="G419" s="84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9.5" customHeight="1" x14ac:dyDescent="0.55000000000000004">
      <c r="A420" s="21"/>
      <c r="B420" s="21"/>
      <c r="C420" s="21"/>
      <c r="D420" s="22"/>
      <c r="E420" s="22"/>
      <c r="F420" s="22"/>
      <c r="G420" s="84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9.5" customHeight="1" x14ac:dyDescent="0.55000000000000004">
      <c r="A421" s="21"/>
      <c r="B421" s="21"/>
      <c r="C421" s="21"/>
      <c r="D421" s="22"/>
      <c r="E421" s="22"/>
      <c r="F421" s="22"/>
      <c r="G421" s="84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9.5" customHeight="1" x14ac:dyDescent="0.55000000000000004">
      <c r="A422" s="21"/>
      <c r="B422" s="21"/>
      <c r="C422" s="21"/>
      <c r="D422" s="22"/>
      <c r="E422" s="22"/>
      <c r="F422" s="22"/>
      <c r="G422" s="84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9.5" customHeight="1" x14ac:dyDescent="0.55000000000000004">
      <c r="A423" s="21"/>
      <c r="B423" s="21"/>
      <c r="C423" s="21"/>
      <c r="D423" s="22"/>
      <c r="E423" s="22"/>
      <c r="F423" s="22"/>
      <c r="G423" s="84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9.5" customHeight="1" x14ac:dyDescent="0.55000000000000004">
      <c r="A424" s="21"/>
      <c r="B424" s="21"/>
      <c r="C424" s="21"/>
      <c r="D424" s="22"/>
      <c r="E424" s="22"/>
      <c r="F424" s="22"/>
      <c r="G424" s="84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9.5" customHeight="1" x14ac:dyDescent="0.55000000000000004">
      <c r="A425" s="21"/>
      <c r="B425" s="21"/>
      <c r="C425" s="21"/>
      <c r="D425" s="22"/>
      <c r="E425" s="22"/>
      <c r="F425" s="22"/>
      <c r="G425" s="84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9.5" customHeight="1" x14ac:dyDescent="0.55000000000000004">
      <c r="A426" s="21"/>
      <c r="B426" s="21"/>
      <c r="C426" s="21"/>
      <c r="D426" s="22"/>
      <c r="E426" s="22"/>
      <c r="F426" s="22"/>
      <c r="G426" s="84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9.5" customHeight="1" x14ac:dyDescent="0.55000000000000004">
      <c r="A427" s="21"/>
      <c r="B427" s="21"/>
      <c r="C427" s="21"/>
      <c r="D427" s="22"/>
      <c r="E427" s="22"/>
      <c r="F427" s="22"/>
      <c r="G427" s="84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9.5" customHeight="1" x14ac:dyDescent="0.55000000000000004">
      <c r="A428" s="21"/>
      <c r="B428" s="21"/>
      <c r="C428" s="21"/>
      <c r="D428" s="22"/>
      <c r="E428" s="22"/>
      <c r="F428" s="22"/>
      <c r="G428" s="84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9.5" customHeight="1" x14ac:dyDescent="0.55000000000000004">
      <c r="A429" s="21"/>
      <c r="B429" s="21"/>
      <c r="C429" s="21"/>
      <c r="D429" s="22"/>
      <c r="E429" s="22"/>
      <c r="F429" s="22"/>
      <c r="G429" s="84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9.5" customHeight="1" x14ac:dyDescent="0.55000000000000004">
      <c r="A430" s="21"/>
      <c r="B430" s="21"/>
      <c r="C430" s="21"/>
      <c r="D430" s="22"/>
      <c r="E430" s="22"/>
      <c r="F430" s="22"/>
      <c r="G430" s="84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9.5" customHeight="1" x14ac:dyDescent="0.55000000000000004">
      <c r="A431" s="21"/>
      <c r="B431" s="21"/>
      <c r="C431" s="21"/>
      <c r="D431" s="22"/>
      <c r="E431" s="22"/>
      <c r="F431" s="22"/>
      <c r="G431" s="84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9.5" customHeight="1" x14ac:dyDescent="0.55000000000000004">
      <c r="A432" s="21"/>
      <c r="B432" s="21"/>
      <c r="C432" s="21"/>
      <c r="D432" s="22"/>
      <c r="E432" s="22"/>
      <c r="F432" s="22"/>
      <c r="G432" s="84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9.5" customHeight="1" x14ac:dyDescent="0.55000000000000004">
      <c r="A433" s="21"/>
      <c r="B433" s="21"/>
      <c r="C433" s="21"/>
      <c r="D433" s="22"/>
      <c r="E433" s="22"/>
      <c r="F433" s="22"/>
      <c r="G433" s="84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9.5" customHeight="1" x14ac:dyDescent="0.55000000000000004">
      <c r="A434" s="21"/>
      <c r="B434" s="21"/>
      <c r="C434" s="21"/>
      <c r="D434" s="22"/>
      <c r="E434" s="22"/>
      <c r="F434" s="22"/>
      <c r="G434" s="84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9.5" customHeight="1" x14ac:dyDescent="0.55000000000000004">
      <c r="A435" s="21"/>
      <c r="B435" s="21"/>
      <c r="C435" s="21"/>
      <c r="D435" s="22"/>
      <c r="E435" s="22"/>
      <c r="F435" s="22"/>
      <c r="G435" s="84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9.5" customHeight="1" x14ac:dyDescent="0.55000000000000004">
      <c r="A436" s="21"/>
      <c r="B436" s="21"/>
      <c r="C436" s="21"/>
      <c r="D436" s="22"/>
      <c r="E436" s="22"/>
      <c r="F436" s="22"/>
      <c r="G436" s="84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9.5" customHeight="1" x14ac:dyDescent="0.55000000000000004">
      <c r="A437" s="21"/>
      <c r="B437" s="21"/>
      <c r="C437" s="21"/>
      <c r="D437" s="22"/>
      <c r="E437" s="22"/>
      <c r="F437" s="22"/>
      <c r="G437" s="84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9.5" customHeight="1" x14ac:dyDescent="0.55000000000000004">
      <c r="A438" s="21"/>
      <c r="B438" s="21"/>
      <c r="C438" s="21"/>
      <c r="D438" s="22"/>
      <c r="E438" s="22"/>
      <c r="F438" s="22"/>
      <c r="G438" s="84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9.5" customHeight="1" x14ac:dyDescent="0.55000000000000004">
      <c r="A439" s="21"/>
      <c r="B439" s="21"/>
      <c r="C439" s="21"/>
      <c r="D439" s="22"/>
      <c r="E439" s="22"/>
      <c r="F439" s="22"/>
      <c r="G439" s="84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9.5" customHeight="1" x14ac:dyDescent="0.55000000000000004">
      <c r="A440" s="21"/>
      <c r="B440" s="21"/>
      <c r="C440" s="21"/>
      <c r="D440" s="22"/>
      <c r="E440" s="22"/>
      <c r="F440" s="22"/>
      <c r="G440" s="84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9.5" customHeight="1" x14ac:dyDescent="0.55000000000000004">
      <c r="A441" s="21"/>
      <c r="B441" s="21"/>
      <c r="C441" s="21"/>
      <c r="D441" s="22"/>
      <c r="E441" s="22"/>
      <c r="F441" s="22"/>
      <c r="G441" s="84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9.5" customHeight="1" x14ac:dyDescent="0.55000000000000004">
      <c r="A442" s="21"/>
      <c r="B442" s="21"/>
      <c r="C442" s="21"/>
      <c r="D442" s="22"/>
      <c r="E442" s="22"/>
      <c r="F442" s="22"/>
      <c r="G442" s="84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9.5" customHeight="1" x14ac:dyDescent="0.55000000000000004">
      <c r="A443" s="21"/>
      <c r="B443" s="21"/>
      <c r="C443" s="21"/>
      <c r="D443" s="22"/>
      <c r="E443" s="22"/>
      <c r="F443" s="22"/>
      <c r="G443" s="84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9.5" customHeight="1" x14ac:dyDescent="0.55000000000000004">
      <c r="A444" s="21"/>
      <c r="B444" s="21"/>
      <c r="C444" s="21"/>
      <c r="D444" s="22"/>
      <c r="E444" s="22"/>
      <c r="F444" s="22"/>
      <c r="G444" s="84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9.5" customHeight="1" x14ac:dyDescent="0.55000000000000004">
      <c r="A445" s="21"/>
      <c r="B445" s="21"/>
      <c r="C445" s="21"/>
      <c r="D445" s="22"/>
      <c r="E445" s="22"/>
      <c r="F445" s="22"/>
      <c r="G445" s="84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9.5" customHeight="1" x14ac:dyDescent="0.55000000000000004">
      <c r="A446" s="21"/>
      <c r="B446" s="21"/>
      <c r="C446" s="21"/>
      <c r="D446" s="22"/>
      <c r="E446" s="22"/>
      <c r="F446" s="22"/>
      <c r="G446" s="84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9.5" customHeight="1" x14ac:dyDescent="0.55000000000000004">
      <c r="A447" s="21"/>
      <c r="B447" s="21"/>
      <c r="C447" s="21"/>
      <c r="D447" s="22"/>
      <c r="E447" s="22"/>
      <c r="F447" s="22"/>
      <c r="G447" s="84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9.5" customHeight="1" x14ac:dyDescent="0.55000000000000004">
      <c r="A448" s="21"/>
      <c r="B448" s="21"/>
      <c r="C448" s="21"/>
      <c r="D448" s="22"/>
      <c r="E448" s="22"/>
      <c r="F448" s="22"/>
      <c r="G448" s="84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9.5" customHeight="1" x14ac:dyDescent="0.55000000000000004">
      <c r="A449" s="21"/>
      <c r="B449" s="21"/>
      <c r="C449" s="21"/>
      <c r="D449" s="22"/>
      <c r="E449" s="22"/>
      <c r="F449" s="22"/>
      <c r="G449" s="84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9.5" customHeight="1" x14ac:dyDescent="0.55000000000000004">
      <c r="A450" s="21"/>
      <c r="B450" s="21"/>
      <c r="C450" s="21"/>
      <c r="D450" s="22"/>
      <c r="E450" s="22"/>
      <c r="F450" s="22"/>
      <c r="G450" s="84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9.5" customHeight="1" x14ac:dyDescent="0.55000000000000004">
      <c r="A451" s="21"/>
      <c r="B451" s="21"/>
      <c r="C451" s="21"/>
      <c r="D451" s="22"/>
      <c r="E451" s="22"/>
      <c r="F451" s="22"/>
      <c r="G451" s="84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9.5" customHeight="1" x14ac:dyDescent="0.55000000000000004">
      <c r="A452" s="21"/>
      <c r="B452" s="21"/>
      <c r="C452" s="21"/>
      <c r="D452" s="22"/>
      <c r="E452" s="22"/>
      <c r="F452" s="22"/>
      <c r="G452" s="84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9.5" customHeight="1" x14ac:dyDescent="0.55000000000000004">
      <c r="A453" s="21"/>
      <c r="B453" s="21"/>
      <c r="C453" s="21"/>
      <c r="D453" s="22"/>
      <c r="E453" s="22"/>
      <c r="F453" s="22"/>
      <c r="G453" s="84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9.5" customHeight="1" x14ac:dyDescent="0.55000000000000004">
      <c r="A454" s="21"/>
      <c r="B454" s="21"/>
      <c r="C454" s="21"/>
      <c r="D454" s="22"/>
      <c r="E454" s="22"/>
      <c r="F454" s="22"/>
      <c r="G454" s="84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9.5" customHeight="1" x14ac:dyDescent="0.55000000000000004">
      <c r="A455" s="21"/>
      <c r="B455" s="21"/>
      <c r="C455" s="21"/>
      <c r="D455" s="22"/>
      <c r="E455" s="22"/>
      <c r="F455" s="22"/>
      <c r="G455" s="84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9.5" customHeight="1" x14ac:dyDescent="0.55000000000000004">
      <c r="A456" s="21"/>
      <c r="B456" s="21"/>
      <c r="C456" s="21"/>
      <c r="D456" s="22"/>
      <c r="E456" s="22"/>
      <c r="F456" s="22"/>
      <c r="G456" s="84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9.5" customHeight="1" x14ac:dyDescent="0.55000000000000004">
      <c r="A457" s="21"/>
      <c r="B457" s="21"/>
      <c r="C457" s="21"/>
      <c r="D457" s="22"/>
      <c r="E457" s="22"/>
      <c r="F457" s="22"/>
      <c r="G457" s="84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9.5" customHeight="1" x14ac:dyDescent="0.55000000000000004">
      <c r="A458" s="21"/>
      <c r="B458" s="21"/>
      <c r="C458" s="21"/>
      <c r="D458" s="22"/>
      <c r="E458" s="22"/>
      <c r="F458" s="22"/>
      <c r="G458" s="84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9.5" customHeight="1" x14ac:dyDescent="0.55000000000000004">
      <c r="A459" s="21"/>
      <c r="B459" s="21"/>
      <c r="C459" s="21"/>
      <c r="D459" s="22"/>
      <c r="E459" s="22"/>
      <c r="F459" s="22"/>
      <c r="G459" s="84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9.5" customHeight="1" x14ac:dyDescent="0.55000000000000004">
      <c r="A460" s="21"/>
      <c r="B460" s="21"/>
      <c r="C460" s="21"/>
      <c r="D460" s="22"/>
      <c r="E460" s="22"/>
      <c r="F460" s="22"/>
      <c r="G460" s="84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9.5" customHeight="1" x14ac:dyDescent="0.55000000000000004">
      <c r="A461" s="21"/>
      <c r="B461" s="21"/>
      <c r="C461" s="21"/>
      <c r="D461" s="22"/>
      <c r="E461" s="22"/>
      <c r="F461" s="22"/>
      <c r="G461" s="84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9.5" customHeight="1" x14ac:dyDescent="0.55000000000000004">
      <c r="A462" s="21"/>
      <c r="B462" s="21"/>
      <c r="C462" s="21"/>
      <c r="D462" s="22"/>
      <c r="E462" s="22"/>
      <c r="F462" s="22"/>
      <c r="G462" s="84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9.5" customHeight="1" x14ac:dyDescent="0.55000000000000004">
      <c r="A463" s="21"/>
      <c r="B463" s="21"/>
      <c r="C463" s="21"/>
      <c r="D463" s="22"/>
      <c r="E463" s="22"/>
      <c r="F463" s="22"/>
      <c r="G463" s="84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9.5" customHeight="1" x14ac:dyDescent="0.55000000000000004">
      <c r="A464" s="21"/>
      <c r="B464" s="21"/>
      <c r="C464" s="21"/>
      <c r="D464" s="22"/>
      <c r="E464" s="22"/>
      <c r="F464" s="22"/>
      <c r="G464" s="84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9.5" customHeight="1" x14ac:dyDescent="0.55000000000000004">
      <c r="A465" s="21"/>
      <c r="B465" s="21"/>
      <c r="C465" s="21"/>
      <c r="D465" s="22"/>
      <c r="E465" s="22"/>
      <c r="F465" s="22"/>
      <c r="G465" s="84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9.5" customHeight="1" x14ac:dyDescent="0.55000000000000004">
      <c r="A466" s="21"/>
      <c r="B466" s="21"/>
      <c r="C466" s="21"/>
      <c r="D466" s="22"/>
      <c r="E466" s="22"/>
      <c r="F466" s="22"/>
      <c r="G466" s="84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9.5" customHeight="1" x14ac:dyDescent="0.55000000000000004">
      <c r="A467" s="21"/>
      <c r="B467" s="21"/>
      <c r="C467" s="21"/>
      <c r="D467" s="22"/>
      <c r="E467" s="22"/>
      <c r="F467" s="22"/>
      <c r="G467" s="84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9.5" customHeight="1" x14ac:dyDescent="0.55000000000000004">
      <c r="A468" s="21"/>
      <c r="B468" s="21"/>
      <c r="C468" s="21"/>
      <c r="D468" s="22"/>
      <c r="E468" s="22"/>
      <c r="F468" s="22"/>
      <c r="G468" s="84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9.5" customHeight="1" x14ac:dyDescent="0.55000000000000004">
      <c r="A469" s="21"/>
      <c r="B469" s="21"/>
      <c r="C469" s="21"/>
      <c r="D469" s="22"/>
      <c r="E469" s="22"/>
      <c r="F469" s="22"/>
      <c r="G469" s="84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9.5" customHeight="1" x14ac:dyDescent="0.55000000000000004">
      <c r="A470" s="21"/>
      <c r="B470" s="21"/>
      <c r="C470" s="21"/>
      <c r="D470" s="22"/>
      <c r="E470" s="22"/>
      <c r="F470" s="22"/>
      <c r="G470" s="84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9.5" customHeight="1" x14ac:dyDescent="0.55000000000000004">
      <c r="A471" s="21"/>
      <c r="B471" s="21"/>
      <c r="C471" s="21"/>
      <c r="D471" s="22"/>
      <c r="E471" s="22"/>
      <c r="F471" s="22"/>
      <c r="G471" s="84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9.5" customHeight="1" x14ac:dyDescent="0.55000000000000004">
      <c r="A472" s="21"/>
      <c r="B472" s="21"/>
      <c r="C472" s="21"/>
      <c r="D472" s="22"/>
      <c r="E472" s="22"/>
      <c r="F472" s="22"/>
      <c r="G472" s="84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9.5" customHeight="1" x14ac:dyDescent="0.55000000000000004">
      <c r="A473" s="21"/>
      <c r="B473" s="21"/>
      <c r="C473" s="21"/>
      <c r="D473" s="22"/>
      <c r="E473" s="22"/>
      <c r="F473" s="22"/>
      <c r="G473" s="84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9.5" customHeight="1" x14ac:dyDescent="0.55000000000000004">
      <c r="A474" s="21"/>
      <c r="B474" s="21"/>
      <c r="C474" s="21"/>
      <c r="D474" s="22"/>
      <c r="E474" s="22"/>
      <c r="F474" s="22"/>
      <c r="G474" s="84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9.5" customHeight="1" x14ac:dyDescent="0.55000000000000004">
      <c r="A475" s="21"/>
      <c r="B475" s="21"/>
      <c r="C475" s="21"/>
      <c r="D475" s="22"/>
      <c r="E475" s="22"/>
      <c r="F475" s="22"/>
      <c r="G475" s="84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9.5" customHeight="1" x14ac:dyDescent="0.55000000000000004">
      <c r="A476" s="21"/>
      <c r="B476" s="21"/>
      <c r="C476" s="21"/>
      <c r="D476" s="22"/>
      <c r="E476" s="22"/>
      <c r="F476" s="22"/>
      <c r="G476" s="84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9.5" customHeight="1" x14ac:dyDescent="0.55000000000000004">
      <c r="A477" s="21"/>
      <c r="B477" s="21"/>
      <c r="C477" s="21"/>
      <c r="D477" s="22"/>
      <c r="E477" s="22"/>
      <c r="F477" s="22"/>
      <c r="G477" s="84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9.5" customHeight="1" x14ac:dyDescent="0.55000000000000004">
      <c r="A478" s="21"/>
      <c r="B478" s="21"/>
      <c r="C478" s="21"/>
      <c r="D478" s="22"/>
      <c r="E478" s="22"/>
      <c r="F478" s="22"/>
      <c r="G478" s="84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9.5" customHeight="1" x14ac:dyDescent="0.55000000000000004">
      <c r="A479" s="21"/>
      <c r="B479" s="21"/>
      <c r="C479" s="21"/>
      <c r="D479" s="22"/>
      <c r="E479" s="22"/>
      <c r="F479" s="22"/>
      <c r="G479" s="84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9.5" customHeight="1" x14ac:dyDescent="0.55000000000000004">
      <c r="A480" s="21"/>
      <c r="B480" s="21"/>
      <c r="C480" s="21"/>
      <c r="D480" s="22"/>
      <c r="E480" s="22"/>
      <c r="F480" s="22"/>
      <c r="G480" s="84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9.5" customHeight="1" x14ac:dyDescent="0.55000000000000004">
      <c r="A481" s="21"/>
      <c r="B481" s="21"/>
      <c r="C481" s="21"/>
      <c r="D481" s="22"/>
      <c r="E481" s="22"/>
      <c r="F481" s="22"/>
      <c r="G481" s="84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9.5" customHeight="1" x14ac:dyDescent="0.55000000000000004">
      <c r="A482" s="21"/>
      <c r="B482" s="21"/>
      <c r="C482" s="21"/>
      <c r="D482" s="22"/>
      <c r="E482" s="22"/>
      <c r="F482" s="22"/>
      <c r="G482" s="84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9.5" customHeight="1" x14ac:dyDescent="0.55000000000000004">
      <c r="A483" s="21"/>
      <c r="B483" s="21"/>
      <c r="C483" s="21"/>
      <c r="D483" s="22"/>
      <c r="E483" s="22"/>
      <c r="F483" s="22"/>
      <c r="G483" s="84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9.5" customHeight="1" x14ac:dyDescent="0.55000000000000004">
      <c r="A484" s="21"/>
      <c r="B484" s="21"/>
      <c r="C484" s="21"/>
      <c r="D484" s="22"/>
      <c r="E484" s="22"/>
      <c r="F484" s="22"/>
      <c r="G484" s="84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9.5" customHeight="1" x14ac:dyDescent="0.55000000000000004">
      <c r="A485" s="21"/>
      <c r="B485" s="21"/>
      <c r="C485" s="21"/>
      <c r="D485" s="22"/>
      <c r="E485" s="22"/>
      <c r="F485" s="22"/>
      <c r="G485" s="84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9.5" customHeight="1" x14ac:dyDescent="0.55000000000000004">
      <c r="A486" s="21"/>
      <c r="B486" s="21"/>
      <c r="C486" s="21"/>
      <c r="D486" s="22"/>
      <c r="E486" s="22"/>
      <c r="F486" s="22"/>
      <c r="G486" s="84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9.5" customHeight="1" x14ac:dyDescent="0.55000000000000004">
      <c r="A487" s="21"/>
      <c r="B487" s="21"/>
      <c r="C487" s="21"/>
      <c r="D487" s="22"/>
      <c r="E487" s="22"/>
      <c r="F487" s="22"/>
      <c r="G487" s="84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9.5" customHeight="1" x14ac:dyDescent="0.55000000000000004">
      <c r="A488" s="21"/>
      <c r="B488" s="21"/>
      <c r="C488" s="21"/>
      <c r="D488" s="22"/>
      <c r="E488" s="22"/>
      <c r="F488" s="22"/>
      <c r="G488" s="84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9.5" customHeight="1" x14ac:dyDescent="0.55000000000000004">
      <c r="A489" s="21"/>
      <c r="B489" s="21"/>
      <c r="C489" s="21"/>
      <c r="D489" s="22"/>
      <c r="E489" s="22"/>
      <c r="F489" s="22"/>
      <c r="G489" s="84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9.5" customHeight="1" x14ac:dyDescent="0.55000000000000004">
      <c r="A490" s="21"/>
      <c r="B490" s="21"/>
      <c r="C490" s="21"/>
      <c r="D490" s="22"/>
      <c r="E490" s="22"/>
      <c r="F490" s="22"/>
      <c r="G490" s="84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9.5" customHeight="1" x14ac:dyDescent="0.55000000000000004">
      <c r="A491" s="21"/>
      <c r="B491" s="21"/>
      <c r="C491" s="21"/>
      <c r="D491" s="22"/>
      <c r="E491" s="22"/>
      <c r="F491" s="22"/>
      <c r="G491" s="84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9.5" customHeight="1" x14ac:dyDescent="0.55000000000000004">
      <c r="A492" s="21"/>
      <c r="B492" s="21"/>
      <c r="C492" s="21"/>
      <c r="D492" s="22"/>
      <c r="E492" s="22"/>
      <c r="F492" s="22"/>
      <c r="G492" s="84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9.5" customHeight="1" x14ac:dyDescent="0.55000000000000004">
      <c r="A493" s="21"/>
      <c r="B493" s="21"/>
      <c r="C493" s="21"/>
      <c r="D493" s="22"/>
      <c r="E493" s="22"/>
      <c r="F493" s="22"/>
      <c r="G493" s="84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9.5" customHeight="1" x14ac:dyDescent="0.55000000000000004">
      <c r="A494" s="21"/>
      <c r="B494" s="21"/>
      <c r="C494" s="21"/>
      <c r="D494" s="22"/>
      <c r="E494" s="22"/>
      <c r="F494" s="22"/>
      <c r="G494" s="84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9.5" customHeight="1" x14ac:dyDescent="0.55000000000000004">
      <c r="A495" s="21"/>
      <c r="B495" s="21"/>
      <c r="C495" s="21"/>
      <c r="D495" s="22"/>
      <c r="E495" s="22"/>
      <c r="F495" s="22"/>
      <c r="G495" s="84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9.5" customHeight="1" x14ac:dyDescent="0.55000000000000004">
      <c r="A496" s="21"/>
      <c r="B496" s="21"/>
      <c r="C496" s="21"/>
      <c r="D496" s="22"/>
      <c r="E496" s="22"/>
      <c r="F496" s="22"/>
      <c r="G496" s="84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9.5" customHeight="1" x14ac:dyDescent="0.55000000000000004">
      <c r="A497" s="21"/>
      <c r="B497" s="21"/>
      <c r="C497" s="21"/>
      <c r="D497" s="22"/>
      <c r="E497" s="22"/>
      <c r="F497" s="22"/>
      <c r="G497" s="84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9.5" customHeight="1" x14ac:dyDescent="0.55000000000000004">
      <c r="A498" s="21"/>
      <c r="B498" s="21"/>
      <c r="C498" s="21"/>
      <c r="D498" s="22"/>
      <c r="E498" s="22"/>
      <c r="F498" s="22"/>
      <c r="G498" s="84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9.5" customHeight="1" x14ac:dyDescent="0.55000000000000004">
      <c r="A499" s="21"/>
      <c r="B499" s="21"/>
      <c r="C499" s="21"/>
      <c r="D499" s="22"/>
      <c r="E499" s="22"/>
      <c r="F499" s="22"/>
      <c r="G499" s="84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9.5" customHeight="1" x14ac:dyDescent="0.55000000000000004">
      <c r="A500" s="21"/>
      <c r="B500" s="21"/>
      <c r="C500" s="21"/>
      <c r="D500" s="22"/>
      <c r="E500" s="22"/>
      <c r="F500" s="22"/>
      <c r="G500" s="84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9.5" customHeight="1" x14ac:dyDescent="0.55000000000000004">
      <c r="A501" s="21"/>
      <c r="B501" s="21"/>
      <c r="C501" s="21"/>
      <c r="D501" s="22"/>
      <c r="E501" s="22"/>
      <c r="F501" s="22"/>
      <c r="G501" s="84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9.5" customHeight="1" x14ac:dyDescent="0.55000000000000004">
      <c r="A502" s="21"/>
      <c r="B502" s="21"/>
      <c r="C502" s="21"/>
      <c r="D502" s="22"/>
      <c r="E502" s="22"/>
      <c r="F502" s="22"/>
      <c r="G502" s="84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9.5" customHeight="1" x14ac:dyDescent="0.55000000000000004">
      <c r="A503" s="21"/>
      <c r="B503" s="21"/>
      <c r="C503" s="21"/>
      <c r="D503" s="22"/>
      <c r="E503" s="22"/>
      <c r="F503" s="22"/>
      <c r="G503" s="84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9.5" customHeight="1" x14ac:dyDescent="0.55000000000000004">
      <c r="A504" s="21"/>
      <c r="B504" s="21"/>
      <c r="C504" s="21"/>
      <c r="D504" s="22"/>
      <c r="E504" s="22"/>
      <c r="F504" s="22"/>
      <c r="G504" s="84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9.5" customHeight="1" x14ac:dyDescent="0.55000000000000004">
      <c r="A505" s="21"/>
      <c r="B505" s="21"/>
      <c r="C505" s="21"/>
      <c r="D505" s="22"/>
      <c r="E505" s="22"/>
      <c r="F505" s="22"/>
      <c r="G505" s="84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9.5" customHeight="1" x14ac:dyDescent="0.55000000000000004">
      <c r="A506" s="21"/>
      <c r="B506" s="21"/>
      <c r="C506" s="21"/>
      <c r="D506" s="22"/>
      <c r="E506" s="22"/>
      <c r="F506" s="22"/>
      <c r="G506" s="84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9.5" customHeight="1" x14ac:dyDescent="0.55000000000000004">
      <c r="A507" s="21"/>
      <c r="B507" s="21"/>
      <c r="C507" s="21"/>
      <c r="D507" s="22"/>
      <c r="E507" s="22"/>
      <c r="F507" s="22"/>
      <c r="G507" s="84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9.5" customHeight="1" x14ac:dyDescent="0.55000000000000004">
      <c r="A508" s="21"/>
      <c r="B508" s="21"/>
      <c r="C508" s="21"/>
      <c r="D508" s="22"/>
      <c r="E508" s="22"/>
      <c r="F508" s="22"/>
      <c r="G508" s="84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9.5" customHeight="1" x14ac:dyDescent="0.55000000000000004">
      <c r="A509" s="21"/>
      <c r="B509" s="21"/>
      <c r="C509" s="21"/>
      <c r="D509" s="22"/>
      <c r="E509" s="22"/>
      <c r="F509" s="22"/>
      <c r="G509" s="84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9.5" customHeight="1" x14ac:dyDescent="0.55000000000000004">
      <c r="A510" s="21"/>
      <c r="B510" s="21"/>
      <c r="C510" s="21"/>
      <c r="D510" s="22"/>
      <c r="E510" s="22"/>
      <c r="F510" s="22"/>
      <c r="G510" s="84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9.5" customHeight="1" x14ac:dyDescent="0.55000000000000004">
      <c r="A511" s="21"/>
      <c r="B511" s="21"/>
      <c r="C511" s="21"/>
      <c r="D511" s="22"/>
      <c r="E511" s="22"/>
      <c r="F511" s="22"/>
      <c r="G511" s="84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9.5" customHeight="1" x14ac:dyDescent="0.55000000000000004">
      <c r="A512" s="21"/>
      <c r="B512" s="21"/>
      <c r="C512" s="21"/>
      <c r="D512" s="22"/>
      <c r="E512" s="22"/>
      <c r="F512" s="22"/>
      <c r="G512" s="84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9.5" customHeight="1" x14ac:dyDescent="0.55000000000000004">
      <c r="A513" s="21"/>
      <c r="B513" s="21"/>
      <c r="C513" s="21"/>
      <c r="D513" s="22"/>
      <c r="E513" s="22"/>
      <c r="F513" s="22"/>
      <c r="G513" s="84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9.5" customHeight="1" x14ac:dyDescent="0.55000000000000004">
      <c r="A514" s="21"/>
      <c r="B514" s="21"/>
      <c r="C514" s="21"/>
      <c r="D514" s="22"/>
      <c r="E514" s="22"/>
      <c r="F514" s="22"/>
      <c r="G514" s="84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9.5" customHeight="1" x14ac:dyDescent="0.55000000000000004">
      <c r="A515" s="21"/>
      <c r="B515" s="21"/>
      <c r="C515" s="21"/>
      <c r="D515" s="22"/>
      <c r="E515" s="22"/>
      <c r="F515" s="22"/>
      <c r="G515" s="84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9.5" customHeight="1" x14ac:dyDescent="0.55000000000000004">
      <c r="A516" s="21"/>
      <c r="B516" s="21"/>
      <c r="C516" s="21"/>
      <c r="D516" s="22"/>
      <c r="E516" s="22"/>
      <c r="F516" s="22"/>
      <c r="G516" s="84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9.5" customHeight="1" x14ac:dyDescent="0.55000000000000004">
      <c r="A517" s="21"/>
      <c r="B517" s="21"/>
      <c r="C517" s="21"/>
      <c r="D517" s="22"/>
      <c r="E517" s="22"/>
      <c r="F517" s="22"/>
      <c r="G517" s="84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9.5" customHeight="1" x14ac:dyDescent="0.55000000000000004">
      <c r="A518" s="21"/>
      <c r="B518" s="21"/>
      <c r="C518" s="21"/>
      <c r="D518" s="22"/>
      <c r="E518" s="22"/>
      <c r="F518" s="22"/>
      <c r="G518" s="84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9.5" customHeight="1" x14ac:dyDescent="0.55000000000000004">
      <c r="A519" s="21"/>
      <c r="B519" s="21"/>
      <c r="C519" s="21"/>
      <c r="D519" s="22"/>
      <c r="E519" s="22"/>
      <c r="F519" s="22"/>
      <c r="G519" s="84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9.5" customHeight="1" x14ac:dyDescent="0.55000000000000004">
      <c r="A520" s="21"/>
      <c r="B520" s="21"/>
      <c r="C520" s="21"/>
      <c r="D520" s="22"/>
      <c r="E520" s="22"/>
      <c r="F520" s="22"/>
      <c r="G520" s="84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9.5" customHeight="1" x14ac:dyDescent="0.55000000000000004">
      <c r="A521" s="21"/>
      <c r="B521" s="21"/>
      <c r="C521" s="21"/>
      <c r="D521" s="22"/>
      <c r="E521" s="22"/>
      <c r="F521" s="22"/>
      <c r="G521" s="84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9.5" customHeight="1" x14ac:dyDescent="0.55000000000000004">
      <c r="A522" s="21"/>
      <c r="B522" s="21"/>
      <c r="C522" s="21"/>
      <c r="D522" s="22"/>
      <c r="E522" s="22"/>
      <c r="F522" s="22"/>
      <c r="G522" s="84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9.5" customHeight="1" x14ac:dyDescent="0.55000000000000004">
      <c r="A523" s="21"/>
      <c r="B523" s="21"/>
      <c r="C523" s="21"/>
      <c r="D523" s="22"/>
      <c r="E523" s="22"/>
      <c r="F523" s="22"/>
      <c r="G523" s="84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9.5" customHeight="1" x14ac:dyDescent="0.55000000000000004">
      <c r="A524" s="21"/>
      <c r="B524" s="21"/>
      <c r="C524" s="21"/>
      <c r="D524" s="22"/>
      <c r="E524" s="22"/>
      <c r="F524" s="22"/>
      <c r="G524" s="84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9.5" customHeight="1" x14ac:dyDescent="0.55000000000000004">
      <c r="A525" s="21"/>
      <c r="B525" s="21"/>
      <c r="C525" s="21"/>
      <c r="D525" s="22"/>
      <c r="E525" s="22"/>
      <c r="F525" s="22"/>
      <c r="G525" s="84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9.5" customHeight="1" x14ac:dyDescent="0.55000000000000004">
      <c r="A526" s="21"/>
      <c r="B526" s="21"/>
      <c r="C526" s="21"/>
      <c r="D526" s="22"/>
      <c r="E526" s="22"/>
      <c r="F526" s="22"/>
      <c r="G526" s="84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9.5" customHeight="1" x14ac:dyDescent="0.55000000000000004">
      <c r="A527" s="21"/>
      <c r="B527" s="21"/>
      <c r="C527" s="21"/>
      <c r="D527" s="22"/>
      <c r="E527" s="22"/>
      <c r="F527" s="22"/>
      <c r="G527" s="84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9.5" customHeight="1" x14ac:dyDescent="0.55000000000000004">
      <c r="A528" s="21"/>
      <c r="B528" s="21"/>
      <c r="C528" s="21"/>
      <c r="D528" s="22"/>
      <c r="E528" s="22"/>
      <c r="F528" s="22"/>
      <c r="G528" s="84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9.5" customHeight="1" x14ac:dyDescent="0.55000000000000004">
      <c r="A529" s="21"/>
      <c r="B529" s="21"/>
      <c r="C529" s="21"/>
      <c r="D529" s="22"/>
      <c r="E529" s="22"/>
      <c r="F529" s="22"/>
      <c r="G529" s="84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9.5" customHeight="1" x14ac:dyDescent="0.55000000000000004">
      <c r="A530" s="21"/>
      <c r="B530" s="21"/>
      <c r="C530" s="21"/>
      <c r="D530" s="22"/>
      <c r="E530" s="22"/>
      <c r="F530" s="22"/>
      <c r="G530" s="84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9.5" customHeight="1" x14ac:dyDescent="0.55000000000000004">
      <c r="A531" s="21"/>
      <c r="B531" s="21"/>
      <c r="C531" s="21"/>
      <c r="D531" s="22"/>
      <c r="E531" s="22"/>
      <c r="F531" s="22"/>
      <c r="G531" s="84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9.5" customHeight="1" x14ac:dyDescent="0.55000000000000004">
      <c r="A532" s="21"/>
      <c r="B532" s="21"/>
      <c r="C532" s="21"/>
      <c r="D532" s="22"/>
      <c r="E532" s="22"/>
      <c r="F532" s="22"/>
      <c r="G532" s="84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9.5" customHeight="1" x14ac:dyDescent="0.55000000000000004">
      <c r="A533" s="21"/>
      <c r="B533" s="21"/>
      <c r="C533" s="21"/>
      <c r="D533" s="22"/>
      <c r="E533" s="22"/>
      <c r="F533" s="22"/>
      <c r="G533" s="84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9.5" customHeight="1" x14ac:dyDescent="0.55000000000000004">
      <c r="A534" s="21"/>
      <c r="B534" s="21"/>
      <c r="C534" s="21"/>
      <c r="D534" s="22"/>
      <c r="E534" s="22"/>
      <c r="F534" s="22"/>
      <c r="G534" s="84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9.5" customHeight="1" x14ac:dyDescent="0.55000000000000004">
      <c r="A535" s="21"/>
      <c r="B535" s="21"/>
      <c r="C535" s="21"/>
      <c r="D535" s="22"/>
      <c r="E535" s="22"/>
      <c r="F535" s="22"/>
      <c r="G535" s="84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9.5" customHeight="1" x14ac:dyDescent="0.55000000000000004">
      <c r="A536" s="21"/>
      <c r="B536" s="21"/>
      <c r="C536" s="21"/>
      <c r="D536" s="22"/>
      <c r="E536" s="22"/>
      <c r="F536" s="22"/>
      <c r="G536" s="84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9.5" customHeight="1" x14ac:dyDescent="0.55000000000000004">
      <c r="A537" s="21"/>
      <c r="B537" s="21"/>
      <c r="C537" s="21"/>
      <c r="D537" s="22"/>
      <c r="E537" s="22"/>
      <c r="F537" s="22"/>
      <c r="G537" s="84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9.5" customHeight="1" x14ac:dyDescent="0.55000000000000004">
      <c r="A538" s="21"/>
      <c r="B538" s="21"/>
      <c r="C538" s="21"/>
      <c r="D538" s="22"/>
      <c r="E538" s="22"/>
      <c r="F538" s="22"/>
      <c r="G538" s="84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9.5" customHeight="1" x14ac:dyDescent="0.55000000000000004">
      <c r="A539" s="21"/>
      <c r="B539" s="21"/>
      <c r="C539" s="21"/>
      <c r="D539" s="22"/>
      <c r="E539" s="22"/>
      <c r="F539" s="22"/>
      <c r="G539" s="84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9.5" customHeight="1" x14ac:dyDescent="0.55000000000000004">
      <c r="A540" s="21"/>
      <c r="B540" s="21"/>
      <c r="C540" s="21"/>
      <c r="D540" s="22"/>
      <c r="E540" s="22"/>
      <c r="F540" s="22"/>
      <c r="G540" s="84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9.5" customHeight="1" x14ac:dyDescent="0.55000000000000004">
      <c r="A541" s="21"/>
      <c r="B541" s="21"/>
      <c r="C541" s="21"/>
      <c r="D541" s="22"/>
      <c r="E541" s="22"/>
      <c r="F541" s="22"/>
      <c r="G541" s="84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9.5" customHeight="1" x14ac:dyDescent="0.55000000000000004">
      <c r="A542" s="21"/>
      <c r="B542" s="21"/>
      <c r="C542" s="21"/>
      <c r="D542" s="22"/>
      <c r="E542" s="22"/>
      <c r="F542" s="22"/>
      <c r="G542" s="84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9.5" customHeight="1" x14ac:dyDescent="0.55000000000000004">
      <c r="A543" s="21"/>
      <c r="B543" s="21"/>
      <c r="C543" s="21"/>
      <c r="D543" s="22"/>
      <c r="E543" s="22"/>
      <c r="F543" s="22"/>
      <c r="G543" s="84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9.5" customHeight="1" x14ac:dyDescent="0.55000000000000004">
      <c r="A544" s="21"/>
      <c r="B544" s="21"/>
      <c r="C544" s="21"/>
      <c r="D544" s="22"/>
      <c r="E544" s="22"/>
      <c r="F544" s="22"/>
      <c r="G544" s="84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9.5" customHeight="1" x14ac:dyDescent="0.55000000000000004">
      <c r="A545" s="21"/>
      <c r="B545" s="21"/>
      <c r="C545" s="21"/>
      <c r="D545" s="22"/>
      <c r="E545" s="22"/>
      <c r="F545" s="22"/>
      <c r="G545" s="84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9.5" customHeight="1" x14ac:dyDescent="0.55000000000000004">
      <c r="A546" s="21"/>
      <c r="B546" s="21"/>
      <c r="C546" s="21"/>
      <c r="D546" s="22"/>
      <c r="E546" s="22"/>
      <c r="F546" s="22"/>
      <c r="G546" s="84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9.5" customHeight="1" x14ac:dyDescent="0.55000000000000004">
      <c r="A547" s="21"/>
      <c r="B547" s="21"/>
      <c r="C547" s="21"/>
      <c r="D547" s="22"/>
      <c r="E547" s="22"/>
      <c r="F547" s="22"/>
      <c r="G547" s="84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9.5" customHeight="1" x14ac:dyDescent="0.55000000000000004">
      <c r="A548" s="21"/>
      <c r="B548" s="21"/>
      <c r="C548" s="21"/>
      <c r="D548" s="22"/>
      <c r="E548" s="22"/>
      <c r="F548" s="22"/>
      <c r="G548" s="84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9.5" customHeight="1" x14ac:dyDescent="0.55000000000000004">
      <c r="A549" s="21"/>
      <c r="B549" s="21"/>
      <c r="C549" s="21"/>
      <c r="D549" s="22"/>
      <c r="E549" s="22"/>
      <c r="F549" s="22"/>
      <c r="G549" s="84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9.5" customHeight="1" x14ac:dyDescent="0.55000000000000004">
      <c r="A550" s="21"/>
      <c r="B550" s="21"/>
      <c r="C550" s="21"/>
      <c r="D550" s="22"/>
      <c r="E550" s="22"/>
      <c r="F550" s="22"/>
      <c r="G550" s="84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9.5" customHeight="1" x14ac:dyDescent="0.55000000000000004">
      <c r="A551" s="21"/>
      <c r="B551" s="21"/>
      <c r="C551" s="21"/>
      <c r="D551" s="22"/>
      <c r="E551" s="22"/>
      <c r="F551" s="22"/>
      <c r="G551" s="84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9.5" customHeight="1" x14ac:dyDescent="0.55000000000000004">
      <c r="A552" s="21"/>
      <c r="B552" s="21"/>
      <c r="C552" s="21"/>
      <c r="D552" s="22"/>
      <c r="E552" s="22"/>
      <c r="F552" s="22"/>
      <c r="G552" s="84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9.5" customHeight="1" x14ac:dyDescent="0.55000000000000004">
      <c r="A553" s="21"/>
      <c r="B553" s="21"/>
      <c r="C553" s="21"/>
      <c r="D553" s="22"/>
      <c r="E553" s="22"/>
      <c r="F553" s="22"/>
      <c r="G553" s="84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9.5" customHeight="1" x14ac:dyDescent="0.55000000000000004">
      <c r="A554" s="21"/>
      <c r="B554" s="21"/>
      <c r="C554" s="21"/>
      <c r="D554" s="22"/>
      <c r="E554" s="22"/>
      <c r="F554" s="22"/>
      <c r="G554" s="84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9.5" customHeight="1" x14ac:dyDescent="0.55000000000000004">
      <c r="A555" s="21"/>
      <c r="B555" s="21"/>
      <c r="C555" s="21"/>
      <c r="D555" s="22"/>
      <c r="E555" s="22"/>
      <c r="F555" s="22"/>
      <c r="G555" s="84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9.5" customHeight="1" x14ac:dyDescent="0.55000000000000004">
      <c r="A556" s="21"/>
      <c r="B556" s="21"/>
      <c r="C556" s="21"/>
      <c r="D556" s="22"/>
      <c r="E556" s="22"/>
      <c r="F556" s="22"/>
      <c r="G556" s="84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9.5" customHeight="1" x14ac:dyDescent="0.55000000000000004">
      <c r="A557" s="21"/>
      <c r="B557" s="21"/>
      <c r="C557" s="21"/>
      <c r="D557" s="22"/>
      <c r="E557" s="22"/>
      <c r="F557" s="22"/>
      <c r="G557" s="84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9.5" customHeight="1" x14ac:dyDescent="0.55000000000000004">
      <c r="A558" s="21"/>
      <c r="B558" s="21"/>
      <c r="C558" s="21"/>
      <c r="D558" s="22"/>
      <c r="E558" s="22"/>
      <c r="F558" s="22"/>
      <c r="G558" s="84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9.5" customHeight="1" x14ac:dyDescent="0.55000000000000004">
      <c r="A559" s="21"/>
      <c r="B559" s="21"/>
      <c r="C559" s="21"/>
      <c r="D559" s="22"/>
      <c r="E559" s="22"/>
      <c r="F559" s="22"/>
      <c r="G559" s="84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9.5" customHeight="1" x14ac:dyDescent="0.55000000000000004">
      <c r="A560" s="21"/>
      <c r="B560" s="21"/>
      <c r="C560" s="21"/>
      <c r="D560" s="22"/>
      <c r="E560" s="22"/>
      <c r="F560" s="22"/>
      <c r="G560" s="84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9.5" customHeight="1" x14ac:dyDescent="0.55000000000000004">
      <c r="A561" s="21"/>
      <c r="B561" s="21"/>
      <c r="C561" s="21"/>
      <c r="D561" s="22"/>
      <c r="E561" s="22"/>
      <c r="F561" s="22"/>
      <c r="G561" s="84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9.5" customHeight="1" x14ac:dyDescent="0.55000000000000004">
      <c r="A562" s="21"/>
      <c r="B562" s="21"/>
      <c r="C562" s="21"/>
      <c r="D562" s="22"/>
      <c r="E562" s="22"/>
      <c r="F562" s="22"/>
      <c r="G562" s="84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9.5" customHeight="1" x14ac:dyDescent="0.55000000000000004">
      <c r="A563" s="21"/>
      <c r="B563" s="21"/>
      <c r="C563" s="21"/>
      <c r="D563" s="22"/>
      <c r="E563" s="22"/>
      <c r="F563" s="22"/>
      <c r="G563" s="84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9.5" customHeight="1" x14ac:dyDescent="0.55000000000000004">
      <c r="A564" s="21"/>
      <c r="B564" s="21"/>
      <c r="C564" s="21"/>
      <c r="D564" s="22"/>
      <c r="E564" s="22"/>
      <c r="F564" s="22"/>
      <c r="G564" s="84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9.5" customHeight="1" x14ac:dyDescent="0.55000000000000004">
      <c r="A565" s="21"/>
      <c r="B565" s="21"/>
      <c r="C565" s="21"/>
      <c r="D565" s="22"/>
      <c r="E565" s="22"/>
      <c r="F565" s="22"/>
      <c r="G565" s="84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9.5" customHeight="1" x14ac:dyDescent="0.55000000000000004">
      <c r="A566" s="21"/>
      <c r="B566" s="21"/>
      <c r="C566" s="21"/>
      <c r="D566" s="22"/>
      <c r="E566" s="22"/>
      <c r="F566" s="22"/>
      <c r="G566" s="84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9.5" customHeight="1" x14ac:dyDescent="0.55000000000000004">
      <c r="A567" s="21"/>
      <c r="B567" s="21"/>
      <c r="C567" s="21"/>
      <c r="D567" s="22"/>
      <c r="E567" s="22"/>
      <c r="F567" s="22"/>
      <c r="G567" s="84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9.5" customHeight="1" x14ac:dyDescent="0.55000000000000004">
      <c r="A568" s="21"/>
      <c r="B568" s="21"/>
      <c r="C568" s="21"/>
      <c r="D568" s="22"/>
      <c r="E568" s="22"/>
      <c r="F568" s="22"/>
      <c r="G568" s="84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9.5" customHeight="1" x14ac:dyDescent="0.55000000000000004">
      <c r="A569" s="21"/>
      <c r="B569" s="21"/>
      <c r="C569" s="21"/>
      <c r="D569" s="22"/>
      <c r="E569" s="22"/>
      <c r="F569" s="22"/>
      <c r="G569" s="84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9.5" customHeight="1" x14ac:dyDescent="0.55000000000000004">
      <c r="A570" s="21"/>
      <c r="B570" s="21"/>
      <c r="C570" s="21"/>
      <c r="D570" s="22"/>
      <c r="E570" s="22"/>
      <c r="F570" s="22"/>
      <c r="G570" s="84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9.5" customHeight="1" x14ac:dyDescent="0.55000000000000004">
      <c r="A571" s="21"/>
      <c r="B571" s="21"/>
      <c r="C571" s="21"/>
      <c r="D571" s="22"/>
      <c r="E571" s="22"/>
      <c r="F571" s="22"/>
      <c r="G571" s="84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9.5" customHeight="1" x14ac:dyDescent="0.55000000000000004">
      <c r="A572" s="21"/>
      <c r="B572" s="21"/>
      <c r="C572" s="21"/>
      <c r="D572" s="22"/>
      <c r="E572" s="22"/>
      <c r="F572" s="22"/>
      <c r="G572" s="84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9.5" customHeight="1" x14ac:dyDescent="0.55000000000000004">
      <c r="A573" s="21"/>
      <c r="B573" s="21"/>
      <c r="C573" s="21"/>
      <c r="D573" s="22"/>
      <c r="E573" s="22"/>
      <c r="F573" s="22"/>
      <c r="G573" s="84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9.5" customHeight="1" x14ac:dyDescent="0.55000000000000004">
      <c r="A574" s="21"/>
      <c r="B574" s="21"/>
      <c r="C574" s="21"/>
      <c r="D574" s="22"/>
      <c r="E574" s="22"/>
      <c r="F574" s="22"/>
      <c r="G574" s="84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9.5" customHeight="1" x14ac:dyDescent="0.55000000000000004">
      <c r="A575" s="21"/>
      <c r="B575" s="21"/>
      <c r="C575" s="21"/>
      <c r="D575" s="22"/>
      <c r="E575" s="22"/>
      <c r="F575" s="22"/>
      <c r="G575" s="84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9.5" customHeight="1" x14ac:dyDescent="0.55000000000000004">
      <c r="A576" s="21"/>
      <c r="B576" s="21"/>
      <c r="C576" s="21"/>
      <c r="D576" s="22"/>
      <c r="E576" s="22"/>
      <c r="F576" s="22"/>
      <c r="G576" s="84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9.5" customHeight="1" x14ac:dyDescent="0.55000000000000004">
      <c r="A577" s="21"/>
      <c r="B577" s="21"/>
      <c r="C577" s="21"/>
      <c r="D577" s="22"/>
      <c r="E577" s="22"/>
      <c r="F577" s="22"/>
      <c r="G577" s="84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9.5" customHeight="1" x14ac:dyDescent="0.55000000000000004">
      <c r="A578" s="21"/>
      <c r="B578" s="21"/>
      <c r="C578" s="21"/>
      <c r="D578" s="22"/>
      <c r="E578" s="22"/>
      <c r="F578" s="22"/>
      <c r="G578" s="84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9.5" customHeight="1" x14ac:dyDescent="0.55000000000000004">
      <c r="A579" s="21"/>
      <c r="B579" s="21"/>
      <c r="C579" s="21"/>
      <c r="D579" s="22"/>
      <c r="E579" s="22"/>
      <c r="F579" s="22"/>
      <c r="G579" s="84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9.5" customHeight="1" x14ac:dyDescent="0.55000000000000004">
      <c r="A580" s="21"/>
      <c r="B580" s="21"/>
      <c r="C580" s="21"/>
      <c r="D580" s="22"/>
      <c r="E580" s="22"/>
      <c r="F580" s="22"/>
      <c r="G580" s="84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9.5" customHeight="1" x14ac:dyDescent="0.55000000000000004">
      <c r="A581" s="21"/>
      <c r="B581" s="21"/>
      <c r="C581" s="21"/>
      <c r="D581" s="22"/>
      <c r="E581" s="22"/>
      <c r="F581" s="22"/>
      <c r="G581" s="84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9.5" customHeight="1" x14ac:dyDescent="0.55000000000000004">
      <c r="A582" s="21"/>
      <c r="B582" s="21"/>
      <c r="C582" s="21"/>
      <c r="D582" s="22"/>
      <c r="E582" s="22"/>
      <c r="F582" s="22"/>
      <c r="G582" s="84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9.5" customHeight="1" x14ac:dyDescent="0.55000000000000004">
      <c r="A583" s="21"/>
      <c r="B583" s="21"/>
      <c r="C583" s="21"/>
      <c r="D583" s="22"/>
      <c r="E583" s="22"/>
      <c r="F583" s="22"/>
      <c r="G583" s="84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9.5" customHeight="1" x14ac:dyDescent="0.55000000000000004">
      <c r="A584" s="21"/>
      <c r="B584" s="21"/>
      <c r="C584" s="21"/>
      <c r="D584" s="22"/>
      <c r="E584" s="22"/>
      <c r="F584" s="22"/>
      <c r="G584" s="84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9.5" customHeight="1" x14ac:dyDescent="0.55000000000000004">
      <c r="A585" s="21"/>
      <c r="B585" s="21"/>
      <c r="C585" s="21"/>
      <c r="D585" s="22"/>
      <c r="E585" s="22"/>
      <c r="F585" s="22"/>
      <c r="G585" s="84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9.5" customHeight="1" x14ac:dyDescent="0.55000000000000004">
      <c r="A586" s="21"/>
      <c r="B586" s="21"/>
      <c r="C586" s="21"/>
      <c r="D586" s="22"/>
      <c r="E586" s="22"/>
      <c r="F586" s="22"/>
      <c r="G586" s="84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9.5" customHeight="1" x14ac:dyDescent="0.55000000000000004">
      <c r="A587" s="21"/>
      <c r="B587" s="21"/>
      <c r="C587" s="21"/>
      <c r="D587" s="22"/>
      <c r="E587" s="22"/>
      <c r="F587" s="22"/>
      <c r="G587" s="84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9.5" customHeight="1" x14ac:dyDescent="0.55000000000000004">
      <c r="A588" s="21"/>
      <c r="B588" s="21"/>
      <c r="C588" s="21"/>
      <c r="D588" s="22"/>
      <c r="E588" s="22"/>
      <c r="F588" s="22"/>
      <c r="G588" s="84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9.5" customHeight="1" x14ac:dyDescent="0.55000000000000004">
      <c r="A589" s="21"/>
      <c r="B589" s="21"/>
      <c r="C589" s="21"/>
      <c r="D589" s="22"/>
      <c r="E589" s="22"/>
      <c r="F589" s="22"/>
      <c r="G589" s="84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9.5" customHeight="1" x14ac:dyDescent="0.55000000000000004">
      <c r="A590" s="21"/>
      <c r="B590" s="21"/>
      <c r="C590" s="21"/>
      <c r="D590" s="22"/>
      <c r="E590" s="22"/>
      <c r="F590" s="22"/>
      <c r="G590" s="84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9.5" customHeight="1" x14ac:dyDescent="0.55000000000000004">
      <c r="A591" s="21"/>
      <c r="B591" s="21"/>
      <c r="C591" s="21"/>
      <c r="D591" s="22"/>
      <c r="E591" s="22"/>
      <c r="F591" s="22"/>
      <c r="G591" s="84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9.5" customHeight="1" x14ac:dyDescent="0.55000000000000004">
      <c r="A592" s="21"/>
      <c r="B592" s="21"/>
      <c r="C592" s="21"/>
      <c r="D592" s="22"/>
      <c r="E592" s="22"/>
      <c r="F592" s="22"/>
      <c r="G592" s="84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9.5" customHeight="1" x14ac:dyDescent="0.55000000000000004">
      <c r="A593" s="21"/>
      <c r="B593" s="21"/>
      <c r="C593" s="21"/>
      <c r="D593" s="22"/>
      <c r="E593" s="22"/>
      <c r="F593" s="22"/>
      <c r="G593" s="84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9.5" customHeight="1" x14ac:dyDescent="0.55000000000000004">
      <c r="A594" s="21"/>
      <c r="B594" s="21"/>
      <c r="C594" s="21"/>
      <c r="D594" s="22"/>
      <c r="E594" s="22"/>
      <c r="F594" s="22"/>
      <c r="G594" s="84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9.5" customHeight="1" x14ac:dyDescent="0.55000000000000004">
      <c r="A595" s="21"/>
      <c r="B595" s="21"/>
      <c r="C595" s="21"/>
      <c r="D595" s="22"/>
      <c r="E595" s="22"/>
      <c r="F595" s="22"/>
      <c r="G595" s="84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9.5" customHeight="1" x14ac:dyDescent="0.55000000000000004">
      <c r="A596" s="21"/>
      <c r="B596" s="21"/>
      <c r="C596" s="21"/>
      <c r="D596" s="22"/>
      <c r="E596" s="22"/>
      <c r="F596" s="22"/>
      <c r="G596" s="84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9.5" customHeight="1" x14ac:dyDescent="0.55000000000000004">
      <c r="A597" s="21"/>
      <c r="B597" s="21"/>
      <c r="C597" s="21"/>
      <c r="D597" s="22"/>
      <c r="E597" s="22"/>
      <c r="F597" s="22"/>
      <c r="G597" s="84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9.5" customHeight="1" x14ac:dyDescent="0.55000000000000004">
      <c r="A598" s="21"/>
      <c r="B598" s="21"/>
      <c r="C598" s="21"/>
      <c r="D598" s="22"/>
      <c r="E598" s="22"/>
      <c r="F598" s="22"/>
      <c r="G598" s="84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9.5" customHeight="1" x14ac:dyDescent="0.55000000000000004">
      <c r="A599" s="21"/>
      <c r="B599" s="21"/>
      <c r="C599" s="21"/>
      <c r="D599" s="22"/>
      <c r="E599" s="22"/>
      <c r="F599" s="22"/>
      <c r="G599" s="84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9.5" customHeight="1" x14ac:dyDescent="0.55000000000000004">
      <c r="A600" s="21"/>
      <c r="B600" s="21"/>
      <c r="C600" s="21"/>
      <c r="D600" s="22"/>
      <c r="E600" s="22"/>
      <c r="F600" s="22"/>
      <c r="G600" s="84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9.5" customHeight="1" x14ac:dyDescent="0.55000000000000004">
      <c r="A601" s="21"/>
      <c r="B601" s="21"/>
      <c r="C601" s="21"/>
      <c r="D601" s="22"/>
      <c r="E601" s="22"/>
      <c r="F601" s="22"/>
      <c r="G601" s="84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9.5" customHeight="1" x14ac:dyDescent="0.55000000000000004">
      <c r="A602" s="21"/>
      <c r="B602" s="21"/>
      <c r="C602" s="21"/>
      <c r="D602" s="22"/>
      <c r="E602" s="22"/>
      <c r="F602" s="22"/>
      <c r="G602" s="84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9.5" customHeight="1" x14ac:dyDescent="0.55000000000000004">
      <c r="A603" s="21"/>
      <c r="B603" s="21"/>
      <c r="C603" s="21"/>
      <c r="D603" s="22"/>
      <c r="E603" s="22"/>
      <c r="F603" s="22"/>
      <c r="G603" s="84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9.5" customHeight="1" x14ac:dyDescent="0.55000000000000004">
      <c r="A604" s="21"/>
      <c r="B604" s="21"/>
      <c r="C604" s="21"/>
      <c r="D604" s="22"/>
      <c r="E604" s="22"/>
      <c r="F604" s="22"/>
      <c r="G604" s="84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9.5" customHeight="1" x14ac:dyDescent="0.55000000000000004">
      <c r="A605" s="21"/>
      <c r="B605" s="21"/>
      <c r="C605" s="21"/>
      <c r="D605" s="22"/>
      <c r="E605" s="22"/>
      <c r="F605" s="22"/>
      <c r="G605" s="84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9.5" customHeight="1" x14ac:dyDescent="0.55000000000000004">
      <c r="A606" s="21"/>
      <c r="B606" s="21"/>
      <c r="C606" s="21"/>
      <c r="D606" s="22"/>
      <c r="E606" s="22"/>
      <c r="F606" s="22"/>
      <c r="G606" s="84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9.5" customHeight="1" x14ac:dyDescent="0.55000000000000004">
      <c r="A607" s="21"/>
      <c r="B607" s="21"/>
      <c r="C607" s="21"/>
      <c r="D607" s="22"/>
      <c r="E607" s="22"/>
      <c r="F607" s="22"/>
      <c r="G607" s="84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9.5" customHeight="1" x14ac:dyDescent="0.55000000000000004">
      <c r="A608" s="21"/>
      <c r="B608" s="21"/>
      <c r="C608" s="21"/>
      <c r="D608" s="22"/>
      <c r="E608" s="22"/>
      <c r="F608" s="22"/>
      <c r="G608" s="84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9.5" customHeight="1" x14ac:dyDescent="0.55000000000000004">
      <c r="A609" s="21"/>
      <c r="B609" s="21"/>
      <c r="C609" s="21"/>
      <c r="D609" s="22"/>
      <c r="E609" s="22"/>
      <c r="F609" s="22"/>
      <c r="G609" s="84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9.5" customHeight="1" x14ac:dyDescent="0.55000000000000004">
      <c r="A610" s="21"/>
      <c r="B610" s="21"/>
      <c r="C610" s="21"/>
      <c r="D610" s="22"/>
      <c r="E610" s="22"/>
      <c r="F610" s="22"/>
      <c r="G610" s="84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9.5" customHeight="1" x14ac:dyDescent="0.55000000000000004">
      <c r="A611" s="21"/>
      <c r="B611" s="21"/>
      <c r="C611" s="21"/>
      <c r="D611" s="22"/>
      <c r="E611" s="22"/>
      <c r="F611" s="22"/>
      <c r="G611" s="84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9.5" customHeight="1" x14ac:dyDescent="0.55000000000000004">
      <c r="A612" s="21"/>
      <c r="B612" s="21"/>
      <c r="C612" s="21"/>
      <c r="D612" s="22"/>
      <c r="E612" s="22"/>
      <c r="F612" s="22"/>
      <c r="G612" s="84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9.5" customHeight="1" x14ac:dyDescent="0.55000000000000004">
      <c r="A613" s="21"/>
      <c r="B613" s="21"/>
      <c r="C613" s="21"/>
      <c r="D613" s="22"/>
      <c r="E613" s="22"/>
      <c r="F613" s="22"/>
      <c r="G613" s="84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9.5" customHeight="1" x14ac:dyDescent="0.55000000000000004">
      <c r="A614" s="21"/>
      <c r="B614" s="21"/>
      <c r="C614" s="21"/>
      <c r="D614" s="22"/>
      <c r="E614" s="22"/>
      <c r="F614" s="22"/>
      <c r="G614" s="84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9.5" customHeight="1" x14ac:dyDescent="0.55000000000000004">
      <c r="A615" s="21"/>
      <c r="B615" s="21"/>
      <c r="C615" s="21"/>
      <c r="D615" s="22"/>
      <c r="E615" s="22"/>
      <c r="F615" s="22"/>
      <c r="G615" s="84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9.5" customHeight="1" x14ac:dyDescent="0.55000000000000004">
      <c r="A616" s="21"/>
      <c r="B616" s="21"/>
      <c r="C616" s="21"/>
      <c r="D616" s="22"/>
      <c r="E616" s="22"/>
      <c r="F616" s="22"/>
      <c r="G616" s="84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9.5" customHeight="1" x14ac:dyDescent="0.55000000000000004">
      <c r="A617" s="21"/>
      <c r="B617" s="21"/>
      <c r="C617" s="21"/>
      <c r="D617" s="22"/>
      <c r="E617" s="22"/>
      <c r="F617" s="22"/>
      <c r="G617" s="84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9.5" customHeight="1" x14ac:dyDescent="0.55000000000000004">
      <c r="A618" s="21"/>
      <c r="B618" s="21"/>
      <c r="C618" s="21"/>
      <c r="D618" s="22"/>
      <c r="E618" s="22"/>
      <c r="F618" s="22"/>
      <c r="G618" s="84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9.5" customHeight="1" x14ac:dyDescent="0.55000000000000004">
      <c r="A619" s="21"/>
      <c r="B619" s="21"/>
      <c r="C619" s="21"/>
      <c r="D619" s="22"/>
      <c r="E619" s="22"/>
      <c r="F619" s="22"/>
      <c r="G619" s="84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9.5" customHeight="1" x14ac:dyDescent="0.55000000000000004">
      <c r="A620" s="21"/>
      <c r="B620" s="21"/>
      <c r="C620" s="21"/>
      <c r="D620" s="22"/>
      <c r="E620" s="22"/>
      <c r="F620" s="22"/>
      <c r="G620" s="84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9.5" customHeight="1" x14ac:dyDescent="0.55000000000000004">
      <c r="A621" s="21"/>
      <c r="B621" s="21"/>
      <c r="C621" s="21"/>
      <c r="D621" s="22"/>
      <c r="E621" s="22"/>
      <c r="F621" s="22"/>
      <c r="G621" s="84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9.5" customHeight="1" x14ac:dyDescent="0.55000000000000004">
      <c r="A622" s="21"/>
      <c r="B622" s="21"/>
      <c r="C622" s="21"/>
      <c r="D622" s="22"/>
      <c r="E622" s="22"/>
      <c r="F622" s="22"/>
      <c r="G622" s="84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9.5" customHeight="1" x14ac:dyDescent="0.55000000000000004">
      <c r="A623" s="21"/>
      <c r="B623" s="21"/>
      <c r="C623" s="21"/>
      <c r="D623" s="22"/>
      <c r="E623" s="22"/>
      <c r="F623" s="22"/>
      <c r="G623" s="84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9.5" customHeight="1" x14ac:dyDescent="0.55000000000000004">
      <c r="A624" s="21"/>
      <c r="B624" s="21"/>
      <c r="C624" s="21"/>
      <c r="D624" s="22"/>
      <c r="E624" s="22"/>
      <c r="F624" s="22"/>
      <c r="G624" s="84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9.5" customHeight="1" x14ac:dyDescent="0.55000000000000004">
      <c r="A625" s="21"/>
      <c r="B625" s="21"/>
      <c r="C625" s="21"/>
      <c r="D625" s="22"/>
      <c r="E625" s="22"/>
      <c r="F625" s="22"/>
      <c r="G625" s="84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9.5" customHeight="1" x14ac:dyDescent="0.55000000000000004">
      <c r="A626" s="21"/>
      <c r="B626" s="21"/>
      <c r="C626" s="21"/>
      <c r="D626" s="22"/>
      <c r="E626" s="22"/>
      <c r="F626" s="22"/>
      <c r="G626" s="84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9.5" customHeight="1" x14ac:dyDescent="0.55000000000000004">
      <c r="A627" s="21"/>
      <c r="B627" s="21"/>
      <c r="C627" s="21"/>
      <c r="D627" s="22"/>
      <c r="E627" s="22"/>
      <c r="F627" s="22"/>
      <c r="G627" s="84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9.5" customHeight="1" x14ac:dyDescent="0.55000000000000004">
      <c r="A628" s="21"/>
      <c r="B628" s="21"/>
      <c r="C628" s="21"/>
      <c r="D628" s="22"/>
      <c r="E628" s="22"/>
      <c r="F628" s="22"/>
      <c r="G628" s="84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9.5" customHeight="1" x14ac:dyDescent="0.55000000000000004">
      <c r="A629" s="21"/>
      <c r="B629" s="21"/>
      <c r="C629" s="21"/>
      <c r="D629" s="22"/>
      <c r="E629" s="22"/>
      <c r="F629" s="22"/>
      <c r="G629" s="84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9.5" customHeight="1" x14ac:dyDescent="0.55000000000000004">
      <c r="A630" s="21"/>
      <c r="B630" s="21"/>
      <c r="C630" s="21"/>
      <c r="D630" s="22"/>
      <c r="E630" s="22"/>
      <c r="F630" s="22"/>
      <c r="G630" s="84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9.5" customHeight="1" x14ac:dyDescent="0.55000000000000004">
      <c r="A631" s="21"/>
      <c r="B631" s="21"/>
      <c r="C631" s="21"/>
      <c r="D631" s="22"/>
      <c r="E631" s="22"/>
      <c r="F631" s="22"/>
      <c r="G631" s="84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9.5" customHeight="1" x14ac:dyDescent="0.55000000000000004">
      <c r="A632" s="21"/>
      <c r="B632" s="21"/>
      <c r="C632" s="21"/>
      <c r="D632" s="22"/>
      <c r="E632" s="22"/>
      <c r="F632" s="22"/>
      <c r="G632" s="84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9.5" customHeight="1" x14ac:dyDescent="0.55000000000000004">
      <c r="A633" s="21"/>
      <c r="B633" s="21"/>
      <c r="C633" s="21"/>
      <c r="D633" s="22"/>
      <c r="E633" s="22"/>
      <c r="F633" s="22"/>
      <c r="G633" s="84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9.5" customHeight="1" x14ac:dyDescent="0.55000000000000004">
      <c r="A634" s="21"/>
      <c r="B634" s="21"/>
      <c r="C634" s="21"/>
      <c r="D634" s="22"/>
      <c r="E634" s="22"/>
      <c r="F634" s="22"/>
      <c r="G634" s="84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9.5" customHeight="1" x14ac:dyDescent="0.55000000000000004">
      <c r="A635" s="21"/>
      <c r="B635" s="21"/>
      <c r="C635" s="21"/>
      <c r="D635" s="22"/>
      <c r="E635" s="22"/>
      <c r="F635" s="22"/>
      <c r="G635" s="84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9.5" customHeight="1" x14ac:dyDescent="0.55000000000000004">
      <c r="A636" s="21"/>
      <c r="B636" s="21"/>
      <c r="C636" s="21"/>
      <c r="D636" s="22"/>
      <c r="E636" s="22"/>
      <c r="F636" s="22"/>
      <c r="G636" s="84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9.5" customHeight="1" x14ac:dyDescent="0.55000000000000004">
      <c r="A637" s="21"/>
      <c r="B637" s="21"/>
      <c r="C637" s="21"/>
      <c r="D637" s="22"/>
      <c r="E637" s="22"/>
      <c r="F637" s="22"/>
      <c r="G637" s="84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9.5" customHeight="1" x14ac:dyDescent="0.55000000000000004">
      <c r="A638" s="21"/>
      <c r="B638" s="21"/>
      <c r="C638" s="21"/>
      <c r="D638" s="22"/>
      <c r="E638" s="22"/>
      <c r="F638" s="22"/>
      <c r="G638" s="84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9.5" customHeight="1" x14ac:dyDescent="0.55000000000000004">
      <c r="A639" s="21"/>
      <c r="B639" s="21"/>
      <c r="C639" s="21"/>
      <c r="D639" s="22"/>
      <c r="E639" s="22"/>
      <c r="F639" s="22"/>
      <c r="G639" s="84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9.5" customHeight="1" x14ac:dyDescent="0.55000000000000004">
      <c r="A640" s="21"/>
      <c r="B640" s="21"/>
      <c r="C640" s="21"/>
      <c r="D640" s="22"/>
      <c r="E640" s="22"/>
      <c r="F640" s="22"/>
      <c r="G640" s="84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9.5" customHeight="1" x14ac:dyDescent="0.55000000000000004">
      <c r="A641" s="21"/>
      <c r="B641" s="21"/>
      <c r="C641" s="21"/>
      <c r="D641" s="22"/>
      <c r="E641" s="22"/>
      <c r="F641" s="22"/>
      <c r="G641" s="84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9.5" customHeight="1" x14ac:dyDescent="0.55000000000000004">
      <c r="A642" s="21"/>
      <c r="B642" s="21"/>
      <c r="C642" s="21"/>
      <c r="D642" s="22"/>
      <c r="E642" s="22"/>
      <c r="F642" s="22"/>
      <c r="G642" s="84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9.5" customHeight="1" x14ac:dyDescent="0.55000000000000004">
      <c r="A643" s="21"/>
      <c r="B643" s="21"/>
      <c r="C643" s="21"/>
      <c r="D643" s="22"/>
      <c r="E643" s="22"/>
      <c r="F643" s="22"/>
      <c r="G643" s="84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9.5" customHeight="1" x14ac:dyDescent="0.55000000000000004">
      <c r="A644" s="21"/>
      <c r="B644" s="21"/>
      <c r="C644" s="21"/>
      <c r="D644" s="22"/>
      <c r="E644" s="22"/>
      <c r="F644" s="22"/>
      <c r="G644" s="84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9.5" customHeight="1" x14ac:dyDescent="0.55000000000000004">
      <c r="A645" s="21"/>
      <c r="B645" s="21"/>
      <c r="C645" s="21"/>
      <c r="D645" s="22"/>
      <c r="E645" s="22"/>
      <c r="F645" s="22"/>
      <c r="G645" s="84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9.5" customHeight="1" x14ac:dyDescent="0.55000000000000004">
      <c r="A646" s="21"/>
      <c r="B646" s="21"/>
      <c r="C646" s="21"/>
      <c r="D646" s="22"/>
      <c r="E646" s="22"/>
      <c r="F646" s="22"/>
      <c r="G646" s="84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9.5" customHeight="1" x14ac:dyDescent="0.55000000000000004">
      <c r="A647" s="21"/>
      <c r="B647" s="21"/>
      <c r="C647" s="21"/>
      <c r="D647" s="22"/>
      <c r="E647" s="22"/>
      <c r="F647" s="22"/>
      <c r="G647" s="84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9.5" customHeight="1" x14ac:dyDescent="0.55000000000000004">
      <c r="A648" s="21"/>
      <c r="B648" s="21"/>
      <c r="C648" s="21"/>
      <c r="D648" s="22"/>
      <c r="E648" s="22"/>
      <c r="F648" s="22"/>
      <c r="G648" s="84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9.5" customHeight="1" x14ac:dyDescent="0.55000000000000004">
      <c r="A649" s="21"/>
      <c r="B649" s="21"/>
      <c r="C649" s="21"/>
      <c r="D649" s="22"/>
      <c r="E649" s="22"/>
      <c r="F649" s="22"/>
      <c r="G649" s="84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9.5" customHeight="1" x14ac:dyDescent="0.55000000000000004">
      <c r="A650" s="21"/>
      <c r="B650" s="21"/>
      <c r="C650" s="21"/>
      <c r="D650" s="22"/>
      <c r="E650" s="22"/>
      <c r="F650" s="22"/>
      <c r="G650" s="84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9.5" customHeight="1" x14ac:dyDescent="0.55000000000000004">
      <c r="A651" s="21"/>
      <c r="B651" s="21"/>
      <c r="C651" s="21"/>
      <c r="D651" s="22"/>
      <c r="E651" s="22"/>
      <c r="F651" s="22"/>
      <c r="G651" s="84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9.5" customHeight="1" x14ac:dyDescent="0.55000000000000004">
      <c r="A652" s="21"/>
      <c r="B652" s="21"/>
      <c r="C652" s="21"/>
      <c r="D652" s="22"/>
      <c r="E652" s="22"/>
      <c r="F652" s="22"/>
      <c r="G652" s="84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9.5" customHeight="1" x14ac:dyDescent="0.55000000000000004">
      <c r="A653" s="21"/>
      <c r="B653" s="21"/>
      <c r="C653" s="21"/>
      <c r="D653" s="22"/>
      <c r="E653" s="22"/>
      <c r="F653" s="22"/>
      <c r="G653" s="84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9.5" customHeight="1" x14ac:dyDescent="0.55000000000000004">
      <c r="A654" s="21"/>
      <c r="B654" s="21"/>
      <c r="C654" s="21"/>
      <c r="D654" s="22"/>
      <c r="E654" s="22"/>
      <c r="F654" s="22"/>
      <c r="G654" s="84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9.5" customHeight="1" x14ac:dyDescent="0.55000000000000004">
      <c r="A655" s="21"/>
      <c r="B655" s="21"/>
      <c r="C655" s="21"/>
      <c r="D655" s="22"/>
      <c r="E655" s="22"/>
      <c r="F655" s="22"/>
      <c r="G655" s="84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9.5" customHeight="1" x14ac:dyDescent="0.55000000000000004">
      <c r="A656" s="21"/>
      <c r="B656" s="21"/>
      <c r="C656" s="21"/>
      <c r="D656" s="22"/>
      <c r="E656" s="22"/>
      <c r="F656" s="22"/>
      <c r="G656" s="84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9.5" customHeight="1" x14ac:dyDescent="0.55000000000000004">
      <c r="A657" s="21"/>
      <c r="B657" s="21"/>
      <c r="C657" s="21"/>
      <c r="D657" s="22"/>
      <c r="E657" s="22"/>
      <c r="F657" s="22"/>
      <c r="G657" s="84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9.5" customHeight="1" x14ac:dyDescent="0.55000000000000004">
      <c r="A658" s="21"/>
      <c r="B658" s="21"/>
      <c r="C658" s="21"/>
      <c r="D658" s="22"/>
      <c r="E658" s="22"/>
      <c r="F658" s="22"/>
      <c r="G658" s="84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9.5" customHeight="1" x14ac:dyDescent="0.55000000000000004">
      <c r="A659" s="21"/>
      <c r="B659" s="21"/>
      <c r="C659" s="21"/>
      <c r="D659" s="22"/>
      <c r="E659" s="22"/>
      <c r="F659" s="22"/>
      <c r="G659" s="84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9.5" customHeight="1" x14ac:dyDescent="0.55000000000000004">
      <c r="A660" s="21"/>
      <c r="B660" s="21"/>
      <c r="C660" s="21"/>
      <c r="D660" s="22"/>
      <c r="E660" s="22"/>
      <c r="F660" s="22"/>
      <c r="G660" s="84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9.5" customHeight="1" x14ac:dyDescent="0.55000000000000004">
      <c r="A661" s="21"/>
      <c r="B661" s="21"/>
      <c r="C661" s="21"/>
      <c r="D661" s="22"/>
      <c r="E661" s="22"/>
      <c r="F661" s="22"/>
      <c r="G661" s="84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9.5" customHeight="1" x14ac:dyDescent="0.55000000000000004">
      <c r="A662" s="21"/>
      <c r="B662" s="21"/>
      <c r="C662" s="21"/>
      <c r="D662" s="22"/>
      <c r="E662" s="22"/>
      <c r="F662" s="22"/>
      <c r="G662" s="84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9.5" customHeight="1" x14ac:dyDescent="0.55000000000000004">
      <c r="A663" s="21"/>
      <c r="B663" s="21"/>
      <c r="C663" s="21"/>
      <c r="D663" s="22"/>
      <c r="E663" s="22"/>
      <c r="F663" s="22"/>
      <c r="G663" s="84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9.5" customHeight="1" x14ac:dyDescent="0.55000000000000004">
      <c r="A664" s="21"/>
      <c r="B664" s="21"/>
      <c r="C664" s="21"/>
      <c r="D664" s="22"/>
      <c r="E664" s="22"/>
      <c r="F664" s="22"/>
      <c r="G664" s="84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9.5" customHeight="1" x14ac:dyDescent="0.55000000000000004">
      <c r="A665" s="21"/>
      <c r="B665" s="21"/>
      <c r="C665" s="21"/>
      <c r="D665" s="22"/>
      <c r="E665" s="22"/>
      <c r="F665" s="22"/>
      <c r="G665" s="84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9.5" customHeight="1" x14ac:dyDescent="0.55000000000000004">
      <c r="A666" s="21"/>
      <c r="B666" s="21"/>
      <c r="C666" s="21"/>
      <c r="D666" s="22"/>
      <c r="E666" s="22"/>
      <c r="F666" s="22"/>
      <c r="G666" s="84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9.5" customHeight="1" x14ac:dyDescent="0.55000000000000004">
      <c r="A667" s="21"/>
      <c r="B667" s="21"/>
      <c r="C667" s="21"/>
      <c r="D667" s="22"/>
      <c r="E667" s="22"/>
      <c r="F667" s="22"/>
      <c r="G667" s="84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9.5" customHeight="1" x14ac:dyDescent="0.55000000000000004">
      <c r="A668" s="21"/>
      <c r="B668" s="21"/>
      <c r="C668" s="21"/>
      <c r="D668" s="22"/>
      <c r="E668" s="22"/>
      <c r="F668" s="22"/>
      <c r="G668" s="84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9.5" customHeight="1" x14ac:dyDescent="0.55000000000000004">
      <c r="A669" s="21"/>
      <c r="B669" s="21"/>
      <c r="C669" s="21"/>
      <c r="D669" s="22"/>
      <c r="E669" s="22"/>
      <c r="F669" s="22"/>
      <c r="G669" s="84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9.5" customHeight="1" x14ac:dyDescent="0.55000000000000004">
      <c r="A670" s="21"/>
      <c r="B670" s="21"/>
      <c r="C670" s="21"/>
      <c r="D670" s="22"/>
      <c r="E670" s="22"/>
      <c r="F670" s="22"/>
      <c r="G670" s="84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9.5" customHeight="1" x14ac:dyDescent="0.55000000000000004">
      <c r="A671" s="21"/>
      <c r="B671" s="21"/>
      <c r="C671" s="21"/>
      <c r="D671" s="22"/>
      <c r="E671" s="22"/>
      <c r="F671" s="22"/>
      <c r="G671" s="84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9.5" customHeight="1" x14ac:dyDescent="0.55000000000000004">
      <c r="A672" s="21"/>
      <c r="B672" s="21"/>
      <c r="C672" s="21"/>
      <c r="D672" s="22"/>
      <c r="E672" s="22"/>
      <c r="F672" s="22"/>
      <c r="G672" s="84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9.5" customHeight="1" x14ac:dyDescent="0.55000000000000004">
      <c r="A673" s="21"/>
      <c r="B673" s="21"/>
      <c r="C673" s="21"/>
      <c r="D673" s="22"/>
      <c r="E673" s="22"/>
      <c r="F673" s="22"/>
      <c r="G673" s="84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9.5" customHeight="1" x14ac:dyDescent="0.55000000000000004">
      <c r="A674" s="21"/>
      <c r="B674" s="21"/>
      <c r="C674" s="21"/>
      <c r="D674" s="22"/>
      <c r="E674" s="22"/>
      <c r="F674" s="22"/>
      <c r="G674" s="84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9.5" customHeight="1" x14ac:dyDescent="0.55000000000000004">
      <c r="A675" s="21"/>
      <c r="B675" s="21"/>
      <c r="C675" s="21"/>
      <c r="D675" s="22"/>
      <c r="E675" s="22"/>
      <c r="F675" s="22"/>
      <c r="G675" s="84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9.5" customHeight="1" x14ac:dyDescent="0.55000000000000004">
      <c r="A676" s="21"/>
      <c r="B676" s="21"/>
      <c r="C676" s="21"/>
      <c r="D676" s="22"/>
      <c r="E676" s="22"/>
      <c r="F676" s="22"/>
      <c r="G676" s="84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9.5" customHeight="1" x14ac:dyDescent="0.55000000000000004">
      <c r="A677" s="21"/>
      <c r="B677" s="21"/>
      <c r="C677" s="21"/>
      <c r="D677" s="22"/>
      <c r="E677" s="22"/>
      <c r="F677" s="22"/>
      <c r="G677" s="84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9.5" customHeight="1" x14ac:dyDescent="0.55000000000000004">
      <c r="A678" s="21"/>
      <c r="B678" s="21"/>
      <c r="C678" s="21"/>
      <c r="D678" s="22"/>
      <c r="E678" s="22"/>
      <c r="F678" s="22"/>
      <c r="G678" s="84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9.5" customHeight="1" x14ac:dyDescent="0.55000000000000004">
      <c r="A679" s="21"/>
      <c r="B679" s="21"/>
      <c r="C679" s="21"/>
      <c r="D679" s="22"/>
      <c r="E679" s="22"/>
      <c r="F679" s="22"/>
      <c r="G679" s="84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9.5" customHeight="1" x14ac:dyDescent="0.55000000000000004">
      <c r="A680" s="21"/>
      <c r="B680" s="21"/>
      <c r="C680" s="21"/>
      <c r="D680" s="22"/>
      <c r="E680" s="22"/>
      <c r="F680" s="22"/>
      <c r="G680" s="84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9.5" customHeight="1" x14ac:dyDescent="0.55000000000000004">
      <c r="A681" s="21"/>
      <c r="B681" s="21"/>
      <c r="C681" s="21"/>
      <c r="D681" s="22"/>
      <c r="E681" s="22"/>
      <c r="F681" s="22"/>
      <c r="G681" s="84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9.5" customHeight="1" x14ac:dyDescent="0.55000000000000004">
      <c r="A682" s="21"/>
      <c r="B682" s="21"/>
      <c r="C682" s="21"/>
      <c r="D682" s="22"/>
      <c r="E682" s="22"/>
      <c r="F682" s="22"/>
      <c r="G682" s="84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9.5" customHeight="1" x14ac:dyDescent="0.55000000000000004">
      <c r="A683" s="21"/>
      <c r="B683" s="21"/>
      <c r="C683" s="21"/>
      <c r="D683" s="22"/>
      <c r="E683" s="22"/>
      <c r="F683" s="22"/>
      <c r="G683" s="84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9.5" customHeight="1" x14ac:dyDescent="0.55000000000000004">
      <c r="A684" s="21"/>
      <c r="B684" s="21"/>
      <c r="C684" s="21"/>
      <c r="D684" s="22"/>
      <c r="E684" s="22"/>
      <c r="F684" s="22"/>
      <c r="G684" s="84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9.5" customHeight="1" x14ac:dyDescent="0.55000000000000004">
      <c r="A685" s="21"/>
      <c r="B685" s="21"/>
      <c r="C685" s="21"/>
      <c r="D685" s="22"/>
      <c r="E685" s="22"/>
      <c r="F685" s="22"/>
      <c r="G685" s="84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9.5" customHeight="1" x14ac:dyDescent="0.55000000000000004">
      <c r="A686" s="21"/>
      <c r="B686" s="21"/>
      <c r="C686" s="21"/>
      <c r="D686" s="22"/>
      <c r="E686" s="22"/>
      <c r="F686" s="22"/>
      <c r="G686" s="84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9.5" customHeight="1" x14ac:dyDescent="0.55000000000000004">
      <c r="A687" s="21"/>
      <c r="B687" s="21"/>
      <c r="C687" s="21"/>
      <c r="D687" s="22"/>
      <c r="E687" s="22"/>
      <c r="F687" s="22"/>
      <c r="G687" s="84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9.5" customHeight="1" x14ac:dyDescent="0.55000000000000004">
      <c r="A688" s="21"/>
      <c r="B688" s="21"/>
      <c r="C688" s="21"/>
      <c r="D688" s="22"/>
      <c r="E688" s="22"/>
      <c r="F688" s="22"/>
      <c r="G688" s="84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9.5" customHeight="1" x14ac:dyDescent="0.55000000000000004">
      <c r="A689" s="21"/>
      <c r="B689" s="21"/>
      <c r="C689" s="21"/>
      <c r="D689" s="22"/>
      <c r="E689" s="22"/>
      <c r="F689" s="22"/>
      <c r="G689" s="84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9.5" customHeight="1" x14ac:dyDescent="0.55000000000000004">
      <c r="A690" s="21"/>
      <c r="B690" s="21"/>
      <c r="C690" s="21"/>
      <c r="D690" s="22"/>
      <c r="E690" s="22"/>
      <c r="F690" s="22"/>
      <c r="G690" s="84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9.5" customHeight="1" x14ac:dyDescent="0.55000000000000004">
      <c r="A691" s="21"/>
      <c r="B691" s="21"/>
      <c r="C691" s="21"/>
      <c r="D691" s="22"/>
      <c r="E691" s="22"/>
      <c r="F691" s="22"/>
      <c r="G691" s="84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9.5" customHeight="1" x14ac:dyDescent="0.55000000000000004">
      <c r="A692" s="21"/>
      <c r="B692" s="21"/>
      <c r="C692" s="21"/>
      <c r="D692" s="22"/>
      <c r="E692" s="22"/>
      <c r="F692" s="22"/>
      <c r="G692" s="84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9.5" customHeight="1" x14ac:dyDescent="0.55000000000000004">
      <c r="A693" s="21"/>
      <c r="B693" s="21"/>
      <c r="C693" s="21"/>
      <c r="D693" s="22"/>
      <c r="E693" s="22"/>
      <c r="F693" s="22"/>
      <c r="G693" s="84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9.5" customHeight="1" x14ac:dyDescent="0.55000000000000004">
      <c r="A694" s="21"/>
      <c r="B694" s="21"/>
      <c r="C694" s="21"/>
      <c r="D694" s="22"/>
      <c r="E694" s="22"/>
      <c r="F694" s="22"/>
      <c r="G694" s="84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9.5" customHeight="1" x14ac:dyDescent="0.55000000000000004">
      <c r="A695" s="21"/>
      <c r="B695" s="21"/>
      <c r="C695" s="21"/>
      <c r="D695" s="22"/>
      <c r="E695" s="22"/>
      <c r="F695" s="22"/>
      <c r="G695" s="84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9.5" customHeight="1" x14ac:dyDescent="0.55000000000000004">
      <c r="A696" s="21"/>
      <c r="B696" s="21"/>
      <c r="C696" s="21"/>
      <c r="D696" s="22"/>
      <c r="E696" s="22"/>
      <c r="F696" s="22"/>
      <c r="G696" s="84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9.5" customHeight="1" x14ac:dyDescent="0.55000000000000004">
      <c r="A697" s="21"/>
      <c r="B697" s="21"/>
      <c r="C697" s="21"/>
      <c r="D697" s="22"/>
      <c r="E697" s="22"/>
      <c r="F697" s="22"/>
      <c r="G697" s="84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9.5" customHeight="1" x14ac:dyDescent="0.55000000000000004">
      <c r="A698" s="21"/>
      <c r="B698" s="21"/>
      <c r="C698" s="21"/>
      <c r="D698" s="22"/>
      <c r="E698" s="22"/>
      <c r="F698" s="22"/>
      <c r="G698" s="84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9.5" customHeight="1" x14ac:dyDescent="0.55000000000000004">
      <c r="A699" s="21"/>
      <c r="B699" s="21"/>
      <c r="C699" s="21"/>
      <c r="D699" s="22"/>
      <c r="E699" s="22"/>
      <c r="F699" s="22"/>
      <c r="G699" s="84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9.5" customHeight="1" x14ac:dyDescent="0.55000000000000004">
      <c r="A700" s="21"/>
      <c r="B700" s="21"/>
      <c r="C700" s="21"/>
      <c r="D700" s="22"/>
      <c r="E700" s="22"/>
      <c r="F700" s="22"/>
      <c r="G700" s="84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9.5" customHeight="1" x14ac:dyDescent="0.55000000000000004">
      <c r="A701" s="21"/>
      <c r="B701" s="21"/>
      <c r="C701" s="21"/>
      <c r="D701" s="22"/>
      <c r="E701" s="22"/>
      <c r="F701" s="22"/>
      <c r="G701" s="84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9.5" customHeight="1" x14ac:dyDescent="0.55000000000000004">
      <c r="A702" s="21"/>
      <c r="B702" s="21"/>
      <c r="C702" s="21"/>
      <c r="D702" s="22"/>
      <c r="E702" s="22"/>
      <c r="F702" s="22"/>
      <c r="G702" s="84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9.5" customHeight="1" x14ac:dyDescent="0.55000000000000004">
      <c r="A703" s="21"/>
      <c r="B703" s="21"/>
      <c r="C703" s="21"/>
      <c r="D703" s="22"/>
      <c r="E703" s="22"/>
      <c r="F703" s="22"/>
      <c r="G703" s="84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9.5" customHeight="1" x14ac:dyDescent="0.55000000000000004">
      <c r="A704" s="21"/>
      <c r="B704" s="21"/>
      <c r="C704" s="21"/>
      <c r="D704" s="22"/>
      <c r="E704" s="22"/>
      <c r="F704" s="22"/>
      <c r="G704" s="84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9.5" customHeight="1" x14ac:dyDescent="0.55000000000000004">
      <c r="A705" s="21"/>
      <c r="B705" s="21"/>
      <c r="C705" s="21"/>
      <c r="D705" s="22"/>
      <c r="E705" s="22"/>
      <c r="F705" s="22"/>
      <c r="G705" s="84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9.5" customHeight="1" x14ac:dyDescent="0.55000000000000004">
      <c r="A706" s="21"/>
      <c r="B706" s="21"/>
      <c r="C706" s="21"/>
      <c r="D706" s="22"/>
      <c r="E706" s="22"/>
      <c r="F706" s="22"/>
      <c r="G706" s="84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9.5" customHeight="1" x14ac:dyDescent="0.55000000000000004">
      <c r="A707" s="21"/>
      <c r="B707" s="21"/>
      <c r="C707" s="21"/>
      <c r="D707" s="22"/>
      <c r="E707" s="22"/>
      <c r="F707" s="22"/>
      <c r="G707" s="84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9.5" customHeight="1" x14ac:dyDescent="0.55000000000000004">
      <c r="A708" s="21"/>
      <c r="B708" s="21"/>
      <c r="C708" s="21"/>
      <c r="D708" s="22"/>
      <c r="E708" s="22"/>
      <c r="F708" s="22"/>
      <c r="G708" s="84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9.5" customHeight="1" x14ac:dyDescent="0.55000000000000004">
      <c r="A709" s="21"/>
      <c r="B709" s="21"/>
      <c r="C709" s="21"/>
      <c r="D709" s="22"/>
      <c r="E709" s="22"/>
      <c r="F709" s="22"/>
      <c r="G709" s="84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9.5" customHeight="1" x14ac:dyDescent="0.55000000000000004">
      <c r="A710" s="21"/>
      <c r="B710" s="21"/>
      <c r="C710" s="21"/>
      <c r="D710" s="22"/>
      <c r="E710" s="22"/>
      <c r="F710" s="22"/>
      <c r="G710" s="84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9.5" customHeight="1" x14ac:dyDescent="0.55000000000000004">
      <c r="A711" s="21"/>
      <c r="B711" s="21"/>
      <c r="C711" s="21"/>
      <c r="D711" s="22"/>
      <c r="E711" s="22"/>
      <c r="F711" s="22"/>
      <c r="G711" s="84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9.5" customHeight="1" x14ac:dyDescent="0.55000000000000004">
      <c r="A712" s="21"/>
      <c r="B712" s="21"/>
      <c r="C712" s="21"/>
      <c r="D712" s="22"/>
      <c r="E712" s="22"/>
      <c r="F712" s="22"/>
      <c r="G712" s="84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9.5" customHeight="1" x14ac:dyDescent="0.55000000000000004">
      <c r="A713" s="21"/>
      <c r="B713" s="21"/>
      <c r="C713" s="21"/>
      <c r="D713" s="22"/>
      <c r="E713" s="22"/>
      <c r="F713" s="22"/>
      <c r="G713" s="84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9.5" customHeight="1" x14ac:dyDescent="0.55000000000000004">
      <c r="A714" s="21"/>
      <c r="B714" s="21"/>
      <c r="C714" s="21"/>
      <c r="D714" s="22"/>
      <c r="E714" s="22"/>
      <c r="F714" s="22"/>
      <c r="G714" s="84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9.5" customHeight="1" x14ac:dyDescent="0.55000000000000004">
      <c r="A715" s="21"/>
      <c r="B715" s="21"/>
      <c r="C715" s="21"/>
      <c r="D715" s="22"/>
      <c r="E715" s="22"/>
      <c r="F715" s="22"/>
      <c r="G715" s="84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9.5" customHeight="1" x14ac:dyDescent="0.55000000000000004">
      <c r="A716" s="21"/>
      <c r="B716" s="21"/>
      <c r="C716" s="21"/>
      <c r="D716" s="22"/>
      <c r="E716" s="22"/>
      <c r="F716" s="22"/>
      <c r="G716" s="84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9.5" customHeight="1" x14ac:dyDescent="0.55000000000000004">
      <c r="A717" s="21"/>
      <c r="B717" s="21"/>
      <c r="C717" s="21"/>
      <c r="D717" s="22"/>
      <c r="E717" s="22"/>
      <c r="F717" s="22"/>
      <c r="G717" s="84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9.5" customHeight="1" x14ac:dyDescent="0.55000000000000004">
      <c r="A718" s="21"/>
      <c r="B718" s="21"/>
      <c r="C718" s="21"/>
      <c r="D718" s="22"/>
      <c r="E718" s="22"/>
      <c r="F718" s="22"/>
      <c r="G718" s="84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9.5" customHeight="1" x14ac:dyDescent="0.55000000000000004">
      <c r="A719" s="21"/>
      <c r="B719" s="21"/>
      <c r="C719" s="21"/>
      <c r="D719" s="22"/>
      <c r="E719" s="22"/>
      <c r="F719" s="22"/>
      <c r="G719" s="84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9.5" customHeight="1" x14ac:dyDescent="0.55000000000000004">
      <c r="A720" s="21"/>
      <c r="B720" s="21"/>
      <c r="C720" s="21"/>
      <c r="D720" s="22"/>
      <c r="E720" s="22"/>
      <c r="F720" s="22"/>
      <c r="G720" s="84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9.5" customHeight="1" x14ac:dyDescent="0.55000000000000004">
      <c r="A721" s="21"/>
      <c r="B721" s="21"/>
      <c r="C721" s="21"/>
      <c r="D721" s="22"/>
      <c r="E721" s="22"/>
      <c r="F721" s="22"/>
      <c r="G721" s="84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9.5" customHeight="1" x14ac:dyDescent="0.55000000000000004">
      <c r="A722" s="21"/>
      <c r="B722" s="21"/>
      <c r="C722" s="21"/>
      <c r="D722" s="22"/>
      <c r="E722" s="22"/>
      <c r="F722" s="22"/>
      <c r="G722" s="84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9.5" customHeight="1" x14ac:dyDescent="0.55000000000000004">
      <c r="A723" s="21"/>
      <c r="B723" s="21"/>
      <c r="C723" s="21"/>
      <c r="D723" s="22"/>
      <c r="E723" s="22"/>
      <c r="F723" s="22"/>
      <c r="G723" s="84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9.5" customHeight="1" x14ac:dyDescent="0.55000000000000004">
      <c r="A724" s="21"/>
      <c r="B724" s="21"/>
      <c r="C724" s="21"/>
      <c r="D724" s="22"/>
      <c r="E724" s="22"/>
      <c r="F724" s="22"/>
      <c r="G724" s="84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9.5" customHeight="1" x14ac:dyDescent="0.55000000000000004">
      <c r="A725" s="21"/>
      <c r="B725" s="21"/>
      <c r="C725" s="21"/>
      <c r="D725" s="22"/>
      <c r="E725" s="22"/>
      <c r="F725" s="22"/>
      <c r="G725" s="84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9.5" customHeight="1" x14ac:dyDescent="0.55000000000000004">
      <c r="A726" s="21"/>
      <c r="B726" s="21"/>
      <c r="C726" s="21"/>
      <c r="D726" s="22"/>
      <c r="E726" s="22"/>
      <c r="F726" s="22"/>
      <c r="G726" s="84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9.5" customHeight="1" x14ac:dyDescent="0.55000000000000004">
      <c r="A727" s="21"/>
      <c r="B727" s="21"/>
      <c r="C727" s="21"/>
      <c r="D727" s="22"/>
      <c r="E727" s="22"/>
      <c r="F727" s="22"/>
      <c r="G727" s="84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9.5" customHeight="1" x14ac:dyDescent="0.55000000000000004">
      <c r="A728" s="21"/>
      <c r="B728" s="21"/>
      <c r="C728" s="21"/>
      <c r="D728" s="22"/>
      <c r="E728" s="22"/>
      <c r="F728" s="22"/>
      <c r="G728" s="84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9.5" customHeight="1" x14ac:dyDescent="0.55000000000000004">
      <c r="A729" s="21"/>
      <c r="B729" s="21"/>
      <c r="C729" s="21"/>
      <c r="D729" s="22"/>
      <c r="E729" s="22"/>
      <c r="F729" s="22"/>
      <c r="G729" s="84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9.5" customHeight="1" x14ac:dyDescent="0.55000000000000004">
      <c r="A730" s="21"/>
      <c r="B730" s="21"/>
      <c r="C730" s="21"/>
      <c r="D730" s="22"/>
      <c r="E730" s="22"/>
      <c r="F730" s="22"/>
      <c r="G730" s="84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9.5" customHeight="1" x14ac:dyDescent="0.55000000000000004">
      <c r="A731" s="21"/>
      <c r="B731" s="21"/>
      <c r="C731" s="21"/>
      <c r="D731" s="22"/>
      <c r="E731" s="22"/>
      <c r="F731" s="22"/>
      <c r="G731" s="84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9.5" customHeight="1" x14ac:dyDescent="0.55000000000000004">
      <c r="A732" s="21"/>
      <c r="B732" s="21"/>
      <c r="C732" s="21"/>
      <c r="D732" s="22"/>
      <c r="E732" s="22"/>
      <c r="F732" s="22"/>
      <c r="G732" s="84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9.5" customHeight="1" x14ac:dyDescent="0.55000000000000004">
      <c r="A733" s="21"/>
      <c r="B733" s="21"/>
      <c r="C733" s="21"/>
      <c r="D733" s="22"/>
      <c r="E733" s="22"/>
      <c r="F733" s="22"/>
      <c r="G733" s="84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9.5" customHeight="1" x14ac:dyDescent="0.55000000000000004">
      <c r="A734" s="21"/>
      <c r="B734" s="21"/>
      <c r="C734" s="21"/>
      <c r="D734" s="22"/>
      <c r="E734" s="22"/>
      <c r="F734" s="22"/>
      <c r="G734" s="84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9.5" customHeight="1" x14ac:dyDescent="0.55000000000000004">
      <c r="A735" s="21"/>
      <c r="B735" s="21"/>
      <c r="C735" s="21"/>
      <c r="D735" s="22"/>
      <c r="E735" s="22"/>
      <c r="F735" s="22"/>
      <c r="G735" s="84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9.5" customHeight="1" x14ac:dyDescent="0.55000000000000004">
      <c r="A736" s="21"/>
      <c r="B736" s="21"/>
      <c r="C736" s="21"/>
      <c r="D736" s="22"/>
      <c r="E736" s="22"/>
      <c r="F736" s="22"/>
      <c r="G736" s="84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9.5" customHeight="1" x14ac:dyDescent="0.55000000000000004">
      <c r="A737" s="21"/>
      <c r="B737" s="21"/>
      <c r="C737" s="21"/>
      <c r="D737" s="22"/>
      <c r="E737" s="22"/>
      <c r="F737" s="22"/>
      <c r="G737" s="84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9.5" customHeight="1" x14ac:dyDescent="0.55000000000000004">
      <c r="A738" s="21"/>
      <c r="B738" s="21"/>
      <c r="C738" s="21"/>
      <c r="D738" s="22"/>
      <c r="E738" s="22"/>
      <c r="F738" s="22"/>
      <c r="G738" s="84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9.5" customHeight="1" x14ac:dyDescent="0.55000000000000004">
      <c r="A739" s="21"/>
      <c r="B739" s="21"/>
      <c r="C739" s="21"/>
      <c r="D739" s="22"/>
      <c r="E739" s="22"/>
      <c r="F739" s="22"/>
      <c r="G739" s="84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9.5" customHeight="1" x14ac:dyDescent="0.55000000000000004">
      <c r="A740" s="21"/>
      <c r="B740" s="21"/>
      <c r="C740" s="21"/>
      <c r="D740" s="22"/>
      <c r="E740" s="22"/>
      <c r="F740" s="22"/>
      <c r="G740" s="84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9.5" customHeight="1" x14ac:dyDescent="0.55000000000000004">
      <c r="A741" s="21"/>
      <c r="B741" s="21"/>
      <c r="C741" s="21"/>
      <c r="D741" s="22"/>
      <c r="E741" s="22"/>
      <c r="F741" s="22"/>
      <c r="G741" s="84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9.5" customHeight="1" x14ac:dyDescent="0.55000000000000004">
      <c r="A742" s="21"/>
      <c r="B742" s="21"/>
      <c r="C742" s="21"/>
      <c r="D742" s="22"/>
      <c r="E742" s="22"/>
      <c r="F742" s="22"/>
      <c r="G742" s="84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9.5" customHeight="1" x14ac:dyDescent="0.55000000000000004">
      <c r="A743" s="21"/>
      <c r="B743" s="21"/>
      <c r="C743" s="21"/>
      <c r="D743" s="22"/>
      <c r="E743" s="22"/>
      <c r="F743" s="22"/>
      <c r="G743" s="84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9.5" customHeight="1" x14ac:dyDescent="0.55000000000000004">
      <c r="A744" s="21"/>
      <c r="B744" s="21"/>
      <c r="C744" s="21"/>
      <c r="D744" s="22"/>
      <c r="E744" s="22"/>
      <c r="F744" s="22"/>
      <c r="G744" s="84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9.5" customHeight="1" x14ac:dyDescent="0.55000000000000004">
      <c r="A745" s="21"/>
      <c r="B745" s="21"/>
      <c r="C745" s="21"/>
      <c r="D745" s="22"/>
      <c r="E745" s="22"/>
      <c r="F745" s="22"/>
      <c r="G745" s="84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9.5" customHeight="1" x14ac:dyDescent="0.55000000000000004">
      <c r="A746" s="21"/>
      <c r="B746" s="21"/>
      <c r="C746" s="21"/>
      <c r="D746" s="22"/>
      <c r="E746" s="22"/>
      <c r="F746" s="22"/>
      <c r="G746" s="84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9.5" customHeight="1" x14ac:dyDescent="0.55000000000000004">
      <c r="A747" s="21"/>
      <c r="B747" s="21"/>
      <c r="C747" s="21"/>
      <c r="D747" s="22"/>
      <c r="E747" s="22"/>
      <c r="F747" s="22"/>
      <c r="G747" s="84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9.5" customHeight="1" x14ac:dyDescent="0.55000000000000004">
      <c r="A748" s="21"/>
      <c r="B748" s="21"/>
      <c r="C748" s="21"/>
      <c r="D748" s="22"/>
      <c r="E748" s="22"/>
      <c r="F748" s="22"/>
      <c r="G748" s="84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9.5" customHeight="1" x14ac:dyDescent="0.55000000000000004">
      <c r="A749" s="21"/>
      <c r="B749" s="21"/>
      <c r="C749" s="21"/>
      <c r="D749" s="22"/>
      <c r="E749" s="22"/>
      <c r="F749" s="22"/>
      <c r="G749" s="84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9.5" customHeight="1" x14ac:dyDescent="0.55000000000000004">
      <c r="A750" s="21"/>
      <c r="B750" s="21"/>
      <c r="C750" s="21"/>
      <c r="D750" s="22"/>
      <c r="E750" s="22"/>
      <c r="F750" s="22"/>
      <c r="G750" s="84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9.5" customHeight="1" x14ac:dyDescent="0.55000000000000004">
      <c r="A751" s="21"/>
      <c r="B751" s="21"/>
      <c r="C751" s="21"/>
      <c r="D751" s="22"/>
      <c r="E751" s="22"/>
      <c r="F751" s="22"/>
      <c r="G751" s="84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9.5" customHeight="1" x14ac:dyDescent="0.55000000000000004">
      <c r="A752" s="21"/>
      <c r="B752" s="21"/>
      <c r="C752" s="21"/>
      <c r="D752" s="22"/>
      <c r="E752" s="22"/>
      <c r="F752" s="22"/>
      <c r="G752" s="84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9.5" customHeight="1" x14ac:dyDescent="0.55000000000000004">
      <c r="A753" s="21"/>
      <c r="B753" s="21"/>
      <c r="C753" s="21"/>
      <c r="D753" s="22"/>
      <c r="E753" s="22"/>
      <c r="F753" s="22"/>
      <c r="G753" s="84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9.5" customHeight="1" x14ac:dyDescent="0.55000000000000004">
      <c r="A754" s="21"/>
      <c r="B754" s="21"/>
      <c r="C754" s="21"/>
      <c r="D754" s="22"/>
      <c r="E754" s="22"/>
      <c r="F754" s="22"/>
      <c r="G754" s="84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9.5" customHeight="1" x14ac:dyDescent="0.55000000000000004">
      <c r="A755" s="21"/>
      <c r="B755" s="21"/>
      <c r="C755" s="21"/>
      <c r="D755" s="22"/>
      <c r="E755" s="22"/>
      <c r="F755" s="22"/>
      <c r="G755" s="84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9.5" customHeight="1" x14ac:dyDescent="0.55000000000000004">
      <c r="A756" s="21"/>
      <c r="B756" s="21"/>
      <c r="C756" s="21"/>
      <c r="D756" s="22"/>
      <c r="E756" s="22"/>
      <c r="F756" s="22"/>
      <c r="G756" s="84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9.5" customHeight="1" x14ac:dyDescent="0.55000000000000004">
      <c r="A757" s="21"/>
      <c r="B757" s="21"/>
      <c r="C757" s="21"/>
      <c r="D757" s="22"/>
      <c r="E757" s="22"/>
      <c r="F757" s="22"/>
      <c r="G757" s="84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9.5" customHeight="1" x14ac:dyDescent="0.55000000000000004">
      <c r="A758" s="21"/>
      <c r="B758" s="21"/>
      <c r="C758" s="21"/>
      <c r="D758" s="22"/>
      <c r="E758" s="22"/>
      <c r="F758" s="22"/>
      <c r="G758" s="84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9.5" customHeight="1" x14ac:dyDescent="0.55000000000000004">
      <c r="A759" s="21"/>
      <c r="B759" s="21"/>
      <c r="C759" s="21"/>
      <c r="D759" s="22"/>
      <c r="E759" s="22"/>
      <c r="F759" s="22"/>
      <c r="G759" s="84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9.5" customHeight="1" x14ac:dyDescent="0.55000000000000004">
      <c r="A760" s="21"/>
      <c r="B760" s="21"/>
      <c r="C760" s="21"/>
      <c r="D760" s="22"/>
      <c r="E760" s="22"/>
      <c r="F760" s="22"/>
      <c r="G760" s="84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9.5" customHeight="1" x14ac:dyDescent="0.55000000000000004">
      <c r="A761" s="21"/>
      <c r="B761" s="21"/>
      <c r="C761" s="21"/>
      <c r="D761" s="22"/>
      <c r="E761" s="22"/>
      <c r="F761" s="22"/>
      <c r="G761" s="84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9.5" customHeight="1" x14ac:dyDescent="0.55000000000000004">
      <c r="A762" s="21"/>
      <c r="B762" s="21"/>
      <c r="C762" s="21"/>
      <c r="D762" s="22"/>
      <c r="E762" s="22"/>
      <c r="F762" s="22"/>
      <c r="G762" s="84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9.5" customHeight="1" x14ac:dyDescent="0.55000000000000004">
      <c r="A763" s="21"/>
      <c r="B763" s="21"/>
      <c r="C763" s="21"/>
      <c r="D763" s="22"/>
      <c r="E763" s="22"/>
      <c r="F763" s="22"/>
      <c r="G763" s="84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9.5" customHeight="1" x14ac:dyDescent="0.55000000000000004">
      <c r="A764" s="21"/>
      <c r="B764" s="21"/>
      <c r="C764" s="21"/>
      <c r="D764" s="22"/>
      <c r="E764" s="22"/>
      <c r="F764" s="22"/>
      <c r="G764" s="84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9.5" customHeight="1" x14ac:dyDescent="0.55000000000000004">
      <c r="A765" s="21"/>
      <c r="B765" s="21"/>
      <c r="C765" s="21"/>
      <c r="D765" s="22"/>
      <c r="E765" s="22"/>
      <c r="F765" s="22"/>
      <c r="G765" s="84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9.5" customHeight="1" x14ac:dyDescent="0.55000000000000004">
      <c r="A766" s="21"/>
      <c r="B766" s="21"/>
      <c r="C766" s="21"/>
      <c r="D766" s="22"/>
      <c r="E766" s="22"/>
      <c r="F766" s="22"/>
      <c r="G766" s="84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9.5" customHeight="1" x14ac:dyDescent="0.55000000000000004">
      <c r="A767" s="21"/>
      <c r="B767" s="21"/>
      <c r="C767" s="21"/>
      <c r="D767" s="22"/>
      <c r="E767" s="22"/>
      <c r="F767" s="22"/>
      <c r="G767" s="84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9.5" customHeight="1" x14ac:dyDescent="0.55000000000000004">
      <c r="A768" s="21"/>
      <c r="B768" s="21"/>
      <c r="C768" s="21"/>
      <c r="D768" s="22"/>
      <c r="E768" s="22"/>
      <c r="F768" s="22"/>
      <c r="G768" s="84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9.5" customHeight="1" x14ac:dyDescent="0.55000000000000004">
      <c r="A769" s="21"/>
      <c r="B769" s="21"/>
      <c r="C769" s="21"/>
      <c r="D769" s="22"/>
      <c r="E769" s="22"/>
      <c r="F769" s="22"/>
      <c r="G769" s="84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9.5" customHeight="1" x14ac:dyDescent="0.55000000000000004">
      <c r="A770" s="21"/>
      <c r="B770" s="21"/>
      <c r="C770" s="21"/>
      <c r="D770" s="22"/>
      <c r="E770" s="22"/>
      <c r="F770" s="22"/>
      <c r="G770" s="84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9.5" customHeight="1" x14ac:dyDescent="0.55000000000000004">
      <c r="A771" s="21"/>
      <c r="B771" s="21"/>
      <c r="C771" s="21"/>
      <c r="D771" s="22"/>
      <c r="E771" s="22"/>
      <c r="F771" s="22"/>
      <c r="G771" s="84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9.5" customHeight="1" x14ac:dyDescent="0.55000000000000004">
      <c r="A772" s="21"/>
      <c r="B772" s="21"/>
      <c r="C772" s="21"/>
      <c r="D772" s="22"/>
      <c r="E772" s="22"/>
      <c r="F772" s="22"/>
      <c r="G772" s="84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9.5" customHeight="1" x14ac:dyDescent="0.55000000000000004">
      <c r="A773" s="21"/>
      <c r="B773" s="21"/>
      <c r="C773" s="21"/>
      <c r="D773" s="22"/>
      <c r="E773" s="22"/>
      <c r="F773" s="22"/>
      <c r="G773" s="84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9.5" customHeight="1" x14ac:dyDescent="0.55000000000000004">
      <c r="A774" s="21"/>
      <c r="B774" s="21"/>
      <c r="C774" s="21"/>
      <c r="D774" s="22"/>
      <c r="E774" s="22"/>
      <c r="F774" s="22"/>
      <c r="G774" s="84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9.5" customHeight="1" x14ac:dyDescent="0.55000000000000004">
      <c r="A775" s="21"/>
      <c r="B775" s="21"/>
      <c r="C775" s="21"/>
      <c r="D775" s="22"/>
      <c r="E775" s="22"/>
      <c r="F775" s="22"/>
      <c r="G775" s="84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9.5" customHeight="1" x14ac:dyDescent="0.55000000000000004">
      <c r="A776" s="21"/>
      <c r="B776" s="21"/>
      <c r="C776" s="21"/>
      <c r="D776" s="22"/>
      <c r="E776" s="22"/>
      <c r="F776" s="22"/>
      <c r="G776" s="84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9.5" customHeight="1" x14ac:dyDescent="0.55000000000000004">
      <c r="A777" s="21"/>
      <c r="B777" s="21"/>
      <c r="C777" s="21"/>
      <c r="D777" s="22"/>
      <c r="E777" s="22"/>
      <c r="F777" s="22"/>
      <c r="G777" s="84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9.5" customHeight="1" x14ac:dyDescent="0.55000000000000004">
      <c r="A778" s="21"/>
      <c r="B778" s="21"/>
      <c r="C778" s="21"/>
      <c r="D778" s="22"/>
      <c r="E778" s="22"/>
      <c r="F778" s="22"/>
      <c r="G778" s="84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9.5" customHeight="1" x14ac:dyDescent="0.55000000000000004">
      <c r="A779" s="21"/>
      <c r="B779" s="21"/>
      <c r="C779" s="21"/>
      <c r="D779" s="22"/>
      <c r="E779" s="22"/>
      <c r="F779" s="22"/>
      <c r="G779" s="84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9.5" customHeight="1" x14ac:dyDescent="0.55000000000000004">
      <c r="A780" s="21"/>
      <c r="B780" s="21"/>
      <c r="C780" s="21"/>
      <c r="D780" s="22"/>
      <c r="E780" s="22"/>
      <c r="F780" s="22"/>
      <c r="G780" s="84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9.5" customHeight="1" x14ac:dyDescent="0.55000000000000004">
      <c r="A781" s="21"/>
      <c r="B781" s="21"/>
      <c r="C781" s="21"/>
      <c r="D781" s="22"/>
      <c r="E781" s="22"/>
      <c r="F781" s="22"/>
      <c r="G781" s="84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9.5" customHeight="1" x14ac:dyDescent="0.55000000000000004">
      <c r="A782" s="21"/>
      <c r="B782" s="21"/>
      <c r="C782" s="21"/>
      <c r="D782" s="22"/>
      <c r="E782" s="22"/>
      <c r="F782" s="22"/>
      <c r="G782" s="84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9.5" customHeight="1" x14ac:dyDescent="0.55000000000000004">
      <c r="A783" s="21"/>
      <c r="B783" s="21"/>
      <c r="C783" s="21"/>
      <c r="D783" s="22"/>
      <c r="E783" s="22"/>
      <c r="F783" s="22"/>
      <c r="G783" s="84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9.5" customHeight="1" x14ac:dyDescent="0.55000000000000004">
      <c r="A784" s="21"/>
      <c r="B784" s="21"/>
      <c r="C784" s="21"/>
      <c r="D784" s="22"/>
      <c r="E784" s="22"/>
      <c r="F784" s="22"/>
      <c r="G784" s="84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9.5" customHeight="1" x14ac:dyDescent="0.55000000000000004">
      <c r="A785" s="21"/>
      <c r="B785" s="21"/>
      <c r="C785" s="21"/>
      <c r="D785" s="22"/>
      <c r="E785" s="22"/>
      <c r="F785" s="22"/>
      <c r="G785" s="84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9.5" customHeight="1" x14ac:dyDescent="0.55000000000000004">
      <c r="A786" s="21"/>
      <c r="B786" s="21"/>
      <c r="C786" s="21"/>
      <c r="D786" s="22"/>
      <c r="E786" s="22"/>
      <c r="F786" s="22"/>
      <c r="G786" s="84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9.5" customHeight="1" x14ac:dyDescent="0.55000000000000004">
      <c r="A787" s="21"/>
      <c r="B787" s="21"/>
      <c r="C787" s="21"/>
      <c r="D787" s="22"/>
      <c r="E787" s="22"/>
      <c r="F787" s="22"/>
      <c r="G787" s="84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9.5" customHeight="1" x14ac:dyDescent="0.55000000000000004">
      <c r="A788" s="21"/>
      <c r="B788" s="21"/>
      <c r="C788" s="21"/>
      <c r="D788" s="22"/>
      <c r="E788" s="22"/>
      <c r="F788" s="22"/>
      <c r="G788" s="84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9.5" customHeight="1" x14ac:dyDescent="0.55000000000000004">
      <c r="A789" s="21"/>
      <c r="B789" s="21"/>
      <c r="C789" s="21"/>
      <c r="D789" s="22"/>
      <c r="E789" s="22"/>
      <c r="F789" s="22"/>
      <c r="G789" s="84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9.5" customHeight="1" x14ac:dyDescent="0.55000000000000004">
      <c r="A790" s="21"/>
      <c r="B790" s="21"/>
      <c r="C790" s="21"/>
      <c r="D790" s="22"/>
      <c r="E790" s="22"/>
      <c r="F790" s="22"/>
      <c r="G790" s="84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9.5" customHeight="1" x14ac:dyDescent="0.55000000000000004">
      <c r="A791" s="21"/>
      <c r="B791" s="21"/>
      <c r="C791" s="21"/>
      <c r="D791" s="22"/>
      <c r="E791" s="22"/>
      <c r="F791" s="22"/>
      <c r="G791" s="84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9.5" customHeight="1" x14ac:dyDescent="0.55000000000000004">
      <c r="A792" s="21"/>
      <c r="B792" s="21"/>
      <c r="C792" s="21"/>
      <c r="D792" s="22"/>
      <c r="E792" s="22"/>
      <c r="F792" s="22"/>
      <c r="G792" s="84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9.5" customHeight="1" x14ac:dyDescent="0.55000000000000004">
      <c r="A793" s="21"/>
      <c r="B793" s="21"/>
      <c r="C793" s="21"/>
      <c r="D793" s="22"/>
      <c r="E793" s="22"/>
      <c r="F793" s="22"/>
      <c r="G793" s="84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9.5" customHeight="1" x14ac:dyDescent="0.55000000000000004">
      <c r="A794" s="21"/>
      <c r="B794" s="21"/>
      <c r="C794" s="21"/>
      <c r="D794" s="22"/>
      <c r="E794" s="22"/>
      <c r="F794" s="22"/>
      <c r="G794" s="84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9.5" customHeight="1" x14ac:dyDescent="0.55000000000000004">
      <c r="A795" s="21"/>
      <c r="B795" s="21"/>
      <c r="C795" s="21"/>
      <c r="D795" s="22"/>
      <c r="E795" s="22"/>
      <c r="F795" s="22"/>
      <c r="G795" s="84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9.5" customHeight="1" x14ac:dyDescent="0.55000000000000004">
      <c r="A796" s="21"/>
      <c r="B796" s="21"/>
      <c r="C796" s="21"/>
      <c r="D796" s="22"/>
      <c r="E796" s="22"/>
      <c r="F796" s="22"/>
      <c r="G796" s="84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9.5" customHeight="1" x14ac:dyDescent="0.55000000000000004">
      <c r="A797" s="21"/>
      <c r="B797" s="21"/>
      <c r="C797" s="21"/>
      <c r="D797" s="22"/>
      <c r="E797" s="22"/>
      <c r="F797" s="22"/>
      <c r="G797" s="84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9.5" customHeight="1" x14ac:dyDescent="0.55000000000000004">
      <c r="A798" s="21"/>
      <c r="B798" s="21"/>
      <c r="C798" s="21"/>
      <c r="D798" s="22"/>
      <c r="E798" s="22"/>
      <c r="F798" s="22"/>
      <c r="G798" s="84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9.5" customHeight="1" x14ac:dyDescent="0.55000000000000004">
      <c r="A799" s="21"/>
      <c r="B799" s="21"/>
      <c r="C799" s="21"/>
      <c r="D799" s="22"/>
      <c r="E799" s="22"/>
      <c r="F799" s="22"/>
      <c r="G799" s="84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9.5" customHeight="1" x14ac:dyDescent="0.55000000000000004">
      <c r="A800" s="21"/>
      <c r="B800" s="21"/>
      <c r="C800" s="21"/>
      <c r="D800" s="22"/>
      <c r="E800" s="22"/>
      <c r="F800" s="22"/>
      <c r="G800" s="84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9.5" customHeight="1" x14ac:dyDescent="0.55000000000000004">
      <c r="A801" s="21"/>
      <c r="B801" s="21"/>
      <c r="C801" s="21"/>
      <c r="D801" s="22"/>
      <c r="E801" s="22"/>
      <c r="F801" s="22"/>
      <c r="G801" s="84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9.5" customHeight="1" x14ac:dyDescent="0.55000000000000004">
      <c r="A802" s="21"/>
      <c r="B802" s="21"/>
      <c r="C802" s="21"/>
      <c r="D802" s="22"/>
      <c r="E802" s="22"/>
      <c r="F802" s="22"/>
      <c r="G802" s="84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9.5" customHeight="1" x14ac:dyDescent="0.55000000000000004">
      <c r="A803" s="21"/>
      <c r="B803" s="21"/>
      <c r="C803" s="21"/>
      <c r="D803" s="22"/>
      <c r="E803" s="22"/>
      <c r="F803" s="22"/>
      <c r="G803" s="84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9.5" customHeight="1" x14ac:dyDescent="0.55000000000000004">
      <c r="A804" s="21"/>
      <c r="B804" s="21"/>
      <c r="C804" s="21"/>
      <c r="D804" s="22"/>
      <c r="E804" s="22"/>
      <c r="F804" s="22"/>
      <c r="G804" s="84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9.5" customHeight="1" x14ac:dyDescent="0.55000000000000004">
      <c r="A805" s="21"/>
      <c r="B805" s="21"/>
      <c r="C805" s="21"/>
      <c r="D805" s="22"/>
      <c r="E805" s="22"/>
      <c r="F805" s="22"/>
      <c r="G805" s="84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9.5" customHeight="1" x14ac:dyDescent="0.55000000000000004">
      <c r="A806" s="21"/>
      <c r="B806" s="21"/>
      <c r="C806" s="21"/>
      <c r="D806" s="22"/>
      <c r="E806" s="22"/>
      <c r="F806" s="22"/>
      <c r="G806" s="84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9.5" customHeight="1" x14ac:dyDescent="0.55000000000000004">
      <c r="A807" s="21"/>
      <c r="B807" s="21"/>
      <c r="C807" s="21"/>
      <c r="D807" s="22"/>
      <c r="E807" s="22"/>
      <c r="F807" s="22"/>
      <c r="G807" s="84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9.5" customHeight="1" x14ac:dyDescent="0.55000000000000004">
      <c r="A808" s="21"/>
      <c r="B808" s="21"/>
      <c r="C808" s="21"/>
      <c r="D808" s="22"/>
      <c r="E808" s="22"/>
      <c r="F808" s="22"/>
      <c r="G808" s="84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9.5" customHeight="1" x14ac:dyDescent="0.55000000000000004">
      <c r="A809" s="21"/>
      <c r="B809" s="21"/>
      <c r="C809" s="21"/>
      <c r="D809" s="22"/>
      <c r="E809" s="22"/>
      <c r="F809" s="22"/>
      <c r="G809" s="84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9.5" customHeight="1" x14ac:dyDescent="0.55000000000000004">
      <c r="A810" s="21"/>
      <c r="B810" s="21"/>
      <c r="C810" s="21"/>
      <c r="D810" s="22"/>
      <c r="E810" s="22"/>
      <c r="F810" s="22"/>
      <c r="G810" s="84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9.5" customHeight="1" x14ac:dyDescent="0.55000000000000004">
      <c r="A811" s="21"/>
      <c r="B811" s="21"/>
      <c r="C811" s="21"/>
      <c r="D811" s="22"/>
      <c r="E811" s="22"/>
      <c r="F811" s="22"/>
      <c r="G811" s="84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9.5" customHeight="1" x14ac:dyDescent="0.55000000000000004">
      <c r="A812" s="21"/>
      <c r="B812" s="21"/>
      <c r="C812" s="21"/>
      <c r="D812" s="22"/>
      <c r="E812" s="22"/>
      <c r="F812" s="22"/>
      <c r="G812" s="84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9.5" customHeight="1" x14ac:dyDescent="0.55000000000000004">
      <c r="A813" s="21"/>
      <c r="B813" s="21"/>
      <c r="C813" s="21"/>
      <c r="D813" s="22"/>
      <c r="E813" s="22"/>
      <c r="F813" s="22"/>
      <c r="G813" s="84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9.5" customHeight="1" x14ac:dyDescent="0.55000000000000004">
      <c r="A814" s="21"/>
      <c r="B814" s="21"/>
      <c r="C814" s="21"/>
      <c r="D814" s="22"/>
      <c r="E814" s="22"/>
      <c r="F814" s="22"/>
      <c r="G814" s="84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9.5" customHeight="1" x14ac:dyDescent="0.55000000000000004">
      <c r="A815" s="21"/>
      <c r="B815" s="21"/>
      <c r="C815" s="21"/>
      <c r="D815" s="22"/>
      <c r="E815" s="22"/>
      <c r="F815" s="22"/>
      <c r="G815" s="84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9.5" customHeight="1" x14ac:dyDescent="0.55000000000000004">
      <c r="A816" s="21"/>
      <c r="B816" s="21"/>
      <c r="C816" s="21"/>
      <c r="D816" s="22"/>
      <c r="E816" s="22"/>
      <c r="F816" s="22"/>
      <c r="G816" s="84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9.5" customHeight="1" x14ac:dyDescent="0.55000000000000004">
      <c r="A817" s="21"/>
      <c r="B817" s="21"/>
      <c r="C817" s="21"/>
      <c r="D817" s="22"/>
      <c r="E817" s="22"/>
      <c r="F817" s="22"/>
      <c r="G817" s="84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9.5" customHeight="1" x14ac:dyDescent="0.55000000000000004">
      <c r="A818" s="21"/>
      <c r="B818" s="21"/>
      <c r="C818" s="21"/>
      <c r="D818" s="22"/>
      <c r="E818" s="22"/>
      <c r="F818" s="22"/>
      <c r="G818" s="84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9.5" customHeight="1" x14ac:dyDescent="0.55000000000000004">
      <c r="A819" s="21"/>
      <c r="B819" s="21"/>
      <c r="C819" s="21"/>
      <c r="D819" s="22"/>
      <c r="E819" s="22"/>
      <c r="F819" s="22"/>
      <c r="G819" s="84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9.5" customHeight="1" x14ac:dyDescent="0.55000000000000004">
      <c r="A820" s="21"/>
      <c r="B820" s="21"/>
      <c r="C820" s="21"/>
      <c r="D820" s="22"/>
      <c r="E820" s="22"/>
      <c r="F820" s="22"/>
      <c r="G820" s="84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9.5" customHeight="1" x14ac:dyDescent="0.55000000000000004">
      <c r="A821" s="21"/>
      <c r="B821" s="21"/>
      <c r="C821" s="21"/>
      <c r="D821" s="22"/>
      <c r="E821" s="22"/>
      <c r="F821" s="22"/>
      <c r="G821" s="84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9.5" customHeight="1" x14ac:dyDescent="0.55000000000000004">
      <c r="A822" s="21"/>
      <c r="B822" s="21"/>
      <c r="C822" s="21"/>
      <c r="D822" s="22"/>
      <c r="E822" s="22"/>
      <c r="F822" s="22"/>
      <c r="G822" s="84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9.5" customHeight="1" x14ac:dyDescent="0.55000000000000004">
      <c r="A823" s="21"/>
      <c r="B823" s="21"/>
      <c r="C823" s="21"/>
      <c r="D823" s="22"/>
      <c r="E823" s="22"/>
      <c r="F823" s="22"/>
      <c r="G823" s="84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9.5" customHeight="1" x14ac:dyDescent="0.55000000000000004">
      <c r="A824" s="21"/>
      <c r="B824" s="21"/>
      <c r="C824" s="21"/>
      <c r="D824" s="22"/>
      <c r="E824" s="22"/>
      <c r="F824" s="22"/>
      <c r="G824" s="84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9.5" customHeight="1" x14ac:dyDescent="0.55000000000000004">
      <c r="A825" s="21"/>
      <c r="B825" s="21"/>
      <c r="C825" s="21"/>
      <c r="D825" s="22"/>
      <c r="E825" s="22"/>
      <c r="F825" s="22"/>
      <c r="G825" s="84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9.5" customHeight="1" x14ac:dyDescent="0.55000000000000004">
      <c r="A826" s="21"/>
      <c r="B826" s="21"/>
      <c r="C826" s="21"/>
      <c r="D826" s="22"/>
      <c r="E826" s="22"/>
      <c r="F826" s="22"/>
      <c r="G826" s="84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9.5" customHeight="1" x14ac:dyDescent="0.55000000000000004">
      <c r="A827" s="21"/>
      <c r="B827" s="21"/>
      <c r="C827" s="21"/>
      <c r="D827" s="22"/>
      <c r="E827" s="22"/>
      <c r="F827" s="22"/>
      <c r="G827" s="84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9.5" customHeight="1" x14ac:dyDescent="0.55000000000000004">
      <c r="A828" s="21"/>
      <c r="B828" s="21"/>
      <c r="C828" s="21"/>
      <c r="D828" s="22"/>
      <c r="E828" s="22"/>
      <c r="F828" s="22"/>
      <c r="G828" s="84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9.5" customHeight="1" x14ac:dyDescent="0.55000000000000004">
      <c r="A829" s="21"/>
      <c r="B829" s="21"/>
      <c r="C829" s="21"/>
      <c r="D829" s="22"/>
      <c r="E829" s="22"/>
      <c r="F829" s="22"/>
      <c r="G829" s="84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9.5" customHeight="1" x14ac:dyDescent="0.55000000000000004">
      <c r="A830" s="21"/>
      <c r="B830" s="21"/>
      <c r="C830" s="21"/>
      <c r="D830" s="22"/>
      <c r="E830" s="22"/>
      <c r="F830" s="22"/>
      <c r="G830" s="84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9.5" customHeight="1" x14ac:dyDescent="0.55000000000000004">
      <c r="A831" s="21"/>
      <c r="B831" s="21"/>
      <c r="C831" s="21"/>
      <c r="D831" s="22"/>
      <c r="E831" s="22"/>
      <c r="F831" s="22"/>
      <c r="G831" s="84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9.5" customHeight="1" x14ac:dyDescent="0.55000000000000004">
      <c r="A832" s="21"/>
      <c r="B832" s="21"/>
      <c r="C832" s="21"/>
      <c r="D832" s="22"/>
      <c r="E832" s="22"/>
      <c r="F832" s="22"/>
      <c r="G832" s="84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9.5" customHeight="1" x14ac:dyDescent="0.55000000000000004">
      <c r="A833" s="21"/>
      <c r="B833" s="21"/>
      <c r="C833" s="21"/>
      <c r="D833" s="22"/>
      <c r="E833" s="22"/>
      <c r="F833" s="22"/>
      <c r="G833" s="84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9.5" customHeight="1" x14ac:dyDescent="0.55000000000000004">
      <c r="A834" s="21"/>
      <c r="B834" s="21"/>
      <c r="C834" s="21"/>
      <c r="D834" s="22"/>
      <c r="E834" s="22"/>
      <c r="F834" s="22"/>
      <c r="G834" s="84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9.5" customHeight="1" x14ac:dyDescent="0.55000000000000004">
      <c r="A835" s="21"/>
      <c r="B835" s="21"/>
      <c r="C835" s="21"/>
      <c r="D835" s="22"/>
      <c r="E835" s="22"/>
      <c r="F835" s="22"/>
      <c r="G835" s="84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9.5" customHeight="1" x14ac:dyDescent="0.55000000000000004">
      <c r="A836" s="21"/>
      <c r="B836" s="21"/>
      <c r="C836" s="21"/>
      <c r="D836" s="22"/>
      <c r="E836" s="22"/>
      <c r="F836" s="22"/>
      <c r="G836" s="84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9.5" customHeight="1" x14ac:dyDescent="0.55000000000000004">
      <c r="A837" s="21"/>
      <c r="B837" s="21"/>
      <c r="C837" s="21"/>
      <c r="D837" s="22"/>
      <c r="E837" s="22"/>
      <c r="F837" s="22"/>
      <c r="G837" s="84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9.5" customHeight="1" x14ac:dyDescent="0.55000000000000004">
      <c r="A838" s="21"/>
      <c r="B838" s="21"/>
      <c r="C838" s="21"/>
      <c r="D838" s="22"/>
      <c r="E838" s="22"/>
      <c r="F838" s="22"/>
      <c r="G838" s="84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9.5" customHeight="1" x14ac:dyDescent="0.55000000000000004">
      <c r="A839" s="21"/>
      <c r="B839" s="21"/>
      <c r="C839" s="21"/>
      <c r="D839" s="22"/>
      <c r="E839" s="22"/>
      <c r="F839" s="22"/>
      <c r="G839" s="84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9.5" customHeight="1" x14ac:dyDescent="0.55000000000000004">
      <c r="A840" s="21"/>
      <c r="B840" s="21"/>
      <c r="C840" s="21"/>
      <c r="D840" s="22"/>
      <c r="E840" s="22"/>
      <c r="F840" s="22"/>
      <c r="G840" s="84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9.5" customHeight="1" x14ac:dyDescent="0.55000000000000004">
      <c r="A841" s="21"/>
      <c r="B841" s="21"/>
      <c r="C841" s="21"/>
      <c r="D841" s="22"/>
      <c r="E841" s="22"/>
      <c r="F841" s="22"/>
      <c r="G841" s="84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9.5" customHeight="1" x14ac:dyDescent="0.55000000000000004">
      <c r="A842" s="21"/>
      <c r="B842" s="21"/>
      <c r="C842" s="21"/>
      <c r="D842" s="22"/>
      <c r="E842" s="22"/>
      <c r="F842" s="22"/>
      <c r="G842" s="84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9.5" customHeight="1" x14ac:dyDescent="0.55000000000000004">
      <c r="A843" s="21"/>
      <c r="B843" s="21"/>
      <c r="C843" s="21"/>
      <c r="D843" s="22"/>
      <c r="E843" s="22"/>
      <c r="F843" s="22"/>
      <c r="G843" s="84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9.5" customHeight="1" x14ac:dyDescent="0.55000000000000004">
      <c r="A844" s="21"/>
      <c r="B844" s="21"/>
      <c r="C844" s="21"/>
      <c r="D844" s="22"/>
      <c r="E844" s="22"/>
      <c r="F844" s="22"/>
      <c r="G844" s="84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9.5" customHeight="1" x14ac:dyDescent="0.55000000000000004">
      <c r="A845" s="21"/>
      <c r="B845" s="21"/>
      <c r="C845" s="21"/>
      <c r="D845" s="22"/>
      <c r="E845" s="22"/>
      <c r="F845" s="22"/>
      <c r="G845" s="84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9.5" customHeight="1" x14ac:dyDescent="0.55000000000000004">
      <c r="A846" s="21"/>
      <c r="B846" s="21"/>
      <c r="C846" s="21"/>
      <c r="D846" s="22"/>
      <c r="E846" s="22"/>
      <c r="F846" s="22"/>
      <c r="G846" s="84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9.5" customHeight="1" x14ac:dyDescent="0.55000000000000004">
      <c r="A847" s="21"/>
      <c r="B847" s="21"/>
      <c r="C847" s="21"/>
      <c r="D847" s="22"/>
      <c r="E847" s="22"/>
      <c r="F847" s="22"/>
      <c r="G847" s="84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9.5" customHeight="1" x14ac:dyDescent="0.55000000000000004">
      <c r="A848" s="21"/>
      <c r="B848" s="21"/>
      <c r="C848" s="21"/>
      <c r="D848" s="22"/>
      <c r="E848" s="22"/>
      <c r="F848" s="22"/>
      <c r="G848" s="84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9.5" customHeight="1" x14ac:dyDescent="0.55000000000000004">
      <c r="A849" s="21"/>
      <c r="B849" s="21"/>
      <c r="C849" s="21"/>
      <c r="D849" s="22"/>
      <c r="E849" s="22"/>
      <c r="F849" s="22"/>
      <c r="G849" s="84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9.5" customHeight="1" x14ac:dyDescent="0.55000000000000004">
      <c r="A850" s="21"/>
      <c r="B850" s="21"/>
      <c r="C850" s="21"/>
      <c r="D850" s="22"/>
      <c r="E850" s="22"/>
      <c r="F850" s="22"/>
      <c r="G850" s="84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9.5" customHeight="1" x14ac:dyDescent="0.55000000000000004">
      <c r="A851" s="21"/>
      <c r="B851" s="21"/>
      <c r="C851" s="21"/>
      <c r="D851" s="22"/>
      <c r="E851" s="22"/>
      <c r="F851" s="22"/>
      <c r="G851" s="84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9.5" customHeight="1" x14ac:dyDescent="0.55000000000000004">
      <c r="A852" s="21"/>
      <c r="B852" s="21"/>
      <c r="C852" s="21"/>
      <c r="D852" s="22"/>
      <c r="E852" s="22"/>
      <c r="F852" s="22"/>
      <c r="G852" s="84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9.5" customHeight="1" x14ac:dyDescent="0.55000000000000004">
      <c r="A853" s="21"/>
      <c r="B853" s="21"/>
      <c r="C853" s="21"/>
      <c r="D853" s="22"/>
      <c r="E853" s="22"/>
      <c r="F853" s="22"/>
      <c r="G853" s="84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9.5" customHeight="1" x14ac:dyDescent="0.55000000000000004">
      <c r="A854" s="21"/>
      <c r="B854" s="21"/>
      <c r="C854" s="21"/>
      <c r="D854" s="22"/>
      <c r="E854" s="22"/>
      <c r="F854" s="22"/>
      <c r="G854" s="84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9.5" customHeight="1" x14ac:dyDescent="0.55000000000000004">
      <c r="A855" s="21"/>
      <c r="B855" s="21"/>
      <c r="C855" s="21"/>
      <c r="D855" s="22"/>
      <c r="E855" s="22"/>
      <c r="F855" s="22"/>
      <c r="G855" s="84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9.5" customHeight="1" x14ac:dyDescent="0.55000000000000004">
      <c r="A856" s="21"/>
      <c r="B856" s="21"/>
      <c r="C856" s="21"/>
      <c r="D856" s="22"/>
      <c r="E856" s="22"/>
      <c r="F856" s="22"/>
      <c r="G856" s="84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9.5" customHeight="1" x14ac:dyDescent="0.55000000000000004">
      <c r="A857" s="21"/>
      <c r="B857" s="21"/>
      <c r="C857" s="21"/>
      <c r="D857" s="22"/>
      <c r="E857" s="22"/>
      <c r="F857" s="22"/>
      <c r="G857" s="84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9.5" customHeight="1" x14ac:dyDescent="0.55000000000000004">
      <c r="A858" s="21"/>
      <c r="B858" s="21"/>
      <c r="C858" s="21"/>
      <c r="D858" s="22"/>
      <c r="E858" s="22"/>
      <c r="F858" s="22"/>
      <c r="G858" s="84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9.5" customHeight="1" x14ac:dyDescent="0.55000000000000004">
      <c r="A859" s="21"/>
      <c r="B859" s="21"/>
      <c r="C859" s="21"/>
      <c r="D859" s="22"/>
      <c r="E859" s="22"/>
      <c r="F859" s="22"/>
      <c r="G859" s="84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9.5" customHeight="1" x14ac:dyDescent="0.55000000000000004">
      <c r="A860" s="21"/>
      <c r="B860" s="21"/>
      <c r="C860" s="21"/>
      <c r="D860" s="22"/>
      <c r="E860" s="22"/>
      <c r="F860" s="22"/>
      <c r="G860" s="84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9.5" customHeight="1" x14ac:dyDescent="0.55000000000000004">
      <c r="A861" s="21"/>
      <c r="B861" s="21"/>
      <c r="C861" s="21"/>
      <c r="D861" s="22"/>
      <c r="E861" s="22"/>
      <c r="F861" s="22"/>
      <c r="G861" s="84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9.5" customHeight="1" x14ac:dyDescent="0.55000000000000004">
      <c r="A862" s="21"/>
      <c r="B862" s="21"/>
      <c r="C862" s="21"/>
      <c r="D862" s="22"/>
      <c r="E862" s="22"/>
      <c r="F862" s="22"/>
      <c r="G862" s="84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9.5" customHeight="1" x14ac:dyDescent="0.55000000000000004">
      <c r="A863" s="21"/>
      <c r="B863" s="21"/>
      <c r="C863" s="21"/>
      <c r="D863" s="22"/>
      <c r="E863" s="22"/>
      <c r="F863" s="22"/>
      <c r="G863" s="84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9.5" customHeight="1" x14ac:dyDescent="0.55000000000000004">
      <c r="A864" s="21"/>
      <c r="B864" s="21"/>
      <c r="C864" s="21"/>
      <c r="D864" s="22"/>
      <c r="E864" s="22"/>
      <c r="F864" s="22"/>
      <c r="G864" s="84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9.5" customHeight="1" x14ac:dyDescent="0.55000000000000004">
      <c r="A865" s="21"/>
      <c r="B865" s="21"/>
      <c r="C865" s="21"/>
      <c r="D865" s="22"/>
      <c r="E865" s="22"/>
      <c r="F865" s="22"/>
      <c r="G865" s="84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9.5" customHeight="1" x14ac:dyDescent="0.55000000000000004">
      <c r="A866" s="21"/>
      <c r="B866" s="21"/>
      <c r="C866" s="21"/>
      <c r="D866" s="22"/>
      <c r="E866" s="22"/>
      <c r="F866" s="22"/>
      <c r="G866" s="84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9.5" customHeight="1" x14ac:dyDescent="0.55000000000000004">
      <c r="A867" s="21"/>
      <c r="B867" s="21"/>
      <c r="C867" s="21"/>
      <c r="D867" s="22"/>
      <c r="E867" s="22"/>
      <c r="F867" s="22"/>
      <c r="G867" s="84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9.5" customHeight="1" x14ac:dyDescent="0.55000000000000004">
      <c r="A868" s="21"/>
      <c r="B868" s="21"/>
      <c r="C868" s="21"/>
      <c r="D868" s="22"/>
      <c r="E868" s="22"/>
      <c r="F868" s="22"/>
      <c r="G868" s="84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9.5" customHeight="1" x14ac:dyDescent="0.55000000000000004">
      <c r="A869" s="21"/>
      <c r="B869" s="21"/>
      <c r="C869" s="21"/>
      <c r="D869" s="22"/>
      <c r="E869" s="22"/>
      <c r="F869" s="22"/>
      <c r="G869" s="84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9.5" customHeight="1" x14ac:dyDescent="0.55000000000000004">
      <c r="A870" s="21"/>
      <c r="B870" s="21"/>
      <c r="C870" s="21"/>
      <c r="D870" s="22"/>
      <c r="E870" s="22"/>
      <c r="F870" s="22"/>
      <c r="G870" s="84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9.5" customHeight="1" x14ac:dyDescent="0.55000000000000004">
      <c r="A871" s="21"/>
      <c r="B871" s="21"/>
      <c r="C871" s="21"/>
      <c r="D871" s="22"/>
      <c r="E871" s="22"/>
      <c r="F871" s="22"/>
      <c r="G871" s="84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9.5" customHeight="1" x14ac:dyDescent="0.55000000000000004">
      <c r="A872" s="21"/>
      <c r="B872" s="21"/>
      <c r="C872" s="21"/>
      <c r="D872" s="22"/>
      <c r="E872" s="22"/>
      <c r="F872" s="22"/>
      <c r="G872" s="84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9.5" customHeight="1" x14ac:dyDescent="0.55000000000000004">
      <c r="A873" s="21"/>
      <c r="B873" s="21"/>
      <c r="C873" s="21"/>
      <c r="D873" s="22"/>
      <c r="E873" s="22"/>
      <c r="F873" s="22"/>
      <c r="G873" s="84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9.5" customHeight="1" x14ac:dyDescent="0.55000000000000004">
      <c r="A874" s="21"/>
      <c r="B874" s="21"/>
      <c r="C874" s="21"/>
      <c r="D874" s="22"/>
      <c r="E874" s="22"/>
      <c r="F874" s="22"/>
      <c r="G874" s="84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9.5" customHeight="1" x14ac:dyDescent="0.55000000000000004">
      <c r="A875" s="21"/>
      <c r="B875" s="21"/>
      <c r="C875" s="21"/>
      <c r="D875" s="22"/>
      <c r="E875" s="22"/>
      <c r="F875" s="22"/>
      <c r="G875" s="84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9.5" customHeight="1" x14ac:dyDescent="0.55000000000000004">
      <c r="A876" s="21"/>
      <c r="B876" s="21"/>
      <c r="C876" s="21"/>
      <c r="D876" s="22"/>
      <c r="E876" s="22"/>
      <c r="F876" s="22"/>
      <c r="G876" s="84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9.5" customHeight="1" x14ac:dyDescent="0.55000000000000004">
      <c r="A877" s="21"/>
      <c r="B877" s="21"/>
      <c r="C877" s="21"/>
      <c r="D877" s="22"/>
      <c r="E877" s="22"/>
      <c r="F877" s="22"/>
      <c r="G877" s="84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9.5" customHeight="1" x14ac:dyDescent="0.55000000000000004">
      <c r="A878" s="21"/>
      <c r="B878" s="21"/>
      <c r="C878" s="21"/>
      <c r="D878" s="22"/>
      <c r="E878" s="22"/>
      <c r="F878" s="22"/>
      <c r="G878" s="84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9.5" customHeight="1" x14ac:dyDescent="0.55000000000000004">
      <c r="A879" s="21"/>
      <c r="B879" s="21"/>
      <c r="C879" s="21"/>
      <c r="D879" s="22"/>
      <c r="E879" s="22"/>
      <c r="F879" s="22"/>
      <c r="G879" s="84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9.5" customHeight="1" x14ac:dyDescent="0.55000000000000004">
      <c r="A880" s="21"/>
      <c r="B880" s="21"/>
      <c r="C880" s="21"/>
      <c r="D880" s="22"/>
      <c r="E880" s="22"/>
      <c r="F880" s="22"/>
      <c r="G880" s="84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9.5" customHeight="1" x14ac:dyDescent="0.55000000000000004">
      <c r="A881" s="21"/>
      <c r="B881" s="21"/>
      <c r="C881" s="21"/>
      <c r="D881" s="22"/>
      <c r="E881" s="22"/>
      <c r="F881" s="22"/>
      <c r="G881" s="84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9.5" customHeight="1" x14ac:dyDescent="0.55000000000000004">
      <c r="A882" s="21"/>
      <c r="B882" s="21"/>
      <c r="C882" s="21"/>
      <c r="D882" s="22"/>
      <c r="E882" s="22"/>
      <c r="F882" s="22"/>
      <c r="G882" s="84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9.5" customHeight="1" x14ac:dyDescent="0.55000000000000004">
      <c r="A883" s="21"/>
      <c r="B883" s="21"/>
      <c r="C883" s="21"/>
      <c r="D883" s="22"/>
      <c r="E883" s="22"/>
      <c r="F883" s="22"/>
      <c r="G883" s="84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9.5" customHeight="1" x14ac:dyDescent="0.55000000000000004">
      <c r="A884" s="21"/>
      <c r="B884" s="21"/>
      <c r="C884" s="21"/>
      <c r="D884" s="22"/>
      <c r="E884" s="22"/>
      <c r="F884" s="22"/>
      <c r="G884" s="84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9.5" customHeight="1" x14ac:dyDescent="0.55000000000000004">
      <c r="A885" s="21"/>
      <c r="B885" s="21"/>
      <c r="C885" s="21"/>
      <c r="D885" s="22"/>
      <c r="E885" s="22"/>
      <c r="F885" s="22"/>
      <c r="G885" s="84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9.5" customHeight="1" x14ac:dyDescent="0.55000000000000004">
      <c r="A886" s="21"/>
      <c r="B886" s="21"/>
      <c r="C886" s="21"/>
      <c r="D886" s="22"/>
      <c r="E886" s="22"/>
      <c r="F886" s="22"/>
      <c r="G886" s="84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9.5" customHeight="1" x14ac:dyDescent="0.55000000000000004">
      <c r="A887" s="21"/>
      <c r="B887" s="21"/>
      <c r="C887" s="21"/>
      <c r="D887" s="22"/>
      <c r="E887" s="22"/>
      <c r="F887" s="22"/>
      <c r="G887" s="84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9.5" customHeight="1" x14ac:dyDescent="0.55000000000000004">
      <c r="A888" s="21"/>
      <c r="B888" s="21"/>
      <c r="C888" s="21"/>
      <c r="D888" s="22"/>
      <c r="E888" s="22"/>
      <c r="F888" s="22"/>
      <c r="G888" s="84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9.5" customHeight="1" x14ac:dyDescent="0.55000000000000004">
      <c r="A889" s="21"/>
      <c r="B889" s="21"/>
      <c r="C889" s="21"/>
      <c r="D889" s="22"/>
      <c r="E889" s="22"/>
      <c r="F889" s="22"/>
      <c r="G889" s="84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9.5" customHeight="1" x14ac:dyDescent="0.55000000000000004">
      <c r="A890" s="21"/>
      <c r="B890" s="21"/>
      <c r="C890" s="21"/>
      <c r="D890" s="22"/>
      <c r="E890" s="22"/>
      <c r="F890" s="22"/>
      <c r="G890" s="84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9.5" customHeight="1" x14ac:dyDescent="0.55000000000000004">
      <c r="A891" s="21"/>
      <c r="B891" s="21"/>
      <c r="C891" s="21"/>
      <c r="D891" s="22"/>
      <c r="E891" s="22"/>
      <c r="F891" s="22"/>
      <c r="G891" s="84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9.5" customHeight="1" x14ac:dyDescent="0.55000000000000004">
      <c r="A892" s="21"/>
      <c r="B892" s="21"/>
      <c r="C892" s="21"/>
      <c r="D892" s="22"/>
      <c r="E892" s="22"/>
      <c r="F892" s="22"/>
      <c r="G892" s="84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9.5" customHeight="1" x14ac:dyDescent="0.55000000000000004">
      <c r="A893" s="21"/>
      <c r="B893" s="21"/>
      <c r="C893" s="21"/>
      <c r="D893" s="22"/>
      <c r="E893" s="22"/>
      <c r="F893" s="22"/>
      <c r="G893" s="84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9.5" customHeight="1" x14ac:dyDescent="0.55000000000000004">
      <c r="A894" s="21"/>
      <c r="B894" s="21"/>
      <c r="C894" s="21"/>
      <c r="D894" s="22"/>
      <c r="E894" s="22"/>
      <c r="F894" s="22"/>
      <c r="G894" s="84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9.5" customHeight="1" x14ac:dyDescent="0.55000000000000004">
      <c r="A895" s="21"/>
      <c r="B895" s="21"/>
      <c r="C895" s="21"/>
      <c r="D895" s="22"/>
      <c r="E895" s="22"/>
      <c r="F895" s="22"/>
      <c r="G895" s="84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9.5" customHeight="1" x14ac:dyDescent="0.55000000000000004">
      <c r="A896" s="21"/>
      <c r="B896" s="21"/>
      <c r="C896" s="21"/>
      <c r="D896" s="22"/>
      <c r="E896" s="22"/>
      <c r="F896" s="22"/>
      <c r="G896" s="84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9.5" customHeight="1" x14ac:dyDescent="0.55000000000000004">
      <c r="A897" s="21"/>
      <c r="B897" s="21"/>
      <c r="C897" s="21"/>
      <c r="D897" s="22"/>
      <c r="E897" s="22"/>
      <c r="F897" s="22"/>
      <c r="G897" s="84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9.5" customHeight="1" x14ac:dyDescent="0.55000000000000004">
      <c r="A898" s="21"/>
      <c r="B898" s="21"/>
      <c r="C898" s="21"/>
      <c r="D898" s="22"/>
      <c r="E898" s="22"/>
      <c r="F898" s="22"/>
      <c r="G898" s="84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9.5" customHeight="1" x14ac:dyDescent="0.55000000000000004">
      <c r="A899" s="21"/>
      <c r="B899" s="21"/>
      <c r="C899" s="21"/>
      <c r="D899" s="22"/>
      <c r="E899" s="22"/>
      <c r="F899" s="22"/>
      <c r="G899" s="84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9.5" customHeight="1" x14ac:dyDescent="0.55000000000000004">
      <c r="A900" s="21"/>
      <c r="B900" s="21"/>
      <c r="C900" s="21"/>
      <c r="D900" s="22"/>
      <c r="E900" s="22"/>
      <c r="F900" s="22"/>
      <c r="G900" s="84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9.5" customHeight="1" x14ac:dyDescent="0.55000000000000004">
      <c r="A901" s="21"/>
      <c r="B901" s="21"/>
      <c r="C901" s="21"/>
      <c r="D901" s="22"/>
      <c r="E901" s="22"/>
      <c r="F901" s="22"/>
      <c r="G901" s="84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9.5" customHeight="1" x14ac:dyDescent="0.55000000000000004">
      <c r="A902" s="21"/>
      <c r="B902" s="21"/>
      <c r="C902" s="21"/>
      <c r="D902" s="22"/>
      <c r="E902" s="22"/>
      <c r="F902" s="22"/>
      <c r="G902" s="84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9.5" customHeight="1" x14ac:dyDescent="0.55000000000000004">
      <c r="A903" s="21"/>
      <c r="B903" s="21"/>
      <c r="C903" s="21"/>
      <c r="D903" s="22"/>
      <c r="E903" s="22"/>
      <c r="F903" s="22"/>
      <c r="G903" s="84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9.5" customHeight="1" x14ac:dyDescent="0.55000000000000004">
      <c r="A904" s="21"/>
      <c r="B904" s="21"/>
      <c r="C904" s="21"/>
      <c r="D904" s="22"/>
      <c r="E904" s="22"/>
      <c r="F904" s="22"/>
      <c r="G904" s="84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9.5" customHeight="1" x14ac:dyDescent="0.55000000000000004">
      <c r="A905" s="21"/>
      <c r="B905" s="21"/>
      <c r="C905" s="21"/>
      <c r="D905" s="22"/>
      <c r="E905" s="22"/>
      <c r="F905" s="22"/>
      <c r="G905" s="84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9.5" customHeight="1" x14ac:dyDescent="0.55000000000000004">
      <c r="A906" s="21"/>
      <c r="B906" s="21"/>
      <c r="C906" s="21"/>
      <c r="D906" s="22"/>
      <c r="E906" s="22"/>
      <c r="F906" s="22"/>
      <c r="G906" s="84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9.5" customHeight="1" x14ac:dyDescent="0.55000000000000004">
      <c r="A907" s="21"/>
      <c r="B907" s="21"/>
      <c r="C907" s="21"/>
      <c r="D907" s="22"/>
      <c r="E907" s="22"/>
      <c r="F907" s="22"/>
      <c r="G907" s="84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9.5" customHeight="1" x14ac:dyDescent="0.55000000000000004">
      <c r="A908" s="21"/>
      <c r="B908" s="21"/>
      <c r="C908" s="21"/>
      <c r="D908" s="22"/>
      <c r="E908" s="22"/>
      <c r="F908" s="22"/>
      <c r="G908" s="84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9.5" customHeight="1" x14ac:dyDescent="0.55000000000000004">
      <c r="A909" s="21"/>
      <c r="B909" s="21"/>
      <c r="C909" s="21"/>
      <c r="D909" s="22"/>
      <c r="E909" s="22"/>
      <c r="F909" s="22"/>
      <c r="G909" s="84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9.5" customHeight="1" x14ac:dyDescent="0.55000000000000004">
      <c r="A910" s="21"/>
      <c r="B910" s="21"/>
      <c r="C910" s="21"/>
      <c r="D910" s="22"/>
      <c r="E910" s="22"/>
      <c r="F910" s="22"/>
      <c r="G910" s="84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9.5" customHeight="1" x14ac:dyDescent="0.55000000000000004">
      <c r="A911" s="21"/>
      <c r="B911" s="21"/>
      <c r="C911" s="21"/>
      <c r="D911" s="22"/>
      <c r="E911" s="22"/>
      <c r="F911" s="22"/>
      <c r="G911" s="84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9.5" customHeight="1" x14ac:dyDescent="0.55000000000000004">
      <c r="A912" s="21"/>
      <c r="B912" s="21"/>
      <c r="C912" s="21"/>
      <c r="D912" s="22"/>
      <c r="E912" s="22"/>
      <c r="F912" s="22"/>
      <c r="G912" s="84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9.5" customHeight="1" x14ac:dyDescent="0.55000000000000004">
      <c r="A913" s="21"/>
      <c r="B913" s="21"/>
      <c r="C913" s="21"/>
      <c r="D913" s="22"/>
      <c r="E913" s="22"/>
      <c r="F913" s="22"/>
      <c r="G913" s="84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9.5" customHeight="1" x14ac:dyDescent="0.55000000000000004">
      <c r="A914" s="21"/>
      <c r="B914" s="21"/>
      <c r="C914" s="21"/>
      <c r="D914" s="22"/>
      <c r="E914" s="22"/>
      <c r="F914" s="22"/>
      <c r="G914" s="84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9.5" customHeight="1" x14ac:dyDescent="0.55000000000000004">
      <c r="A915" s="21"/>
      <c r="B915" s="21"/>
      <c r="C915" s="21"/>
      <c r="D915" s="22"/>
      <c r="E915" s="22"/>
      <c r="F915" s="22"/>
      <c r="G915" s="84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9.5" customHeight="1" x14ac:dyDescent="0.55000000000000004">
      <c r="A916" s="21"/>
      <c r="B916" s="21"/>
      <c r="C916" s="21"/>
      <c r="D916" s="22"/>
      <c r="E916" s="22"/>
      <c r="F916" s="22"/>
      <c r="G916" s="84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9.5" customHeight="1" x14ac:dyDescent="0.55000000000000004">
      <c r="A917" s="21"/>
      <c r="B917" s="21"/>
      <c r="C917" s="21"/>
      <c r="D917" s="22"/>
      <c r="E917" s="22"/>
      <c r="F917" s="22"/>
      <c r="G917" s="84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9.5" customHeight="1" x14ac:dyDescent="0.55000000000000004">
      <c r="A918" s="21"/>
      <c r="B918" s="21"/>
      <c r="C918" s="21"/>
      <c r="D918" s="22"/>
      <c r="E918" s="22"/>
      <c r="F918" s="22"/>
      <c r="G918" s="84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9.5" customHeight="1" x14ac:dyDescent="0.55000000000000004">
      <c r="A919" s="21"/>
      <c r="B919" s="21"/>
      <c r="C919" s="21"/>
      <c r="D919" s="22"/>
      <c r="E919" s="22"/>
      <c r="F919" s="22"/>
      <c r="G919" s="84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9.5" customHeight="1" x14ac:dyDescent="0.55000000000000004">
      <c r="A920" s="21"/>
      <c r="B920" s="21"/>
      <c r="C920" s="21"/>
      <c r="D920" s="22"/>
      <c r="E920" s="22"/>
      <c r="F920" s="22"/>
      <c r="G920" s="84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9.5" customHeight="1" x14ac:dyDescent="0.55000000000000004">
      <c r="A921" s="21"/>
      <c r="B921" s="21"/>
      <c r="C921" s="21"/>
      <c r="D921" s="22"/>
      <c r="E921" s="22"/>
      <c r="F921" s="22"/>
      <c r="G921" s="84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9.5" customHeight="1" x14ac:dyDescent="0.55000000000000004">
      <c r="A922" s="21"/>
      <c r="B922" s="21"/>
      <c r="C922" s="21"/>
      <c r="D922" s="22"/>
      <c r="E922" s="22"/>
      <c r="F922" s="22"/>
      <c r="G922" s="84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9.5" customHeight="1" x14ac:dyDescent="0.55000000000000004">
      <c r="A923" s="21"/>
      <c r="B923" s="21"/>
      <c r="C923" s="21"/>
      <c r="D923" s="22"/>
      <c r="E923" s="22"/>
      <c r="F923" s="22"/>
      <c r="G923" s="84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9.5" customHeight="1" x14ac:dyDescent="0.55000000000000004">
      <c r="A924" s="21"/>
      <c r="B924" s="21"/>
      <c r="C924" s="21"/>
      <c r="D924" s="22"/>
      <c r="E924" s="22"/>
      <c r="F924" s="22"/>
      <c r="G924" s="84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9.5" customHeight="1" x14ac:dyDescent="0.55000000000000004">
      <c r="A925" s="21"/>
      <c r="B925" s="21"/>
      <c r="C925" s="21"/>
      <c r="D925" s="22"/>
      <c r="E925" s="22"/>
      <c r="F925" s="22"/>
      <c r="G925" s="84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9.5" customHeight="1" x14ac:dyDescent="0.55000000000000004">
      <c r="A926" s="21"/>
      <c r="B926" s="21"/>
      <c r="C926" s="21"/>
      <c r="D926" s="22"/>
      <c r="E926" s="22"/>
      <c r="F926" s="22"/>
      <c r="G926" s="84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9.5" customHeight="1" x14ac:dyDescent="0.55000000000000004">
      <c r="A927" s="21"/>
      <c r="B927" s="21"/>
      <c r="C927" s="21"/>
      <c r="D927" s="22"/>
      <c r="E927" s="22"/>
      <c r="F927" s="22"/>
      <c r="G927" s="84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9.5" customHeight="1" x14ac:dyDescent="0.55000000000000004">
      <c r="A928" s="21"/>
      <c r="B928" s="21"/>
      <c r="C928" s="21"/>
      <c r="D928" s="22"/>
      <c r="E928" s="22"/>
      <c r="F928" s="22"/>
      <c r="G928" s="84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9.5" customHeight="1" x14ac:dyDescent="0.55000000000000004">
      <c r="A929" s="21"/>
      <c r="B929" s="21"/>
      <c r="C929" s="21"/>
      <c r="D929" s="22"/>
      <c r="E929" s="22"/>
      <c r="F929" s="22"/>
      <c r="G929" s="84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9.5" customHeight="1" x14ac:dyDescent="0.55000000000000004">
      <c r="A930" s="21"/>
      <c r="B930" s="21"/>
      <c r="C930" s="21"/>
      <c r="D930" s="22"/>
      <c r="E930" s="22"/>
      <c r="F930" s="22"/>
      <c r="G930" s="84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9.5" customHeight="1" x14ac:dyDescent="0.55000000000000004">
      <c r="A931" s="21"/>
      <c r="B931" s="21"/>
      <c r="C931" s="21"/>
      <c r="D931" s="22"/>
      <c r="E931" s="22"/>
      <c r="F931" s="22"/>
      <c r="G931" s="84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9.5" customHeight="1" x14ac:dyDescent="0.55000000000000004">
      <c r="A932" s="21"/>
      <c r="B932" s="21"/>
      <c r="C932" s="21"/>
      <c r="D932" s="22"/>
      <c r="E932" s="22"/>
      <c r="F932" s="22"/>
      <c r="G932" s="84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9.5" customHeight="1" x14ac:dyDescent="0.55000000000000004">
      <c r="A933" s="21"/>
      <c r="B933" s="21"/>
      <c r="C933" s="21"/>
      <c r="D933" s="22"/>
      <c r="E933" s="22"/>
      <c r="F933" s="22"/>
      <c r="G933" s="84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9.5" customHeight="1" x14ac:dyDescent="0.55000000000000004">
      <c r="A934" s="21"/>
      <c r="B934" s="21"/>
      <c r="C934" s="21"/>
      <c r="D934" s="22"/>
      <c r="E934" s="22"/>
      <c r="F934" s="22"/>
      <c r="G934" s="84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9.5" customHeight="1" x14ac:dyDescent="0.55000000000000004">
      <c r="A935" s="21"/>
      <c r="B935" s="21"/>
      <c r="C935" s="21"/>
      <c r="D935" s="22"/>
      <c r="E935" s="22"/>
      <c r="F935" s="22"/>
      <c r="G935" s="84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9.5" customHeight="1" x14ac:dyDescent="0.55000000000000004">
      <c r="A936" s="21"/>
      <c r="B936" s="21"/>
      <c r="C936" s="21"/>
      <c r="D936" s="22"/>
      <c r="E936" s="22"/>
      <c r="F936" s="22"/>
      <c r="G936" s="84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9.5" customHeight="1" x14ac:dyDescent="0.55000000000000004">
      <c r="A937" s="21"/>
      <c r="B937" s="21"/>
      <c r="C937" s="21"/>
      <c r="D937" s="22"/>
      <c r="E937" s="22"/>
      <c r="F937" s="22"/>
      <c r="G937" s="84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9.5" customHeight="1" x14ac:dyDescent="0.55000000000000004">
      <c r="A938" s="21"/>
      <c r="B938" s="21"/>
      <c r="C938" s="21"/>
      <c r="D938" s="22"/>
      <c r="E938" s="22"/>
      <c r="F938" s="22"/>
      <c r="G938" s="84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9.5" customHeight="1" x14ac:dyDescent="0.55000000000000004">
      <c r="A939" s="21"/>
      <c r="B939" s="21"/>
      <c r="C939" s="21"/>
      <c r="D939" s="22"/>
      <c r="E939" s="22"/>
      <c r="F939" s="22"/>
      <c r="G939" s="84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9.5" customHeight="1" x14ac:dyDescent="0.55000000000000004">
      <c r="A940" s="21"/>
      <c r="B940" s="21"/>
      <c r="C940" s="21"/>
      <c r="D940" s="22"/>
      <c r="E940" s="22"/>
      <c r="F940" s="22"/>
      <c r="G940" s="84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9.5" customHeight="1" x14ac:dyDescent="0.55000000000000004">
      <c r="A941" s="21"/>
      <c r="B941" s="21"/>
      <c r="C941" s="21"/>
      <c r="D941" s="22"/>
      <c r="E941" s="22"/>
      <c r="F941" s="22"/>
      <c r="G941" s="84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9.5" customHeight="1" x14ac:dyDescent="0.55000000000000004">
      <c r="A942" s="21"/>
      <c r="B942" s="21"/>
      <c r="C942" s="21"/>
      <c r="D942" s="22"/>
      <c r="E942" s="22"/>
      <c r="F942" s="22"/>
      <c r="G942" s="84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9.5" customHeight="1" x14ac:dyDescent="0.55000000000000004">
      <c r="A943" s="21"/>
      <c r="B943" s="21"/>
      <c r="C943" s="21"/>
      <c r="D943" s="22"/>
      <c r="E943" s="22"/>
      <c r="F943" s="22"/>
      <c r="G943" s="84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9.5" customHeight="1" x14ac:dyDescent="0.55000000000000004">
      <c r="A944" s="21"/>
      <c r="B944" s="21"/>
      <c r="C944" s="21"/>
      <c r="D944" s="22"/>
      <c r="E944" s="22"/>
      <c r="F944" s="22"/>
      <c r="G944" s="84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9.5" customHeight="1" x14ac:dyDescent="0.55000000000000004">
      <c r="A945" s="21"/>
      <c r="B945" s="21"/>
      <c r="C945" s="21"/>
      <c r="D945" s="22"/>
      <c r="E945" s="22"/>
      <c r="F945" s="22"/>
      <c r="G945" s="84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9.5" customHeight="1" x14ac:dyDescent="0.55000000000000004">
      <c r="A946" s="21"/>
      <c r="B946" s="21"/>
      <c r="C946" s="21"/>
      <c r="D946" s="22"/>
      <c r="E946" s="22"/>
      <c r="F946" s="22"/>
      <c r="G946" s="84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9.5" customHeight="1" x14ac:dyDescent="0.55000000000000004">
      <c r="A947" s="21"/>
      <c r="B947" s="21"/>
      <c r="C947" s="21"/>
      <c r="D947" s="22"/>
      <c r="E947" s="22"/>
      <c r="F947" s="22"/>
      <c r="G947" s="84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9.5" customHeight="1" x14ac:dyDescent="0.55000000000000004">
      <c r="A948" s="21"/>
      <c r="B948" s="21"/>
      <c r="C948" s="21"/>
      <c r="D948" s="22"/>
      <c r="E948" s="22"/>
      <c r="F948" s="22"/>
      <c r="G948" s="84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9.5" customHeight="1" x14ac:dyDescent="0.55000000000000004">
      <c r="A949" s="21"/>
      <c r="B949" s="21"/>
      <c r="C949" s="21"/>
      <c r="D949" s="22"/>
      <c r="E949" s="22"/>
      <c r="F949" s="22"/>
      <c r="G949" s="84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9.5" customHeight="1" x14ac:dyDescent="0.55000000000000004">
      <c r="A950" s="21"/>
      <c r="B950" s="21"/>
      <c r="C950" s="21"/>
      <c r="D950" s="22"/>
      <c r="E950" s="22"/>
      <c r="F950" s="22"/>
      <c r="G950" s="84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9.5" customHeight="1" x14ac:dyDescent="0.55000000000000004">
      <c r="A951" s="21"/>
      <c r="B951" s="21"/>
      <c r="C951" s="21"/>
      <c r="D951" s="22"/>
      <c r="E951" s="22"/>
      <c r="F951" s="22"/>
      <c r="G951" s="84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9.5" customHeight="1" x14ac:dyDescent="0.55000000000000004">
      <c r="A952" s="21"/>
      <c r="B952" s="21"/>
      <c r="C952" s="21"/>
      <c r="D952" s="22"/>
      <c r="E952" s="22"/>
      <c r="F952" s="22"/>
      <c r="G952" s="84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9.5" customHeight="1" x14ac:dyDescent="0.55000000000000004">
      <c r="A953" s="21"/>
      <c r="B953" s="21"/>
      <c r="C953" s="21"/>
      <c r="D953" s="22"/>
      <c r="E953" s="22"/>
      <c r="F953" s="22"/>
      <c r="G953" s="84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9.5" customHeight="1" x14ac:dyDescent="0.55000000000000004">
      <c r="A954" s="21"/>
      <c r="B954" s="21"/>
      <c r="C954" s="21"/>
      <c r="D954" s="22"/>
      <c r="E954" s="22"/>
      <c r="F954" s="22"/>
      <c r="G954" s="84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9.5" customHeight="1" x14ac:dyDescent="0.55000000000000004">
      <c r="A955" s="21"/>
      <c r="B955" s="21"/>
      <c r="C955" s="21"/>
      <c r="D955" s="22"/>
      <c r="E955" s="22"/>
      <c r="F955" s="22"/>
      <c r="G955" s="84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9.5" customHeight="1" x14ac:dyDescent="0.55000000000000004">
      <c r="A956" s="21"/>
      <c r="B956" s="21"/>
      <c r="C956" s="21"/>
      <c r="D956" s="22"/>
      <c r="E956" s="22"/>
      <c r="F956" s="22"/>
      <c r="G956" s="84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9.5" customHeight="1" x14ac:dyDescent="0.55000000000000004">
      <c r="A957" s="21"/>
      <c r="B957" s="21"/>
      <c r="C957" s="21"/>
      <c r="D957" s="22"/>
      <c r="E957" s="22"/>
      <c r="F957" s="22"/>
      <c r="G957" s="84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9.5" customHeight="1" x14ac:dyDescent="0.55000000000000004">
      <c r="A958" s="21"/>
      <c r="B958" s="21"/>
      <c r="C958" s="21"/>
      <c r="D958" s="22"/>
      <c r="E958" s="22"/>
      <c r="F958" s="22"/>
      <c r="G958" s="84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9.5" customHeight="1" x14ac:dyDescent="0.55000000000000004">
      <c r="A959" s="21"/>
      <c r="B959" s="21"/>
      <c r="C959" s="21"/>
      <c r="D959" s="22"/>
      <c r="E959" s="22"/>
      <c r="F959" s="22"/>
      <c r="G959" s="84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9.5" customHeight="1" x14ac:dyDescent="0.55000000000000004">
      <c r="A960" s="21"/>
      <c r="B960" s="21"/>
      <c r="C960" s="21"/>
      <c r="D960" s="22"/>
      <c r="E960" s="22"/>
      <c r="F960" s="22"/>
      <c r="G960" s="84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9.5" customHeight="1" x14ac:dyDescent="0.55000000000000004">
      <c r="A961" s="21"/>
      <c r="B961" s="21"/>
      <c r="C961" s="21"/>
      <c r="D961" s="22"/>
      <c r="E961" s="22"/>
      <c r="F961" s="22"/>
      <c r="G961" s="84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9.5" customHeight="1" x14ac:dyDescent="0.55000000000000004">
      <c r="A962" s="21"/>
      <c r="B962" s="21"/>
      <c r="C962" s="21"/>
      <c r="D962" s="22"/>
      <c r="E962" s="22"/>
      <c r="F962" s="22"/>
      <c r="G962" s="84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9.5" customHeight="1" x14ac:dyDescent="0.55000000000000004">
      <c r="A963" s="21"/>
      <c r="B963" s="21"/>
      <c r="C963" s="21"/>
      <c r="D963" s="22"/>
      <c r="E963" s="22"/>
      <c r="F963" s="22"/>
      <c r="G963" s="84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9.5" customHeight="1" x14ac:dyDescent="0.55000000000000004">
      <c r="A964" s="21"/>
      <c r="B964" s="21"/>
      <c r="C964" s="21"/>
      <c r="D964" s="22"/>
      <c r="E964" s="22"/>
      <c r="F964" s="22"/>
      <c r="G964" s="84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9.5" customHeight="1" x14ac:dyDescent="0.55000000000000004">
      <c r="A965" s="21"/>
      <c r="B965" s="21"/>
      <c r="C965" s="21"/>
      <c r="D965" s="22"/>
      <c r="E965" s="22"/>
      <c r="F965" s="22"/>
      <c r="G965" s="84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9.5" customHeight="1" x14ac:dyDescent="0.55000000000000004">
      <c r="A966" s="21"/>
      <c r="B966" s="21"/>
      <c r="C966" s="21"/>
      <c r="D966" s="22"/>
      <c r="E966" s="22"/>
      <c r="F966" s="22"/>
      <c r="G966" s="84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9.5" customHeight="1" x14ac:dyDescent="0.55000000000000004">
      <c r="A967" s="21"/>
      <c r="B967" s="21"/>
      <c r="C967" s="21"/>
      <c r="D967" s="22"/>
      <c r="E967" s="22"/>
      <c r="F967" s="22"/>
      <c r="G967" s="84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9.5" customHeight="1" x14ac:dyDescent="0.55000000000000004">
      <c r="A968" s="21"/>
      <c r="B968" s="21"/>
      <c r="C968" s="21"/>
      <c r="D968" s="22"/>
      <c r="E968" s="22"/>
      <c r="F968" s="22"/>
      <c r="G968" s="84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9.5" customHeight="1" x14ac:dyDescent="0.55000000000000004">
      <c r="A969" s="21"/>
      <c r="B969" s="21"/>
      <c r="C969" s="21"/>
      <c r="D969" s="22"/>
      <c r="E969" s="22"/>
      <c r="F969" s="22"/>
      <c r="G969" s="84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9.5" customHeight="1" x14ac:dyDescent="0.55000000000000004">
      <c r="A970" s="21"/>
      <c r="B970" s="21"/>
      <c r="C970" s="21"/>
      <c r="D970" s="22"/>
      <c r="E970" s="22"/>
      <c r="F970" s="22"/>
      <c r="G970" s="84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9.5" customHeight="1" x14ac:dyDescent="0.55000000000000004">
      <c r="A971" s="21"/>
      <c r="B971" s="21"/>
      <c r="C971" s="21"/>
      <c r="D971" s="22"/>
      <c r="E971" s="22"/>
      <c r="F971" s="22"/>
      <c r="G971" s="84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9.5" customHeight="1" x14ac:dyDescent="0.55000000000000004">
      <c r="A972" s="21"/>
      <c r="B972" s="21"/>
      <c r="C972" s="21"/>
      <c r="D972" s="22"/>
      <c r="E972" s="22"/>
      <c r="F972" s="22"/>
      <c r="G972" s="84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9.5" customHeight="1" x14ac:dyDescent="0.55000000000000004">
      <c r="A973" s="21"/>
      <c r="B973" s="21"/>
      <c r="C973" s="21"/>
      <c r="D973" s="22"/>
      <c r="E973" s="22"/>
      <c r="F973" s="22"/>
      <c r="G973" s="84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9.5" customHeight="1" x14ac:dyDescent="0.55000000000000004">
      <c r="A974" s="21"/>
      <c r="B974" s="21"/>
      <c r="C974" s="21"/>
      <c r="D974" s="22"/>
      <c r="E974" s="22"/>
      <c r="F974" s="22"/>
      <c r="G974" s="84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9.5" customHeight="1" x14ac:dyDescent="0.55000000000000004">
      <c r="A975" s="21"/>
      <c r="B975" s="21"/>
      <c r="C975" s="21"/>
      <c r="D975" s="22"/>
      <c r="E975" s="22"/>
      <c r="F975" s="22"/>
      <c r="G975" s="84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9.5" customHeight="1" x14ac:dyDescent="0.55000000000000004">
      <c r="A976" s="21"/>
      <c r="B976" s="21"/>
      <c r="C976" s="21"/>
      <c r="D976" s="22"/>
      <c r="E976" s="22"/>
      <c r="F976" s="22"/>
      <c r="G976" s="84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9.5" customHeight="1" x14ac:dyDescent="0.55000000000000004">
      <c r="A977" s="21"/>
      <c r="B977" s="21"/>
      <c r="C977" s="21"/>
      <c r="D977" s="22"/>
      <c r="E977" s="22"/>
      <c r="F977" s="22"/>
      <c r="G977" s="84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9.5" customHeight="1" x14ac:dyDescent="0.55000000000000004">
      <c r="A978" s="21"/>
      <c r="B978" s="21"/>
      <c r="C978" s="21"/>
      <c r="D978" s="22"/>
      <c r="E978" s="22"/>
      <c r="F978" s="22"/>
      <c r="G978" s="84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9.5" customHeight="1" x14ac:dyDescent="0.55000000000000004">
      <c r="A979" s="21"/>
      <c r="B979" s="21"/>
      <c r="C979" s="21"/>
      <c r="D979" s="22"/>
      <c r="E979" s="22"/>
      <c r="F979" s="22"/>
      <c r="G979" s="84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9.5" customHeight="1" x14ac:dyDescent="0.55000000000000004">
      <c r="A980" s="21"/>
      <c r="B980" s="21"/>
      <c r="C980" s="21"/>
      <c r="D980" s="22"/>
      <c r="E980" s="22"/>
      <c r="F980" s="22"/>
      <c r="G980" s="84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9.5" customHeight="1" x14ac:dyDescent="0.55000000000000004">
      <c r="A981" s="21"/>
      <c r="B981" s="21"/>
      <c r="C981" s="21"/>
      <c r="D981" s="22"/>
      <c r="E981" s="22"/>
      <c r="F981" s="22"/>
      <c r="G981" s="84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9.5" customHeight="1" x14ac:dyDescent="0.55000000000000004">
      <c r="A982" s="21"/>
      <c r="B982" s="21"/>
      <c r="C982" s="21"/>
      <c r="D982" s="22"/>
      <c r="E982" s="22"/>
      <c r="F982" s="22"/>
      <c r="G982" s="84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9.5" customHeight="1" x14ac:dyDescent="0.55000000000000004">
      <c r="A983" s="21"/>
      <c r="B983" s="21"/>
      <c r="C983" s="21"/>
      <c r="D983" s="22"/>
      <c r="E983" s="22"/>
      <c r="F983" s="22"/>
      <c r="G983" s="84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9.5" customHeight="1" x14ac:dyDescent="0.55000000000000004">
      <c r="A984" s="21"/>
      <c r="B984" s="21"/>
      <c r="C984" s="21"/>
      <c r="D984" s="22"/>
      <c r="E984" s="22"/>
      <c r="F984" s="22"/>
      <c r="G984" s="84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9.5" customHeight="1" x14ac:dyDescent="0.55000000000000004">
      <c r="A985" s="21"/>
      <c r="B985" s="21"/>
      <c r="C985" s="21"/>
      <c r="D985" s="22"/>
      <c r="E985" s="22"/>
      <c r="F985" s="22"/>
      <c r="G985" s="84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9.5" customHeight="1" x14ac:dyDescent="0.55000000000000004">
      <c r="A986" s="21"/>
      <c r="B986" s="21"/>
      <c r="C986" s="21"/>
      <c r="D986" s="22"/>
      <c r="E986" s="22"/>
      <c r="F986" s="22"/>
      <c r="G986" s="84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9.5" customHeight="1" x14ac:dyDescent="0.55000000000000004">
      <c r="A987" s="21"/>
      <c r="B987" s="21"/>
      <c r="C987" s="21"/>
      <c r="D987" s="22"/>
      <c r="E987" s="22"/>
      <c r="F987" s="22"/>
      <c r="G987" s="84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9.5" customHeight="1" x14ac:dyDescent="0.55000000000000004">
      <c r="A988" s="21"/>
      <c r="B988" s="21"/>
      <c r="C988" s="21"/>
      <c r="D988" s="22"/>
      <c r="E988" s="22"/>
      <c r="F988" s="22"/>
      <c r="G988" s="84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9.5" customHeight="1" x14ac:dyDescent="0.55000000000000004">
      <c r="A989" s="21"/>
      <c r="B989" s="21"/>
      <c r="C989" s="21"/>
      <c r="D989" s="22"/>
      <c r="E989" s="22"/>
      <c r="F989" s="22"/>
      <c r="G989" s="84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9.5" customHeight="1" x14ac:dyDescent="0.55000000000000004">
      <c r="A990" s="21"/>
      <c r="B990" s="21"/>
      <c r="C990" s="21"/>
      <c r="D990" s="22"/>
      <c r="E990" s="22"/>
      <c r="F990" s="22"/>
      <c r="G990" s="84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9.5" customHeight="1" x14ac:dyDescent="0.55000000000000004">
      <c r="A991" s="21"/>
      <c r="B991" s="21"/>
      <c r="C991" s="21"/>
      <c r="D991" s="22"/>
      <c r="E991" s="22"/>
      <c r="F991" s="22"/>
      <c r="G991" s="84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9.5" customHeight="1" x14ac:dyDescent="0.55000000000000004">
      <c r="A992" s="21"/>
      <c r="B992" s="21"/>
      <c r="C992" s="21"/>
      <c r="D992" s="22"/>
      <c r="E992" s="22"/>
      <c r="F992" s="22"/>
      <c r="G992" s="84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9.5" customHeight="1" x14ac:dyDescent="0.55000000000000004">
      <c r="A993" s="21"/>
      <c r="B993" s="21"/>
      <c r="C993" s="21"/>
      <c r="D993" s="22"/>
      <c r="E993" s="22"/>
      <c r="F993" s="22"/>
      <c r="G993" s="84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9.5" customHeight="1" x14ac:dyDescent="0.55000000000000004">
      <c r="A994" s="21"/>
      <c r="B994" s="21"/>
      <c r="C994" s="21"/>
      <c r="D994" s="22"/>
      <c r="E994" s="22"/>
      <c r="F994" s="22"/>
      <c r="G994" s="84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9.5" customHeight="1" x14ac:dyDescent="0.55000000000000004">
      <c r="A995" s="21"/>
      <c r="B995" s="21"/>
      <c r="C995" s="21"/>
      <c r="D995" s="22"/>
      <c r="E995" s="22"/>
      <c r="F995" s="22"/>
      <c r="G995" s="84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9.5" customHeight="1" x14ac:dyDescent="0.55000000000000004">
      <c r="A996" s="21"/>
      <c r="B996" s="21"/>
      <c r="C996" s="21"/>
      <c r="D996" s="22"/>
      <c r="E996" s="22"/>
      <c r="F996" s="22"/>
      <c r="G996" s="84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</sheetData>
  <mergeCells count="7">
    <mergeCell ref="B7:G7"/>
    <mergeCell ref="A1:G5"/>
    <mergeCell ref="A72:E72"/>
    <mergeCell ref="A12:G12"/>
    <mergeCell ref="B10:G10"/>
    <mergeCell ref="B9:G9"/>
    <mergeCell ref="B8:G8"/>
  </mergeCells>
  <pageMargins left="0.52999994886203072" right="0.52999994886203072" top="0.52999994886203072" bottom="0.68999998212799307" header="0" footer="0"/>
  <pageSetup paperSize="9" scale="1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4"/>
  <sheetViews>
    <sheetView showGridLines="0" zoomScaleNormal="100" workbookViewId="0">
      <selection activeCell="A13" sqref="A13:F13"/>
    </sheetView>
  </sheetViews>
  <sheetFormatPr defaultColWidth="12.5703125" defaultRowHeight="15" customHeight="1" outlineLevelRow="1" x14ac:dyDescent="0.55000000000000004"/>
  <cols>
    <col min="1" max="1" width="12.28515625" style="48" customWidth="1"/>
    <col min="2" max="2" width="49.85546875" style="48" customWidth="1"/>
    <col min="3" max="3" width="15.7109375" style="48" customWidth="1"/>
    <col min="4" max="4" width="12.7109375" style="48" customWidth="1"/>
    <col min="5" max="5" width="17.5703125" style="305" bestFit="1" customWidth="1"/>
    <col min="6" max="6" width="18.7109375" style="305" customWidth="1"/>
    <col min="7" max="7" width="65.7109375" style="306" customWidth="1"/>
    <col min="8" max="8" width="16.28515625" style="48" customWidth="1"/>
    <col min="9" max="27" width="9.140625" style="48" customWidth="1"/>
    <col min="28" max="16384" width="12.5703125" style="48"/>
  </cols>
  <sheetData>
    <row r="1" spans="1:27" s="50" customFormat="1" ht="9" customHeight="1" x14ac:dyDescent="0.55000000000000004">
      <c r="A1" s="335" t="s">
        <v>453</v>
      </c>
      <c r="B1" s="336"/>
      <c r="C1" s="336"/>
      <c r="D1" s="336"/>
      <c r="E1" s="336"/>
      <c r="F1" s="336"/>
      <c r="G1" s="33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s="50" customFormat="1" ht="9" customHeight="1" x14ac:dyDescent="0.55000000000000004">
      <c r="A2" s="338"/>
      <c r="B2" s="339"/>
      <c r="C2" s="339"/>
      <c r="D2" s="339"/>
      <c r="E2" s="339"/>
      <c r="F2" s="339"/>
      <c r="G2" s="340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s="50" customFormat="1" ht="9" customHeight="1" x14ac:dyDescent="0.55000000000000004">
      <c r="A3" s="338"/>
      <c r="B3" s="339"/>
      <c r="C3" s="339"/>
      <c r="D3" s="339"/>
      <c r="E3" s="339"/>
      <c r="F3" s="339"/>
      <c r="G3" s="34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s="50" customFormat="1" ht="9" customHeight="1" x14ac:dyDescent="0.55000000000000004">
      <c r="A4" s="338"/>
      <c r="B4" s="339"/>
      <c r="C4" s="339"/>
      <c r="D4" s="339"/>
      <c r="E4" s="339"/>
      <c r="F4" s="339"/>
      <c r="G4" s="34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s="50" customFormat="1" ht="9" customHeight="1" x14ac:dyDescent="0.55000000000000004">
      <c r="A5" s="341"/>
      <c r="B5" s="342"/>
      <c r="C5" s="342"/>
      <c r="D5" s="342"/>
      <c r="E5" s="342"/>
      <c r="F5" s="342"/>
      <c r="G5" s="343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s="50" customFormat="1" ht="11.45" customHeight="1" thickBot="1" x14ac:dyDescent="0.6">
      <c r="A6" s="14"/>
      <c r="B6" s="15"/>
      <c r="C6" s="15"/>
      <c r="D6" s="16"/>
      <c r="E6" s="168"/>
      <c r="F6" s="168"/>
      <c r="G6" s="6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s="50" customFormat="1" ht="18" customHeight="1" x14ac:dyDescent="0.55000000000000004">
      <c r="A7" s="18" t="s">
        <v>67</v>
      </c>
      <c r="B7" s="344" t="str">
        <f>OBRA!B2</f>
        <v>BD Empreendimentos</v>
      </c>
      <c r="C7" s="345"/>
      <c r="D7" s="345"/>
      <c r="E7" s="345"/>
      <c r="F7" s="345"/>
      <c r="G7" s="34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s="50" customFormat="1" ht="18" customHeight="1" x14ac:dyDescent="0.55000000000000004">
      <c r="A8" s="19" t="s">
        <v>0</v>
      </c>
      <c r="B8" s="347" t="str">
        <f>OBRA!B1</f>
        <v>Jardim Campeche</v>
      </c>
      <c r="C8" s="315"/>
      <c r="D8" s="315"/>
      <c r="E8" s="315"/>
      <c r="F8" s="315"/>
      <c r="G8" s="316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s="50" customFormat="1" ht="18" customHeight="1" x14ac:dyDescent="0.55000000000000004">
      <c r="A9" s="19" t="s">
        <v>68</v>
      </c>
      <c r="B9" s="348">
        <v>46055</v>
      </c>
      <c r="C9" s="315"/>
      <c r="D9" s="315"/>
      <c r="E9" s="315"/>
      <c r="F9" s="315"/>
      <c r="G9" s="316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s="50" customFormat="1" ht="18" customHeight="1" thickBot="1" x14ac:dyDescent="0.6">
      <c r="A10" s="20" t="s">
        <v>69</v>
      </c>
      <c r="B10" s="349" t="str">
        <f>OBRA!B3</f>
        <v>R00</v>
      </c>
      <c r="C10" s="350"/>
      <c r="D10" s="350"/>
      <c r="E10" s="350"/>
      <c r="F10" s="350"/>
      <c r="G10" s="35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50" customFormat="1" ht="11.45" customHeight="1" thickBot="1" x14ac:dyDescent="0.6">
      <c r="A11" s="21"/>
      <c r="B11" s="21"/>
      <c r="C11" s="21"/>
      <c r="D11" s="22"/>
      <c r="E11" s="169"/>
      <c r="F11" s="169"/>
      <c r="G11" s="62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s="50" customFormat="1" ht="25.9" customHeight="1" thickBot="1" x14ac:dyDescent="0.6">
      <c r="A12" s="333" t="s">
        <v>452</v>
      </c>
      <c r="B12" s="312"/>
      <c r="C12" s="312"/>
      <c r="D12" s="312"/>
      <c r="E12" s="312"/>
      <c r="F12" s="312"/>
      <c r="G12" s="33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34.5" customHeight="1" x14ac:dyDescent="0.55000000000000004">
      <c r="A13" s="23" t="s">
        <v>164</v>
      </c>
      <c r="B13" s="23" t="s">
        <v>165</v>
      </c>
      <c r="C13" s="23" t="s">
        <v>7</v>
      </c>
      <c r="D13" s="24" t="s">
        <v>6</v>
      </c>
      <c r="E13" s="170" t="s">
        <v>53</v>
      </c>
      <c r="F13" s="170" t="s">
        <v>166</v>
      </c>
      <c r="G13" s="24" t="s">
        <v>167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s="50" customFormat="1" ht="15.75" customHeight="1" x14ac:dyDescent="0.55000000000000004">
      <c r="A14" s="25">
        <v>1</v>
      </c>
      <c r="B14" s="26" t="s">
        <v>168</v>
      </c>
      <c r="C14" s="58"/>
      <c r="D14" s="57"/>
      <c r="E14" s="171"/>
      <c r="F14" s="172">
        <f t="shared" ref="F14:F15" si="0">F15</f>
        <v>2551044.0835699993</v>
      </c>
      <c r="G14" s="63"/>
      <c r="H14" s="22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s="50" customFormat="1" ht="15.75" customHeight="1" x14ac:dyDescent="0.55000000000000004">
      <c r="A15" s="28" t="s">
        <v>169</v>
      </c>
      <c r="B15" s="29" t="s">
        <v>168</v>
      </c>
      <c r="C15" s="59"/>
      <c r="D15" s="55"/>
      <c r="E15" s="173"/>
      <c r="F15" s="174">
        <f t="shared" si="0"/>
        <v>2551044.0835699993</v>
      </c>
      <c r="G15" s="64"/>
      <c r="H15" s="21"/>
      <c r="I15" s="30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15.75" customHeight="1" outlineLevel="1" x14ac:dyDescent="0.55000000000000004">
      <c r="A16" s="53" t="s">
        <v>170</v>
      </c>
      <c r="B16" s="54" t="s">
        <v>171</v>
      </c>
      <c r="C16" s="60">
        <v>1</v>
      </c>
      <c r="D16" s="56" t="s">
        <v>116</v>
      </c>
      <c r="E16" s="175">
        <f>F16/C16</f>
        <v>2551044.0835699993</v>
      </c>
      <c r="F16" s="176">
        <f>CUSTOS_INDIRETOS!F72</f>
        <v>2551044.0835699993</v>
      </c>
      <c r="G16" s="65" t="s">
        <v>424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s="50" customFormat="1" ht="15.75" customHeight="1" x14ac:dyDescent="0.55000000000000004">
      <c r="A17" s="25">
        <v>2</v>
      </c>
      <c r="B17" s="26" t="s">
        <v>172</v>
      </c>
      <c r="C17" s="58"/>
      <c r="D17" s="57"/>
      <c r="E17" s="171"/>
      <c r="F17" s="172">
        <f>F21+F23+F18</f>
        <v>309991.73780400783</v>
      </c>
      <c r="G17" s="63"/>
      <c r="H17" s="2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s="50" customFormat="1" ht="15.75" customHeight="1" x14ac:dyDescent="0.55000000000000004">
      <c r="A18" s="28" t="s">
        <v>173</v>
      </c>
      <c r="B18" s="29" t="s">
        <v>420</v>
      </c>
      <c r="C18" s="59"/>
      <c r="D18" s="55"/>
      <c r="E18" s="173"/>
      <c r="F18" s="174">
        <f>SUM(F19:F20)</f>
        <v>223131.87458100001</v>
      </c>
      <c r="G18" s="64"/>
      <c r="H18" s="21"/>
      <c r="I18" s="30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15.75" customHeight="1" outlineLevel="1" x14ac:dyDescent="0.55000000000000004">
      <c r="A19" s="53" t="s">
        <v>174</v>
      </c>
      <c r="B19" s="54" t="s">
        <v>421</v>
      </c>
      <c r="C19" s="60">
        <v>2125.2780000000002</v>
      </c>
      <c r="D19" s="56" t="s">
        <v>188</v>
      </c>
      <c r="E19" s="175">
        <f t="shared" ref="E19:E20" si="1">F19/C19</f>
        <v>39.996000000000002</v>
      </c>
      <c r="F19" s="176">
        <v>85002.618888000012</v>
      </c>
      <c r="G19" s="65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5.75" customHeight="1" outlineLevel="1" x14ac:dyDescent="0.55000000000000004">
      <c r="A20" s="53" t="s">
        <v>434</v>
      </c>
      <c r="B20" s="54" t="s">
        <v>422</v>
      </c>
      <c r="C20" s="60">
        <v>2762.8614000000002</v>
      </c>
      <c r="D20" s="56" t="s">
        <v>188</v>
      </c>
      <c r="E20" s="175">
        <f t="shared" si="1"/>
        <v>49.994999999999997</v>
      </c>
      <c r="F20" s="176">
        <v>138129.25569300001</v>
      </c>
      <c r="G20" s="65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s="50" customFormat="1" ht="15.75" customHeight="1" x14ac:dyDescent="0.55000000000000004">
      <c r="A21" s="28" t="s">
        <v>175</v>
      </c>
      <c r="B21" s="29" t="s">
        <v>409</v>
      </c>
      <c r="C21" s="59"/>
      <c r="D21" s="55"/>
      <c r="E21" s="173"/>
      <c r="F21" s="174">
        <f>SUM(F22:F22)</f>
        <v>33000</v>
      </c>
      <c r="G21" s="64"/>
      <c r="H21" s="21"/>
      <c r="I21" s="30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15.75" customHeight="1" outlineLevel="1" x14ac:dyDescent="0.55000000000000004">
      <c r="A22" s="53" t="s">
        <v>177</v>
      </c>
      <c r="B22" s="54" t="s">
        <v>454</v>
      </c>
      <c r="C22" s="60">
        <v>4</v>
      </c>
      <c r="D22" s="56" t="s">
        <v>486</v>
      </c>
      <c r="E22" s="175">
        <f>F22/C22</f>
        <v>8250</v>
      </c>
      <c r="F22" s="176">
        <v>33000</v>
      </c>
      <c r="G22" s="65" t="s">
        <v>455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s="50" customFormat="1" ht="15.75" customHeight="1" x14ac:dyDescent="0.55000000000000004">
      <c r="A23" s="28" t="s">
        <v>435</v>
      </c>
      <c r="B23" s="29" t="s">
        <v>176</v>
      </c>
      <c r="C23" s="59"/>
      <c r="D23" s="55"/>
      <c r="E23" s="173"/>
      <c r="F23" s="174">
        <f>SUM(F24:F28)</f>
        <v>53859.863223007807</v>
      </c>
      <c r="G23" s="64"/>
      <c r="H23" s="21"/>
      <c r="I23" s="30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15.75" customHeight="1" outlineLevel="1" x14ac:dyDescent="0.55000000000000004">
      <c r="A24" s="53" t="s">
        <v>436</v>
      </c>
      <c r="B24" s="54" t="s">
        <v>178</v>
      </c>
      <c r="C24" s="60">
        <v>175.27900000000002</v>
      </c>
      <c r="D24" s="56" t="s">
        <v>188</v>
      </c>
      <c r="E24" s="175">
        <f t="shared" ref="E24:E28" si="2">F24/C24</f>
        <v>39.996000000000002</v>
      </c>
      <c r="F24" s="176">
        <v>7010.4588840000015</v>
      </c>
      <c r="G24" s="65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15.75" customHeight="1" outlineLevel="1" x14ac:dyDescent="0.55000000000000004">
      <c r="A25" s="53" t="s">
        <v>437</v>
      </c>
      <c r="B25" s="54" t="s">
        <v>179</v>
      </c>
      <c r="C25" s="60">
        <v>40.449000000000012</v>
      </c>
      <c r="D25" s="56" t="s">
        <v>188</v>
      </c>
      <c r="E25" s="175">
        <f t="shared" si="2"/>
        <v>16.005000000000006</v>
      </c>
      <c r="F25" s="176">
        <v>647.38624500000037</v>
      </c>
      <c r="G25" s="65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5.75" customHeight="1" outlineLevel="1" x14ac:dyDescent="0.55000000000000004">
      <c r="A26" s="53" t="s">
        <v>438</v>
      </c>
      <c r="B26" s="54" t="s">
        <v>422</v>
      </c>
      <c r="C26" s="60">
        <v>175.27900000000002</v>
      </c>
      <c r="D26" s="56" t="s">
        <v>188</v>
      </c>
      <c r="E26" s="175">
        <f t="shared" si="2"/>
        <v>49.995000000000012</v>
      </c>
      <c r="F26" s="176">
        <v>8763.0736050000032</v>
      </c>
      <c r="G26" s="65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15.75" customHeight="1" outlineLevel="1" x14ac:dyDescent="0.55000000000000004">
      <c r="A27" s="53" t="s">
        <v>439</v>
      </c>
      <c r="B27" s="54" t="s">
        <v>487</v>
      </c>
      <c r="C27" s="60">
        <v>206.52044706535904</v>
      </c>
      <c r="D27" s="56" t="s">
        <v>188</v>
      </c>
      <c r="E27" s="175">
        <f t="shared" si="2"/>
        <v>74.998000000000019</v>
      </c>
      <c r="F27" s="176">
        <v>15488.620489007801</v>
      </c>
      <c r="G27" s="65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5.75" customHeight="1" outlineLevel="1" x14ac:dyDescent="0.55000000000000004">
      <c r="A28" s="53" t="s">
        <v>488</v>
      </c>
      <c r="B28" s="54" t="s">
        <v>423</v>
      </c>
      <c r="C28" s="60">
        <v>539.32000000000005</v>
      </c>
      <c r="D28" s="56" t="s">
        <v>27</v>
      </c>
      <c r="E28" s="175">
        <f t="shared" si="2"/>
        <v>40.699999999999996</v>
      </c>
      <c r="F28" s="176">
        <v>21950.324000000001</v>
      </c>
      <c r="G28" s="65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s="50" customFormat="1" ht="15.75" customHeight="1" x14ac:dyDescent="0.55000000000000004">
      <c r="A29" s="25">
        <v>3</v>
      </c>
      <c r="B29" s="26" t="s">
        <v>65</v>
      </c>
      <c r="C29" s="58"/>
      <c r="D29" s="57"/>
      <c r="E29" s="171"/>
      <c r="F29" s="172">
        <f>F30+F37</f>
        <v>978970.993038713</v>
      </c>
      <c r="G29" s="63"/>
      <c r="H29" s="2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s="50" customFormat="1" ht="15.75" customHeight="1" x14ac:dyDescent="0.55000000000000004">
      <c r="A30" s="28" t="s">
        <v>180</v>
      </c>
      <c r="B30" s="29" t="s">
        <v>181</v>
      </c>
      <c r="C30" s="59"/>
      <c r="D30" s="55"/>
      <c r="E30" s="173"/>
      <c r="F30" s="174">
        <f>SUM(F31:F36)</f>
        <v>336886.62633141293</v>
      </c>
      <c r="G30" s="64"/>
      <c r="H30" s="21"/>
      <c r="I30" s="30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5.75" customHeight="1" outlineLevel="1" x14ac:dyDescent="0.55000000000000004">
      <c r="A31" s="53" t="s">
        <v>182</v>
      </c>
      <c r="B31" s="54" t="s">
        <v>427</v>
      </c>
      <c r="C31" s="60">
        <v>495</v>
      </c>
      <c r="D31" s="56" t="s">
        <v>19</v>
      </c>
      <c r="E31" s="175">
        <f t="shared" ref="E31:E36" si="3">F31/C31</f>
        <v>77</v>
      </c>
      <c r="F31" s="176">
        <v>38115</v>
      </c>
      <c r="G31" s="65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5.75" customHeight="1" outlineLevel="1" x14ac:dyDescent="0.55000000000000004">
      <c r="A32" s="53" t="s">
        <v>183</v>
      </c>
      <c r="B32" s="54" t="s">
        <v>428</v>
      </c>
      <c r="C32" s="60">
        <v>735</v>
      </c>
      <c r="D32" s="56" t="s">
        <v>19</v>
      </c>
      <c r="E32" s="175">
        <f t="shared" si="3"/>
        <v>99</v>
      </c>
      <c r="F32" s="176">
        <v>72765</v>
      </c>
      <c r="G32" s="65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5.75" customHeight="1" outlineLevel="1" x14ac:dyDescent="0.55000000000000004">
      <c r="A33" s="53" t="s">
        <v>184</v>
      </c>
      <c r="B33" s="54" t="s">
        <v>490</v>
      </c>
      <c r="C33" s="60">
        <v>206.52044706535904</v>
      </c>
      <c r="D33" s="56" t="s">
        <v>188</v>
      </c>
      <c r="E33" s="175">
        <f t="shared" si="3"/>
        <v>830.83285999999998</v>
      </c>
      <c r="F33" s="176">
        <v>171583.97368379086</v>
      </c>
      <c r="G33" s="65" t="s">
        <v>457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5.75" customHeight="1" outlineLevel="1" x14ac:dyDescent="0.55000000000000004">
      <c r="A34" s="53" t="s">
        <v>185</v>
      </c>
      <c r="B34" s="54" t="s">
        <v>489</v>
      </c>
      <c r="C34" s="60">
        <v>2478.2453647843085</v>
      </c>
      <c r="D34" s="56" t="s">
        <v>186</v>
      </c>
      <c r="E34" s="175">
        <f t="shared" si="3"/>
        <v>8.3819999999999997</v>
      </c>
      <c r="F34" s="176">
        <v>20772.652647622075</v>
      </c>
      <c r="G34" s="65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5.75" customHeight="1" outlineLevel="1" x14ac:dyDescent="0.55000000000000004">
      <c r="A35" s="53" t="s">
        <v>440</v>
      </c>
      <c r="B35" s="54" t="s">
        <v>492</v>
      </c>
      <c r="C35" s="60">
        <v>1</v>
      </c>
      <c r="D35" s="56" t="s">
        <v>116</v>
      </c>
      <c r="E35" s="175">
        <f t="shared" si="3"/>
        <v>9350</v>
      </c>
      <c r="F35" s="176">
        <v>9350</v>
      </c>
      <c r="G35" s="65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5.75" customHeight="1" outlineLevel="1" x14ac:dyDescent="0.55000000000000004">
      <c r="A36" s="53" t="s">
        <v>441</v>
      </c>
      <c r="B36" s="54" t="s">
        <v>491</v>
      </c>
      <c r="C36" s="60">
        <v>81</v>
      </c>
      <c r="D36" s="56" t="s">
        <v>20</v>
      </c>
      <c r="E36" s="175">
        <f t="shared" si="3"/>
        <v>300</v>
      </c>
      <c r="F36" s="176">
        <v>24300</v>
      </c>
      <c r="G36" s="65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s="50" customFormat="1" ht="15.75" customHeight="1" x14ac:dyDescent="0.55000000000000004">
      <c r="A37" s="28" t="s">
        <v>189</v>
      </c>
      <c r="B37" s="29" t="s">
        <v>190</v>
      </c>
      <c r="C37" s="59"/>
      <c r="D37" s="55"/>
      <c r="E37" s="173"/>
      <c r="F37" s="174">
        <f>SUM(F38:F42)</f>
        <v>642084.36670730007</v>
      </c>
      <c r="G37" s="64"/>
      <c r="H37" s="21"/>
      <c r="I37" s="30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5.75" customHeight="1" outlineLevel="1" x14ac:dyDescent="0.55000000000000004">
      <c r="A38" s="53" t="s">
        <v>191</v>
      </c>
      <c r="B38" s="54" t="s">
        <v>386</v>
      </c>
      <c r="C38" s="60">
        <v>370.78250000000003</v>
      </c>
      <c r="D38" s="56" t="s">
        <v>27</v>
      </c>
      <c r="E38" s="175">
        <f t="shared" ref="E38:E42" si="4">F38/C38</f>
        <v>74.800000000000011</v>
      </c>
      <c r="F38" s="176">
        <v>27734.531000000006</v>
      </c>
      <c r="G38" s="65" t="s">
        <v>387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5.75" customHeight="1" outlineLevel="1" x14ac:dyDescent="0.55000000000000004">
      <c r="A39" s="53" t="s">
        <v>192</v>
      </c>
      <c r="B39" s="54" t="s">
        <v>196</v>
      </c>
      <c r="C39" s="60">
        <v>134.83000000000001</v>
      </c>
      <c r="D39" s="56" t="s">
        <v>186</v>
      </c>
      <c r="E39" s="175">
        <f t="shared" si="4"/>
        <v>671.05731000000003</v>
      </c>
      <c r="F39" s="176">
        <v>90478.657107300009</v>
      </c>
      <c r="G39" s="65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5.75" customHeight="1" outlineLevel="1" x14ac:dyDescent="0.55000000000000004">
      <c r="A40" s="53" t="s">
        <v>193</v>
      </c>
      <c r="B40" s="54" t="s">
        <v>187</v>
      </c>
      <c r="C40" s="60">
        <v>8089.8000000000011</v>
      </c>
      <c r="D40" s="56" t="s">
        <v>188</v>
      </c>
      <c r="E40" s="175">
        <f t="shared" si="4"/>
        <v>8.3820000000000014</v>
      </c>
      <c r="F40" s="176">
        <v>67808.703600000023</v>
      </c>
      <c r="G40" s="65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5.75" customHeight="1" outlineLevel="1" x14ac:dyDescent="0.55000000000000004">
      <c r="A41" s="53" t="s">
        <v>194</v>
      </c>
      <c r="B41" s="54" t="s">
        <v>493</v>
      </c>
      <c r="C41" s="60">
        <v>674.15</v>
      </c>
      <c r="D41" s="56" t="s">
        <v>27</v>
      </c>
      <c r="E41" s="175">
        <f t="shared" si="4"/>
        <v>198.00000000000003</v>
      </c>
      <c r="F41" s="176">
        <v>133481.70000000001</v>
      </c>
      <c r="G41" s="65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5.75" customHeight="1" outlineLevel="1" x14ac:dyDescent="0.55000000000000004">
      <c r="A42" s="53" t="s">
        <v>194</v>
      </c>
      <c r="B42" s="54" t="s">
        <v>217</v>
      </c>
      <c r="C42" s="60">
        <v>674.15</v>
      </c>
      <c r="D42" s="56" t="s">
        <v>27</v>
      </c>
      <c r="E42" s="175">
        <f t="shared" si="4"/>
        <v>478.50000000000006</v>
      </c>
      <c r="F42" s="176">
        <v>322580.77500000002</v>
      </c>
      <c r="G42" s="65" t="s">
        <v>195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s="50" customFormat="1" ht="15.75" customHeight="1" x14ac:dyDescent="0.55000000000000004">
      <c r="A43" s="25">
        <v>4</v>
      </c>
      <c r="B43" s="26" t="s">
        <v>425</v>
      </c>
      <c r="C43" s="58"/>
      <c r="D43" s="57"/>
      <c r="E43" s="171"/>
      <c r="F43" s="172">
        <f>F44</f>
        <v>692136.72210880008</v>
      </c>
      <c r="G43" s="63"/>
      <c r="H43" s="2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s="50" customFormat="1" ht="15.75" customHeight="1" x14ac:dyDescent="0.55000000000000004">
      <c r="A44" s="28" t="s">
        <v>495</v>
      </c>
      <c r="B44" s="29" t="s">
        <v>494</v>
      </c>
      <c r="C44" s="59"/>
      <c r="D44" s="55"/>
      <c r="E44" s="173"/>
      <c r="F44" s="174">
        <f>SUM(F45:F51)</f>
        <v>692136.72210880008</v>
      </c>
      <c r="G44" s="64"/>
      <c r="H44" s="21"/>
      <c r="I44" s="30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5.75" customHeight="1" outlineLevel="1" x14ac:dyDescent="0.55000000000000004">
      <c r="A45" s="53" t="s">
        <v>496</v>
      </c>
      <c r="B45" s="54" t="s">
        <v>426</v>
      </c>
      <c r="C45" s="60">
        <v>553.63200000000006</v>
      </c>
      <c r="D45" s="56" t="s">
        <v>27</v>
      </c>
      <c r="E45" s="175">
        <f t="shared" ref="E45:E51" si="5">F45/C45</f>
        <v>74.800000000000011</v>
      </c>
      <c r="F45" s="176">
        <v>41411.673600000009</v>
      </c>
      <c r="G45" s="65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5.75" customHeight="1" outlineLevel="1" x14ac:dyDescent="0.55000000000000004">
      <c r="A46" s="53" t="s">
        <v>497</v>
      </c>
      <c r="B46" s="54" t="s">
        <v>187</v>
      </c>
      <c r="C46" s="60">
        <v>191</v>
      </c>
      <c r="D46" s="56" t="s">
        <v>188</v>
      </c>
      <c r="E46" s="175">
        <f t="shared" si="5"/>
        <v>830.84607329842936</v>
      </c>
      <c r="F46" s="176">
        <v>158691.6</v>
      </c>
      <c r="G46" s="65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5.75" customHeight="1" outlineLevel="1" x14ac:dyDescent="0.55000000000000004">
      <c r="A47" s="53" t="s">
        <v>498</v>
      </c>
      <c r="B47" s="54" t="s">
        <v>196</v>
      </c>
      <c r="C47" s="60">
        <v>21010.334400000003</v>
      </c>
      <c r="D47" s="56" t="s">
        <v>186</v>
      </c>
      <c r="E47" s="175">
        <f t="shared" si="5"/>
        <v>8.3820000000000014</v>
      </c>
      <c r="F47" s="176">
        <v>176108.62294080007</v>
      </c>
      <c r="G47" s="65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5.75" customHeight="1" outlineLevel="1" x14ac:dyDescent="0.55000000000000004">
      <c r="A48" s="53" t="s">
        <v>499</v>
      </c>
      <c r="B48" s="54" t="s">
        <v>492</v>
      </c>
      <c r="C48" s="60">
        <v>1</v>
      </c>
      <c r="D48" s="56" t="s">
        <v>116</v>
      </c>
      <c r="E48" s="175">
        <f t="shared" si="5"/>
        <v>715.00000000000011</v>
      </c>
      <c r="F48" s="176">
        <v>715.00000000000011</v>
      </c>
      <c r="G48" s="65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5.75" customHeight="1" outlineLevel="1" x14ac:dyDescent="0.55000000000000004">
      <c r="A49" s="53" t="s">
        <v>500</v>
      </c>
      <c r="B49" s="54" t="s">
        <v>502</v>
      </c>
      <c r="C49" s="60">
        <v>747.40320000000008</v>
      </c>
      <c r="D49" s="56" t="s">
        <v>188</v>
      </c>
      <c r="E49" s="175">
        <f t="shared" si="5"/>
        <v>110</v>
      </c>
      <c r="F49" s="176">
        <v>82214.352000000014</v>
      </c>
      <c r="G49" s="65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5.75" customHeight="1" outlineLevel="1" x14ac:dyDescent="0.55000000000000004">
      <c r="A50" s="53" t="s">
        <v>500</v>
      </c>
      <c r="B50" s="54" t="s">
        <v>503</v>
      </c>
      <c r="C50" s="60">
        <v>747.40320000000008</v>
      </c>
      <c r="D50" s="56" t="s">
        <v>188</v>
      </c>
      <c r="E50" s="175">
        <f t="shared" si="5"/>
        <v>250.94300000000001</v>
      </c>
      <c r="F50" s="176">
        <v>187555.60121760002</v>
      </c>
      <c r="G50" s="65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5.75" customHeight="1" outlineLevel="1" x14ac:dyDescent="0.55000000000000004">
      <c r="A51" s="53" t="s">
        <v>500</v>
      </c>
      <c r="B51" s="54" t="s">
        <v>501</v>
      </c>
      <c r="C51" s="60">
        <v>747.40320000000008</v>
      </c>
      <c r="D51" s="56" t="s">
        <v>188</v>
      </c>
      <c r="E51" s="175">
        <f t="shared" si="5"/>
        <v>60.797000000000004</v>
      </c>
      <c r="F51" s="176">
        <v>45439.872350400008</v>
      </c>
      <c r="G51" s="65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s="50" customFormat="1" ht="15.75" customHeight="1" x14ac:dyDescent="0.55000000000000004">
      <c r="A52" s="25">
        <v>5</v>
      </c>
      <c r="B52" s="26" t="s">
        <v>197</v>
      </c>
      <c r="C52" s="58"/>
      <c r="D52" s="57"/>
      <c r="E52" s="171"/>
      <c r="F52" s="172">
        <f>F53</f>
        <v>2901220.4606840219</v>
      </c>
      <c r="G52" s="63" t="s">
        <v>504</v>
      </c>
      <c r="H52" s="2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s="50" customFormat="1" ht="15.75" customHeight="1" x14ac:dyDescent="0.55000000000000004">
      <c r="A53" s="28" t="s">
        <v>198</v>
      </c>
      <c r="B53" s="29" t="s">
        <v>197</v>
      </c>
      <c r="C53" s="59"/>
      <c r="D53" s="55"/>
      <c r="E53" s="173"/>
      <c r="F53" s="174">
        <f>SUM(F54:F61)</f>
        <v>2901220.4606840219</v>
      </c>
      <c r="G53" s="64"/>
      <c r="H53" s="21"/>
      <c r="I53" s="30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15.75" customHeight="1" outlineLevel="1" x14ac:dyDescent="0.55000000000000004">
      <c r="A54" s="53" t="s">
        <v>199</v>
      </c>
      <c r="B54" s="54" t="s">
        <v>200</v>
      </c>
      <c r="C54" s="60">
        <v>1556.9057142857143</v>
      </c>
      <c r="D54" s="56" t="s">
        <v>27</v>
      </c>
      <c r="E54" s="175">
        <f t="shared" ref="E54:E61" si="6">F54/C54</f>
        <v>121.00000000000001</v>
      </c>
      <c r="F54" s="176">
        <v>188385.59142857147</v>
      </c>
      <c r="G54" s="65" t="s">
        <v>511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5.75" customHeight="1" outlineLevel="1" x14ac:dyDescent="0.55000000000000004">
      <c r="A55" s="53" t="s">
        <v>201</v>
      </c>
      <c r="B55" s="54" t="s">
        <v>202</v>
      </c>
      <c r="C55" s="60">
        <v>5449.17</v>
      </c>
      <c r="D55" s="56" t="s">
        <v>27</v>
      </c>
      <c r="E55" s="175">
        <f t="shared" si="6"/>
        <v>2.75</v>
      </c>
      <c r="F55" s="176">
        <v>14985.217500000001</v>
      </c>
      <c r="G55" s="65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outlineLevel="1" x14ac:dyDescent="0.55000000000000004">
      <c r="A56" s="53" t="s">
        <v>516</v>
      </c>
      <c r="B56" s="54" t="s">
        <v>505</v>
      </c>
      <c r="C56" s="60">
        <v>5079.5200000000004</v>
      </c>
      <c r="D56" s="56" t="s">
        <v>186</v>
      </c>
      <c r="E56" s="175">
        <f t="shared" si="6"/>
        <v>35.200000000000003</v>
      </c>
      <c r="F56" s="176">
        <v>178799.10400000002</v>
      </c>
      <c r="G56" s="65" t="s">
        <v>203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outlineLevel="1" x14ac:dyDescent="0.55000000000000004">
      <c r="A57" s="53" t="s">
        <v>517</v>
      </c>
      <c r="B57" s="54" t="s">
        <v>506</v>
      </c>
      <c r="C57" s="60">
        <v>1270</v>
      </c>
      <c r="D57" s="56" t="s">
        <v>188</v>
      </c>
      <c r="E57" s="175">
        <f t="shared" si="6"/>
        <v>79.200000000000017</v>
      </c>
      <c r="F57" s="176">
        <v>100584.00000000001</v>
      </c>
      <c r="G57" s="65" t="s">
        <v>510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outlineLevel="1" x14ac:dyDescent="0.55000000000000004">
      <c r="A58" s="53" t="s">
        <v>518</v>
      </c>
      <c r="B58" s="54" t="s">
        <v>507</v>
      </c>
      <c r="C58" s="60">
        <v>908.19499999999994</v>
      </c>
      <c r="D58" s="56" t="s">
        <v>20</v>
      </c>
      <c r="E58" s="175">
        <f t="shared" si="6"/>
        <v>671.05731000000003</v>
      </c>
      <c r="F58" s="176">
        <v>609450.89365544997</v>
      </c>
      <c r="G58" s="65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outlineLevel="1" x14ac:dyDescent="0.55000000000000004">
      <c r="A59" s="53" t="s">
        <v>519</v>
      </c>
      <c r="B59" s="54" t="s">
        <v>204</v>
      </c>
      <c r="C59" s="60">
        <v>81737.549999999988</v>
      </c>
      <c r="D59" s="56" t="s">
        <v>186</v>
      </c>
      <c r="E59" s="175">
        <f t="shared" si="6"/>
        <v>8.3820000000000014</v>
      </c>
      <c r="F59" s="176">
        <v>685124.14410000003</v>
      </c>
      <c r="G59" s="65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outlineLevel="1" x14ac:dyDescent="0.55000000000000004">
      <c r="A60" s="53" t="s">
        <v>520</v>
      </c>
      <c r="B60" s="54" t="s">
        <v>509</v>
      </c>
      <c r="C60" s="60">
        <v>1</v>
      </c>
      <c r="D60" s="56" t="s">
        <v>116</v>
      </c>
      <c r="E60" s="175">
        <f t="shared" si="6"/>
        <v>17710</v>
      </c>
      <c r="F60" s="176">
        <v>17710</v>
      </c>
      <c r="G60" s="65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outlineLevel="1" x14ac:dyDescent="0.55000000000000004">
      <c r="A61" s="53" t="s">
        <v>521</v>
      </c>
      <c r="B61" s="54" t="s">
        <v>508</v>
      </c>
      <c r="C61" s="60">
        <v>16217.01</v>
      </c>
      <c r="D61" s="56" t="s">
        <v>27</v>
      </c>
      <c r="E61" s="175">
        <f t="shared" si="6"/>
        <v>68.211187512371268</v>
      </c>
      <c r="F61" s="176">
        <v>1106181.51</v>
      </c>
      <c r="G61" s="65" t="s">
        <v>205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s="50" customFormat="1" ht="15.75" customHeight="1" x14ac:dyDescent="0.55000000000000004">
      <c r="A62" s="25">
        <v>6</v>
      </c>
      <c r="B62" s="26" t="s">
        <v>206</v>
      </c>
      <c r="C62" s="58"/>
      <c r="D62" s="57"/>
      <c r="E62" s="171"/>
      <c r="F62" s="172">
        <f>F63</f>
        <v>529588.49855599995</v>
      </c>
      <c r="G62" s="63"/>
      <c r="H62" s="2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s="50" customFormat="1" ht="15.75" customHeight="1" x14ac:dyDescent="0.55000000000000004">
      <c r="A63" s="28" t="s">
        <v>207</v>
      </c>
      <c r="B63" s="29" t="s">
        <v>206</v>
      </c>
      <c r="C63" s="59"/>
      <c r="D63" s="55"/>
      <c r="E63" s="173"/>
      <c r="F63" s="174">
        <f>SUM(F64:F71)</f>
        <v>529588.49855599995</v>
      </c>
      <c r="G63" s="64"/>
      <c r="H63" s="21"/>
      <c r="I63" s="30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5.75" customHeight="1" outlineLevel="1" x14ac:dyDescent="0.55000000000000004">
      <c r="A64" s="53" t="s">
        <v>208</v>
      </c>
      <c r="B64" s="54" t="s">
        <v>512</v>
      </c>
      <c r="C64" s="60">
        <v>128.07</v>
      </c>
      <c r="D64" s="56" t="s">
        <v>27</v>
      </c>
      <c r="E64" s="175">
        <f t="shared" ref="E64:E71" si="7">F64/C64</f>
        <v>30.919999999999998</v>
      </c>
      <c r="F64" s="176">
        <v>3959.9243999999994</v>
      </c>
      <c r="G64" s="65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outlineLevel="1" x14ac:dyDescent="0.55000000000000004">
      <c r="A65" s="53" t="s">
        <v>209</v>
      </c>
      <c r="B65" s="54" t="s">
        <v>513</v>
      </c>
      <c r="C65" s="60">
        <v>328.73</v>
      </c>
      <c r="D65" s="56" t="s">
        <v>27</v>
      </c>
      <c r="E65" s="175">
        <f t="shared" si="7"/>
        <v>35.67</v>
      </c>
      <c r="F65" s="176">
        <v>11725.799100000002</v>
      </c>
      <c r="G65" s="65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outlineLevel="1" x14ac:dyDescent="0.55000000000000004">
      <c r="A66" s="53" t="s">
        <v>210</v>
      </c>
      <c r="B66" s="54" t="s">
        <v>514</v>
      </c>
      <c r="C66" s="60">
        <v>4419.6399999999994</v>
      </c>
      <c r="D66" s="56" t="s">
        <v>27</v>
      </c>
      <c r="E66" s="175">
        <f t="shared" si="7"/>
        <v>41.18</v>
      </c>
      <c r="F66" s="176">
        <v>182000.77519999997</v>
      </c>
      <c r="G66" s="65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outlineLevel="1" x14ac:dyDescent="0.55000000000000004">
      <c r="A67" s="53" t="s">
        <v>211</v>
      </c>
      <c r="B67" s="54" t="s">
        <v>214</v>
      </c>
      <c r="C67" s="60">
        <v>36.75</v>
      </c>
      <c r="D67" s="56" t="s">
        <v>27</v>
      </c>
      <c r="E67" s="175">
        <f t="shared" si="7"/>
        <v>341.00000000000006</v>
      </c>
      <c r="F67" s="176">
        <v>12531.750000000002</v>
      </c>
      <c r="G67" s="65" t="s">
        <v>215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5.75" customHeight="1" outlineLevel="1" x14ac:dyDescent="0.55000000000000004">
      <c r="A68" s="53" t="s">
        <v>212</v>
      </c>
      <c r="B68" s="54" t="s">
        <v>515</v>
      </c>
      <c r="C68" s="60">
        <v>49.766399999999997</v>
      </c>
      <c r="D68" s="56" t="s">
        <v>27</v>
      </c>
      <c r="E68" s="175">
        <f t="shared" si="7"/>
        <v>340.47750000000008</v>
      </c>
      <c r="F68" s="176">
        <v>16944.339456000002</v>
      </c>
      <c r="G68" s="65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5.75" customHeight="1" outlineLevel="1" x14ac:dyDescent="0.55000000000000004">
      <c r="A69" s="53" t="s">
        <v>213</v>
      </c>
      <c r="B69" s="54" t="s">
        <v>522</v>
      </c>
      <c r="C69" s="60">
        <v>45.99</v>
      </c>
      <c r="D69" s="56" t="s">
        <v>27</v>
      </c>
      <c r="E69" s="175">
        <f t="shared" si="7"/>
        <v>250</v>
      </c>
      <c r="F69" s="176">
        <v>11497.5</v>
      </c>
      <c r="G69" s="65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5.75" customHeight="1" outlineLevel="1" x14ac:dyDescent="0.55000000000000004">
      <c r="A70" s="53" t="s">
        <v>213</v>
      </c>
      <c r="B70" s="54" t="s">
        <v>216</v>
      </c>
      <c r="C70" s="60">
        <v>4876.4399999999996</v>
      </c>
      <c r="D70" s="56" t="s">
        <v>27</v>
      </c>
      <c r="E70" s="175">
        <f t="shared" si="7"/>
        <v>11.66</v>
      </c>
      <c r="F70" s="176">
        <v>56859.290399999998</v>
      </c>
      <c r="G70" s="65" t="s">
        <v>429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5.75" customHeight="1" outlineLevel="1" x14ac:dyDescent="0.55000000000000004">
      <c r="A71" s="53" t="s">
        <v>456</v>
      </c>
      <c r="B71" s="54" t="s">
        <v>217</v>
      </c>
      <c r="C71" s="60">
        <v>4876.4399999999996</v>
      </c>
      <c r="D71" s="56" t="s">
        <v>20</v>
      </c>
      <c r="E71" s="175">
        <f t="shared" si="7"/>
        <v>48</v>
      </c>
      <c r="F71" s="176">
        <v>234069.12</v>
      </c>
      <c r="G71" s="65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s="50" customFormat="1" ht="15.75" customHeight="1" x14ac:dyDescent="0.55000000000000004">
      <c r="A72" s="25">
        <v>7</v>
      </c>
      <c r="B72" s="26" t="s">
        <v>218</v>
      </c>
      <c r="C72" s="58"/>
      <c r="D72" s="57"/>
      <c r="E72" s="171"/>
      <c r="F72" s="172">
        <f>F73+F81+F88</f>
        <v>1372645.923</v>
      </c>
      <c r="G72" s="63" t="s">
        <v>219</v>
      </c>
      <c r="H72" s="2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s="50" customFormat="1" ht="15.75" customHeight="1" x14ac:dyDescent="0.55000000000000004">
      <c r="A73" s="28" t="s">
        <v>220</v>
      </c>
      <c r="B73" s="29" t="s">
        <v>221</v>
      </c>
      <c r="C73" s="59"/>
      <c r="D73" s="55"/>
      <c r="E73" s="173"/>
      <c r="F73" s="174">
        <f>SUM(F74:F80)</f>
        <v>613394.90300000005</v>
      </c>
      <c r="G73" s="64"/>
      <c r="H73" s="21"/>
      <c r="I73" s="30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5.75" customHeight="1" outlineLevel="1" x14ac:dyDescent="0.55000000000000004">
      <c r="A74" s="53" t="s">
        <v>222</v>
      </c>
      <c r="B74" s="54" t="s">
        <v>223</v>
      </c>
      <c r="C74" s="60">
        <v>1</v>
      </c>
      <c r="D74" s="56" t="s">
        <v>116</v>
      </c>
      <c r="E74" s="175">
        <f t="shared" ref="E74:E80" si="8">F74/C74</f>
        <v>21978.319</v>
      </c>
      <c r="F74" s="176">
        <v>21978.319</v>
      </c>
      <c r="G74" s="65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5.75" customHeight="1" outlineLevel="1" x14ac:dyDescent="0.55000000000000004">
      <c r="A75" s="53" t="s">
        <v>224</v>
      </c>
      <c r="B75" s="54" t="s">
        <v>225</v>
      </c>
      <c r="C75" s="60">
        <v>1</v>
      </c>
      <c r="D75" s="56" t="s">
        <v>116</v>
      </c>
      <c r="E75" s="175">
        <f t="shared" si="8"/>
        <v>39960.58</v>
      </c>
      <c r="F75" s="176">
        <v>39960.58</v>
      </c>
      <c r="G75" s="65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5.75" customHeight="1" outlineLevel="1" x14ac:dyDescent="0.55000000000000004">
      <c r="A76" s="53" t="s">
        <v>226</v>
      </c>
      <c r="B76" s="54" t="s">
        <v>228</v>
      </c>
      <c r="C76" s="60">
        <v>1</v>
      </c>
      <c r="D76" s="56" t="s">
        <v>116</v>
      </c>
      <c r="E76" s="175">
        <f t="shared" si="8"/>
        <v>119881.74</v>
      </c>
      <c r="F76" s="176">
        <v>119881.74</v>
      </c>
      <c r="G76" s="65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5.75" customHeight="1" outlineLevel="1" x14ac:dyDescent="0.55000000000000004">
      <c r="A77" s="53" t="s">
        <v>227</v>
      </c>
      <c r="B77" s="54" t="s">
        <v>230</v>
      </c>
      <c r="C77" s="60">
        <v>1</v>
      </c>
      <c r="D77" s="56" t="s">
        <v>116</v>
      </c>
      <c r="E77" s="175">
        <f t="shared" si="8"/>
        <v>71929.043999999994</v>
      </c>
      <c r="F77" s="176">
        <v>71929.043999999994</v>
      </c>
      <c r="G77" s="65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5.75" customHeight="1" outlineLevel="1" x14ac:dyDescent="0.55000000000000004">
      <c r="A78" s="53" t="s">
        <v>229</v>
      </c>
      <c r="B78" s="54" t="s">
        <v>232</v>
      </c>
      <c r="C78" s="60">
        <v>1</v>
      </c>
      <c r="D78" s="56" t="s">
        <v>116</v>
      </c>
      <c r="E78" s="175">
        <f t="shared" si="8"/>
        <v>59940.87</v>
      </c>
      <c r="F78" s="176">
        <v>59940.87</v>
      </c>
      <c r="G78" s="65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5.75" customHeight="1" outlineLevel="1" x14ac:dyDescent="0.55000000000000004">
      <c r="A79" s="53" t="s">
        <v>231</v>
      </c>
      <c r="B79" s="54" t="s">
        <v>234</v>
      </c>
      <c r="C79" s="60">
        <v>1</v>
      </c>
      <c r="D79" s="56" t="s">
        <v>116</v>
      </c>
      <c r="E79" s="175">
        <f t="shared" si="8"/>
        <v>59940.87</v>
      </c>
      <c r="F79" s="176">
        <v>59940.87</v>
      </c>
      <c r="G79" s="65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5.75" customHeight="1" outlineLevel="1" x14ac:dyDescent="0.55000000000000004">
      <c r="A80" s="53" t="s">
        <v>233</v>
      </c>
      <c r="B80" s="54" t="s">
        <v>235</v>
      </c>
      <c r="C80" s="60">
        <v>1</v>
      </c>
      <c r="D80" s="56" t="s">
        <v>116</v>
      </c>
      <c r="E80" s="175">
        <f t="shared" si="8"/>
        <v>239763.48</v>
      </c>
      <c r="F80" s="176">
        <v>239763.48</v>
      </c>
      <c r="G80" s="65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s="50" customFormat="1" ht="15.75" customHeight="1" x14ac:dyDescent="0.55000000000000004">
      <c r="A81" s="28" t="s">
        <v>236</v>
      </c>
      <c r="B81" s="29" t="s">
        <v>237</v>
      </c>
      <c r="C81" s="59"/>
      <c r="D81" s="55"/>
      <c r="E81" s="173"/>
      <c r="F81" s="174">
        <f>SUM(F82:F87)</f>
        <v>587420.52600000007</v>
      </c>
      <c r="G81" s="64"/>
      <c r="H81" s="21"/>
      <c r="I81" s="30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15.75" customHeight="1" outlineLevel="1" x14ac:dyDescent="0.55000000000000004">
      <c r="A82" s="53" t="s">
        <v>238</v>
      </c>
      <c r="B82" s="54" t="s">
        <v>239</v>
      </c>
      <c r="C82" s="60">
        <v>1</v>
      </c>
      <c r="D82" s="56" t="s">
        <v>116</v>
      </c>
      <c r="E82" s="175">
        <f t="shared" ref="E82:E87" si="9">F82/C82</f>
        <v>99901.450000000012</v>
      </c>
      <c r="F82" s="176">
        <v>99901.450000000012</v>
      </c>
      <c r="G82" s="65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5.75" customHeight="1" outlineLevel="1" x14ac:dyDescent="0.55000000000000004">
      <c r="A83" s="53" t="s">
        <v>240</v>
      </c>
      <c r="B83" s="54" t="s">
        <v>241</v>
      </c>
      <c r="C83" s="60">
        <v>1</v>
      </c>
      <c r="D83" s="56" t="s">
        <v>116</v>
      </c>
      <c r="E83" s="175">
        <f t="shared" si="9"/>
        <v>79921.16</v>
      </c>
      <c r="F83" s="176">
        <v>79921.16</v>
      </c>
      <c r="G83" s="65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5.75" customHeight="1" outlineLevel="1" x14ac:dyDescent="0.55000000000000004">
      <c r="A84" s="53" t="s">
        <v>242</v>
      </c>
      <c r="B84" s="54" t="s">
        <v>243</v>
      </c>
      <c r="C84" s="60">
        <v>1</v>
      </c>
      <c r="D84" s="56" t="s">
        <v>116</v>
      </c>
      <c r="E84" s="175">
        <f t="shared" si="9"/>
        <v>39960.58</v>
      </c>
      <c r="F84" s="176">
        <v>39960.58</v>
      </c>
      <c r="G84" s="65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5.75" customHeight="1" outlineLevel="1" x14ac:dyDescent="0.55000000000000004">
      <c r="A85" s="53" t="s">
        <v>244</v>
      </c>
      <c r="B85" s="54" t="s">
        <v>245</v>
      </c>
      <c r="C85" s="60">
        <v>1</v>
      </c>
      <c r="D85" s="56" t="s">
        <v>116</v>
      </c>
      <c r="E85" s="175">
        <f t="shared" si="9"/>
        <v>59940.87</v>
      </c>
      <c r="F85" s="176">
        <v>59940.87</v>
      </c>
      <c r="G85" s="65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5.75" customHeight="1" outlineLevel="1" x14ac:dyDescent="0.55000000000000004">
      <c r="A86" s="53" t="s">
        <v>246</v>
      </c>
      <c r="B86" s="54" t="s">
        <v>247</v>
      </c>
      <c r="C86" s="60">
        <v>1</v>
      </c>
      <c r="D86" s="56" t="s">
        <v>116</v>
      </c>
      <c r="E86" s="175">
        <f t="shared" si="9"/>
        <v>87913.275999999998</v>
      </c>
      <c r="F86" s="176">
        <v>87913.275999999998</v>
      </c>
      <c r="G86" s="65" t="s">
        <v>430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5.75" customHeight="1" outlineLevel="1" x14ac:dyDescent="0.55000000000000004">
      <c r="A87" s="53" t="s">
        <v>248</v>
      </c>
      <c r="B87" s="54" t="s">
        <v>249</v>
      </c>
      <c r="C87" s="60">
        <v>1</v>
      </c>
      <c r="D87" s="56" t="s">
        <v>116</v>
      </c>
      <c r="E87" s="175">
        <f t="shared" si="9"/>
        <v>219783.19</v>
      </c>
      <c r="F87" s="176">
        <v>219783.19</v>
      </c>
      <c r="G87" s="65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s="50" customFormat="1" ht="15.75" customHeight="1" x14ac:dyDescent="0.55000000000000004">
      <c r="A88" s="28" t="s">
        <v>250</v>
      </c>
      <c r="B88" s="29" t="s">
        <v>251</v>
      </c>
      <c r="C88" s="59"/>
      <c r="D88" s="55"/>
      <c r="E88" s="173"/>
      <c r="F88" s="174">
        <f>SUM(F89:F91)</f>
        <v>171830.49400000001</v>
      </c>
      <c r="G88" s="64"/>
      <c r="H88" s="21"/>
      <c r="I88" s="30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15.75" customHeight="1" outlineLevel="1" x14ac:dyDescent="0.55000000000000004">
      <c r="A89" s="53" t="s">
        <v>252</v>
      </c>
      <c r="B89" s="54" t="s">
        <v>253</v>
      </c>
      <c r="C89" s="60">
        <v>1</v>
      </c>
      <c r="D89" s="56" t="s">
        <v>116</v>
      </c>
      <c r="E89" s="175">
        <f t="shared" ref="E89:E91" si="10">F89/C89</f>
        <v>79921.16</v>
      </c>
      <c r="F89" s="176">
        <v>79921.16</v>
      </c>
      <c r="G89" s="65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5.75" customHeight="1" outlineLevel="1" x14ac:dyDescent="0.55000000000000004">
      <c r="A90" s="53" t="s">
        <v>254</v>
      </c>
      <c r="B90" s="54" t="s">
        <v>255</v>
      </c>
      <c r="C90" s="60">
        <v>1</v>
      </c>
      <c r="D90" s="56" t="s">
        <v>116</v>
      </c>
      <c r="E90" s="175">
        <f t="shared" si="10"/>
        <v>59940.87</v>
      </c>
      <c r="F90" s="176">
        <v>59940.87</v>
      </c>
      <c r="G90" s="65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5.75" customHeight="1" outlineLevel="1" x14ac:dyDescent="0.55000000000000004">
      <c r="A91" s="53" t="s">
        <v>256</v>
      </c>
      <c r="B91" s="54" t="s">
        <v>257</v>
      </c>
      <c r="C91" s="60">
        <v>1</v>
      </c>
      <c r="D91" s="56" t="s">
        <v>116</v>
      </c>
      <c r="E91" s="175">
        <f t="shared" si="10"/>
        <v>31968.464</v>
      </c>
      <c r="F91" s="176">
        <v>31968.464</v>
      </c>
      <c r="G91" s="65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s="50" customFormat="1" ht="15.75" customHeight="1" x14ac:dyDescent="0.55000000000000004">
      <c r="A92" s="25">
        <v>8</v>
      </c>
      <c r="B92" s="26" t="s">
        <v>258</v>
      </c>
      <c r="C92" s="58"/>
      <c r="D92" s="57"/>
      <c r="E92" s="171"/>
      <c r="F92" s="172">
        <f>F93+F98+F103+F105</f>
        <v>697857.6183333334</v>
      </c>
      <c r="G92" s="63"/>
      <c r="H92" s="2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s="50" customFormat="1" ht="15.75" customHeight="1" x14ac:dyDescent="0.55000000000000004">
      <c r="A93" s="28" t="s">
        <v>259</v>
      </c>
      <c r="B93" s="29" t="s">
        <v>260</v>
      </c>
      <c r="C93" s="59"/>
      <c r="D93" s="55"/>
      <c r="E93" s="173"/>
      <c r="F93" s="174">
        <f>SUM(F94:F97)</f>
        <v>234300.00000000003</v>
      </c>
      <c r="G93" s="64"/>
      <c r="H93" s="21"/>
      <c r="I93" s="30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15.75" customHeight="1" outlineLevel="1" x14ac:dyDescent="0.55000000000000004">
      <c r="A94" s="53" t="s">
        <v>261</v>
      </c>
      <c r="B94" s="54" t="s">
        <v>262</v>
      </c>
      <c r="C94" s="60">
        <v>75</v>
      </c>
      <c r="D94" s="56" t="s">
        <v>20</v>
      </c>
      <c r="E94" s="175">
        <f t="shared" ref="E94:E97" si="11">F94/C94</f>
        <v>1320.0000000000002</v>
      </c>
      <c r="F94" s="176">
        <v>99000.000000000015</v>
      </c>
      <c r="G94" s="65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5.75" customHeight="1" outlineLevel="1" x14ac:dyDescent="0.55000000000000004">
      <c r="A95" s="53" t="s">
        <v>263</v>
      </c>
      <c r="B95" s="54" t="s">
        <v>264</v>
      </c>
      <c r="C95" s="60">
        <v>9</v>
      </c>
      <c r="D95" s="56" t="s">
        <v>20</v>
      </c>
      <c r="E95" s="175">
        <f t="shared" si="11"/>
        <v>5500.0000000000009</v>
      </c>
      <c r="F95" s="176">
        <v>49500.000000000007</v>
      </c>
      <c r="G95" s="65" t="s">
        <v>265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5.75" customHeight="1" outlineLevel="1" x14ac:dyDescent="0.55000000000000004">
      <c r="A96" s="53" t="s">
        <v>266</v>
      </c>
      <c r="B96" s="54" t="s">
        <v>267</v>
      </c>
      <c r="C96" s="60">
        <v>26</v>
      </c>
      <c r="D96" s="56" t="s">
        <v>20</v>
      </c>
      <c r="E96" s="175">
        <f t="shared" si="11"/>
        <v>990.00000000000011</v>
      </c>
      <c r="F96" s="176">
        <v>25740.000000000004</v>
      </c>
      <c r="G96" s="65" t="s">
        <v>268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5.75" customHeight="1" outlineLevel="1" x14ac:dyDescent="0.55000000000000004">
      <c r="A97" s="53" t="s">
        <v>269</v>
      </c>
      <c r="B97" s="54" t="s">
        <v>215</v>
      </c>
      <c r="C97" s="60">
        <v>21</v>
      </c>
      <c r="D97" s="56" t="s">
        <v>20</v>
      </c>
      <c r="E97" s="175">
        <f t="shared" si="11"/>
        <v>2860.0000000000005</v>
      </c>
      <c r="F97" s="176">
        <v>60060.000000000007</v>
      </c>
      <c r="G97" s="65" t="s">
        <v>270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s="50" customFormat="1" ht="15.75" customHeight="1" x14ac:dyDescent="0.55000000000000004">
      <c r="A98" s="28" t="s">
        <v>271</v>
      </c>
      <c r="B98" s="29" t="s">
        <v>272</v>
      </c>
      <c r="C98" s="59"/>
      <c r="D98" s="55"/>
      <c r="E98" s="173"/>
      <c r="F98" s="174">
        <f>SUM(F99:F102)</f>
        <v>49950.725000000006</v>
      </c>
      <c r="G98" s="64"/>
      <c r="H98" s="21"/>
      <c r="I98" s="30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5.75" customHeight="1" outlineLevel="1" x14ac:dyDescent="0.55000000000000004">
      <c r="A99" s="53" t="s">
        <v>273</v>
      </c>
      <c r="B99" s="54" t="s">
        <v>274</v>
      </c>
      <c r="C99" s="60">
        <v>1</v>
      </c>
      <c r="D99" s="56" t="s">
        <v>116</v>
      </c>
      <c r="E99" s="175">
        <f t="shared" ref="E99:E102" si="12">F99/C99</f>
        <v>5994.0870000000004</v>
      </c>
      <c r="F99" s="176">
        <v>5994.0870000000004</v>
      </c>
      <c r="G99" s="65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5.75" customHeight="1" outlineLevel="1" x14ac:dyDescent="0.55000000000000004">
      <c r="A100" s="53" t="s">
        <v>275</v>
      </c>
      <c r="B100" s="54" t="s">
        <v>276</v>
      </c>
      <c r="C100" s="60">
        <v>1</v>
      </c>
      <c r="D100" s="56" t="s">
        <v>116</v>
      </c>
      <c r="E100" s="175">
        <f t="shared" si="12"/>
        <v>7992.116</v>
      </c>
      <c r="F100" s="176">
        <v>7992.116</v>
      </c>
      <c r="G100" s="65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5.75" customHeight="1" outlineLevel="1" x14ac:dyDescent="0.55000000000000004">
      <c r="A101" s="53" t="s">
        <v>277</v>
      </c>
      <c r="B101" s="54" t="s">
        <v>278</v>
      </c>
      <c r="C101" s="60">
        <v>1</v>
      </c>
      <c r="D101" s="56" t="s">
        <v>116</v>
      </c>
      <c r="E101" s="175">
        <f t="shared" si="12"/>
        <v>15984.232</v>
      </c>
      <c r="F101" s="176">
        <v>15984.232</v>
      </c>
      <c r="G101" s="65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5.75" customHeight="1" outlineLevel="1" x14ac:dyDescent="0.55000000000000004">
      <c r="A102" s="53" t="s">
        <v>279</v>
      </c>
      <c r="B102" s="54" t="s">
        <v>280</v>
      </c>
      <c r="C102" s="60">
        <v>1</v>
      </c>
      <c r="D102" s="56" t="s">
        <v>116</v>
      </c>
      <c r="E102" s="175">
        <f t="shared" si="12"/>
        <v>19980.29</v>
      </c>
      <c r="F102" s="176">
        <v>19980.29</v>
      </c>
      <c r="G102" s="65" t="s">
        <v>281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s="50" customFormat="1" ht="15.75" customHeight="1" x14ac:dyDescent="0.55000000000000004">
      <c r="A103" s="28" t="s">
        <v>282</v>
      </c>
      <c r="B103" s="29" t="s">
        <v>283</v>
      </c>
      <c r="C103" s="59"/>
      <c r="D103" s="55"/>
      <c r="E103" s="173"/>
      <c r="F103" s="174">
        <f>SUM(F104)</f>
        <v>79921.16</v>
      </c>
      <c r="G103" s="64"/>
      <c r="H103" s="21"/>
      <c r="I103" s="30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5.75" customHeight="1" outlineLevel="1" x14ac:dyDescent="0.55000000000000004">
      <c r="A104" s="53" t="s">
        <v>284</v>
      </c>
      <c r="B104" s="54" t="s">
        <v>285</v>
      </c>
      <c r="C104" s="60">
        <v>1</v>
      </c>
      <c r="D104" s="56" t="s">
        <v>116</v>
      </c>
      <c r="E104" s="175">
        <f t="shared" ref="E104" si="13">F104/C104</f>
        <v>79921.16</v>
      </c>
      <c r="F104" s="176">
        <v>79921.16</v>
      </c>
      <c r="G104" s="65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s="50" customFormat="1" ht="15.75" customHeight="1" x14ac:dyDescent="0.55000000000000004">
      <c r="A105" s="28" t="s">
        <v>286</v>
      </c>
      <c r="B105" s="29" t="s">
        <v>258</v>
      </c>
      <c r="C105" s="59"/>
      <c r="D105" s="55"/>
      <c r="E105" s="173"/>
      <c r="F105" s="174">
        <f>SUM(F106:F110)</f>
        <v>333685.7333333334</v>
      </c>
      <c r="G105" s="64"/>
      <c r="H105" s="21"/>
      <c r="I105" s="30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15.75" customHeight="1" outlineLevel="1" x14ac:dyDescent="0.55000000000000004">
      <c r="A106" s="53" t="s">
        <v>287</v>
      </c>
      <c r="B106" s="54" t="s">
        <v>288</v>
      </c>
      <c r="C106" s="60">
        <v>1</v>
      </c>
      <c r="D106" s="56" t="s">
        <v>20</v>
      </c>
      <c r="E106" s="175">
        <f t="shared" ref="E106:E110" si="14">F106/C106</f>
        <v>170683.33333333337</v>
      </c>
      <c r="F106" s="176">
        <v>170683.33333333337</v>
      </c>
      <c r="G106" s="65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5.75" customHeight="1" outlineLevel="1" x14ac:dyDescent="0.55000000000000004">
      <c r="A107" s="53" t="s">
        <v>289</v>
      </c>
      <c r="B107" s="54" t="s">
        <v>524</v>
      </c>
      <c r="C107" s="60">
        <v>1</v>
      </c>
      <c r="D107" s="56" t="s">
        <v>116</v>
      </c>
      <c r="E107" s="175">
        <f t="shared" si="14"/>
        <v>11000</v>
      </c>
      <c r="F107" s="176">
        <v>11000</v>
      </c>
      <c r="G107" s="65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5.75" customHeight="1" outlineLevel="1" x14ac:dyDescent="0.55000000000000004">
      <c r="A108" s="53" t="s">
        <v>442</v>
      </c>
      <c r="B108" s="54" t="s">
        <v>525</v>
      </c>
      <c r="C108" s="60">
        <v>1</v>
      </c>
      <c r="D108" s="56" t="s">
        <v>20</v>
      </c>
      <c r="E108" s="175">
        <f t="shared" si="14"/>
        <v>27152.400000000001</v>
      </c>
      <c r="F108" s="176">
        <v>27152.400000000001</v>
      </c>
      <c r="G108" s="65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5.75" customHeight="1" outlineLevel="1" x14ac:dyDescent="0.55000000000000004">
      <c r="A109" s="53" t="s">
        <v>443</v>
      </c>
      <c r="B109" s="54" t="s">
        <v>526</v>
      </c>
      <c r="C109" s="60">
        <v>24</v>
      </c>
      <c r="D109" s="56" t="s">
        <v>20</v>
      </c>
      <c r="E109" s="175">
        <f t="shared" si="14"/>
        <v>4812.5000000000009</v>
      </c>
      <c r="F109" s="176">
        <v>115500.00000000001</v>
      </c>
      <c r="G109" s="65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5.75" customHeight="1" outlineLevel="1" x14ac:dyDescent="0.55000000000000004">
      <c r="A110" s="53" t="s">
        <v>444</v>
      </c>
      <c r="B110" s="54" t="s">
        <v>431</v>
      </c>
      <c r="C110" s="60">
        <v>24</v>
      </c>
      <c r="D110" s="56" t="s">
        <v>20</v>
      </c>
      <c r="E110" s="175">
        <f t="shared" si="14"/>
        <v>389.58333333333331</v>
      </c>
      <c r="F110" s="176">
        <v>9350</v>
      </c>
      <c r="G110" s="65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s="50" customFormat="1" ht="15.75" customHeight="1" x14ac:dyDescent="0.55000000000000004">
      <c r="A111" s="25">
        <v>9</v>
      </c>
      <c r="B111" s="26" t="s">
        <v>290</v>
      </c>
      <c r="C111" s="58"/>
      <c r="D111" s="57"/>
      <c r="E111" s="171"/>
      <c r="F111" s="172">
        <f>F112</f>
        <v>292179.89388500003</v>
      </c>
      <c r="G111" s="63"/>
      <c r="H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s="50" customFormat="1" ht="15.75" customHeight="1" x14ac:dyDescent="0.55000000000000004">
      <c r="A112" s="28" t="s">
        <v>291</v>
      </c>
      <c r="B112" s="29" t="s">
        <v>290</v>
      </c>
      <c r="C112" s="59"/>
      <c r="D112" s="55"/>
      <c r="E112" s="173"/>
      <c r="F112" s="174">
        <f>SUM(F113:F120)</f>
        <v>292179.89388500003</v>
      </c>
      <c r="G112" s="64"/>
      <c r="H112" s="21"/>
      <c r="I112" s="30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5.75" customHeight="1" outlineLevel="1" x14ac:dyDescent="0.55000000000000004">
      <c r="A113" s="53" t="s">
        <v>292</v>
      </c>
      <c r="B113" s="54" t="s">
        <v>293</v>
      </c>
      <c r="C113" s="60">
        <v>1624.665</v>
      </c>
      <c r="D113" s="56" t="s">
        <v>27</v>
      </c>
      <c r="E113" s="175">
        <f t="shared" ref="E113:E120" si="15">F113/C113</f>
        <v>35.958999999999996</v>
      </c>
      <c r="F113" s="176">
        <v>58421.328734999996</v>
      </c>
      <c r="G113" s="65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5.75" customHeight="1" outlineLevel="1" x14ac:dyDescent="0.55000000000000004">
      <c r="A114" s="53" t="s">
        <v>294</v>
      </c>
      <c r="B114" s="54" t="s">
        <v>295</v>
      </c>
      <c r="C114" s="60">
        <v>16.200000000000003</v>
      </c>
      <c r="D114" s="56" t="s">
        <v>27</v>
      </c>
      <c r="E114" s="175">
        <f t="shared" si="15"/>
        <v>45.100000000000009</v>
      </c>
      <c r="F114" s="176">
        <v>730.62000000000023</v>
      </c>
      <c r="G114" s="65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5.75" customHeight="1" outlineLevel="1" x14ac:dyDescent="0.55000000000000004">
      <c r="A115" s="53" t="s">
        <v>296</v>
      </c>
      <c r="B115" s="54" t="s">
        <v>297</v>
      </c>
      <c r="C115" s="60">
        <v>370.78250000000003</v>
      </c>
      <c r="D115" s="56" t="s">
        <v>27</v>
      </c>
      <c r="E115" s="175">
        <f t="shared" si="15"/>
        <v>38.5</v>
      </c>
      <c r="F115" s="176">
        <v>14275.126250000001</v>
      </c>
      <c r="G115" s="65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5.75" customHeight="1" outlineLevel="1" x14ac:dyDescent="0.55000000000000004">
      <c r="A116" s="53" t="s">
        <v>298</v>
      </c>
      <c r="B116" s="54" t="s">
        <v>299</v>
      </c>
      <c r="C116" s="60">
        <v>100</v>
      </c>
      <c r="D116" s="56" t="s">
        <v>20</v>
      </c>
      <c r="E116" s="175">
        <f t="shared" si="15"/>
        <v>88</v>
      </c>
      <c r="F116" s="176">
        <v>8800</v>
      </c>
      <c r="G116" s="65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5.75" customHeight="1" outlineLevel="1" x14ac:dyDescent="0.55000000000000004">
      <c r="A117" s="53" t="s">
        <v>300</v>
      </c>
      <c r="B117" s="54" t="s">
        <v>301</v>
      </c>
      <c r="C117" s="60">
        <v>908.19499999999994</v>
      </c>
      <c r="D117" s="56" t="s">
        <v>27</v>
      </c>
      <c r="E117" s="175">
        <f t="shared" si="15"/>
        <v>66.000000000000014</v>
      </c>
      <c r="F117" s="176">
        <v>59940.87</v>
      </c>
      <c r="G117" s="65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5.75" customHeight="1" outlineLevel="1" x14ac:dyDescent="0.55000000000000004">
      <c r="A118" s="53" t="s">
        <v>302</v>
      </c>
      <c r="B118" s="54" t="s">
        <v>523</v>
      </c>
      <c r="C118" s="60">
        <v>716.47</v>
      </c>
      <c r="D118" s="56" t="s">
        <v>27</v>
      </c>
      <c r="E118" s="175">
        <f t="shared" si="15"/>
        <v>121.00000000000001</v>
      </c>
      <c r="F118" s="176">
        <v>86692.87000000001</v>
      </c>
      <c r="G118" s="65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5.75" customHeight="1" outlineLevel="1" x14ac:dyDescent="0.55000000000000004">
      <c r="A119" s="53" t="s">
        <v>445</v>
      </c>
      <c r="B119" s="54" t="s">
        <v>304</v>
      </c>
      <c r="C119" s="60">
        <v>1</v>
      </c>
      <c r="D119" s="56" t="s">
        <v>116</v>
      </c>
      <c r="E119" s="175">
        <f t="shared" si="15"/>
        <v>2397.6347999999998</v>
      </c>
      <c r="F119" s="176">
        <v>2397.6347999999998</v>
      </c>
      <c r="G119" s="65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5.75" customHeight="1" outlineLevel="1" x14ac:dyDescent="0.55000000000000004">
      <c r="A120" s="53" t="s">
        <v>303</v>
      </c>
      <c r="B120" s="54" t="s">
        <v>305</v>
      </c>
      <c r="C120" s="60">
        <v>716.47</v>
      </c>
      <c r="D120" s="56" t="s">
        <v>27</v>
      </c>
      <c r="E120" s="175">
        <f t="shared" si="15"/>
        <v>85.03</v>
      </c>
      <c r="F120" s="176">
        <v>60921.444100000008</v>
      </c>
      <c r="G120" s="65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s="50" customFormat="1" ht="15.75" customHeight="1" x14ac:dyDescent="0.55000000000000004">
      <c r="A121" s="25">
        <v>10</v>
      </c>
      <c r="B121" s="26" t="s">
        <v>306</v>
      </c>
      <c r="C121" s="58"/>
      <c r="D121" s="57"/>
      <c r="E121" s="171"/>
      <c r="F121" s="172">
        <f>F122+F127</f>
        <v>808212.99430000002</v>
      </c>
      <c r="G121" s="63"/>
      <c r="H121" s="2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s="50" customFormat="1" ht="15.75" customHeight="1" x14ac:dyDescent="0.55000000000000004">
      <c r="A122" s="28" t="s">
        <v>307</v>
      </c>
      <c r="B122" s="29" t="s">
        <v>308</v>
      </c>
      <c r="C122" s="59"/>
      <c r="D122" s="55"/>
      <c r="E122" s="173"/>
      <c r="F122" s="174">
        <f>SUM(F123:F126)</f>
        <v>336353.26750000007</v>
      </c>
      <c r="G122" s="64"/>
      <c r="H122" s="21"/>
      <c r="I122" s="30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5.75" customHeight="1" outlineLevel="1" x14ac:dyDescent="0.55000000000000004">
      <c r="A123" s="53" t="s">
        <v>309</v>
      </c>
      <c r="B123" s="54" t="s">
        <v>527</v>
      </c>
      <c r="C123" s="60">
        <v>653.54999999999995</v>
      </c>
      <c r="D123" s="56" t="s">
        <v>27</v>
      </c>
      <c r="E123" s="175">
        <f t="shared" ref="E123:E129" si="16">F123/C123</f>
        <v>18.149999999999999</v>
      </c>
      <c r="F123" s="176">
        <v>11861.932499999999</v>
      </c>
      <c r="G123" s="65" t="s">
        <v>388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5.75" customHeight="1" outlineLevel="1" x14ac:dyDescent="0.55000000000000004">
      <c r="A124" s="53" t="s">
        <v>310</v>
      </c>
      <c r="B124" s="54" t="s">
        <v>394</v>
      </c>
      <c r="C124" s="60">
        <v>84.56</v>
      </c>
      <c r="D124" s="56" t="s">
        <v>27</v>
      </c>
      <c r="E124" s="175">
        <f t="shared" si="16"/>
        <v>27.5</v>
      </c>
      <c r="F124" s="176">
        <v>2325.4</v>
      </c>
      <c r="G124" s="65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5.75" customHeight="1" outlineLevel="1" x14ac:dyDescent="0.55000000000000004">
      <c r="A125" s="53" t="s">
        <v>311</v>
      </c>
      <c r="B125" s="54" t="s">
        <v>395</v>
      </c>
      <c r="C125" s="60">
        <v>3894.56</v>
      </c>
      <c r="D125" s="56" t="s">
        <v>27</v>
      </c>
      <c r="E125" s="175">
        <f t="shared" si="16"/>
        <v>68.250000000000014</v>
      </c>
      <c r="F125" s="176">
        <v>265803.72000000003</v>
      </c>
      <c r="G125" s="65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5.75" customHeight="1" outlineLevel="1" x14ac:dyDescent="0.55000000000000004">
      <c r="A126" s="53" t="s">
        <v>393</v>
      </c>
      <c r="B126" s="54" t="s">
        <v>312</v>
      </c>
      <c r="C126" s="60">
        <v>2064.5500000000002</v>
      </c>
      <c r="D126" s="56" t="s">
        <v>27</v>
      </c>
      <c r="E126" s="175">
        <f t="shared" si="16"/>
        <v>27.3</v>
      </c>
      <c r="F126" s="176">
        <v>56362.215000000004</v>
      </c>
      <c r="G126" s="65" t="s">
        <v>313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s="50" customFormat="1" ht="15.75" customHeight="1" x14ac:dyDescent="0.55000000000000004">
      <c r="A127" s="28" t="s">
        <v>314</v>
      </c>
      <c r="B127" s="29" t="s">
        <v>315</v>
      </c>
      <c r="C127" s="59"/>
      <c r="D127" s="55"/>
      <c r="E127" s="173"/>
      <c r="F127" s="174">
        <f>SUM(F128:F129)</f>
        <v>471859.72679999995</v>
      </c>
      <c r="G127" s="64"/>
      <c r="H127" s="21"/>
      <c r="I127" s="30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5.75" customHeight="1" outlineLevel="1" x14ac:dyDescent="0.55000000000000004">
      <c r="A128" s="53" t="s">
        <v>316</v>
      </c>
      <c r="B128" s="54" t="s">
        <v>317</v>
      </c>
      <c r="C128" s="60">
        <v>8170.7311999999993</v>
      </c>
      <c r="D128" s="56" t="s">
        <v>27</v>
      </c>
      <c r="E128" s="175">
        <f t="shared" si="16"/>
        <v>5.25</v>
      </c>
      <c r="F128" s="176">
        <v>42896.338799999998</v>
      </c>
      <c r="G128" s="65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5.75" customHeight="1" outlineLevel="1" x14ac:dyDescent="0.55000000000000004">
      <c r="A129" s="53" t="s">
        <v>318</v>
      </c>
      <c r="B129" s="54" t="s">
        <v>319</v>
      </c>
      <c r="C129" s="60">
        <v>8170.7311999999993</v>
      </c>
      <c r="D129" s="56" t="s">
        <v>27</v>
      </c>
      <c r="E129" s="175">
        <f t="shared" si="16"/>
        <v>52.5</v>
      </c>
      <c r="F129" s="176">
        <v>428963.38799999998</v>
      </c>
      <c r="G129" s="65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s="50" customFormat="1" ht="15.75" customHeight="1" x14ac:dyDescent="0.55000000000000004">
      <c r="A130" s="25">
        <v>11</v>
      </c>
      <c r="B130" s="26" t="s">
        <v>320</v>
      </c>
      <c r="C130" s="58"/>
      <c r="D130" s="57"/>
      <c r="E130" s="171"/>
      <c r="F130" s="172">
        <f>F131+F138</f>
        <v>918707.1322750001</v>
      </c>
      <c r="G130" s="63"/>
      <c r="H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s="50" customFormat="1" ht="15.75" customHeight="1" x14ac:dyDescent="0.55000000000000004">
      <c r="A131" s="28" t="s">
        <v>321</v>
      </c>
      <c r="B131" s="29" t="s">
        <v>322</v>
      </c>
      <c r="C131" s="59"/>
      <c r="D131" s="55"/>
      <c r="E131" s="173"/>
      <c r="F131" s="174">
        <f>SUM(F132:F137)</f>
        <v>701867.22437500011</v>
      </c>
      <c r="G131" s="64"/>
      <c r="H131" s="21"/>
      <c r="I131" s="30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15.75" customHeight="1" outlineLevel="1" x14ac:dyDescent="0.55000000000000004">
      <c r="A132" s="53" t="s">
        <v>323</v>
      </c>
      <c r="B132" s="54" t="s">
        <v>530</v>
      </c>
      <c r="C132" s="60">
        <v>2538.34</v>
      </c>
      <c r="D132" s="56" t="s">
        <v>324</v>
      </c>
      <c r="E132" s="175">
        <f t="shared" ref="E132:E139" si="17">F132/C132</f>
        <v>146.34375</v>
      </c>
      <c r="F132" s="176">
        <v>371470.19437500002</v>
      </c>
      <c r="G132" s="65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5.75" customHeight="1" outlineLevel="1" x14ac:dyDescent="0.55000000000000004">
      <c r="A133" s="53" t="s">
        <v>325</v>
      </c>
      <c r="B133" s="54" t="s">
        <v>531</v>
      </c>
      <c r="C133" s="60">
        <v>114.86</v>
      </c>
      <c r="D133" s="56" t="s">
        <v>324</v>
      </c>
      <c r="E133" s="175">
        <f t="shared" si="17"/>
        <v>200.8</v>
      </c>
      <c r="F133" s="176">
        <v>23063.888000000003</v>
      </c>
      <c r="G133" s="65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5.75" customHeight="1" outlineLevel="1" x14ac:dyDescent="0.55000000000000004">
      <c r="A134" s="53" t="s">
        <v>326</v>
      </c>
      <c r="B134" s="54" t="s">
        <v>532</v>
      </c>
      <c r="C134" s="60">
        <v>137.66</v>
      </c>
      <c r="D134" s="56" t="s">
        <v>324</v>
      </c>
      <c r="E134" s="175">
        <f t="shared" si="17"/>
        <v>63</v>
      </c>
      <c r="F134" s="176">
        <v>8672.58</v>
      </c>
      <c r="G134" s="65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5.75" customHeight="1" outlineLevel="1" x14ac:dyDescent="0.55000000000000004">
      <c r="A135" s="53" t="s">
        <v>327</v>
      </c>
      <c r="B135" s="54" t="s">
        <v>533</v>
      </c>
      <c r="C135" s="60">
        <v>679.88</v>
      </c>
      <c r="D135" s="56" t="s">
        <v>324</v>
      </c>
      <c r="E135" s="175">
        <f t="shared" si="17"/>
        <v>63.000000000000007</v>
      </c>
      <c r="F135" s="176">
        <v>42832.44</v>
      </c>
      <c r="G135" s="65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5.75" customHeight="1" outlineLevel="1" x14ac:dyDescent="0.55000000000000004">
      <c r="A136" s="53" t="s">
        <v>328</v>
      </c>
      <c r="B136" s="54" t="s">
        <v>534</v>
      </c>
      <c r="C136" s="60">
        <v>3046.0080000000003</v>
      </c>
      <c r="D136" s="56" t="s">
        <v>19</v>
      </c>
      <c r="E136" s="175">
        <f t="shared" si="17"/>
        <v>57.749999999999993</v>
      </c>
      <c r="F136" s="176">
        <v>175906.962</v>
      </c>
      <c r="G136" s="65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5.75" customHeight="1" outlineLevel="1" x14ac:dyDescent="0.55000000000000004">
      <c r="A137" s="53" t="s">
        <v>446</v>
      </c>
      <c r="B137" s="54" t="s">
        <v>329</v>
      </c>
      <c r="C137" s="60">
        <v>1</v>
      </c>
      <c r="D137" s="56" t="s">
        <v>116</v>
      </c>
      <c r="E137" s="175">
        <f t="shared" si="17"/>
        <v>79921.16</v>
      </c>
      <c r="F137" s="176">
        <v>79921.16</v>
      </c>
      <c r="G137" s="65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s="50" customFormat="1" ht="15.75" customHeight="1" x14ac:dyDescent="0.55000000000000004">
      <c r="A138" s="28" t="s">
        <v>330</v>
      </c>
      <c r="B138" s="29" t="s">
        <v>331</v>
      </c>
      <c r="C138" s="59"/>
      <c r="D138" s="55"/>
      <c r="E138" s="173"/>
      <c r="F138" s="174">
        <f>F139</f>
        <v>216839.90789999996</v>
      </c>
      <c r="G138" s="64"/>
      <c r="H138" s="21"/>
      <c r="I138" s="30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5.75" customHeight="1" outlineLevel="1" x14ac:dyDescent="0.55000000000000004">
      <c r="A139" s="53" t="s">
        <v>332</v>
      </c>
      <c r="B139" s="54" t="s">
        <v>333</v>
      </c>
      <c r="C139" s="60">
        <v>1310.9039999999998</v>
      </c>
      <c r="D139" s="56" t="s">
        <v>324</v>
      </c>
      <c r="E139" s="175">
        <f t="shared" si="17"/>
        <v>165.41249999999999</v>
      </c>
      <c r="F139" s="176">
        <v>216839.90789999996</v>
      </c>
      <c r="G139" s="65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s="50" customFormat="1" ht="15.75" customHeight="1" x14ac:dyDescent="0.55000000000000004">
      <c r="A140" s="25">
        <v>12</v>
      </c>
      <c r="B140" s="26" t="s">
        <v>334</v>
      </c>
      <c r="C140" s="58"/>
      <c r="D140" s="57"/>
      <c r="E140" s="171"/>
      <c r="F140" s="172">
        <f>F141</f>
        <v>299766.44000000006</v>
      </c>
      <c r="G140" s="63"/>
      <c r="H140" s="2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s="50" customFormat="1" ht="15.75" customHeight="1" x14ac:dyDescent="0.55000000000000004">
      <c r="A141" s="28" t="s">
        <v>335</v>
      </c>
      <c r="B141" s="29" t="s">
        <v>336</v>
      </c>
      <c r="C141" s="59"/>
      <c r="D141" s="55"/>
      <c r="E141" s="173"/>
      <c r="F141" s="174">
        <f>SUM(F142:F144)</f>
        <v>299766.44000000006</v>
      </c>
      <c r="G141" s="64"/>
      <c r="H141" s="21"/>
      <c r="I141" s="30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5.75" customHeight="1" outlineLevel="1" x14ac:dyDescent="0.55000000000000004">
      <c r="A142" s="53" t="s">
        <v>337</v>
      </c>
      <c r="B142" s="54" t="s">
        <v>528</v>
      </c>
      <c r="C142" s="60">
        <v>2338.42</v>
      </c>
      <c r="D142" s="56" t="s">
        <v>27</v>
      </c>
      <c r="E142" s="175">
        <f t="shared" ref="E142:E144" si="18">F142/C142</f>
        <v>110</v>
      </c>
      <c r="F142" s="176">
        <v>257226.2</v>
      </c>
      <c r="G142" s="65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5.75" customHeight="1" outlineLevel="1" x14ac:dyDescent="0.55000000000000004">
      <c r="A143" s="53" t="s">
        <v>338</v>
      </c>
      <c r="B143" s="54" t="s">
        <v>529</v>
      </c>
      <c r="C143" s="60">
        <v>199.92</v>
      </c>
      <c r="D143" s="56" t="s">
        <v>19</v>
      </c>
      <c r="E143" s="175">
        <f t="shared" si="18"/>
        <v>120</v>
      </c>
      <c r="F143" s="176">
        <v>23990.399999999998</v>
      </c>
      <c r="G143" s="65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5.75" customHeight="1" outlineLevel="1" x14ac:dyDescent="0.55000000000000004">
      <c r="A144" s="53" t="s">
        <v>339</v>
      </c>
      <c r="B144" s="54" t="s">
        <v>389</v>
      </c>
      <c r="C144" s="60">
        <v>772.91000000000008</v>
      </c>
      <c r="D144" s="56" t="s">
        <v>27</v>
      </c>
      <c r="E144" s="175">
        <f t="shared" si="18"/>
        <v>24.000000000000004</v>
      </c>
      <c r="F144" s="176">
        <v>18549.840000000004</v>
      </c>
      <c r="G144" s="65" t="s">
        <v>390</v>
      </c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s="50" customFormat="1" ht="15.75" customHeight="1" x14ac:dyDescent="0.55000000000000004">
      <c r="A145" s="25">
        <v>13</v>
      </c>
      <c r="B145" s="26" t="s">
        <v>340</v>
      </c>
      <c r="C145" s="58"/>
      <c r="D145" s="57"/>
      <c r="E145" s="171"/>
      <c r="F145" s="172">
        <f>F146</f>
        <v>678657.63479999988</v>
      </c>
      <c r="G145" s="63"/>
      <c r="H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s="50" customFormat="1" ht="15.75" customHeight="1" x14ac:dyDescent="0.55000000000000004">
      <c r="A146" s="28" t="s">
        <v>341</v>
      </c>
      <c r="B146" s="29" t="s">
        <v>340</v>
      </c>
      <c r="C146" s="59"/>
      <c r="D146" s="55"/>
      <c r="E146" s="173"/>
      <c r="F146" s="174">
        <f>SUM(F147:F151)</f>
        <v>678657.63479999988</v>
      </c>
      <c r="G146" s="64"/>
      <c r="H146" s="21"/>
      <c r="I146" s="30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15.75" customHeight="1" outlineLevel="1" x14ac:dyDescent="0.55000000000000004">
      <c r="A147" s="53" t="s">
        <v>342</v>
      </c>
      <c r="B147" s="54" t="s">
        <v>343</v>
      </c>
      <c r="C147" s="60">
        <v>653.54999999999995</v>
      </c>
      <c r="D147" s="56" t="s">
        <v>28</v>
      </c>
      <c r="E147" s="175">
        <f t="shared" ref="E147:E151" si="19">F147/C147</f>
        <v>121.00000000000001</v>
      </c>
      <c r="F147" s="176">
        <v>79079.55</v>
      </c>
      <c r="G147" s="65" t="s">
        <v>344</v>
      </c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5.75" customHeight="1" outlineLevel="1" x14ac:dyDescent="0.55000000000000004">
      <c r="A148" s="53" t="s">
        <v>345</v>
      </c>
      <c r="B148" s="54" t="s">
        <v>535</v>
      </c>
      <c r="C148" s="60">
        <v>84.56</v>
      </c>
      <c r="D148" s="56" t="s">
        <v>28</v>
      </c>
      <c r="E148" s="175">
        <f t="shared" si="19"/>
        <v>71.500000000000014</v>
      </c>
      <c r="F148" s="176">
        <v>6046.0400000000009</v>
      </c>
      <c r="G148" s="65" t="s">
        <v>432</v>
      </c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5.75" customHeight="1" outlineLevel="1" x14ac:dyDescent="0.55000000000000004">
      <c r="A149" s="53" t="s">
        <v>346</v>
      </c>
      <c r="B149" s="54" t="s">
        <v>536</v>
      </c>
      <c r="C149" s="60">
        <v>772.91000000000008</v>
      </c>
      <c r="D149" s="56" t="s">
        <v>28</v>
      </c>
      <c r="E149" s="175">
        <f t="shared" si="19"/>
        <v>47</v>
      </c>
      <c r="F149" s="176">
        <v>36326.770000000004</v>
      </c>
      <c r="G149" s="65" t="s">
        <v>391</v>
      </c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5.75" customHeight="1" outlineLevel="1" x14ac:dyDescent="0.55000000000000004">
      <c r="A150" s="53" t="s">
        <v>346</v>
      </c>
      <c r="B150" s="54" t="s">
        <v>537</v>
      </c>
      <c r="C150" s="60">
        <v>6905.8171999999995</v>
      </c>
      <c r="D150" s="56" t="s">
        <v>28</v>
      </c>
      <c r="E150" s="175">
        <f t="shared" si="19"/>
        <v>59</v>
      </c>
      <c r="F150" s="176">
        <v>407443.21479999996</v>
      </c>
      <c r="G150" s="65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5.75" customHeight="1" outlineLevel="1" x14ac:dyDescent="0.55000000000000004">
      <c r="A151" s="53" t="s">
        <v>347</v>
      </c>
      <c r="B151" s="54" t="s">
        <v>538</v>
      </c>
      <c r="C151" s="60">
        <v>2538.34</v>
      </c>
      <c r="D151" s="56" t="s">
        <v>28</v>
      </c>
      <c r="E151" s="175">
        <f t="shared" si="19"/>
        <v>58.999999999999993</v>
      </c>
      <c r="F151" s="176">
        <v>149762.06</v>
      </c>
      <c r="G151" s="65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s="50" customFormat="1" ht="15.75" customHeight="1" x14ac:dyDescent="0.55000000000000004">
      <c r="A152" s="25">
        <v>14</v>
      </c>
      <c r="B152" s="26" t="s">
        <v>348</v>
      </c>
      <c r="C152" s="58"/>
      <c r="D152" s="57"/>
      <c r="E152" s="171"/>
      <c r="F152" s="172">
        <f>F153+F160+F163</f>
        <v>1379827.368</v>
      </c>
      <c r="G152" s="63"/>
      <c r="H152" s="2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s="50" customFormat="1" ht="15.75" customHeight="1" x14ac:dyDescent="0.55000000000000004">
      <c r="A153" s="28" t="s">
        <v>349</v>
      </c>
      <c r="B153" s="29" t="s">
        <v>350</v>
      </c>
      <c r="C153" s="59"/>
      <c r="D153" s="55"/>
      <c r="E153" s="173"/>
      <c r="F153" s="174">
        <f>SUM(F154:F159)</f>
        <v>1036003.318</v>
      </c>
      <c r="G153" s="64"/>
      <c r="H153" s="21"/>
      <c r="I153" s="30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5.75" customHeight="1" outlineLevel="1" x14ac:dyDescent="0.55000000000000004">
      <c r="A154" s="53" t="s">
        <v>351</v>
      </c>
      <c r="B154" s="54" t="s">
        <v>352</v>
      </c>
      <c r="C154" s="60">
        <v>377.73019999999997</v>
      </c>
      <c r="D154" s="56" t="s">
        <v>27</v>
      </c>
      <c r="E154" s="175">
        <f t="shared" ref="E154:E166" si="20">F154/C154</f>
        <v>1290</v>
      </c>
      <c r="F154" s="176">
        <v>487271.95799999998</v>
      </c>
      <c r="G154" s="65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5.75" customHeight="1" outlineLevel="1" x14ac:dyDescent="0.55000000000000004">
      <c r="A155" s="53" t="s">
        <v>447</v>
      </c>
      <c r="B155" s="54" t="s">
        <v>539</v>
      </c>
      <c r="C155" s="60">
        <v>376.17</v>
      </c>
      <c r="D155" s="56" t="s">
        <v>27</v>
      </c>
      <c r="E155" s="175">
        <f t="shared" si="20"/>
        <v>980</v>
      </c>
      <c r="F155" s="176">
        <v>368646.60000000003</v>
      </c>
      <c r="G155" s="65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5.75" customHeight="1" outlineLevel="1" x14ac:dyDescent="0.55000000000000004">
      <c r="A156" s="53" t="s">
        <v>448</v>
      </c>
      <c r="B156" s="54" t="s">
        <v>540</v>
      </c>
      <c r="C156" s="60">
        <v>6.2208000000000006</v>
      </c>
      <c r="D156" s="56" t="s">
        <v>27</v>
      </c>
      <c r="E156" s="175">
        <f t="shared" si="20"/>
        <v>950</v>
      </c>
      <c r="F156" s="176">
        <v>5909.76</v>
      </c>
      <c r="G156" s="65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5.75" customHeight="1" outlineLevel="1" x14ac:dyDescent="0.55000000000000004">
      <c r="A157" s="53" t="s">
        <v>402</v>
      </c>
      <c r="B157" s="54" t="s">
        <v>541</v>
      </c>
      <c r="C157" s="60">
        <v>2</v>
      </c>
      <c r="D157" s="56" t="s">
        <v>20</v>
      </c>
      <c r="E157" s="175">
        <f t="shared" si="20"/>
        <v>16000</v>
      </c>
      <c r="F157" s="176">
        <v>32000</v>
      </c>
      <c r="G157" s="65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5.75" customHeight="1" outlineLevel="1" x14ac:dyDescent="0.55000000000000004">
      <c r="A158" s="53" t="s">
        <v>403</v>
      </c>
      <c r="B158" s="54" t="s">
        <v>353</v>
      </c>
      <c r="C158" s="60">
        <v>128.82</v>
      </c>
      <c r="D158" s="56" t="s">
        <v>27</v>
      </c>
      <c r="E158" s="175">
        <f t="shared" si="20"/>
        <v>825.00000000000011</v>
      </c>
      <c r="F158" s="176">
        <v>106276.50000000001</v>
      </c>
      <c r="G158" s="65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5.75" customHeight="1" outlineLevel="1" x14ac:dyDescent="0.55000000000000004">
      <c r="A159" s="53" t="s">
        <v>404</v>
      </c>
      <c r="B159" s="54" t="s">
        <v>542</v>
      </c>
      <c r="C159" s="60">
        <v>58.85</v>
      </c>
      <c r="D159" s="56" t="s">
        <v>27</v>
      </c>
      <c r="E159" s="175">
        <f t="shared" si="20"/>
        <v>610</v>
      </c>
      <c r="F159" s="176">
        <v>35898.5</v>
      </c>
      <c r="G159" s="65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s="50" customFormat="1" ht="15.75" customHeight="1" x14ac:dyDescent="0.55000000000000004">
      <c r="A160" s="28" t="s">
        <v>354</v>
      </c>
      <c r="B160" s="29" t="s">
        <v>355</v>
      </c>
      <c r="C160" s="59"/>
      <c r="D160" s="55"/>
      <c r="E160" s="173"/>
      <c r="F160" s="174">
        <f>SUM(F161:F162)</f>
        <v>35730.29</v>
      </c>
      <c r="G160" s="64"/>
      <c r="H160" s="21"/>
      <c r="I160" s="30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5.75" customHeight="1" outlineLevel="1" x14ac:dyDescent="0.55000000000000004">
      <c r="A161" s="53" t="s">
        <v>356</v>
      </c>
      <c r="B161" s="54" t="s">
        <v>358</v>
      </c>
      <c r="C161" s="60">
        <v>1</v>
      </c>
      <c r="D161" s="56" t="s">
        <v>116</v>
      </c>
      <c r="E161" s="175">
        <f t="shared" si="20"/>
        <v>19980.29</v>
      </c>
      <c r="F161" s="176">
        <v>19980.29</v>
      </c>
      <c r="G161" s="65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5.75" customHeight="1" outlineLevel="1" x14ac:dyDescent="0.55000000000000004">
      <c r="A162" s="53" t="s">
        <v>357</v>
      </c>
      <c r="B162" s="54" t="s">
        <v>543</v>
      </c>
      <c r="C162" s="60">
        <v>9</v>
      </c>
      <c r="D162" s="56" t="s">
        <v>20</v>
      </c>
      <c r="E162" s="175">
        <f t="shared" si="20"/>
        <v>1750</v>
      </c>
      <c r="F162" s="176">
        <v>15750</v>
      </c>
      <c r="G162" s="65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s="50" customFormat="1" ht="15.75" customHeight="1" x14ac:dyDescent="0.55000000000000004">
      <c r="A163" s="28" t="s">
        <v>359</v>
      </c>
      <c r="B163" s="29" t="s">
        <v>360</v>
      </c>
      <c r="C163" s="59"/>
      <c r="D163" s="55"/>
      <c r="E163" s="173"/>
      <c r="F163" s="174">
        <f>SUM(F164:F166)</f>
        <v>308093.76</v>
      </c>
      <c r="G163" s="64"/>
      <c r="H163" s="21"/>
      <c r="I163" s="30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5.75" customHeight="1" outlineLevel="1" x14ac:dyDescent="0.55000000000000004">
      <c r="A164" s="53" t="s">
        <v>400</v>
      </c>
      <c r="B164" s="54" t="s">
        <v>545</v>
      </c>
      <c r="C164" s="60">
        <v>183.45599999999999</v>
      </c>
      <c r="D164" s="56" t="s">
        <v>19</v>
      </c>
      <c r="E164" s="175">
        <f t="shared" si="20"/>
        <v>85</v>
      </c>
      <c r="F164" s="176">
        <v>15593.759999999998</v>
      </c>
      <c r="G164" s="65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5.75" customHeight="1" outlineLevel="1" x14ac:dyDescent="0.55000000000000004">
      <c r="A165" s="53" t="s">
        <v>401</v>
      </c>
      <c r="B165" s="54" t="s">
        <v>546</v>
      </c>
      <c r="C165" s="60">
        <v>20</v>
      </c>
      <c r="D165" s="56" t="s">
        <v>20</v>
      </c>
      <c r="E165" s="175">
        <f t="shared" si="20"/>
        <v>1500</v>
      </c>
      <c r="F165" s="176">
        <v>30000</v>
      </c>
      <c r="G165" s="65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5.75" customHeight="1" outlineLevel="1" x14ac:dyDescent="0.55000000000000004">
      <c r="A166" s="53" t="s">
        <v>544</v>
      </c>
      <c r="B166" s="54" t="s">
        <v>361</v>
      </c>
      <c r="C166" s="60">
        <v>125</v>
      </c>
      <c r="D166" s="56" t="s">
        <v>20</v>
      </c>
      <c r="E166" s="175">
        <f t="shared" si="20"/>
        <v>2100</v>
      </c>
      <c r="F166" s="176">
        <v>262500</v>
      </c>
      <c r="G166" s="65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s="50" customFormat="1" ht="15.75" customHeight="1" x14ac:dyDescent="0.55000000000000004">
      <c r="A167" s="25">
        <v>15</v>
      </c>
      <c r="B167" s="26" t="s">
        <v>362</v>
      </c>
      <c r="C167" s="58"/>
      <c r="D167" s="57"/>
      <c r="E167" s="171"/>
      <c r="F167" s="172">
        <f>F168+F173+F171</f>
        <v>667706.87538079999</v>
      </c>
      <c r="G167" s="63"/>
      <c r="H167" s="2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s="50" customFormat="1" ht="15.75" customHeight="1" x14ac:dyDescent="0.55000000000000004">
      <c r="A168" s="28" t="s">
        <v>363</v>
      </c>
      <c r="B168" s="29" t="s">
        <v>364</v>
      </c>
      <c r="C168" s="59"/>
      <c r="D168" s="55"/>
      <c r="E168" s="173"/>
      <c r="F168" s="174">
        <f>F170+F169</f>
        <v>260616.155</v>
      </c>
      <c r="G168" s="64"/>
      <c r="H168" s="21"/>
      <c r="I168" s="30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5.75" customHeight="1" outlineLevel="1" x14ac:dyDescent="0.55000000000000004">
      <c r="A169" s="53" t="s">
        <v>365</v>
      </c>
      <c r="B169" s="54" t="s">
        <v>366</v>
      </c>
      <c r="C169" s="60">
        <v>2332.66</v>
      </c>
      <c r="D169" s="56" t="s">
        <v>27</v>
      </c>
      <c r="E169" s="175">
        <f t="shared" ref="E169:E175" si="21">F169/C169</f>
        <v>110.25022506494733</v>
      </c>
      <c r="F169" s="176">
        <v>257176.29</v>
      </c>
      <c r="G169" s="65" t="s">
        <v>392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5.75" customHeight="1" outlineLevel="1" x14ac:dyDescent="0.55000000000000004">
      <c r="A170" s="53" t="s">
        <v>365</v>
      </c>
      <c r="B170" s="54" t="s">
        <v>547</v>
      </c>
      <c r="C170" s="60">
        <v>625.43000000000006</v>
      </c>
      <c r="D170" s="56" t="s">
        <v>19</v>
      </c>
      <c r="E170" s="175">
        <f t="shared" si="21"/>
        <v>5.5000000000000009</v>
      </c>
      <c r="F170" s="176">
        <v>3439.8650000000007</v>
      </c>
      <c r="G170" s="65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s="50" customFormat="1" ht="15.75" customHeight="1" x14ac:dyDescent="0.55000000000000004">
      <c r="A171" s="28" t="s">
        <v>367</v>
      </c>
      <c r="B171" s="29" t="s">
        <v>368</v>
      </c>
      <c r="C171" s="59"/>
      <c r="D171" s="55"/>
      <c r="E171" s="173"/>
      <c r="F171" s="174">
        <f>F172</f>
        <v>138100.10999999999</v>
      </c>
      <c r="G171" s="64"/>
      <c r="H171" s="21"/>
      <c r="I171" s="30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5.75" customHeight="1" outlineLevel="1" x14ac:dyDescent="0.55000000000000004">
      <c r="A172" s="53" t="s">
        <v>369</v>
      </c>
      <c r="B172" s="54" t="s">
        <v>548</v>
      </c>
      <c r="C172" s="60">
        <v>1225.1606400000001</v>
      </c>
      <c r="D172" s="56" t="s">
        <v>27</v>
      </c>
      <c r="E172" s="175">
        <f t="shared" si="21"/>
        <v>112.72000217049087</v>
      </c>
      <c r="F172" s="176">
        <v>138100.10999999999</v>
      </c>
      <c r="G172" s="65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s="50" customFormat="1" ht="15.75" customHeight="1" x14ac:dyDescent="0.55000000000000004">
      <c r="A173" s="28" t="s">
        <v>449</v>
      </c>
      <c r="B173" s="29" t="s">
        <v>433</v>
      </c>
      <c r="C173" s="59"/>
      <c r="D173" s="55"/>
      <c r="E173" s="173"/>
      <c r="F173" s="174">
        <f>SUM(F174:F175)</f>
        <v>268990.61038080003</v>
      </c>
      <c r="G173" s="64"/>
      <c r="H173" s="21"/>
      <c r="I173" s="30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5.75" customHeight="1" outlineLevel="1" x14ac:dyDescent="0.55000000000000004">
      <c r="A174" s="53" t="s">
        <v>450</v>
      </c>
      <c r="B174" s="54" t="s">
        <v>550</v>
      </c>
      <c r="C174" s="60">
        <v>474.64463999999998</v>
      </c>
      <c r="D174" s="56" t="s">
        <v>27</v>
      </c>
      <c r="E174" s="175">
        <f t="shared" si="21"/>
        <v>242.88000000000005</v>
      </c>
      <c r="F174" s="176">
        <v>115281.69016320002</v>
      </c>
      <c r="G174" s="65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5.75" customHeight="1" outlineLevel="1" x14ac:dyDescent="0.55000000000000004">
      <c r="A175" s="53" t="s">
        <v>450</v>
      </c>
      <c r="B175" s="54" t="s">
        <v>549</v>
      </c>
      <c r="C175" s="60">
        <v>632.85951999999997</v>
      </c>
      <c r="D175" s="56" t="s">
        <v>27</v>
      </c>
      <c r="E175" s="175">
        <f t="shared" si="21"/>
        <v>242.88000000000002</v>
      </c>
      <c r="F175" s="176">
        <v>153708.92021760001</v>
      </c>
      <c r="G175" s="65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s="50" customFormat="1" ht="15.75" customHeight="1" x14ac:dyDescent="0.55000000000000004">
      <c r="A176" s="25">
        <v>16</v>
      </c>
      <c r="B176" s="26" t="s">
        <v>370</v>
      </c>
      <c r="C176" s="58"/>
      <c r="D176" s="57"/>
      <c r="E176" s="171"/>
      <c r="F176" s="172">
        <f>F177</f>
        <v>965572.16800000006</v>
      </c>
      <c r="G176" s="63"/>
      <c r="H176" s="2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s="50" customFormat="1" ht="15.75" customHeight="1" x14ac:dyDescent="0.55000000000000004">
      <c r="A177" s="28" t="s">
        <v>371</v>
      </c>
      <c r="B177" s="29" t="s">
        <v>370</v>
      </c>
      <c r="C177" s="59"/>
      <c r="D177" s="55"/>
      <c r="E177" s="173"/>
      <c r="F177" s="174">
        <f>SUM(F178:F183)</f>
        <v>965572.16800000006</v>
      </c>
      <c r="G177" s="64"/>
      <c r="H177" s="21"/>
      <c r="I177" s="30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15.75" customHeight="1" outlineLevel="1" x14ac:dyDescent="0.55000000000000004">
      <c r="A178" s="53" t="s">
        <v>372</v>
      </c>
      <c r="B178" s="54" t="s">
        <v>373</v>
      </c>
      <c r="C178" s="60">
        <v>1</v>
      </c>
      <c r="D178" s="56" t="s">
        <v>116</v>
      </c>
      <c r="E178" s="175">
        <f t="shared" ref="E178:E183" si="22">F178/C178</f>
        <v>781753.50000000012</v>
      </c>
      <c r="F178" s="176">
        <v>781753.50000000012</v>
      </c>
      <c r="G178" s="65" t="s">
        <v>374</v>
      </c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5.75" customHeight="1" outlineLevel="1" x14ac:dyDescent="0.55000000000000004">
      <c r="A179" s="53" t="s">
        <v>375</v>
      </c>
      <c r="B179" s="54" t="s">
        <v>376</v>
      </c>
      <c r="C179" s="60">
        <v>1</v>
      </c>
      <c r="D179" s="56" t="s">
        <v>116</v>
      </c>
      <c r="E179" s="175">
        <f t="shared" si="22"/>
        <v>39960.58</v>
      </c>
      <c r="F179" s="176">
        <v>39960.58</v>
      </c>
      <c r="G179" s="65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5.75" customHeight="1" outlineLevel="1" x14ac:dyDescent="0.55000000000000004">
      <c r="A180" s="53" t="s">
        <v>377</v>
      </c>
      <c r="B180" s="54" t="s">
        <v>555</v>
      </c>
      <c r="C180" s="60">
        <v>1</v>
      </c>
      <c r="D180" s="56" t="s">
        <v>116</v>
      </c>
      <c r="E180" s="175">
        <f t="shared" si="22"/>
        <v>47952.696000000004</v>
      </c>
      <c r="F180" s="176">
        <v>47952.696000000004</v>
      </c>
      <c r="G180" s="65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5.75" customHeight="1" outlineLevel="1" x14ac:dyDescent="0.55000000000000004">
      <c r="A181" s="53" t="s">
        <v>451</v>
      </c>
      <c r="B181" s="54" t="s">
        <v>379</v>
      </c>
      <c r="C181" s="60">
        <v>1</v>
      </c>
      <c r="D181" s="56" t="s">
        <v>116</v>
      </c>
      <c r="E181" s="175">
        <f t="shared" si="22"/>
        <v>15984.232</v>
      </c>
      <c r="F181" s="176">
        <v>15984.232</v>
      </c>
      <c r="G181" s="65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5.75" customHeight="1" outlineLevel="1" x14ac:dyDescent="0.55000000000000004">
      <c r="A182" s="53" t="s">
        <v>378</v>
      </c>
      <c r="B182" s="54" t="s">
        <v>381</v>
      </c>
      <c r="C182" s="60">
        <v>1</v>
      </c>
      <c r="D182" s="56" t="s">
        <v>116</v>
      </c>
      <c r="E182" s="175">
        <f t="shared" si="22"/>
        <v>19980.29</v>
      </c>
      <c r="F182" s="176">
        <v>19980.29</v>
      </c>
      <c r="G182" s="65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5.75" customHeight="1" outlineLevel="1" x14ac:dyDescent="0.55000000000000004">
      <c r="A183" s="53" t="s">
        <v>380</v>
      </c>
      <c r="B183" s="54" t="s">
        <v>556</v>
      </c>
      <c r="C183" s="60">
        <v>1</v>
      </c>
      <c r="D183" s="56" t="s">
        <v>116</v>
      </c>
      <c r="E183" s="175">
        <f t="shared" si="22"/>
        <v>59940.87</v>
      </c>
      <c r="F183" s="176">
        <v>59940.87</v>
      </c>
      <c r="G183" s="65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s="50" customFormat="1" ht="15.75" customHeight="1" x14ac:dyDescent="0.55000000000000004">
      <c r="A184" s="25">
        <v>17</v>
      </c>
      <c r="B184" s="26" t="s">
        <v>382</v>
      </c>
      <c r="C184" s="58"/>
      <c r="D184" s="57"/>
      <c r="E184" s="171"/>
      <c r="F184" s="172">
        <f t="shared" ref="F184:F185" si="23">F185</f>
        <v>270405.22469962947</v>
      </c>
      <c r="G184" s="63"/>
      <c r="H184" s="2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s="50" customFormat="1" ht="15.75" customHeight="1" x14ac:dyDescent="0.55000000000000004">
      <c r="A185" s="28" t="s">
        <v>383</v>
      </c>
      <c r="B185" s="29" t="s">
        <v>382</v>
      </c>
      <c r="C185" s="59"/>
      <c r="D185" s="55"/>
      <c r="E185" s="173"/>
      <c r="F185" s="174">
        <f t="shared" si="23"/>
        <v>270405.22469962947</v>
      </c>
      <c r="G185" s="64"/>
      <c r="H185" s="21"/>
      <c r="I185" s="30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5.75" customHeight="1" outlineLevel="1" thickBot="1" x14ac:dyDescent="0.6">
      <c r="A186" s="53" t="s">
        <v>384</v>
      </c>
      <c r="B186" s="54" t="s">
        <v>385</v>
      </c>
      <c r="C186" s="60">
        <v>1</v>
      </c>
      <c r="D186" s="56" t="s">
        <v>116</v>
      </c>
      <c r="E186" s="175">
        <f t="shared" ref="E186" si="24">F186/C186</f>
        <v>270405.22469962947</v>
      </c>
      <c r="F186" s="176">
        <v>270405.22469962947</v>
      </c>
      <c r="G186" s="65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5.75" customHeight="1" thickBot="1" x14ac:dyDescent="0.6">
      <c r="A187" s="330" t="s">
        <v>484</v>
      </c>
      <c r="B187" s="331"/>
      <c r="C187" s="331"/>
      <c r="D187" s="332"/>
      <c r="E187" s="177"/>
      <c r="F187" s="178">
        <f>F176+F167+F152+F145+F140+F130+F121+F111+F92+F72+F62+F52+F29+F17+F14+F184+F43</f>
        <v>16314491.768435307</v>
      </c>
      <c r="G187" s="66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s="50" customFormat="1" ht="15.75" customHeight="1" x14ac:dyDescent="0.55000000000000004">
      <c r="A188" s="25">
        <v>18</v>
      </c>
      <c r="B188" s="26" t="s">
        <v>553</v>
      </c>
      <c r="C188" s="58"/>
      <c r="D188" s="57"/>
      <c r="E188" s="171"/>
      <c r="F188" s="172">
        <f t="shared" ref="F188:F189" si="25">F189</f>
        <v>4428459.7500000009</v>
      </c>
      <c r="G188" s="63"/>
      <c r="H188" s="2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s="50" customFormat="1" ht="15.75" customHeight="1" x14ac:dyDescent="0.55000000000000004">
      <c r="A189" s="28" t="s">
        <v>551</v>
      </c>
      <c r="B189" s="29" t="s">
        <v>553</v>
      </c>
      <c r="C189" s="59"/>
      <c r="D189" s="55"/>
      <c r="E189" s="173"/>
      <c r="F189" s="174">
        <f t="shared" si="25"/>
        <v>4428459.7500000009</v>
      </c>
      <c r="G189" s="64"/>
      <c r="H189" s="21"/>
      <c r="I189" s="30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5.75" customHeight="1" outlineLevel="1" thickBot="1" x14ac:dyDescent="0.6">
      <c r="A190" s="53" t="s">
        <v>552</v>
      </c>
      <c r="B190" s="54" t="s">
        <v>554</v>
      </c>
      <c r="C190" s="60">
        <v>1</v>
      </c>
      <c r="D190" s="56" t="s">
        <v>116</v>
      </c>
      <c r="E190" s="175">
        <f t="shared" ref="E190" si="26">F190/C190</f>
        <v>4428459.7500000009</v>
      </c>
      <c r="F190" s="176">
        <v>4428459.7500000009</v>
      </c>
      <c r="G190" s="65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5.75" customHeight="1" thickBot="1" x14ac:dyDescent="0.6">
      <c r="A191" s="330" t="s">
        <v>60</v>
      </c>
      <c r="B191" s="331"/>
      <c r="C191" s="331"/>
      <c r="D191" s="332"/>
      <c r="E191" s="177"/>
      <c r="F191" s="178">
        <f>F187+F188</f>
        <v>20742951.518435307</v>
      </c>
      <c r="G191" s="66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5.75" customHeight="1" x14ac:dyDescent="0.55000000000000004">
      <c r="A192" s="51"/>
      <c r="B192" s="49"/>
      <c r="C192" s="52"/>
      <c r="D192" s="52"/>
      <c r="E192" s="179"/>
      <c r="F192" s="180"/>
      <c r="G192" s="67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5.75" customHeight="1" x14ac:dyDescent="0.55000000000000004">
      <c r="A193" s="51"/>
      <c r="B193" s="49"/>
      <c r="C193" s="52"/>
      <c r="D193" s="52"/>
      <c r="E193" s="179"/>
      <c r="F193" s="180"/>
      <c r="G193" s="67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5.75" customHeight="1" x14ac:dyDescent="0.55000000000000004">
      <c r="A194" s="51"/>
      <c r="B194" s="49"/>
      <c r="C194" s="52"/>
      <c r="D194" s="52"/>
      <c r="E194" s="179"/>
      <c r="F194" s="180"/>
      <c r="G194" s="67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5.75" customHeight="1" x14ac:dyDescent="0.55000000000000004">
      <c r="A195" s="51"/>
      <c r="B195" s="49"/>
      <c r="C195" s="52"/>
      <c r="D195" s="52"/>
      <c r="E195" s="179"/>
      <c r="F195" s="180"/>
      <c r="G195" s="67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5.75" customHeight="1" x14ac:dyDescent="0.55000000000000004">
      <c r="A196" s="51"/>
      <c r="B196" s="49"/>
      <c r="C196" s="52"/>
      <c r="D196" s="52"/>
      <c r="E196" s="179"/>
      <c r="F196" s="180"/>
      <c r="G196" s="67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5.75" customHeight="1" x14ac:dyDescent="0.55000000000000004">
      <c r="A197" s="51"/>
      <c r="B197" s="49"/>
      <c r="C197" s="52"/>
      <c r="D197" s="52"/>
      <c r="E197" s="179"/>
      <c r="F197" s="180"/>
      <c r="G197" s="67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5.75" customHeight="1" x14ac:dyDescent="0.55000000000000004">
      <c r="A198" s="51"/>
      <c r="B198" s="49"/>
      <c r="C198" s="52"/>
      <c r="D198" s="52"/>
      <c r="E198" s="179"/>
      <c r="F198" s="180"/>
      <c r="G198" s="67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5.75" customHeight="1" x14ac:dyDescent="0.55000000000000004">
      <c r="A199" s="51"/>
      <c r="B199" s="49"/>
      <c r="C199" s="52"/>
      <c r="D199" s="52"/>
      <c r="E199" s="179"/>
      <c r="F199" s="180"/>
      <c r="G199" s="67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5.75" customHeight="1" x14ac:dyDescent="0.55000000000000004">
      <c r="A200" s="51"/>
      <c r="B200" s="49"/>
      <c r="C200" s="52"/>
      <c r="D200" s="52"/>
      <c r="E200" s="179"/>
      <c r="F200" s="180"/>
      <c r="G200" s="67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5.75" customHeight="1" x14ac:dyDescent="0.55000000000000004">
      <c r="A201" s="51"/>
      <c r="B201" s="49"/>
      <c r="C201" s="52"/>
      <c r="D201" s="52"/>
      <c r="E201" s="179"/>
      <c r="F201" s="180"/>
      <c r="G201" s="67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5.75" customHeight="1" x14ac:dyDescent="0.55000000000000004">
      <c r="A202" s="51"/>
      <c r="B202" s="49"/>
      <c r="C202" s="52"/>
      <c r="D202" s="52"/>
      <c r="E202" s="179"/>
      <c r="F202" s="180"/>
      <c r="G202" s="67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5.75" customHeight="1" x14ac:dyDescent="0.55000000000000004">
      <c r="A203" s="51"/>
      <c r="B203" s="49"/>
      <c r="C203" s="52"/>
      <c r="D203" s="52"/>
      <c r="E203" s="179"/>
      <c r="F203" s="180"/>
      <c r="G203" s="67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5.75" customHeight="1" x14ac:dyDescent="0.55000000000000004">
      <c r="A204" s="51"/>
      <c r="B204" s="49"/>
      <c r="C204" s="52"/>
      <c r="D204" s="52"/>
      <c r="E204" s="179"/>
      <c r="F204" s="180"/>
      <c r="G204" s="67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5.75" customHeight="1" x14ac:dyDescent="0.55000000000000004">
      <c r="A205" s="51"/>
      <c r="B205" s="49"/>
      <c r="C205" s="52"/>
      <c r="D205" s="52"/>
      <c r="E205" s="179"/>
      <c r="F205" s="180"/>
      <c r="G205" s="67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5.75" customHeight="1" x14ac:dyDescent="0.55000000000000004">
      <c r="A206" s="51"/>
      <c r="B206" s="49"/>
      <c r="C206" s="52"/>
      <c r="D206" s="52"/>
      <c r="E206" s="179"/>
      <c r="F206" s="180"/>
      <c r="G206" s="67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5.75" customHeight="1" x14ac:dyDescent="0.55000000000000004">
      <c r="A207" s="51"/>
      <c r="B207" s="49"/>
      <c r="C207" s="52"/>
      <c r="D207" s="52"/>
      <c r="E207" s="179"/>
      <c r="F207" s="180"/>
      <c r="G207" s="67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5.75" customHeight="1" x14ac:dyDescent="0.55000000000000004">
      <c r="A208" s="51"/>
      <c r="B208" s="49"/>
      <c r="C208" s="52"/>
      <c r="D208" s="52"/>
      <c r="E208" s="179"/>
      <c r="F208" s="180"/>
      <c r="G208" s="67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5.75" customHeight="1" x14ac:dyDescent="0.55000000000000004">
      <c r="A209" s="51"/>
      <c r="B209" s="49"/>
      <c r="C209" s="52"/>
      <c r="D209" s="52"/>
      <c r="E209" s="179"/>
      <c r="F209" s="180"/>
      <c r="G209" s="67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5.75" customHeight="1" x14ac:dyDescent="0.55000000000000004">
      <c r="A210" s="51"/>
      <c r="B210" s="49"/>
      <c r="C210" s="52"/>
      <c r="D210" s="52"/>
      <c r="E210" s="179"/>
      <c r="F210" s="180"/>
      <c r="G210" s="67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5.75" customHeight="1" x14ac:dyDescent="0.55000000000000004">
      <c r="A211" s="51"/>
      <c r="B211" s="49"/>
      <c r="C211" s="52"/>
      <c r="D211" s="52"/>
      <c r="E211" s="179"/>
      <c r="F211" s="180"/>
      <c r="G211" s="67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5.75" customHeight="1" x14ac:dyDescent="0.55000000000000004">
      <c r="A212" s="51"/>
      <c r="B212" s="49"/>
      <c r="C212" s="52"/>
      <c r="D212" s="52"/>
      <c r="E212" s="179"/>
      <c r="F212" s="180"/>
      <c r="G212" s="67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5.75" customHeight="1" x14ac:dyDescent="0.55000000000000004">
      <c r="A213" s="51"/>
      <c r="B213" s="49"/>
      <c r="C213" s="52"/>
      <c r="D213" s="52"/>
      <c r="E213" s="179"/>
      <c r="F213" s="180"/>
      <c r="G213" s="67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x14ac:dyDescent="0.55000000000000004">
      <c r="A214" s="51"/>
      <c r="B214" s="49"/>
      <c r="C214" s="52"/>
      <c r="D214" s="52"/>
      <c r="E214" s="179"/>
      <c r="F214" s="180"/>
      <c r="G214" s="67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5.75" customHeight="1" x14ac:dyDescent="0.55000000000000004">
      <c r="A215" s="51"/>
      <c r="B215" s="49"/>
      <c r="C215" s="52"/>
      <c r="D215" s="52"/>
      <c r="E215" s="179"/>
      <c r="F215" s="180"/>
      <c r="G215" s="67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5.75" customHeight="1" x14ac:dyDescent="0.55000000000000004">
      <c r="A216" s="51"/>
      <c r="B216" s="49"/>
      <c r="C216" s="52"/>
      <c r="D216" s="52"/>
      <c r="E216" s="179"/>
      <c r="F216" s="180"/>
      <c r="G216" s="67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5.75" customHeight="1" x14ac:dyDescent="0.55000000000000004">
      <c r="A217" s="51"/>
      <c r="B217" s="49"/>
      <c r="C217" s="52"/>
      <c r="D217" s="52"/>
      <c r="E217" s="179"/>
      <c r="F217" s="180"/>
      <c r="G217" s="67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5.75" customHeight="1" x14ac:dyDescent="0.55000000000000004">
      <c r="A218" s="51"/>
      <c r="B218" s="49"/>
      <c r="C218" s="52"/>
      <c r="D218" s="52"/>
      <c r="E218" s="179"/>
      <c r="F218" s="180"/>
      <c r="G218" s="67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5.75" customHeight="1" x14ac:dyDescent="0.55000000000000004">
      <c r="A219" s="51"/>
      <c r="B219" s="49"/>
      <c r="C219" s="52"/>
      <c r="D219" s="52"/>
      <c r="E219" s="179"/>
      <c r="F219" s="180"/>
      <c r="G219" s="67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5.75" customHeight="1" x14ac:dyDescent="0.55000000000000004">
      <c r="A220" s="51"/>
      <c r="B220" s="49"/>
      <c r="C220" s="52"/>
      <c r="D220" s="52"/>
      <c r="E220" s="179"/>
      <c r="F220" s="180"/>
      <c r="G220" s="67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5.75" customHeight="1" x14ac:dyDescent="0.55000000000000004">
      <c r="A221" s="51"/>
      <c r="B221" s="49"/>
      <c r="C221" s="52"/>
      <c r="D221" s="52"/>
      <c r="E221" s="179"/>
      <c r="F221" s="180"/>
      <c r="G221" s="67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5.75" customHeight="1" x14ac:dyDescent="0.55000000000000004">
      <c r="A222" s="51"/>
      <c r="B222" s="49"/>
      <c r="C222" s="52"/>
      <c r="D222" s="52"/>
      <c r="E222" s="179"/>
      <c r="F222" s="180"/>
      <c r="G222" s="67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5.75" customHeight="1" x14ac:dyDescent="0.55000000000000004">
      <c r="A223" s="51"/>
      <c r="B223" s="49"/>
      <c r="C223" s="52"/>
      <c r="D223" s="52"/>
      <c r="E223" s="179"/>
      <c r="F223" s="180"/>
      <c r="G223" s="67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5.75" customHeight="1" x14ac:dyDescent="0.55000000000000004">
      <c r="A224" s="51"/>
      <c r="B224" s="49"/>
      <c r="C224" s="52"/>
      <c r="D224" s="52"/>
      <c r="E224" s="179"/>
      <c r="F224" s="180"/>
      <c r="G224" s="67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5.75" customHeight="1" x14ac:dyDescent="0.55000000000000004">
      <c r="A225" s="51"/>
      <c r="B225" s="49"/>
      <c r="C225" s="52"/>
      <c r="D225" s="52"/>
      <c r="E225" s="179"/>
      <c r="F225" s="180"/>
      <c r="G225" s="67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5.75" customHeight="1" x14ac:dyDescent="0.55000000000000004">
      <c r="A226" s="51"/>
      <c r="B226" s="49"/>
      <c r="C226" s="52"/>
      <c r="D226" s="52"/>
      <c r="E226" s="179"/>
      <c r="F226" s="180"/>
      <c r="G226" s="67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5.75" customHeight="1" x14ac:dyDescent="0.55000000000000004">
      <c r="A227" s="51"/>
      <c r="B227" s="49"/>
      <c r="C227" s="52"/>
      <c r="D227" s="52"/>
      <c r="E227" s="179"/>
      <c r="F227" s="180"/>
      <c r="G227" s="67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5.75" customHeight="1" x14ac:dyDescent="0.55000000000000004">
      <c r="A228" s="51"/>
      <c r="B228" s="49"/>
      <c r="C228" s="52"/>
      <c r="D228" s="52"/>
      <c r="E228" s="179"/>
      <c r="F228" s="180"/>
      <c r="G228" s="67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5.75" customHeight="1" x14ac:dyDescent="0.55000000000000004">
      <c r="A229" s="51"/>
      <c r="B229" s="49"/>
      <c r="C229" s="52"/>
      <c r="D229" s="52"/>
      <c r="E229" s="179"/>
      <c r="F229" s="180"/>
      <c r="G229" s="67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5.75" customHeight="1" x14ac:dyDescent="0.55000000000000004">
      <c r="A230" s="51"/>
      <c r="B230" s="49"/>
      <c r="C230" s="52"/>
      <c r="D230" s="52"/>
      <c r="E230" s="179"/>
      <c r="F230" s="180"/>
      <c r="G230" s="67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5.75" customHeight="1" x14ac:dyDescent="0.55000000000000004">
      <c r="A231" s="51"/>
      <c r="B231" s="49"/>
      <c r="C231" s="52"/>
      <c r="D231" s="52"/>
      <c r="E231" s="179"/>
      <c r="F231" s="180"/>
      <c r="G231" s="67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5.75" customHeight="1" x14ac:dyDescent="0.55000000000000004">
      <c r="A232" s="51"/>
      <c r="B232" s="49"/>
      <c r="C232" s="52"/>
      <c r="D232" s="52"/>
      <c r="E232" s="179"/>
      <c r="F232" s="180"/>
      <c r="G232" s="67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5.75" customHeight="1" x14ac:dyDescent="0.55000000000000004">
      <c r="A233" s="51"/>
      <c r="B233" s="49"/>
      <c r="C233" s="52"/>
      <c r="D233" s="52"/>
      <c r="E233" s="179"/>
      <c r="F233" s="180"/>
      <c r="G233" s="67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15.75" customHeight="1" x14ac:dyDescent="0.55000000000000004">
      <c r="A234" s="51"/>
      <c r="B234" s="49"/>
      <c r="C234" s="52"/>
      <c r="D234" s="52"/>
      <c r="E234" s="179"/>
      <c r="F234" s="180"/>
      <c r="G234" s="67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15.75" customHeight="1" x14ac:dyDescent="0.55000000000000004">
      <c r="A235" s="51"/>
      <c r="B235" s="49"/>
      <c r="C235" s="52"/>
      <c r="D235" s="52"/>
      <c r="E235" s="179"/>
      <c r="F235" s="180"/>
      <c r="G235" s="67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15.75" customHeight="1" x14ac:dyDescent="0.55000000000000004">
      <c r="A236" s="51"/>
      <c r="B236" s="49"/>
      <c r="C236" s="52"/>
      <c r="D236" s="52"/>
      <c r="E236" s="179"/>
      <c r="F236" s="180"/>
      <c r="G236" s="67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15.75" customHeight="1" x14ac:dyDescent="0.55000000000000004">
      <c r="A237" s="51"/>
      <c r="B237" s="49"/>
      <c r="C237" s="52"/>
      <c r="D237" s="52"/>
      <c r="E237" s="179"/>
      <c r="F237" s="180"/>
      <c r="G237" s="67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15.75" customHeight="1" x14ac:dyDescent="0.55000000000000004">
      <c r="A238" s="51"/>
      <c r="B238" s="49"/>
      <c r="C238" s="52"/>
      <c r="D238" s="52"/>
      <c r="E238" s="179"/>
      <c r="F238" s="180"/>
      <c r="G238" s="67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15.75" customHeight="1" x14ac:dyDescent="0.55000000000000004">
      <c r="A239" s="51"/>
      <c r="B239" s="49"/>
      <c r="C239" s="52"/>
      <c r="D239" s="52"/>
      <c r="E239" s="179"/>
      <c r="F239" s="180"/>
      <c r="G239" s="67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15.75" customHeight="1" x14ac:dyDescent="0.55000000000000004">
      <c r="A240" s="51"/>
      <c r="B240" s="49"/>
      <c r="C240" s="52"/>
      <c r="D240" s="52"/>
      <c r="E240" s="179"/>
      <c r="F240" s="180"/>
      <c r="G240" s="67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15.75" customHeight="1" x14ac:dyDescent="0.55000000000000004">
      <c r="A241" s="51"/>
      <c r="B241" s="49"/>
      <c r="C241" s="52"/>
      <c r="D241" s="52"/>
      <c r="E241" s="179"/>
      <c r="F241" s="180"/>
      <c r="G241" s="67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15.75" customHeight="1" x14ac:dyDescent="0.55000000000000004">
      <c r="A242" s="51"/>
      <c r="B242" s="49"/>
      <c r="C242" s="52"/>
      <c r="D242" s="52"/>
      <c r="E242" s="179"/>
      <c r="F242" s="180"/>
      <c r="G242" s="67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15.75" customHeight="1" x14ac:dyDescent="0.55000000000000004">
      <c r="A243" s="51"/>
      <c r="B243" s="49"/>
      <c r="C243" s="52"/>
      <c r="D243" s="52"/>
      <c r="E243" s="179"/>
      <c r="F243" s="180"/>
      <c r="G243" s="67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15.75" customHeight="1" x14ac:dyDescent="0.55000000000000004">
      <c r="A244" s="51"/>
      <c r="B244" s="49"/>
      <c r="C244" s="52"/>
      <c r="D244" s="52"/>
      <c r="E244" s="179"/>
      <c r="F244" s="180"/>
      <c r="G244" s="67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15.75" customHeight="1" x14ac:dyDescent="0.55000000000000004">
      <c r="A245" s="51"/>
      <c r="B245" s="49"/>
      <c r="C245" s="52"/>
      <c r="D245" s="52"/>
      <c r="E245" s="179"/>
      <c r="F245" s="180"/>
      <c r="G245" s="67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15.75" customHeight="1" x14ac:dyDescent="0.55000000000000004">
      <c r="A246" s="51"/>
      <c r="B246" s="49"/>
      <c r="C246" s="52"/>
      <c r="D246" s="52"/>
      <c r="E246" s="179"/>
      <c r="F246" s="180"/>
      <c r="G246" s="67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15.75" customHeight="1" x14ac:dyDescent="0.55000000000000004">
      <c r="A247" s="51"/>
      <c r="B247" s="49"/>
      <c r="C247" s="52"/>
      <c r="D247" s="52"/>
      <c r="E247" s="179"/>
      <c r="F247" s="180"/>
      <c r="G247" s="67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15.75" customHeight="1" x14ac:dyDescent="0.55000000000000004">
      <c r="A248" s="51"/>
      <c r="B248" s="49"/>
      <c r="C248" s="52"/>
      <c r="D248" s="52"/>
      <c r="E248" s="179"/>
      <c r="F248" s="180"/>
      <c r="G248" s="67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15.75" customHeight="1" x14ac:dyDescent="0.55000000000000004">
      <c r="A249" s="51"/>
      <c r="B249" s="49"/>
      <c r="C249" s="52"/>
      <c r="D249" s="52"/>
      <c r="E249" s="179"/>
      <c r="F249" s="180"/>
      <c r="G249" s="67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15.75" customHeight="1" x14ac:dyDescent="0.55000000000000004">
      <c r="A250" s="51"/>
      <c r="B250" s="49"/>
      <c r="C250" s="52"/>
      <c r="D250" s="52"/>
      <c r="E250" s="179"/>
      <c r="F250" s="180"/>
      <c r="G250" s="67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15.75" customHeight="1" x14ac:dyDescent="0.55000000000000004">
      <c r="A251" s="51"/>
      <c r="B251" s="49"/>
      <c r="C251" s="52"/>
      <c r="D251" s="52"/>
      <c r="E251" s="179"/>
      <c r="F251" s="180"/>
      <c r="G251" s="67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15.75" customHeight="1" x14ac:dyDescent="0.55000000000000004">
      <c r="A252" s="51"/>
      <c r="B252" s="49"/>
      <c r="C252" s="52"/>
      <c r="D252" s="52"/>
      <c r="E252" s="179"/>
      <c r="F252" s="180"/>
      <c r="G252" s="67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5.75" customHeight="1" x14ac:dyDescent="0.55000000000000004">
      <c r="A253" s="51"/>
      <c r="B253" s="49"/>
      <c r="C253" s="52"/>
      <c r="D253" s="52"/>
      <c r="E253" s="179"/>
      <c r="F253" s="180"/>
      <c r="G253" s="67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5.75" customHeight="1" x14ac:dyDescent="0.55000000000000004">
      <c r="A254" s="51"/>
      <c r="B254" s="49"/>
      <c r="C254" s="52"/>
      <c r="D254" s="52"/>
      <c r="E254" s="179"/>
      <c r="F254" s="180"/>
      <c r="G254" s="67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5.75" customHeight="1" x14ac:dyDescent="0.55000000000000004">
      <c r="A255" s="51"/>
      <c r="B255" s="49"/>
      <c r="C255" s="52"/>
      <c r="D255" s="52"/>
      <c r="E255" s="179"/>
      <c r="F255" s="180"/>
      <c r="G255" s="67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5.75" customHeight="1" x14ac:dyDescent="0.55000000000000004">
      <c r="A256" s="51"/>
      <c r="B256" s="49"/>
      <c r="C256" s="52"/>
      <c r="D256" s="52"/>
      <c r="E256" s="179"/>
      <c r="F256" s="180"/>
      <c r="G256" s="67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5.75" customHeight="1" x14ac:dyDescent="0.55000000000000004">
      <c r="A257" s="51"/>
      <c r="B257" s="49"/>
      <c r="C257" s="52"/>
      <c r="D257" s="52"/>
      <c r="E257" s="179"/>
      <c r="F257" s="180"/>
      <c r="G257" s="67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5.75" customHeight="1" x14ac:dyDescent="0.55000000000000004">
      <c r="A258" s="51"/>
      <c r="B258" s="49"/>
      <c r="C258" s="52"/>
      <c r="D258" s="52"/>
      <c r="E258" s="179"/>
      <c r="F258" s="180"/>
      <c r="G258" s="67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5.75" customHeight="1" x14ac:dyDescent="0.55000000000000004">
      <c r="A259" s="51"/>
      <c r="B259" s="49"/>
      <c r="C259" s="52"/>
      <c r="D259" s="52"/>
      <c r="E259" s="179"/>
      <c r="F259" s="180"/>
      <c r="G259" s="67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5.75" customHeight="1" x14ac:dyDescent="0.55000000000000004">
      <c r="A260" s="51"/>
      <c r="B260" s="49"/>
      <c r="C260" s="52"/>
      <c r="D260" s="52"/>
      <c r="E260" s="179"/>
      <c r="F260" s="180"/>
      <c r="G260" s="67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5.75" customHeight="1" x14ac:dyDescent="0.55000000000000004">
      <c r="A261" s="51"/>
      <c r="B261" s="49"/>
      <c r="C261" s="52"/>
      <c r="D261" s="52"/>
      <c r="E261" s="179"/>
      <c r="F261" s="180"/>
      <c r="G261" s="67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5.75" customHeight="1" x14ac:dyDescent="0.55000000000000004">
      <c r="A262" s="51"/>
      <c r="B262" s="49"/>
      <c r="C262" s="52"/>
      <c r="D262" s="52"/>
      <c r="E262" s="179"/>
      <c r="F262" s="180"/>
      <c r="G262" s="67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5.75" customHeight="1" x14ac:dyDescent="0.55000000000000004">
      <c r="A263" s="51"/>
      <c r="B263" s="49"/>
      <c r="C263" s="52"/>
      <c r="D263" s="52"/>
      <c r="E263" s="179"/>
      <c r="F263" s="180"/>
      <c r="G263" s="67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5.75" customHeight="1" x14ac:dyDescent="0.55000000000000004">
      <c r="A264" s="51"/>
      <c r="B264" s="49"/>
      <c r="C264" s="52"/>
      <c r="D264" s="52"/>
      <c r="E264" s="179"/>
      <c r="F264" s="180"/>
      <c r="G264" s="67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5.75" customHeight="1" x14ac:dyDescent="0.55000000000000004">
      <c r="A265" s="51"/>
      <c r="B265" s="49"/>
      <c r="C265" s="52"/>
      <c r="D265" s="52"/>
      <c r="E265" s="179"/>
      <c r="F265" s="180"/>
      <c r="G265" s="67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5.75" customHeight="1" x14ac:dyDescent="0.55000000000000004">
      <c r="A266" s="51"/>
      <c r="B266" s="49"/>
      <c r="C266" s="52"/>
      <c r="D266" s="52"/>
      <c r="E266" s="179"/>
      <c r="F266" s="180"/>
      <c r="G266" s="67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5.75" customHeight="1" x14ac:dyDescent="0.55000000000000004">
      <c r="A267" s="51"/>
      <c r="B267" s="49"/>
      <c r="C267" s="52"/>
      <c r="D267" s="52"/>
      <c r="E267" s="179"/>
      <c r="F267" s="180"/>
      <c r="G267" s="67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5.75" customHeight="1" x14ac:dyDescent="0.55000000000000004">
      <c r="A268" s="51"/>
      <c r="B268" s="49"/>
      <c r="C268" s="52"/>
      <c r="D268" s="52"/>
      <c r="E268" s="179"/>
      <c r="F268" s="180"/>
      <c r="G268" s="67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5.75" customHeight="1" x14ac:dyDescent="0.55000000000000004">
      <c r="A269" s="51"/>
      <c r="B269" s="49"/>
      <c r="C269" s="52"/>
      <c r="D269" s="52"/>
      <c r="E269" s="179"/>
      <c r="F269" s="180"/>
      <c r="G269" s="67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5.75" customHeight="1" x14ac:dyDescent="0.55000000000000004">
      <c r="A270" s="51"/>
      <c r="B270" s="49"/>
      <c r="C270" s="52"/>
      <c r="D270" s="52"/>
      <c r="E270" s="179"/>
      <c r="F270" s="180"/>
      <c r="G270" s="67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5.75" customHeight="1" x14ac:dyDescent="0.55000000000000004">
      <c r="A271" s="51"/>
      <c r="B271" s="49"/>
      <c r="C271" s="52"/>
      <c r="D271" s="52"/>
      <c r="E271" s="179"/>
      <c r="F271" s="180"/>
      <c r="G271" s="67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5.75" customHeight="1" x14ac:dyDescent="0.55000000000000004">
      <c r="A272" s="51"/>
      <c r="B272" s="49"/>
      <c r="C272" s="52"/>
      <c r="D272" s="52"/>
      <c r="E272" s="179"/>
      <c r="F272" s="180"/>
      <c r="G272" s="67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5.75" customHeight="1" x14ac:dyDescent="0.55000000000000004">
      <c r="A273" s="51"/>
      <c r="B273" s="49"/>
      <c r="C273" s="52"/>
      <c r="D273" s="52"/>
      <c r="E273" s="179"/>
      <c r="F273" s="180"/>
      <c r="G273" s="67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5.75" customHeight="1" x14ac:dyDescent="0.55000000000000004">
      <c r="A274" s="51"/>
      <c r="B274" s="49"/>
      <c r="C274" s="52"/>
      <c r="D274" s="52"/>
      <c r="E274" s="179"/>
      <c r="F274" s="180"/>
      <c r="G274" s="67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5.75" customHeight="1" x14ac:dyDescent="0.55000000000000004">
      <c r="A275" s="51"/>
      <c r="B275" s="49"/>
      <c r="C275" s="52"/>
      <c r="D275" s="52"/>
      <c r="E275" s="179"/>
      <c r="F275" s="180"/>
      <c r="G275" s="67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15.75" customHeight="1" x14ac:dyDescent="0.55000000000000004">
      <c r="A276" s="51"/>
      <c r="B276" s="49"/>
      <c r="C276" s="52"/>
      <c r="D276" s="52"/>
      <c r="E276" s="179"/>
      <c r="F276" s="180"/>
      <c r="G276" s="67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5.75" customHeight="1" x14ac:dyDescent="0.55000000000000004">
      <c r="A277" s="51"/>
      <c r="B277" s="49"/>
      <c r="C277" s="52"/>
      <c r="D277" s="52"/>
      <c r="E277" s="179"/>
      <c r="F277" s="180"/>
      <c r="G277" s="67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5.75" customHeight="1" x14ac:dyDescent="0.55000000000000004">
      <c r="A278" s="51"/>
      <c r="B278" s="49"/>
      <c r="C278" s="52"/>
      <c r="D278" s="52"/>
      <c r="E278" s="179"/>
      <c r="F278" s="180"/>
      <c r="G278" s="67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5.75" customHeight="1" x14ac:dyDescent="0.55000000000000004">
      <c r="A279" s="51"/>
      <c r="B279" s="49"/>
      <c r="C279" s="52"/>
      <c r="D279" s="52"/>
      <c r="E279" s="179"/>
      <c r="F279" s="180"/>
      <c r="G279" s="67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5.75" customHeight="1" x14ac:dyDescent="0.55000000000000004">
      <c r="A280" s="51"/>
      <c r="B280" s="49"/>
      <c r="C280" s="52"/>
      <c r="D280" s="52"/>
      <c r="E280" s="179"/>
      <c r="F280" s="180"/>
      <c r="G280" s="67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5.75" customHeight="1" x14ac:dyDescent="0.55000000000000004">
      <c r="A281" s="51"/>
      <c r="B281" s="49"/>
      <c r="C281" s="52"/>
      <c r="D281" s="52"/>
      <c r="E281" s="179"/>
      <c r="F281" s="180"/>
      <c r="G281" s="67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5.75" customHeight="1" x14ac:dyDescent="0.55000000000000004">
      <c r="A282" s="51"/>
      <c r="B282" s="49"/>
      <c r="C282" s="52"/>
      <c r="D282" s="52"/>
      <c r="E282" s="179"/>
      <c r="F282" s="180"/>
      <c r="G282" s="67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5.75" customHeight="1" x14ac:dyDescent="0.55000000000000004">
      <c r="A283" s="51"/>
      <c r="B283" s="49"/>
      <c r="C283" s="52"/>
      <c r="D283" s="52"/>
      <c r="E283" s="179"/>
      <c r="F283" s="180"/>
      <c r="G283" s="67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5.75" customHeight="1" x14ac:dyDescent="0.55000000000000004">
      <c r="A284" s="51"/>
      <c r="B284" s="49"/>
      <c r="C284" s="52"/>
      <c r="D284" s="52"/>
      <c r="E284" s="179"/>
      <c r="F284" s="180"/>
      <c r="G284" s="67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5.75" customHeight="1" x14ac:dyDescent="0.55000000000000004">
      <c r="A285" s="51"/>
      <c r="B285" s="49"/>
      <c r="C285" s="52"/>
      <c r="D285" s="52"/>
      <c r="E285" s="179"/>
      <c r="F285" s="180"/>
      <c r="G285" s="67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5.75" customHeight="1" x14ac:dyDescent="0.55000000000000004">
      <c r="A286" s="51"/>
      <c r="B286" s="49"/>
      <c r="C286" s="52"/>
      <c r="D286" s="52"/>
      <c r="E286" s="179"/>
      <c r="F286" s="180"/>
      <c r="G286" s="67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5.75" customHeight="1" x14ac:dyDescent="0.55000000000000004">
      <c r="A287" s="51"/>
      <c r="B287" s="49"/>
      <c r="C287" s="52"/>
      <c r="D287" s="52"/>
      <c r="E287" s="179"/>
      <c r="F287" s="180"/>
      <c r="G287" s="67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5.75" customHeight="1" x14ac:dyDescent="0.55000000000000004">
      <c r="A288" s="51"/>
      <c r="B288" s="49"/>
      <c r="C288" s="52"/>
      <c r="D288" s="52"/>
      <c r="E288" s="179"/>
      <c r="F288" s="180"/>
      <c r="G288" s="67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5.75" customHeight="1" x14ac:dyDescent="0.55000000000000004">
      <c r="A289" s="51"/>
      <c r="B289" s="49"/>
      <c r="C289" s="52"/>
      <c r="D289" s="52"/>
      <c r="E289" s="179"/>
      <c r="F289" s="180"/>
      <c r="G289" s="67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5.75" customHeight="1" x14ac:dyDescent="0.55000000000000004">
      <c r="A290" s="51"/>
      <c r="B290" s="49"/>
      <c r="C290" s="52"/>
      <c r="D290" s="52"/>
      <c r="E290" s="179"/>
      <c r="F290" s="180"/>
      <c r="G290" s="67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5.75" customHeight="1" x14ac:dyDescent="0.55000000000000004">
      <c r="A291" s="51"/>
      <c r="B291" s="49"/>
      <c r="C291" s="52"/>
      <c r="D291" s="52"/>
      <c r="E291" s="179"/>
      <c r="F291" s="180"/>
      <c r="G291" s="67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5.75" customHeight="1" x14ac:dyDescent="0.55000000000000004">
      <c r="A292" s="51"/>
      <c r="B292" s="49"/>
      <c r="C292" s="52"/>
      <c r="D292" s="52"/>
      <c r="E292" s="179"/>
      <c r="F292" s="180"/>
      <c r="G292" s="67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5.75" customHeight="1" x14ac:dyDescent="0.55000000000000004">
      <c r="A293" s="51"/>
      <c r="B293" s="49"/>
      <c r="C293" s="52"/>
      <c r="D293" s="52"/>
      <c r="E293" s="179"/>
      <c r="F293" s="180"/>
      <c r="G293" s="67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5.75" customHeight="1" x14ac:dyDescent="0.55000000000000004">
      <c r="A294" s="51"/>
      <c r="B294" s="49"/>
      <c r="C294" s="52"/>
      <c r="D294" s="52"/>
      <c r="E294" s="179"/>
      <c r="F294" s="180"/>
      <c r="G294" s="67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5.75" customHeight="1" x14ac:dyDescent="0.55000000000000004">
      <c r="A295" s="51"/>
      <c r="B295" s="49"/>
      <c r="C295" s="52"/>
      <c r="D295" s="52"/>
      <c r="E295" s="179"/>
      <c r="F295" s="180"/>
      <c r="G295" s="67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5.75" customHeight="1" x14ac:dyDescent="0.55000000000000004">
      <c r="A296" s="51"/>
      <c r="B296" s="49"/>
      <c r="C296" s="52"/>
      <c r="D296" s="52"/>
      <c r="E296" s="179"/>
      <c r="F296" s="180"/>
      <c r="G296" s="67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5.75" customHeight="1" x14ac:dyDescent="0.55000000000000004">
      <c r="A297" s="51"/>
      <c r="B297" s="49"/>
      <c r="C297" s="52"/>
      <c r="D297" s="52"/>
      <c r="E297" s="179"/>
      <c r="F297" s="180"/>
      <c r="G297" s="67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5.75" customHeight="1" x14ac:dyDescent="0.55000000000000004">
      <c r="A298" s="51"/>
      <c r="B298" s="49"/>
      <c r="C298" s="52"/>
      <c r="D298" s="52"/>
      <c r="E298" s="179"/>
      <c r="F298" s="180"/>
      <c r="G298" s="67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5.75" customHeight="1" x14ac:dyDescent="0.55000000000000004">
      <c r="A299" s="51"/>
      <c r="B299" s="49"/>
      <c r="C299" s="52"/>
      <c r="D299" s="52"/>
      <c r="E299" s="179"/>
      <c r="F299" s="180"/>
      <c r="G299" s="67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5.75" customHeight="1" x14ac:dyDescent="0.55000000000000004">
      <c r="A300" s="51"/>
      <c r="B300" s="49"/>
      <c r="C300" s="52"/>
      <c r="D300" s="52"/>
      <c r="E300" s="179"/>
      <c r="F300" s="180"/>
      <c r="G300" s="67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5.75" customHeight="1" x14ac:dyDescent="0.55000000000000004">
      <c r="A301" s="51"/>
      <c r="B301" s="49"/>
      <c r="C301" s="52"/>
      <c r="D301" s="52"/>
      <c r="E301" s="179"/>
      <c r="F301" s="180"/>
      <c r="G301" s="67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5.75" customHeight="1" x14ac:dyDescent="0.55000000000000004">
      <c r="A302" s="51"/>
      <c r="B302" s="49"/>
      <c r="C302" s="52"/>
      <c r="D302" s="52"/>
      <c r="E302" s="179"/>
      <c r="F302" s="180"/>
      <c r="G302" s="67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5.75" customHeight="1" x14ac:dyDescent="0.55000000000000004">
      <c r="A303" s="51"/>
      <c r="B303" s="49"/>
      <c r="C303" s="52"/>
      <c r="D303" s="52"/>
      <c r="E303" s="179"/>
      <c r="F303" s="180"/>
      <c r="G303" s="67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5.75" customHeight="1" x14ac:dyDescent="0.55000000000000004">
      <c r="A304" s="51"/>
      <c r="B304" s="49"/>
      <c r="C304" s="52"/>
      <c r="D304" s="52"/>
      <c r="E304" s="179"/>
      <c r="F304" s="180"/>
      <c r="G304" s="67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5.75" customHeight="1" x14ac:dyDescent="0.55000000000000004">
      <c r="A305" s="51"/>
      <c r="B305" s="49"/>
      <c r="C305" s="52"/>
      <c r="D305" s="52"/>
      <c r="E305" s="179"/>
      <c r="F305" s="180"/>
      <c r="G305" s="67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5.75" customHeight="1" x14ac:dyDescent="0.55000000000000004">
      <c r="A306" s="51"/>
      <c r="B306" s="49"/>
      <c r="C306" s="52"/>
      <c r="D306" s="52"/>
      <c r="E306" s="179"/>
      <c r="F306" s="180"/>
      <c r="G306" s="67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5.75" customHeight="1" x14ac:dyDescent="0.55000000000000004">
      <c r="A307" s="51"/>
      <c r="B307" s="49"/>
      <c r="C307" s="52"/>
      <c r="D307" s="52"/>
      <c r="E307" s="179"/>
      <c r="F307" s="180"/>
      <c r="G307" s="67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5.75" customHeight="1" x14ac:dyDescent="0.55000000000000004">
      <c r="A308" s="51"/>
      <c r="B308" s="49"/>
      <c r="C308" s="52"/>
      <c r="D308" s="52"/>
      <c r="E308" s="179"/>
      <c r="F308" s="180"/>
      <c r="G308" s="67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5.75" customHeight="1" x14ac:dyDescent="0.55000000000000004">
      <c r="A309" s="51"/>
      <c r="B309" s="49"/>
      <c r="C309" s="52"/>
      <c r="D309" s="52"/>
      <c r="E309" s="179"/>
      <c r="F309" s="180"/>
      <c r="G309" s="67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5.75" customHeight="1" x14ac:dyDescent="0.55000000000000004">
      <c r="A310" s="51"/>
      <c r="B310" s="49"/>
      <c r="C310" s="52"/>
      <c r="D310" s="52"/>
      <c r="E310" s="179"/>
      <c r="F310" s="180"/>
      <c r="G310" s="67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15.75" customHeight="1" x14ac:dyDescent="0.55000000000000004">
      <c r="A311" s="51"/>
      <c r="B311" s="49"/>
      <c r="C311" s="52"/>
      <c r="D311" s="52"/>
      <c r="E311" s="179"/>
      <c r="F311" s="180"/>
      <c r="G311" s="67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15.75" customHeight="1" x14ac:dyDescent="0.55000000000000004">
      <c r="A312" s="51"/>
      <c r="B312" s="49"/>
      <c r="C312" s="52"/>
      <c r="D312" s="52"/>
      <c r="E312" s="179"/>
      <c r="F312" s="180"/>
      <c r="G312" s="67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15.75" customHeight="1" x14ac:dyDescent="0.55000000000000004">
      <c r="A313" s="51"/>
      <c r="B313" s="49"/>
      <c r="C313" s="52"/>
      <c r="D313" s="52"/>
      <c r="E313" s="179"/>
      <c r="F313" s="180"/>
      <c r="G313" s="67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15.75" customHeight="1" x14ac:dyDescent="0.55000000000000004">
      <c r="A314" s="51"/>
      <c r="B314" s="49"/>
      <c r="C314" s="52"/>
      <c r="D314" s="52"/>
      <c r="E314" s="179"/>
      <c r="F314" s="180"/>
      <c r="G314" s="67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15.75" customHeight="1" x14ac:dyDescent="0.55000000000000004">
      <c r="A315" s="51"/>
      <c r="B315" s="49"/>
      <c r="C315" s="52"/>
      <c r="D315" s="52"/>
      <c r="E315" s="179"/>
      <c r="F315" s="180"/>
      <c r="G315" s="67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15.75" customHeight="1" x14ac:dyDescent="0.55000000000000004">
      <c r="A316" s="51"/>
      <c r="B316" s="49"/>
      <c r="C316" s="52"/>
      <c r="D316" s="52"/>
      <c r="E316" s="179"/>
      <c r="F316" s="180"/>
      <c r="G316" s="67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15.75" customHeight="1" x14ac:dyDescent="0.55000000000000004">
      <c r="A317" s="51"/>
      <c r="B317" s="49"/>
      <c r="C317" s="52"/>
      <c r="D317" s="52"/>
      <c r="E317" s="179"/>
      <c r="F317" s="180"/>
      <c r="G317" s="67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15.75" customHeight="1" x14ac:dyDescent="0.55000000000000004">
      <c r="A318" s="51"/>
      <c r="B318" s="49"/>
      <c r="C318" s="52"/>
      <c r="D318" s="52"/>
      <c r="E318" s="179"/>
      <c r="F318" s="180"/>
      <c r="G318" s="67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15.75" customHeight="1" x14ac:dyDescent="0.55000000000000004">
      <c r="A319" s="51"/>
      <c r="B319" s="49"/>
      <c r="C319" s="52"/>
      <c r="D319" s="52"/>
      <c r="E319" s="179"/>
      <c r="F319" s="180"/>
      <c r="G319" s="67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15.75" customHeight="1" x14ac:dyDescent="0.55000000000000004">
      <c r="A320" s="51"/>
      <c r="B320" s="49"/>
      <c r="C320" s="52"/>
      <c r="D320" s="52"/>
      <c r="E320" s="179"/>
      <c r="F320" s="180"/>
      <c r="G320" s="67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15.75" customHeight="1" x14ac:dyDescent="0.55000000000000004">
      <c r="A321" s="51"/>
      <c r="B321" s="49"/>
      <c r="C321" s="52"/>
      <c r="D321" s="52"/>
      <c r="E321" s="179"/>
      <c r="F321" s="180"/>
      <c r="G321" s="67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15.75" customHeight="1" x14ac:dyDescent="0.55000000000000004">
      <c r="A322" s="51"/>
      <c r="B322" s="49"/>
      <c r="C322" s="52"/>
      <c r="D322" s="52"/>
      <c r="E322" s="179"/>
      <c r="F322" s="180"/>
      <c r="G322" s="67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15.75" customHeight="1" x14ac:dyDescent="0.55000000000000004">
      <c r="A323" s="51"/>
      <c r="B323" s="49"/>
      <c r="C323" s="52"/>
      <c r="D323" s="52"/>
      <c r="E323" s="179"/>
      <c r="F323" s="180"/>
      <c r="G323" s="67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15.75" customHeight="1" x14ac:dyDescent="0.55000000000000004">
      <c r="A324" s="51"/>
      <c r="B324" s="49"/>
      <c r="C324" s="52"/>
      <c r="D324" s="52"/>
      <c r="E324" s="179"/>
      <c r="F324" s="180"/>
      <c r="G324" s="67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15.75" customHeight="1" x14ac:dyDescent="0.55000000000000004">
      <c r="A325" s="51"/>
      <c r="B325" s="49"/>
      <c r="C325" s="52"/>
      <c r="D325" s="52"/>
      <c r="E325" s="179"/>
      <c r="F325" s="180"/>
      <c r="G325" s="67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15.75" customHeight="1" x14ac:dyDescent="0.55000000000000004">
      <c r="A326" s="51"/>
      <c r="B326" s="49"/>
      <c r="C326" s="52"/>
      <c r="D326" s="52"/>
      <c r="E326" s="179"/>
      <c r="F326" s="180"/>
      <c r="G326" s="67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15.75" customHeight="1" x14ac:dyDescent="0.55000000000000004">
      <c r="A327" s="51"/>
      <c r="B327" s="49"/>
      <c r="C327" s="52"/>
      <c r="D327" s="52"/>
      <c r="E327" s="179"/>
      <c r="F327" s="180"/>
      <c r="G327" s="67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5.75" customHeight="1" x14ac:dyDescent="0.55000000000000004">
      <c r="A328" s="51"/>
      <c r="B328" s="49"/>
      <c r="C328" s="52"/>
      <c r="D328" s="52"/>
      <c r="E328" s="179"/>
      <c r="F328" s="180"/>
      <c r="G328" s="67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5.75" customHeight="1" x14ac:dyDescent="0.55000000000000004">
      <c r="A329" s="51"/>
      <c r="B329" s="49"/>
      <c r="C329" s="52"/>
      <c r="D329" s="52"/>
      <c r="E329" s="179"/>
      <c r="F329" s="180"/>
      <c r="G329" s="67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5.75" customHeight="1" x14ac:dyDescent="0.55000000000000004">
      <c r="A330" s="51"/>
      <c r="B330" s="49"/>
      <c r="C330" s="52"/>
      <c r="D330" s="52"/>
      <c r="E330" s="179"/>
      <c r="F330" s="180"/>
      <c r="G330" s="67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15.75" customHeight="1" x14ac:dyDescent="0.55000000000000004">
      <c r="A331" s="51"/>
      <c r="B331" s="49"/>
      <c r="C331" s="52"/>
      <c r="D331" s="52"/>
      <c r="E331" s="179"/>
      <c r="F331" s="180"/>
      <c r="G331" s="67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5.75" customHeight="1" x14ac:dyDescent="0.55000000000000004">
      <c r="A332" s="51"/>
      <c r="B332" s="49"/>
      <c r="C332" s="52"/>
      <c r="D332" s="52"/>
      <c r="E332" s="179"/>
      <c r="F332" s="180"/>
      <c r="G332" s="67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15.75" customHeight="1" x14ac:dyDescent="0.55000000000000004">
      <c r="A333" s="51"/>
      <c r="B333" s="49"/>
      <c r="C333" s="52"/>
      <c r="D333" s="52"/>
      <c r="E333" s="179"/>
      <c r="F333" s="180"/>
      <c r="G333" s="67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15.75" customHeight="1" x14ac:dyDescent="0.55000000000000004">
      <c r="A334" s="51"/>
      <c r="B334" s="49"/>
      <c r="C334" s="52"/>
      <c r="D334" s="52"/>
      <c r="E334" s="179"/>
      <c r="F334" s="180"/>
      <c r="G334" s="67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15.75" customHeight="1" x14ac:dyDescent="0.55000000000000004">
      <c r="A335" s="51"/>
      <c r="B335" s="49"/>
      <c r="C335" s="52"/>
      <c r="D335" s="52"/>
      <c r="E335" s="179"/>
      <c r="F335" s="180"/>
      <c r="G335" s="67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5.75" customHeight="1" x14ac:dyDescent="0.55000000000000004">
      <c r="A336" s="51"/>
      <c r="B336" s="49"/>
      <c r="C336" s="52"/>
      <c r="D336" s="52"/>
      <c r="E336" s="179"/>
      <c r="F336" s="180"/>
      <c r="G336" s="67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5.75" customHeight="1" x14ac:dyDescent="0.55000000000000004">
      <c r="A337" s="51"/>
      <c r="B337" s="49"/>
      <c r="C337" s="52"/>
      <c r="D337" s="52"/>
      <c r="E337" s="179"/>
      <c r="F337" s="180"/>
      <c r="G337" s="67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5.75" customHeight="1" x14ac:dyDescent="0.55000000000000004">
      <c r="A338" s="51"/>
      <c r="B338" s="49"/>
      <c r="C338" s="52"/>
      <c r="D338" s="52"/>
      <c r="E338" s="179"/>
      <c r="F338" s="180"/>
      <c r="G338" s="67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5.75" customHeight="1" x14ac:dyDescent="0.55000000000000004">
      <c r="A339" s="51"/>
      <c r="B339" s="49"/>
      <c r="C339" s="52"/>
      <c r="D339" s="52"/>
      <c r="E339" s="179"/>
      <c r="F339" s="180"/>
      <c r="G339" s="67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5.75" customHeight="1" x14ac:dyDescent="0.55000000000000004">
      <c r="A340" s="51"/>
      <c r="B340" s="49"/>
      <c r="C340" s="52"/>
      <c r="D340" s="52"/>
      <c r="E340" s="179"/>
      <c r="F340" s="180"/>
      <c r="G340" s="67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5.75" customHeight="1" x14ac:dyDescent="0.55000000000000004">
      <c r="A341" s="51"/>
      <c r="B341" s="49"/>
      <c r="C341" s="52"/>
      <c r="D341" s="52"/>
      <c r="E341" s="179"/>
      <c r="F341" s="180"/>
      <c r="G341" s="67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5.75" customHeight="1" x14ac:dyDescent="0.55000000000000004">
      <c r="A342" s="51"/>
      <c r="B342" s="49"/>
      <c r="C342" s="52"/>
      <c r="D342" s="52"/>
      <c r="E342" s="179"/>
      <c r="F342" s="180"/>
      <c r="G342" s="67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5.75" customHeight="1" x14ac:dyDescent="0.55000000000000004">
      <c r="A343" s="51"/>
      <c r="B343" s="49"/>
      <c r="C343" s="52"/>
      <c r="D343" s="52"/>
      <c r="E343" s="179"/>
      <c r="F343" s="180"/>
      <c r="G343" s="67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5.75" customHeight="1" x14ac:dyDescent="0.55000000000000004">
      <c r="A344" s="51"/>
      <c r="B344" s="49"/>
      <c r="C344" s="52"/>
      <c r="D344" s="52"/>
      <c r="E344" s="179"/>
      <c r="F344" s="180"/>
      <c r="G344" s="67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5.75" customHeight="1" x14ac:dyDescent="0.55000000000000004">
      <c r="A345" s="51"/>
      <c r="B345" s="49"/>
      <c r="C345" s="52"/>
      <c r="D345" s="52"/>
      <c r="E345" s="179"/>
      <c r="F345" s="180"/>
      <c r="G345" s="67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5.75" customHeight="1" x14ac:dyDescent="0.55000000000000004">
      <c r="A346" s="51"/>
      <c r="B346" s="49"/>
      <c r="C346" s="52"/>
      <c r="D346" s="52"/>
      <c r="E346" s="179"/>
      <c r="F346" s="180"/>
      <c r="G346" s="67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5.75" customHeight="1" x14ac:dyDescent="0.55000000000000004">
      <c r="A347" s="51"/>
      <c r="B347" s="49"/>
      <c r="C347" s="52"/>
      <c r="D347" s="52"/>
      <c r="E347" s="179"/>
      <c r="F347" s="180"/>
      <c r="G347" s="67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5.75" customHeight="1" x14ac:dyDescent="0.55000000000000004">
      <c r="A348" s="51"/>
      <c r="B348" s="49"/>
      <c r="C348" s="52"/>
      <c r="D348" s="52"/>
      <c r="E348" s="179"/>
      <c r="F348" s="180"/>
      <c r="G348" s="67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5.75" customHeight="1" x14ac:dyDescent="0.55000000000000004">
      <c r="A349" s="51"/>
      <c r="B349" s="49"/>
      <c r="C349" s="52"/>
      <c r="D349" s="52"/>
      <c r="E349" s="179"/>
      <c r="F349" s="180"/>
      <c r="G349" s="67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5.75" customHeight="1" x14ac:dyDescent="0.55000000000000004">
      <c r="A350" s="51"/>
      <c r="B350" s="49"/>
      <c r="C350" s="52"/>
      <c r="D350" s="52"/>
      <c r="E350" s="179"/>
      <c r="F350" s="180"/>
      <c r="G350" s="67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5.75" customHeight="1" x14ac:dyDescent="0.55000000000000004">
      <c r="A351" s="51"/>
      <c r="B351" s="49"/>
      <c r="C351" s="52"/>
      <c r="D351" s="52"/>
      <c r="E351" s="179"/>
      <c r="F351" s="180"/>
      <c r="G351" s="67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5.75" customHeight="1" x14ac:dyDescent="0.55000000000000004">
      <c r="A352" s="51"/>
      <c r="B352" s="49"/>
      <c r="C352" s="52"/>
      <c r="D352" s="52"/>
      <c r="E352" s="179"/>
      <c r="F352" s="180"/>
      <c r="G352" s="67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5.75" customHeight="1" x14ac:dyDescent="0.55000000000000004">
      <c r="A353" s="51"/>
      <c r="B353" s="49"/>
      <c r="C353" s="52"/>
      <c r="D353" s="52"/>
      <c r="E353" s="179"/>
      <c r="F353" s="180"/>
      <c r="G353" s="67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5.75" customHeight="1" x14ac:dyDescent="0.55000000000000004">
      <c r="A354" s="51"/>
      <c r="B354" s="49"/>
      <c r="C354" s="52"/>
      <c r="D354" s="52"/>
      <c r="E354" s="179"/>
      <c r="F354" s="180"/>
      <c r="G354" s="67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5.75" customHeight="1" x14ac:dyDescent="0.55000000000000004">
      <c r="A355" s="51"/>
      <c r="B355" s="49"/>
      <c r="C355" s="52"/>
      <c r="D355" s="52"/>
      <c r="E355" s="179"/>
      <c r="F355" s="180"/>
      <c r="G355" s="67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5.75" customHeight="1" x14ac:dyDescent="0.55000000000000004">
      <c r="A356" s="51"/>
      <c r="B356" s="49"/>
      <c r="C356" s="52"/>
      <c r="D356" s="52"/>
      <c r="E356" s="179"/>
      <c r="F356" s="180"/>
      <c r="G356" s="67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5.75" customHeight="1" x14ac:dyDescent="0.55000000000000004">
      <c r="A357" s="51"/>
      <c r="B357" s="49"/>
      <c r="C357" s="52"/>
      <c r="D357" s="52"/>
      <c r="E357" s="179"/>
      <c r="F357" s="180"/>
      <c r="G357" s="67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5.75" customHeight="1" x14ac:dyDescent="0.55000000000000004">
      <c r="A358" s="51"/>
      <c r="B358" s="49"/>
      <c r="C358" s="52"/>
      <c r="D358" s="52"/>
      <c r="E358" s="179"/>
      <c r="F358" s="180"/>
      <c r="G358" s="67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5.75" customHeight="1" x14ac:dyDescent="0.55000000000000004">
      <c r="A359" s="51"/>
      <c r="B359" s="49"/>
      <c r="C359" s="52"/>
      <c r="D359" s="52"/>
      <c r="E359" s="179"/>
      <c r="F359" s="180"/>
      <c r="G359" s="67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5.75" customHeight="1" x14ac:dyDescent="0.55000000000000004">
      <c r="A360" s="51"/>
      <c r="B360" s="49"/>
      <c r="C360" s="52"/>
      <c r="D360" s="52"/>
      <c r="E360" s="179"/>
      <c r="F360" s="180"/>
      <c r="G360" s="67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5.75" customHeight="1" x14ac:dyDescent="0.55000000000000004">
      <c r="A361" s="51"/>
      <c r="B361" s="49"/>
      <c r="C361" s="52"/>
      <c r="D361" s="52"/>
      <c r="E361" s="179"/>
      <c r="F361" s="180"/>
      <c r="G361" s="67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5.75" customHeight="1" x14ac:dyDescent="0.55000000000000004">
      <c r="A362" s="51"/>
      <c r="B362" s="49"/>
      <c r="C362" s="52"/>
      <c r="D362" s="52"/>
      <c r="E362" s="179"/>
      <c r="F362" s="180"/>
      <c r="G362" s="67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5.75" customHeight="1" x14ac:dyDescent="0.55000000000000004">
      <c r="A363" s="51"/>
      <c r="B363" s="49"/>
      <c r="C363" s="52"/>
      <c r="D363" s="52"/>
      <c r="E363" s="179"/>
      <c r="F363" s="180"/>
      <c r="G363" s="67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5.75" customHeight="1" x14ac:dyDescent="0.55000000000000004">
      <c r="A364" s="51"/>
      <c r="B364" s="49"/>
      <c r="C364" s="52"/>
      <c r="D364" s="52"/>
      <c r="E364" s="179"/>
      <c r="F364" s="180"/>
      <c r="G364" s="67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5.75" customHeight="1" x14ac:dyDescent="0.55000000000000004">
      <c r="A365" s="51"/>
      <c r="B365" s="49"/>
      <c r="C365" s="52"/>
      <c r="D365" s="52"/>
      <c r="E365" s="179"/>
      <c r="F365" s="180"/>
      <c r="G365" s="67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5.75" customHeight="1" x14ac:dyDescent="0.55000000000000004">
      <c r="A366" s="51"/>
      <c r="B366" s="49"/>
      <c r="C366" s="52"/>
      <c r="D366" s="52"/>
      <c r="E366" s="179"/>
      <c r="F366" s="180"/>
      <c r="G366" s="67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5.75" customHeight="1" x14ac:dyDescent="0.55000000000000004">
      <c r="A367" s="51"/>
      <c r="B367" s="49"/>
      <c r="C367" s="52"/>
      <c r="D367" s="52"/>
      <c r="E367" s="179"/>
      <c r="F367" s="180"/>
      <c r="G367" s="67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5.75" customHeight="1" x14ac:dyDescent="0.55000000000000004">
      <c r="A368" s="51"/>
      <c r="B368" s="49"/>
      <c r="C368" s="52"/>
      <c r="D368" s="52"/>
      <c r="E368" s="179"/>
      <c r="F368" s="180"/>
      <c r="G368" s="67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5.75" customHeight="1" x14ac:dyDescent="0.55000000000000004">
      <c r="A369" s="51"/>
      <c r="B369" s="49"/>
      <c r="C369" s="52"/>
      <c r="D369" s="52"/>
      <c r="E369" s="179"/>
      <c r="F369" s="180"/>
      <c r="G369" s="67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5.75" customHeight="1" x14ac:dyDescent="0.55000000000000004">
      <c r="A370" s="51"/>
      <c r="B370" s="49"/>
      <c r="C370" s="52"/>
      <c r="D370" s="52"/>
      <c r="E370" s="179"/>
      <c r="F370" s="180"/>
      <c r="G370" s="67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5.75" customHeight="1" x14ac:dyDescent="0.55000000000000004">
      <c r="A371" s="51"/>
      <c r="B371" s="49"/>
      <c r="C371" s="52"/>
      <c r="D371" s="52"/>
      <c r="E371" s="179"/>
      <c r="F371" s="180"/>
      <c r="G371" s="67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5.75" customHeight="1" x14ac:dyDescent="0.55000000000000004">
      <c r="A372" s="51"/>
      <c r="B372" s="49"/>
      <c r="C372" s="52"/>
      <c r="D372" s="52"/>
      <c r="E372" s="179"/>
      <c r="F372" s="180"/>
      <c r="G372" s="67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5.75" customHeight="1" x14ac:dyDescent="0.55000000000000004">
      <c r="A373" s="51"/>
      <c r="B373" s="49"/>
      <c r="C373" s="52"/>
      <c r="D373" s="52"/>
      <c r="E373" s="179"/>
      <c r="F373" s="180"/>
      <c r="G373" s="67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5.75" customHeight="1" x14ac:dyDescent="0.55000000000000004">
      <c r="A374" s="51"/>
      <c r="B374" s="49"/>
      <c r="C374" s="52"/>
      <c r="D374" s="52"/>
      <c r="E374" s="179"/>
      <c r="F374" s="180"/>
      <c r="G374" s="67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5.75" customHeight="1" x14ac:dyDescent="0.55000000000000004">
      <c r="A375" s="51"/>
      <c r="B375" s="49"/>
      <c r="C375" s="52"/>
      <c r="D375" s="52"/>
      <c r="E375" s="179"/>
      <c r="F375" s="180"/>
      <c r="G375" s="67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5.75" customHeight="1" x14ac:dyDescent="0.55000000000000004">
      <c r="A376" s="51"/>
      <c r="B376" s="49"/>
      <c r="C376" s="52"/>
      <c r="D376" s="52"/>
      <c r="E376" s="179"/>
      <c r="F376" s="180"/>
      <c r="G376" s="67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5.75" customHeight="1" x14ac:dyDescent="0.55000000000000004">
      <c r="A377" s="51"/>
      <c r="B377" s="49"/>
      <c r="C377" s="52"/>
      <c r="D377" s="52"/>
      <c r="E377" s="179"/>
      <c r="F377" s="180"/>
      <c r="G377" s="67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15.75" customHeight="1" x14ac:dyDescent="0.55000000000000004">
      <c r="A378" s="51"/>
      <c r="B378" s="49"/>
      <c r="C378" s="52"/>
      <c r="D378" s="52"/>
      <c r="E378" s="179"/>
      <c r="F378" s="180"/>
      <c r="G378" s="67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15.75" customHeight="1" x14ac:dyDescent="0.55000000000000004">
      <c r="A379" s="51"/>
      <c r="B379" s="49"/>
      <c r="C379" s="52"/>
      <c r="D379" s="52"/>
      <c r="E379" s="179"/>
      <c r="F379" s="180"/>
      <c r="G379" s="67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15.75" customHeight="1" x14ac:dyDescent="0.55000000000000004">
      <c r="A380" s="51"/>
      <c r="B380" s="49"/>
      <c r="C380" s="52"/>
      <c r="D380" s="52"/>
      <c r="E380" s="179"/>
      <c r="F380" s="180"/>
      <c r="G380" s="67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15.75" customHeight="1" x14ac:dyDescent="0.55000000000000004">
      <c r="A381" s="51"/>
      <c r="B381" s="49"/>
      <c r="C381" s="52"/>
      <c r="D381" s="52"/>
      <c r="E381" s="179"/>
      <c r="F381" s="180"/>
      <c r="G381" s="67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15.75" customHeight="1" x14ac:dyDescent="0.55000000000000004">
      <c r="A382" s="51"/>
      <c r="B382" s="49"/>
      <c r="C382" s="52"/>
      <c r="D382" s="52"/>
      <c r="E382" s="179"/>
      <c r="F382" s="180"/>
      <c r="G382" s="67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15.75" customHeight="1" x14ac:dyDescent="0.55000000000000004">
      <c r="A383" s="51"/>
      <c r="B383" s="49"/>
      <c r="C383" s="52"/>
      <c r="D383" s="52"/>
      <c r="E383" s="179"/>
      <c r="F383" s="180"/>
      <c r="G383" s="67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15.75" customHeight="1" x14ac:dyDescent="0.55000000000000004">
      <c r="A384" s="51"/>
      <c r="B384" s="49"/>
      <c r="C384" s="52"/>
      <c r="D384" s="52"/>
      <c r="E384" s="179"/>
      <c r="F384" s="180"/>
      <c r="G384" s="67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15.75" customHeight="1" x14ac:dyDescent="0.55000000000000004">
      <c r="A385" s="51"/>
      <c r="B385" s="49"/>
      <c r="C385" s="52"/>
      <c r="D385" s="52"/>
      <c r="E385" s="179"/>
      <c r="F385" s="180"/>
      <c r="G385" s="67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15.75" customHeight="1" x14ac:dyDescent="0.55000000000000004">
      <c r="A386" s="51"/>
      <c r="B386" s="49"/>
      <c r="C386" s="52"/>
      <c r="D386" s="52"/>
      <c r="E386" s="179"/>
      <c r="F386" s="180"/>
      <c r="G386" s="67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15.75" customHeight="1" x14ac:dyDescent="0.55000000000000004">
      <c r="A387" s="51"/>
      <c r="B387" s="49"/>
      <c r="C387" s="52"/>
      <c r="D387" s="52"/>
      <c r="E387" s="179"/>
      <c r="F387" s="180"/>
      <c r="G387" s="67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15.75" customHeight="1" x14ac:dyDescent="0.55000000000000004">
      <c r="A388" s="51"/>
      <c r="B388" s="49"/>
      <c r="C388" s="52"/>
      <c r="D388" s="52"/>
      <c r="E388" s="179"/>
      <c r="F388" s="180"/>
      <c r="G388" s="67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15.75" customHeight="1" x14ac:dyDescent="0.55000000000000004">
      <c r="A389" s="51"/>
      <c r="B389" s="49"/>
      <c r="C389" s="52"/>
      <c r="D389" s="52"/>
      <c r="E389" s="179"/>
      <c r="F389" s="180"/>
      <c r="G389" s="67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15.75" customHeight="1" x14ac:dyDescent="0.55000000000000004">
      <c r="A390" s="51"/>
      <c r="B390" s="49"/>
      <c r="C390" s="52"/>
      <c r="D390" s="52"/>
      <c r="E390" s="179"/>
      <c r="F390" s="180"/>
      <c r="G390" s="67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15.75" customHeight="1" x14ac:dyDescent="0.55000000000000004">
      <c r="A391" s="51"/>
      <c r="B391" s="49"/>
      <c r="C391" s="52"/>
      <c r="D391" s="52"/>
      <c r="E391" s="179"/>
      <c r="F391" s="180"/>
      <c r="G391" s="67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15.75" customHeight="1" x14ac:dyDescent="0.55000000000000004">
      <c r="A392" s="51"/>
      <c r="B392" s="49"/>
      <c r="C392" s="52"/>
      <c r="D392" s="52"/>
      <c r="E392" s="179"/>
      <c r="F392" s="180"/>
      <c r="G392" s="67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15.75" customHeight="1" x14ac:dyDescent="0.55000000000000004">
      <c r="A393" s="51"/>
      <c r="B393" s="49"/>
      <c r="C393" s="52"/>
      <c r="D393" s="52"/>
      <c r="E393" s="179"/>
      <c r="F393" s="180"/>
      <c r="G393" s="67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15.75" customHeight="1" x14ac:dyDescent="0.55000000000000004">
      <c r="A394" s="51"/>
      <c r="B394" s="49"/>
      <c r="C394" s="52"/>
      <c r="D394" s="52"/>
      <c r="E394" s="179"/>
      <c r="F394" s="180"/>
      <c r="G394" s="67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15.75" customHeight="1" x14ac:dyDescent="0.55000000000000004">
      <c r="A395" s="51"/>
      <c r="B395" s="49"/>
      <c r="C395" s="52"/>
      <c r="D395" s="52"/>
      <c r="E395" s="179"/>
      <c r="F395" s="180"/>
      <c r="G395" s="67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15.75" customHeight="1" x14ac:dyDescent="0.55000000000000004">
      <c r="A396" s="51"/>
      <c r="B396" s="49"/>
      <c r="C396" s="52"/>
      <c r="D396" s="52"/>
      <c r="E396" s="179"/>
      <c r="F396" s="180"/>
      <c r="G396" s="67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15.75" customHeight="1" x14ac:dyDescent="0.55000000000000004">
      <c r="A397" s="51"/>
      <c r="B397" s="49"/>
      <c r="C397" s="52"/>
      <c r="D397" s="52"/>
      <c r="E397" s="179"/>
      <c r="F397" s="180"/>
      <c r="G397" s="67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15.75" customHeight="1" x14ac:dyDescent="0.55000000000000004">
      <c r="A398" s="51"/>
      <c r="B398" s="49"/>
      <c r="C398" s="52"/>
      <c r="D398" s="52"/>
      <c r="E398" s="179"/>
      <c r="F398" s="180"/>
      <c r="G398" s="67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15.75" customHeight="1" x14ac:dyDescent="0.55000000000000004">
      <c r="A399" s="51"/>
      <c r="B399" s="49"/>
      <c r="C399" s="52"/>
      <c r="D399" s="52"/>
      <c r="E399" s="179"/>
      <c r="F399" s="180"/>
      <c r="G399" s="67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15.75" customHeight="1" x14ac:dyDescent="0.55000000000000004">
      <c r="A400" s="51"/>
      <c r="B400" s="49"/>
      <c r="C400" s="52"/>
      <c r="D400" s="52"/>
      <c r="E400" s="179"/>
      <c r="F400" s="180"/>
      <c r="G400" s="67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15.75" customHeight="1" x14ac:dyDescent="0.55000000000000004">
      <c r="A401" s="51"/>
      <c r="B401" s="49"/>
      <c r="C401" s="52"/>
      <c r="D401" s="52"/>
      <c r="E401" s="179"/>
      <c r="F401" s="180"/>
      <c r="G401" s="67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5.75" customHeight="1" x14ac:dyDescent="0.55000000000000004">
      <c r="A402" s="51"/>
      <c r="B402" s="49"/>
      <c r="C402" s="52"/>
      <c r="D402" s="52"/>
      <c r="E402" s="179"/>
      <c r="F402" s="180"/>
      <c r="G402" s="67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5.75" customHeight="1" x14ac:dyDescent="0.55000000000000004">
      <c r="A403" s="51"/>
      <c r="B403" s="49"/>
      <c r="C403" s="52"/>
      <c r="D403" s="52"/>
      <c r="E403" s="179"/>
      <c r="F403" s="180"/>
      <c r="G403" s="67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15.75" customHeight="1" x14ac:dyDescent="0.55000000000000004">
      <c r="A404" s="51"/>
      <c r="B404" s="49"/>
      <c r="C404" s="52"/>
      <c r="D404" s="52"/>
      <c r="E404" s="179"/>
      <c r="F404" s="180"/>
      <c r="G404" s="67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15.75" customHeight="1" x14ac:dyDescent="0.55000000000000004">
      <c r="A405" s="51"/>
      <c r="B405" s="49"/>
      <c r="C405" s="52"/>
      <c r="D405" s="52"/>
      <c r="E405" s="179"/>
      <c r="F405" s="180"/>
      <c r="G405" s="67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15.75" customHeight="1" x14ac:dyDescent="0.55000000000000004">
      <c r="A406" s="51"/>
      <c r="B406" s="49"/>
      <c r="C406" s="52"/>
      <c r="D406" s="52"/>
      <c r="E406" s="179"/>
      <c r="F406" s="180"/>
      <c r="G406" s="67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15.75" customHeight="1" x14ac:dyDescent="0.55000000000000004">
      <c r="A407" s="51"/>
      <c r="B407" s="49"/>
      <c r="C407" s="52"/>
      <c r="D407" s="52"/>
      <c r="E407" s="179"/>
      <c r="F407" s="180"/>
      <c r="G407" s="67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15.75" customHeight="1" x14ac:dyDescent="0.55000000000000004">
      <c r="A408" s="51"/>
      <c r="B408" s="49"/>
      <c r="C408" s="52"/>
      <c r="D408" s="52"/>
      <c r="E408" s="179"/>
      <c r="F408" s="180"/>
      <c r="G408" s="67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15.75" customHeight="1" x14ac:dyDescent="0.55000000000000004">
      <c r="A409" s="51"/>
      <c r="B409" s="49"/>
      <c r="C409" s="52"/>
      <c r="D409" s="52"/>
      <c r="E409" s="179"/>
      <c r="F409" s="180"/>
      <c r="G409" s="67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15.75" customHeight="1" x14ac:dyDescent="0.55000000000000004">
      <c r="A410" s="51"/>
      <c r="B410" s="49"/>
      <c r="C410" s="52"/>
      <c r="D410" s="52"/>
      <c r="E410" s="179"/>
      <c r="F410" s="180"/>
      <c r="G410" s="67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5.75" customHeight="1" x14ac:dyDescent="0.55000000000000004">
      <c r="A411" s="51"/>
      <c r="B411" s="49"/>
      <c r="C411" s="52"/>
      <c r="D411" s="52"/>
      <c r="E411" s="179"/>
      <c r="F411" s="180"/>
      <c r="G411" s="67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15.75" customHeight="1" x14ac:dyDescent="0.55000000000000004">
      <c r="A412" s="51"/>
      <c r="B412" s="49"/>
      <c r="C412" s="52"/>
      <c r="D412" s="52"/>
      <c r="E412" s="179"/>
      <c r="F412" s="180"/>
      <c r="G412" s="67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15.75" customHeight="1" x14ac:dyDescent="0.55000000000000004">
      <c r="A413" s="51"/>
      <c r="B413" s="49"/>
      <c r="C413" s="52"/>
      <c r="D413" s="52"/>
      <c r="E413" s="179"/>
      <c r="F413" s="180"/>
      <c r="G413" s="67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15.75" customHeight="1" x14ac:dyDescent="0.55000000000000004">
      <c r="A414" s="51"/>
      <c r="B414" s="49"/>
      <c r="C414" s="52"/>
      <c r="D414" s="52"/>
      <c r="E414" s="179"/>
      <c r="F414" s="180"/>
      <c r="G414" s="67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15.75" customHeight="1" x14ac:dyDescent="0.55000000000000004">
      <c r="A415" s="51"/>
      <c r="B415" s="49"/>
      <c r="C415" s="52"/>
      <c r="D415" s="52"/>
      <c r="E415" s="179"/>
      <c r="F415" s="180"/>
      <c r="G415" s="67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15.75" customHeight="1" x14ac:dyDescent="0.55000000000000004">
      <c r="A416" s="51"/>
      <c r="B416" s="49"/>
      <c r="C416" s="52"/>
      <c r="D416" s="52"/>
      <c r="E416" s="179"/>
      <c r="F416" s="180"/>
      <c r="G416" s="67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15.75" customHeight="1" x14ac:dyDescent="0.55000000000000004">
      <c r="A417" s="51"/>
      <c r="B417" s="49"/>
      <c r="C417" s="52"/>
      <c r="D417" s="52"/>
      <c r="E417" s="179"/>
      <c r="F417" s="180"/>
      <c r="G417" s="67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15.75" customHeight="1" x14ac:dyDescent="0.55000000000000004">
      <c r="A418" s="51"/>
      <c r="B418" s="49"/>
      <c r="C418" s="52"/>
      <c r="D418" s="52"/>
      <c r="E418" s="179"/>
      <c r="F418" s="180"/>
      <c r="G418" s="67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15.75" customHeight="1" x14ac:dyDescent="0.55000000000000004">
      <c r="A419" s="51"/>
      <c r="B419" s="49"/>
      <c r="C419" s="52"/>
      <c r="D419" s="52"/>
      <c r="E419" s="179"/>
      <c r="F419" s="180"/>
      <c r="G419" s="67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15.75" customHeight="1" x14ac:dyDescent="0.55000000000000004">
      <c r="A420" s="51"/>
      <c r="B420" s="49"/>
      <c r="C420" s="52"/>
      <c r="D420" s="52"/>
      <c r="E420" s="179"/>
      <c r="F420" s="180"/>
      <c r="G420" s="67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15.75" customHeight="1" x14ac:dyDescent="0.55000000000000004">
      <c r="A421" s="51"/>
      <c r="B421" s="49"/>
      <c r="C421" s="52"/>
      <c r="D421" s="52"/>
      <c r="E421" s="179"/>
      <c r="F421" s="180"/>
      <c r="G421" s="67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15.75" customHeight="1" x14ac:dyDescent="0.55000000000000004">
      <c r="A422" s="51"/>
      <c r="B422" s="49"/>
      <c r="C422" s="52"/>
      <c r="D422" s="52"/>
      <c r="E422" s="179"/>
      <c r="F422" s="180"/>
      <c r="G422" s="67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15.75" customHeight="1" x14ac:dyDescent="0.55000000000000004">
      <c r="A423" s="51"/>
      <c r="B423" s="49"/>
      <c r="C423" s="52"/>
      <c r="D423" s="52"/>
      <c r="E423" s="179"/>
      <c r="F423" s="180"/>
      <c r="G423" s="67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15.75" customHeight="1" x14ac:dyDescent="0.55000000000000004">
      <c r="A424" s="51"/>
      <c r="B424" s="49"/>
      <c r="C424" s="52"/>
      <c r="D424" s="52"/>
      <c r="E424" s="179"/>
      <c r="F424" s="180"/>
      <c r="G424" s="67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15.75" customHeight="1" x14ac:dyDescent="0.55000000000000004">
      <c r="A425" s="51"/>
      <c r="B425" s="49"/>
      <c r="C425" s="52"/>
      <c r="D425" s="52"/>
      <c r="E425" s="179"/>
      <c r="F425" s="180"/>
      <c r="G425" s="67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15.75" customHeight="1" x14ac:dyDescent="0.55000000000000004">
      <c r="A426" s="51"/>
      <c r="B426" s="49"/>
      <c r="C426" s="52"/>
      <c r="D426" s="52"/>
      <c r="E426" s="179"/>
      <c r="F426" s="180"/>
      <c r="G426" s="67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15.75" customHeight="1" x14ac:dyDescent="0.55000000000000004">
      <c r="A427" s="51"/>
      <c r="B427" s="49"/>
      <c r="C427" s="52"/>
      <c r="D427" s="52"/>
      <c r="E427" s="179"/>
      <c r="F427" s="180"/>
      <c r="G427" s="67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15.75" customHeight="1" x14ac:dyDescent="0.55000000000000004">
      <c r="A428" s="51"/>
      <c r="B428" s="49"/>
      <c r="C428" s="52"/>
      <c r="D428" s="52"/>
      <c r="E428" s="179"/>
      <c r="F428" s="180"/>
      <c r="G428" s="67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15.75" customHeight="1" x14ac:dyDescent="0.55000000000000004">
      <c r="A429" s="51"/>
      <c r="B429" s="49"/>
      <c r="C429" s="52"/>
      <c r="D429" s="52"/>
      <c r="E429" s="179"/>
      <c r="F429" s="180"/>
      <c r="G429" s="67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15.75" customHeight="1" x14ac:dyDescent="0.55000000000000004">
      <c r="A430" s="51"/>
      <c r="B430" s="49"/>
      <c r="C430" s="52"/>
      <c r="D430" s="52"/>
      <c r="E430" s="179"/>
      <c r="F430" s="180"/>
      <c r="G430" s="67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15.75" customHeight="1" x14ac:dyDescent="0.55000000000000004">
      <c r="A431" s="51"/>
      <c r="B431" s="49"/>
      <c r="C431" s="52"/>
      <c r="D431" s="52"/>
      <c r="E431" s="179"/>
      <c r="F431" s="180"/>
      <c r="G431" s="67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15.75" customHeight="1" x14ac:dyDescent="0.55000000000000004">
      <c r="A432" s="51"/>
      <c r="B432" s="49"/>
      <c r="C432" s="52"/>
      <c r="D432" s="52"/>
      <c r="E432" s="179"/>
      <c r="F432" s="180"/>
      <c r="G432" s="67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15.75" customHeight="1" x14ac:dyDescent="0.55000000000000004">
      <c r="A433" s="51"/>
      <c r="B433" s="49"/>
      <c r="C433" s="52"/>
      <c r="D433" s="52"/>
      <c r="E433" s="179"/>
      <c r="F433" s="180"/>
      <c r="G433" s="67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15.75" customHeight="1" x14ac:dyDescent="0.55000000000000004">
      <c r="A434" s="51"/>
      <c r="B434" s="49"/>
      <c r="C434" s="52"/>
      <c r="D434" s="52"/>
      <c r="E434" s="179"/>
      <c r="F434" s="180"/>
      <c r="G434" s="67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15.75" customHeight="1" x14ac:dyDescent="0.55000000000000004">
      <c r="A435" s="51"/>
      <c r="B435" s="49"/>
      <c r="C435" s="52"/>
      <c r="D435" s="52"/>
      <c r="E435" s="179"/>
      <c r="F435" s="180"/>
      <c r="G435" s="67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15.75" customHeight="1" x14ac:dyDescent="0.55000000000000004">
      <c r="A436" s="51"/>
      <c r="B436" s="49"/>
      <c r="C436" s="52"/>
      <c r="D436" s="52"/>
      <c r="E436" s="179"/>
      <c r="F436" s="180"/>
      <c r="G436" s="67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15.75" customHeight="1" x14ac:dyDescent="0.55000000000000004">
      <c r="A437" s="51"/>
      <c r="B437" s="49"/>
      <c r="C437" s="52"/>
      <c r="D437" s="52"/>
      <c r="E437" s="179"/>
      <c r="F437" s="180"/>
      <c r="G437" s="67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15.75" customHeight="1" x14ac:dyDescent="0.55000000000000004">
      <c r="A438" s="51"/>
      <c r="B438" s="49"/>
      <c r="C438" s="52"/>
      <c r="D438" s="52"/>
      <c r="E438" s="179"/>
      <c r="F438" s="180"/>
      <c r="G438" s="67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15.75" customHeight="1" x14ac:dyDescent="0.55000000000000004">
      <c r="A439" s="51"/>
      <c r="B439" s="49"/>
      <c r="C439" s="52"/>
      <c r="D439" s="52"/>
      <c r="E439" s="179"/>
      <c r="F439" s="180"/>
      <c r="G439" s="67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15.75" customHeight="1" x14ac:dyDescent="0.55000000000000004">
      <c r="A440" s="51"/>
      <c r="B440" s="49"/>
      <c r="C440" s="52"/>
      <c r="D440" s="52"/>
      <c r="E440" s="179"/>
      <c r="F440" s="180"/>
      <c r="G440" s="67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15.75" customHeight="1" x14ac:dyDescent="0.55000000000000004">
      <c r="A441" s="51"/>
      <c r="B441" s="49"/>
      <c r="C441" s="52"/>
      <c r="D441" s="52"/>
      <c r="E441" s="179"/>
      <c r="F441" s="180"/>
      <c r="G441" s="67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15.75" customHeight="1" x14ac:dyDescent="0.55000000000000004">
      <c r="A442" s="51"/>
      <c r="B442" s="49"/>
      <c r="C442" s="52"/>
      <c r="D442" s="52"/>
      <c r="E442" s="179"/>
      <c r="F442" s="180"/>
      <c r="G442" s="67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15.75" customHeight="1" x14ac:dyDescent="0.55000000000000004">
      <c r="A443" s="51"/>
      <c r="B443" s="49"/>
      <c r="C443" s="52"/>
      <c r="D443" s="52"/>
      <c r="E443" s="179"/>
      <c r="F443" s="180"/>
      <c r="G443" s="67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15.75" customHeight="1" x14ac:dyDescent="0.55000000000000004">
      <c r="A444" s="51"/>
      <c r="B444" s="49"/>
      <c r="C444" s="52"/>
      <c r="D444" s="52"/>
      <c r="E444" s="179"/>
      <c r="F444" s="180"/>
      <c r="G444" s="67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15.75" customHeight="1" x14ac:dyDescent="0.55000000000000004">
      <c r="A445" s="51"/>
      <c r="B445" s="49"/>
      <c r="C445" s="52"/>
      <c r="D445" s="52"/>
      <c r="E445" s="179"/>
      <c r="F445" s="180"/>
      <c r="G445" s="67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15.75" customHeight="1" x14ac:dyDescent="0.55000000000000004">
      <c r="A446" s="51"/>
      <c r="B446" s="49"/>
      <c r="C446" s="52"/>
      <c r="D446" s="52"/>
      <c r="E446" s="179"/>
      <c r="F446" s="180"/>
      <c r="G446" s="67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15.75" customHeight="1" x14ac:dyDescent="0.55000000000000004">
      <c r="A447" s="51"/>
      <c r="B447" s="49"/>
      <c r="C447" s="52"/>
      <c r="D447" s="52"/>
      <c r="E447" s="179"/>
      <c r="F447" s="180"/>
      <c r="G447" s="67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15.75" customHeight="1" x14ac:dyDescent="0.55000000000000004">
      <c r="A448" s="51"/>
      <c r="B448" s="49"/>
      <c r="C448" s="52"/>
      <c r="D448" s="52"/>
      <c r="E448" s="179"/>
      <c r="F448" s="180"/>
      <c r="G448" s="67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15.75" customHeight="1" x14ac:dyDescent="0.55000000000000004">
      <c r="A449" s="51"/>
      <c r="B449" s="49"/>
      <c r="C449" s="52"/>
      <c r="D449" s="52"/>
      <c r="E449" s="179"/>
      <c r="F449" s="180"/>
      <c r="G449" s="67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15.75" customHeight="1" x14ac:dyDescent="0.55000000000000004">
      <c r="A450" s="51"/>
      <c r="B450" s="49"/>
      <c r="C450" s="52"/>
      <c r="D450" s="52"/>
      <c r="E450" s="179"/>
      <c r="F450" s="180"/>
      <c r="G450" s="67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15.75" customHeight="1" x14ac:dyDescent="0.55000000000000004">
      <c r="A451" s="51"/>
      <c r="B451" s="49"/>
      <c r="C451" s="52"/>
      <c r="D451" s="52"/>
      <c r="E451" s="179"/>
      <c r="F451" s="180"/>
      <c r="G451" s="67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15.75" customHeight="1" x14ac:dyDescent="0.55000000000000004">
      <c r="A452" s="51"/>
      <c r="B452" s="49"/>
      <c r="C452" s="52"/>
      <c r="D452" s="52"/>
      <c r="E452" s="179"/>
      <c r="F452" s="180"/>
      <c r="G452" s="67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15.75" customHeight="1" x14ac:dyDescent="0.55000000000000004">
      <c r="A453" s="51"/>
      <c r="B453" s="49"/>
      <c r="C453" s="52"/>
      <c r="D453" s="52"/>
      <c r="E453" s="179"/>
      <c r="F453" s="180"/>
      <c r="G453" s="67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15.75" customHeight="1" x14ac:dyDescent="0.55000000000000004">
      <c r="A454" s="51"/>
      <c r="B454" s="49"/>
      <c r="C454" s="52"/>
      <c r="D454" s="52"/>
      <c r="E454" s="179"/>
      <c r="F454" s="180"/>
      <c r="G454" s="67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15.75" customHeight="1" x14ac:dyDescent="0.55000000000000004">
      <c r="A455" s="51"/>
      <c r="B455" s="49"/>
      <c r="C455" s="52"/>
      <c r="D455" s="52"/>
      <c r="E455" s="179"/>
      <c r="F455" s="180"/>
      <c r="G455" s="67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15.75" customHeight="1" x14ac:dyDescent="0.55000000000000004">
      <c r="A456" s="51"/>
      <c r="B456" s="49"/>
      <c r="C456" s="52"/>
      <c r="D456" s="52"/>
      <c r="E456" s="179"/>
      <c r="F456" s="180"/>
      <c r="G456" s="67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15.75" customHeight="1" x14ac:dyDescent="0.55000000000000004">
      <c r="A457" s="51"/>
      <c r="B457" s="49"/>
      <c r="C457" s="52"/>
      <c r="D457" s="52"/>
      <c r="E457" s="179"/>
      <c r="F457" s="180"/>
      <c r="G457" s="67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15.75" customHeight="1" x14ac:dyDescent="0.55000000000000004">
      <c r="A458" s="51"/>
      <c r="B458" s="49"/>
      <c r="C458" s="52"/>
      <c r="D458" s="52"/>
      <c r="E458" s="179"/>
      <c r="F458" s="180"/>
      <c r="G458" s="67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15.75" customHeight="1" x14ac:dyDescent="0.55000000000000004">
      <c r="A459" s="51"/>
      <c r="B459" s="49"/>
      <c r="C459" s="52"/>
      <c r="D459" s="52"/>
      <c r="E459" s="179"/>
      <c r="F459" s="180"/>
      <c r="G459" s="67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15.75" customHeight="1" x14ac:dyDescent="0.55000000000000004">
      <c r="A460" s="51"/>
      <c r="B460" s="49"/>
      <c r="C460" s="52"/>
      <c r="D460" s="52"/>
      <c r="E460" s="179"/>
      <c r="F460" s="180"/>
      <c r="G460" s="67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15.75" customHeight="1" x14ac:dyDescent="0.55000000000000004">
      <c r="A461" s="51"/>
      <c r="B461" s="49"/>
      <c r="C461" s="52"/>
      <c r="D461" s="52"/>
      <c r="E461" s="179"/>
      <c r="F461" s="180"/>
      <c r="G461" s="67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15.75" customHeight="1" x14ac:dyDescent="0.55000000000000004">
      <c r="A462" s="51"/>
      <c r="B462" s="49"/>
      <c r="C462" s="52"/>
      <c r="D462" s="52"/>
      <c r="E462" s="179"/>
      <c r="F462" s="180"/>
      <c r="G462" s="67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15.75" customHeight="1" x14ac:dyDescent="0.55000000000000004">
      <c r="A463" s="51"/>
      <c r="B463" s="49"/>
      <c r="C463" s="52"/>
      <c r="D463" s="52"/>
      <c r="E463" s="179"/>
      <c r="F463" s="180"/>
      <c r="G463" s="67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15.75" customHeight="1" x14ac:dyDescent="0.55000000000000004">
      <c r="A464" s="51"/>
      <c r="B464" s="49"/>
      <c r="C464" s="52"/>
      <c r="D464" s="52"/>
      <c r="E464" s="179"/>
      <c r="F464" s="180"/>
      <c r="G464" s="67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15.75" customHeight="1" x14ac:dyDescent="0.55000000000000004">
      <c r="A465" s="51"/>
      <c r="B465" s="49"/>
      <c r="C465" s="52"/>
      <c r="D465" s="52"/>
      <c r="E465" s="179"/>
      <c r="F465" s="180"/>
      <c r="G465" s="67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15.75" customHeight="1" x14ac:dyDescent="0.55000000000000004">
      <c r="A466" s="51"/>
      <c r="B466" s="49"/>
      <c r="C466" s="52"/>
      <c r="D466" s="52"/>
      <c r="E466" s="179"/>
      <c r="F466" s="180"/>
      <c r="G466" s="67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15.75" customHeight="1" x14ac:dyDescent="0.55000000000000004">
      <c r="A467" s="51"/>
      <c r="B467" s="49"/>
      <c r="C467" s="52"/>
      <c r="D467" s="52"/>
      <c r="E467" s="179"/>
      <c r="F467" s="180"/>
      <c r="G467" s="67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15.75" customHeight="1" x14ac:dyDescent="0.55000000000000004">
      <c r="A468" s="51"/>
      <c r="B468" s="49"/>
      <c r="C468" s="52"/>
      <c r="D468" s="52"/>
      <c r="E468" s="179"/>
      <c r="F468" s="180"/>
      <c r="G468" s="67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15.75" customHeight="1" x14ac:dyDescent="0.55000000000000004">
      <c r="A469" s="51"/>
      <c r="B469" s="49"/>
      <c r="C469" s="52"/>
      <c r="D469" s="52"/>
      <c r="E469" s="179"/>
      <c r="F469" s="180"/>
      <c r="G469" s="67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15.75" customHeight="1" x14ac:dyDescent="0.55000000000000004">
      <c r="A470" s="51"/>
      <c r="B470" s="49"/>
      <c r="C470" s="52"/>
      <c r="D470" s="52"/>
      <c r="E470" s="179"/>
      <c r="F470" s="180"/>
      <c r="G470" s="67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15.75" customHeight="1" x14ac:dyDescent="0.55000000000000004">
      <c r="A471" s="51"/>
      <c r="B471" s="49"/>
      <c r="C471" s="52"/>
      <c r="D471" s="52"/>
      <c r="E471" s="179"/>
      <c r="F471" s="180"/>
      <c r="G471" s="67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15.75" customHeight="1" x14ac:dyDescent="0.55000000000000004">
      <c r="A472" s="51"/>
      <c r="B472" s="49"/>
      <c r="C472" s="52"/>
      <c r="D472" s="52"/>
      <c r="E472" s="179"/>
      <c r="F472" s="180"/>
      <c r="G472" s="67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15.75" customHeight="1" x14ac:dyDescent="0.55000000000000004">
      <c r="A473" s="51"/>
      <c r="B473" s="49"/>
      <c r="C473" s="52"/>
      <c r="D473" s="52"/>
      <c r="E473" s="179"/>
      <c r="F473" s="180"/>
      <c r="G473" s="67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15.75" customHeight="1" x14ac:dyDescent="0.55000000000000004">
      <c r="A474" s="51"/>
      <c r="B474" s="49"/>
      <c r="C474" s="52"/>
      <c r="D474" s="52"/>
      <c r="E474" s="179"/>
      <c r="F474" s="180"/>
      <c r="G474" s="67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15.75" customHeight="1" x14ac:dyDescent="0.55000000000000004">
      <c r="A475" s="51"/>
      <c r="B475" s="49"/>
      <c r="C475" s="52"/>
      <c r="D475" s="52"/>
      <c r="E475" s="179"/>
      <c r="F475" s="180"/>
      <c r="G475" s="67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15.75" customHeight="1" x14ac:dyDescent="0.55000000000000004">
      <c r="A476" s="51"/>
      <c r="B476" s="49"/>
      <c r="C476" s="52"/>
      <c r="D476" s="52"/>
      <c r="E476" s="179"/>
      <c r="F476" s="180"/>
      <c r="G476" s="67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15.75" customHeight="1" x14ac:dyDescent="0.55000000000000004">
      <c r="A477" s="51"/>
      <c r="B477" s="49"/>
      <c r="C477" s="52"/>
      <c r="D477" s="52"/>
      <c r="E477" s="179"/>
      <c r="F477" s="180"/>
      <c r="G477" s="67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15.75" customHeight="1" x14ac:dyDescent="0.55000000000000004">
      <c r="A478" s="51"/>
      <c r="B478" s="49"/>
      <c r="C478" s="52"/>
      <c r="D478" s="52"/>
      <c r="E478" s="179"/>
      <c r="F478" s="180"/>
      <c r="G478" s="67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15.75" customHeight="1" x14ac:dyDescent="0.55000000000000004">
      <c r="A479" s="51"/>
      <c r="B479" s="49"/>
      <c r="C479" s="52"/>
      <c r="D479" s="52"/>
      <c r="E479" s="179"/>
      <c r="F479" s="180"/>
      <c r="G479" s="67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15.75" customHeight="1" x14ac:dyDescent="0.55000000000000004">
      <c r="A480" s="51"/>
      <c r="B480" s="49"/>
      <c r="C480" s="52"/>
      <c r="D480" s="52"/>
      <c r="E480" s="179"/>
      <c r="F480" s="180"/>
      <c r="G480" s="67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15.75" customHeight="1" x14ac:dyDescent="0.55000000000000004">
      <c r="A481" s="51"/>
      <c r="B481" s="49"/>
      <c r="C481" s="52"/>
      <c r="D481" s="52"/>
      <c r="E481" s="179"/>
      <c r="F481" s="180"/>
      <c r="G481" s="67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15.75" customHeight="1" x14ac:dyDescent="0.55000000000000004">
      <c r="A482" s="51"/>
      <c r="B482" s="49"/>
      <c r="C482" s="52"/>
      <c r="D482" s="52"/>
      <c r="E482" s="179"/>
      <c r="F482" s="180"/>
      <c r="G482" s="67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15.75" customHeight="1" x14ac:dyDescent="0.55000000000000004">
      <c r="A483" s="51"/>
      <c r="B483" s="49"/>
      <c r="C483" s="52"/>
      <c r="D483" s="52"/>
      <c r="E483" s="179"/>
      <c r="F483" s="180"/>
      <c r="G483" s="67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15.75" customHeight="1" x14ac:dyDescent="0.55000000000000004">
      <c r="A484" s="51"/>
      <c r="B484" s="49"/>
      <c r="C484" s="52"/>
      <c r="D484" s="52"/>
      <c r="E484" s="179"/>
      <c r="F484" s="180"/>
      <c r="G484" s="67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15.75" customHeight="1" x14ac:dyDescent="0.55000000000000004">
      <c r="A485" s="51"/>
      <c r="B485" s="49"/>
      <c r="C485" s="52"/>
      <c r="D485" s="52"/>
      <c r="E485" s="179"/>
      <c r="F485" s="180"/>
      <c r="G485" s="67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15.75" customHeight="1" x14ac:dyDescent="0.55000000000000004">
      <c r="A486" s="51"/>
      <c r="B486" s="49"/>
      <c r="C486" s="52"/>
      <c r="D486" s="52"/>
      <c r="E486" s="179"/>
      <c r="F486" s="180"/>
      <c r="G486" s="67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15.75" customHeight="1" x14ac:dyDescent="0.55000000000000004">
      <c r="A487" s="51"/>
      <c r="B487" s="49"/>
      <c r="C487" s="52"/>
      <c r="D487" s="52"/>
      <c r="E487" s="179"/>
      <c r="F487" s="180"/>
      <c r="G487" s="67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15.75" customHeight="1" x14ac:dyDescent="0.55000000000000004">
      <c r="A488" s="51"/>
      <c r="B488" s="49"/>
      <c r="C488" s="52"/>
      <c r="D488" s="52"/>
      <c r="E488" s="179"/>
      <c r="F488" s="180"/>
      <c r="G488" s="67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15.75" customHeight="1" x14ac:dyDescent="0.55000000000000004">
      <c r="A489" s="51"/>
      <c r="B489" s="49"/>
      <c r="C489" s="52"/>
      <c r="D489" s="52"/>
      <c r="E489" s="179"/>
      <c r="F489" s="180"/>
      <c r="G489" s="67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15.75" customHeight="1" x14ac:dyDescent="0.55000000000000004">
      <c r="A490" s="51"/>
      <c r="B490" s="49"/>
      <c r="C490" s="52"/>
      <c r="D490" s="52"/>
      <c r="E490" s="179"/>
      <c r="F490" s="180"/>
      <c r="G490" s="67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15.75" customHeight="1" x14ac:dyDescent="0.55000000000000004">
      <c r="A491" s="51"/>
      <c r="B491" s="49"/>
      <c r="C491" s="52"/>
      <c r="D491" s="52"/>
      <c r="E491" s="179"/>
      <c r="F491" s="180"/>
      <c r="G491" s="67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15.75" customHeight="1" x14ac:dyDescent="0.55000000000000004">
      <c r="A492" s="51"/>
      <c r="B492" s="49"/>
      <c r="C492" s="52"/>
      <c r="D492" s="52"/>
      <c r="E492" s="179"/>
      <c r="F492" s="180"/>
      <c r="G492" s="67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15.75" customHeight="1" x14ac:dyDescent="0.55000000000000004">
      <c r="A493" s="51"/>
      <c r="B493" s="49"/>
      <c r="C493" s="52"/>
      <c r="D493" s="52"/>
      <c r="E493" s="179"/>
      <c r="F493" s="180"/>
      <c r="G493" s="67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15.75" customHeight="1" x14ac:dyDescent="0.55000000000000004">
      <c r="A494" s="51"/>
      <c r="B494" s="49"/>
      <c r="C494" s="52"/>
      <c r="D494" s="52"/>
      <c r="E494" s="179"/>
      <c r="F494" s="180"/>
      <c r="G494" s="67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15.75" customHeight="1" x14ac:dyDescent="0.55000000000000004">
      <c r="A495" s="51"/>
      <c r="B495" s="49"/>
      <c r="C495" s="52"/>
      <c r="D495" s="52"/>
      <c r="E495" s="179"/>
      <c r="F495" s="180"/>
      <c r="G495" s="67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15.75" customHeight="1" x14ac:dyDescent="0.55000000000000004">
      <c r="A496" s="51"/>
      <c r="B496" s="49"/>
      <c r="C496" s="52"/>
      <c r="D496" s="52"/>
      <c r="E496" s="179"/>
      <c r="F496" s="180"/>
      <c r="G496" s="67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15.75" customHeight="1" x14ac:dyDescent="0.55000000000000004">
      <c r="A497" s="51"/>
      <c r="B497" s="49"/>
      <c r="C497" s="52"/>
      <c r="D497" s="52"/>
      <c r="E497" s="179"/>
      <c r="F497" s="180"/>
      <c r="G497" s="67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15.75" customHeight="1" x14ac:dyDescent="0.55000000000000004">
      <c r="A498" s="51"/>
      <c r="B498" s="49"/>
      <c r="C498" s="52"/>
      <c r="D498" s="52"/>
      <c r="E498" s="179"/>
      <c r="F498" s="180"/>
      <c r="G498" s="67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15.75" customHeight="1" x14ac:dyDescent="0.55000000000000004">
      <c r="A499" s="51"/>
      <c r="B499" s="49"/>
      <c r="C499" s="52"/>
      <c r="D499" s="52"/>
      <c r="E499" s="179"/>
      <c r="F499" s="180"/>
      <c r="G499" s="67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15.75" customHeight="1" x14ac:dyDescent="0.55000000000000004">
      <c r="A500" s="51"/>
      <c r="B500" s="49"/>
      <c r="C500" s="52"/>
      <c r="D500" s="52"/>
      <c r="E500" s="179"/>
      <c r="F500" s="180"/>
      <c r="G500" s="67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15.75" customHeight="1" x14ac:dyDescent="0.55000000000000004">
      <c r="A501" s="51"/>
      <c r="B501" s="49"/>
      <c r="C501" s="52"/>
      <c r="D501" s="52"/>
      <c r="E501" s="179"/>
      <c r="F501" s="180"/>
      <c r="G501" s="67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15.75" customHeight="1" x14ac:dyDescent="0.55000000000000004">
      <c r="A502" s="51"/>
      <c r="B502" s="49"/>
      <c r="C502" s="52"/>
      <c r="D502" s="52"/>
      <c r="E502" s="179"/>
      <c r="F502" s="180"/>
      <c r="G502" s="67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15.75" customHeight="1" x14ac:dyDescent="0.55000000000000004">
      <c r="A503" s="51"/>
      <c r="B503" s="49"/>
      <c r="C503" s="52"/>
      <c r="D503" s="52"/>
      <c r="E503" s="179"/>
      <c r="F503" s="180"/>
      <c r="G503" s="67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15.75" customHeight="1" x14ac:dyDescent="0.55000000000000004">
      <c r="A504" s="51"/>
      <c r="B504" s="49"/>
      <c r="C504" s="52"/>
      <c r="D504" s="52"/>
      <c r="E504" s="179"/>
      <c r="F504" s="180"/>
      <c r="G504" s="67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15.75" customHeight="1" x14ac:dyDescent="0.55000000000000004">
      <c r="A505" s="51"/>
      <c r="B505" s="49"/>
      <c r="C505" s="52"/>
      <c r="D505" s="52"/>
      <c r="E505" s="179"/>
      <c r="F505" s="180"/>
      <c r="G505" s="67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15.75" customHeight="1" x14ac:dyDescent="0.55000000000000004">
      <c r="A506" s="51"/>
      <c r="B506" s="49"/>
      <c r="C506" s="52"/>
      <c r="D506" s="52"/>
      <c r="E506" s="179"/>
      <c r="F506" s="180"/>
      <c r="G506" s="67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15.75" customHeight="1" x14ac:dyDescent="0.55000000000000004">
      <c r="A507" s="51"/>
      <c r="B507" s="49"/>
      <c r="C507" s="52"/>
      <c r="D507" s="52"/>
      <c r="E507" s="179"/>
      <c r="F507" s="180"/>
      <c r="G507" s="67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15.75" customHeight="1" x14ac:dyDescent="0.55000000000000004">
      <c r="A508" s="51"/>
      <c r="B508" s="49"/>
      <c r="C508" s="52"/>
      <c r="D508" s="52"/>
      <c r="E508" s="179"/>
      <c r="F508" s="180"/>
      <c r="G508" s="67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15.75" customHeight="1" x14ac:dyDescent="0.55000000000000004">
      <c r="A509" s="51"/>
      <c r="B509" s="49"/>
      <c r="C509" s="52"/>
      <c r="D509" s="52"/>
      <c r="E509" s="179"/>
      <c r="F509" s="180"/>
      <c r="G509" s="67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15.75" customHeight="1" x14ac:dyDescent="0.55000000000000004">
      <c r="A510" s="51"/>
      <c r="B510" s="49"/>
      <c r="C510" s="52"/>
      <c r="D510" s="52"/>
      <c r="E510" s="179"/>
      <c r="F510" s="180"/>
      <c r="G510" s="67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15.75" customHeight="1" x14ac:dyDescent="0.55000000000000004">
      <c r="A511" s="51"/>
      <c r="B511" s="49"/>
      <c r="C511" s="52"/>
      <c r="D511" s="52"/>
      <c r="E511" s="179"/>
      <c r="F511" s="180"/>
      <c r="G511" s="67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15.75" customHeight="1" x14ac:dyDescent="0.55000000000000004">
      <c r="A512" s="51"/>
      <c r="B512" s="49"/>
      <c r="C512" s="52"/>
      <c r="D512" s="52"/>
      <c r="E512" s="179"/>
      <c r="F512" s="180"/>
      <c r="G512" s="67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15.75" customHeight="1" x14ac:dyDescent="0.55000000000000004">
      <c r="A513" s="51"/>
      <c r="B513" s="49"/>
      <c r="C513" s="52"/>
      <c r="D513" s="52"/>
      <c r="E513" s="179"/>
      <c r="F513" s="180"/>
      <c r="G513" s="67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15.75" customHeight="1" x14ac:dyDescent="0.55000000000000004">
      <c r="A514" s="51"/>
      <c r="B514" s="49"/>
      <c r="C514" s="52"/>
      <c r="D514" s="52"/>
      <c r="E514" s="179"/>
      <c r="F514" s="180"/>
      <c r="G514" s="67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15.75" customHeight="1" x14ac:dyDescent="0.55000000000000004">
      <c r="A515" s="51"/>
      <c r="B515" s="49"/>
      <c r="C515" s="52"/>
      <c r="D515" s="52"/>
      <c r="E515" s="179"/>
      <c r="F515" s="180"/>
      <c r="G515" s="67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15.75" customHeight="1" x14ac:dyDescent="0.55000000000000004">
      <c r="A516" s="51"/>
      <c r="B516" s="49"/>
      <c r="C516" s="52"/>
      <c r="D516" s="52"/>
      <c r="E516" s="179"/>
      <c r="F516" s="180"/>
      <c r="G516" s="67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15.75" customHeight="1" x14ac:dyDescent="0.55000000000000004">
      <c r="A517" s="51"/>
      <c r="B517" s="49"/>
      <c r="C517" s="52"/>
      <c r="D517" s="52"/>
      <c r="E517" s="179"/>
      <c r="F517" s="180"/>
      <c r="G517" s="67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15.75" customHeight="1" x14ac:dyDescent="0.55000000000000004">
      <c r="A518" s="51"/>
      <c r="B518" s="49"/>
      <c r="C518" s="52"/>
      <c r="D518" s="52"/>
      <c r="E518" s="179"/>
      <c r="F518" s="180"/>
      <c r="G518" s="67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15.75" customHeight="1" x14ac:dyDescent="0.55000000000000004">
      <c r="A519" s="51"/>
      <c r="B519" s="49"/>
      <c r="C519" s="52"/>
      <c r="D519" s="52"/>
      <c r="E519" s="179"/>
      <c r="F519" s="180"/>
      <c r="G519" s="67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15.75" customHeight="1" x14ac:dyDescent="0.55000000000000004">
      <c r="A520" s="51"/>
      <c r="B520" s="49"/>
      <c r="C520" s="52"/>
      <c r="D520" s="52"/>
      <c r="E520" s="179"/>
      <c r="F520" s="180"/>
      <c r="G520" s="67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15.75" customHeight="1" x14ac:dyDescent="0.55000000000000004">
      <c r="A521" s="51"/>
      <c r="B521" s="49"/>
      <c r="C521" s="52"/>
      <c r="D521" s="52"/>
      <c r="E521" s="179"/>
      <c r="F521" s="180"/>
      <c r="G521" s="67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15.75" customHeight="1" x14ac:dyDescent="0.55000000000000004">
      <c r="A522" s="51"/>
      <c r="B522" s="49"/>
      <c r="C522" s="52"/>
      <c r="D522" s="52"/>
      <c r="E522" s="179"/>
      <c r="F522" s="180"/>
      <c r="G522" s="67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15.75" customHeight="1" x14ac:dyDescent="0.55000000000000004">
      <c r="A523" s="51"/>
      <c r="B523" s="49"/>
      <c r="C523" s="52"/>
      <c r="D523" s="52"/>
      <c r="E523" s="179"/>
      <c r="F523" s="180"/>
      <c r="G523" s="67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15.75" customHeight="1" x14ac:dyDescent="0.55000000000000004">
      <c r="A524" s="51"/>
      <c r="B524" s="49"/>
      <c r="C524" s="52"/>
      <c r="D524" s="52"/>
      <c r="E524" s="179"/>
      <c r="F524" s="180"/>
      <c r="G524" s="67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15.75" customHeight="1" x14ac:dyDescent="0.55000000000000004">
      <c r="A525" s="51"/>
      <c r="B525" s="49"/>
      <c r="C525" s="52"/>
      <c r="D525" s="52"/>
      <c r="E525" s="179"/>
      <c r="F525" s="180"/>
      <c r="G525" s="67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15.75" customHeight="1" x14ac:dyDescent="0.55000000000000004">
      <c r="A526" s="51"/>
      <c r="B526" s="49"/>
      <c r="C526" s="52"/>
      <c r="D526" s="52"/>
      <c r="E526" s="179"/>
      <c r="F526" s="180"/>
      <c r="G526" s="67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15.75" customHeight="1" x14ac:dyDescent="0.55000000000000004">
      <c r="A527" s="51"/>
      <c r="B527" s="49"/>
      <c r="C527" s="52"/>
      <c r="D527" s="52"/>
      <c r="E527" s="179"/>
      <c r="F527" s="180"/>
      <c r="G527" s="67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15.75" customHeight="1" x14ac:dyDescent="0.55000000000000004">
      <c r="A528" s="51"/>
      <c r="B528" s="49"/>
      <c r="C528" s="52"/>
      <c r="D528" s="52"/>
      <c r="E528" s="179"/>
      <c r="F528" s="180"/>
      <c r="G528" s="67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15.75" customHeight="1" x14ac:dyDescent="0.55000000000000004">
      <c r="A529" s="51"/>
      <c r="B529" s="49"/>
      <c r="C529" s="52"/>
      <c r="D529" s="52"/>
      <c r="E529" s="179"/>
      <c r="F529" s="180"/>
      <c r="G529" s="67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15.75" customHeight="1" x14ac:dyDescent="0.55000000000000004">
      <c r="A530" s="51"/>
      <c r="B530" s="49"/>
      <c r="C530" s="52"/>
      <c r="D530" s="52"/>
      <c r="E530" s="179"/>
      <c r="F530" s="180"/>
      <c r="G530" s="67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15.75" customHeight="1" x14ac:dyDescent="0.55000000000000004">
      <c r="A531" s="51"/>
      <c r="B531" s="49"/>
      <c r="C531" s="52"/>
      <c r="D531" s="52"/>
      <c r="E531" s="179"/>
      <c r="F531" s="180"/>
      <c r="G531" s="67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15.75" customHeight="1" x14ac:dyDescent="0.55000000000000004">
      <c r="A532" s="51"/>
      <c r="B532" s="49"/>
      <c r="C532" s="52"/>
      <c r="D532" s="52"/>
      <c r="E532" s="179"/>
      <c r="F532" s="180"/>
      <c r="G532" s="67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5.75" customHeight="1" x14ac:dyDescent="0.55000000000000004">
      <c r="A533" s="51"/>
      <c r="B533" s="49"/>
      <c r="C533" s="52"/>
      <c r="D533" s="52"/>
      <c r="E533" s="179"/>
      <c r="F533" s="180"/>
      <c r="G533" s="67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5.75" customHeight="1" x14ac:dyDescent="0.55000000000000004">
      <c r="A534" s="51"/>
      <c r="B534" s="49"/>
      <c r="C534" s="52"/>
      <c r="D534" s="52"/>
      <c r="E534" s="179"/>
      <c r="F534" s="180"/>
      <c r="G534" s="67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5.75" customHeight="1" x14ac:dyDescent="0.55000000000000004">
      <c r="A535" s="51"/>
      <c r="B535" s="49"/>
      <c r="C535" s="52"/>
      <c r="D535" s="52"/>
      <c r="E535" s="179"/>
      <c r="F535" s="180"/>
      <c r="G535" s="67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5.75" customHeight="1" x14ac:dyDescent="0.55000000000000004">
      <c r="A536" s="51"/>
      <c r="B536" s="49"/>
      <c r="C536" s="52"/>
      <c r="D536" s="52"/>
      <c r="E536" s="179"/>
      <c r="F536" s="180"/>
      <c r="G536" s="67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5.75" customHeight="1" x14ac:dyDescent="0.55000000000000004">
      <c r="A537" s="51"/>
      <c r="B537" s="49"/>
      <c r="C537" s="52"/>
      <c r="D537" s="52"/>
      <c r="E537" s="179"/>
      <c r="F537" s="180"/>
      <c r="G537" s="67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5.75" customHeight="1" x14ac:dyDescent="0.55000000000000004">
      <c r="A538" s="51"/>
      <c r="B538" s="49"/>
      <c r="C538" s="52"/>
      <c r="D538" s="52"/>
      <c r="E538" s="179"/>
      <c r="F538" s="180"/>
      <c r="G538" s="67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5.75" customHeight="1" x14ac:dyDescent="0.55000000000000004">
      <c r="A539" s="51"/>
      <c r="B539" s="49"/>
      <c r="C539" s="52"/>
      <c r="D539" s="52"/>
      <c r="E539" s="179"/>
      <c r="F539" s="180"/>
      <c r="G539" s="67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5.75" customHeight="1" x14ac:dyDescent="0.55000000000000004">
      <c r="A540" s="51"/>
      <c r="B540" s="49"/>
      <c r="C540" s="52"/>
      <c r="D540" s="52"/>
      <c r="E540" s="179"/>
      <c r="F540" s="180"/>
      <c r="G540" s="67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5.75" customHeight="1" x14ac:dyDescent="0.55000000000000004">
      <c r="A541" s="51"/>
      <c r="B541" s="49"/>
      <c r="C541" s="52"/>
      <c r="D541" s="52"/>
      <c r="E541" s="179"/>
      <c r="F541" s="180"/>
      <c r="G541" s="67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5.75" customHeight="1" x14ac:dyDescent="0.55000000000000004">
      <c r="A542" s="51"/>
      <c r="B542" s="49"/>
      <c r="C542" s="52"/>
      <c r="D542" s="52"/>
      <c r="E542" s="179"/>
      <c r="F542" s="180"/>
      <c r="G542" s="67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5.75" customHeight="1" x14ac:dyDescent="0.55000000000000004">
      <c r="A543" s="51"/>
      <c r="B543" s="49"/>
      <c r="C543" s="52"/>
      <c r="D543" s="52"/>
      <c r="E543" s="179"/>
      <c r="F543" s="180"/>
      <c r="G543" s="67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5.75" customHeight="1" x14ac:dyDescent="0.55000000000000004">
      <c r="A544" s="51"/>
      <c r="B544" s="49"/>
      <c r="C544" s="52"/>
      <c r="D544" s="52"/>
      <c r="E544" s="179"/>
      <c r="F544" s="180"/>
      <c r="G544" s="67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5.75" customHeight="1" x14ac:dyDescent="0.55000000000000004">
      <c r="A545" s="51"/>
      <c r="B545" s="49"/>
      <c r="C545" s="52"/>
      <c r="D545" s="52"/>
      <c r="E545" s="179"/>
      <c r="F545" s="180"/>
      <c r="G545" s="67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5.75" customHeight="1" x14ac:dyDescent="0.55000000000000004">
      <c r="A546" s="51"/>
      <c r="B546" s="49"/>
      <c r="C546" s="52"/>
      <c r="D546" s="52"/>
      <c r="E546" s="179"/>
      <c r="F546" s="180"/>
      <c r="G546" s="67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5.75" customHeight="1" x14ac:dyDescent="0.55000000000000004">
      <c r="A547" s="51"/>
      <c r="B547" s="49"/>
      <c r="C547" s="52"/>
      <c r="D547" s="52"/>
      <c r="E547" s="179"/>
      <c r="F547" s="180"/>
      <c r="G547" s="67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5.75" customHeight="1" x14ac:dyDescent="0.55000000000000004">
      <c r="A548" s="51"/>
      <c r="B548" s="49"/>
      <c r="C548" s="52"/>
      <c r="D548" s="52"/>
      <c r="E548" s="179"/>
      <c r="F548" s="180"/>
      <c r="G548" s="67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5.75" customHeight="1" x14ac:dyDescent="0.55000000000000004">
      <c r="A549" s="51"/>
      <c r="B549" s="49"/>
      <c r="C549" s="52"/>
      <c r="D549" s="52"/>
      <c r="E549" s="179"/>
      <c r="F549" s="180"/>
      <c r="G549" s="67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5.75" customHeight="1" x14ac:dyDescent="0.55000000000000004">
      <c r="A550" s="51"/>
      <c r="B550" s="49"/>
      <c r="C550" s="52"/>
      <c r="D550" s="52"/>
      <c r="E550" s="179"/>
      <c r="F550" s="180"/>
      <c r="G550" s="67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5.75" customHeight="1" x14ac:dyDescent="0.55000000000000004">
      <c r="A551" s="51"/>
      <c r="B551" s="49"/>
      <c r="C551" s="52"/>
      <c r="D551" s="52"/>
      <c r="E551" s="179"/>
      <c r="F551" s="180"/>
      <c r="G551" s="67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5.75" customHeight="1" x14ac:dyDescent="0.55000000000000004">
      <c r="A552" s="51"/>
      <c r="B552" s="49"/>
      <c r="C552" s="52"/>
      <c r="D552" s="52"/>
      <c r="E552" s="179"/>
      <c r="F552" s="180"/>
      <c r="G552" s="67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5.75" customHeight="1" x14ac:dyDescent="0.55000000000000004">
      <c r="A553" s="51"/>
      <c r="B553" s="49"/>
      <c r="C553" s="52"/>
      <c r="D553" s="52"/>
      <c r="E553" s="179"/>
      <c r="F553" s="180"/>
      <c r="G553" s="67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5.75" customHeight="1" x14ac:dyDescent="0.55000000000000004">
      <c r="A554" s="51"/>
      <c r="B554" s="49"/>
      <c r="C554" s="52"/>
      <c r="D554" s="52"/>
      <c r="E554" s="179"/>
      <c r="F554" s="180"/>
      <c r="G554" s="67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5.75" customHeight="1" x14ac:dyDescent="0.55000000000000004">
      <c r="A555" s="51"/>
      <c r="B555" s="49"/>
      <c r="C555" s="52"/>
      <c r="D555" s="52"/>
      <c r="E555" s="179"/>
      <c r="F555" s="180"/>
      <c r="G555" s="67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5.75" customHeight="1" x14ac:dyDescent="0.55000000000000004">
      <c r="A556" s="51"/>
      <c r="B556" s="49"/>
      <c r="C556" s="52"/>
      <c r="D556" s="52"/>
      <c r="E556" s="179"/>
      <c r="F556" s="180"/>
      <c r="G556" s="67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5.75" customHeight="1" x14ac:dyDescent="0.55000000000000004">
      <c r="A557" s="51"/>
      <c r="B557" s="49"/>
      <c r="C557" s="52"/>
      <c r="D557" s="52"/>
      <c r="E557" s="179"/>
      <c r="F557" s="180"/>
      <c r="G557" s="67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5.75" customHeight="1" x14ac:dyDescent="0.55000000000000004">
      <c r="A558" s="51"/>
      <c r="B558" s="49"/>
      <c r="C558" s="52"/>
      <c r="D558" s="52"/>
      <c r="E558" s="179"/>
      <c r="F558" s="180"/>
      <c r="G558" s="67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5.75" customHeight="1" x14ac:dyDescent="0.55000000000000004">
      <c r="A559" s="51"/>
      <c r="B559" s="49"/>
      <c r="C559" s="52"/>
      <c r="D559" s="52"/>
      <c r="E559" s="179"/>
      <c r="F559" s="180"/>
      <c r="G559" s="67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5.75" customHeight="1" x14ac:dyDescent="0.55000000000000004">
      <c r="A560" s="51"/>
      <c r="B560" s="49"/>
      <c r="C560" s="52"/>
      <c r="D560" s="52"/>
      <c r="E560" s="179"/>
      <c r="F560" s="180"/>
      <c r="G560" s="67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5.75" customHeight="1" x14ac:dyDescent="0.55000000000000004">
      <c r="A561" s="51"/>
      <c r="B561" s="49"/>
      <c r="C561" s="52"/>
      <c r="D561" s="52"/>
      <c r="E561" s="179"/>
      <c r="F561" s="180"/>
      <c r="G561" s="67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5.75" customHeight="1" x14ac:dyDescent="0.55000000000000004">
      <c r="A562" s="51"/>
      <c r="B562" s="49"/>
      <c r="C562" s="52"/>
      <c r="D562" s="52"/>
      <c r="E562" s="179"/>
      <c r="F562" s="180"/>
      <c r="G562" s="67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5.75" customHeight="1" x14ac:dyDescent="0.55000000000000004">
      <c r="A563" s="51"/>
      <c r="B563" s="49"/>
      <c r="C563" s="52"/>
      <c r="D563" s="52"/>
      <c r="E563" s="179"/>
      <c r="F563" s="180"/>
      <c r="G563" s="67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5.75" customHeight="1" x14ac:dyDescent="0.55000000000000004">
      <c r="A564" s="51"/>
      <c r="B564" s="49"/>
      <c r="C564" s="52"/>
      <c r="D564" s="52"/>
      <c r="E564" s="179"/>
      <c r="F564" s="180"/>
      <c r="G564" s="67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5.75" customHeight="1" x14ac:dyDescent="0.55000000000000004">
      <c r="A565" s="51"/>
      <c r="B565" s="49"/>
      <c r="C565" s="52"/>
      <c r="D565" s="52"/>
      <c r="E565" s="179"/>
      <c r="F565" s="180"/>
      <c r="G565" s="67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5.75" customHeight="1" x14ac:dyDescent="0.55000000000000004">
      <c r="A566" s="51"/>
      <c r="B566" s="49"/>
      <c r="C566" s="52"/>
      <c r="D566" s="52"/>
      <c r="E566" s="179"/>
      <c r="F566" s="180"/>
      <c r="G566" s="67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5.75" customHeight="1" x14ac:dyDescent="0.55000000000000004">
      <c r="A567" s="51"/>
      <c r="B567" s="49"/>
      <c r="C567" s="52"/>
      <c r="D567" s="52"/>
      <c r="E567" s="179"/>
      <c r="F567" s="180"/>
      <c r="G567" s="67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5.75" customHeight="1" x14ac:dyDescent="0.55000000000000004">
      <c r="A568" s="51"/>
      <c r="B568" s="49"/>
      <c r="C568" s="52"/>
      <c r="D568" s="52"/>
      <c r="E568" s="179"/>
      <c r="F568" s="180"/>
      <c r="G568" s="67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5.75" customHeight="1" x14ac:dyDescent="0.55000000000000004">
      <c r="A569" s="51"/>
      <c r="B569" s="49"/>
      <c r="C569" s="52"/>
      <c r="D569" s="52"/>
      <c r="E569" s="179"/>
      <c r="F569" s="180"/>
      <c r="G569" s="67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5.75" customHeight="1" x14ac:dyDescent="0.55000000000000004">
      <c r="A570" s="51"/>
      <c r="B570" s="49"/>
      <c r="C570" s="52"/>
      <c r="D570" s="52"/>
      <c r="E570" s="179"/>
      <c r="F570" s="180"/>
      <c r="G570" s="67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5.75" customHeight="1" x14ac:dyDescent="0.55000000000000004">
      <c r="A571" s="51"/>
      <c r="B571" s="49"/>
      <c r="C571" s="52"/>
      <c r="D571" s="52"/>
      <c r="E571" s="179"/>
      <c r="F571" s="180"/>
      <c r="G571" s="67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5.75" customHeight="1" x14ac:dyDescent="0.55000000000000004">
      <c r="A572" s="51"/>
      <c r="B572" s="49"/>
      <c r="C572" s="52"/>
      <c r="D572" s="52"/>
      <c r="E572" s="179"/>
      <c r="F572" s="180"/>
      <c r="G572" s="67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5.75" customHeight="1" x14ac:dyDescent="0.55000000000000004">
      <c r="A573" s="51"/>
      <c r="B573" s="49"/>
      <c r="C573" s="52"/>
      <c r="D573" s="52"/>
      <c r="E573" s="179"/>
      <c r="F573" s="180"/>
      <c r="G573" s="67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5.75" customHeight="1" x14ac:dyDescent="0.55000000000000004">
      <c r="A574" s="51"/>
      <c r="B574" s="49"/>
      <c r="C574" s="52"/>
      <c r="D574" s="52"/>
      <c r="E574" s="179"/>
      <c r="F574" s="180"/>
      <c r="G574" s="67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5.75" customHeight="1" x14ac:dyDescent="0.55000000000000004">
      <c r="A575" s="51"/>
      <c r="B575" s="49"/>
      <c r="C575" s="52"/>
      <c r="D575" s="52"/>
      <c r="E575" s="179"/>
      <c r="F575" s="180"/>
      <c r="G575" s="67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5.75" customHeight="1" x14ac:dyDescent="0.55000000000000004">
      <c r="A576" s="51"/>
      <c r="B576" s="49"/>
      <c r="C576" s="52"/>
      <c r="D576" s="52"/>
      <c r="E576" s="179"/>
      <c r="F576" s="180"/>
      <c r="G576" s="67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5.75" customHeight="1" x14ac:dyDescent="0.55000000000000004">
      <c r="A577" s="51"/>
      <c r="B577" s="49"/>
      <c r="C577" s="52"/>
      <c r="D577" s="52"/>
      <c r="E577" s="179"/>
      <c r="F577" s="180"/>
      <c r="G577" s="67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5.75" customHeight="1" x14ac:dyDescent="0.55000000000000004">
      <c r="A578" s="51"/>
      <c r="B578" s="49"/>
      <c r="C578" s="52"/>
      <c r="D578" s="52"/>
      <c r="E578" s="179"/>
      <c r="F578" s="180"/>
      <c r="G578" s="67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5.75" customHeight="1" x14ac:dyDescent="0.55000000000000004">
      <c r="A579" s="51"/>
      <c r="B579" s="49"/>
      <c r="C579" s="52"/>
      <c r="D579" s="52"/>
      <c r="E579" s="179"/>
      <c r="F579" s="180"/>
      <c r="G579" s="67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5.75" customHeight="1" x14ac:dyDescent="0.55000000000000004">
      <c r="A580" s="51"/>
      <c r="B580" s="49"/>
      <c r="C580" s="52"/>
      <c r="D580" s="52"/>
      <c r="E580" s="179"/>
      <c r="F580" s="180"/>
      <c r="G580" s="67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5.75" customHeight="1" x14ac:dyDescent="0.55000000000000004">
      <c r="A581" s="51"/>
      <c r="B581" s="49"/>
      <c r="C581" s="52"/>
      <c r="D581" s="52"/>
      <c r="E581" s="179"/>
      <c r="F581" s="180"/>
      <c r="G581" s="67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5.75" customHeight="1" x14ac:dyDescent="0.55000000000000004">
      <c r="A582" s="51"/>
      <c r="B582" s="49"/>
      <c r="C582" s="52"/>
      <c r="D582" s="52"/>
      <c r="E582" s="179"/>
      <c r="F582" s="180"/>
      <c r="G582" s="67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5.75" customHeight="1" x14ac:dyDescent="0.55000000000000004">
      <c r="A583" s="51"/>
      <c r="B583" s="49"/>
      <c r="C583" s="52"/>
      <c r="D583" s="52"/>
      <c r="E583" s="179"/>
      <c r="F583" s="180"/>
      <c r="G583" s="67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5.75" customHeight="1" x14ac:dyDescent="0.55000000000000004">
      <c r="A584" s="51"/>
      <c r="B584" s="49"/>
      <c r="C584" s="52"/>
      <c r="D584" s="52"/>
      <c r="E584" s="179"/>
      <c r="F584" s="180"/>
      <c r="G584" s="67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5.75" customHeight="1" x14ac:dyDescent="0.55000000000000004">
      <c r="A585" s="51"/>
      <c r="B585" s="49"/>
      <c r="C585" s="52"/>
      <c r="D585" s="52"/>
      <c r="E585" s="179"/>
      <c r="F585" s="180"/>
      <c r="G585" s="67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5.75" customHeight="1" x14ac:dyDescent="0.55000000000000004">
      <c r="A586" s="51"/>
      <c r="B586" s="49"/>
      <c r="C586" s="52"/>
      <c r="D586" s="52"/>
      <c r="E586" s="179"/>
      <c r="F586" s="180"/>
      <c r="G586" s="67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5.75" customHeight="1" x14ac:dyDescent="0.55000000000000004">
      <c r="A587" s="51"/>
      <c r="B587" s="49"/>
      <c r="C587" s="52"/>
      <c r="D587" s="52"/>
      <c r="E587" s="179"/>
      <c r="F587" s="180"/>
      <c r="G587" s="67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5.75" customHeight="1" x14ac:dyDescent="0.55000000000000004">
      <c r="A588" s="51"/>
      <c r="B588" s="49"/>
      <c r="C588" s="52"/>
      <c r="D588" s="52"/>
      <c r="E588" s="179"/>
      <c r="F588" s="180"/>
      <c r="G588" s="67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5.75" customHeight="1" x14ac:dyDescent="0.55000000000000004">
      <c r="A589" s="51"/>
      <c r="B589" s="49"/>
      <c r="C589" s="52"/>
      <c r="D589" s="52"/>
      <c r="E589" s="179"/>
      <c r="F589" s="180"/>
      <c r="G589" s="67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5.75" customHeight="1" x14ac:dyDescent="0.55000000000000004">
      <c r="A590" s="51"/>
      <c r="B590" s="49"/>
      <c r="C590" s="52"/>
      <c r="D590" s="52"/>
      <c r="E590" s="179"/>
      <c r="F590" s="180"/>
      <c r="G590" s="67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5.75" customHeight="1" x14ac:dyDescent="0.55000000000000004">
      <c r="A591" s="51"/>
      <c r="B591" s="49"/>
      <c r="C591" s="52"/>
      <c r="D591" s="52"/>
      <c r="E591" s="179"/>
      <c r="F591" s="180"/>
      <c r="G591" s="67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5.75" customHeight="1" x14ac:dyDescent="0.55000000000000004">
      <c r="A592" s="51"/>
      <c r="B592" s="49"/>
      <c r="C592" s="52"/>
      <c r="D592" s="52"/>
      <c r="E592" s="179"/>
      <c r="F592" s="180"/>
      <c r="G592" s="67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5.75" customHeight="1" x14ac:dyDescent="0.55000000000000004">
      <c r="A593" s="51"/>
      <c r="B593" s="49"/>
      <c r="C593" s="52"/>
      <c r="D593" s="52"/>
      <c r="E593" s="179"/>
      <c r="F593" s="180"/>
      <c r="G593" s="67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5.75" customHeight="1" x14ac:dyDescent="0.55000000000000004">
      <c r="A594" s="51"/>
      <c r="B594" s="49"/>
      <c r="C594" s="52"/>
      <c r="D594" s="52"/>
      <c r="E594" s="179"/>
      <c r="F594" s="180"/>
      <c r="G594" s="67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5.75" customHeight="1" x14ac:dyDescent="0.55000000000000004">
      <c r="A595" s="51"/>
      <c r="B595" s="49"/>
      <c r="C595" s="52"/>
      <c r="D595" s="52"/>
      <c r="E595" s="179"/>
      <c r="F595" s="180"/>
      <c r="G595" s="67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5.75" customHeight="1" x14ac:dyDescent="0.55000000000000004">
      <c r="A596" s="51"/>
      <c r="B596" s="49"/>
      <c r="C596" s="52"/>
      <c r="D596" s="52"/>
      <c r="E596" s="179"/>
      <c r="F596" s="180"/>
      <c r="G596" s="67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5.75" customHeight="1" x14ac:dyDescent="0.55000000000000004">
      <c r="A597" s="51"/>
      <c r="B597" s="49"/>
      <c r="C597" s="52"/>
      <c r="D597" s="52"/>
      <c r="E597" s="179"/>
      <c r="F597" s="180"/>
      <c r="G597" s="67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5.75" customHeight="1" x14ac:dyDescent="0.55000000000000004">
      <c r="A598" s="51"/>
      <c r="B598" s="49"/>
      <c r="C598" s="52"/>
      <c r="D598" s="52"/>
      <c r="E598" s="179"/>
      <c r="F598" s="180"/>
      <c r="G598" s="67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5.75" customHeight="1" x14ac:dyDescent="0.55000000000000004">
      <c r="A599" s="51"/>
      <c r="B599" s="49"/>
      <c r="C599" s="52"/>
      <c r="D599" s="52"/>
      <c r="E599" s="179"/>
      <c r="F599" s="180"/>
      <c r="G599" s="67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5.75" customHeight="1" x14ac:dyDescent="0.55000000000000004">
      <c r="A600" s="51"/>
      <c r="B600" s="49"/>
      <c r="C600" s="52"/>
      <c r="D600" s="52"/>
      <c r="E600" s="179"/>
      <c r="F600" s="180"/>
      <c r="G600" s="67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5.75" customHeight="1" x14ac:dyDescent="0.55000000000000004">
      <c r="A601" s="51"/>
      <c r="B601" s="49"/>
      <c r="C601" s="52"/>
      <c r="D601" s="52"/>
      <c r="E601" s="179"/>
      <c r="F601" s="180"/>
      <c r="G601" s="67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5.75" customHeight="1" x14ac:dyDescent="0.55000000000000004">
      <c r="A602" s="51"/>
      <c r="B602" s="49"/>
      <c r="C602" s="52"/>
      <c r="D602" s="52"/>
      <c r="E602" s="179"/>
      <c r="F602" s="180"/>
      <c r="G602" s="67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5.75" customHeight="1" x14ac:dyDescent="0.55000000000000004">
      <c r="A603" s="51"/>
      <c r="B603" s="49"/>
      <c r="C603" s="52"/>
      <c r="D603" s="52"/>
      <c r="E603" s="179"/>
      <c r="F603" s="180"/>
      <c r="G603" s="67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5.75" customHeight="1" x14ac:dyDescent="0.55000000000000004">
      <c r="A604" s="51"/>
      <c r="B604" s="49"/>
      <c r="C604" s="52"/>
      <c r="D604" s="52"/>
      <c r="E604" s="179"/>
      <c r="F604" s="180"/>
      <c r="G604" s="67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5.75" customHeight="1" x14ac:dyDescent="0.55000000000000004">
      <c r="A605" s="51"/>
      <c r="B605" s="49"/>
      <c r="C605" s="52"/>
      <c r="D605" s="52"/>
      <c r="E605" s="179"/>
      <c r="F605" s="180"/>
      <c r="G605" s="67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5.75" customHeight="1" x14ac:dyDescent="0.55000000000000004">
      <c r="A606" s="51"/>
      <c r="B606" s="49"/>
      <c r="C606" s="52"/>
      <c r="D606" s="52"/>
      <c r="E606" s="179"/>
      <c r="F606" s="180"/>
      <c r="G606" s="67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5.75" customHeight="1" x14ac:dyDescent="0.55000000000000004">
      <c r="A607" s="51"/>
      <c r="B607" s="49"/>
      <c r="C607" s="52"/>
      <c r="D607" s="52"/>
      <c r="E607" s="179"/>
      <c r="F607" s="180"/>
      <c r="G607" s="67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5.75" customHeight="1" x14ac:dyDescent="0.55000000000000004">
      <c r="A608" s="51"/>
      <c r="B608" s="49"/>
      <c r="C608" s="52"/>
      <c r="D608" s="52"/>
      <c r="E608" s="179"/>
      <c r="F608" s="180"/>
      <c r="G608" s="67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5.75" customHeight="1" x14ac:dyDescent="0.55000000000000004">
      <c r="A609" s="51"/>
      <c r="B609" s="49"/>
      <c r="C609" s="52"/>
      <c r="D609" s="52"/>
      <c r="E609" s="179"/>
      <c r="F609" s="180"/>
      <c r="G609" s="67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5.75" customHeight="1" x14ac:dyDescent="0.55000000000000004">
      <c r="A610" s="51"/>
      <c r="B610" s="49"/>
      <c r="C610" s="52"/>
      <c r="D610" s="52"/>
      <c r="E610" s="179"/>
      <c r="F610" s="180"/>
      <c r="G610" s="67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5.75" customHeight="1" x14ac:dyDescent="0.55000000000000004">
      <c r="A611" s="51"/>
      <c r="B611" s="49"/>
      <c r="C611" s="52"/>
      <c r="D611" s="52"/>
      <c r="E611" s="179"/>
      <c r="F611" s="180"/>
      <c r="G611" s="67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5.75" customHeight="1" x14ac:dyDescent="0.55000000000000004">
      <c r="A612" s="51"/>
      <c r="B612" s="49"/>
      <c r="C612" s="52"/>
      <c r="D612" s="52"/>
      <c r="E612" s="179"/>
      <c r="F612" s="180"/>
      <c r="G612" s="67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5.75" customHeight="1" x14ac:dyDescent="0.55000000000000004">
      <c r="A613" s="51"/>
      <c r="B613" s="49"/>
      <c r="C613" s="52"/>
      <c r="D613" s="52"/>
      <c r="E613" s="179"/>
      <c r="F613" s="180"/>
      <c r="G613" s="67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5.75" customHeight="1" x14ac:dyDescent="0.55000000000000004">
      <c r="A614" s="51"/>
      <c r="B614" s="49"/>
      <c r="C614" s="52"/>
      <c r="D614" s="52"/>
      <c r="E614" s="179"/>
      <c r="F614" s="180"/>
      <c r="G614" s="67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5.75" customHeight="1" x14ac:dyDescent="0.55000000000000004">
      <c r="A615" s="51"/>
      <c r="B615" s="49"/>
      <c r="C615" s="52"/>
      <c r="D615" s="52"/>
      <c r="E615" s="179"/>
      <c r="F615" s="180"/>
      <c r="G615" s="67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5.75" customHeight="1" x14ac:dyDescent="0.55000000000000004">
      <c r="A616" s="51"/>
      <c r="B616" s="49"/>
      <c r="C616" s="52"/>
      <c r="D616" s="52"/>
      <c r="E616" s="179"/>
      <c r="F616" s="180"/>
      <c r="G616" s="67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5.75" customHeight="1" x14ac:dyDescent="0.55000000000000004">
      <c r="A617" s="51"/>
      <c r="B617" s="49"/>
      <c r="C617" s="52"/>
      <c r="D617" s="52"/>
      <c r="E617" s="179"/>
      <c r="F617" s="180"/>
      <c r="G617" s="67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5.75" customHeight="1" x14ac:dyDescent="0.55000000000000004">
      <c r="A618" s="51"/>
      <c r="B618" s="49"/>
      <c r="C618" s="52"/>
      <c r="D618" s="52"/>
      <c r="E618" s="179"/>
      <c r="F618" s="180"/>
      <c r="G618" s="67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5.75" customHeight="1" x14ac:dyDescent="0.55000000000000004">
      <c r="A619" s="51"/>
      <c r="B619" s="49"/>
      <c r="C619" s="52"/>
      <c r="D619" s="52"/>
      <c r="E619" s="179"/>
      <c r="F619" s="180"/>
      <c r="G619" s="67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5.75" customHeight="1" x14ac:dyDescent="0.55000000000000004">
      <c r="A620" s="51"/>
      <c r="B620" s="49"/>
      <c r="C620" s="52"/>
      <c r="D620" s="52"/>
      <c r="E620" s="179"/>
      <c r="F620" s="180"/>
      <c r="G620" s="67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5.75" customHeight="1" x14ac:dyDescent="0.55000000000000004">
      <c r="A621" s="51"/>
      <c r="B621" s="49"/>
      <c r="C621" s="52"/>
      <c r="D621" s="52"/>
      <c r="E621" s="179"/>
      <c r="F621" s="180"/>
      <c r="G621" s="67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5.75" customHeight="1" x14ac:dyDescent="0.55000000000000004">
      <c r="A622" s="51"/>
      <c r="B622" s="49"/>
      <c r="C622" s="52"/>
      <c r="D622" s="52"/>
      <c r="E622" s="179"/>
      <c r="F622" s="180"/>
      <c r="G622" s="67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5.75" customHeight="1" x14ac:dyDescent="0.55000000000000004">
      <c r="A623" s="51"/>
      <c r="B623" s="49"/>
      <c r="C623" s="52"/>
      <c r="D623" s="52"/>
      <c r="E623" s="179"/>
      <c r="F623" s="180"/>
      <c r="G623" s="67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5.75" customHeight="1" x14ac:dyDescent="0.55000000000000004">
      <c r="A624" s="51"/>
      <c r="B624" s="49"/>
      <c r="C624" s="52"/>
      <c r="D624" s="52"/>
      <c r="E624" s="179"/>
      <c r="F624" s="180"/>
      <c r="G624" s="67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5.75" customHeight="1" x14ac:dyDescent="0.55000000000000004">
      <c r="A625" s="51"/>
      <c r="B625" s="49"/>
      <c r="C625" s="52"/>
      <c r="D625" s="52"/>
      <c r="E625" s="179"/>
      <c r="F625" s="180"/>
      <c r="G625" s="67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5.75" customHeight="1" x14ac:dyDescent="0.55000000000000004">
      <c r="A626" s="51"/>
      <c r="B626" s="49"/>
      <c r="C626" s="52"/>
      <c r="D626" s="52"/>
      <c r="E626" s="179"/>
      <c r="F626" s="180"/>
      <c r="G626" s="67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5.75" customHeight="1" x14ac:dyDescent="0.55000000000000004">
      <c r="A627" s="51"/>
      <c r="B627" s="49"/>
      <c r="C627" s="52"/>
      <c r="D627" s="52"/>
      <c r="E627" s="179"/>
      <c r="F627" s="180"/>
      <c r="G627" s="67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5.75" customHeight="1" x14ac:dyDescent="0.55000000000000004">
      <c r="A628" s="51"/>
      <c r="B628" s="49"/>
      <c r="C628" s="52"/>
      <c r="D628" s="52"/>
      <c r="E628" s="179"/>
      <c r="F628" s="180"/>
      <c r="G628" s="67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5.75" customHeight="1" x14ac:dyDescent="0.55000000000000004">
      <c r="A629" s="51"/>
      <c r="B629" s="49"/>
      <c r="C629" s="52"/>
      <c r="D629" s="52"/>
      <c r="E629" s="179"/>
      <c r="F629" s="180"/>
      <c r="G629" s="67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5.75" customHeight="1" x14ac:dyDescent="0.55000000000000004">
      <c r="A630" s="51"/>
      <c r="B630" s="49"/>
      <c r="C630" s="52"/>
      <c r="D630" s="52"/>
      <c r="E630" s="179"/>
      <c r="F630" s="180"/>
      <c r="G630" s="67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5.75" customHeight="1" x14ac:dyDescent="0.55000000000000004">
      <c r="A631" s="51"/>
      <c r="B631" s="49"/>
      <c r="C631" s="52"/>
      <c r="D631" s="52"/>
      <c r="E631" s="179"/>
      <c r="F631" s="180"/>
      <c r="G631" s="67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5.75" customHeight="1" x14ac:dyDescent="0.55000000000000004">
      <c r="A632" s="51"/>
      <c r="B632" s="49"/>
      <c r="C632" s="52"/>
      <c r="D632" s="52"/>
      <c r="E632" s="179"/>
      <c r="F632" s="180"/>
      <c r="G632" s="67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5.75" customHeight="1" x14ac:dyDescent="0.55000000000000004">
      <c r="A633" s="51"/>
      <c r="B633" s="49"/>
      <c r="C633" s="52"/>
      <c r="D633" s="52"/>
      <c r="E633" s="179"/>
      <c r="F633" s="180"/>
      <c r="G633" s="67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5.75" customHeight="1" x14ac:dyDescent="0.55000000000000004">
      <c r="A634" s="51"/>
      <c r="B634" s="49"/>
      <c r="C634" s="52"/>
      <c r="D634" s="52"/>
      <c r="E634" s="179"/>
      <c r="F634" s="180"/>
      <c r="G634" s="67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5.75" customHeight="1" x14ac:dyDescent="0.55000000000000004">
      <c r="A635" s="51"/>
      <c r="B635" s="49"/>
      <c r="C635" s="52"/>
      <c r="D635" s="52"/>
      <c r="E635" s="179"/>
      <c r="F635" s="180"/>
      <c r="G635" s="67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5.75" customHeight="1" x14ac:dyDescent="0.55000000000000004">
      <c r="A636" s="51"/>
      <c r="B636" s="49"/>
      <c r="C636" s="52"/>
      <c r="D636" s="52"/>
      <c r="E636" s="179"/>
      <c r="F636" s="180"/>
      <c r="G636" s="67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5.75" customHeight="1" x14ac:dyDescent="0.55000000000000004">
      <c r="A637" s="51"/>
      <c r="B637" s="49"/>
      <c r="C637" s="52"/>
      <c r="D637" s="52"/>
      <c r="E637" s="179"/>
      <c r="F637" s="180"/>
      <c r="G637" s="67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5.75" customHeight="1" x14ac:dyDescent="0.55000000000000004">
      <c r="A638" s="51"/>
      <c r="B638" s="49"/>
      <c r="C638" s="52"/>
      <c r="D638" s="52"/>
      <c r="E638" s="179"/>
      <c r="F638" s="180"/>
      <c r="G638" s="67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5.75" customHeight="1" x14ac:dyDescent="0.55000000000000004">
      <c r="A639" s="51"/>
      <c r="B639" s="49"/>
      <c r="C639" s="52"/>
      <c r="D639" s="52"/>
      <c r="E639" s="179"/>
      <c r="F639" s="180"/>
      <c r="G639" s="67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5.75" customHeight="1" x14ac:dyDescent="0.55000000000000004">
      <c r="A640" s="51"/>
      <c r="B640" s="49"/>
      <c r="C640" s="52"/>
      <c r="D640" s="52"/>
      <c r="E640" s="179"/>
      <c r="F640" s="180"/>
      <c r="G640" s="67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5.75" customHeight="1" x14ac:dyDescent="0.55000000000000004">
      <c r="A641" s="51"/>
      <c r="B641" s="49"/>
      <c r="C641" s="52"/>
      <c r="D641" s="52"/>
      <c r="E641" s="179"/>
      <c r="F641" s="180"/>
      <c r="G641" s="67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5.75" customHeight="1" x14ac:dyDescent="0.55000000000000004">
      <c r="A642" s="51"/>
      <c r="B642" s="49"/>
      <c r="C642" s="52"/>
      <c r="D642" s="52"/>
      <c r="E642" s="179"/>
      <c r="F642" s="180"/>
      <c r="G642" s="67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5.75" customHeight="1" x14ac:dyDescent="0.55000000000000004">
      <c r="A643" s="51"/>
      <c r="B643" s="49"/>
      <c r="C643" s="52"/>
      <c r="D643" s="52"/>
      <c r="E643" s="179"/>
      <c r="F643" s="180"/>
      <c r="G643" s="67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5.75" customHeight="1" x14ac:dyDescent="0.55000000000000004">
      <c r="A644" s="51"/>
      <c r="B644" s="49"/>
      <c r="C644" s="52"/>
      <c r="D644" s="52"/>
      <c r="E644" s="179"/>
      <c r="F644" s="180"/>
      <c r="G644" s="67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5.75" customHeight="1" x14ac:dyDescent="0.55000000000000004">
      <c r="A645" s="51"/>
      <c r="B645" s="49"/>
      <c r="C645" s="52"/>
      <c r="D645" s="52"/>
      <c r="E645" s="179"/>
      <c r="F645" s="180"/>
      <c r="G645" s="67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5.75" customHeight="1" x14ac:dyDescent="0.55000000000000004">
      <c r="A646" s="51"/>
      <c r="B646" s="49"/>
      <c r="C646" s="52"/>
      <c r="D646" s="52"/>
      <c r="E646" s="179"/>
      <c r="F646" s="180"/>
      <c r="G646" s="67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5.75" customHeight="1" x14ac:dyDescent="0.55000000000000004">
      <c r="A647" s="51"/>
      <c r="B647" s="49"/>
      <c r="C647" s="52"/>
      <c r="D647" s="52"/>
      <c r="E647" s="179"/>
      <c r="F647" s="180"/>
      <c r="G647" s="67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5.75" customHeight="1" x14ac:dyDescent="0.55000000000000004">
      <c r="A648" s="51"/>
      <c r="B648" s="49"/>
      <c r="C648" s="52"/>
      <c r="D648" s="52"/>
      <c r="E648" s="179"/>
      <c r="F648" s="180"/>
      <c r="G648" s="67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5.75" customHeight="1" x14ac:dyDescent="0.55000000000000004">
      <c r="A649" s="51"/>
      <c r="B649" s="49"/>
      <c r="C649" s="52"/>
      <c r="D649" s="52"/>
      <c r="E649" s="179"/>
      <c r="F649" s="180"/>
      <c r="G649" s="67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5.75" customHeight="1" x14ac:dyDescent="0.55000000000000004">
      <c r="A650" s="51"/>
      <c r="B650" s="49"/>
      <c r="C650" s="52"/>
      <c r="D650" s="52"/>
      <c r="E650" s="179"/>
      <c r="F650" s="180"/>
      <c r="G650" s="67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5.75" customHeight="1" x14ac:dyDescent="0.55000000000000004">
      <c r="A651" s="51"/>
      <c r="B651" s="49"/>
      <c r="C651" s="52"/>
      <c r="D651" s="52"/>
      <c r="E651" s="179"/>
      <c r="F651" s="180"/>
      <c r="G651" s="67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5.75" customHeight="1" x14ac:dyDescent="0.55000000000000004">
      <c r="A652" s="51"/>
      <c r="B652" s="49"/>
      <c r="C652" s="52"/>
      <c r="D652" s="52"/>
      <c r="E652" s="179"/>
      <c r="F652" s="180"/>
      <c r="G652" s="67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5.75" customHeight="1" x14ac:dyDescent="0.55000000000000004">
      <c r="A653" s="51"/>
      <c r="B653" s="49"/>
      <c r="C653" s="52"/>
      <c r="D653" s="52"/>
      <c r="E653" s="179"/>
      <c r="F653" s="180"/>
      <c r="G653" s="67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5.75" customHeight="1" x14ac:dyDescent="0.55000000000000004">
      <c r="A654" s="51"/>
      <c r="B654" s="49"/>
      <c r="C654" s="52"/>
      <c r="D654" s="52"/>
      <c r="E654" s="179"/>
      <c r="F654" s="180"/>
      <c r="G654" s="67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5.75" customHeight="1" x14ac:dyDescent="0.55000000000000004">
      <c r="A655" s="51"/>
      <c r="B655" s="49"/>
      <c r="C655" s="52"/>
      <c r="D655" s="52"/>
      <c r="E655" s="179"/>
      <c r="F655" s="180"/>
      <c r="G655" s="67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5.75" customHeight="1" x14ac:dyDescent="0.55000000000000004">
      <c r="A656" s="51"/>
      <c r="B656" s="49"/>
      <c r="C656" s="52"/>
      <c r="D656" s="52"/>
      <c r="E656" s="179"/>
      <c r="F656" s="180"/>
      <c r="G656" s="67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5.75" customHeight="1" x14ac:dyDescent="0.55000000000000004">
      <c r="A657" s="51"/>
      <c r="B657" s="49"/>
      <c r="C657" s="52"/>
      <c r="D657" s="52"/>
      <c r="E657" s="179"/>
      <c r="F657" s="180"/>
      <c r="G657" s="67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5.75" customHeight="1" x14ac:dyDescent="0.55000000000000004">
      <c r="A658" s="51"/>
      <c r="B658" s="49"/>
      <c r="C658" s="52"/>
      <c r="D658" s="52"/>
      <c r="E658" s="179"/>
      <c r="F658" s="180"/>
      <c r="G658" s="67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5.75" customHeight="1" x14ac:dyDescent="0.55000000000000004">
      <c r="A659" s="51"/>
      <c r="B659" s="49"/>
      <c r="C659" s="52"/>
      <c r="D659" s="52"/>
      <c r="E659" s="179"/>
      <c r="F659" s="180"/>
      <c r="G659" s="67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5.75" customHeight="1" x14ac:dyDescent="0.55000000000000004">
      <c r="A660" s="51"/>
      <c r="B660" s="49"/>
      <c r="C660" s="52"/>
      <c r="D660" s="52"/>
      <c r="E660" s="179"/>
      <c r="F660" s="180"/>
      <c r="G660" s="67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5.75" customHeight="1" x14ac:dyDescent="0.55000000000000004">
      <c r="A661" s="51"/>
      <c r="B661" s="49"/>
      <c r="C661" s="52"/>
      <c r="D661" s="52"/>
      <c r="E661" s="179"/>
      <c r="F661" s="180"/>
      <c r="G661" s="67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5.75" customHeight="1" x14ac:dyDescent="0.55000000000000004">
      <c r="A662" s="51"/>
      <c r="B662" s="49"/>
      <c r="C662" s="52"/>
      <c r="D662" s="52"/>
      <c r="E662" s="179"/>
      <c r="F662" s="180"/>
      <c r="G662" s="67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5.75" customHeight="1" x14ac:dyDescent="0.55000000000000004">
      <c r="A663" s="51"/>
      <c r="B663" s="49"/>
      <c r="C663" s="52"/>
      <c r="D663" s="52"/>
      <c r="E663" s="179"/>
      <c r="F663" s="180"/>
      <c r="G663" s="67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5.75" customHeight="1" x14ac:dyDescent="0.55000000000000004">
      <c r="A664" s="51"/>
      <c r="B664" s="49"/>
      <c r="C664" s="52"/>
      <c r="D664" s="52"/>
      <c r="E664" s="179"/>
      <c r="F664" s="180"/>
      <c r="G664" s="67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5.75" customHeight="1" x14ac:dyDescent="0.55000000000000004">
      <c r="A665" s="51"/>
      <c r="B665" s="49"/>
      <c r="C665" s="52"/>
      <c r="D665" s="52"/>
      <c r="E665" s="179"/>
      <c r="F665" s="180"/>
      <c r="G665" s="67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5.75" customHeight="1" x14ac:dyDescent="0.55000000000000004">
      <c r="A666" s="51"/>
      <c r="B666" s="49"/>
      <c r="C666" s="52"/>
      <c r="D666" s="52"/>
      <c r="E666" s="179"/>
      <c r="F666" s="180"/>
      <c r="G666" s="67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5.75" customHeight="1" x14ac:dyDescent="0.55000000000000004">
      <c r="A667" s="51"/>
      <c r="B667" s="49"/>
      <c r="C667" s="52"/>
      <c r="D667" s="52"/>
      <c r="E667" s="179"/>
      <c r="F667" s="180"/>
      <c r="G667" s="67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5.75" customHeight="1" x14ac:dyDescent="0.55000000000000004">
      <c r="A668" s="51"/>
      <c r="B668" s="49"/>
      <c r="C668" s="52"/>
      <c r="D668" s="52"/>
      <c r="E668" s="179"/>
      <c r="F668" s="180"/>
      <c r="G668" s="67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5.75" customHeight="1" x14ac:dyDescent="0.55000000000000004">
      <c r="A669" s="51"/>
      <c r="B669" s="49"/>
      <c r="C669" s="52"/>
      <c r="D669" s="52"/>
      <c r="E669" s="179"/>
      <c r="F669" s="180"/>
      <c r="G669" s="67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5.75" customHeight="1" x14ac:dyDescent="0.55000000000000004">
      <c r="A670" s="51"/>
      <c r="B670" s="49"/>
      <c r="C670" s="52"/>
      <c r="D670" s="52"/>
      <c r="E670" s="179"/>
      <c r="F670" s="180"/>
      <c r="G670" s="67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5.75" customHeight="1" x14ac:dyDescent="0.55000000000000004">
      <c r="A671" s="51"/>
      <c r="B671" s="49"/>
      <c r="C671" s="52"/>
      <c r="D671" s="52"/>
      <c r="E671" s="179"/>
      <c r="F671" s="180"/>
      <c r="G671" s="67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5.75" customHeight="1" x14ac:dyDescent="0.55000000000000004">
      <c r="A672" s="51"/>
      <c r="B672" s="49"/>
      <c r="C672" s="52"/>
      <c r="D672" s="52"/>
      <c r="E672" s="179"/>
      <c r="F672" s="180"/>
      <c r="G672" s="67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5.75" customHeight="1" x14ac:dyDescent="0.55000000000000004">
      <c r="A673" s="51"/>
      <c r="B673" s="49"/>
      <c r="C673" s="52"/>
      <c r="D673" s="52"/>
      <c r="E673" s="179"/>
      <c r="F673" s="180"/>
      <c r="G673" s="67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5.75" customHeight="1" x14ac:dyDescent="0.55000000000000004">
      <c r="A674" s="51"/>
      <c r="B674" s="49"/>
      <c r="C674" s="52"/>
      <c r="D674" s="52"/>
      <c r="E674" s="179"/>
      <c r="F674" s="180"/>
      <c r="G674" s="67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5.75" customHeight="1" x14ac:dyDescent="0.55000000000000004">
      <c r="A675" s="51"/>
      <c r="B675" s="49"/>
      <c r="C675" s="52"/>
      <c r="D675" s="52"/>
      <c r="E675" s="179"/>
      <c r="F675" s="180"/>
      <c r="G675" s="67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5.75" customHeight="1" x14ac:dyDescent="0.55000000000000004">
      <c r="A676" s="51"/>
      <c r="B676" s="49"/>
      <c r="C676" s="52"/>
      <c r="D676" s="52"/>
      <c r="E676" s="179"/>
      <c r="F676" s="180"/>
      <c r="G676" s="67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5.75" customHeight="1" x14ac:dyDescent="0.55000000000000004">
      <c r="A677" s="51"/>
      <c r="B677" s="49"/>
      <c r="C677" s="52"/>
      <c r="D677" s="52"/>
      <c r="E677" s="179"/>
      <c r="F677" s="180"/>
      <c r="G677" s="67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5.75" customHeight="1" x14ac:dyDescent="0.55000000000000004">
      <c r="A678" s="51"/>
      <c r="B678" s="49"/>
      <c r="C678" s="52"/>
      <c r="D678" s="52"/>
      <c r="E678" s="179"/>
      <c r="F678" s="180"/>
      <c r="G678" s="67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5.75" customHeight="1" x14ac:dyDescent="0.55000000000000004">
      <c r="A679" s="51"/>
      <c r="B679" s="49"/>
      <c r="C679" s="52"/>
      <c r="D679" s="52"/>
      <c r="E679" s="179"/>
      <c r="F679" s="180"/>
      <c r="G679" s="67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5.75" customHeight="1" x14ac:dyDescent="0.55000000000000004">
      <c r="A680" s="51"/>
      <c r="B680" s="49"/>
      <c r="C680" s="52"/>
      <c r="D680" s="52"/>
      <c r="E680" s="179"/>
      <c r="F680" s="180"/>
      <c r="G680" s="67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5.75" customHeight="1" x14ac:dyDescent="0.55000000000000004">
      <c r="A681" s="51"/>
      <c r="B681" s="49"/>
      <c r="C681" s="52"/>
      <c r="D681" s="52"/>
      <c r="E681" s="179"/>
      <c r="F681" s="180"/>
      <c r="G681" s="67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5.75" customHeight="1" x14ac:dyDescent="0.55000000000000004">
      <c r="A682" s="51"/>
      <c r="B682" s="49"/>
      <c r="C682" s="52"/>
      <c r="D682" s="52"/>
      <c r="E682" s="179"/>
      <c r="F682" s="180"/>
      <c r="G682" s="67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5.75" customHeight="1" x14ac:dyDescent="0.55000000000000004">
      <c r="A683" s="51"/>
      <c r="B683" s="49"/>
      <c r="C683" s="52"/>
      <c r="D683" s="52"/>
      <c r="E683" s="179"/>
      <c r="F683" s="180"/>
      <c r="G683" s="67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5.75" customHeight="1" x14ac:dyDescent="0.55000000000000004">
      <c r="A684" s="51"/>
      <c r="B684" s="49"/>
      <c r="C684" s="52"/>
      <c r="D684" s="52"/>
      <c r="E684" s="179"/>
      <c r="F684" s="180"/>
      <c r="G684" s="67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5.75" customHeight="1" x14ac:dyDescent="0.55000000000000004">
      <c r="A685" s="51"/>
      <c r="B685" s="49"/>
      <c r="C685" s="52"/>
      <c r="D685" s="52"/>
      <c r="E685" s="179"/>
      <c r="F685" s="180"/>
      <c r="G685" s="67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5.75" customHeight="1" x14ac:dyDescent="0.55000000000000004">
      <c r="A686" s="51"/>
      <c r="B686" s="49"/>
      <c r="C686" s="52"/>
      <c r="D686" s="52"/>
      <c r="E686" s="179"/>
      <c r="F686" s="180"/>
      <c r="G686" s="67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5.75" customHeight="1" x14ac:dyDescent="0.55000000000000004">
      <c r="A687" s="51"/>
      <c r="B687" s="49"/>
      <c r="C687" s="52"/>
      <c r="D687" s="52"/>
      <c r="E687" s="179"/>
      <c r="F687" s="180"/>
      <c r="G687" s="67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5.75" customHeight="1" x14ac:dyDescent="0.55000000000000004">
      <c r="A688" s="51"/>
      <c r="B688" s="49"/>
      <c r="C688" s="52"/>
      <c r="D688" s="52"/>
      <c r="E688" s="179"/>
      <c r="F688" s="180"/>
      <c r="G688" s="67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5.75" customHeight="1" x14ac:dyDescent="0.55000000000000004">
      <c r="A689" s="51"/>
      <c r="B689" s="49"/>
      <c r="C689" s="52"/>
      <c r="D689" s="52"/>
      <c r="E689" s="179"/>
      <c r="F689" s="180"/>
      <c r="G689" s="67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5.75" customHeight="1" x14ac:dyDescent="0.55000000000000004">
      <c r="A690" s="51"/>
      <c r="B690" s="49"/>
      <c r="C690" s="52"/>
      <c r="D690" s="52"/>
      <c r="E690" s="179"/>
      <c r="F690" s="180"/>
      <c r="G690" s="67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5.75" customHeight="1" x14ac:dyDescent="0.55000000000000004">
      <c r="A691" s="51"/>
      <c r="B691" s="49"/>
      <c r="C691" s="52"/>
      <c r="D691" s="52"/>
      <c r="E691" s="179"/>
      <c r="F691" s="180"/>
      <c r="G691" s="67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5.75" customHeight="1" x14ac:dyDescent="0.55000000000000004">
      <c r="A692" s="51"/>
      <c r="B692" s="49"/>
      <c r="C692" s="52"/>
      <c r="D692" s="52"/>
      <c r="E692" s="179"/>
      <c r="F692" s="180"/>
      <c r="G692" s="67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5.75" customHeight="1" x14ac:dyDescent="0.55000000000000004">
      <c r="A693" s="51"/>
      <c r="B693" s="49"/>
      <c r="C693" s="52"/>
      <c r="D693" s="52"/>
      <c r="E693" s="179"/>
      <c r="F693" s="180"/>
      <c r="G693" s="67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5.75" customHeight="1" x14ac:dyDescent="0.55000000000000004">
      <c r="A694" s="51"/>
      <c r="B694" s="49"/>
      <c r="C694" s="52"/>
      <c r="D694" s="52"/>
      <c r="E694" s="179"/>
      <c r="F694" s="180"/>
      <c r="G694" s="67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5.75" customHeight="1" x14ac:dyDescent="0.55000000000000004">
      <c r="A695" s="51"/>
      <c r="B695" s="49"/>
      <c r="C695" s="52"/>
      <c r="D695" s="52"/>
      <c r="E695" s="179"/>
      <c r="F695" s="180"/>
      <c r="G695" s="67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5.75" customHeight="1" x14ac:dyDescent="0.55000000000000004">
      <c r="A696" s="51"/>
      <c r="B696" s="49"/>
      <c r="C696" s="52"/>
      <c r="D696" s="52"/>
      <c r="E696" s="179"/>
      <c r="F696" s="180"/>
      <c r="G696" s="67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5.75" customHeight="1" x14ac:dyDescent="0.55000000000000004">
      <c r="A697" s="51"/>
      <c r="B697" s="49"/>
      <c r="C697" s="52"/>
      <c r="D697" s="52"/>
      <c r="E697" s="179"/>
      <c r="F697" s="180"/>
      <c r="G697" s="67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5.75" customHeight="1" x14ac:dyDescent="0.55000000000000004">
      <c r="A698" s="51"/>
      <c r="B698" s="49"/>
      <c r="C698" s="52"/>
      <c r="D698" s="52"/>
      <c r="E698" s="179"/>
      <c r="F698" s="180"/>
      <c r="G698" s="67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5.75" customHeight="1" x14ac:dyDescent="0.55000000000000004">
      <c r="A699" s="51"/>
      <c r="B699" s="49"/>
      <c r="C699" s="52"/>
      <c r="D699" s="52"/>
      <c r="E699" s="179"/>
      <c r="F699" s="180"/>
      <c r="G699" s="67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5.75" customHeight="1" x14ac:dyDescent="0.55000000000000004">
      <c r="A700" s="51"/>
      <c r="B700" s="49"/>
      <c r="C700" s="52"/>
      <c r="D700" s="52"/>
      <c r="E700" s="179"/>
      <c r="F700" s="180"/>
      <c r="G700" s="67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5.75" customHeight="1" x14ac:dyDescent="0.55000000000000004">
      <c r="A701" s="51"/>
      <c r="B701" s="49"/>
      <c r="C701" s="52"/>
      <c r="D701" s="52"/>
      <c r="E701" s="179"/>
      <c r="F701" s="180"/>
      <c r="G701" s="67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5.75" customHeight="1" x14ac:dyDescent="0.55000000000000004">
      <c r="A702" s="51"/>
      <c r="B702" s="49"/>
      <c r="C702" s="52"/>
      <c r="D702" s="52"/>
      <c r="E702" s="179"/>
      <c r="F702" s="180"/>
      <c r="G702" s="67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5.75" customHeight="1" x14ac:dyDescent="0.55000000000000004">
      <c r="A703" s="51"/>
      <c r="B703" s="49"/>
      <c r="C703" s="52"/>
      <c r="D703" s="52"/>
      <c r="E703" s="179"/>
      <c r="F703" s="180"/>
      <c r="G703" s="67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5.75" customHeight="1" x14ac:dyDescent="0.55000000000000004">
      <c r="A704" s="51"/>
      <c r="B704" s="49"/>
      <c r="C704" s="52"/>
      <c r="D704" s="52"/>
      <c r="E704" s="179"/>
      <c r="F704" s="180"/>
      <c r="G704" s="67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5.75" customHeight="1" x14ac:dyDescent="0.55000000000000004">
      <c r="A705" s="51"/>
      <c r="B705" s="49"/>
      <c r="C705" s="52"/>
      <c r="D705" s="52"/>
      <c r="E705" s="179"/>
      <c r="F705" s="180"/>
      <c r="G705" s="67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5.75" customHeight="1" x14ac:dyDescent="0.55000000000000004">
      <c r="A706" s="51"/>
      <c r="B706" s="49"/>
      <c r="C706" s="52"/>
      <c r="D706" s="52"/>
      <c r="E706" s="179"/>
      <c r="F706" s="180"/>
      <c r="G706" s="67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5.75" customHeight="1" x14ac:dyDescent="0.55000000000000004">
      <c r="A707" s="51"/>
      <c r="B707" s="49"/>
      <c r="C707" s="52"/>
      <c r="D707" s="52"/>
      <c r="E707" s="179"/>
      <c r="F707" s="180"/>
      <c r="G707" s="67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5.75" customHeight="1" x14ac:dyDescent="0.55000000000000004">
      <c r="A708" s="51"/>
      <c r="B708" s="49"/>
      <c r="C708" s="52"/>
      <c r="D708" s="52"/>
      <c r="E708" s="179"/>
      <c r="F708" s="180"/>
      <c r="G708" s="67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5.75" customHeight="1" x14ac:dyDescent="0.55000000000000004">
      <c r="A709" s="51"/>
      <c r="B709" s="49"/>
      <c r="C709" s="52"/>
      <c r="D709" s="52"/>
      <c r="E709" s="179"/>
      <c r="F709" s="180"/>
      <c r="G709" s="67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5.75" customHeight="1" x14ac:dyDescent="0.55000000000000004">
      <c r="A710" s="51"/>
      <c r="B710" s="49"/>
      <c r="C710" s="52"/>
      <c r="D710" s="52"/>
      <c r="E710" s="179"/>
      <c r="F710" s="180"/>
      <c r="G710" s="67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5.75" customHeight="1" x14ac:dyDescent="0.55000000000000004">
      <c r="A711" s="51"/>
      <c r="B711" s="49"/>
      <c r="C711" s="52"/>
      <c r="D711" s="52"/>
      <c r="E711" s="179"/>
      <c r="F711" s="180"/>
      <c r="G711" s="67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5.75" customHeight="1" x14ac:dyDescent="0.55000000000000004">
      <c r="A712" s="51"/>
      <c r="B712" s="49"/>
      <c r="C712" s="52"/>
      <c r="D712" s="52"/>
      <c r="E712" s="179"/>
      <c r="F712" s="180"/>
      <c r="G712" s="67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5.75" customHeight="1" x14ac:dyDescent="0.55000000000000004">
      <c r="A713" s="51"/>
      <c r="B713" s="49"/>
      <c r="C713" s="52"/>
      <c r="D713" s="52"/>
      <c r="E713" s="179"/>
      <c r="F713" s="180"/>
      <c r="G713" s="67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5.75" customHeight="1" x14ac:dyDescent="0.55000000000000004">
      <c r="A714" s="51"/>
      <c r="B714" s="49"/>
      <c r="C714" s="52"/>
      <c r="D714" s="52"/>
      <c r="E714" s="179"/>
      <c r="F714" s="180"/>
      <c r="G714" s="67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5.75" customHeight="1" x14ac:dyDescent="0.55000000000000004">
      <c r="A715" s="51"/>
      <c r="B715" s="49"/>
      <c r="C715" s="52"/>
      <c r="D715" s="52"/>
      <c r="E715" s="179"/>
      <c r="F715" s="180"/>
      <c r="G715" s="67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5.75" customHeight="1" x14ac:dyDescent="0.55000000000000004">
      <c r="A716" s="51"/>
      <c r="B716" s="49"/>
      <c r="C716" s="52"/>
      <c r="D716" s="52"/>
      <c r="E716" s="179"/>
      <c r="F716" s="180"/>
      <c r="G716" s="67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5.75" customHeight="1" x14ac:dyDescent="0.55000000000000004">
      <c r="A717" s="51"/>
      <c r="B717" s="49"/>
      <c r="C717" s="52"/>
      <c r="D717" s="52"/>
      <c r="E717" s="179"/>
      <c r="F717" s="180"/>
      <c r="G717" s="67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5.75" customHeight="1" x14ac:dyDescent="0.55000000000000004">
      <c r="A718" s="51"/>
      <c r="B718" s="49"/>
      <c r="C718" s="52"/>
      <c r="D718" s="52"/>
      <c r="E718" s="179"/>
      <c r="F718" s="180"/>
      <c r="G718" s="67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5.75" customHeight="1" x14ac:dyDescent="0.55000000000000004">
      <c r="A719" s="51"/>
      <c r="B719" s="49"/>
      <c r="C719" s="52"/>
      <c r="D719" s="52"/>
      <c r="E719" s="179"/>
      <c r="F719" s="180"/>
      <c r="G719" s="67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5.75" customHeight="1" x14ac:dyDescent="0.55000000000000004">
      <c r="A720" s="51"/>
      <c r="B720" s="49"/>
      <c r="C720" s="52"/>
      <c r="D720" s="52"/>
      <c r="E720" s="179"/>
      <c r="F720" s="180"/>
      <c r="G720" s="67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5.75" customHeight="1" x14ac:dyDescent="0.55000000000000004">
      <c r="A721" s="51"/>
      <c r="B721" s="49"/>
      <c r="C721" s="52"/>
      <c r="D721" s="52"/>
      <c r="E721" s="179"/>
      <c r="F721" s="180"/>
      <c r="G721" s="67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5.75" customHeight="1" x14ac:dyDescent="0.55000000000000004">
      <c r="A722" s="51"/>
      <c r="B722" s="49"/>
      <c r="C722" s="52"/>
      <c r="D722" s="52"/>
      <c r="E722" s="179"/>
      <c r="F722" s="180"/>
      <c r="G722" s="67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5.75" customHeight="1" x14ac:dyDescent="0.55000000000000004">
      <c r="A723" s="51"/>
      <c r="B723" s="49"/>
      <c r="C723" s="52"/>
      <c r="D723" s="52"/>
      <c r="E723" s="179"/>
      <c r="F723" s="180"/>
      <c r="G723" s="67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5.75" customHeight="1" x14ac:dyDescent="0.55000000000000004">
      <c r="A724" s="51"/>
      <c r="B724" s="49"/>
      <c r="C724" s="52"/>
      <c r="D724" s="52"/>
      <c r="E724" s="179"/>
      <c r="F724" s="180"/>
      <c r="G724" s="67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5.75" customHeight="1" x14ac:dyDescent="0.55000000000000004">
      <c r="A725" s="51"/>
      <c r="B725" s="49"/>
      <c r="C725" s="52"/>
      <c r="D725" s="52"/>
      <c r="E725" s="179"/>
      <c r="F725" s="180"/>
      <c r="G725" s="67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5.75" customHeight="1" x14ac:dyDescent="0.55000000000000004">
      <c r="A726" s="51"/>
      <c r="B726" s="49"/>
      <c r="C726" s="52"/>
      <c r="D726" s="52"/>
      <c r="E726" s="179"/>
      <c r="F726" s="180"/>
      <c r="G726" s="67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5.75" customHeight="1" x14ac:dyDescent="0.55000000000000004">
      <c r="A727" s="51"/>
      <c r="B727" s="49"/>
      <c r="C727" s="52"/>
      <c r="D727" s="52"/>
      <c r="E727" s="179"/>
      <c r="F727" s="180"/>
      <c r="G727" s="67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5.75" customHeight="1" x14ac:dyDescent="0.55000000000000004">
      <c r="A728" s="51"/>
      <c r="B728" s="49"/>
      <c r="C728" s="52"/>
      <c r="D728" s="52"/>
      <c r="E728" s="179"/>
      <c r="F728" s="180"/>
      <c r="G728" s="67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5.75" customHeight="1" x14ac:dyDescent="0.55000000000000004">
      <c r="A729" s="51"/>
      <c r="B729" s="49"/>
      <c r="C729" s="52"/>
      <c r="D729" s="52"/>
      <c r="E729" s="179"/>
      <c r="F729" s="180"/>
      <c r="G729" s="67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5.75" customHeight="1" x14ac:dyDescent="0.55000000000000004">
      <c r="A730" s="51"/>
      <c r="B730" s="49"/>
      <c r="C730" s="52"/>
      <c r="D730" s="52"/>
      <c r="E730" s="179"/>
      <c r="F730" s="180"/>
      <c r="G730" s="67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5.75" customHeight="1" x14ac:dyDescent="0.55000000000000004">
      <c r="A731" s="51"/>
      <c r="B731" s="49"/>
      <c r="C731" s="52"/>
      <c r="D731" s="52"/>
      <c r="E731" s="179"/>
      <c r="F731" s="180"/>
      <c r="G731" s="67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5.75" customHeight="1" x14ac:dyDescent="0.55000000000000004">
      <c r="A732" s="51"/>
      <c r="B732" s="49"/>
      <c r="C732" s="52"/>
      <c r="D732" s="52"/>
      <c r="E732" s="179"/>
      <c r="F732" s="180"/>
      <c r="G732" s="67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5.75" customHeight="1" x14ac:dyDescent="0.55000000000000004">
      <c r="A733" s="51"/>
      <c r="B733" s="49"/>
      <c r="C733" s="52"/>
      <c r="D733" s="52"/>
      <c r="E733" s="179"/>
      <c r="F733" s="180"/>
      <c r="G733" s="67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5.75" customHeight="1" x14ac:dyDescent="0.55000000000000004">
      <c r="A734" s="51"/>
      <c r="B734" s="49"/>
      <c r="C734" s="52"/>
      <c r="D734" s="52"/>
      <c r="E734" s="179"/>
      <c r="F734" s="180"/>
      <c r="G734" s="67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5.75" customHeight="1" x14ac:dyDescent="0.55000000000000004">
      <c r="A735" s="51"/>
      <c r="B735" s="49"/>
      <c r="C735" s="52"/>
      <c r="D735" s="52"/>
      <c r="E735" s="179"/>
      <c r="F735" s="180"/>
      <c r="G735" s="67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5.75" customHeight="1" x14ac:dyDescent="0.55000000000000004">
      <c r="A736" s="51"/>
      <c r="B736" s="49"/>
      <c r="C736" s="52"/>
      <c r="D736" s="52"/>
      <c r="E736" s="179"/>
      <c r="F736" s="180"/>
      <c r="G736" s="67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5.75" customHeight="1" x14ac:dyDescent="0.55000000000000004">
      <c r="A737" s="51"/>
      <c r="B737" s="49"/>
      <c r="C737" s="52"/>
      <c r="D737" s="52"/>
      <c r="E737" s="179"/>
      <c r="F737" s="180"/>
      <c r="G737" s="67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5.75" customHeight="1" x14ac:dyDescent="0.55000000000000004">
      <c r="A738" s="51"/>
      <c r="B738" s="49"/>
      <c r="C738" s="52"/>
      <c r="D738" s="52"/>
      <c r="E738" s="179"/>
      <c r="F738" s="180"/>
      <c r="G738" s="67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5.75" customHeight="1" x14ac:dyDescent="0.55000000000000004">
      <c r="A739" s="51"/>
      <c r="B739" s="49"/>
      <c r="C739" s="52"/>
      <c r="D739" s="52"/>
      <c r="E739" s="179"/>
      <c r="F739" s="180"/>
      <c r="G739" s="67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5.75" customHeight="1" x14ac:dyDescent="0.55000000000000004">
      <c r="A740" s="51"/>
      <c r="B740" s="49"/>
      <c r="C740" s="52"/>
      <c r="D740" s="52"/>
      <c r="E740" s="179"/>
      <c r="F740" s="180"/>
      <c r="G740" s="67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5.75" customHeight="1" x14ac:dyDescent="0.55000000000000004">
      <c r="A741" s="51"/>
      <c r="B741" s="49"/>
      <c r="C741" s="52"/>
      <c r="D741" s="52"/>
      <c r="E741" s="179"/>
      <c r="F741" s="180"/>
      <c r="G741" s="67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5.75" customHeight="1" x14ac:dyDescent="0.55000000000000004">
      <c r="A742" s="51"/>
      <c r="B742" s="49"/>
      <c r="C742" s="52"/>
      <c r="D742" s="52"/>
      <c r="E742" s="179"/>
      <c r="F742" s="180"/>
      <c r="G742" s="67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5.75" customHeight="1" x14ac:dyDescent="0.55000000000000004">
      <c r="A743" s="51"/>
      <c r="B743" s="49"/>
      <c r="C743" s="52"/>
      <c r="D743" s="52"/>
      <c r="E743" s="179"/>
      <c r="F743" s="180"/>
      <c r="G743" s="67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5.75" customHeight="1" x14ac:dyDescent="0.55000000000000004">
      <c r="A744" s="51"/>
      <c r="B744" s="49"/>
      <c r="C744" s="52"/>
      <c r="D744" s="52"/>
      <c r="E744" s="179"/>
      <c r="F744" s="180"/>
      <c r="G744" s="67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5.75" customHeight="1" x14ac:dyDescent="0.55000000000000004">
      <c r="A745" s="51"/>
      <c r="B745" s="49"/>
      <c r="C745" s="52"/>
      <c r="D745" s="52"/>
      <c r="E745" s="179"/>
      <c r="F745" s="180"/>
      <c r="G745" s="67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5.75" customHeight="1" x14ac:dyDescent="0.55000000000000004">
      <c r="A746" s="51"/>
      <c r="B746" s="49"/>
      <c r="C746" s="52"/>
      <c r="D746" s="52"/>
      <c r="E746" s="179"/>
      <c r="F746" s="180"/>
      <c r="G746" s="67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5.75" customHeight="1" x14ac:dyDescent="0.55000000000000004">
      <c r="A747" s="51"/>
      <c r="B747" s="49"/>
      <c r="C747" s="52"/>
      <c r="D747" s="52"/>
      <c r="E747" s="179"/>
      <c r="F747" s="180"/>
      <c r="G747" s="67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5.75" customHeight="1" x14ac:dyDescent="0.55000000000000004">
      <c r="A748" s="51"/>
      <c r="B748" s="49"/>
      <c r="C748" s="52"/>
      <c r="D748" s="52"/>
      <c r="E748" s="179"/>
      <c r="F748" s="180"/>
      <c r="G748" s="67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5.75" customHeight="1" x14ac:dyDescent="0.55000000000000004">
      <c r="A749" s="51"/>
      <c r="B749" s="49"/>
      <c r="C749" s="52"/>
      <c r="D749" s="52"/>
      <c r="E749" s="179"/>
      <c r="F749" s="180"/>
      <c r="G749" s="67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5.75" customHeight="1" x14ac:dyDescent="0.55000000000000004">
      <c r="A750" s="51"/>
      <c r="B750" s="49"/>
      <c r="C750" s="52"/>
      <c r="D750" s="52"/>
      <c r="E750" s="179"/>
      <c r="F750" s="180"/>
      <c r="G750" s="67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5.75" customHeight="1" x14ac:dyDescent="0.55000000000000004">
      <c r="A751" s="51"/>
      <c r="B751" s="49"/>
      <c r="C751" s="52"/>
      <c r="D751" s="52"/>
      <c r="E751" s="179"/>
      <c r="F751" s="180"/>
      <c r="G751" s="67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5.75" customHeight="1" x14ac:dyDescent="0.55000000000000004">
      <c r="A752" s="51"/>
      <c r="B752" s="49"/>
      <c r="C752" s="52"/>
      <c r="D752" s="52"/>
      <c r="E752" s="179"/>
      <c r="F752" s="180"/>
      <c r="G752" s="67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5.75" customHeight="1" x14ac:dyDescent="0.55000000000000004">
      <c r="A753" s="51"/>
      <c r="B753" s="49"/>
      <c r="C753" s="52"/>
      <c r="D753" s="52"/>
      <c r="E753" s="179"/>
      <c r="F753" s="180"/>
      <c r="G753" s="67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5.75" customHeight="1" x14ac:dyDescent="0.55000000000000004">
      <c r="A754" s="51"/>
      <c r="B754" s="49"/>
      <c r="C754" s="52"/>
      <c r="D754" s="52"/>
      <c r="E754" s="179"/>
      <c r="F754" s="180"/>
      <c r="G754" s="67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5.75" customHeight="1" x14ac:dyDescent="0.55000000000000004">
      <c r="A755" s="51"/>
      <c r="B755" s="49"/>
      <c r="C755" s="52"/>
      <c r="D755" s="52"/>
      <c r="E755" s="179"/>
      <c r="F755" s="180"/>
      <c r="G755" s="67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5.75" customHeight="1" x14ac:dyDescent="0.55000000000000004">
      <c r="A756" s="51"/>
      <c r="B756" s="49"/>
      <c r="C756" s="52"/>
      <c r="D756" s="52"/>
      <c r="E756" s="179"/>
      <c r="F756" s="180"/>
      <c r="G756" s="67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5.75" customHeight="1" x14ac:dyDescent="0.55000000000000004">
      <c r="A757" s="51"/>
      <c r="B757" s="49"/>
      <c r="C757" s="52"/>
      <c r="D757" s="52"/>
      <c r="E757" s="179"/>
      <c r="F757" s="180"/>
      <c r="G757" s="67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5.75" customHeight="1" x14ac:dyDescent="0.55000000000000004">
      <c r="A758" s="51"/>
      <c r="B758" s="49"/>
      <c r="C758" s="52"/>
      <c r="D758" s="52"/>
      <c r="E758" s="179"/>
      <c r="F758" s="180"/>
      <c r="G758" s="67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5.75" customHeight="1" x14ac:dyDescent="0.55000000000000004">
      <c r="A759" s="51"/>
      <c r="B759" s="49"/>
      <c r="C759" s="52"/>
      <c r="D759" s="52"/>
      <c r="E759" s="179"/>
      <c r="F759" s="180"/>
      <c r="G759" s="67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5.75" customHeight="1" x14ac:dyDescent="0.55000000000000004">
      <c r="A760" s="51"/>
      <c r="B760" s="49"/>
      <c r="C760" s="52"/>
      <c r="D760" s="52"/>
      <c r="E760" s="179"/>
      <c r="F760" s="180"/>
      <c r="G760" s="67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5.75" customHeight="1" x14ac:dyDescent="0.55000000000000004">
      <c r="A761" s="51"/>
      <c r="B761" s="49"/>
      <c r="C761" s="52"/>
      <c r="D761" s="52"/>
      <c r="E761" s="179"/>
      <c r="F761" s="180"/>
      <c r="G761" s="67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5.75" customHeight="1" x14ac:dyDescent="0.55000000000000004">
      <c r="A762" s="51"/>
      <c r="B762" s="49"/>
      <c r="C762" s="52"/>
      <c r="D762" s="52"/>
      <c r="E762" s="179"/>
      <c r="F762" s="180"/>
      <c r="G762" s="67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5.75" customHeight="1" x14ac:dyDescent="0.55000000000000004">
      <c r="A763" s="51"/>
      <c r="B763" s="49"/>
      <c r="C763" s="52"/>
      <c r="D763" s="52"/>
      <c r="E763" s="179"/>
      <c r="F763" s="180"/>
      <c r="G763" s="67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5.75" customHeight="1" x14ac:dyDescent="0.55000000000000004">
      <c r="A764" s="51"/>
      <c r="B764" s="49"/>
      <c r="C764" s="52"/>
      <c r="D764" s="52"/>
      <c r="E764" s="179"/>
      <c r="F764" s="180"/>
      <c r="G764" s="67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5.75" customHeight="1" x14ac:dyDescent="0.55000000000000004">
      <c r="A765" s="51"/>
      <c r="B765" s="49"/>
      <c r="C765" s="52"/>
      <c r="D765" s="52"/>
      <c r="E765" s="179"/>
      <c r="F765" s="180"/>
      <c r="G765" s="67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5.75" customHeight="1" x14ac:dyDescent="0.55000000000000004">
      <c r="A766" s="51"/>
      <c r="B766" s="49"/>
      <c r="C766" s="52"/>
      <c r="D766" s="52"/>
      <c r="E766" s="179"/>
      <c r="F766" s="180"/>
      <c r="G766" s="67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5.75" customHeight="1" x14ac:dyDescent="0.55000000000000004">
      <c r="A767" s="51"/>
      <c r="B767" s="49"/>
      <c r="C767" s="52"/>
      <c r="D767" s="52"/>
      <c r="E767" s="179"/>
      <c r="F767" s="180"/>
      <c r="G767" s="67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5.75" customHeight="1" x14ac:dyDescent="0.55000000000000004">
      <c r="A768" s="51"/>
      <c r="B768" s="49"/>
      <c r="C768" s="52"/>
      <c r="D768" s="52"/>
      <c r="E768" s="179"/>
      <c r="F768" s="180"/>
      <c r="G768" s="67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5.75" customHeight="1" x14ac:dyDescent="0.55000000000000004">
      <c r="A769" s="51"/>
      <c r="B769" s="49"/>
      <c r="C769" s="52"/>
      <c r="D769" s="52"/>
      <c r="E769" s="179"/>
      <c r="F769" s="180"/>
      <c r="G769" s="67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5.75" customHeight="1" x14ac:dyDescent="0.55000000000000004">
      <c r="A770" s="51"/>
      <c r="B770" s="49"/>
      <c r="C770" s="52"/>
      <c r="D770" s="52"/>
      <c r="E770" s="179"/>
      <c r="F770" s="180"/>
      <c r="G770" s="67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5.75" customHeight="1" x14ac:dyDescent="0.55000000000000004">
      <c r="A771" s="51"/>
      <c r="B771" s="49"/>
      <c r="C771" s="52"/>
      <c r="D771" s="52"/>
      <c r="E771" s="179"/>
      <c r="F771" s="180"/>
      <c r="G771" s="67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5.75" customHeight="1" x14ac:dyDescent="0.55000000000000004">
      <c r="A772" s="51"/>
      <c r="B772" s="49"/>
      <c r="C772" s="52"/>
      <c r="D772" s="52"/>
      <c r="E772" s="179"/>
      <c r="F772" s="180"/>
      <c r="G772" s="67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5.75" customHeight="1" x14ac:dyDescent="0.55000000000000004">
      <c r="A773" s="51"/>
      <c r="B773" s="49"/>
      <c r="C773" s="52"/>
      <c r="D773" s="52"/>
      <c r="E773" s="179"/>
      <c r="F773" s="180"/>
      <c r="G773" s="67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5.75" customHeight="1" x14ac:dyDescent="0.55000000000000004">
      <c r="A774" s="51"/>
      <c r="B774" s="49"/>
      <c r="C774" s="52"/>
      <c r="D774" s="52"/>
      <c r="E774" s="179"/>
      <c r="F774" s="180"/>
      <c r="G774" s="67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5.75" customHeight="1" x14ac:dyDescent="0.55000000000000004">
      <c r="A775" s="51"/>
      <c r="B775" s="49"/>
      <c r="C775" s="52"/>
      <c r="D775" s="52"/>
      <c r="E775" s="179"/>
      <c r="F775" s="180"/>
      <c r="G775" s="67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5.75" customHeight="1" x14ac:dyDescent="0.55000000000000004">
      <c r="A776" s="51"/>
      <c r="B776" s="49"/>
      <c r="C776" s="52"/>
      <c r="D776" s="52"/>
      <c r="E776" s="179"/>
      <c r="F776" s="180"/>
      <c r="G776" s="67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5.75" customHeight="1" x14ac:dyDescent="0.55000000000000004">
      <c r="A777" s="51"/>
      <c r="B777" s="49"/>
      <c r="C777" s="52"/>
      <c r="D777" s="52"/>
      <c r="E777" s="179"/>
      <c r="F777" s="180"/>
      <c r="G777" s="67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5.75" customHeight="1" x14ac:dyDescent="0.55000000000000004">
      <c r="A778" s="51"/>
      <c r="B778" s="49"/>
      <c r="C778" s="52"/>
      <c r="D778" s="52"/>
      <c r="E778" s="179"/>
      <c r="F778" s="180"/>
      <c r="G778" s="67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5.75" customHeight="1" x14ac:dyDescent="0.55000000000000004">
      <c r="A779" s="51"/>
      <c r="B779" s="49"/>
      <c r="C779" s="52"/>
      <c r="D779" s="52"/>
      <c r="E779" s="179"/>
      <c r="F779" s="180"/>
      <c r="G779" s="67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5.75" customHeight="1" x14ac:dyDescent="0.55000000000000004">
      <c r="A780" s="51"/>
      <c r="B780" s="49"/>
      <c r="C780" s="52"/>
      <c r="D780" s="52"/>
      <c r="E780" s="179"/>
      <c r="F780" s="180"/>
      <c r="G780" s="67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5.75" customHeight="1" x14ac:dyDescent="0.55000000000000004">
      <c r="A781" s="51"/>
      <c r="B781" s="49"/>
      <c r="C781" s="52"/>
      <c r="D781" s="52"/>
      <c r="E781" s="179"/>
      <c r="F781" s="180"/>
      <c r="G781" s="67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5.75" customHeight="1" x14ac:dyDescent="0.55000000000000004">
      <c r="A782" s="51"/>
      <c r="B782" s="49"/>
      <c r="C782" s="52"/>
      <c r="D782" s="52"/>
      <c r="E782" s="179"/>
      <c r="F782" s="180"/>
      <c r="G782" s="67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5.75" customHeight="1" x14ac:dyDescent="0.55000000000000004">
      <c r="A783" s="51"/>
      <c r="B783" s="49"/>
      <c r="C783" s="52"/>
      <c r="D783" s="52"/>
      <c r="E783" s="179"/>
      <c r="F783" s="180"/>
      <c r="G783" s="67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5.75" customHeight="1" x14ac:dyDescent="0.55000000000000004">
      <c r="A784" s="51"/>
      <c r="B784" s="49"/>
      <c r="C784" s="52"/>
      <c r="D784" s="52"/>
      <c r="E784" s="179"/>
      <c r="F784" s="180"/>
      <c r="G784" s="67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5.75" customHeight="1" x14ac:dyDescent="0.55000000000000004">
      <c r="A785" s="51"/>
      <c r="B785" s="49"/>
      <c r="C785" s="52"/>
      <c r="D785" s="52"/>
      <c r="E785" s="179"/>
      <c r="F785" s="180"/>
      <c r="G785" s="67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5.75" customHeight="1" x14ac:dyDescent="0.55000000000000004">
      <c r="A786" s="51"/>
      <c r="B786" s="49"/>
      <c r="C786" s="52"/>
      <c r="D786" s="52"/>
      <c r="E786" s="179"/>
      <c r="F786" s="180"/>
      <c r="G786" s="67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5.75" customHeight="1" x14ac:dyDescent="0.55000000000000004">
      <c r="A787" s="51"/>
      <c r="B787" s="49"/>
      <c r="C787" s="52"/>
      <c r="D787" s="52"/>
      <c r="E787" s="179"/>
      <c r="F787" s="180"/>
      <c r="G787" s="67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5.75" customHeight="1" x14ac:dyDescent="0.55000000000000004">
      <c r="A788" s="51"/>
      <c r="B788" s="49"/>
      <c r="C788" s="52"/>
      <c r="D788" s="52"/>
      <c r="E788" s="179"/>
      <c r="F788" s="180"/>
      <c r="G788" s="67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5.75" customHeight="1" x14ac:dyDescent="0.55000000000000004">
      <c r="A789" s="51"/>
      <c r="B789" s="49"/>
      <c r="C789" s="52"/>
      <c r="D789" s="52"/>
      <c r="E789" s="179"/>
      <c r="F789" s="180"/>
      <c r="G789" s="67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5.75" customHeight="1" x14ac:dyDescent="0.55000000000000004">
      <c r="A790" s="51"/>
      <c r="B790" s="49"/>
      <c r="C790" s="52"/>
      <c r="D790" s="52"/>
      <c r="E790" s="179"/>
      <c r="F790" s="180"/>
      <c r="G790" s="67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5.75" customHeight="1" x14ac:dyDescent="0.55000000000000004">
      <c r="A791" s="51"/>
      <c r="B791" s="49"/>
      <c r="C791" s="52"/>
      <c r="D791" s="52"/>
      <c r="E791" s="179"/>
      <c r="F791" s="180"/>
      <c r="G791" s="67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5.75" customHeight="1" x14ac:dyDescent="0.55000000000000004">
      <c r="A792" s="51"/>
      <c r="B792" s="49"/>
      <c r="C792" s="52"/>
      <c r="D792" s="52"/>
      <c r="E792" s="179"/>
      <c r="F792" s="180"/>
      <c r="G792" s="67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5.75" customHeight="1" x14ac:dyDescent="0.55000000000000004">
      <c r="A793" s="51"/>
      <c r="B793" s="49"/>
      <c r="C793" s="52"/>
      <c r="D793" s="52"/>
      <c r="E793" s="179"/>
      <c r="F793" s="180"/>
      <c r="G793" s="67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5.75" customHeight="1" x14ac:dyDescent="0.55000000000000004">
      <c r="A794" s="51"/>
      <c r="B794" s="49"/>
      <c r="C794" s="52"/>
      <c r="D794" s="52"/>
      <c r="E794" s="179"/>
      <c r="F794" s="180"/>
      <c r="G794" s="67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5.75" customHeight="1" x14ac:dyDescent="0.55000000000000004">
      <c r="A795" s="51"/>
      <c r="B795" s="49"/>
      <c r="C795" s="52"/>
      <c r="D795" s="52"/>
      <c r="E795" s="179"/>
      <c r="F795" s="180"/>
      <c r="G795" s="67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5.75" customHeight="1" x14ac:dyDescent="0.55000000000000004">
      <c r="A796" s="51"/>
      <c r="B796" s="49"/>
      <c r="C796" s="52"/>
      <c r="D796" s="52"/>
      <c r="E796" s="179"/>
      <c r="F796" s="180"/>
      <c r="G796" s="67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5.75" customHeight="1" x14ac:dyDescent="0.55000000000000004">
      <c r="A797" s="51"/>
      <c r="B797" s="49"/>
      <c r="C797" s="52"/>
      <c r="D797" s="52"/>
      <c r="E797" s="179"/>
      <c r="F797" s="180"/>
      <c r="G797" s="67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5.75" customHeight="1" x14ac:dyDescent="0.55000000000000004">
      <c r="A798" s="51"/>
      <c r="B798" s="49"/>
      <c r="C798" s="52"/>
      <c r="D798" s="52"/>
      <c r="E798" s="179"/>
      <c r="F798" s="180"/>
      <c r="G798" s="67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5.75" customHeight="1" x14ac:dyDescent="0.55000000000000004">
      <c r="A799" s="51"/>
      <c r="B799" s="49"/>
      <c r="C799" s="52"/>
      <c r="D799" s="52"/>
      <c r="E799" s="179"/>
      <c r="F799" s="180"/>
      <c r="G799" s="67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5.75" customHeight="1" x14ac:dyDescent="0.55000000000000004">
      <c r="A800" s="51"/>
      <c r="B800" s="49"/>
      <c r="C800" s="52"/>
      <c r="D800" s="52"/>
      <c r="E800" s="179"/>
      <c r="F800" s="180"/>
      <c r="G800" s="67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5.75" customHeight="1" x14ac:dyDescent="0.55000000000000004">
      <c r="A801" s="51"/>
      <c r="B801" s="49"/>
      <c r="C801" s="52"/>
      <c r="D801" s="52"/>
      <c r="E801" s="179"/>
      <c r="F801" s="180"/>
      <c r="G801" s="67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5.75" customHeight="1" x14ac:dyDescent="0.55000000000000004">
      <c r="A802" s="51"/>
      <c r="B802" s="49"/>
      <c r="C802" s="52"/>
      <c r="D802" s="52"/>
      <c r="E802" s="179"/>
      <c r="F802" s="180"/>
      <c r="G802" s="67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5.75" customHeight="1" x14ac:dyDescent="0.55000000000000004">
      <c r="A803" s="51"/>
      <c r="B803" s="49"/>
      <c r="C803" s="52"/>
      <c r="D803" s="52"/>
      <c r="E803" s="179"/>
      <c r="F803" s="180"/>
      <c r="G803" s="67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5.75" customHeight="1" x14ac:dyDescent="0.55000000000000004">
      <c r="A804" s="51"/>
      <c r="B804" s="49"/>
      <c r="C804" s="52"/>
      <c r="D804" s="52"/>
      <c r="E804" s="179"/>
      <c r="F804" s="180"/>
      <c r="G804" s="67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5.75" customHeight="1" x14ac:dyDescent="0.55000000000000004">
      <c r="A805" s="51"/>
      <c r="B805" s="49"/>
      <c r="C805" s="52"/>
      <c r="D805" s="52"/>
      <c r="E805" s="179"/>
      <c r="F805" s="180"/>
      <c r="G805" s="67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5.75" customHeight="1" x14ac:dyDescent="0.55000000000000004">
      <c r="A806" s="51"/>
      <c r="B806" s="49"/>
      <c r="C806" s="52"/>
      <c r="D806" s="52"/>
      <c r="E806" s="179"/>
      <c r="F806" s="180"/>
      <c r="G806" s="67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5.75" customHeight="1" x14ac:dyDescent="0.55000000000000004">
      <c r="A807" s="51"/>
      <c r="B807" s="49"/>
      <c r="C807" s="52"/>
      <c r="D807" s="52"/>
      <c r="E807" s="179"/>
      <c r="F807" s="180"/>
      <c r="G807" s="67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5.75" customHeight="1" x14ac:dyDescent="0.55000000000000004">
      <c r="A808" s="51"/>
      <c r="B808" s="49"/>
      <c r="C808" s="52"/>
      <c r="D808" s="52"/>
      <c r="E808" s="179"/>
      <c r="F808" s="180"/>
      <c r="G808" s="67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5.75" customHeight="1" x14ac:dyDescent="0.55000000000000004">
      <c r="A809" s="51"/>
      <c r="B809" s="49"/>
      <c r="C809" s="52"/>
      <c r="D809" s="52"/>
      <c r="E809" s="179"/>
      <c r="F809" s="180"/>
      <c r="G809" s="67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5.75" customHeight="1" x14ac:dyDescent="0.55000000000000004">
      <c r="A810" s="51"/>
      <c r="B810" s="49"/>
      <c r="C810" s="52"/>
      <c r="D810" s="52"/>
      <c r="E810" s="179"/>
      <c r="F810" s="180"/>
      <c r="G810" s="67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5.75" customHeight="1" x14ac:dyDescent="0.55000000000000004">
      <c r="A811" s="51"/>
      <c r="B811" s="49"/>
      <c r="C811" s="52"/>
      <c r="D811" s="52"/>
      <c r="E811" s="179"/>
      <c r="F811" s="180"/>
      <c r="G811" s="67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5.75" customHeight="1" x14ac:dyDescent="0.55000000000000004">
      <c r="A812" s="51"/>
      <c r="B812" s="49"/>
      <c r="C812" s="52"/>
      <c r="D812" s="52"/>
      <c r="E812" s="179"/>
      <c r="F812" s="180"/>
      <c r="G812" s="67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5.75" customHeight="1" x14ac:dyDescent="0.55000000000000004">
      <c r="A813" s="51"/>
      <c r="B813" s="49"/>
      <c r="C813" s="52"/>
      <c r="D813" s="52"/>
      <c r="E813" s="179"/>
      <c r="F813" s="180"/>
      <c r="G813" s="67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5.75" customHeight="1" x14ac:dyDescent="0.55000000000000004">
      <c r="A814" s="51"/>
      <c r="B814" s="49"/>
      <c r="C814" s="52"/>
      <c r="D814" s="52"/>
      <c r="E814" s="179"/>
      <c r="F814" s="180"/>
      <c r="G814" s="67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5.75" customHeight="1" x14ac:dyDescent="0.55000000000000004">
      <c r="A815" s="51"/>
      <c r="B815" s="49"/>
      <c r="C815" s="52"/>
      <c r="D815" s="52"/>
      <c r="E815" s="179"/>
      <c r="F815" s="180"/>
      <c r="G815" s="67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5.75" customHeight="1" x14ac:dyDescent="0.55000000000000004">
      <c r="A816" s="51"/>
      <c r="B816" s="49"/>
      <c r="C816" s="52"/>
      <c r="D816" s="52"/>
      <c r="E816" s="179"/>
      <c r="F816" s="180"/>
      <c r="G816" s="67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5.75" customHeight="1" x14ac:dyDescent="0.55000000000000004">
      <c r="A817" s="51"/>
      <c r="B817" s="49"/>
      <c r="C817" s="52"/>
      <c r="D817" s="52"/>
      <c r="E817" s="179"/>
      <c r="F817" s="180"/>
      <c r="G817" s="67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5.75" customHeight="1" x14ac:dyDescent="0.55000000000000004">
      <c r="A818" s="51"/>
      <c r="B818" s="49"/>
      <c r="C818" s="52"/>
      <c r="D818" s="52"/>
      <c r="E818" s="179"/>
      <c r="F818" s="180"/>
      <c r="G818" s="67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5.75" customHeight="1" x14ac:dyDescent="0.55000000000000004">
      <c r="A819" s="51"/>
      <c r="B819" s="49"/>
      <c r="C819" s="52"/>
      <c r="D819" s="52"/>
      <c r="E819" s="179"/>
      <c r="F819" s="180"/>
      <c r="G819" s="67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5.75" customHeight="1" x14ac:dyDescent="0.55000000000000004">
      <c r="A820" s="51"/>
      <c r="B820" s="49"/>
      <c r="C820" s="52"/>
      <c r="D820" s="52"/>
      <c r="E820" s="179"/>
      <c r="F820" s="180"/>
      <c r="G820" s="67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5.75" customHeight="1" x14ac:dyDescent="0.55000000000000004">
      <c r="A821" s="51"/>
      <c r="B821" s="49"/>
      <c r="C821" s="52"/>
      <c r="D821" s="52"/>
      <c r="E821" s="179"/>
      <c r="F821" s="180"/>
      <c r="G821" s="67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5.75" customHeight="1" x14ac:dyDescent="0.55000000000000004">
      <c r="A822" s="51"/>
      <c r="B822" s="49"/>
      <c r="C822" s="52"/>
      <c r="D822" s="52"/>
      <c r="E822" s="179"/>
      <c r="F822" s="180"/>
      <c r="G822" s="67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5.75" customHeight="1" x14ac:dyDescent="0.55000000000000004">
      <c r="A823" s="51"/>
      <c r="B823" s="49"/>
      <c r="C823" s="52"/>
      <c r="D823" s="52"/>
      <c r="E823" s="179"/>
      <c r="F823" s="180"/>
      <c r="G823" s="67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5.75" customHeight="1" x14ac:dyDescent="0.55000000000000004">
      <c r="A824" s="51"/>
      <c r="B824" s="49"/>
      <c r="C824" s="52"/>
      <c r="D824" s="52"/>
      <c r="E824" s="179"/>
      <c r="F824" s="180"/>
      <c r="G824" s="67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5.75" customHeight="1" x14ac:dyDescent="0.55000000000000004">
      <c r="A825" s="51"/>
      <c r="B825" s="49"/>
      <c r="C825" s="52"/>
      <c r="D825" s="52"/>
      <c r="E825" s="179"/>
      <c r="F825" s="180"/>
      <c r="G825" s="67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5.75" customHeight="1" x14ac:dyDescent="0.55000000000000004">
      <c r="A826" s="51"/>
      <c r="B826" s="49"/>
      <c r="C826" s="52"/>
      <c r="D826" s="52"/>
      <c r="E826" s="179"/>
      <c r="F826" s="180"/>
      <c r="G826" s="67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5.75" customHeight="1" x14ac:dyDescent="0.55000000000000004">
      <c r="A827" s="51"/>
      <c r="B827" s="49"/>
      <c r="C827" s="52"/>
      <c r="D827" s="52"/>
      <c r="E827" s="179"/>
      <c r="F827" s="180"/>
      <c r="G827" s="67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5.75" customHeight="1" x14ac:dyDescent="0.55000000000000004">
      <c r="A828" s="51"/>
      <c r="B828" s="49"/>
      <c r="C828" s="52"/>
      <c r="D828" s="52"/>
      <c r="E828" s="179"/>
      <c r="F828" s="180"/>
      <c r="G828" s="67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5.75" customHeight="1" x14ac:dyDescent="0.55000000000000004">
      <c r="A829" s="51"/>
      <c r="B829" s="49"/>
      <c r="C829" s="52"/>
      <c r="D829" s="52"/>
      <c r="E829" s="179"/>
      <c r="F829" s="180"/>
      <c r="G829" s="67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5.75" customHeight="1" x14ac:dyDescent="0.55000000000000004">
      <c r="A830" s="51"/>
      <c r="B830" s="49"/>
      <c r="C830" s="52"/>
      <c r="D830" s="52"/>
      <c r="E830" s="179"/>
      <c r="F830" s="180"/>
      <c r="G830" s="67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5.75" customHeight="1" x14ac:dyDescent="0.55000000000000004">
      <c r="A831" s="51"/>
      <c r="B831" s="49"/>
      <c r="C831" s="52"/>
      <c r="D831" s="52"/>
      <c r="E831" s="179"/>
      <c r="F831" s="180"/>
      <c r="G831" s="67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5.75" customHeight="1" x14ac:dyDescent="0.55000000000000004">
      <c r="A832" s="51"/>
      <c r="B832" s="49"/>
      <c r="C832" s="52"/>
      <c r="D832" s="52"/>
      <c r="E832" s="179"/>
      <c r="F832" s="180"/>
      <c r="G832" s="67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5.75" customHeight="1" x14ac:dyDescent="0.55000000000000004">
      <c r="A833" s="51"/>
      <c r="B833" s="49"/>
      <c r="C833" s="52"/>
      <c r="D833" s="52"/>
      <c r="E833" s="179"/>
      <c r="F833" s="180"/>
      <c r="G833" s="67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5.75" customHeight="1" x14ac:dyDescent="0.55000000000000004">
      <c r="A834" s="51"/>
      <c r="B834" s="49"/>
      <c r="C834" s="52"/>
      <c r="D834" s="52"/>
      <c r="E834" s="179"/>
      <c r="F834" s="180"/>
      <c r="G834" s="67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5.75" customHeight="1" x14ac:dyDescent="0.55000000000000004">
      <c r="A835" s="51"/>
      <c r="B835" s="49"/>
      <c r="C835" s="52"/>
      <c r="D835" s="52"/>
      <c r="E835" s="179"/>
      <c r="F835" s="180"/>
      <c r="G835" s="67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5.75" customHeight="1" x14ac:dyDescent="0.55000000000000004">
      <c r="A836" s="51"/>
      <c r="B836" s="49"/>
      <c r="C836" s="52"/>
      <c r="D836" s="52"/>
      <c r="E836" s="179"/>
      <c r="F836" s="180"/>
      <c r="G836" s="67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5.75" customHeight="1" x14ac:dyDescent="0.55000000000000004">
      <c r="A837" s="51"/>
      <c r="B837" s="49"/>
      <c r="C837" s="52"/>
      <c r="D837" s="52"/>
      <c r="E837" s="179"/>
      <c r="F837" s="180"/>
      <c r="G837" s="67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5.75" customHeight="1" x14ac:dyDescent="0.55000000000000004">
      <c r="A838" s="51"/>
      <c r="B838" s="49"/>
      <c r="C838" s="52"/>
      <c r="D838" s="52"/>
      <c r="E838" s="179"/>
      <c r="F838" s="180"/>
      <c r="G838" s="67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5.75" customHeight="1" x14ac:dyDescent="0.55000000000000004">
      <c r="A839" s="51"/>
      <c r="B839" s="49"/>
      <c r="C839" s="52"/>
      <c r="D839" s="52"/>
      <c r="E839" s="179"/>
      <c r="F839" s="180"/>
      <c r="G839" s="67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5.75" customHeight="1" x14ac:dyDescent="0.55000000000000004">
      <c r="A840" s="51"/>
      <c r="B840" s="49"/>
      <c r="C840" s="52"/>
      <c r="D840" s="52"/>
      <c r="E840" s="179"/>
      <c r="F840" s="180"/>
      <c r="G840" s="67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5.75" customHeight="1" x14ac:dyDescent="0.55000000000000004">
      <c r="A841" s="51"/>
      <c r="B841" s="49"/>
      <c r="C841" s="52"/>
      <c r="D841" s="52"/>
      <c r="E841" s="179"/>
      <c r="F841" s="180"/>
      <c r="G841" s="67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5.75" customHeight="1" x14ac:dyDescent="0.55000000000000004">
      <c r="A842" s="51"/>
      <c r="B842" s="49"/>
      <c r="C842" s="52"/>
      <c r="D842" s="52"/>
      <c r="E842" s="179"/>
      <c r="F842" s="180"/>
      <c r="G842" s="67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5.75" customHeight="1" x14ac:dyDescent="0.55000000000000004">
      <c r="A843" s="51"/>
      <c r="B843" s="49"/>
      <c r="C843" s="52"/>
      <c r="D843" s="52"/>
      <c r="E843" s="179"/>
      <c r="F843" s="180"/>
      <c r="G843" s="67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5.75" customHeight="1" x14ac:dyDescent="0.55000000000000004">
      <c r="A844" s="51"/>
      <c r="B844" s="49"/>
      <c r="C844" s="52"/>
      <c r="D844" s="52"/>
      <c r="E844" s="179"/>
      <c r="F844" s="180"/>
      <c r="G844" s="67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5.75" customHeight="1" x14ac:dyDescent="0.55000000000000004">
      <c r="A845" s="51"/>
      <c r="B845" s="49"/>
      <c r="C845" s="52"/>
      <c r="D845" s="52"/>
      <c r="E845" s="179"/>
      <c r="F845" s="180"/>
      <c r="G845" s="67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5.75" customHeight="1" x14ac:dyDescent="0.55000000000000004">
      <c r="A846" s="51"/>
      <c r="B846" s="49"/>
      <c r="C846" s="52"/>
      <c r="D846" s="52"/>
      <c r="E846" s="179"/>
      <c r="F846" s="180"/>
      <c r="G846" s="67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5.75" customHeight="1" x14ac:dyDescent="0.55000000000000004">
      <c r="A847" s="51"/>
      <c r="B847" s="49"/>
      <c r="C847" s="52"/>
      <c r="D847" s="52"/>
      <c r="E847" s="179"/>
      <c r="F847" s="180"/>
      <c r="G847" s="67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5.75" customHeight="1" x14ac:dyDescent="0.55000000000000004">
      <c r="A848" s="51"/>
      <c r="B848" s="49"/>
      <c r="C848" s="52"/>
      <c r="D848" s="52"/>
      <c r="E848" s="179"/>
      <c r="F848" s="180"/>
      <c r="G848" s="67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5.75" customHeight="1" x14ac:dyDescent="0.55000000000000004">
      <c r="A849" s="51"/>
      <c r="B849" s="49"/>
      <c r="C849" s="52"/>
      <c r="D849" s="52"/>
      <c r="E849" s="179"/>
      <c r="F849" s="180"/>
      <c r="G849" s="67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5.75" customHeight="1" x14ac:dyDescent="0.55000000000000004">
      <c r="A850" s="51"/>
      <c r="B850" s="49"/>
      <c r="C850" s="52"/>
      <c r="D850" s="52"/>
      <c r="E850" s="179"/>
      <c r="F850" s="180"/>
      <c r="G850" s="67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5.75" customHeight="1" x14ac:dyDescent="0.55000000000000004">
      <c r="A851" s="51"/>
      <c r="B851" s="49"/>
      <c r="C851" s="52"/>
      <c r="D851" s="52"/>
      <c r="E851" s="179"/>
      <c r="F851" s="180"/>
      <c r="G851" s="67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5.75" customHeight="1" x14ac:dyDescent="0.55000000000000004">
      <c r="A852" s="51"/>
      <c r="B852" s="49"/>
      <c r="C852" s="52"/>
      <c r="D852" s="52"/>
      <c r="E852" s="179"/>
      <c r="F852" s="180"/>
      <c r="G852" s="67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5.75" customHeight="1" x14ac:dyDescent="0.55000000000000004">
      <c r="A853" s="51"/>
      <c r="B853" s="49"/>
      <c r="C853" s="52"/>
      <c r="D853" s="52"/>
      <c r="E853" s="179"/>
      <c r="F853" s="180"/>
      <c r="G853" s="67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5.75" customHeight="1" x14ac:dyDescent="0.55000000000000004">
      <c r="A854" s="51"/>
      <c r="B854" s="49"/>
      <c r="C854" s="52"/>
      <c r="D854" s="52"/>
      <c r="E854" s="179"/>
      <c r="F854" s="180"/>
      <c r="G854" s="67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5.75" customHeight="1" x14ac:dyDescent="0.55000000000000004">
      <c r="A855" s="51"/>
      <c r="B855" s="49"/>
      <c r="C855" s="52"/>
      <c r="D855" s="52"/>
      <c r="E855" s="179"/>
      <c r="F855" s="180"/>
      <c r="G855" s="67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5.75" customHeight="1" x14ac:dyDescent="0.55000000000000004">
      <c r="A856" s="51"/>
      <c r="B856" s="49"/>
      <c r="C856" s="52"/>
      <c r="D856" s="52"/>
      <c r="E856" s="179"/>
      <c r="F856" s="180"/>
      <c r="G856" s="67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5.75" customHeight="1" x14ac:dyDescent="0.55000000000000004">
      <c r="A857" s="51"/>
      <c r="B857" s="49"/>
      <c r="C857" s="52"/>
      <c r="D857" s="52"/>
      <c r="E857" s="179"/>
      <c r="F857" s="180"/>
      <c r="G857" s="67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5.75" customHeight="1" x14ac:dyDescent="0.55000000000000004">
      <c r="A858" s="51"/>
      <c r="B858" s="49"/>
      <c r="C858" s="52"/>
      <c r="D858" s="52"/>
      <c r="E858" s="179"/>
      <c r="F858" s="180"/>
      <c r="G858" s="67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5.75" customHeight="1" x14ac:dyDescent="0.55000000000000004">
      <c r="A859" s="51"/>
      <c r="B859" s="49"/>
      <c r="C859" s="52"/>
      <c r="D859" s="52"/>
      <c r="E859" s="179"/>
      <c r="F859" s="180"/>
      <c r="G859" s="67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5.75" customHeight="1" x14ac:dyDescent="0.55000000000000004">
      <c r="A860" s="51"/>
      <c r="B860" s="49"/>
      <c r="C860" s="52"/>
      <c r="D860" s="52"/>
      <c r="E860" s="179"/>
      <c r="F860" s="180"/>
      <c r="G860" s="67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5.75" customHeight="1" x14ac:dyDescent="0.55000000000000004">
      <c r="A861" s="51"/>
      <c r="B861" s="49"/>
      <c r="C861" s="52"/>
      <c r="D861" s="52"/>
      <c r="E861" s="179"/>
      <c r="F861" s="180"/>
      <c r="G861" s="67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5.75" customHeight="1" x14ac:dyDescent="0.55000000000000004">
      <c r="A862" s="51"/>
      <c r="B862" s="49"/>
      <c r="C862" s="52"/>
      <c r="D862" s="52"/>
      <c r="E862" s="179"/>
      <c r="F862" s="180"/>
      <c r="G862" s="67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5.75" customHeight="1" x14ac:dyDescent="0.55000000000000004">
      <c r="A863" s="51"/>
      <c r="B863" s="49"/>
      <c r="C863" s="52"/>
      <c r="D863" s="52"/>
      <c r="E863" s="179"/>
      <c r="F863" s="180"/>
      <c r="G863" s="67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5.75" customHeight="1" x14ac:dyDescent="0.55000000000000004">
      <c r="A864" s="51"/>
      <c r="B864" s="49"/>
      <c r="C864" s="52"/>
      <c r="D864" s="52"/>
      <c r="E864" s="179"/>
      <c r="F864" s="180"/>
      <c r="G864" s="67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5.75" customHeight="1" x14ac:dyDescent="0.55000000000000004">
      <c r="A865" s="51"/>
      <c r="B865" s="49"/>
      <c r="C865" s="52"/>
      <c r="D865" s="52"/>
      <c r="E865" s="179"/>
      <c r="F865" s="180"/>
      <c r="G865" s="67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5.75" customHeight="1" x14ac:dyDescent="0.55000000000000004">
      <c r="A866" s="51"/>
      <c r="B866" s="49"/>
      <c r="C866" s="52"/>
      <c r="D866" s="52"/>
      <c r="E866" s="179"/>
      <c r="F866" s="180"/>
      <c r="G866" s="67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5.75" customHeight="1" x14ac:dyDescent="0.55000000000000004">
      <c r="A867" s="51"/>
      <c r="B867" s="49"/>
      <c r="C867" s="52"/>
      <c r="D867" s="52"/>
      <c r="E867" s="179"/>
      <c r="F867" s="180"/>
      <c r="G867" s="67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5.75" customHeight="1" x14ac:dyDescent="0.55000000000000004">
      <c r="A868" s="51"/>
      <c r="B868" s="49"/>
      <c r="C868" s="52"/>
      <c r="D868" s="52"/>
      <c r="E868" s="179"/>
      <c r="F868" s="180"/>
      <c r="G868" s="67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5.75" customHeight="1" x14ac:dyDescent="0.55000000000000004">
      <c r="A869" s="51"/>
      <c r="B869" s="49"/>
      <c r="C869" s="52"/>
      <c r="D869" s="52"/>
      <c r="E869" s="179"/>
      <c r="F869" s="180"/>
      <c r="G869" s="67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5.75" customHeight="1" x14ac:dyDescent="0.55000000000000004">
      <c r="A870" s="51"/>
      <c r="B870" s="49"/>
      <c r="C870" s="52"/>
      <c r="D870" s="52"/>
      <c r="E870" s="179"/>
      <c r="F870" s="180"/>
      <c r="G870" s="67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5.75" customHeight="1" x14ac:dyDescent="0.55000000000000004">
      <c r="A871" s="51"/>
      <c r="B871" s="49"/>
      <c r="C871" s="52"/>
      <c r="D871" s="52"/>
      <c r="E871" s="179"/>
      <c r="F871" s="180"/>
      <c r="G871" s="67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5.75" customHeight="1" x14ac:dyDescent="0.55000000000000004">
      <c r="A872" s="51"/>
      <c r="B872" s="49"/>
      <c r="C872" s="52"/>
      <c r="D872" s="52"/>
      <c r="E872" s="179"/>
      <c r="F872" s="180"/>
      <c r="G872" s="67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5.75" customHeight="1" x14ac:dyDescent="0.55000000000000004">
      <c r="A873" s="51"/>
      <c r="B873" s="49"/>
      <c r="C873" s="52"/>
      <c r="D873" s="52"/>
      <c r="E873" s="179"/>
      <c r="F873" s="180"/>
      <c r="G873" s="67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5.75" customHeight="1" x14ac:dyDescent="0.55000000000000004">
      <c r="A874" s="51"/>
      <c r="B874" s="49"/>
      <c r="C874" s="52"/>
      <c r="D874" s="52"/>
      <c r="E874" s="179"/>
      <c r="F874" s="180"/>
      <c r="G874" s="67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5.75" customHeight="1" x14ac:dyDescent="0.55000000000000004">
      <c r="A875" s="51"/>
      <c r="B875" s="49"/>
      <c r="C875" s="52"/>
      <c r="D875" s="52"/>
      <c r="E875" s="179"/>
      <c r="F875" s="180"/>
      <c r="G875" s="67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5.75" customHeight="1" x14ac:dyDescent="0.55000000000000004">
      <c r="A876" s="51"/>
      <c r="B876" s="49"/>
      <c r="C876" s="52"/>
      <c r="D876" s="52"/>
      <c r="E876" s="179"/>
      <c r="F876" s="180"/>
      <c r="G876" s="67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5.75" customHeight="1" x14ac:dyDescent="0.55000000000000004">
      <c r="A877" s="51"/>
      <c r="B877" s="49"/>
      <c r="C877" s="52"/>
      <c r="D877" s="52"/>
      <c r="E877" s="179"/>
      <c r="F877" s="180"/>
      <c r="G877" s="67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5.75" customHeight="1" x14ac:dyDescent="0.55000000000000004">
      <c r="A878" s="51"/>
      <c r="B878" s="49"/>
      <c r="C878" s="52"/>
      <c r="D878" s="52"/>
      <c r="E878" s="179"/>
      <c r="F878" s="180"/>
      <c r="G878" s="67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5.75" customHeight="1" x14ac:dyDescent="0.55000000000000004">
      <c r="A879" s="51"/>
      <c r="B879" s="49"/>
      <c r="C879" s="52"/>
      <c r="D879" s="52"/>
      <c r="E879" s="179"/>
      <c r="F879" s="180"/>
      <c r="G879" s="67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5.75" customHeight="1" x14ac:dyDescent="0.55000000000000004">
      <c r="A880" s="51"/>
      <c r="B880" s="49"/>
      <c r="C880" s="52"/>
      <c r="D880" s="52"/>
      <c r="E880" s="179"/>
      <c r="F880" s="180"/>
      <c r="G880" s="67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5.75" customHeight="1" x14ac:dyDescent="0.55000000000000004">
      <c r="A881" s="51"/>
      <c r="B881" s="49"/>
      <c r="C881" s="52"/>
      <c r="D881" s="52"/>
      <c r="E881" s="179"/>
      <c r="F881" s="180"/>
      <c r="G881" s="67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5.75" customHeight="1" x14ac:dyDescent="0.55000000000000004">
      <c r="A882" s="51"/>
      <c r="B882" s="49"/>
      <c r="C882" s="52"/>
      <c r="D882" s="52"/>
      <c r="E882" s="179"/>
      <c r="F882" s="180"/>
      <c r="G882" s="67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5.75" customHeight="1" x14ac:dyDescent="0.55000000000000004">
      <c r="A883" s="51"/>
      <c r="B883" s="49"/>
      <c r="C883" s="52"/>
      <c r="D883" s="52"/>
      <c r="E883" s="179"/>
      <c r="F883" s="180"/>
      <c r="G883" s="67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5.75" customHeight="1" x14ac:dyDescent="0.55000000000000004">
      <c r="A884" s="51"/>
      <c r="B884" s="49"/>
      <c r="C884" s="52"/>
      <c r="D884" s="52"/>
      <c r="E884" s="179"/>
      <c r="F884" s="180"/>
      <c r="G884" s="67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5.75" customHeight="1" x14ac:dyDescent="0.55000000000000004">
      <c r="A885" s="51"/>
      <c r="B885" s="49"/>
      <c r="C885" s="52"/>
      <c r="D885" s="52"/>
      <c r="E885" s="179"/>
      <c r="F885" s="180"/>
      <c r="G885" s="67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5.75" customHeight="1" x14ac:dyDescent="0.55000000000000004">
      <c r="A886" s="51"/>
      <c r="B886" s="49"/>
      <c r="C886" s="52"/>
      <c r="D886" s="52"/>
      <c r="E886" s="179"/>
      <c r="F886" s="180"/>
      <c r="G886" s="67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5.75" customHeight="1" x14ac:dyDescent="0.55000000000000004">
      <c r="A887" s="51"/>
      <c r="B887" s="49"/>
      <c r="C887" s="52"/>
      <c r="D887" s="52"/>
      <c r="E887" s="179"/>
      <c r="F887" s="180"/>
      <c r="G887" s="67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5.75" customHeight="1" x14ac:dyDescent="0.55000000000000004">
      <c r="A888" s="51"/>
      <c r="B888" s="49"/>
      <c r="C888" s="52"/>
      <c r="D888" s="52"/>
      <c r="E888" s="179"/>
      <c r="F888" s="180"/>
      <c r="G888" s="67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5.75" customHeight="1" x14ac:dyDescent="0.55000000000000004">
      <c r="A889" s="51"/>
      <c r="B889" s="49"/>
      <c r="C889" s="52"/>
      <c r="D889" s="52"/>
      <c r="E889" s="179"/>
      <c r="F889" s="180"/>
      <c r="G889" s="67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5.75" customHeight="1" x14ac:dyDescent="0.55000000000000004">
      <c r="A890" s="51"/>
      <c r="B890" s="49"/>
      <c r="C890" s="52"/>
      <c r="D890" s="52"/>
      <c r="E890" s="179"/>
      <c r="F890" s="180"/>
      <c r="G890" s="67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5.75" customHeight="1" x14ac:dyDescent="0.55000000000000004">
      <c r="A891" s="51"/>
      <c r="B891" s="49"/>
      <c r="C891" s="52"/>
      <c r="D891" s="52"/>
      <c r="E891" s="179"/>
      <c r="F891" s="180"/>
      <c r="G891" s="67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5.75" customHeight="1" x14ac:dyDescent="0.55000000000000004">
      <c r="A892" s="51"/>
      <c r="B892" s="49"/>
      <c r="C892" s="52"/>
      <c r="D892" s="52"/>
      <c r="E892" s="179"/>
      <c r="F892" s="180"/>
      <c r="G892" s="67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5.75" customHeight="1" x14ac:dyDescent="0.55000000000000004">
      <c r="A893" s="51"/>
      <c r="B893" s="49"/>
      <c r="C893" s="52"/>
      <c r="D893" s="52"/>
      <c r="E893" s="179"/>
      <c r="F893" s="180"/>
      <c r="G893" s="67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5.75" customHeight="1" x14ac:dyDescent="0.55000000000000004">
      <c r="A894" s="51"/>
      <c r="B894" s="49"/>
      <c r="C894" s="52"/>
      <c r="D894" s="52"/>
      <c r="E894" s="179"/>
      <c r="F894" s="180"/>
      <c r="G894" s="67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5.75" customHeight="1" x14ac:dyDescent="0.55000000000000004">
      <c r="A895" s="51"/>
      <c r="B895" s="49"/>
      <c r="C895" s="52"/>
      <c r="D895" s="52"/>
      <c r="E895" s="179"/>
      <c r="F895" s="180"/>
      <c r="G895" s="67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5.75" customHeight="1" x14ac:dyDescent="0.55000000000000004">
      <c r="A896" s="51"/>
      <c r="B896" s="49"/>
      <c r="C896" s="52"/>
      <c r="D896" s="52"/>
      <c r="E896" s="179"/>
      <c r="F896" s="180"/>
      <c r="G896" s="67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5.75" customHeight="1" x14ac:dyDescent="0.55000000000000004">
      <c r="A897" s="51"/>
      <c r="B897" s="49"/>
      <c r="C897" s="52"/>
      <c r="D897" s="52"/>
      <c r="E897" s="179"/>
      <c r="F897" s="180"/>
      <c r="G897" s="67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5.75" customHeight="1" x14ac:dyDescent="0.55000000000000004">
      <c r="A898" s="51"/>
      <c r="B898" s="49"/>
      <c r="C898" s="52"/>
      <c r="D898" s="52"/>
      <c r="E898" s="179"/>
      <c r="F898" s="180"/>
      <c r="G898" s="67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5.75" customHeight="1" x14ac:dyDescent="0.55000000000000004">
      <c r="A899" s="51"/>
      <c r="B899" s="49"/>
      <c r="C899" s="52"/>
      <c r="D899" s="52"/>
      <c r="E899" s="179"/>
      <c r="F899" s="180"/>
      <c r="G899" s="67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5.75" customHeight="1" x14ac:dyDescent="0.55000000000000004">
      <c r="A900" s="51"/>
      <c r="B900" s="49"/>
      <c r="C900" s="52"/>
      <c r="D900" s="52"/>
      <c r="E900" s="179"/>
      <c r="F900" s="180"/>
      <c r="G900" s="67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5.75" customHeight="1" x14ac:dyDescent="0.55000000000000004">
      <c r="A901" s="51"/>
      <c r="B901" s="49"/>
      <c r="C901" s="52"/>
      <c r="D901" s="52"/>
      <c r="E901" s="179"/>
      <c r="F901" s="180"/>
      <c r="G901" s="67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5.75" customHeight="1" x14ac:dyDescent="0.55000000000000004">
      <c r="A902" s="51"/>
      <c r="B902" s="49"/>
      <c r="C902" s="52"/>
      <c r="D902" s="52"/>
      <c r="E902" s="179"/>
      <c r="F902" s="180"/>
      <c r="G902" s="67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5.75" customHeight="1" x14ac:dyDescent="0.55000000000000004">
      <c r="A903" s="51"/>
      <c r="B903" s="49"/>
      <c r="C903" s="52"/>
      <c r="D903" s="52"/>
      <c r="E903" s="179"/>
      <c r="F903" s="180"/>
      <c r="G903" s="67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5.75" customHeight="1" x14ac:dyDescent="0.55000000000000004">
      <c r="A904" s="51"/>
      <c r="B904" s="49"/>
      <c r="C904" s="52"/>
      <c r="D904" s="52"/>
      <c r="E904" s="179"/>
      <c r="F904" s="180"/>
      <c r="G904" s="67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5.75" customHeight="1" x14ac:dyDescent="0.55000000000000004">
      <c r="A905" s="51"/>
      <c r="B905" s="49"/>
      <c r="C905" s="52"/>
      <c r="D905" s="52"/>
      <c r="E905" s="179"/>
      <c r="F905" s="180"/>
      <c r="G905" s="67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5.75" customHeight="1" x14ac:dyDescent="0.55000000000000004">
      <c r="A906" s="51"/>
      <c r="B906" s="49"/>
      <c r="C906" s="52"/>
      <c r="D906" s="52"/>
      <c r="E906" s="179"/>
      <c r="F906" s="180"/>
      <c r="G906" s="67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5.75" customHeight="1" x14ac:dyDescent="0.55000000000000004">
      <c r="A907" s="51"/>
      <c r="B907" s="49"/>
      <c r="C907" s="52"/>
      <c r="D907" s="52"/>
      <c r="E907" s="179"/>
      <c r="F907" s="180"/>
      <c r="G907" s="67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5.75" customHeight="1" x14ac:dyDescent="0.55000000000000004">
      <c r="A908" s="51"/>
      <c r="B908" s="49"/>
      <c r="C908" s="52"/>
      <c r="D908" s="52"/>
      <c r="E908" s="179"/>
      <c r="F908" s="180"/>
      <c r="G908" s="67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5.75" customHeight="1" x14ac:dyDescent="0.55000000000000004">
      <c r="A909" s="51"/>
      <c r="B909" s="49"/>
      <c r="C909" s="52"/>
      <c r="D909" s="52"/>
      <c r="E909" s="179"/>
      <c r="F909" s="180"/>
      <c r="G909" s="67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5.75" customHeight="1" x14ac:dyDescent="0.55000000000000004">
      <c r="A910" s="51"/>
      <c r="B910" s="49"/>
      <c r="C910" s="52"/>
      <c r="D910" s="52"/>
      <c r="E910" s="179"/>
      <c r="F910" s="180"/>
      <c r="G910" s="67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5.75" customHeight="1" x14ac:dyDescent="0.55000000000000004">
      <c r="A911" s="51"/>
      <c r="B911" s="49"/>
      <c r="C911" s="52"/>
      <c r="D911" s="52"/>
      <c r="E911" s="179"/>
      <c r="F911" s="180"/>
      <c r="G911" s="67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5.75" customHeight="1" x14ac:dyDescent="0.55000000000000004">
      <c r="A912" s="51"/>
      <c r="B912" s="49"/>
      <c r="C912" s="52"/>
      <c r="D912" s="52"/>
      <c r="E912" s="179"/>
      <c r="F912" s="180"/>
      <c r="G912" s="67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5.75" customHeight="1" x14ac:dyDescent="0.55000000000000004">
      <c r="A913" s="51"/>
      <c r="B913" s="49"/>
      <c r="C913" s="52"/>
      <c r="D913" s="52"/>
      <c r="E913" s="179"/>
      <c r="F913" s="180"/>
      <c r="G913" s="67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5.75" customHeight="1" x14ac:dyDescent="0.55000000000000004">
      <c r="A914" s="51"/>
      <c r="B914" s="49"/>
      <c r="C914" s="52"/>
      <c r="D914" s="52"/>
      <c r="E914" s="179"/>
      <c r="F914" s="180"/>
      <c r="G914" s="67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5.75" customHeight="1" x14ac:dyDescent="0.55000000000000004">
      <c r="A915" s="51"/>
      <c r="B915" s="49"/>
      <c r="C915" s="52"/>
      <c r="D915" s="52"/>
      <c r="E915" s="179"/>
      <c r="F915" s="180"/>
      <c r="G915" s="67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5.75" customHeight="1" x14ac:dyDescent="0.55000000000000004">
      <c r="A916" s="51"/>
      <c r="B916" s="49"/>
      <c r="C916" s="52"/>
      <c r="D916" s="52"/>
      <c r="E916" s="179"/>
      <c r="F916" s="180"/>
      <c r="G916" s="67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5.75" customHeight="1" x14ac:dyDescent="0.55000000000000004">
      <c r="A917" s="51"/>
      <c r="B917" s="49"/>
      <c r="C917" s="52"/>
      <c r="D917" s="52"/>
      <c r="E917" s="179"/>
      <c r="F917" s="180"/>
      <c r="G917" s="67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5.75" customHeight="1" x14ac:dyDescent="0.55000000000000004">
      <c r="A918" s="51"/>
      <c r="B918" s="49"/>
      <c r="C918" s="52"/>
      <c r="D918" s="52"/>
      <c r="E918" s="179"/>
      <c r="F918" s="180"/>
      <c r="G918" s="67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5.75" customHeight="1" x14ac:dyDescent="0.55000000000000004">
      <c r="A919" s="51"/>
      <c r="B919" s="49"/>
      <c r="C919" s="52"/>
      <c r="D919" s="52"/>
      <c r="E919" s="179"/>
      <c r="F919" s="180"/>
      <c r="G919" s="67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5.75" customHeight="1" x14ac:dyDescent="0.55000000000000004">
      <c r="A920" s="51"/>
      <c r="B920" s="49"/>
      <c r="C920" s="52"/>
      <c r="D920" s="52"/>
      <c r="E920" s="179"/>
      <c r="F920" s="180"/>
      <c r="G920" s="67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5.75" customHeight="1" x14ac:dyDescent="0.55000000000000004">
      <c r="A921" s="51"/>
      <c r="B921" s="49"/>
      <c r="C921" s="52"/>
      <c r="D921" s="52"/>
      <c r="E921" s="179"/>
      <c r="F921" s="180"/>
      <c r="G921" s="67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5.75" customHeight="1" x14ac:dyDescent="0.55000000000000004">
      <c r="A922" s="51"/>
      <c r="B922" s="49"/>
      <c r="C922" s="52"/>
      <c r="D922" s="52"/>
      <c r="E922" s="179"/>
      <c r="F922" s="180"/>
      <c r="G922" s="67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5.75" customHeight="1" x14ac:dyDescent="0.55000000000000004">
      <c r="A923" s="51"/>
      <c r="B923" s="49"/>
      <c r="C923" s="52"/>
      <c r="D923" s="52"/>
      <c r="E923" s="179"/>
      <c r="F923" s="180"/>
      <c r="G923" s="67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5.75" customHeight="1" x14ac:dyDescent="0.55000000000000004">
      <c r="A924" s="51"/>
      <c r="B924" s="49"/>
      <c r="C924" s="52"/>
      <c r="D924" s="52"/>
      <c r="E924" s="179"/>
      <c r="F924" s="180"/>
      <c r="G924" s="67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5.75" customHeight="1" x14ac:dyDescent="0.55000000000000004">
      <c r="A925" s="51"/>
      <c r="B925" s="49"/>
      <c r="C925" s="52"/>
      <c r="D925" s="52"/>
      <c r="E925" s="179"/>
      <c r="F925" s="180"/>
      <c r="G925" s="67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5.75" customHeight="1" x14ac:dyDescent="0.55000000000000004">
      <c r="A926" s="51"/>
      <c r="B926" s="49"/>
      <c r="C926" s="52"/>
      <c r="D926" s="52"/>
      <c r="E926" s="179"/>
      <c r="F926" s="180"/>
      <c r="G926" s="67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5.75" customHeight="1" x14ac:dyDescent="0.55000000000000004">
      <c r="A927" s="51"/>
      <c r="B927" s="49"/>
      <c r="C927" s="52"/>
      <c r="D927" s="52"/>
      <c r="E927" s="179"/>
      <c r="F927" s="180"/>
      <c r="G927" s="67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5.75" customHeight="1" x14ac:dyDescent="0.55000000000000004">
      <c r="A928" s="51"/>
      <c r="B928" s="49"/>
      <c r="C928" s="52"/>
      <c r="D928" s="52"/>
      <c r="E928" s="179"/>
      <c r="F928" s="180"/>
      <c r="G928" s="67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5.75" customHeight="1" x14ac:dyDescent="0.55000000000000004">
      <c r="A929" s="51"/>
      <c r="B929" s="49"/>
      <c r="C929" s="52"/>
      <c r="D929" s="52"/>
      <c r="E929" s="179"/>
      <c r="F929" s="180"/>
      <c r="G929" s="67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5.75" customHeight="1" x14ac:dyDescent="0.55000000000000004">
      <c r="A930" s="51"/>
      <c r="B930" s="49"/>
      <c r="C930" s="52"/>
      <c r="D930" s="52"/>
      <c r="E930" s="179"/>
      <c r="F930" s="180"/>
      <c r="G930" s="67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5.75" customHeight="1" x14ac:dyDescent="0.55000000000000004">
      <c r="A931" s="51"/>
      <c r="B931" s="49"/>
      <c r="C931" s="52"/>
      <c r="D931" s="52"/>
      <c r="E931" s="179"/>
      <c r="F931" s="180"/>
      <c r="G931" s="67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5.75" customHeight="1" x14ac:dyDescent="0.55000000000000004">
      <c r="A932" s="51"/>
      <c r="B932" s="49"/>
      <c r="C932" s="52"/>
      <c r="D932" s="52"/>
      <c r="E932" s="179"/>
      <c r="F932" s="180"/>
      <c r="G932" s="67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5.75" customHeight="1" x14ac:dyDescent="0.55000000000000004">
      <c r="A933" s="51"/>
      <c r="B933" s="49"/>
      <c r="C933" s="52"/>
      <c r="D933" s="52"/>
      <c r="E933" s="179"/>
      <c r="F933" s="180"/>
      <c r="G933" s="67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5.75" customHeight="1" x14ac:dyDescent="0.55000000000000004">
      <c r="A934" s="51"/>
      <c r="B934" s="49"/>
      <c r="C934" s="52"/>
      <c r="D934" s="52"/>
      <c r="E934" s="179"/>
      <c r="F934" s="180"/>
      <c r="G934" s="67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5.75" customHeight="1" x14ac:dyDescent="0.55000000000000004">
      <c r="A935" s="51"/>
      <c r="B935" s="49"/>
      <c r="C935" s="52"/>
      <c r="D935" s="52"/>
      <c r="E935" s="179"/>
      <c r="F935" s="180"/>
      <c r="G935" s="67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5.75" customHeight="1" x14ac:dyDescent="0.55000000000000004">
      <c r="A936" s="51"/>
      <c r="B936" s="49"/>
      <c r="C936" s="52"/>
      <c r="D936" s="52"/>
      <c r="E936" s="179"/>
      <c r="F936" s="180"/>
      <c r="G936" s="67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5.75" customHeight="1" x14ac:dyDescent="0.55000000000000004">
      <c r="A937" s="51"/>
      <c r="B937" s="49"/>
      <c r="C937" s="52"/>
      <c r="D937" s="52"/>
      <c r="E937" s="179"/>
      <c r="F937" s="180"/>
      <c r="G937" s="67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5.75" customHeight="1" x14ac:dyDescent="0.55000000000000004">
      <c r="A938" s="51"/>
      <c r="B938" s="49"/>
      <c r="C938" s="52"/>
      <c r="D938" s="52"/>
      <c r="E938" s="179"/>
      <c r="F938" s="180"/>
      <c r="G938" s="67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5.75" customHeight="1" x14ac:dyDescent="0.55000000000000004">
      <c r="A939" s="51"/>
      <c r="B939" s="49"/>
      <c r="C939" s="52"/>
      <c r="D939" s="52"/>
      <c r="E939" s="179"/>
      <c r="F939" s="180"/>
      <c r="G939" s="67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5.75" customHeight="1" x14ac:dyDescent="0.55000000000000004">
      <c r="A940" s="51"/>
      <c r="B940" s="49"/>
      <c r="C940" s="52"/>
      <c r="D940" s="52"/>
      <c r="E940" s="179"/>
      <c r="F940" s="180"/>
      <c r="G940" s="67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5.75" customHeight="1" x14ac:dyDescent="0.55000000000000004">
      <c r="A941" s="51"/>
      <c r="B941" s="49"/>
      <c r="C941" s="52"/>
      <c r="D941" s="52"/>
      <c r="E941" s="179"/>
      <c r="F941" s="180"/>
      <c r="G941" s="67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5.75" customHeight="1" x14ac:dyDescent="0.55000000000000004">
      <c r="A942" s="51"/>
      <c r="B942" s="49"/>
      <c r="C942" s="52"/>
      <c r="D942" s="52"/>
      <c r="E942" s="179"/>
      <c r="F942" s="180"/>
      <c r="G942" s="67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5.75" customHeight="1" x14ac:dyDescent="0.55000000000000004">
      <c r="A943" s="51"/>
      <c r="B943" s="49"/>
      <c r="C943" s="52"/>
      <c r="D943" s="52"/>
      <c r="E943" s="179"/>
      <c r="F943" s="180"/>
      <c r="G943" s="67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5.75" customHeight="1" x14ac:dyDescent="0.55000000000000004">
      <c r="A944" s="51"/>
      <c r="B944" s="49"/>
      <c r="C944" s="52"/>
      <c r="D944" s="52"/>
      <c r="E944" s="179"/>
      <c r="F944" s="180"/>
      <c r="G944" s="67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5.75" customHeight="1" x14ac:dyDescent="0.55000000000000004">
      <c r="A945" s="51"/>
      <c r="B945" s="49"/>
      <c r="C945" s="52"/>
      <c r="D945" s="52"/>
      <c r="E945" s="179"/>
      <c r="F945" s="180"/>
      <c r="G945" s="67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5.75" customHeight="1" x14ac:dyDescent="0.55000000000000004">
      <c r="A946" s="51"/>
      <c r="B946" s="49"/>
      <c r="C946" s="52"/>
      <c r="D946" s="52"/>
      <c r="E946" s="179"/>
      <c r="F946" s="180"/>
      <c r="G946" s="67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5.75" customHeight="1" x14ac:dyDescent="0.55000000000000004">
      <c r="A947" s="51"/>
      <c r="B947" s="49"/>
      <c r="C947" s="52"/>
      <c r="D947" s="52"/>
      <c r="E947" s="179"/>
      <c r="F947" s="180"/>
      <c r="G947" s="67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5.75" customHeight="1" x14ac:dyDescent="0.55000000000000004">
      <c r="A948" s="51"/>
      <c r="B948" s="49"/>
      <c r="C948" s="52"/>
      <c r="D948" s="52"/>
      <c r="E948" s="179"/>
      <c r="F948" s="180"/>
      <c r="G948" s="67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5.75" customHeight="1" x14ac:dyDescent="0.55000000000000004">
      <c r="A949" s="51"/>
      <c r="B949" s="49"/>
      <c r="C949" s="52"/>
      <c r="D949" s="52"/>
      <c r="E949" s="179"/>
      <c r="F949" s="180"/>
      <c r="G949" s="67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5.75" customHeight="1" x14ac:dyDescent="0.55000000000000004">
      <c r="A950" s="51"/>
      <c r="B950" s="49"/>
      <c r="C950" s="52"/>
      <c r="D950" s="52"/>
      <c r="E950" s="179"/>
      <c r="F950" s="180"/>
      <c r="G950" s="67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5.75" customHeight="1" x14ac:dyDescent="0.55000000000000004">
      <c r="A951" s="51"/>
      <c r="B951" s="49"/>
      <c r="C951" s="52"/>
      <c r="D951" s="52"/>
      <c r="E951" s="179"/>
      <c r="F951" s="180"/>
      <c r="G951" s="67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5.75" customHeight="1" x14ac:dyDescent="0.55000000000000004">
      <c r="A952" s="51"/>
      <c r="B952" s="49"/>
      <c r="C952" s="52"/>
      <c r="D952" s="52"/>
      <c r="E952" s="179"/>
      <c r="F952" s="180"/>
      <c r="G952" s="67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5.75" customHeight="1" x14ac:dyDescent="0.55000000000000004">
      <c r="A953" s="51"/>
      <c r="B953" s="49"/>
      <c r="C953" s="52"/>
      <c r="D953" s="52"/>
      <c r="E953" s="179"/>
      <c r="F953" s="180"/>
      <c r="G953" s="67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5.75" customHeight="1" x14ac:dyDescent="0.55000000000000004">
      <c r="A954" s="51"/>
      <c r="B954" s="49"/>
      <c r="C954" s="52"/>
      <c r="D954" s="52"/>
      <c r="E954" s="179"/>
      <c r="F954" s="180"/>
      <c r="G954" s="67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5.75" customHeight="1" x14ac:dyDescent="0.55000000000000004">
      <c r="A955" s="51"/>
      <c r="B955" s="49"/>
      <c r="C955" s="52"/>
      <c r="D955" s="52"/>
      <c r="E955" s="179"/>
      <c r="F955" s="180"/>
      <c r="G955" s="67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5.75" customHeight="1" x14ac:dyDescent="0.55000000000000004">
      <c r="A956" s="51"/>
      <c r="B956" s="49"/>
      <c r="C956" s="52"/>
      <c r="D956" s="52"/>
      <c r="E956" s="179"/>
      <c r="F956" s="180"/>
      <c r="G956" s="67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5.75" customHeight="1" x14ac:dyDescent="0.55000000000000004">
      <c r="A957" s="51"/>
      <c r="B957" s="49"/>
      <c r="C957" s="52"/>
      <c r="D957" s="52"/>
      <c r="E957" s="179"/>
      <c r="F957" s="180"/>
      <c r="G957" s="67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5.75" customHeight="1" x14ac:dyDescent="0.55000000000000004">
      <c r="A958" s="51"/>
      <c r="B958" s="49"/>
      <c r="C958" s="52"/>
      <c r="D958" s="52"/>
      <c r="E958" s="179"/>
      <c r="F958" s="180"/>
      <c r="G958" s="67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5.75" customHeight="1" x14ac:dyDescent="0.55000000000000004">
      <c r="A959" s="51"/>
      <c r="B959" s="49"/>
      <c r="C959" s="52"/>
      <c r="D959" s="52"/>
      <c r="E959" s="179"/>
      <c r="F959" s="180"/>
      <c r="G959" s="67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5.75" customHeight="1" x14ac:dyDescent="0.55000000000000004">
      <c r="A960" s="51"/>
      <c r="B960" s="49"/>
      <c r="C960" s="52"/>
      <c r="D960" s="52"/>
      <c r="E960" s="179"/>
      <c r="F960" s="180"/>
      <c r="G960" s="67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5.75" customHeight="1" x14ac:dyDescent="0.55000000000000004">
      <c r="A961" s="51"/>
      <c r="B961" s="49"/>
      <c r="C961" s="52"/>
      <c r="D961" s="52"/>
      <c r="E961" s="179"/>
      <c r="F961" s="180"/>
      <c r="G961" s="67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5.75" customHeight="1" x14ac:dyDescent="0.55000000000000004">
      <c r="A962" s="51"/>
      <c r="B962" s="49"/>
      <c r="C962" s="52"/>
      <c r="D962" s="52"/>
      <c r="E962" s="179"/>
      <c r="F962" s="180"/>
      <c r="G962" s="67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15.75" customHeight="1" x14ac:dyDescent="0.55000000000000004">
      <c r="A963" s="51"/>
      <c r="B963" s="49"/>
      <c r="C963" s="52"/>
      <c r="D963" s="52"/>
      <c r="E963" s="179"/>
      <c r="F963" s="180"/>
      <c r="G963" s="67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15.75" customHeight="1" x14ac:dyDescent="0.55000000000000004">
      <c r="A964" s="51"/>
      <c r="B964" s="49"/>
      <c r="C964" s="52"/>
      <c r="D964" s="52"/>
      <c r="E964" s="179"/>
      <c r="F964" s="180"/>
      <c r="G964" s="67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15.75" customHeight="1" x14ac:dyDescent="0.55000000000000004">
      <c r="A965" s="51"/>
      <c r="B965" s="49"/>
      <c r="C965" s="52"/>
      <c r="D965" s="52"/>
      <c r="E965" s="179"/>
      <c r="F965" s="180"/>
      <c r="G965" s="67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15.75" customHeight="1" x14ac:dyDescent="0.55000000000000004">
      <c r="A966" s="51"/>
      <c r="B966" s="49"/>
      <c r="C966" s="52"/>
      <c r="D966" s="52"/>
      <c r="E966" s="179"/>
      <c r="F966" s="180"/>
      <c r="G966" s="67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15.75" customHeight="1" x14ac:dyDescent="0.55000000000000004">
      <c r="A967" s="51"/>
      <c r="B967" s="49"/>
      <c r="C967" s="52"/>
      <c r="D967" s="52"/>
      <c r="E967" s="179"/>
      <c r="F967" s="180"/>
      <c r="G967" s="67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15.75" customHeight="1" x14ac:dyDescent="0.55000000000000004">
      <c r="A968" s="51"/>
      <c r="B968" s="49"/>
      <c r="C968" s="52"/>
      <c r="D968" s="52"/>
      <c r="E968" s="179"/>
      <c r="F968" s="180"/>
      <c r="G968" s="67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15.75" customHeight="1" x14ac:dyDescent="0.55000000000000004">
      <c r="A969" s="51"/>
      <c r="B969" s="49"/>
      <c r="C969" s="52"/>
      <c r="D969" s="52"/>
      <c r="E969" s="179"/>
      <c r="F969" s="180"/>
      <c r="G969" s="67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15.75" customHeight="1" x14ac:dyDescent="0.55000000000000004">
      <c r="A970" s="51"/>
      <c r="B970" s="49"/>
      <c r="C970" s="52"/>
      <c r="D970" s="52"/>
      <c r="E970" s="179"/>
      <c r="F970" s="180"/>
      <c r="G970" s="67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15.75" customHeight="1" x14ac:dyDescent="0.55000000000000004">
      <c r="A971" s="51"/>
      <c r="B971" s="49"/>
      <c r="C971" s="52"/>
      <c r="D971" s="52"/>
      <c r="E971" s="179"/>
      <c r="F971" s="180"/>
      <c r="G971" s="67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15.75" customHeight="1" x14ac:dyDescent="0.55000000000000004">
      <c r="A972" s="51"/>
      <c r="B972" s="49"/>
      <c r="C972" s="52"/>
      <c r="D972" s="52"/>
      <c r="E972" s="179"/>
      <c r="F972" s="180"/>
      <c r="G972" s="67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15.75" customHeight="1" x14ac:dyDescent="0.55000000000000004">
      <c r="A973" s="51"/>
      <c r="B973" s="49"/>
      <c r="C973" s="52"/>
      <c r="D973" s="52"/>
      <c r="E973" s="179"/>
      <c r="F973" s="180"/>
      <c r="G973" s="67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15.75" customHeight="1" x14ac:dyDescent="0.55000000000000004">
      <c r="A974" s="51"/>
      <c r="B974" s="49"/>
      <c r="C974" s="52"/>
      <c r="D974" s="52"/>
      <c r="E974" s="179"/>
      <c r="F974" s="180"/>
      <c r="G974" s="67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15.75" customHeight="1" x14ac:dyDescent="0.55000000000000004">
      <c r="A975" s="51"/>
      <c r="B975" s="49"/>
      <c r="C975" s="52"/>
      <c r="D975" s="52"/>
      <c r="E975" s="179"/>
      <c r="F975" s="180"/>
      <c r="G975" s="67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15.75" customHeight="1" x14ac:dyDescent="0.55000000000000004">
      <c r="A976" s="51"/>
      <c r="B976" s="49"/>
      <c r="C976" s="52"/>
      <c r="D976" s="52"/>
      <c r="E976" s="179"/>
      <c r="F976" s="180"/>
      <c r="G976" s="67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15.75" customHeight="1" x14ac:dyDescent="0.55000000000000004">
      <c r="A977" s="51"/>
      <c r="B977" s="49"/>
      <c r="C977" s="52"/>
      <c r="D977" s="52"/>
      <c r="E977" s="179"/>
      <c r="F977" s="180"/>
      <c r="G977" s="67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15.75" customHeight="1" x14ac:dyDescent="0.55000000000000004">
      <c r="A978" s="51"/>
      <c r="B978" s="49"/>
      <c r="C978" s="52"/>
      <c r="D978" s="52"/>
      <c r="E978" s="179"/>
      <c r="F978" s="180"/>
      <c r="G978" s="67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15.75" customHeight="1" x14ac:dyDescent="0.55000000000000004">
      <c r="A979" s="51"/>
      <c r="B979" s="49"/>
      <c r="C979" s="52"/>
      <c r="D979" s="52"/>
      <c r="E979" s="179"/>
      <c r="F979" s="180"/>
      <c r="G979" s="67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15.75" customHeight="1" x14ac:dyDescent="0.55000000000000004">
      <c r="A980" s="51"/>
      <c r="B980" s="49"/>
      <c r="C980" s="52"/>
      <c r="D980" s="52"/>
      <c r="E980" s="179"/>
      <c r="F980" s="180"/>
      <c r="G980" s="67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15.75" customHeight="1" x14ac:dyDescent="0.55000000000000004">
      <c r="A981" s="51"/>
      <c r="B981" s="49"/>
      <c r="C981" s="52"/>
      <c r="D981" s="52"/>
      <c r="E981" s="179"/>
      <c r="F981" s="180"/>
      <c r="G981" s="67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15.75" customHeight="1" x14ac:dyDescent="0.55000000000000004">
      <c r="A982" s="51"/>
      <c r="B982" s="49"/>
      <c r="C982" s="52"/>
      <c r="D982" s="52"/>
      <c r="E982" s="179"/>
      <c r="F982" s="180"/>
      <c r="G982" s="67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15.75" customHeight="1" x14ac:dyDescent="0.55000000000000004">
      <c r="A983" s="51"/>
      <c r="B983" s="49"/>
      <c r="C983" s="52"/>
      <c r="D983" s="52"/>
      <c r="E983" s="179"/>
      <c r="F983" s="180"/>
      <c r="G983" s="67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15.75" customHeight="1" x14ac:dyDescent="0.55000000000000004">
      <c r="A984" s="51"/>
      <c r="B984" s="49"/>
      <c r="C984" s="52"/>
      <c r="D984" s="52"/>
      <c r="E984" s="179"/>
      <c r="F984" s="180"/>
      <c r="G984" s="67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15.75" customHeight="1" x14ac:dyDescent="0.55000000000000004">
      <c r="A985" s="51"/>
      <c r="B985" s="49"/>
      <c r="C985" s="52"/>
      <c r="D985" s="52"/>
      <c r="E985" s="179"/>
      <c r="F985" s="180"/>
      <c r="G985" s="67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15.75" customHeight="1" x14ac:dyDescent="0.55000000000000004">
      <c r="A986" s="51"/>
      <c r="B986" s="49"/>
      <c r="C986" s="52"/>
      <c r="D986" s="52"/>
      <c r="E986" s="179"/>
      <c r="F986" s="180"/>
      <c r="G986" s="67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15.75" customHeight="1" x14ac:dyDescent="0.55000000000000004">
      <c r="A987" s="51"/>
      <c r="B987" s="49"/>
      <c r="C987" s="52"/>
      <c r="D987" s="52"/>
      <c r="E987" s="179"/>
      <c r="F987" s="180"/>
      <c r="G987" s="67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15.75" customHeight="1" x14ac:dyDescent="0.55000000000000004">
      <c r="A988" s="51"/>
      <c r="B988" s="49"/>
      <c r="C988" s="52"/>
      <c r="D988" s="52"/>
      <c r="E988" s="179"/>
      <c r="F988" s="180"/>
      <c r="G988" s="67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15.75" customHeight="1" x14ac:dyDescent="0.55000000000000004">
      <c r="A989" s="51"/>
      <c r="B989" s="49"/>
      <c r="C989" s="52"/>
      <c r="D989" s="52"/>
      <c r="E989" s="179"/>
      <c r="F989" s="180"/>
      <c r="G989" s="67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15.75" customHeight="1" x14ac:dyDescent="0.55000000000000004">
      <c r="A990" s="51"/>
      <c r="B990" s="49"/>
      <c r="C990" s="52"/>
      <c r="D990" s="52"/>
      <c r="E990" s="179"/>
      <c r="F990" s="180"/>
      <c r="G990" s="67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15.75" customHeight="1" x14ac:dyDescent="0.55000000000000004">
      <c r="A991" s="51"/>
      <c r="B991" s="49"/>
      <c r="C991" s="52"/>
      <c r="D991" s="52"/>
      <c r="E991" s="179"/>
      <c r="F991" s="180"/>
      <c r="G991" s="67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15.75" customHeight="1" x14ac:dyDescent="0.55000000000000004">
      <c r="A992" s="51"/>
      <c r="B992" s="49"/>
      <c r="C992" s="52"/>
      <c r="D992" s="52"/>
      <c r="E992" s="179"/>
      <c r="F992" s="180"/>
      <c r="G992" s="67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1:27" ht="15.75" customHeight="1" x14ac:dyDescent="0.55000000000000004">
      <c r="A993" s="51"/>
      <c r="B993" s="49"/>
      <c r="C993" s="52"/>
      <c r="D993" s="52"/>
      <c r="E993" s="179"/>
      <c r="F993" s="180"/>
      <c r="G993" s="67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1:27" ht="15.75" customHeight="1" x14ac:dyDescent="0.55000000000000004">
      <c r="A994" s="51"/>
      <c r="B994" s="49"/>
      <c r="C994" s="52"/>
      <c r="D994" s="52"/>
      <c r="E994" s="179"/>
      <c r="F994" s="180"/>
      <c r="G994" s="67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1:27" ht="15.75" customHeight="1" x14ac:dyDescent="0.55000000000000004">
      <c r="A995" s="51"/>
      <c r="B995" s="49"/>
      <c r="C995" s="52"/>
      <c r="D995" s="52"/>
      <c r="E995" s="179"/>
      <c r="F995" s="180"/>
      <c r="G995" s="67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1:27" ht="15.75" customHeight="1" x14ac:dyDescent="0.55000000000000004">
      <c r="A996" s="51"/>
      <c r="B996" s="49"/>
      <c r="C996" s="52"/>
      <c r="D996" s="52"/>
      <c r="E996" s="179"/>
      <c r="F996" s="180"/>
      <c r="G996" s="67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spans="1:27" ht="15.75" customHeight="1" x14ac:dyDescent="0.55000000000000004">
      <c r="A997" s="51"/>
      <c r="B997" s="49"/>
      <c r="C997" s="52"/>
      <c r="D997" s="52"/>
      <c r="E997" s="179"/>
      <c r="F997" s="180"/>
      <c r="G997" s="67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spans="1:27" ht="15.75" customHeight="1" x14ac:dyDescent="0.55000000000000004">
      <c r="A998" s="51"/>
      <c r="B998" s="49"/>
      <c r="C998" s="52"/>
      <c r="D998" s="52"/>
      <c r="E998" s="179"/>
      <c r="F998" s="180"/>
      <c r="G998" s="67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spans="1:27" ht="15.75" customHeight="1" x14ac:dyDescent="0.55000000000000004">
      <c r="A999" s="51"/>
      <c r="B999" s="49"/>
      <c r="C999" s="52"/>
      <c r="D999" s="52"/>
      <c r="E999" s="179"/>
      <c r="F999" s="180"/>
      <c r="G999" s="67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spans="1:27" ht="15.75" customHeight="1" x14ac:dyDescent="0.55000000000000004">
      <c r="A1000" s="51"/>
      <c r="B1000" s="49"/>
      <c r="C1000" s="52"/>
      <c r="D1000" s="52"/>
      <c r="E1000" s="179"/>
      <c r="F1000" s="180"/>
      <c r="G1000" s="67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 spans="1:27" ht="15.75" customHeight="1" x14ac:dyDescent="0.55000000000000004">
      <c r="A1001" s="51"/>
      <c r="B1001" s="49"/>
      <c r="C1001" s="52"/>
      <c r="D1001" s="52"/>
      <c r="E1001" s="179"/>
      <c r="F1001" s="180"/>
      <c r="G1001" s="67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 spans="1:27" ht="15.75" customHeight="1" x14ac:dyDescent="0.55000000000000004">
      <c r="A1002" s="51"/>
      <c r="B1002" s="49"/>
      <c r="C1002" s="52"/>
      <c r="D1002" s="52"/>
      <c r="E1002" s="179"/>
      <c r="F1002" s="180"/>
      <c r="G1002" s="67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 spans="1:27" ht="15.75" customHeight="1" x14ac:dyDescent="0.55000000000000004">
      <c r="A1003" s="51"/>
      <c r="B1003" s="49"/>
      <c r="C1003" s="52"/>
      <c r="D1003" s="52"/>
      <c r="E1003" s="179"/>
      <c r="F1003" s="180"/>
      <c r="G1003" s="67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 spans="1:27" ht="15.75" customHeight="1" x14ac:dyDescent="0.55000000000000004">
      <c r="A1004" s="51"/>
      <c r="B1004" s="49"/>
      <c r="C1004" s="52"/>
      <c r="D1004" s="52"/>
      <c r="E1004" s="179"/>
      <c r="F1004" s="180"/>
      <c r="G1004" s="67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</sheetData>
  <mergeCells count="8">
    <mergeCell ref="A191:D191"/>
    <mergeCell ref="A12:G12"/>
    <mergeCell ref="A187:D187"/>
    <mergeCell ref="A1:G5"/>
    <mergeCell ref="B7:G7"/>
    <mergeCell ref="B8:G8"/>
    <mergeCell ref="B9:G9"/>
    <mergeCell ref="B10:G10"/>
  </mergeCells>
  <phoneticPr fontId="15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F3EB-0A32-4B4E-ACB4-0FE1FF94A8EA}">
  <dimension ref="A1:S1003"/>
  <sheetViews>
    <sheetView topLeftCell="A2" zoomScale="70" zoomScaleNormal="70" workbookViewId="0">
      <selection activeCell="G35" sqref="G35:G36"/>
    </sheetView>
  </sheetViews>
  <sheetFormatPr defaultColWidth="14.42578125" defaultRowHeight="15" customHeight="1" x14ac:dyDescent="0.2"/>
  <cols>
    <col min="1" max="1" width="64.42578125" style="184" customWidth="1"/>
    <col min="2" max="2" width="24.7109375" style="184" customWidth="1"/>
    <col min="3" max="3" width="25.85546875" style="184" customWidth="1"/>
    <col min="4" max="4" width="23.140625" style="184" bestFit="1" customWidth="1"/>
    <col min="5" max="5" width="14.28515625" style="212" customWidth="1"/>
    <col min="6" max="6" width="18.28515625" style="212" bestFit="1" customWidth="1"/>
    <col min="7" max="7" width="17.7109375" style="184" customWidth="1"/>
    <col min="8" max="8" width="19.28515625" style="184" bestFit="1" customWidth="1"/>
    <col min="9" max="9" width="14.28515625" style="184" customWidth="1"/>
    <col min="10" max="19" width="9.140625" style="184" customWidth="1"/>
    <col min="20" max="16384" width="14.42578125" style="184"/>
  </cols>
  <sheetData>
    <row r="1" spans="1:19" ht="22.5" customHeight="1" thickBot="1" x14ac:dyDescent="0.25">
      <c r="A1" s="181" t="s">
        <v>475</v>
      </c>
      <c r="B1" s="182" t="s">
        <v>476</v>
      </c>
      <c r="C1" s="182" t="s">
        <v>558</v>
      </c>
      <c r="D1" s="182" t="s">
        <v>557</v>
      </c>
      <c r="E1" s="182" t="s">
        <v>477</v>
      </c>
      <c r="F1" s="182" t="s">
        <v>478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ht="22.5" customHeight="1" thickBot="1" x14ac:dyDescent="0.25">
      <c r="A2" s="185" t="s">
        <v>168</v>
      </c>
      <c r="B2" s="186">
        <f>OBRA!C16</f>
        <v>2551044.0835699993</v>
      </c>
      <c r="C2" s="187">
        <f>B2-D2</f>
        <v>2379090.0835699993</v>
      </c>
      <c r="D2" s="187">
        <f>CUSTOS_INDIRETOS!F45</f>
        <v>171954</v>
      </c>
      <c r="E2" s="188">
        <f t="shared" ref="E2:E18" si="0">B2/$B$23</f>
        <v>0.12298688700835819</v>
      </c>
      <c r="F2" s="189">
        <f>SUM(C2:D2)/$I$2</f>
        <v>702.22916982861591</v>
      </c>
      <c r="G2" s="183"/>
      <c r="H2" s="190" t="s">
        <v>10</v>
      </c>
      <c r="I2" s="191">
        <f>[2]ORÇAMENTO_PARAMÉTRICO!G2</f>
        <v>3632.7799999999997</v>
      </c>
      <c r="J2" s="192" t="s">
        <v>27</v>
      </c>
      <c r="K2" s="183"/>
      <c r="L2" s="183"/>
      <c r="M2" s="183"/>
      <c r="N2" s="183"/>
      <c r="O2" s="183"/>
      <c r="P2" s="183"/>
      <c r="Q2" s="183"/>
      <c r="R2" s="183"/>
      <c r="S2" s="183"/>
    </row>
    <row r="3" spans="1:19" ht="19.5" customHeight="1" x14ac:dyDescent="0.2">
      <c r="A3" s="193" t="s">
        <v>172</v>
      </c>
      <c r="B3" s="194">
        <f>OBRA!C17</f>
        <v>309991.73780400783</v>
      </c>
      <c r="C3" s="195">
        <f>B3</f>
        <v>309991.73780400783</v>
      </c>
      <c r="D3" s="195">
        <v>0</v>
      </c>
      <c r="E3" s="196">
        <f t="shared" si="0"/>
        <v>1.4944829482316541E-2</v>
      </c>
      <c r="F3" s="197">
        <f>SUM(C3:D3)/$I$2</f>
        <v>85.331822407084346</v>
      </c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spans="1:19" ht="19.5" customHeight="1" x14ac:dyDescent="0.2">
      <c r="A4" s="185" t="s">
        <v>425</v>
      </c>
      <c r="B4" s="186">
        <f>OBRA!C18</f>
        <v>692136.72210880008</v>
      </c>
      <c r="C4" s="187">
        <f>B4-D4</f>
        <v>422366.76889120007</v>
      </c>
      <c r="D4" s="187">
        <f>GERENCIAMENTO_EXECUTIVO!F49+GERENCIAMENTO_EXECUTIVO!F50</f>
        <v>269769.95321760001</v>
      </c>
      <c r="E4" s="188">
        <f t="shared" si="0"/>
        <v>3.336819672563477E-2</v>
      </c>
      <c r="F4" s="189">
        <f>SUM(C4:D4)/$I$2</f>
        <v>190.52536132350434</v>
      </c>
      <c r="G4" s="183"/>
      <c r="H4" s="198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</row>
    <row r="5" spans="1:19" ht="19.5" customHeight="1" x14ac:dyDescent="0.2">
      <c r="A5" s="193" t="s">
        <v>65</v>
      </c>
      <c r="B5" s="194">
        <f>OBRA!C19</f>
        <v>978970.993038713</v>
      </c>
      <c r="C5" s="195">
        <f>B5-D5</f>
        <v>632090.21803871298</v>
      </c>
      <c r="D5" s="195">
        <f>GERENCIAMENTO_EXECUTIVO!F42+GERENCIAMENTO_EXECUTIVO!F36</f>
        <v>346880.77500000002</v>
      </c>
      <c r="E5" s="196">
        <f t="shared" si="0"/>
        <v>4.7196595182636199E-2</v>
      </c>
      <c r="F5" s="197">
        <f>SUM(C5:D5)/$I$2</f>
        <v>269.48259818615855</v>
      </c>
      <c r="G5" s="183"/>
      <c r="H5" s="198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</row>
    <row r="6" spans="1:19" ht="19.5" customHeight="1" x14ac:dyDescent="0.2">
      <c r="A6" s="185" t="s">
        <v>197</v>
      </c>
      <c r="B6" s="186">
        <f>OBRA!C20</f>
        <v>2901220.4606840219</v>
      </c>
      <c r="C6" s="187">
        <f>B6-D6</f>
        <v>1795038.9506840219</v>
      </c>
      <c r="D6" s="187">
        <f>GERENCIAMENTO_EXECUTIVO!F61</f>
        <v>1106181.51</v>
      </c>
      <c r="E6" s="188">
        <f t="shared" si="0"/>
        <v>0.13986903451905477</v>
      </c>
      <c r="F6" s="189">
        <f t="shared" ref="F6:F21" si="1">SUM(C6:D6)/$I$2</f>
        <v>798.62266932872956</v>
      </c>
      <c r="G6" s="183"/>
      <c r="H6" s="198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</row>
    <row r="7" spans="1:19" ht="19.5" customHeight="1" x14ac:dyDescent="0.2">
      <c r="A7" s="193" t="s">
        <v>206</v>
      </c>
      <c r="B7" s="194">
        <f>OBRA!C21</f>
        <v>529588.49855599995</v>
      </c>
      <c r="C7" s="195">
        <f>B7-D7</f>
        <v>295519.37855599995</v>
      </c>
      <c r="D7" s="195">
        <f>GERENCIAMENTO_EXECUTIVO!F71</f>
        <v>234069.12</v>
      </c>
      <c r="E7" s="196">
        <f t="shared" si="0"/>
        <v>2.5531679853091661E-2</v>
      </c>
      <c r="F7" s="197">
        <f t="shared" si="1"/>
        <v>145.78050378938443</v>
      </c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</row>
    <row r="8" spans="1:19" ht="19.5" customHeight="1" x14ac:dyDescent="0.2">
      <c r="A8" s="185" t="s">
        <v>479</v>
      </c>
      <c r="B8" s="186">
        <f>OBRA!C22</f>
        <v>1372645.923</v>
      </c>
      <c r="C8" s="187">
        <f>B8-D8</f>
        <v>1372645.923</v>
      </c>
      <c r="D8" s="187">
        <v>0</v>
      </c>
      <c r="E8" s="188">
        <f t="shared" si="0"/>
        <v>6.6175825859597401E-2</v>
      </c>
      <c r="F8" s="189">
        <f t="shared" si="1"/>
        <v>377.85</v>
      </c>
      <c r="G8" s="183"/>
      <c r="H8" s="199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</row>
    <row r="9" spans="1:19" ht="19.5" customHeight="1" x14ac:dyDescent="0.25">
      <c r="A9" s="193" t="s">
        <v>480</v>
      </c>
      <c r="B9" s="194">
        <f>OBRA!C23</f>
        <v>697857.6183333334</v>
      </c>
      <c r="C9" s="195">
        <f>B9</f>
        <v>697857.6183333334</v>
      </c>
      <c r="D9" s="195">
        <v>0</v>
      </c>
      <c r="E9" s="196">
        <f t="shared" si="0"/>
        <v>3.364400349121939E-2</v>
      </c>
      <c r="F9" s="197">
        <f t="shared" si="1"/>
        <v>192.10015974909945</v>
      </c>
      <c r="G9" s="200"/>
      <c r="H9" s="201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</row>
    <row r="10" spans="1:19" ht="19.5" customHeight="1" x14ac:dyDescent="0.2">
      <c r="A10" s="185" t="s">
        <v>290</v>
      </c>
      <c r="B10" s="186">
        <f>OBRA!C24</f>
        <v>292179.89388500003</v>
      </c>
      <c r="C10" s="187">
        <f>B10</f>
        <v>292179.89388500003</v>
      </c>
      <c r="D10" s="187">
        <v>0</v>
      </c>
      <c r="E10" s="188">
        <f t="shared" si="0"/>
        <v>1.4086113143549118E-2</v>
      </c>
      <c r="F10" s="189">
        <f t="shared" si="1"/>
        <v>80.428733335076728</v>
      </c>
      <c r="G10" s="183"/>
      <c r="H10" s="199"/>
      <c r="I10" s="202"/>
      <c r="J10" s="183"/>
      <c r="K10" s="183"/>
      <c r="L10" s="183"/>
      <c r="M10" s="183"/>
      <c r="N10" s="183"/>
      <c r="O10" s="183"/>
      <c r="P10" s="183"/>
      <c r="Q10" s="183"/>
      <c r="R10" s="183"/>
      <c r="S10" s="183"/>
    </row>
    <row r="11" spans="1:19" ht="19.5" customHeight="1" x14ac:dyDescent="0.2">
      <c r="A11" s="193" t="s">
        <v>306</v>
      </c>
      <c r="B11" s="194">
        <f>OBRA!C25</f>
        <v>808212.99430000002</v>
      </c>
      <c r="C11" s="195">
        <f>B11-D11</f>
        <v>366455.00230000005</v>
      </c>
      <c r="D11" s="195">
        <f>'[1]Rev. Internos Piso e Parede'!$L$21</f>
        <v>441757.99199999997</v>
      </c>
      <c r="E11" s="196">
        <f t="shared" si="0"/>
        <v>3.8964281663670226E-2</v>
      </c>
      <c r="F11" s="197">
        <f t="shared" si="1"/>
        <v>222.4778253293621</v>
      </c>
      <c r="G11" s="183"/>
      <c r="H11" s="20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</row>
    <row r="12" spans="1:19" ht="19.5" customHeight="1" x14ac:dyDescent="0.2">
      <c r="A12" s="185" t="s">
        <v>334</v>
      </c>
      <c r="B12" s="186">
        <f>OBRA!C26</f>
        <v>299766.44000000006</v>
      </c>
      <c r="C12" s="187">
        <f>B12-D12</f>
        <v>284308.24000000005</v>
      </c>
      <c r="D12" s="187">
        <f>[1]TETO!$M$12</f>
        <v>15458.2</v>
      </c>
      <c r="E12" s="188">
        <f t="shared" si="0"/>
        <v>1.4451863659519615E-2</v>
      </c>
      <c r="F12" s="189">
        <f t="shared" si="1"/>
        <v>82.517091593765684</v>
      </c>
      <c r="G12" s="183"/>
      <c r="H12" s="183"/>
      <c r="I12" s="204"/>
      <c r="J12" s="183"/>
      <c r="K12" s="183"/>
      <c r="L12" s="183"/>
      <c r="M12" s="183"/>
      <c r="N12" s="183"/>
      <c r="O12" s="183"/>
      <c r="P12" s="183"/>
      <c r="Q12" s="183"/>
      <c r="R12" s="183"/>
      <c r="S12" s="183"/>
    </row>
    <row r="13" spans="1:19" ht="19.5" customHeight="1" x14ac:dyDescent="0.2">
      <c r="A13" s="193" t="s">
        <v>320</v>
      </c>
      <c r="B13" s="194">
        <f>OBRA!C27</f>
        <v>918707.1322750001</v>
      </c>
      <c r="C13" s="195">
        <f>B13-D13</f>
        <v>563446.06827500009</v>
      </c>
      <c r="D13" s="195">
        <f>'[1]Acabamentos de Piso e Parede'!$L$24</f>
        <v>355261.06400000001</v>
      </c>
      <c r="E13" s="196">
        <f t="shared" si="0"/>
        <v>4.4291249609751344E-2</v>
      </c>
      <c r="F13" s="197">
        <f t="shared" si="1"/>
        <v>252.89368810525278</v>
      </c>
      <c r="G13" s="183"/>
      <c r="H13" s="183"/>
      <c r="I13" s="203"/>
      <c r="J13" s="183"/>
      <c r="K13" s="183"/>
      <c r="L13" s="183"/>
      <c r="M13" s="183"/>
      <c r="N13" s="183"/>
      <c r="O13" s="183"/>
      <c r="P13" s="183"/>
      <c r="Q13" s="183"/>
      <c r="R13" s="183"/>
      <c r="S13" s="183"/>
    </row>
    <row r="14" spans="1:19" ht="19.5" customHeight="1" x14ac:dyDescent="0.2">
      <c r="A14" s="185" t="s">
        <v>340</v>
      </c>
      <c r="B14" s="186">
        <f>OBRA!C28</f>
        <v>678657.63479999988</v>
      </c>
      <c r="C14" s="187">
        <f>B14-D14</f>
        <v>273839.49679999996</v>
      </c>
      <c r="D14" s="187">
        <f>'[1]PINTURA INTERNA'!$L$15</f>
        <v>404818.13799999992</v>
      </c>
      <c r="E14" s="188">
        <f t="shared" si="0"/>
        <v>3.2718364369345852E-2</v>
      </c>
      <c r="F14" s="189">
        <f t="shared" si="1"/>
        <v>186.81495570885104</v>
      </c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</row>
    <row r="15" spans="1:19" ht="19.5" customHeight="1" x14ac:dyDescent="0.2">
      <c r="A15" s="193" t="s">
        <v>481</v>
      </c>
      <c r="B15" s="194">
        <f>OBRA!C29</f>
        <v>1379827.368</v>
      </c>
      <c r="C15" s="195">
        <f>B15-D15</f>
        <v>1339627.368</v>
      </c>
      <c r="D15" s="195">
        <f>[1]ESQUADRIAS!$L$21</f>
        <v>40200</v>
      </c>
      <c r="E15" s="196">
        <f t="shared" si="0"/>
        <v>6.6522046283799458E-2</v>
      </c>
      <c r="F15" s="197">
        <f t="shared" si="1"/>
        <v>379.82684555629578</v>
      </c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</row>
    <row r="16" spans="1:19" ht="19.5" customHeight="1" x14ac:dyDescent="0.2">
      <c r="A16" s="185" t="s">
        <v>482</v>
      </c>
      <c r="B16" s="186">
        <f>OBRA!C30</f>
        <v>0</v>
      </c>
      <c r="C16" s="187">
        <v>0</v>
      </c>
      <c r="D16" s="187">
        <v>0</v>
      </c>
      <c r="E16" s="188">
        <f t="shared" si="0"/>
        <v>0</v>
      </c>
      <c r="F16" s="189">
        <f t="shared" si="1"/>
        <v>0</v>
      </c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</row>
    <row r="17" spans="1:19" ht="19.5" customHeight="1" x14ac:dyDescent="0.2">
      <c r="A17" s="193" t="s">
        <v>362</v>
      </c>
      <c r="B17" s="194">
        <f>OBRA!C31</f>
        <v>667706.87538079999</v>
      </c>
      <c r="C17" s="195">
        <f>B17-D17</f>
        <v>304281.79250079999</v>
      </c>
      <c r="D17" s="195">
        <f>'[1]Rev. Fachada'!$L$35</f>
        <v>363425.08288</v>
      </c>
      <c r="E17" s="196">
        <f t="shared" si="0"/>
        <v>3.2190423742988618E-2</v>
      </c>
      <c r="F17" s="197">
        <f t="shared" si="1"/>
        <v>183.8005261482391</v>
      </c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</row>
    <row r="18" spans="1:19" ht="19.5" customHeight="1" x14ac:dyDescent="0.2">
      <c r="A18" s="185" t="s">
        <v>370</v>
      </c>
      <c r="B18" s="186">
        <f>OBRA!C32</f>
        <v>965572.16800000006</v>
      </c>
      <c r="C18" s="187">
        <f>B18</f>
        <v>965572.16800000006</v>
      </c>
      <c r="D18" s="187">
        <v>0</v>
      </c>
      <c r="E18" s="188">
        <f t="shared" si="0"/>
        <v>4.6550632303478556E-2</v>
      </c>
      <c r="F18" s="189">
        <f t="shared" si="1"/>
        <v>265.79428646931552</v>
      </c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</row>
    <row r="19" spans="1:19" ht="19.5" customHeight="1" x14ac:dyDescent="0.2">
      <c r="A19" s="193" t="s">
        <v>483</v>
      </c>
      <c r="B19" s="194">
        <f>OBRA!C33</f>
        <v>269860.84920331347</v>
      </c>
      <c r="C19" s="195">
        <f>B19</f>
        <v>269860.84920331347</v>
      </c>
      <c r="D19" s="195">
        <f>[3]RESUMO!$C$20</f>
        <v>0</v>
      </c>
      <c r="E19" s="196">
        <f>B19/$B$23</f>
        <v>1.3010102797793069E-2</v>
      </c>
      <c r="F19" s="197">
        <f>SUM(C19:D19)/$I$2</f>
        <v>74.284941340602373</v>
      </c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</row>
    <row r="20" spans="1:19" ht="19.5" customHeight="1" x14ac:dyDescent="0.2">
      <c r="A20" s="181" t="s">
        <v>484</v>
      </c>
      <c r="B20" s="205">
        <f>SUM(B2:B19)</f>
        <v>16313947.392938988</v>
      </c>
      <c r="C20" s="205">
        <f>SUM(C2:C19)</f>
        <v>12564171.557841389</v>
      </c>
      <c r="D20" s="205">
        <f t="shared" ref="D20:F20" si="2">SUM(D2:D19)</f>
        <v>3749775.8350976007</v>
      </c>
      <c r="E20" s="206">
        <f t="shared" si="2"/>
        <v>0.78650212969580491</v>
      </c>
      <c r="F20" s="205">
        <f t="shared" si="2"/>
        <v>4490.7611781993373</v>
      </c>
      <c r="G20" s="20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</row>
    <row r="21" spans="1:19" ht="19.5" customHeight="1" x14ac:dyDescent="0.2">
      <c r="A21" s="193" t="s">
        <v>553</v>
      </c>
      <c r="B21" s="194">
        <f>OBRA!C36</f>
        <v>4428459.7500000009</v>
      </c>
      <c r="C21" s="195">
        <f>B21</f>
        <v>4428459.7500000009</v>
      </c>
      <c r="D21" s="195">
        <f>[3]RESUMO!C22</f>
        <v>0</v>
      </c>
      <c r="E21" s="196">
        <f>B21/$B$23</f>
        <v>0.2134978703041952</v>
      </c>
      <c r="F21" s="197">
        <f t="shared" si="1"/>
        <v>1219.0277831302753</v>
      </c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</row>
    <row r="22" spans="1:19" ht="19.5" customHeight="1" x14ac:dyDescent="0.2">
      <c r="A22" s="181" t="s">
        <v>484</v>
      </c>
      <c r="B22" s="205">
        <f>SUM(B21:B21)</f>
        <v>4428459.7500000009</v>
      </c>
      <c r="C22" s="205">
        <f>SUM(C21:C21)</f>
        <v>4428459.7500000009</v>
      </c>
      <c r="D22" s="205">
        <f>SUM(D21:D21)</f>
        <v>0</v>
      </c>
      <c r="E22" s="206">
        <f>E20+E21</f>
        <v>1</v>
      </c>
      <c r="F22" s="205">
        <f>SUM(F21:F21)</f>
        <v>1219.0277831302753</v>
      </c>
      <c r="G22" s="20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</row>
    <row r="23" spans="1:19" ht="19.5" customHeight="1" x14ac:dyDescent="0.2">
      <c r="A23" s="181" t="s">
        <v>60</v>
      </c>
      <c r="B23" s="205">
        <f>SUM(B2:B22)/2</f>
        <v>20742407.14293899</v>
      </c>
      <c r="C23" s="205">
        <f>SUM(C2:C22)/2</f>
        <v>16992631.30784139</v>
      </c>
      <c r="D23" s="205">
        <f>SUM(D2:D22)/2</f>
        <v>3749775.8350976007</v>
      </c>
      <c r="E23" s="206"/>
      <c r="F23" s="205">
        <f>SUM(F2:F22)/2</f>
        <v>5709.7889613296129</v>
      </c>
      <c r="G23" s="20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</row>
    <row r="24" spans="1:19" ht="22.5" customHeight="1" x14ac:dyDescent="0.2">
      <c r="A24" s="183"/>
      <c r="B24" s="183"/>
      <c r="C24" s="183"/>
      <c r="D24" s="207">
        <f>D20/I2</f>
        <v>1032.2055932640019</v>
      </c>
      <c r="E24" s="199"/>
      <c r="F24" s="199"/>
      <c r="G24" s="183"/>
      <c r="H24" s="20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</row>
    <row r="25" spans="1:19" ht="22.5" customHeight="1" x14ac:dyDescent="0.2">
      <c r="A25" s="183"/>
      <c r="B25" s="183"/>
      <c r="C25" s="203"/>
      <c r="D25" s="203">
        <f>D20/I2/[2]ORÇAMENTO_PARAMÉTRICO!B25</f>
        <v>0.34262493801582727</v>
      </c>
      <c r="E25" s="199"/>
      <c r="F25" s="208">
        <f>D20/I2</f>
        <v>1032.2055932640019</v>
      </c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</row>
    <row r="26" spans="1:19" ht="15" customHeight="1" x14ac:dyDescent="0.2">
      <c r="A26" s="183"/>
      <c r="B26" s="183"/>
      <c r="C26" s="183"/>
      <c r="D26" s="183"/>
      <c r="E26" s="199"/>
      <c r="F26" s="199"/>
      <c r="G26" s="183"/>
      <c r="H26" s="20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</row>
    <row r="27" spans="1:19" ht="19.5" customHeight="1" x14ac:dyDescent="0.25">
      <c r="A27" s="183"/>
      <c r="B27" s="183"/>
      <c r="C27" s="183"/>
      <c r="D27" s="183"/>
      <c r="E27" s="199"/>
      <c r="F27" s="199"/>
      <c r="G27" s="201"/>
      <c r="H27" s="183"/>
      <c r="I27" s="203"/>
      <c r="J27" s="183"/>
      <c r="K27" s="183"/>
      <c r="L27" s="183"/>
      <c r="M27" s="183"/>
      <c r="N27" s="183"/>
      <c r="O27" s="183"/>
      <c r="P27" s="183"/>
      <c r="Q27" s="183"/>
      <c r="R27" s="183"/>
      <c r="S27" s="183"/>
    </row>
    <row r="28" spans="1:19" ht="19.5" customHeight="1" x14ac:dyDescent="0.45">
      <c r="A28" s="183"/>
      <c r="B28" s="183"/>
      <c r="C28" s="183"/>
      <c r="D28" s="183"/>
      <c r="E28" s="199"/>
      <c r="F28" s="199"/>
      <c r="G28" s="209"/>
      <c r="H28" s="203"/>
      <c r="I28" s="203"/>
      <c r="J28" s="183"/>
      <c r="K28" s="183"/>
      <c r="L28" s="183"/>
      <c r="M28" s="183"/>
      <c r="N28" s="183"/>
      <c r="O28" s="183"/>
      <c r="P28" s="183"/>
      <c r="Q28" s="183"/>
      <c r="R28" s="183"/>
      <c r="S28" s="183"/>
    </row>
    <row r="29" spans="1:19" ht="19.5" customHeight="1" x14ac:dyDescent="0.2">
      <c r="A29" s="183"/>
      <c r="B29" s="183"/>
      <c r="C29" s="183"/>
      <c r="D29" s="183"/>
      <c r="E29" s="199"/>
      <c r="F29" s="199"/>
      <c r="G29" s="210"/>
      <c r="H29" s="211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</row>
    <row r="30" spans="1:19" ht="19.5" customHeight="1" x14ac:dyDescent="0.2">
      <c r="A30" s="183"/>
      <c r="B30" s="183"/>
      <c r="C30" s="183"/>
      <c r="D30" s="183"/>
      <c r="E30" s="199"/>
      <c r="F30" s="199"/>
      <c r="G30" s="183"/>
      <c r="H30" s="211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</row>
    <row r="31" spans="1:19" ht="19.5" customHeight="1" x14ac:dyDescent="0.2">
      <c r="A31" s="183"/>
      <c r="B31" s="183"/>
      <c r="C31" s="183"/>
      <c r="D31" s="183"/>
      <c r="E31" s="199"/>
      <c r="F31" s="199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</row>
    <row r="32" spans="1:19" ht="19.5" customHeight="1" x14ac:dyDescent="0.2">
      <c r="A32" s="183"/>
      <c r="B32" s="183"/>
      <c r="C32" s="183"/>
      <c r="D32" s="183"/>
      <c r="E32" s="199"/>
      <c r="F32" s="199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</row>
    <row r="33" spans="1:19" ht="19.5" customHeight="1" x14ac:dyDescent="0.2">
      <c r="A33" s="183"/>
      <c r="B33" s="183"/>
      <c r="C33" s="183"/>
      <c r="D33" s="183"/>
      <c r="E33" s="199"/>
      <c r="F33" s="199"/>
      <c r="G33" s="183"/>
      <c r="H33" s="20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</row>
    <row r="34" spans="1:19" ht="19.5" customHeight="1" x14ac:dyDescent="0.2">
      <c r="A34" s="183"/>
      <c r="B34" s="183"/>
      <c r="C34" s="183"/>
      <c r="D34" s="183"/>
      <c r="E34" s="199"/>
      <c r="F34" s="199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</row>
    <row r="35" spans="1:19" ht="19.5" customHeight="1" x14ac:dyDescent="0.2">
      <c r="A35" s="183"/>
      <c r="B35" s="183"/>
      <c r="C35" s="183"/>
      <c r="D35" s="183"/>
      <c r="E35" s="199"/>
      <c r="F35" s="199"/>
      <c r="G35" s="183"/>
      <c r="H35" s="20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</row>
    <row r="36" spans="1:19" ht="19.5" customHeight="1" x14ac:dyDescent="0.2">
      <c r="A36" s="183"/>
      <c r="B36" s="183"/>
      <c r="C36" s="183"/>
      <c r="D36" s="183"/>
      <c r="E36" s="199"/>
      <c r="F36" s="199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</row>
    <row r="37" spans="1:19" ht="19.5" customHeight="1" x14ac:dyDescent="0.2">
      <c r="A37" s="183"/>
      <c r="B37" s="183"/>
      <c r="C37" s="183"/>
      <c r="D37" s="183"/>
      <c r="E37" s="199"/>
      <c r="F37" s="199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</row>
    <row r="38" spans="1:19" ht="19.5" customHeight="1" x14ac:dyDescent="0.2">
      <c r="A38" s="183"/>
      <c r="B38" s="183"/>
      <c r="C38" s="183"/>
      <c r="D38" s="183"/>
      <c r="E38" s="199"/>
      <c r="F38" s="199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</row>
    <row r="39" spans="1:19" ht="19.5" customHeight="1" x14ac:dyDescent="0.2">
      <c r="A39" s="183"/>
      <c r="B39" s="183"/>
      <c r="C39" s="183"/>
      <c r="D39" s="183"/>
      <c r="E39" s="199"/>
      <c r="F39" s="199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</row>
    <row r="40" spans="1:19" ht="19.5" customHeight="1" x14ac:dyDescent="0.2">
      <c r="A40" s="183"/>
      <c r="B40" s="183"/>
      <c r="C40" s="183"/>
      <c r="D40" s="183"/>
      <c r="E40" s="199"/>
      <c r="F40" s="199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</row>
    <row r="41" spans="1:19" ht="19.5" customHeight="1" x14ac:dyDescent="0.2">
      <c r="A41" s="183"/>
      <c r="B41" s="183"/>
      <c r="C41" s="183"/>
      <c r="D41" s="183"/>
      <c r="E41" s="199"/>
      <c r="F41" s="199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</row>
    <row r="42" spans="1:19" ht="19.5" customHeight="1" x14ac:dyDescent="0.2">
      <c r="A42" s="183"/>
      <c r="B42" s="183"/>
      <c r="C42" s="183"/>
      <c r="D42" s="183"/>
      <c r="E42" s="199"/>
      <c r="F42" s="199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</row>
    <row r="43" spans="1:19" ht="19.5" customHeight="1" x14ac:dyDescent="0.2">
      <c r="A43" s="183"/>
      <c r="B43" s="183"/>
      <c r="C43" s="183"/>
      <c r="D43" s="183"/>
      <c r="E43" s="199"/>
      <c r="F43" s="199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</row>
    <row r="44" spans="1:19" ht="19.5" customHeight="1" x14ac:dyDescent="0.2">
      <c r="A44" s="183"/>
      <c r="B44" s="183"/>
      <c r="C44" s="183"/>
      <c r="D44" s="183"/>
      <c r="E44" s="199"/>
      <c r="F44" s="199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</row>
    <row r="45" spans="1:19" ht="19.5" customHeight="1" x14ac:dyDescent="0.2">
      <c r="A45" s="183"/>
      <c r="B45" s="183"/>
      <c r="C45" s="183"/>
      <c r="D45" s="183"/>
      <c r="E45" s="199"/>
      <c r="F45" s="199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</row>
    <row r="46" spans="1:19" ht="19.5" customHeight="1" x14ac:dyDescent="0.2">
      <c r="A46" s="183"/>
      <c r="B46" s="183"/>
      <c r="C46" s="183"/>
      <c r="D46" s="183"/>
      <c r="E46" s="199"/>
      <c r="F46" s="199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</row>
    <row r="47" spans="1:19" ht="19.5" customHeight="1" x14ac:dyDescent="0.2">
      <c r="A47" s="183"/>
      <c r="B47" s="183"/>
      <c r="C47" s="183"/>
      <c r="D47" s="183"/>
      <c r="E47" s="199"/>
      <c r="F47" s="199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</row>
    <row r="48" spans="1:19" ht="19.5" customHeight="1" x14ac:dyDescent="0.2">
      <c r="A48" s="183"/>
      <c r="B48" s="183"/>
      <c r="C48" s="183"/>
      <c r="D48" s="183"/>
      <c r="E48" s="199"/>
      <c r="F48" s="199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</row>
    <row r="49" spans="1:19" ht="19.5" customHeight="1" x14ac:dyDescent="0.2">
      <c r="A49" s="183"/>
      <c r="B49" s="183"/>
      <c r="C49" s="183"/>
      <c r="D49" s="183"/>
      <c r="E49" s="199"/>
      <c r="F49" s="199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</row>
    <row r="50" spans="1:19" ht="19.5" customHeight="1" x14ac:dyDescent="0.2">
      <c r="A50" s="183"/>
      <c r="B50" s="183"/>
      <c r="C50" s="183"/>
      <c r="D50" s="183"/>
      <c r="E50" s="199"/>
      <c r="F50" s="199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</row>
    <row r="51" spans="1:19" ht="19.5" customHeight="1" x14ac:dyDescent="0.2">
      <c r="A51" s="183"/>
      <c r="B51" s="183"/>
      <c r="C51" s="183"/>
      <c r="D51" s="183"/>
      <c r="E51" s="199"/>
      <c r="F51" s="199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</row>
    <row r="52" spans="1:19" ht="19.5" customHeight="1" x14ac:dyDescent="0.2">
      <c r="A52" s="183"/>
      <c r="B52" s="183"/>
      <c r="C52" s="183"/>
      <c r="D52" s="183"/>
      <c r="E52" s="199"/>
      <c r="F52" s="199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</row>
    <row r="53" spans="1:19" ht="19.5" customHeight="1" x14ac:dyDescent="0.2">
      <c r="A53" s="183"/>
      <c r="B53" s="183"/>
      <c r="C53" s="183"/>
      <c r="D53" s="183"/>
      <c r="E53" s="199"/>
      <c r="F53" s="199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</row>
    <row r="54" spans="1:19" ht="19.5" customHeight="1" x14ac:dyDescent="0.2">
      <c r="A54" s="183"/>
      <c r="B54" s="183"/>
      <c r="C54" s="183"/>
      <c r="D54" s="183"/>
      <c r="E54" s="199"/>
      <c r="F54" s="199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</row>
    <row r="55" spans="1:19" ht="19.5" customHeight="1" x14ac:dyDescent="0.2">
      <c r="A55" s="183"/>
      <c r="B55" s="183"/>
      <c r="C55" s="183"/>
      <c r="D55" s="183"/>
      <c r="E55" s="199"/>
      <c r="F55" s="199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</row>
    <row r="56" spans="1:19" ht="19.5" customHeight="1" x14ac:dyDescent="0.2">
      <c r="A56" s="183"/>
      <c r="B56" s="183"/>
      <c r="C56" s="183"/>
      <c r="D56" s="183"/>
      <c r="E56" s="199"/>
      <c r="F56" s="199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</row>
    <row r="57" spans="1:19" ht="19.5" customHeight="1" x14ac:dyDescent="0.2">
      <c r="A57" s="183"/>
      <c r="B57" s="183"/>
      <c r="C57" s="183"/>
      <c r="D57" s="183"/>
      <c r="E57" s="199"/>
      <c r="F57" s="199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</row>
    <row r="58" spans="1:19" ht="19.5" customHeight="1" x14ac:dyDescent="0.2">
      <c r="A58" s="183"/>
      <c r="B58" s="183"/>
      <c r="C58" s="183"/>
      <c r="D58" s="183"/>
      <c r="E58" s="199"/>
      <c r="F58" s="199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</row>
    <row r="59" spans="1:19" ht="19.5" customHeight="1" x14ac:dyDescent="0.2">
      <c r="A59" s="183"/>
      <c r="B59" s="183"/>
      <c r="C59" s="183"/>
      <c r="D59" s="183"/>
      <c r="E59" s="199"/>
      <c r="F59" s="199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</row>
    <row r="60" spans="1:19" ht="19.5" customHeight="1" x14ac:dyDescent="0.2">
      <c r="A60" s="183"/>
      <c r="B60" s="183"/>
      <c r="C60" s="183"/>
      <c r="D60" s="183"/>
      <c r="E60" s="199"/>
      <c r="F60" s="199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</row>
    <row r="61" spans="1:19" ht="19.5" customHeight="1" x14ac:dyDescent="0.2">
      <c r="A61" s="183"/>
      <c r="B61" s="183"/>
      <c r="C61" s="183"/>
      <c r="D61" s="183"/>
      <c r="E61" s="199"/>
      <c r="F61" s="199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</row>
    <row r="62" spans="1:19" ht="19.5" customHeight="1" x14ac:dyDescent="0.2">
      <c r="A62" s="183"/>
      <c r="B62" s="183"/>
      <c r="C62" s="183"/>
      <c r="D62" s="183"/>
      <c r="E62" s="199"/>
      <c r="F62" s="199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</row>
    <row r="63" spans="1:19" ht="19.5" customHeight="1" x14ac:dyDescent="0.2">
      <c r="A63" s="183"/>
      <c r="B63" s="183"/>
      <c r="C63" s="183"/>
      <c r="D63" s="183"/>
      <c r="E63" s="199"/>
      <c r="F63" s="199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</row>
    <row r="64" spans="1:19" ht="19.5" customHeight="1" x14ac:dyDescent="0.2">
      <c r="A64" s="183"/>
      <c r="B64" s="183"/>
      <c r="C64" s="183"/>
      <c r="D64" s="183"/>
      <c r="E64" s="199"/>
      <c r="F64" s="199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</row>
    <row r="65" spans="1:19" ht="19.5" customHeight="1" x14ac:dyDescent="0.2">
      <c r="A65" s="183"/>
      <c r="B65" s="183"/>
      <c r="C65" s="183"/>
      <c r="D65" s="183"/>
      <c r="E65" s="199"/>
      <c r="F65" s="199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</row>
    <row r="66" spans="1:19" ht="19.5" customHeight="1" x14ac:dyDescent="0.2">
      <c r="A66" s="183"/>
      <c r="B66" s="183"/>
      <c r="C66" s="183"/>
      <c r="D66" s="183"/>
      <c r="E66" s="199"/>
      <c r="F66" s="199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</row>
    <row r="67" spans="1:19" ht="19.5" customHeight="1" x14ac:dyDescent="0.2">
      <c r="A67" s="183"/>
      <c r="B67" s="183"/>
      <c r="C67" s="183"/>
      <c r="D67" s="183"/>
      <c r="E67" s="199"/>
      <c r="F67" s="199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</row>
    <row r="68" spans="1:19" ht="19.5" customHeight="1" x14ac:dyDescent="0.2">
      <c r="A68" s="183"/>
      <c r="B68" s="183"/>
      <c r="C68" s="183"/>
      <c r="D68" s="183"/>
      <c r="E68" s="199"/>
      <c r="F68" s="199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</row>
    <row r="69" spans="1:19" ht="19.5" customHeight="1" x14ac:dyDescent="0.2">
      <c r="A69" s="183"/>
      <c r="B69" s="183"/>
      <c r="C69" s="183"/>
      <c r="D69" s="183"/>
      <c r="E69" s="199"/>
      <c r="F69" s="199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</row>
    <row r="70" spans="1:19" ht="19.5" customHeight="1" x14ac:dyDescent="0.2">
      <c r="A70" s="183"/>
      <c r="B70" s="183"/>
      <c r="C70" s="183"/>
      <c r="D70" s="183"/>
      <c r="E70" s="199"/>
      <c r="F70" s="199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</row>
    <row r="71" spans="1:19" ht="19.5" customHeight="1" x14ac:dyDescent="0.2">
      <c r="A71" s="183"/>
      <c r="B71" s="183"/>
      <c r="C71" s="183"/>
      <c r="D71" s="183"/>
      <c r="E71" s="199"/>
      <c r="F71" s="199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</row>
    <row r="72" spans="1:19" ht="19.5" customHeight="1" x14ac:dyDescent="0.2">
      <c r="A72" s="183"/>
      <c r="B72" s="183"/>
      <c r="C72" s="183"/>
      <c r="D72" s="183"/>
      <c r="E72" s="199"/>
      <c r="F72" s="199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</row>
    <row r="73" spans="1:19" ht="19.5" customHeight="1" x14ac:dyDescent="0.2">
      <c r="A73" s="183"/>
      <c r="B73" s="183"/>
      <c r="C73" s="183"/>
      <c r="D73" s="183"/>
      <c r="E73" s="199"/>
      <c r="F73" s="199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</row>
    <row r="74" spans="1:19" ht="19.5" customHeight="1" x14ac:dyDescent="0.2">
      <c r="A74" s="183"/>
      <c r="B74" s="183"/>
      <c r="C74" s="183"/>
      <c r="D74" s="183"/>
      <c r="E74" s="199"/>
      <c r="F74" s="199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</row>
    <row r="75" spans="1:19" ht="19.5" customHeight="1" x14ac:dyDescent="0.2">
      <c r="A75" s="183"/>
      <c r="B75" s="183"/>
      <c r="C75" s="183"/>
      <c r="D75" s="183"/>
      <c r="E75" s="199"/>
      <c r="F75" s="199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</row>
    <row r="76" spans="1:19" ht="19.5" customHeight="1" x14ac:dyDescent="0.2">
      <c r="A76" s="183"/>
      <c r="B76" s="183"/>
      <c r="C76" s="183"/>
      <c r="D76" s="183"/>
      <c r="E76" s="199"/>
      <c r="F76" s="199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</row>
    <row r="77" spans="1:19" ht="19.5" customHeight="1" x14ac:dyDescent="0.2">
      <c r="A77" s="183"/>
      <c r="B77" s="183"/>
      <c r="C77" s="183"/>
      <c r="D77" s="183"/>
      <c r="E77" s="199"/>
      <c r="F77" s="199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</row>
    <row r="78" spans="1:19" ht="19.5" customHeight="1" x14ac:dyDescent="0.2">
      <c r="A78" s="183"/>
      <c r="B78" s="183"/>
      <c r="C78" s="183"/>
      <c r="D78" s="183"/>
      <c r="E78" s="199"/>
      <c r="F78" s="199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</row>
    <row r="79" spans="1:19" ht="19.5" customHeight="1" x14ac:dyDescent="0.2">
      <c r="A79" s="183"/>
      <c r="B79" s="183"/>
      <c r="C79" s="183"/>
      <c r="D79" s="183"/>
      <c r="E79" s="199"/>
      <c r="F79" s="199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</row>
    <row r="80" spans="1:19" ht="19.5" customHeight="1" x14ac:dyDescent="0.2">
      <c r="A80" s="183"/>
      <c r="B80" s="183"/>
      <c r="C80" s="183"/>
      <c r="D80" s="183"/>
      <c r="E80" s="199"/>
      <c r="F80" s="199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</row>
    <row r="81" spans="1:19" ht="19.5" customHeight="1" x14ac:dyDescent="0.2">
      <c r="A81" s="183"/>
      <c r="B81" s="183"/>
      <c r="C81" s="183"/>
      <c r="D81" s="183"/>
      <c r="E81" s="199"/>
      <c r="F81" s="199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</row>
    <row r="82" spans="1:19" ht="19.5" customHeight="1" x14ac:dyDescent="0.2">
      <c r="A82" s="183"/>
      <c r="B82" s="183"/>
      <c r="C82" s="183"/>
      <c r="D82" s="183"/>
      <c r="E82" s="199"/>
      <c r="F82" s="199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</row>
    <row r="83" spans="1:19" ht="19.5" customHeight="1" x14ac:dyDescent="0.2">
      <c r="A83" s="183"/>
      <c r="B83" s="183"/>
      <c r="C83" s="183"/>
      <c r="D83" s="183"/>
      <c r="E83" s="199"/>
      <c r="F83" s="199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</row>
    <row r="84" spans="1:19" ht="19.5" customHeight="1" x14ac:dyDescent="0.2">
      <c r="A84" s="183"/>
      <c r="B84" s="183"/>
      <c r="C84" s="183"/>
      <c r="D84" s="183"/>
      <c r="E84" s="199"/>
      <c r="F84" s="199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</row>
    <row r="85" spans="1:19" ht="19.5" customHeight="1" x14ac:dyDescent="0.2">
      <c r="A85" s="183"/>
      <c r="B85" s="183"/>
      <c r="C85" s="183"/>
      <c r="D85" s="183"/>
      <c r="E85" s="199"/>
      <c r="F85" s="199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</row>
    <row r="86" spans="1:19" ht="19.5" customHeight="1" x14ac:dyDescent="0.2">
      <c r="A86" s="183"/>
      <c r="B86" s="183"/>
      <c r="C86" s="183"/>
      <c r="D86" s="183"/>
      <c r="E86" s="199"/>
      <c r="F86" s="199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</row>
    <row r="87" spans="1:19" ht="19.5" customHeight="1" x14ac:dyDescent="0.2">
      <c r="A87" s="183"/>
      <c r="B87" s="183"/>
      <c r="C87" s="183"/>
      <c r="D87" s="183"/>
      <c r="E87" s="199"/>
      <c r="F87" s="199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</row>
    <row r="88" spans="1:19" ht="19.5" customHeight="1" x14ac:dyDescent="0.2">
      <c r="A88" s="183"/>
      <c r="B88" s="183"/>
      <c r="C88" s="183"/>
      <c r="D88" s="183"/>
      <c r="E88" s="199"/>
      <c r="F88" s="199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</row>
    <row r="89" spans="1:19" ht="19.5" customHeight="1" x14ac:dyDescent="0.2">
      <c r="A89" s="183"/>
      <c r="B89" s="183"/>
      <c r="C89" s="183"/>
      <c r="D89" s="183"/>
      <c r="E89" s="199"/>
      <c r="F89" s="199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</row>
    <row r="90" spans="1:19" ht="19.5" customHeight="1" x14ac:dyDescent="0.2">
      <c r="A90" s="183"/>
      <c r="B90" s="183"/>
      <c r="C90" s="183"/>
      <c r="D90" s="183"/>
      <c r="E90" s="199"/>
      <c r="F90" s="199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</row>
    <row r="91" spans="1:19" ht="19.5" customHeight="1" x14ac:dyDescent="0.2">
      <c r="A91" s="183"/>
      <c r="B91" s="183"/>
      <c r="C91" s="183"/>
      <c r="D91" s="183"/>
      <c r="E91" s="199"/>
      <c r="F91" s="199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</row>
    <row r="92" spans="1:19" ht="19.5" customHeight="1" x14ac:dyDescent="0.2">
      <c r="A92" s="183"/>
      <c r="B92" s="183"/>
      <c r="C92" s="183"/>
      <c r="D92" s="183"/>
      <c r="E92" s="199"/>
      <c r="F92" s="199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</row>
    <row r="93" spans="1:19" ht="19.5" customHeight="1" x14ac:dyDescent="0.2">
      <c r="A93" s="183"/>
      <c r="B93" s="183"/>
      <c r="C93" s="183"/>
      <c r="D93" s="183"/>
      <c r="E93" s="199"/>
      <c r="F93" s="199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</row>
    <row r="94" spans="1:19" ht="19.5" customHeight="1" x14ac:dyDescent="0.2">
      <c r="A94" s="183"/>
      <c r="B94" s="183"/>
      <c r="C94" s="183"/>
      <c r="D94" s="183"/>
      <c r="E94" s="199"/>
      <c r="F94" s="199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</row>
    <row r="95" spans="1:19" ht="19.5" customHeight="1" x14ac:dyDescent="0.2">
      <c r="A95" s="183"/>
      <c r="B95" s="183"/>
      <c r="C95" s="183"/>
      <c r="D95" s="183"/>
      <c r="E95" s="199"/>
      <c r="F95" s="199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</row>
    <row r="96" spans="1:19" ht="19.5" customHeight="1" x14ac:dyDescent="0.2">
      <c r="A96" s="183"/>
      <c r="B96" s="183"/>
      <c r="C96" s="183"/>
      <c r="D96" s="183"/>
      <c r="E96" s="199"/>
      <c r="F96" s="199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</row>
    <row r="97" spans="1:19" ht="19.5" customHeight="1" x14ac:dyDescent="0.2">
      <c r="A97" s="183"/>
      <c r="B97" s="183"/>
      <c r="C97" s="183"/>
      <c r="D97" s="183"/>
      <c r="E97" s="199"/>
      <c r="F97" s="199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</row>
    <row r="98" spans="1:19" ht="19.5" customHeight="1" x14ac:dyDescent="0.2">
      <c r="A98" s="183"/>
      <c r="B98" s="183"/>
      <c r="C98" s="183"/>
      <c r="D98" s="183"/>
      <c r="E98" s="199"/>
      <c r="F98" s="199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</row>
    <row r="99" spans="1:19" ht="19.5" customHeight="1" x14ac:dyDescent="0.2">
      <c r="A99" s="183"/>
      <c r="B99" s="183"/>
      <c r="C99" s="183"/>
      <c r="D99" s="183"/>
      <c r="E99" s="199"/>
      <c r="F99" s="199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</row>
    <row r="100" spans="1:19" ht="19.5" customHeight="1" x14ac:dyDescent="0.2">
      <c r="A100" s="183"/>
      <c r="B100" s="183"/>
      <c r="C100" s="183"/>
      <c r="D100" s="183"/>
      <c r="E100" s="199"/>
      <c r="F100" s="199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</row>
    <row r="101" spans="1:19" ht="19.5" customHeight="1" x14ac:dyDescent="0.2">
      <c r="A101" s="183"/>
      <c r="B101" s="183"/>
      <c r="C101" s="183"/>
      <c r="D101" s="183"/>
      <c r="E101" s="199"/>
      <c r="F101" s="199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</row>
    <row r="102" spans="1:19" ht="19.5" customHeight="1" x14ac:dyDescent="0.2">
      <c r="A102" s="183"/>
      <c r="B102" s="183"/>
      <c r="C102" s="183"/>
      <c r="D102" s="183"/>
      <c r="E102" s="199"/>
      <c r="F102" s="199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</row>
    <row r="103" spans="1:19" ht="19.5" customHeight="1" x14ac:dyDescent="0.2">
      <c r="A103" s="183"/>
      <c r="B103" s="183"/>
      <c r="C103" s="183"/>
      <c r="D103" s="183"/>
      <c r="E103" s="199"/>
      <c r="F103" s="199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</row>
    <row r="104" spans="1:19" ht="19.5" customHeight="1" x14ac:dyDescent="0.2">
      <c r="A104" s="183"/>
      <c r="B104" s="183"/>
      <c r="C104" s="183"/>
      <c r="D104" s="183"/>
      <c r="E104" s="199"/>
      <c r="F104" s="199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</row>
    <row r="105" spans="1:19" ht="19.5" customHeight="1" x14ac:dyDescent="0.2">
      <c r="A105" s="183"/>
      <c r="B105" s="183"/>
      <c r="C105" s="183"/>
      <c r="D105" s="183"/>
      <c r="E105" s="199"/>
      <c r="F105" s="199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</row>
    <row r="106" spans="1:19" ht="19.5" customHeight="1" x14ac:dyDescent="0.2">
      <c r="A106" s="183"/>
      <c r="B106" s="183"/>
      <c r="C106" s="183"/>
      <c r="D106" s="183"/>
      <c r="E106" s="199"/>
      <c r="F106" s="199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</row>
    <row r="107" spans="1:19" ht="19.5" customHeight="1" x14ac:dyDescent="0.2">
      <c r="A107" s="183"/>
      <c r="B107" s="183"/>
      <c r="C107" s="183"/>
      <c r="D107" s="183"/>
      <c r="E107" s="199"/>
      <c r="F107" s="199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</row>
    <row r="108" spans="1:19" ht="19.5" customHeight="1" x14ac:dyDescent="0.2">
      <c r="A108" s="183"/>
      <c r="B108" s="183"/>
      <c r="C108" s="183"/>
      <c r="D108" s="183"/>
      <c r="E108" s="199"/>
      <c r="F108" s="199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</row>
    <row r="109" spans="1:19" ht="19.5" customHeight="1" x14ac:dyDescent="0.2">
      <c r="A109" s="183"/>
      <c r="B109" s="183"/>
      <c r="C109" s="183"/>
      <c r="D109" s="183"/>
      <c r="E109" s="199"/>
      <c r="F109" s="199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</row>
    <row r="110" spans="1:19" ht="19.5" customHeight="1" x14ac:dyDescent="0.2">
      <c r="A110" s="183"/>
      <c r="B110" s="183"/>
      <c r="C110" s="183"/>
      <c r="D110" s="183"/>
      <c r="E110" s="199"/>
      <c r="F110" s="199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</row>
    <row r="111" spans="1:19" ht="19.5" customHeight="1" x14ac:dyDescent="0.2">
      <c r="A111" s="183"/>
      <c r="B111" s="183"/>
      <c r="C111" s="183"/>
      <c r="D111" s="183"/>
      <c r="E111" s="199"/>
      <c r="F111" s="199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</row>
    <row r="112" spans="1:19" ht="19.5" customHeight="1" x14ac:dyDescent="0.2">
      <c r="A112" s="183"/>
      <c r="B112" s="183"/>
      <c r="C112" s="183"/>
      <c r="D112" s="183"/>
      <c r="E112" s="199"/>
      <c r="F112" s="199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</row>
    <row r="113" spans="1:19" ht="19.5" customHeight="1" x14ac:dyDescent="0.2">
      <c r="A113" s="183"/>
      <c r="B113" s="183"/>
      <c r="C113" s="183"/>
      <c r="D113" s="183"/>
      <c r="E113" s="199"/>
      <c r="F113" s="199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</row>
    <row r="114" spans="1:19" ht="19.5" customHeight="1" x14ac:dyDescent="0.2">
      <c r="A114" s="183"/>
      <c r="B114" s="183"/>
      <c r="C114" s="183"/>
      <c r="D114" s="183"/>
      <c r="E114" s="199"/>
      <c r="F114" s="199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</row>
    <row r="115" spans="1:19" ht="19.5" customHeight="1" x14ac:dyDescent="0.2">
      <c r="A115" s="183"/>
      <c r="B115" s="183"/>
      <c r="C115" s="183"/>
      <c r="D115" s="183"/>
      <c r="E115" s="199"/>
      <c r="F115" s="199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</row>
    <row r="116" spans="1:19" ht="19.5" customHeight="1" x14ac:dyDescent="0.2">
      <c r="A116" s="183"/>
      <c r="B116" s="183"/>
      <c r="C116" s="183"/>
      <c r="D116" s="183"/>
      <c r="E116" s="199"/>
      <c r="F116" s="199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</row>
    <row r="117" spans="1:19" ht="19.5" customHeight="1" x14ac:dyDescent="0.2">
      <c r="A117" s="183"/>
      <c r="B117" s="183"/>
      <c r="C117" s="183"/>
      <c r="D117" s="183"/>
      <c r="E117" s="199"/>
      <c r="F117" s="199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</row>
    <row r="118" spans="1:19" ht="19.5" customHeight="1" x14ac:dyDescent="0.2">
      <c r="A118" s="183"/>
      <c r="B118" s="183"/>
      <c r="C118" s="183"/>
      <c r="D118" s="183"/>
      <c r="E118" s="199"/>
      <c r="F118" s="199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</row>
    <row r="119" spans="1:19" ht="19.5" customHeight="1" x14ac:dyDescent="0.2">
      <c r="A119" s="183"/>
      <c r="B119" s="183"/>
      <c r="C119" s="183"/>
      <c r="D119" s="183"/>
      <c r="E119" s="199"/>
      <c r="F119" s="199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</row>
    <row r="120" spans="1:19" ht="19.5" customHeight="1" x14ac:dyDescent="0.2">
      <c r="A120" s="183"/>
      <c r="B120" s="183"/>
      <c r="C120" s="183"/>
      <c r="D120" s="183"/>
      <c r="E120" s="199"/>
      <c r="F120" s="199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</row>
    <row r="121" spans="1:19" ht="19.5" customHeight="1" x14ac:dyDescent="0.2">
      <c r="A121" s="183"/>
      <c r="B121" s="183"/>
      <c r="C121" s="183"/>
      <c r="D121" s="183"/>
      <c r="E121" s="199"/>
      <c r="F121" s="199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</row>
    <row r="122" spans="1:19" ht="19.5" customHeight="1" x14ac:dyDescent="0.2">
      <c r="A122" s="183"/>
      <c r="B122" s="183"/>
      <c r="C122" s="183"/>
      <c r="D122" s="183"/>
      <c r="E122" s="199"/>
      <c r="F122" s="199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</row>
    <row r="123" spans="1:19" ht="19.5" customHeight="1" x14ac:dyDescent="0.2">
      <c r="A123" s="183"/>
      <c r="B123" s="183"/>
      <c r="C123" s="183"/>
      <c r="D123" s="183"/>
      <c r="E123" s="199"/>
      <c r="F123" s="199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</row>
    <row r="124" spans="1:19" ht="19.5" customHeight="1" x14ac:dyDescent="0.2">
      <c r="A124" s="183"/>
      <c r="B124" s="183"/>
      <c r="C124" s="183"/>
      <c r="D124" s="183"/>
      <c r="E124" s="199"/>
      <c r="F124" s="199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</row>
    <row r="125" spans="1:19" ht="19.5" customHeight="1" x14ac:dyDescent="0.2">
      <c r="A125" s="183"/>
      <c r="B125" s="183"/>
      <c r="C125" s="183"/>
      <c r="D125" s="183"/>
      <c r="E125" s="199"/>
      <c r="F125" s="199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</row>
    <row r="126" spans="1:19" ht="19.5" customHeight="1" x14ac:dyDescent="0.2">
      <c r="A126" s="183"/>
      <c r="B126" s="183"/>
      <c r="C126" s="183"/>
      <c r="D126" s="183"/>
      <c r="E126" s="199"/>
      <c r="F126" s="199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</row>
    <row r="127" spans="1:19" ht="19.5" customHeight="1" x14ac:dyDescent="0.2">
      <c r="A127" s="183"/>
      <c r="B127" s="183"/>
      <c r="C127" s="183"/>
      <c r="D127" s="183"/>
      <c r="E127" s="199"/>
      <c r="F127" s="199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</row>
    <row r="128" spans="1:19" ht="19.5" customHeight="1" x14ac:dyDescent="0.2">
      <c r="A128" s="183"/>
      <c r="B128" s="183"/>
      <c r="C128" s="183"/>
      <c r="D128" s="183"/>
      <c r="E128" s="199"/>
      <c r="F128" s="199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</row>
    <row r="129" spans="1:19" ht="19.5" customHeight="1" x14ac:dyDescent="0.2">
      <c r="A129" s="183"/>
      <c r="B129" s="183"/>
      <c r="C129" s="183"/>
      <c r="D129" s="183"/>
      <c r="E129" s="199"/>
      <c r="F129" s="199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</row>
    <row r="130" spans="1:19" ht="19.5" customHeight="1" x14ac:dyDescent="0.2">
      <c r="A130" s="183"/>
      <c r="B130" s="183"/>
      <c r="C130" s="183"/>
      <c r="D130" s="183"/>
      <c r="E130" s="199"/>
      <c r="F130" s="199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</row>
    <row r="131" spans="1:19" ht="19.5" customHeight="1" x14ac:dyDescent="0.2">
      <c r="A131" s="183"/>
      <c r="B131" s="183"/>
      <c r="C131" s="183"/>
      <c r="D131" s="183"/>
      <c r="E131" s="199"/>
      <c r="F131" s="199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</row>
    <row r="132" spans="1:19" ht="19.5" customHeight="1" x14ac:dyDescent="0.2">
      <c r="A132" s="183"/>
      <c r="B132" s="183"/>
      <c r="C132" s="183"/>
      <c r="D132" s="183"/>
      <c r="E132" s="199"/>
      <c r="F132" s="199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</row>
    <row r="133" spans="1:19" ht="19.5" customHeight="1" x14ac:dyDescent="0.2">
      <c r="A133" s="183"/>
      <c r="B133" s="183"/>
      <c r="C133" s="183"/>
      <c r="D133" s="183"/>
      <c r="E133" s="199"/>
      <c r="F133" s="199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</row>
    <row r="134" spans="1:19" ht="19.5" customHeight="1" x14ac:dyDescent="0.2">
      <c r="A134" s="183"/>
      <c r="B134" s="183"/>
      <c r="C134" s="183"/>
      <c r="D134" s="183"/>
      <c r="E134" s="199"/>
      <c r="F134" s="199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</row>
    <row r="135" spans="1:19" ht="19.5" customHeight="1" x14ac:dyDescent="0.2">
      <c r="A135" s="183"/>
      <c r="B135" s="183"/>
      <c r="C135" s="183"/>
      <c r="D135" s="183"/>
      <c r="E135" s="199"/>
      <c r="F135" s="199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</row>
    <row r="136" spans="1:19" ht="19.5" customHeight="1" x14ac:dyDescent="0.2">
      <c r="A136" s="183"/>
      <c r="B136" s="183"/>
      <c r="C136" s="183"/>
      <c r="D136" s="183"/>
      <c r="E136" s="199"/>
      <c r="F136" s="199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</row>
    <row r="137" spans="1:19" ht="19.5" customHeight="1" x14ac:dyDescent="0.2">
      <c r="A137" s="183"/>
      <c r="B137" s="183"/>
      <c r="C137" s="183"/>
      <c r="D137" s="183"/>
      <c r="E137" s="199"/>
      <c r="F137" s="199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</row>
    <row r="138" spans="1:19" ht="19.5" customHeight="1" x14ac:dyDescent="0.2">
      <c r="A138" s="183"/>
      <c r="B138" s="183"/>
      <c r="C138" s="183"/>
      <c r="D138" s="183"/>
      <c r="E138" s="199"/>
      <c r="F138" s="199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</row>
    <row r="139" spans="1:19" ht="19.5" customHeight="1" x14ac:dyDescent="0.2">
      <c r="A139" s="183"/>
      <c r="B139" s="183"/>
      <c r="C139" s="183"/>
      <c r="D139" s="183"/>
      <c r="E139" s="199"/>
      <c r="F139" s="199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</row>
    <row r="140" spans="1:19" ht="19.5" customHeight="1" x14ac:dyDescent="0.2">
      <c r="A140" s="183"/>
      <c r="B140" s="183"/>
      <c r="C140" s="183"/>
      <c r="D140" s="183"/>
      <c r="E140" s="199"/>
      <c r="F140" s="199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</row>
    <row r="141" spans="1:19" ht="19.5" customHeight="1" x14ac:dyDescent="0.2">
      <c r="A141" s="183"/>
      <c r="B141" s="183"/>
      <c r="C141" s="183"/>
      <c r="D141" s="183"/>
      <c r="E141" s="199"/>
      <c r="F141" s="199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</row>
    <row r="142" spans="1:19" ht="19.5" customHeight="1" x14ac:dyDescent="0.2">
      <c r="A142" s="183"/>
      <c r="B142" s="183"/>
      <c r="C142" s="183"/>
      <c r="D142" s="183"/>
      <c r="E142" s="199"/>
      <c r="F142" s="199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</row>
    <row r="143" spans="1:19" ht="19.5" customHeight="1" x14ac:dyDescent="0.2">
      <c r="A143" s="183"/>
      <c r="B143" s="183"/>
      <c r="C143" s="183"/>
      <c r="D143" s="183"/>
      <c r="E143" s="199"/>
      <c r="F143" s="199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</row>
    <row r="144" spans="1:19" ht="19.5" customHeight="1" x14ac:dyDescent="0.2">
      <c r="A144" s="183"/>
      <c r="B144" s="183"/>
      <c r="C144" s="183"/>
      <c r="D144" s="183"/>
      <c r="E144" s="199"/>
      <c r="F144" s="199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</row>
    <row r="145" spans="1:19" ht="19.5" customHeight="1" x14ac:dyDescent="0.2">
      <c r="A145" s="183"/>
      <c r="B145" s="183"/>
      <c r="C145" s="183"/>
      <c r="D145" s="183"/>
      <c r="E145" s="199"/>
      <c r="F145" s="199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</row>
    <row r="146" spans="1:19" ht="19.5" customHeight="1" x14ac:dyDescent="0.2">
      <c r="A146" s="183"/>
      <c r="B146" s="183"/>
      <c r="C146" s="183"/>
      <c r="D146" s="183"/>
      <c r="E146" s="199"/>
      <c r="F146" s="199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</row>
    <row r="147" spans="1:19" ht="19.5" customHeight="1" x14ac:dyDescent="0.2">
      <c r="A147" s="183"/>
      <c r="B147" s="183"/>
      <c r="C147" s="183"/>
      <c r="D147" s="183"/>
      <c r="E147" s="199"/>
      <c r="F147" s="199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</row>
    <row r="148" spans="1:19" ht="19.5" customHeight="1" x14ac:dyDescent="0.2">
      <c r="A148" s="183"/>
      <c r="B148" s="183"/>
      <c r="C148" s="183"/>
      <c r="D148" s="183"/>
      <c r="E148" s="199"/>
      <c r="F148" s="199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</row>
    <row r="149" spans="1:19" ht="19.5" customHeight="1" x14ac:dyDescent="0.2">
      <c r="A149" s="183"/>
      <c r="B149" s="183"/>
      <c r="C149" s="183"/>
      <c r="D149" s="183"/>
      <c r="E149" s="199"/>
      <c r="F149" s="199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</row>
    <row r="150" spans="1:19" ht="19.5" customHeight="1" x14ac:dyDescent="0.2">
      <c r="A150" s="183"/>
      <c r="B150" s="183"/>
      <c r="C150" s="183"/>
      <c r="D150" s="183"/>
      <c r="E150" s="199"/>
      <c r="F150" s="199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</row>
    <row r="151" spans="1:19" ht="19.5" customHeight="1" x14ac:dyDescent="0.2">
      <c r="A151" s="183"/>
      <c r="B151" s="183"/>
      <c r="C151" s="183"/>
      <c r="D151" s="183"/>
      <c r="E151" s="199"/>
      <c r="F151" s="199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</row>
    <row r="152" spans="1:19" ht="19.5" customHeight="1" x14ac:dyDescent="0.2">
      <c r="A152" s="183"/>
      <c r="B152" s="183"/>
      <c r="C152" s="183"/>
      <c r="D152" s="183"/>
      <c r="E152" s="199"/>
      <c r="F152" s="199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</row>
    <row r="153" spans="1:19" ht="19.5" customHeight="1" x14ac:dyDescent="0.2">
      <c r="A153" s="183"/>
      <c r="B153" s="183"/>
      <c r="C153" s="183"/>
      <c r="D153" s="183"/>
      <c r="E153" s="199"/>
      <c r="F153" s="199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</row>
    <row r="154" spans="1:19" ht="19.5" customHeight="1" x14ac:dyDescent="0.2">
      <c r="A154" s="183"/>
      <c r="B154" s="183"/>
      <c r="C154" s="183"/>
      <c r="D154" s="183"/>
      <c r="E154" s="199"/>
      <c r="F154" s="199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</row>
    <row r="155" spans="1:19" ht="19.5" customHeight="1" x14ac:dyDescent="0.2">
      <c r="A155" s="183"/>
      <c r="B155" s="183"/>
      <c r="C155" s="183"/>
      <c r="D155" s="183"/>
      <c r="E155" s="199"/>
      <c r="F155" s="199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</row>
    <row r="156" spans="1:19" ht="19.5" customHeight="1" x14ac:dyDescent="0.2">
      <c r="A156" s="183"/>
      <c r="B156" s="183"/>
      <c r="C156" s="183"/>
      <c r="D156" s="183"/>
      <c r="E156" s="199"/>
      <c r="F156" s="199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</row>
    <row r="157" spans="1:19" ht="19.5" customHeight="1" x14ac:dyDescent="0.2">
      <c r="A157" s="183"/>
      <c r="B157" s="183"/>
      <c r="C157" s="183"/>
      <c r="D157" s="183"/>
      <c r="E157" s="199"/>
      <c r="F157" s="199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</row>
    <row r="158" spans="1:19" ht="19.5" customHeight="1" x14ac:dyDescent="0.2">
      <c r="A158" s="183"/>
      <c r="B158" s="183"/>
      <c r="C158" s="183"/>
      <c r="D158" s="183"/>
      <c r="E158" s="199"/>
      <c r="F158" s="199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</row>
    <row r="159" spans="1:19" ht="19.5" customHeight="1" x14ac:dyDescent="0.2">
      <c r="A159" s="183"/>
      <c r="B159" s="183"/>
      <c r="C159" s="183"/>
      <c r="D159" s="183"/>
      <c r="E159" s="199"/>
      <c r="F159" s="199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</row>
    <row r="160" spans="1:19" ht="19.5" customHeight="1" x14ac:dyDescent="0.2">
      <c r="A160" s="183"/>
      <c r="B160" s="183"/>
      <c r="C160" s="183"/>
      <c r="D160" s="183"/>
      <c r="E160" s="199"/>
      <c r="F160" s="199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</row>
    <row r="161" spans="1:19" ht="19.5" customHeight="1" x14ac:dyDescent="0.2">
      <c r="A161" s="183"/>
      <c r="B161" s="183"/>
      <c r="C161" s="183"/>
      <c r="D161" s="183"/>
      <c r="E161" s="199"/>
      <c r="F161" s="199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</row>
    <row r="162" spans="1:19" ht="19.5" customHeight="1" x14ac:dyDescent="0.2">
      <c r="A162" s="183"/>
      <c r="B162" s="183"/>
      <c r="C162" s="183"/>
      <c r="D162" s="183"/>
      <c r="E162" s="199"/>
      <c r="F162" s="199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</row>
    <row r="163" spans="1:19" ht="19.5" customHeight="1" x14ac:dyDescent="0.2">
      <c r="A163" s="183"/>
      <c r="B163" s="183"/>
      <c r="C163" s="183"/>
      <c r="D163" s="183"/>
      <c r="E163" s="199"/>
      <c r="F163" s="199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</row>
    <row r="164" spans="1:19" ht="19.5" customHeight="1" x14ac:dyDescent="0.2">
      <c r="A164" s="183"/>
      <c r="B164" s="183"/>
      <c r="C164" s="183"/>
      <c r="D164" s="183"/>
      <c r="E164" s="199"/>
      <c r="F164" s="199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</row>
    <row r="165" spans="1:19" ht="19.5" customHeight="1" x14ac:dyDescent="0.2">
      <c r="A165" s="183"/>
      <c r="B165" s="183"/>
      <c r="C165" s="183"/>
      <c r="D165" s="183"/>
      <c r="E165" s="199"/>
      <c r="F165" s="199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</row>
    <row r="166" spans="1:19" ht="19.5" customHeight="1" x14ac:dyDescent="0.2">
      <c r="A166" s="183"/>
      <c r="B166" s="183"/>
      <c r="C166" s="183"/>
      <c r="D166" s="183"/>
      <c r="E166" s="199"/>
      <c r="F166" s="199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</row>
    <row r="167" spans="1:19" ht="19.5" customHeight="1" x14ac:dyDescent="0.2">
      <c r="A167" s="183"/>
      <c r="B167" s="183"/>
      <c r="C167" s="183"/>
      <c r="D167" s="183"/>
      <c r="E167" s="199"/>
      <c r="F167" s="199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</row>
    <row r="168" spans="1:19" ht="19.5" customHeight="1" x14ac:dyDescent="0.2">
      <c r="A168" s="183"/>
      <c r="B168" s="183"/>
      <c r="C168" s="183"/>
      <c r="D168" s="183"/>
      <c r="E168" s="199"/>
      <c r="F168" s="199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</row>
    <row r="169" spans="1:19" ht="19.5" customHeight="1" x14ac:dyDescent="0.2">
      <c r="A169" s="183"/>
      <c r="B169" s="183"/>
      <c r="C169" s="183"/>
      <c r="D169" s="183"/>
      <c r="E169" s="199"/>
      <c r="F169" s="199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</row>
    <row r="170" spans="1:19" ht="19.5" customHeight="1" x14ac:dyDescent="0.2">
      <c r="A170" s="183"/>
      <c r="B170" s="183"/>
      <c r="C170" s="183"/>
      <c r="D170" s="183"/>
      <c r="E170" s="199"/>
      <c r="F170" s="199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</row>
    <row r="171" spans="1:19" ht="19.5" customHeight="1" x14ac:dyDescent="0.2">
      <c r="A171" s="183"/>
      <c r="B171" s="183"/>
      <c r="C171" s="183"/>
      <c r="D171" s="183"/>
      <c r="E171" s="199"/>
      <c r="F171" s="199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</row>
    <row r="172" spans="1:19" ht="19.5" customHeight="1" x14ac:dyDescent="0.2">
      <c r="A172" s="183"/>
      <c r="B172" s="183"/>
      <c r="C172" s="183"/>
      <c r="D172" s="183"/>
      <c r="E172" s="199"/>
      <c r="F172" s="199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</row>
    <row r="173" spans="1:19" ht="19.5" customHeight="1" x14ac:dyDescent="0.2">
      <c r="A173" s="183"/>
      <c r="B173" s="183"/>
      <c r="C173" s="183"/>
      <c r="D173" s="183"/>
      <c r="E173" s="199"/>
      <c r="F173" s="199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</row>
    <row r="174" spans="1:19" ht="19.5" customHeight="1" x14ac:dyDescent="0.2">
      <c r="A174" s="183"/>
      <c r="B174" s="183"/>
      <c r="C174" s="183"/>
      <c r="D174" s="183"/>
      <c r="E174" s="199"/>
      <c r="F174" s="199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</row>
    <row r="175" spans="1:19" ht="19.5" customHeight="1" x14ac:dyDescent="0.2">
      <c r="A175" s="183"/>
      <c r="B175" s="183"/>
      <c r="C175" s="183"/>
      <c r="D175" s="183"/>
      <c r="E175" s="199"/>
      <c r="F175" s="199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</row>
    <row r="176" spans="1:19" ht="19.5" customHeight="1" x14ac:dyDescent="0.2">
      <c r="A176" s="183"/>
      <c r="B176" s="183"/>
      <c r="C176" s="183"/>
      <c r="D176" s="183"/>
      <c r="E176" s="199"/>
      <c r="F176" s="199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</row>
    <row r="177" spans="1:19" ht="19.5" customHeight="1" x14ac:dyDescent="0.2">
      <c r="A177" s="183"/>
      <c r="B177" s="183"/>
      <c r="C177" s="183"/>
      <c r="D177" s="183"/>
      <c r="E177" s="199"/>
      <c r="F177" s="199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</row>
    <row r="178" spans="1:19" ht="19.5" customHeight="1" x14ac:dyDescent="0.2">
      <c r="A178" s="183"/>
      <c r="B178" s="183"/>
      <c r="C178" s="183"/>
      <c r="D178" s="183"/>
      <c r="E178" s="199"/>
      <c r="F178" s="199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</row>
    <row r="179" spans="1:19" ht="19.5" customHeight="1" x14ac:dyDescent="0.2">
      <c r="A179" s="183"/>
      <c r="B179" s="183"/>
      <c r="C179" s="183"/>
      <c r="D179" s="183"/>
      <c r="E179" s="199"/>
      <c r="F179" s="199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</row>
    <row r="180" spans="1:19" ht="19.5" customHeight="1" x14ac:dyDescent="0.2">
      <c r="A180" s="183"/>
      <c r="B180" s="183"/>
      <c r="C180" s="183"/>
      <c r="D180" s="183"/>
      <c r="E180" s="199"/>
      <c r="F180" s="199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</row>
    <row r="181" spans="1:19" ht="19.5" customHeight="1" x14ac:dyDescent="0.2">
      <c r="A181" s="183"/>
      <c r="B181" s="183"/>
      <c r="C181" s="183"/>
      <c r="D181" s="183"/>
      <c r="E181" s="199"/>
      <c r="F181" s="199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</row>
    <row r="182" spans="1:19" ht="19.5" customHeight="1" x14ac:dyDescent="0.2">
      <c r="A182" s="183"/>
      <c r="B182" s="183"/>
      <c r="C182" s="183"/>
      <c r="D182" s="183"/>
      <c r="E182" s="199"/>
      <c r="F182" s="199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</row>
    <row r="183" spans="1:19" ht="19.5" customHeight="1" x14ac:dyDescent="0.2">
      <c r="A183" s="183"/>
      <c r="B183" s="183"/>
      <c r="C183" s="183"/>
      <c r="D183" s="183"/>
      <c r="E183" s="199"/>
      <c r="F183" s="199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</row>
    <row r="184" spans="1:19" ht="19.5" customHeight="1" x14ac:dyDescent="0.2">
      <c r="A184" s="183"/>
      <c r="B184" s="183"/>
      <c r="C184" s="183"/>
      <c r="D184" s="183"/>
      <c r="E184" s="199"/>
      <c r="F184" s="199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</row>
    <row r="185" spans="1:19" ht="19.5" customHeight="1" x14ac:dyDescent="0.2">
      <c r="A185" s="183"/>
      <c r="B185" s="183"/>
      <c r="C185" s="183"/>
      <c r="D185" s="183"/>
      <c r="E185" s="199"/>
      <c r="F185" s="199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</row>
    <row r="186" spans="1:19" ht="19.5" customHeight="1" x14ac:dyDescent="0.2">
      <c r="A186" s="183"/>
      <c r="B186" s="183"/>
      <c r="C186" s="183"/>
      <c r="D186" s="183"/>
      <c r="E186" s="199"/>
      <c r="F186" s="199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</row>
    <row r="187" spans="1:19" ht="19.5" customHeight="1" x14ac:dyDescent="0.2">
      <c r="A187" s="183"/>
      <c r="B187" s="183"/>
      <c r="C187" s="183"/>
      <c r="D187" s="183"/>
      <c r="E187" s="199"/>
      <c r="F187" s="199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</row>
    <row r="188" spans="1:19" ht="19.5" customHeight="1" x14ac:dyDescent="0.2">
      <c r="A188" s="183"/>
      <c r="B188" s="183"/>
      <c r="C188" s="183"/>
      <c r="D188" s="183"/>
      <c r="E188" s="199"/>
      <c r="F188" s="199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</row>
    <row r="189" spans="1:19" ht="19.5" customHeight="1" x14ac:dyDescent="0.2">
      <c r="A189" s="183"/>
      <c r="B189" s="183"/>
      <c r="C189" s="183"/>
      <c r="D189" s="183"/>
      <c r="E189" s="199"/>
      <c r="F189" s="199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</row>
    <row r="190" spans="1:19" ht="19.5" customHeight="1" x14ac:dyDescent="0.2">
      <c r="A190" s="183"/>
      <c r="B190" s="183"/>
      <c r="C190" s="183"/>
      <c r="D190" s="183"/>
      <c r="E190" s="199"/>
      <c r="F190" s="199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</row>
    <row r="191" spans="1:19" ht="19.5" customHeight="1" x14ac:dyDescent="0.2">
      <c r="A191" s="183"/>
      <c r="B191" s="183"/>
      <c r="C191" s="183"/>
      <c r="D191" s="183"/>
      <c r="E191" s="199"/>
      <c r="F191" s="199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</row>
    <row r="192" spans="1:19" ht="19.5" customHeight="1" x14ac:dyDescent="0.2">
      <c r="A192" s="183"/>
      <c r="B192" s="183"/>
      <c r="C192" s="183"/>
      <c r="D192" s="183"/>
      <c r="E192" s="199"/>
      <c r="F192" s="199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</row>
    <row r="193" spans="1:19" ht="19.5" customHeight="1" x14ac:dyDescent="0.2">
      <c r="A193" s="183"/>
      <c r="B193" s="183"/>
      <c r="C193" s="183"/>
      <c r="D193" s="183"/>
      <c r="E193" s="199"/>
      <c r="F193" s="199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</row>
    <row r="194" spans="1:19" ht="19.5" customHeight="1" x14ac:dyDescent="0.2">
      <c r="A194" s="183"/>
      <c r="B194" s="183"/>
      <c r="C194" s="183"/>
      <c r="D194" s="183"/>
      <c r="E194" s="199"/>
      <c r="F194" s="199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</row>
    <row r="195" spans="1:19" ht="19.5" customHeight="1" x14ac:dyDescent="0.2">
      <c r="A195" s="183"/>
      <c r="B195" s="183"/>
      <c r="C195" s="183"/>
      <c r="D195" s="183"/>
      <c r="E195" s="199"/>
      <c r="F195" s="199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</row>
    <row r="196" spans="1:19" ht="19.5" customHeight="1" x14ac:dyDescent="0.2">
      <c r="A196" s="183"/>
      <c r="B196" s="183"/>
      <c r="C196" s="183"/>
      <c r="D196" s="183"/>
      <c r="E196" s="199"/>
      <c r="F196" s="199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</row>
    <row r="197" spans="1:19" ht="19.5" customHeight="1" x14ac:dyDescent="0.2">
      <c r="A197" s="183"/>
      <c r="B197" s="183"/>
      <c r="C197" s="183"/>
      <c r="D197" s="183"/>
      <c r="E197" s="199"/>
      <c r="F197" s="199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</row>
    <row r="198" spans="1:19" ht="19.5" customHeight="1" x14ac:dyDescent="0.2">
      <c r="A198" s="183"/>
      <c r="B198" s="183"/>
      <c r="C198" s="183"/>
      <c r="D198" s="183"/>
      <c r="E198" s="199"/>
      <c r="F198" s="199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</row>
    <row r="199" spans="1:19" ht="19.5" customHeight="1" x14ac:dyDescent="0.2">
      <c r="A199" s="183"/>
      <c r="B199" s="183"/>
      <c r="C199" s="183"/>
      <c r="D199" s="183"/>
      <c r="E199" s="199"/>
      <c r="F199" s="199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</row>
    <row r="200" spans="1:19" ht="19.5" customHeight="1" x14ac:dyDescent="0.2">
      <c r="A200" s="183"/>
      <c r="B200" s="183"/>
      <c r="C200" s="183"/>
      <c r="D200" s="183"/>
      <c r="E200" s="199"/>
      <c r="F200" s="199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</row>
    <row r="201" spans="1:19" ht="19.5" customHeight="1" x14ac:dyDescent="0.2">
      <c r="A201" s="183"/>
      <c r="B201" s="183"/>
      <c r="C201" s="183"/>
      <c r="D201" s="183"/>
      <c r="E201" s="199"/>
      <c r="F201" s="199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</row>
    <row r="202" spans="1:19" ht="19.5" customHeight="1" x14ac:dyDescent="0.2">
      <c r="A202" s="183"/>
      <c r="B202" s="183"/>
      <c r="C202" s="183"/>
      <c r="D202" s="183"/>
      <c r="E202" s="199"/>
      <c r="F202" s="199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</row>
    <row r="203" spans="1:19" ht="19.5" customHeight="1" x14ac:dyDescent="0.2">
      <c r="A203" s="183"/>
      <c r="B203" s="183"/>
      <c r="C203" s="183"/>
      <c r="D203" s="183"/>
      <c r="E203" s="199"/>
      <c r="F203" s="199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</row>
    <row r="204" spans="1:19" ht="19.5" customHeight="1" x14ac:dyDescent="0.2">
      <c r="A204" s="183"/>
      <c r="B204" s="183"/>
      <c r="C204" s="183"/>
      <c r="D204" s="183"/>
      <c r="E204" s="199"/>
      <c r="F204" s="199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</row>
    <row r="205" spans="1:19" ht="19.5" customHeight="1" x14ac:dyDescent="0.2">
      <c r="A205" s="183"/>
      <c r="B205" s="183"/>
      <c r="C205" s="183"/>
      <c r="D205" s="183"/>
      <c r="E205" s="199"/>
      <c r="F205" s="199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</row>
    <row r="206" spans="1:19" ht="19.5" customHeight="1" x14ac:dyDescent="0.2">
      <c r="A206" s="183"/>
      <c r="B206" s="183"/>
      <c r="C206" s="183"/>
      <c r="D206" s="183"/>
      <c r="E206" s="199"/>
      <c r="F206" s="199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</row>
    <row r="207" spans="1:19" ht="19.5" customHeight="1" x14ac:dyDescent="0.2">
      <c r="A207" s="183"/>
      <c r="B207" s="183"/>
      <c r="C207" s="183"/>
      <c r="D207" s="183"/>
      <c r="E207" s="199"/>
      <c r="F207" s="199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</row>
    <row r="208" spans="1:19" ht="19.5" customHeight="1" x14ac:dyDescent="0.2">
      <c r="A208" s="183"/>
      <c r="B208" s="183"/>
      <c r="C208" s="183"/>
      <c r="D208" s="183"/>
      <c r="E208" s="199"/>
      <c r="F208" s="199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</row>
    <row r="209" spans="1:19" ht="19.5" customHeight="1" x14ac:dyDescent="0.2">
      <c r="A209" s="183"/>
      <c r="B209" s="183"/>
      <c r="C209" s="183"/>
      <c r="D209" s="183"/>
      <c r="E209" s="199"/>
      <c r="F209" s="199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</row>
    <row r="210" spans="1:19" ht="19.5" customHeight="1" x14ac:dyDescent="0.2">
      <c r="A210" s="183"/>
      <c r="B210" s="183"/>
      <c r="C210" s="183"/>
      <c r="D210" s="183"/>
      <c r="E210" s="199"/>
      <c r="F210" s="199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</row>
    <row r="211" spans="1:19" ht="19.5" customHeight="1" x14ac:dyDescent="0.2">
      <c r="A211" s="183"/>
      <c r="B211" s="183"/>
      <c r="C211" s="183"/>
      <c r="D211" s="183"/>
      <c r="E211" s="199"/>
      <c r="F211" s="199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</row>
    <row r="212" spans="1:19" ht="19.5" customHeight="1" x14ac:dyDescent="0.2">
      <c r="A212" s="183"/>
      <c r="B212" s="183"/>
      <c r="C212" s="183"/>
      <c r="D212" s="183"/>
      <c r="E212" s="199"/>
      <c r="F212" s="199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</row>
    <row r="213" spans="1:19" ht="19.5" customHeight="1" x14ac:dyDescent="0.2">
      <c r="A213" s="183"/>
      <c r="B213" s="183"/>
      <c r="C213" s="183"/>
      <c r="D213" s="183"/>
      <c r="E213" s="199"/>
      <c r="F213" s="199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</row>
    <row r="214" spans="1:19" ht="19.5" customHeight="1" x14ac:dyDescent="0.2">
      <c r="A214" s="183"/>
      <c r="B214" s="183"/>
      <c r="C214" s="183"/>
      <c r="D214" s="183"/>
      <c r="E214" s="199"/>
      <c r="F214" s="199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</row>
    <row r="215" spans="1:19" ht="19.5" customHeight="1" x14ac:dyDescent="0.2">
      <c r="A215" s="183"/>
      <c r="B215" s="183"/>
      <c r="C215" s="183"/>
      <c r="D215" s="183"/>
      <c r="E215" s="199"/>
      <c r="F215" s="199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</row>
    <row r="216" spans="1:19" ht="19.5" customHeight="1" x14ac:dyDescent="0.2">
      <c r="A216" s="183"/>
      <c r="B216" s="183"/>
      <c r="C216" s="183"/>
      <c r="D216" s="183"/>
      <c r="E216" s="199"/>
      <c r="F216" s="199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</row>
    <row r="217" spans="1:19" ht="19.5" customHeight="1" x14ac:dyDescent="0.2">
      <c r="A217" s="183"/>
      <c r="B217" s="183"/>
      <c r="C217" s="183"/>
      <c r="D217" s="183"/>
      <c r="E217" s="199"/>
      <c r="F217" s="199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</row>
    <row r="218" spans="1:19" ht="19.5" customHeight="1" x14ac:dyDescent="0.2">
      <c r="A218" s="183"/>
      <c r="B218" s="183"/>
      <c r="C218" s="183"/>
      <c r="D218" s="183"/>
      <c r="E218" s="199"/>
      <c r="F218" s="199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</row>
    <row r="219" spans="1:19" ht="19.5" customHeight="1" x14ac:dyDescent="0.2">
      <c r="A219" s="183"/>
      <c r="B219" s="183"/>
      <c r="C219" s="183"/>
      <c r="D219" s="183"/>
      <c r="E219" s="199"/>
      <c r="F219" s="199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</row>
    <row r="220" spans="1:19" ht="19.5" customHeight="1" x14ac:dyDescent="0.2">
      <c r="A220" s="183"/>
      <c r="B220" s="183"/>
      <c r="C220" s="183"/>
      <c r="D220" s="183"/>
      <c r="E220" s="199"/>
      <c r="F220" s="199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</row>
    <row r="221" spans="1:19" ht="19.5" customHeight="1" x14ac:dyDescent="0.2">
      <c r="A221" s="183"/>
      <c r="B221" s="183"/>
      <c r="C221" s="183"/>
      <c r="D221" s="183"/>
      <c r="E221" s="199"/>
      <c r="F221" s="199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</row>
    <row r="222" spans="1:19" ht="19.5" customHeight="1" x14ac:dyDescent="0.2">
      <c r="A222" s="183"/>
      <c r="B222" s="183"/>
      <c r="C222" s="183"/>
      <c r="D222" s="183"/>
      <c r="E222" s="199"/>
      <c r="F222" s="199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</row>
    <row r="223" spans="1:19" ht="19.5" customHeight="1" x14ac:dyDescent="0.2">
      <c r="A223" s="183"/>
      <c r="B223" s="183"/>
      <c r="C223" s="183"/>
      <c r="D223" s="183"/>
      <c r="E223" s="199"/>
      <c r="F223" s="199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</row>
    <row r="224" spans="1:19" ht="19.5" customHeight="1" x14ac:dyDescent="0.2">
      <c r="A224" s="183"/>
      <c r="B224" s="183"/>
      <c r="C224" s="183"/>
      <c r="D224" s="183"/>
      <c r="E224" s="199"/>
      <c r="F224" s="199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</row>
    <row r="225" spans="1:19" ht="19.5" customHeight="1" x14ac:dyDescent="0.2">
      <c r="A225" s="183"/>
      <c r="B225" s="183"/>
      <c r="C225" s="183"/>
      <c r="D225" s="183"/>
      <c r="E225" s="199"/>
      <c r="F225" s="199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</row>
    <row r="226" spans="1:19" ht="19.5" customHeight="1" x14ac:dyDescent="0.2">
      <c r="A226" s="183"/>
      <c r="B226" s="183"/>
      <c r="C226" s="183"/>
      <c r="D226" s="183"/>
      <c r="E226" s="199"/>
      <c r="F226" s="199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</row>
    <row r="227" spans="1:19" ht="19.5" customHeight="1" x14ac:dyDescent="0.2">
      <c r="A227" s="183"/>
      <c r="B227" s="183"/>
      <c r="C227" s="183"/>
      <c r="D227" s="183"/>
      <c r="E227" s="199"/>
      <c r="F227" s="199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</row>
    <row r="228" spans="1:19" ht="19.5" customHeight="1" x14ac:dyDescent="0.2">
      <c r="A228" s="183"/>
      <c r="B228" s="183"/>
      <c r="C228" s="183"/>
      <c r="D228" s="183"/>
      <c r="E228" s="199"/>
      <c r="F228" s="199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</row>
    <row r="229" spans="1:19" ht="19.5" customHeight="1" x14ac:dyDescent="0.2">
      <c r="A229" s="183"/>
      <c r="B229" s="183"/>
      <c r="C229" s="183"/>
      <c r="D229" s="183"/>
      <c r="E229" s="199"/>
      <c r="F229" s="199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</row>
    <row r="230" spans="1:19" ht="19.5" customHeight="1" x14ac:dyDescent="0.2">
      <c r="A230" s="183"/>
      <c r="B230" s="183"/>
      <c r="C230" s="183"/>
      <c r="D230" s="183"/>
      <c r="E230" s="199"/>
      <c r="F230" s="199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</row>
    <row r="231" spans="1:19" ht="19.5" customHeight="1" x14ac:dyDescent="0.2">
      <c r="A231" s="183"/>
      <c r="B231" s="183"/>
      <c r="C231" s="183"/>
      <c r="D231" s="183"/>
      <c r="E231" s="199"/>
      <c r="F231" s="199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</row>
    <row r="232" spans="1:19" ht="19.5" customHeight="1" x14ac:dyDescent="0.2">
      <c r="A232" s="183"/>
      <c r="B232" s="183"/>
      <c r="C232" s="183"/>
      <c r="D232" s="183"/>
      <c r="E232" s="199"/>
      <c r="F232" s="199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</row>
    <row r="233" spans="1:19" ht="19.5" customHeight="1" x14ac:dyDescent="0.2">
      <c r="A233" s="183"/>
      <c r="B233" s="183"/>
      <c r="C233" s="183"/>
      <c r="D233" s="183"/>
      <c r="E233" s="199"/>
      <c r="F233" s="199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</row>
    <row r="234" spans="1:19" ht="19.5" customHeight="1" x14ac:dyDescent="0.2">
      <c r="A234" s="183"/>
      <c r="B234" s="183"/>
      <c r="C234" s="183"/>
      <c r="D234" s="183"/>
      <c r="E234" s="199"/>
      <c r="F234" s="199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</row>
    <row r="235" spans="1:19" ht="19.5" customHeight="1" x14ac:dyDescent="0.2">
      <c r="A235" s="183"/>
      <c r="B235" s="183"/>
      <c r="C235" s="183"/>
      <c r="D235" s="183"/>
      <c r="E235" s="199"/>
      <c r="F235" s="199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</row>
    <row r="236" spans="1:19" ht="19.5" customHeight="1" x14ac:dyDescent="0.2">
      <c r="A236" s="183"/>
      <c r="B236" s="183"/>
      <c r="C236" s="183"/>
      <c r="D236" s="183"/>
      <c r="E236" s="199"/>
      <c r="F236" s="199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</row>
    <row r="237" spans="1:19" ht="19.5" customHeight="1" x14ac:dyDescent="0.2">
      <c r="A237" s="183"/>
      <c r="B237" s="183"/>
      <c r="C237" s="183"/>
      <c r="D237" s="183"/>
      <c r="E237" s="199"/>
      <c r="F237" s="199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</row>
    <row r="238" spans="1:19" ht="19.5" customHeight="1" x14ac:dyDescent="0.2">
      <c r="A238" s="183"/>
      <c r="B238" s="183"/>
      <c r="C238" s="183"/>
      <c r="D238" s="183"/>
      <c r="E238" s="199"/>
      <c r="F238" s="199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</row>
    <row r="239" spans="1:19" ht="19.5" customHeight="1" x14ac:dyDescent="0.2">
      <c r="A239" s="183"/>
      <c r="B239" s="183"/>
      <c r="C239" s="183"/>
      <c r="D239" s="183"/>
      <c r="E239" s="199"/>
      <c r="F239" s="199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</row>
    <row r="240" spans="1:19" ht="19.5" customHeight="1" x14ac:dyDescent="0.2">
      <c r="A240" s="183"/>
      <c r="B240" s="183"/>
      <c r="C240" s="183"/>
      <c r="D240" s="183"/>
      <c r="E240" s="199"/>
      <c r="F240" s="199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</row>
    <row r="241" spans="1:19" ht="19.5" customHeight="1" x14ac:dyDescent="0.2">
      <c r="A241" s="183"/>
      <c r="B241" s="183"/>
      <c r="C241" s="183"/>
      <c r="D241" s="183"/>
      <c r="E241" s="199"/>
      <c r="F241" s="199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</row>
    <row r="242" spans="1:19" ht="19.5" customHeight="1" x14ac:dyDescent="0.2">
      <c r="A242" s="183"/>
      <c r="B242" s="183"/>
      <c r="C242" s="183"/>
      <c r="D242" s="183"/>
      <c r="E242" s="199"/>
      <c r="F242" s="199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</row>
    <row r="243" spans="1:19" ht="19.5" customHeight="1" x14ac:dyDescent="0.2">
      <c r="A243" s="183"/>
      <c r="B243" s="183"/>
      <c r="C243" s="183"/>
      <c r="D243" s="183"/>
      <c r="E243" s="199"/>
      <c r="F243" s="199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</row>
    <row r="244" spans="1:19" ht="19.5" customHeight="1" x14ac:dyDescent="0.2">
      <c r="A244" s="183"/>
      <c r="B244" s="183"/>
      <c r="C244" s="183"/>
      <c r="D244" s="183"/>
      <c r="E244" s="199"/>
      <c r="F244" s="199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</row>
    <row r="245" spans="1:19" ht="19.5" customHeight="1" x14ac:dyDescent="0.2">
      <c r="A245" s="183"/>
      <c r="B245" s="183"/>
      <c r="C245" s="183"/>
      <c r="D245" s="183"/>
      <c r="E245" s="199"/>
      <c r="F245" s="199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</row>
    <row r="246" spans="1:19" ht="19.5" customHeight="1" x14ac:dyDescent="0.2">
      <c r="A246" s="183"/>
      <c r="B246" s="183"/>
      <c r="C246" s="183"/>
      <c r="D246" s="183"/>
      <c r="E246" s="199"/>
      <c r="F246" s="199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</row>
    <row r="247" spans="1:19" ht="19.5" customHeight="1" x14ac:dyDescent="0.2">
      <c r="A247" s="183"/>
      <c r="B247" s="183"/>
      <c r="C247" s="183"/>
      <c r="D247" s="183"/>
      <c r="E247" s="199"/>
      <c r="F247" s="199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</row>
    <row r="248" spans="1:19" ht="19.5" customHeight="1" x14ac:dyDescent="0.2">
      <c r="A248" s="183"/>
      <c r="B248" s="183"/>
      <c r="C248" s="183"/>
      <c r="D248" s="183"/>
      <c r="E248" s="199"/>
      <c r="F248" s="199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</row>
    <row r="249" spans="1:19" ht="19.5" customHeight="1" x14ac:dyDescent="0.2">
      <c r="A249" s="183"/>
      <c r="B249" s="183"/>
      <c r="C249" s="183"/>
      <c r="D249" s="183"/>
      <c r="E249" s="199"/>
      <c r="F249" s="199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</row>
    <row r="250" spans="1:19" ht="19.5" customHeight="1" x14ac:dyDescent="0.2">
      <c r="A250" s="183"/>
      <c r="B250" s="183"/>
      <c r="C250" s="183"/>
      <c r="D250" s="183"/>
      <c r="E250" s="199"/>
      <c r="F250" s="199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</row>
    <row r="251" spans="1:19" ht="19.5" customHeight="1" x14ac:dyDescent="0.2">
      <c r="A251" s="183"/>
      <c r="B251" s="183"/>
      <c r="C251" s="183"/>
      <c r="D251" s="183"/>
      <c r="E251" s="199"/>
      <c r="F251" s="199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</row>
    <row r="252" spans="1:19" ht="19.5" customHeight="1" x14ac:dyDescent="0.2">
      <c r="A252" s="183"/>
      <c r="B252" s="183"/>
      <c r="C252" s="183"/>
      <c r="D252" s="183"/>
      <c r="E252" s="199"/>
      <c r="F252" s="199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</row>
    <row r="253" spans="1:19" ht="19.5" customHeight="1" x14ac:dyDescent="0.2">
      <c r="A253" s="183"/>
      <c r="B253" s="183"/>
      <c r="C253" s="183"/>
      <c r="D253" s="183"/>
      <c r="E253" s="199"/>
      <c r="F253" s="199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</row>
    <row r="254" spans="1:19" ht="19.5" customHeight="1" x14ac:dyDescent="0.2">
      <c r="A254" s="183"/>
      <c r="B254" s="183"/>
      <c r="C254" s="183"/>
      <c r="D254" s="183"/>
      <c r="E254" s="199"/>
      <c r="F254" s="199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</row>
    <row r="255" spans="1:19" ht="19.5" customHeight="1" x14ac:dyDescent="0.2">
      <c r="A255" s="183"/>
      <c r="B255" s="183"/>
      <c r="C255" s="183"/>
      <c r="D255" s="183"/>
      <c r="E255" s="199"/>
      <c r="F255" s="199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</row>
    <row r="256" spans="1:19" ht="19.5" customHeight="1" x14ac:dyDescent="0.2">
      <c r="A256" s="183"/>
      <c r="B256" s="183"/>
      <c r="C256" s="183"/>
      <c r="D256" s="183"/>
      <c r="E256" s="199"/>
      <c r="F256" s="199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</row>
    <row r="257" spans="1:19" ht="19.5" customHeight="1" x14ac:dyDescent="0.2">
      <c r="A257" s="183"/>
      <c r="B257" s="183"/>
      <c r="C257" s="183"/>
      <c r="D257" s="183"/>
      <c r="E257" s="199"/>
      <c r="F257" s="199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</row>
    <row r="258" spans="1:19" ht="19.5" customHeight="1" x14ac:dyDescent="0.2">
      <c r="A258" s="183"/>
      <c r="B258" s="183"/>
      <c r="C258" s="183"/>
      <c r="D258" s="183"/>
      <c r="E258" s="199"/>
      <c r="F258" s="199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</row>
    <row r="259" spans="1:19" ht="19.5" customHeight="1" x14ac:dyDescent="0.2">
      <c r="A259" s="183"/>
      <c r="B259" s="183"/>
      <c r="C259" s="183"/>
      <c r="D259" s="183"/>
      <c r="E259" s="199"/>
      <c r="F259" s="199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</row>
    <row r="260" spans="1:19" ht="19.5" customHeight="1" x14ac:dyDescent="0.2">
      <c r="A260" s="183"/>
      <c r="B260" s="183"/>
      <c r="C260" s="183"/>
      <c r="D260" s="183"/>
      <c r="E260" s="199"/>
      <c r="F260" s="199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</row>
    <row r="261" spans="1:19" ht="19.5" customHeight="1" x14ac:dyDescent="0.2">
      <c r="A261" s="183"/>
      <c r="B261" s="183"/>
      <c r="C261" s="183"/>
      <c r="D261" s="183"/>
      <c r="E261" s="199"/>
      <c r="F261" s="199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</row>
    <row r="262" spans="1:19" ht="19.5" customHeight="1" x14ac:dyDescent="0.2">
      <c r="A262" s="183"/>
      <c r="B262" s="183"/>
      <c r="C262" s="183"/>
      <c r="D262" s="183"/>
      <c r="E262" s="199"/>
      <c r="F262" s="199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</row>
    <row r="263" spans="1:19" ht="19.5" customHeight="1" x14ac:dyDescent="0.2">
      <c r="A263" s="183"/>
      <c r="B263" s="183"/>
      <c r="C263" s="183"/>
      <c r="D263" s="183"/>
      <c r="E263" s="199"/>
      <c r="F263" s="199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</row>
    <row r="264" spans="1:19" ht="19.5" customHeight="1" x14ac:dyDescent="0.2">
      <c r="A264" s="183"/>
      <c r="B264" s="183"/>
      <c r="C264" s="183"/>
      <c r="D264" s="183"/>
      <c r="E264" s="199"/>
      <c r="F264" s="199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</row>
    <row r="265" spans="1:19" ht="19.5" customHeight="1" x14ac:dyDescent="0.2">
      <c r="A265" s="183"/>
      <c r="B265" s="183"/>
      <c r="C265" s="183"/>
      <c r="D265" s="183"/>
      <c r="E265" s="199"/>
      <c r="F265" s="199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</row>
    <row r="266" spans="1:19" ht="19.5" customHeight="1" x14ac:dyDescent="0.2">
      <c r="A266" s="183"/>
      <c r="B266" s="183"/>
      <c r="C266" s="183"/>
      <c r="D266" s="183"/>
      <c r="E266" s="199"/>
      <c r="F266" s="199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</row>
    <row r="267" spans="1:19" ht="19.5" customHeight="1" x14ac:dyDescent="0.2">
      <c r="A267" s="183"/>
      <c r="B267" s="183"/>
      <c r="C267" s="183"/>
      <c r="D267" s="183"/>
      <c r="E267" s="199"/>
      <c r="F267" s="199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</row>
    <row r="268" spans="1:19" ht="19.5" customHeight="1" x14ac:dyDescent="0.2">
      <c r="A268" s="183"/>
      <c r="B268" s="183"/>
      <c r="C268" s="183"/>
      <c r="D268" s="183"/>
      <c r="E268" s="199"/>
      <c r="F268" s="199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</row>
    <row r="269" spans="1:19" ht="19.5" customHeight="1" x14ac:dyDescent="0.2">
      <c r="A269" s="183"/>
      <c r="B269" s="183"/>
      <c r="C269" s="183"/>
      <c r="D269" s="183"/>
      <c r="E269" s="199"/>
      <c r="F269" s="199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</row>
    <row r="270" spans="1:19" ht="19.5" customHeight="1" x14ac:dyDescent="0.2">
      <c r="A270" s="183"/>
      <c r="B270" s="183"/>
      <c r="C270" s="183"/>
      <c r="D270" s="183"/>
      <c r="E270" s="199"/>
      <c r="F270" s="199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</row>
    <row r="271" spans="1:19" ht="19.5" customHeight="1" x14ac:dyDescent="0.2">
      <c r="A271" s="183"/>
      <c r="B271" s="183"/>
      <c r="C271" s="183"/>
      <c r="D271" s="183"/>
      <c r="E271" s="199"/>
      <c r="F271" s="199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</row>
    <row r="272" spans="1:19" ht="19.5" customHeight="1" x14ac:dyDescent="0.2">
      <c r="A272" s="183"/>
      <c r="B272" s="183"/>
      <c r="C272" s="183"/>
      <c r="D272" s="183"/>
      <c r="E272" s="199"/>
      <c r="F272" s="199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</row>
    <row r="273" spans="1:19" ht="19.5" customHeight="1" x14ac:dyDescent="0.2">
      <c r="A273" s="183"/>
      <c r="B273" s="183"/>
      <c r="C273" s="183"/>
      <c r="D273" s="183"/>
      <c r="E273" s="199"/>
      <c r="F273" s="199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</row>
    <row r="274" spans="1:19" ht="19.5" customHeight="1" x14ac:dyDescent="0.2">
      <c r="A274" s="183"/>
      <c r="B274" s="183"/>
      <c r="C274" s="183"/>
      <c r="D274" s="183"/>
      <c r="E274" s="199"/>
      <c r="F274" s="199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</row>
    <row r="275" spans="1:19" ht="19.5" customHeight="1" x14ac:dyDescent="0.2">
      <c r="A275" s="183"/>
      <c r="B275" s="183"/>
      <c r="C275" s="183"/>
      <c r="D275" s="183"/>
      <c r="E275" s="199"/>
      <c r="F275" s="199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</row>
    <row r="276" spans="1:19" ht="19.5" customHeight="1" x14ac:dyDescent="0.2">
      <c r="A276" s="183"/>
      <c r="B276" s="183"/>
      <c r="C276" s="183"/>
      <c r="D276" s="183"/>
      <c r="E276" s="199"/>
      <c r="F276" s="199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</row>
    <row r="277" spans="1:19" ht="19.5" customHeight="1" x14ac:dyDescent="0.2">
      <c r="A277" s="183"/>
      <c r="B277" s="183"/>
      <c r="C277" s="183"/>
      <c r="D277" s="183"/>
      <c r="E277" s="199"/>
      <c r="F277" s="199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</row>
    <row r="278" spans="1:19" ht="19.5" customHeight="1" x14ac:dyDescent="0.2">
      <c r="A278" s="183"/>
      <c r="B278" s="183"/>
      <c r="C278" s="183"/>
      <c r="D278" s="183"/>
      <c r="E278" s="199"/>
      <c r="F278" s="199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</row>
    <row r="279" spans="1:19" ht="19.5" customHeight="1" x14ac:dyDescent="0.2">
      <c r="A279" s="183"/>
      <c r="B279" s="183"/>
      <c r="C279" s="183"/>
      <c r="D279" s="183"/>
      <c r="E279" s="199"/>
      <c r="F279" s="199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</row>
    <row r="280" spans="1:19" ht="19.5" customHeight="1" x14ac:dyDescent="0.2">
      <c r="A280" s="183"/>
      <c r="B280" s="183"/>
      <c r="C280" s="183"/>
      <c r="D280" s="183"/>
      <c r="E280" s="199"/>
      <c r="F280" s="199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</row>
    <row r="281" spans="1:19" ht="19.5" customHeight="1" x14ac:dyDescent="0.2">
      <c r="A281" s="183"/>
      <c r="B281" s="183"/>
      <c r="C281" s="183"/>
      <c r="D281" s="183"/>
      <c r="E281" s="199"/>
      <c r="F281" s="199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</row>
    <row r="282" spans="1:19" ht="19.5" customHeight="1" x14ac:dyDescent="0.2">
      <c r="A282" s="183"/>
      <c r="B282" s="183"/>
      <c r="C282" s="183"/>
      <c r="D282" s="183"/>
      <c r="E282" s="199"/>
      <c r="F282" s="199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</row>
    <row r="283" spans="1:19" ht="19.5" customHeight="1" x14ac:dyDescent="0.2">
      <c r="A283" s="183"/>
      <c r="B283" s="183"/>
      <c r="C283" s="183"/>
      <c r="D283" s="183"/>
      <c r="E283" s="199"/>
      <c r="F283" s="199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</row>
    <row r="284" spans="1:19" ht="19.5" customHeight="1" x14ac:dyDescent="0.2">
      <c r="A284" s="183"/>
      <c r="B284" s="183"/>
      <c r="C284" s="183"/>
      <c r="D284" s="183"/>
      <c r="E284" s="199"/>
      <c r="F284" s="199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</row>
    <row r="285" spans="1:19" ht="19.5" customHeight="1" x14ac:dyDescent="0.2">
      <c r="A285" s="183"/>
      <c r="B285" s="183"/>
      <c r="C285" s="183"/>
      <c r="D285" s="183"/>
      <c r="E285" s="199"/>
      <c r="F285" s="199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</row>
    <row r="286" spans="1:19" ht="19.5" customHeight="1" x14ac:dyDescent="0.2">
      <c r="A286" s="183"/>
      <c r="B286" s="183"/>
      <c r="C286" s="183"/>
      <c r="D286" s="183"/>
      <c r="E286" s="199"/>
      <c r="F286" s="199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</row>
    <row r="287" spans="1:19" ht="19.5" customHeight="1" x14ac:dyDescent="0.2">
      <c r="A287" s="183"/>
      <c r="B287" s="183"/>
      <c r="C287" s="183"/>
      <c r="D287" s="183"/>
      <c r="E287" s="199"/>
      <c r="F287" s="199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</row>
    <row r="288" spans="1:19" ht="19.5" customHeight="1" x14ac:dyDescent="0.2">
      <c r="A288" s="183"/>
      <c r="B288" s="183"/>
      <c r="C288" s="183"/>
      <c r="D288" s="183"/>
      <c r="E288" s="199"/>
      <c r="F288" s="199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</row>
    <row r="289" spans="1:19" ht="19.5" customHeight="1" x14ac:dyDescent="0.2">
      <c r="A289" s="183"/>
      <c r="B289" s="183"/>
      <c r="C289" s="183"/>
      <c r="D289" s="183"/>
      <c r="E289" s="199"/>
      <c r="F289" s="199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</row>
    <row r="290" spans="1:19" ht="19.5" customHeight="1" x14ac:dyDescent="0.2">
      <c r="A290" s="183"/>
      <c r="B290" s="183"/>
      <c r="C290" s="183"/>
      <c r="D290" s="183"/>
      <c r="E290" s="199"/>
      <c r="F290" s="199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</row>
    <row r="291" spans="1:19" ht="19.5" customHeight="1" x14ac:dyDescent="0.2">
      <c r="A291" s="183"/>
      <c r="B291" s="183"/>
      <c r="C291" s="183"/>
      <c r="D291" s="183"/>
      <c r="E291" s="199"/>
      <c r="F291" s="199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</row>
    <row r="292" spans="1:19" ht="19.5" customHeight="1" x14ac:dyDescent="0.2">
      <c r="A292" s="183"/>
      <c r="B292" s="183"/>
      <c r="C292" s="183"/>
      <c r="D292" s="183"/>
      <c r="E292" s="199"/>
      <c r="F292" s="199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</row>
    <row r="293" spans="1:19" ht="19.5" customHeight="1" x14ac:dyDescent="0.2">
      <c r="A293" s="183"/>
      <c r="B293" s="183"/>
      <c r="C293" s="183"/>
      <c r="D293" s="183"/>
      <c r="E293" s="199"/>
      <c r="F293" s="199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</row>
    <row r="294" spans="1:19" ht="19.5" customHeight="1" x14ac:dyDescent="0.2">
      <c r="A294" s="183"/>
      <c r="B294" s="183"/>
      <c r="C294" s="183"/>
      <c r="D294" s="183"/>
      <c r="E294" s="199"/>
      <c r="F294" s="199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</row>
    <row r="295" spans="1:19" ht="19.5" customHeight="1" x14ac:dyDescent="0.2">
      <c r="A295" s="183"/>
      <c r="B295" s="183"/>
      <c r="C295" s="183"/>
      <c r="D295" s="183"/>
      <c r="E295" s="199"/>
      <c r="F295" s="199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</row>
    <row r="296" spans="1:19" ht="19.5" customHeight="1" x14ac:dyDescent="0.2">
      <c r="A296" s="183"/>
      <c r="B296" s="183"/>
      <c r="C296" s="183"/>
      <c r="D296" s="183"/>
      <c r="E296" s="199"/>
      <c r="F296" s="199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</row>
    <row r="297" spans="1:19" ht="19.5" customHeight="1" x14ac:dyDescent="0.2">
      <c r="A297" s="183"/>
      <c r="B297" s="183"/>
      <c r="C297" s="183"/>
      <c r="D297" s="183"/>
      <c r="E297" s="199"/>
      <c r="F297" s="199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</row>
    <row r="298" spans="1:19" ht="19.5" customHeight="1" x14ac:dyDescent="0.2">
      <c r="A298" s="183"/>
      <c r="B298" s="183"/>
      <c r="C298" s="183"/>
      <c r="D298" s="183"/>
      <c r="E298" s="199"/>
      <c r="F298" s="199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</row>
    <row r="299" spans="1:19" ht="19.5" customHeight="1" x14ac:dyDescent="0.2">
      <c r="A299" s="183"/>
      <c r="B299" s="183"/>
      <c r="C299" s="183"/>
      <c r="D299" s="183"/>
      <c r="E299" s="199"/>
      <c r="F299" s="199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</row>
    <row r="300" spans="1:19" ht="19.5" customHeight="1" x14ac:dyDescent="0.2">
      <c r="A300" s="183"/>
      <c r="B300" s="183"/>
      <c r="C300" s="183"/>
      <c r="D300" s="183"/>
      <c r="E300" s="199"/>
      <c r="F300" s="199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</row>
    <row r="301" spans="1:19" ht="19.5" customHeight="1" x14ac:dyDescent="0.2">
      <c r="A301" s="183"/>
      <c r="B301" s="183"/>
      <c r="C301" s="183"/>
      <c r="D301" s="183"/>
      <c r="E301" s="199"/>
      <c r="F301" s="199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</row>
    <row r="302" spans="1:19" ht="19.5" customHeight="1" x14ac:dyDescent="0.2">
      <c r="A302" s="183"/>
      <c r="B302" s="183"/>
      <c r="C302" s="183"/>
      <c r="D302" s="183"/>
      <c r="E302" s="199"/>
      <c r="F302" s="199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</row>
    <row r="303" spans="1:19" ht="19.5" customHeight="1" x14ac:dyDescent="0.2">
      <c r="A303" s="183"/>
      <c r="B303" s="183"/>
      <c r="C303" s="183"/>
      <c r="D303" s="183"/>
      <c r="E303" s="199"/>
      <c r="F303" s="199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</row>
    <row r="304" spans="1:19" ht="19.5" customHeight="1" x14ac:dyDescent="0.2">
      <c r="A304" s="183"/>
      <c r="B304" s="183"/>
      <c r="C304" s="183"/>
      <c r="D304" s="183"/>
      <c r="E304" s="199"/>
      <c r="F304" s="199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</row>
    <row r="305" spans="1:19" ht="19.5" customHeight="1" x14ac:dyDescent="0.2">
      <c r="A305" s="183"/>
      <c r="B305" s="183"/>
      <c r="C305" s="183"/>
      <c r="D305" s="183"/>
      <c r="E305" s="199"/>
      <c r="F305" s="199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</row>
    <row r="306" spans="1:19" ht="19.5" customHeight="1" x14ac:dyDescent="0.2">
      <c r="A306" s="183"/>
      <c r="B306" s="183"/>
      <c r="C306" s="183"/>
      <c r="D306" s="183"/>
      <c r="E306" s="199"/>
      <c r="F306" s="199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</row>
    <row r="307" spans="1:19" ht="19.5" customHeight="1" x14ac:dyDescent="0.2">
      <c r="A307" s="183"/>
      <c r="B307" s="183"/>
      <c r="C307" s="183"/>
      <c r="D307" s="183"/>
      <c r="E307" s="199"/>
      <c r="F307" s="199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</row>
    <row r="308" spans="1:19" ht="19.5" customHeight="1" x14ac:dyDescent="0.2">
      <c r="A308" s="183"/>
      <c r="B308" s="183"/>
      <c r="C308" s="183"/>
      <c r="D308" s="183"/>
      <c r="E308" s="199"/>
      <c r="F308" s="199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</row>
    <row r="309" spans="1:19" ht="19.5" customHeight="1" x14ac:dyDescent="0.2">
      <c r="A309" s="183"/>
      <c r="B309" s="183"/>
      <c r="C309" s="183"/>
      <c r="D309" s="183"/>
      <c r="E309" s="199"/>
      <c r="F309" s="199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</row>
    <row r="310" spans="1:19" ht="19.5" customHeight="1" x14ac:dyDescent="0.2">
      <c r="A310" s="183"/>
      <c r="B310" s="183"/>
      <c r="C310" s="183"/>
      <c r="D310" s="183"/>
      <c r="E310" s="199"/>
      <c r="F310" s="199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</row>
    <row r="311" spans="1:19" ht="19.5" customHeight="1" x14ac:dyDescent="0.2">
      <c r="A311" s="183"/>
      <c r="B311" s="183"/>
      <c r="C311" s="183"/>
      <c r="D311" s="183"/>
      <c r="E311" s="199"/>
      <c r="F311" s="199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</row>
    <row r="312" spans="1:19" ht="19.5" customHeight="1" x14ac:dyDescent="0.2">
      <c r="A312" s="183"/>
      <c r="B312" s="183"/>
      <c r="C312" s="183"/>
      <c r="D312" s="183"/>
      <c r="E312" s="199"/>
      <c r="F312" s="199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</row>
    <row r="313" spans="1:19" ht="19.5" customHeight="1" x14ac:dyDescent="0.2">
      <c r="A313" s="183"/>
      <c r="B313" s="183"/>
      <c r="C313" s="183"/>
      <c r="D313" s="183"/>
      <c r="E313" s="199"/>
      <c r="F313" s="199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</row>
    <row r="314" spans="1:19" ht="19.5" customHeight="1" x14ac:dyDescent="0.2">
      <c r="A314" s="183"/>
      <c r="B314" s="183"/>
      <c r="C314" s="183"/>
      <c r="D314" s="183"/>
      <c r="E314" s="199"/>
      <c r="F314" s="199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</row>
    <row r="315" spans="1:19" ht="19.5" customHeight="1" x14ac:dyDescent="0.2">
      <c r="A315" s="183"/>
      <c r="B315" s="183"/>
      <c r="C315" s="183"/>
      <c r="D315" s="183"/>
      <c r="E315" s="199"/>
      <c r="F315" s="199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</row>
    <row r="316" spans="1:19" ht="19.5" customHeight="1" x14ac:dyDescent="0.2">
      <c r="A316" s="183"/>
      <c r="B316" s="183"/>
      <c r="C316" s="183"/>
      <c r="D316" s="183"/>
      <c r="E316" s="199"/>
      <c r="F316" s="199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</row>
    <row r="317" spans="1:19" ht="19.5" customHeight="1" x14ac:dyDescent="0.2">
      <c r="A317" s="183"/>
      <c r="B317" s="183"/>
      <c r="C317" s="183"/>
      <c r="D317" s="183"/>
      <c r="E317" s="199"/>
      <c r="F317" s="199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</row>
    <row r="318" spans="1:19" ht="19.5" customHeight="1" x14ac:dyDescent="0.2">
      <c r="A318" s="183"/>
      <c r="B318" s="183"/>
      <c r="C318" s="183"/>
      <c r="D318" s="183"/>
      <c r="E318" s="199"/>
      <c r="F318" s="199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</row>
    <row r="319" spans="1:19" ht="19.5" customHeight="1" x14ac:dyDescent="0.2">
      <c r="A319" s="183"/>
      <c r="B319" s="183"/>
      <c r="C319" s="183"/>
      <c r="D319" s="183"/>
      <c r="E319" s="199"/>
      <c r="F319" s="199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</row>
    <row r="320" spans="1:19" ht="19.5" customHeight="1" x14ac:dyDescent="0.2">
      <c r="A320" s="183"/>
      <c r="B320" s="183"/>
      <c r="C320" s="183"/>
      <c r="D320" s="183"/>
      <c r="E320" s="199"/>
      <c r="F320" s="199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</row>
    <row r="321" spans="1:19" ht="19.5" customHeight="1" x14ac:dyDescent="0.2">
      <c r="A321" s="183"/>
      <c r="B321" s="183"/>
      <c r="C321" s="183"/>
      <c r="D321" s="183"/>
      <c r="E321" s="199"/>
      <c r="F321" s="199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</row>
    <row r="322" spans="1:19" ht="19.5" customHeight="1" x14ac:dyDescent="0.2">
      <c r="A322" s="183"/>
      <c r="B322" s="183"/>
      <c r="C322" s="183"/>
      <c r="D322" s="183"/>
      <c r="E322" s="199"/>
      <c r="F322" s="199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</row>
    <row r="323" spans="1:19" ht="19.5" customHeight="1" x14ac:dyDescent="0.2">
      <c r="A323" s="183"/>
      <c r="B323" s="183"/>
      <c r="C323" s="183"/>
      <c r="D323" s="183"/>
      <c r="E323" s="199"/>
      <c r="F323" s="199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</row>
    <row r="324" spans="1:19" ht="19.5" customHeight="1" x14ac:dyDescent="0.2">
      <c r="A324" s="183"/>
      <c r="B324" s="183"/>
      <c r="C324" s="183"/>
      <c r="D324" s="183"/>
      <c r="E324" s="199"/>
      <c r="F324" s="199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</row>
    <row r="325" spans="1:19" ht="19.5" customHeight="1" x14ac:dyDescent="0.2">
      <c r="A325" s="183"/>
      <c r="B325" s="183"/>
      <c r="C325" s="183"/>
      <c r="D325" s="183"/>
      <c r="E325" s="199"/>
      <c r="F325" s="199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</row>
    <row r="326" spans="1:19" ht="19.5" customHeight="1" x14ac:dyDescent="0.2">
      <c r="A326" s="183"/>
      <c r="B326" s="183"/>
      <c r="C326" s="183"/>
      <c r="D326" s="183"/>
      <c r="E326" s="199"/>
      <c r="F326" s="199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</row>
    <row r="327" spans="1:19" ht="19.5" customHeight="1" x14ac:dyDescent="0.2">
      <c r="A327" s="183"/>
      <c r="B327" s="183"/>
      <c r="C327" s="183"/>
      <c r="D327" s="183"/>
      <c r="E327" s="199"/>
      <c r="F327" s="199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</row>
    <row r="328" spans="1:19" ht="19.5" customHeight="1" x14ac:dyDescent="0.2">
      <c r="A328" s="183"/>
      <c r="B328" s="183"/>
      <c r="C328" s="183"/>
      <c r="D328" s="183"/>
      <c r="E328" s="199"/>
      <c r="F328" s="199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</row>
    <row r="329" spans="1:19" ht="19.5" customHeight="1" x14ac:dyDescent="0.2">
      <c r="A329" s="183"/>
      <c r="B329" s="183"/>
      <c r="C329" s="183"/>
      <c r="D329" s="183"/>
      <c r="E329" s="199"/>
      <c r="F329" s="199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</row>
    <row r="330" spans="1:19" ht="19.5" customHeight="1" x14ac:dyDescent="0.2">
      <c r="A330" s="183"/>
      <c r="B330" s="183"/>
      <c r="C330" s="183"/>
      <c r="D330" s="183"/>
      <c r="E330" s="199"/>
      <c r="F330" s="199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</row>
    <row r="331" spans="1:19" ht="19.5" customHeight="1" x14ac:dyDescent="0.2">
      <c r="A331" s="183"/>
      <c r="B331" s="183"/>
      <c r="C331" s="183"/>
      <c r="D331" s="183"/>
      <c r="E331" s="199"/>
      <c r="F331" s="199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</row>
    <row r="332" spans="1:19" ht="19.5" customHeight="1" x14ac:dyDescent="0.2">
      <c r="A332" s="183"/>
      <c r="B332" s="183"/>
      <c r="C332" s="183"/>
      <c r="D332" s="183"/>
      <c r="E332" s="199"/>
      <c r="F332" s="199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</row>
    <row r="333" spans="1:19" ht="19.5" customHeight="1" x14ac:dyDescent="0.2">
      <c r="A333" s="183"/>
      <c r="B333" s="183"/>
      <c r="C333" s="183"/>
      <c r="D333" s="183"/>
      <c r="E333" s="199"/>
      <c r="F333" s="199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</row>
    <row r="334" spans="1:19" ht="19.5" customHeight="1" x14ac:dyDescent="0.2">
      <c r="A334" s="183"/>
      <c r="B334" s="183"/>
      <c r="C334" s="183"/>
      <c r="D334" s="183"/>
      <c r="E334" s="199"/>
      <c r="F334" s="199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</row>
    <row r="335" spans="1:19" ht="19.5" customHeight="1" x14ac:dyDescent="0.2">
      <c r="A335" s="183"/>
      <c r="B335" s="183"/>
      <c r="C335" s="183"/>
      <c r="D335" s="183"/>
      <c r="E335" s="199"/>
      <c r="F335" s="199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</row>
    <row r="336" spans="1:19" ht="19.5" customHeight="1" x14ac:dyDescent="0.2">
      <c r="A336" s="183"/>
      <c r="B336" s="183"/>
      <c r="C336" s="183"/>
      <c r="D336" s="183"/>
      <c r="E336" s="199"/>
      <c r="F336" s="199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</row>
    <row r="337" spans="1:19" ht="19.5" customHeight="1" x14ac:dyDescent="0.2">
      <c r="A337" s="183"/>
      <c r="B337" s="183"/>
      <c r="C337" s="183"/>
      <c r="D337" s="183"/>
      <c r="E337" s="199"/>
      <c r="F337" s="199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</row>
    <row r="338" spans="1:19" ht="19.5" customHeight="1" x14ac:dyDescent="0.2">
      <c r="A338" s="183"/>
      <c r="B338" s="183"/>
      <c r="C338" s="183"/>
      <c r="D338" s="183"/>
      <c r="E338" s="199"/>
      <c r="F338" s="199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</row>
    <row r="339" spans="1:19" ht="19.5" customHeight="1" x14ac:dyDescent="0.2">
      <c r="A339" s="183"/>
      <c r="B339" s="183"/>
      <c r="C339" s="183"/>
      <c r="D339" s="183"/>
      <c r="E339" s="199"/>
      <c r="F339" s="199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</row>
    <row r="340" spans="1:19" ht="19.5" customHeight="1" x14ac:dyDescent="0.2">
      <c r="A340" s="183"/>
      <c r="B340" s="183"/>
      <c r="C340" s="183"/>
      <c r="D340" s="183"/>
      <c r="E340" s="199"/>
      <c r="F340" s="199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</row>
    <row r="341" spans="1:19" ht="19.5" customHeight="1" x14ac:dyDescent="0.2">
      <c r="A341" s="183"/>
      <c r="B341" s="183"/>
      <c r="C341" s="183"/>
      <c r="D341" s="183"/>
      <c r="E341" s="199"/>
      <c r="F341" s="199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</row>
    <row r="342" spans="1:19" ht="19.5" customHeight="1" x14ac:dyDescent="0.2">
      <c r="A342" s="183"/>
      <c r="B342" s="183"/>
      <c r="C342" s="183"/>
      <c r="D342" s="183"/>
      <c r="E342" s="199"/>
      <c r="F342" s="199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</row>
    <row r="343" spans="1:19" ht="19.5" customHeight="1" x14ac:dyDescent="0.2">
      <c r="A343" s="183"/>
      <c r="B343" s="183"/>
      <c r="C343" s="183"/>
      <c r="D343" s="183"/>
      <c r="E343" s="199"/>
      <c r="F343" s="199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</row>
    <row r="344" spans="1:19" ht="19.5" customHeight="1" x14ac:dyDescent="0.2">
      <c r="A344" s="183"/>
      <c r="B344" s="183"/>
      <c r="C344" s="183"/>
      <c r="D344" s="183"/>
      <c r="E344" s="199"/>
      <c r="F344" s="199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</row>
    <row r="345" spans="1:19" ht="19.5" customHeight="1" x14ac:dyDescent="0.2">
      <c r="A345" s="183"/>
      <c r="B345" s="183"/>
      <c r="C345" s="183"/>
      <c r="D345" s="183"/>
      <c r="E345" s="199"/>
      <c r="F345" s="199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</row>
    <row r="346" spans="1:19" ht="19.5" customHeight="1" x14ac:dyDescent="0.2">
      <c r="A346" s="183"/>
      <c r="B346" s="183"/>
      <c r="C346" s="183"/>
      <c r="D346" s="183"/>
      <c r="E346" s="199"/>
      <c r="F346" s="199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</row>
    <row r="347" spans="1:19" ht="19.5" customHeight="1" x14ac:dyDescent="0.2">
      <c r="A347" s="183"/>
      <c r="B347" s="183"/>
      <c r="C347" s="183"/>
      <c r="D347" s="183"/>
      <c r="E347" s="199"/>
      <c r="F347" s="199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</row>
    <row r="348" spans="1:19" ht="19.5" customHeight="1" x14ac:dyDescent="0.2">
      <c r="A348" s="183"/>
      <c r="B348" s="183"/>
      <c r="C348" s="183"/>
      <c r="D348" s="183"/>
      <c r="E348" s="199"/>
      <c r="F348" s="199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</row>
    <row r="349" spans="1:19" ht="19.5" customHeight="1" x14ac:dyDescent="0.2">
      <c r="A349" s="183"/>
      <c r="B349" s="183"/>
      <c r="C349" s="183"/>
      <c r="D349" s="183"/>
      <c r="E349" s="199"/>
      <c r="F349" s="199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</row>
    <row r="350" spans="1:19" ht="19.5" customHeight="1" x14ac:dyDescent="0.2">
      <c r="A350" s="183"/>
      <c r="B350" s="183"/>
      <c r="C350" s="183"/>
      <c r="D350" s="183"/>
      <c r="E350" s="199"/>
      <c r="F350" s="199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</row>
    <row r="351" spans="1:19" ht="19.5" customHeight="1" x14ac:dyDescent="0.2">
      <c r="A351" s="183"/>
      <c r="B351" s="183"/>
      <c r="C351" s="183"/>
      <c r="D351" s="183"/>
      <c r="E351" s="199"/>
      <c r="F351" s="199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</row>
    <row r="352" spans="1:19" ht="19.5" customHeight="1" x14ac:dyDescent="0.2">
      <c r="A352" s="183"/>
      <c r="B352" s="183"/>
      <c r="C352" s="183"/>
      <c r="D352" s="183"/>
      <c r="E352" s="199"/>
      <c r="F352" s="199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</row>
    <row r="353" spans="1:19" ht="19.5" customHeight="1" x14ac:dyDescent="0.2">
      <c r="A353" s="183"/>
      <c r="B353" s="183"/>
      <c r="C353" s="183"/>
      <c r="D353" s="183"/>
      <c r="E353" s="199"/>
      <c r="F353" s="199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</row>
    <row r="354" spans="1:19" ht="19.5" customHeight="1" x14ac:dyDescent="0.2">
      <c r="A354" s="183"/>
      <c r="B354" s="183"/>
      <c r="C354" s="183"/>
      <c r="D354" s="183"/>
      <c r="E354" s="199"/>
      <c r="F354" s="199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</row>
    <row r="355" spans="1:19" ht="19.5" customHeight="1" x14ac:dyDescent="0.2">
      <c r="A355" s="183"/>
      <c r="B355" s="183"/>
      <c r="C355" s="183"/>
      <c r="D355" s="183"/>
      <c r="E355" s="199"/>
      <c r="F355" s="199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</row>
    <row r="356" spans="1:19" ht="19.5" customHeight="1" x14ac:dyDescent="0.2">
      <c r="A356" s="183"/>
      <c r="B356" s="183"/>
      <c r="C356" s="183"/>
      <c r="D356" s="183"/>
      <c r="E356" s="199"/>
      <c r="F356" s="199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</row>
    <row r="357" spans="1:19" ht="19.5" customHeight="1" x14ac:dyDescent="0.2">
      <c r="A357" s="183"/>
      <c r="B357" s="183"/>
      <c r="C357" s="183"/>
      <c r="D357" s="183"/>
      <c r="E357" s="199"/>
      <c r="F357" s="199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</row>
    <row r="358" spans="1:19" ht="19.5" customHeight="1" x14ac:dyDescent="0.2">
      <c r="A358" s="183"/>
      <c r="B358" s="183"/>
      <c r="C358" s="183"/>
      <c r="D358" s="183"/>
      <c r="E358" s="199"/>
      <c r="F358" s="199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</row>
    <row r="359" spans="1:19" ht="19.5" customHeight="1" x14ac:dyDescent="0.2">
      <c r="A359" s="183"/>
      <c r="B359" s="183"/>
      <c r="C359" s="183"/>
      <c r="D359" s="183"/>
      <c r="E359" s="199"/>
      <c r="F359" s="199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</row>
    <row r="360" spans="1:19" ht="19.5" customHeight="1" x14ac:dyDescent="0.2">
      <c r="A360" s="183"/>
      <c r="B360" s="183"/>
      <c r="C360" s="183"/>
      <c r="D360" s="183"/>
      <c r="E360" s="199"/>
      <c r="F360" s="199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</row>
    <row r="361" spans="1:19" ht="19.5" customHeight="1" x14ac:dyDescent="0.2">
      <c r="A361" s="183"/>
      <c r="B361" s="183"/>
      <c r="C361" s="183"/>
      <c r="D361" s="183"/>
      <c r="E361" s="199"/>
      <c r="F361" s="199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</row>
    <row r="362" spans="1:19" ht="19.5" customHeight="1" x14ac:dyDescent="0.2">
      <c r="A362" s="183"/>
      <c r="B362" s="183"/>
      <c r="C362" s="183"/>
      <c r="D362" s="183"/>
      <c r="E362" s="199"/>
      <c r="F362" s="199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</row>
    <row r="363" spans="1:19" ht="19.5" customHeight="1" x14ac:dyDescent="0.2">
      <c r="A363" s="183"/>
      <c r="B363" s="183"/>
      <c r="C363" s="183"/>
      <c r="D363" s="183"/>
      <c r="E363" s="199"/>
      <c r="F363" s="199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</row>
    <row r="364" spans="1:19" ht="19.5" customHeight="1" x14ac:dyDescent="0.2">
      <c r="A364" s="183"/>
      <c r="B364" s="183"/>
      <c r="C364" s="183"/>
      <c r="D364" s="183"/>
      <c r="E364" s="199"/>
      <c r="F364" s="199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</row>
    <row r="365" spans="1:19" ht="19.5" customHeight="1" x14ac:dyDescent="0.2">
      <c r="A365" s="183"/>
      <c r="B365" s="183"/>
      <c r="C365" s="183"/>
      <c r="D365" s="183"/>
      <c r="E365" s="199"/>
      <c r="F365" s="199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</row>
    <row r="366" spans="1:19" ht="19.5" customHeight="1" x14ac:dyDescent="0.2">
      <c r="A366" s="183"/>
      <c r="B366" s="183"/>
      <c r="C366" s="183"/>
      <c r="D366" s="183"/>
      <c r="E366" s="199"/>
      <c r="F366" s="199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</row>
    <row r="367" spans="1:19" ht="19.5" customHeight="1" x14ac:dyDescent="0.2">
      <c r="A367" s="183"/>
      <c r="B367" s="183"/>
      <c r="C367" s="183"/>
      <c r="D367" s="183"/>
      <c r="E367" s="199"/>
      <c r="F367" s="199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</row>
    <row r="368" spans="1:19" ht="19.5" customHeight="1" x14ac:dyDescent="0.2">
      <c r="A368" s="183"/>
      <c r="B368" s="183"/>
      <c r="C368" s="183"/>
      <c r="D368" s="183"/>
      <c r="E368" s="199"/>
      <c r="F368" s="199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</row>
    <row r="369" spans="1:19" ht="19.5" customHeight="1" x14ac:dyDescent="0.2">
      <c r="A369" s="183"/>
      <c r="B369" s="183"/>
      <c r="C369" s="183"/>
      <c r="D369" s="183"/>
      <c r="E369" s="199"/>
      <c r="F369" s="199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</row>
    <row r="370" spans="1:19" ht="19.5" customHeight="1" x14ac:dyDescent="0.2">
      <c r="A370" s="183"/>
      <c r="B370" s="183"/>
      <c r="C370" s="183"/>
      <c r="D370" s="183"/>
      <c r="E370" s="199"/>
      <c r="F370" s="199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</row>
    <row r="371" spans="1:19" ht="19.5" customHeight="1" x14ac:dyDescent="0.2">
      <c r="A371" s="183"/>
      <c r="B371" s="183"/>
      <c r="C371" s="183"/>
      <c r="D371" s="183"/>
      <c r="E371" s="199"/>
      <c r="F371" s="199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</row>
    <row r="372" spans="1:19" ht="19.5" customHeight="1" x14ac:dyDescent="0.2">
      <c r="A372" s="183"/>
      <c r="B372" s="183"/>
      <c r="C372" s="183"/>
      <c r="D372" s="183"/>
      <c r="E372" s="199"/>
      <c r="F372" s="199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</row>
    <row r="373" spans="1:19" ht="19.5" customHeight="1" x14ac:dyDescent="0.2">
      <c r="A373" s="183"/>
      <c r="B373" s="183"/>
      <c r="C373" s="183"/>
      <c r="D373" s="183"/>
      <c r="E373" s="199"/>
      <c r="F373" s="199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</row>
    <row r="374" spans="1:19" ht="19.5" customHeight="1" x14ac:dyDescent="0.2">
      <c r="A374" s="183"/>
      <c r="B374" s="183"/>
      <c r="C374" s="183"/>
      <c r="D374" s="183"/>
      <c r="E374" s="199"/>
      <c r="F374" s="199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</row>
    <row r="375" spans="1:19" ht="19.5" customHeight="1" x14ac:dyDescent="0.2">
      <c r="A375" s="183"/>
      <c r="B375" s="183"/>
      <c r="C375" s="183"/>
      <c r="D375" s="183"/>
      <c r="E375" s="199"/>
      <c r="F375" s="199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</row>
    <row r="376" spans="1:19" ht="19.5" customHeight="1" x14ac:dyDescent="0.2">
      <c r="A376" s="183"/>
      <c r="B376" s="183"/>
      <c r="C376" s="183"/>
      <c r="D376" s="183"/>
      <c r="E376" s="199"/>
      <c r="F376" s="199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</row>
    <row r="377" spans="1:19" ht="19.5" customHeight="1" x14ac:dyDescent="0.2">
      <c r="A377" s="183"/>
      <c r="B377" s="183"/>
      <c r="C377" s="183"/>
      <c r="D377" s="183"/>
      <c r="E377" s="199"/>
      <c r="F377" s="199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</row>
    <row r="378" spans="1:19" ht="19.5" customHeight="1" x14ac:dyDescent="0.2">
      <c r="A378" s="183"/>
      <c r="B378" s="183"/>
      <c r="C378" s="183"/>
      <c r="D378" s="183"/>
      <c r="E378" s="199"/>
      <c r="F378" s="199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</row>
    <row r="379" spans="1:19" ht="19.5" customHeight="1" x14ac:dyDescent="0.2">
      <c r="A379" s="183"/>
      <c r="B379" s="183"/>
      <c r="C379" s="183"/>
      <c r="D379" s="183"/>
      <c r="E379" s="199"/>
      <c r="F379" s="199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</row>
    <row r="380" spans="1:19" ht="19.5" customHeight="1" x14ac:dyDescent="0.2">
      <c r="A380" s="183"/>
      <c r="B380" s="183"/>
      <c r="C380" s="183"/>
      <c r="D380" s="183"/>
      <c r="E380" s="199"/>
      <c r="F380" s="199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</row>
    <row r="381" spans="1:19" ht="19.5" customHeight="1" x14ac:dyDescent="0.2">
      <c r="A381" s="183"/>
      <c r="B381" s="183"/>
      <c r="C381" s="183"/>
      <c r="D381" s="183"/>
      <c r="E381" s="199"/>
      <c r="F381" s="199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</row>
    <row r="382" spans="1:19" ht="19.5" customHeight="1" x14ac:dyDescent="0.2">
      <c r="A382" s="183"/>
      <c r="B382" s="183"/>
      <c r="C382" s="183"/>
      <c r="D382" s="183"/>
      <c r="E382" s="199"/>
      <c r="F382" s="199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</row>
    <row r="383" spans="1:19" ht="19.5" customHeight="1" x14ac:dyDescent="0.2">
      <c r="A383" s="183"/>
      <c r="B383" s="183"/>
      <c r="C383" s="183"/>
      <c r="D383" s="183"/>
      <c r="E383" s="199"/>
      <c r="F383" s="199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</row>
    <row r="384" spans="1:19" ht="19.5" customHeight="1" x14ac:dyDescent="0.2">
      <c r="A384" s="183"/>
      <c r="B384" s="183"/>
      <c r="C384" s="183"/>
      <c r="D384" s="183"/>
      <c r="E384" s="199"/>
      <c r="F384" s="199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</row>
    <row r="385" spans="1:19" ht="19.5" customHeight="1" x14ac:dyDescent="0.2">
      <c r="A385" s="183"/>
      <c r="B385" s="183"/>
      <c r="C385" s="183"/>
      <c r="D385" s="183"/>
      <c r="E385" s="199"/>
      <c r="F385" s="199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</row>
    <row r="386" spans="1:19" ht="19.5" customHeight="1" x14ac:dyDescent="0.2">
      <c r="A386" s="183"/>
      <c r="B386" s="183"/>
      <c r="C386" s="183"/>
      <c r="D386" s="183"/>
      <c r="E386" s="199"/>
      <c r="F386" s="199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</row>
    <row r="387" spans="1:19" ht="19.5" customHeight="1" x14ac:dyDescent="0.2">
      <c r="A387" s="183"/>
      <c r="B387" s="183"/>
      <c r="C387" s="183"/>
      <c r="D387" s="183"/>
      <c r="E387" s="199"/>
      <c r="F387" s="199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</row>
    <row r="388" spans="1:19" ht="19.5" customHeight="1" x14ac:dyDescent="0.2">
      <c r="A388" s="183"/>
      <c r="B388" s="183"/>
      <c r="C388" s="183"/>
      <c r="D388" s="183"/>
      <c r="E388" s="199"/>
      <c r="F388" s="199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</row>
    <row r="389" spans="1:19" ht="19.5" customHeight="1" x14ac:dyDescent="0.2">
      <c r="A389" s="183"/>
      <c r="B389" s="183"/>
      <c r="C389" s="183"/>
      <c r="D389" s="183"/>
      <c r="E389" s="199"/>
      <c r="F389" s="199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</row>
    <row r="390" spans="1:19" ht="19.5" customHeight="1" x14ac:dyDescent="0.2">
      <c r="A390" s="183"/>
      <c r="B390" s="183"/>
      <c r="C390" s="183"/>
      <c r="D390" s="183"/>
      <c r="E390" s="199"/>
      <c r="F390" s="199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</row>
    <row r="391" spans="1:19" ht="19.5" customHeight="1" x14ac:dyDescent="0.2">
      <c r="A391" s="183"/>
      <c r="B391" s="183"/>
      <c r="C391" s="183"/>
      <c r="D391" s="183"/>
      <c r="E391" s="199"/>
      <c r="F391" s="199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</row>
    <row r="392" spans="1:19" ht="19.5" customHeight="1" x14ac:dyDescent="0.2">
      <c r="A392" s="183"/>
      <c r="B392" s="183"/>
      <c r="C392" s="183"/>
      <c r="D392" s="183"/>
      <c r="E392" s="199"/>
      <c r="F392" s="199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</row>
    <row r="393" spans="1:19" ht="19.5" customHeight="1" x14ac:dyDescent="0.2">
      <c r="A393" s="183"/>
      <c r="B393" s="183"/>
      <c r="C393" s="183"/>
      <c r="D393" s="183"/>
      <c r="E393" s="199"/>
      <c r="F393" s="199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</row>
    <row r="394" spans="1:19" ht="19.5" customHeight="1" x14ac:dyDescent="0.2">
      <c r="A394" s="183"/>
      <c r="B394" s="183"/>
      <c r="C394" s="183"/>
      <c r="D394" s="183"/>
      <c r="E394" s="199"/>
      <c r="F394" s="199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</row>
    <row r="395" spans="1:19" ht="19.5" customHeight="1" x14ac:dyDescent="0.2">
      <c r="A395" s="183"/>
      <c r="B395" s="183"/>
      <c r="C395" s="183"/>
      <c r="D395" s="183"/>
      <c r="E395" s="199"/>
      <c r="F395" s="199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</row>
    <row r="396" spans="1:19" ht="19.5" customHeight="1" x14ac:dyDescent="0.2">
      <c r="A396" s="183"/>
      <c r="B396" s="183"/>
      <c r="C396" s="183"/>
      <c r="D396" s="183"/>
      <c r="E396" s="199"/>
      <c r="F396" s="199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</row>
    <row r="397" spans="1:19" ht="19.5" customHeight="1" x14ac:dyDescent="0.2">
      <c r="A397" s="183"/>
      <c r="B397" s="183"/>
      <c r="C397" s="183"/>
      <c r="D397" s="183"/>
      <c r="E397" s="199"/>
      <c r="F397" s="199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</row>
    <row r="398" spans="1:19" ht="19.5" customHeight="1" x14ac:dyDescent="0.2">
      <c r="A398" s="183"/>
      <c r="B398" s="183"/>
      <c r="C398" s="183"/>
      <c r="D398" s="183"/>
      <c r="E398" s="199"/>
      <c r="F398" s="199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</row>
    <row r="399" spans="1:19" ht="19.5" customHeight="1" x14ac:dyDescent="0.2">
      <c r="A399" s="183"/>
      <c r="B399" s="183"/>
      <c r="C399" s="183"/>
      <c r="D399" s="183"/>
      <c r="E399" s="199"/>
      <c r="F399" s="199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</row>
    <row r="400" spans="1:19" ht="19.5" customHeight="1" x14ac:dyDescent="0.2">
      <c r="A400" s="183"/>
      <c r="B400" s="183"/>
      <c r="C400" s="183"/>
      <c r="D400" s="183"/>
      <c r="E400" s="199"/>
      <c r="F400" s="199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</row>
    <row r="401" spans="1:19" ht="19.5" customHeight="1" x14ac:dyDescent="0.2">
      <c r="A401" s="183"/>
      <c r="B401" s="183"/>
      <c r="C401" s="183"/>
      <c r="D401" s="183"/>
      <c r="E401" s="199"/>
      <c r="F401" s="199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</row>
    <row r="402" spans="1:19" ht="19.5" customHeight="1" x14ac:dyDescent="0.2">
      <c r="A402" s="183"/>
      <c r="B402" s="183"/>
      <c r="C402" s="183"/>
      <c r="D402" s="183"/>
      <c r="E402" s="199"/>
      <c r="F402" s="199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</row>
    <row r="403" spans="1:19" ht="19.5" customHeight="1" x14ac:dyDescent="0.2">
      <c r="A403" s="183"/>
      <c r="B403" s="183"/>
      <c r="C403" s="183"/>
      <c r="D403" s="183"/>
      <c r="E403" s="199"/>
      <c r="F403" s="199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</row>
    <row r="404" spans="1:19" ht="19.5" customHeight="1" x14ac:dyDescent="0.2">
      <c r="A404" s="183"/>
      <c r="B404" s="183"/>
      <c r="C404" s="183"/>
      <c r="D404" s="183"/>
      <c r="E404" s="199"/>
      <c r="F404" s="199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</row>
    <row r="405" spans="1:19" ht="19.5" customHeight="1" x14ac:dyDescent="0.2">
      <c r="A405" s="183"/>
      <c r="B405" s="183"/>
      <c r="C405" s="183"/>
      <c r="D405" s="183"/>
      <c r="E405" s="199"/>
      <c r="F405" s="199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</row>
    <row r="406" spans="1:19" ht="19.5" customHeight="1" x14ac:dyDescent="0.2">
      <c r="A406" s="183"/>
      <c r="B406" s="183"/>
      <c r="C406" s="183"/>
      <c r="D406" s="183"/>
      <c r="E406" s="199"/>
      <c r="F406" s="199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</row>
    <row r="407" spans="1:19" ht="19.5" customHeight="1" x14ac:dyDescent="0.2">
      <c r="A407" s="183"/>
      <c r="B407" s="183"/>
      <c r="C407" s="183"/>
      <c r="D407" s="183"/>
      <c r="E407" s="199"/>
      <c r="F407" s="199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</row>
    <row r="408" spans="1:19" ht="19.5" customHeight="1" x14ac:dyDescent="0.2">
      <c r="A408" s="183"/>
      <c r="B408" s="183"/>
      <c r="C408" s="183"/>
      <c r="D408" s="183"/>
      <c r="E408" s="199"/>
      <c r="F408" s="199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</row>
    <row r="409" spans="1:19" ht="19.5" customHeight="1" x14ac:dyDescent="0.2">
      <c r="A409" s="183"/>
      <c r="B409" s="183"/>
      <c r="C409" s="183"/>
      <c r="D409" s="183"/>
      <c r="E409" s="199"/>
      <c r="F409" s="199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</row>
    <row r="410" spans="1:19" ht="19.5" customHeight="1" x14ac:dyDescent="0.2">
      <c r="A410" s="183"/>
      <c r="B410" s="183"/>
      <c r="C410" s="183"/>
      <c r="D410" s="183"/>
      <c r="E410" s="199"/>
      <c r="F410" s="199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</row>
    <row r="411" spans="1:19" ht="19.5" customHeight="1" x14ac:dyDescent="0.2">
      <c r="A411" s="183"/>
      <c r="B411" s="183"/>
      <c r="C411" s="183"/>
      <c r="D411" s="183"/>
      <c r="E411" s="199"/>
      <c r="F411" s="199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</row>
    <row r="412" spans="1:19" ht="19.5" customHeight="1" x14ac:dyDescent="0.2">
      <c r="A412" s="183"/>
      <c r="B412" s="183"/>
      <c r="C412" s="183"/>
      <c r="D412" s="183"/>
      <c r="E412" s="199"/>
      <c r="F412" s="199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</row>
    <row r="413" spans="1:19" ht="19.5" customHeight="1" x14ac:dyDescent="0.2">
      <c r="A413" s="183"/>
      <c r="B413" s="183"/>
      <c r="C413" s="183"/>
      <c r="D413" s="183"/>
      <c r="E413" s="199"/>
      <c r="F413" s="199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</row>
    <row r="414" spans="1:19" ht="19.5" customHeight="1" x14ac:dyDescent="0.2">
      <c r="A414" s="183"/>
      <c r="B414" s="183"/>
      <c r="C414" s="183"/>
      <c r="D414" s="183"/>
      <c r="E414" s="199"/>
      <c r="F414" s="199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</row>
    <row r="415" spans="1:19" ht="19.5" customHeight="1" x14ac:dyDescent="0.2">
      <c r="A415" s="183"/>
      <c r="B415" s="183"/>
      <c r="C415" s="183"/>
      <c r="D415" s="183"/>
      <c r="E415" s="199"/>
      <c r="F415" s="199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</row>
    <row r="416" spans="1:19" ht="19.5" customHeight="1" x14ac:dyDescent="0.2">
      <c r="A416" s="183"/>
      <c r="B416" s="183"/>
      <c r="C416" s="183"/>
      <c r="D416" s="183"/>
      <c r="E416" s="199"/>
      <c r="F416" s="199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</row>
    <row r="417" spans="1:19" ht="19.5" customHeight="1" x14ac:dyDescent="0.2">
      <c r="A417" s="183"/>
      <c r="B417" s="183"/>
      <c r="C417" s="183"/>
      <c r="D417" s="183"/>
      <c r="E417" s="199"/>
      <c r="F417" s="199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</row>
    <row r="418" spans="1:19" ht="19.5" customHeight="1" x14ac:dyDescent="0.2">
      <c r="A418" s="183"/>
      <c r="B418" s="183"/>
      <c r="C418" s="183"/>
      <c r="D418" s="183"/>
      <c r="E418" s="199"/>
      <c r="F418" s="199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</row>
    <row r="419" spans="1:19" ht="19.5" customHeight="1" x14ac:dyDescent="0.2">
      <c r="A419" s="183"/>
      <c r="B419" s="183"/>
      <c r="C419" s="183"/>
      <c r="D419" s="183"/>
      <c r="E419" s="199"/>
      <c r="F419" s="199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</row>
    <row r="420" spans="1:19" ht="19.5" customHeight="1" x14ac:dyDescent="0.2">
      <c r="A420" s="183"/>
      <c r="B420" s="183"/>
      <c r="C420" s="183"/>
      <c r="D420" s="183"/>
      <c r="E420" s="199"/>
      <c r="F420" s="199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</row>
    <row r="421" spans="1:19" ht="19.5" customHeight="1" x14ac:dyDescent="0.2">
      <c r="A421" s="183"/>
      <c r="B421" s="183"/>
      <c r="C421" s="183"/>
      <c r="D421" s="183"/>
      <c r="E421" s="199"/>
      <c r="F421" s="199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</row>
    <row r="422" spans="1:19" ht="19.5" customHeight="1" x14ac:dyDescent="0.2">
      <c r="A422" s="183"/>
      <c r="B422" s="183"/>
      <c r="C422" s="183"/>
      <c r="D422" s="183"/>
      <c r="E422" s="199"/>
      <c r="F422" s="199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</row>
    <row r="423" spans="1:19" ht="19.5" customHeight="1" x14ac:dyDescent="0.2">
      <c r="A423" s="183"/>
      <c r="B423" s="183"/>
      <c r="C423" s="183"/>
      <c r="D423" s="183"/>
      <c r="E423" s="199"/>
      <c r="F423" s="199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</row>
    <row r="424" spans="1:19" ht="19.5" customHeight="1" x14ac:dyDescent="0.2">
      <c r="A424" s="183"/>
      <c r="B424" s="183"/>
      <c r="C424" s="183"/>
      <c r="D424" s="183"/>
      <c r="E424" s="199"/>
      <c r="F424" s="199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</row>
    <row r="425" spans="1:19" ht="19.5" customHeight="1" x14ac:dyDescent="0.2">
      <c r="A425" s="183"/>
      <c r="B425" s="183"/>
      <c r="C425" s="183"/>
      <c r="D425" s="183"/>
      <c r="E425" s="199"/>
      <c r="F425" s="199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</row>
    <row r="426" spans="1:19" ht="19.5" customHeight="1" x14ac:dyDescent="0.2">
      <c r="A426" s="183"/>
      <c r="B426" s="183"/>
      <c r="C426" s="183"/>
      <c r="D426" s="183"/>
      <c r="E426" s="199"/>
      <c r="F426" s="199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</row>
    <row r="427" spans="1:19" ht="19.5" customHeight="1" x14ac:dyDescent="0.2">
      <c r="A427" s="183"/>
      <c r="B427" s="183"/>
      <c r="C427" s="183"/>
      <c r="D427" s="183"/>
      <c r="E427" s="199"/>
      <c r="F427" s="199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</row>
    <row r="428" spans="1:19" ht="19.5" customHeight="1" x14ac:dyDescent="0.2">
      <c r="A428" s="183"/>
      <c r="B428" s="183"/>
      <c r="C428" s="183"/>
      <c r="D428" s="183"/>
      <c r="E428" s="199"/>
      <c r="F428" s="199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</row>
    <row r="429" spans="1:19" ht="19.5" customHeight="1" x14ac:dyDescent="0.2">
      <c r="A429" s="183"/>
      <c r="B429" s="183"/>
      <c r="C429" s="183"/>
      <c r="D429" s="183"/>
      <c r="E429" s="199"/>
      <c r="F429" s="199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</row>
    <row r="430" spans="1:19" ht="19.5" customHeight="1" x14ac:dyDescent="0.2">
      <c r="A430" s="183"/>
      <c r="B430" s="183"/>
      <c r="C430" s="183"/>
      <c r="D430" s="183"/>
      <c r="E430" s="199"/>
      <c r="F430" s="199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</row>
    <row r="431" spans="1:19" ht="19.5" customHeight="1" x14ac:dyDescent="0.2">
      <c r="A431" s="183"/>
      <c r="B431" s="183"/>
      <c r="C431" s="183"/>
      <c r="D431" s="183"/>
      <c r="E431" s="199"/>
      <c r="F431" s="199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</row>
    <row r="432" spans="1:19" ht="19.5" customHeight="1" x14ac:dyDescent="0.2">
      <c r="A432" s="183"/>
      <c r="B432" s="183"/>
      <c r="C432" s="183"/>
      <c r="D432" s="183"/>
      <c r="E432" s="199"/>
      <c r="F432" s="199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</row>
    <row r="433" spans="1:19" ht="19.5" customHeight="1" x14ac:dyDescent="0.2">
      <c r="A433" s="183"/>
      <c r="B433" s="183"/>
      <c r="C433" s="183"/>
      <c r="D433" s="183"/>
      <c r="E433" s="199"/>
      <c r="F433" s="199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</row>
    <row r="434" spans="1:19" ht="19.5" customHeight="1" x14ac:dyDescent="0.2">
      <c r="A434" s="183"/>
      <c r="B434" s="183"/>
      <c r="C434" s="183"/>
      <c r="D434" s="183"/>
      <c r="E434" s="199"/>
      <c r="F434" s="199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</row>
    <row r="435" spans="1:19" ht="19.5" customHeight="1" x14ac:dyDescent="0.2">
      <c r="A435" s="183"/>
      <c r="B435" s="183"/>
      <c r="C435" s="183"/>
      <c r="D435" s="183"/>
      <c r="E435" s="199"/>
      <c r="F435" s="199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</row>
    <row r="436" spans="1:19" ht="19.5" customHeight="1" x14ac:dyDescent="0.2">
      <c r="A436" s="183"/>
      <c r="B436" s="183"/>
      <c r="C436" s="183"/>
      <c r="D436" s="183"/>
      <c r="E436" s="199"/>
      <c r="F436" s="199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</row>
    <row r="437" spans="1:19" ht="19.5" customHeight="1" x14ac:dyDescent="0.2">
      <c r="A437" s="183"/>
      <c r="B437" s="183"/>
      <c r="C437" s="183"/>
      <c r="D437" s="183"/>
      <c r="E437" s="199"/>
      <c r="F437" s="199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</row>
    <row r="438" spans="1:19" ht="19.5" customHeight="1" x14ac:dyDescent="0.2">
      <c r="A438" s="183"/>
      <c r="B438" s="183"/>
      <c r="C438" s="183"/>
      <c r="D438" s="183"/>
      <c r="E438" s="199"/>
      <c r="F438" s="199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</row>
    <row r="439" spans="1:19" ht="19.5" customHeight="1" x14ac:dyDescent="0.2">
      <c r="A439" s="183"/>
      <c r="B439" s="183"/>
      <c r="C439" s="183"/>
      <c r="D439" s="183"/>
      <c r="E439" s="199"/>
      <c r="F439" s="199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</row>
    <row r="440" spans="1:19" ht="19.5" customHeight="1" x14ac:dyDescent="0.2">
      <c r="A440" s="183"/>
      <c r="B440" s="183"/>
      <c r="C440" s="183"/>
      <c r="D440" s="183"/>
      <c r="E440" s="199"/>
      <c r="F440" s="199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</row>
    <row r="441" spans="1:19" ht="19.5" customHeight="1" x14ac:dyDescent="0.2">
      <c r="A441" s="183"/>
      <c r="B441" s="183"/>
      <c r="C441" s="183"/>
      <c r="D441" s="183"/>
      <c r="E441" s="199"/>
      <c r="F441" s="199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</row>
    <row r="442" spans="1:19" ht="19.5" customHeight="1" x14ac:dyDescent="0.2">
      <c r="A442" s="183"/>
      <c r="B442" s="183"/>
      <c r="C442" s="183"/>
      <c r="D442" s="183"/>
      <c r="E442" s="199"/>
      <c r="F442" s="199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</row>
    <row r="443" spans="1:19" ht="19.5" customHeight="1" x14ac:dyDescent="0.2">
      <c r="A443" s="183"/>
      <c r="B443" s="183"/>
      <c r="C443" s="183"/>
      <c r="D443" s="183"/>
      <c r="E443" s="199"/>
      <c r="F443" s="199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</row>
    <row r="444" spans="1:19" ht="19.5" customHeight="1" x14ac:dyDescent="0.2">
      <c r="A444" s="183"/>
      <c r="B444" s="183"/>
      <c r="C444" s="183"/>
      <c r="D444" s="183"/>
      <c r="E444" s="199"/>
      <c r="F444" s="199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</row>
    <row r="445" spans="1:19" ht="19.5" customHeight="1" x14ac:dyDescent="0.2">
      <c r="A445" s="183"/>
      <c r="B445" s="183"/>
      <c r="C445" s="183"/>
      <c r="D445" s="183"/>
      <c r="E445" s="199"/>
      <c r="F445" s="199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</row>
    <row r="446" spans="1:19" ht="19.5" customHeight="1" x14ac:dyDescent="0.2">
      <c r="A446" s="183"/>
      <c r="B446" s="183"/>
      <c r="C446" s="183"/>
      <c r="D446" s="183"/>
      <c r="E446" s="199"/>
      <c r="F446" s="199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</row>
    <row r="447" spans="1:19" ht="19.5" customHeight="1" x14ac:dyDescent="0.2">
      <c r="A447" s="183"/>
      <c r="B447" s="183"/>
      <c r="C447" s="183"/>
      <c r="D447" s="183"/>
      <c r="E447" s="199"/>
      <c r="F447" s="199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</row>
    <row r="448" spans="1:19" ht="19.5" customHeight="1" x14ac:dyDescent="0.2">
      <c r="A448" s="183"/>
      <c r="B448" s="183"/>
      <c r="C448" s="183"/>
      <c r="D448" s="183"/>
      <c r="E448" s="199"/>
      <c r="F448" s="199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</row>
    <row r="449" spans="1:19" ht="19.5" customHeight="1" x14ac:dyDescent="0.2">
      <c r="A449" s="183"/>
      <c r="B449" s="183"/>
      <c r="C449" s="183"/>
      <c r="D449" s="183"/>
      <c r="E449" s="199"/>
      <c r="F449" s="199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</row>
    <row r="450" spans="1:19" ht="19.5" customHeight="1" x14ac:dyDescent="0.2">
      <c r="A450" s="183"/>
      <c r="B450" s="183"/>
      <c r="C450" s="183"/>
      <c r="D450" s="183"/>
      <c r="E450" s="199"/>
      <c r="F450" s="199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</row>
    <row r="451" spans="1:19" ht="19.5" customHeight="1" x14ac:dyDescent="0.2">
      <c r="A451" s="183"/>
      <c r="B451" s="183"/>
      <c r="C451" s="183"/>
      <c r="D451" s="183"/>
      <c r="E451" s="199"/>
      <c r="F451" s="199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</row>
    <row r="452" spans="1:19" ht="19.5" customHeight="1" x14ac:dyDescent="0.2">
      <c r="A452" s="183"/>
      <c r="B452" s="183"/>
      <c r="C452" s="183"/>
      <c r="D452" s="183"/>
      <c r="E452" s="199"/>
      <c r="F452" s="199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</row>
    <row r="453" spans="1:19" ht="19.5" customHeight="1" x14ac:dyDescent="0.2">
      <c r="A453" s="183"/>
      <c r="B453" s="183"/>
      <c r="C453" s="183"/>
      <c r="D453" s="183"/>
      <c r="E453" s="199"/>
      <c r="F453" s="199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</row>
    <row r="454" spans="1:19" ht="19.5" customHeight="1" x14ac:dyDescent="0.2">
      <c r="A454" s="183"/>
      <c r="B454" s="183"/>
      <c r="C454" s="183"/>
      <c r="D454" s="183"/>
      <c r="E454" s="199"/>
      <c r="F454" s="199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</row>
    <row r="455" spans="1:19" ht="19.5" customHeight="1" x14ac:dyDescent="0.2">
      <c r="A455" s="183"/>
      <c r="B455" s="183"/>
      <c r="C455" s="183"/>
      <c r="D455" s="183"/>
      <c r="E455" s="199"/>
      <c r="F455" s="199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</row>
    <row r="456" spans="1:19" ht="19.5" customHeight="1" x14ac:dyDescent="0.2">
      <c r="A456" s="183"/>
      <c r="B456" s="183"/>
      <c r="C456" s="183"/>
      <c r="D456" s="183"/>
      <c r="E456" s="199"/>
      <c r="F456" s="199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</row>
    <row r="457" spans="1:19" ht="19.5" customHeight="1" x14ac:dyDescent="0.2">
      <c r="A457" s="183"/>
      <c r="B457" s="183"/>
      <c r="C457" s="183"/>
      <c r="D457" s="183"/>
      <c r="E457" s="199"/>
      <c r="F457" s="199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</row>
    <row r="458" spans="1:19" ht="19.5" customHeight="1" x14ac:dyDescent="0.2">
      <c r="A458" s="183"/>
      <c r="B458" s="183"/>
      <c r="C458" s="183"/>
      <c r="D458" s="183"/>
      <c r="E458" s="199"/>
      <c r="F458" s="199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</row>
    <row r="459" spans="1:19" ht="19.5" customHeight="1" x14ac:dyDescent="0.2">
      <c r="A459" s="183"/>
      <c r="B459" s="183"/>
      <c r="C459" s="183"/>
      <c r="D459" s="183"/>
      <c r="E459" s="199"/>
      <c r="F459" s="199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</row>
    <row r="460" spans="1:19" ht="19.5" customHeight="1" x14ac:dyDescent="0.2">
      <c r="A460" s="183"/>
      <c r="B460" s="183"/>
      <c r="C460" s="183"/>
      <c r="D460" s="183"/>
      <c r="E460" s="199"/>
      <c r="F460" s="199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</row>
    <row r="461" spans="1:19" ht="19.5" customHeight="1" x14ac:dyDescent="0.2">
      <c r="A461" s="183"/>
      <c r="B461" s="183"/>
      <c r="C461" s="183"/>
      <c r="D461" s="183"/>
      <c r="E461" s="199"/>
      <c r="F461" s="199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</row>
    <row r="462" spans="1:19" ht="19.5" customHeight="1" x14ac:dyDescent="0.2">
      <c r="A462" s="183"/>
      <c r="B462" s="183"/>
      <c r="C462" s="183"/>
      <c r="D462" s="183"/>
      <c r="E462" s="199"/>
      <c r="F462" s="199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</row>
    <row r="463" spans="1:19" ht="19.5" customHeight="1" x14ac:dyDescent="0.2">
      <c r="A463" s="183"/>
      <c r="B463" s="183"/>
      <c r="C463" s="183"/>
      <c r="D463" s="183"/>
      <c r="E463" s="199"/>
      <c r="F463" s="199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</row>
    <row r="464" spans="1:19" ht="19.5" customHeight="1" x14ac:dyDescent="0.2">
      <c r="A464" s="183"/>
      <c r="B464" s="183"/>
      <c r="C464" s="183"/>
      <c r="D464" s="183"/>
      <c r="E464" s="199"/>
      <c r="F464" s="199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</row>
    <row r="465" spans="1:19" ht="19.5" customHeight="1" x14ac:dyDescent="0.2">
      <c r="A465" s="183"/>
      <c r="B465" s="183"/>
      <c r="C465" s="183"/>
      <c r="D465" s="183"/>
      <c r="E465" s="199"/>
      <c r="F465" s="199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</row>
    <row r="466" spans="1:19" ht="19.5" customHeight="1" x14ac:dyDescent="0.2">
      <c r="A466" s="183"/>
      <c r="B466" s="183"/>
      <c r="C466" s="183"/>
      <c r="D466" s="183"/>
      <c r="E466" s="199"/>
      <c r="F466" s="199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</row>
    <row r="467" spans="1:19" ht="19.5" customHeight="1" x14ac:dyDescent="0.2">
      <c r="A467" s="183"/>
      <c r="B467" s="183"/>
      <c r="C467" s="183"/>
      <c r="D467" s="183"/>
      <c r="E467" s="199"/>
      <c r="F467" s="199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</row>
    <row r="468" spans="1:19" ht="19.5" customHeight="1" x14ac:dyDescent="0.2">
      <c r="A468" s="183"/>
      <c r="B468" s="183"/>
      <c r="C468" s="183"/>
      <c r="D468" s="183"/>
      <c r="E468" s="199"/>
      <c r="F468" s="199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</row>
    <row r="469" spans="1:19" ht="19.5" customHeight="1" x14ac:dyDescent="0.2">
      <c r="A469" s="183"/>
      <c r="B469" s="183"/>
      <c r="C469" s="183"/>
      <c r="D469" s="183"/>
      <c r="E469" s="199"/>
      <c r="F469" s="199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</row>
    <row r="470" spans="1:19" ht="19.5" customHeight="1" x14ac:dyDescent="0.2">
      <c r="A470" s="183"/>
      <c r="B470" s="183"/>
      <c r="C470" s="183"/>
      <c r="D470" s="183"/>
      <c r="E470" s="199"/>
      <c r="F470" s="199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</row>
    <row r="471" spans="1:19" ht="19.5" customHeight="1" x14ac:dyDescent="0.2">
      <c r="A471" s="183"/>
      <c r="B471" s="183"/>
      <c r="C471" s="183"/>
      <c r="D471" s="183"/>
      <c r="E471" s="199"/>
      <c r="F471" s="199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</row>
    <row r="472" spans="1:19" ht="19.5" customHeight="1" x14ac:dyDescent="0.2">
      <c r="A472" s="183"/>
      <c r="B472" s="183"/>
      <c r="C472" s="183"/>
      <c r="D472" s="183"/>
      <c r="E472" s="199"/>
      <c r="F472" s="199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</row>
    <row r="473" spans="1:19" ht="19.5" customHeight="1" x14ac:dyDescent="0.2">
      <c r="A473" s="183"/>
      <c r="B473" s="183"/>
      <c r="C473" s="183"/>
      <c r="D473" s="183"/>
      <c r="E473" s="199"/>
      <c r="F473" s="199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</row>
    <row r="474" spans="1:19" ht="19.5" customHeight="1" x14ac:dyDescent="0.2">
      <c r="A474" s="183"/>
      <c r="B474" s="183"/>
      <c r="C474" s="183"/>
      <c r="D474" s="183"/>
      <c r="E474" s="199"/>
      <c r="F474" s="199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</row>
    <row r="475" spans="1:19" ht="19.5" customHeight="1" x14ac:dyDescent="0.2">
      <c r="A475" s="183"/>
      <c r="B475" s="183"/>
      <c r="C475" s="183"/>
      <c r="D475" s="183"/>
      <c r="E475" s="199"/>
      <c r="F475" s="199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</row>
    <row r="476" spans="1:19" ht="19.5" customHeight="1" x14ac:dyDescent="0.2">
      <c r="A476" s="183"/>
      <c r="B476" s="183"/>
      <c r="C476" s="183"/>
      <c r="D476" s="183"/>
      <c r="E476" s="199"/>
      <c r="F476" s="199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</row>
    <row r="477" spans="1:19" ht="19.5" customHeight="1" x14ac:dyDescent="0.2">
      <c r="A477" s="183"/>
      <c r="B477" s="183"/>
      <c r="C477" s="183"/>
      <c r="D477" s="183"/>
      <c r="E477" s="199"/>
      <c r="F477" s="199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</row>
    <row r="478" spans="1:19" ht="19.5" customHeight="1" x14ac:dyDescent="0.2">
      <c r="A478" s="183"/>
      <c r="B478" s="183"/>
      <c r="C478" s="183"/>
      <c r="D478" s="183"/>
      <c r="E478" s="199"/>
      <c r="F478" s="199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</row>
    <row r="479" spans="1:19" ht="19.5" customHeight="1" x14ac:dyDescent="0.2">
      <c r="A479" s="183"/>
      <c r="B479" s="183"/>
      <c r="C479" s="183"/>
      <c r="D479" s="183"/>
      <c r="E479" s="199"/>
      <c r="F479" s="199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</row>
    <row r="480" spans="1:19" ht="19.5" customHeight="1" x14ac:dyDescent="0.2">
      <c r="A480" s="183"/>
      <c r="B480" s="183"/>
      <c r="C480" s="183"/>
      <c r="D480" s="183"/>
      <c r="E480" s="199"/>
      <c r="F480" s="199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</row>
    <row r="481" spans="1:19" ht="19.5" customHeight="1" x14ac:dyDescent="0.2">
      <c r="A481" s="183"/>
      <c r="B481" s="183"/>
      <c r="C481" s="183"/>
      <c r="D481" s="183"/>
      <c r="E481" s="199"/>
      <c r="F481" s="199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</row>
    <row r="482" spans="1:19" ht="19.5" customHeight="1" x14ac:dyDescent="0.2">
      <c r="A482" s="183"/>
      <c r="B482" s="183"/>
      <c r="C482" s="183"/>
      <c r="D482" s="183"/>
      <c r="E482" s="199"/>
      <c r="F482" s="199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</row>
    <row r="483" spans="1:19" ht="19.5" customHeight="1" x14ac:dyDescent="0.2">
      <c r="A483" s="183"/>
      <c r="B483" s="183"/>
      <c r="C483" s="183"/>
      <c r="D483" s="183"/>
      <c r="E483" s="199"/>
      <c r="F483" s="199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</row>
    <row r="484" spans="1:19" ht="19.5" customHeight="1" x14ac:dyDescent="0.2">
      <c r="A484" s="183"/>
      <c r="B484" s="183"/>
      <c r="C484" s="183"/>
      <c r="D484" s="183"/>
      <c r="E484" s="199"/>
      <c r="F484" s="199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</row>
    <row r="485" spans="1:19" ht="19.5" customHeight="1" x14ac:dyDescent="0.2">
      <c r="A485" s="183"/>
      <c r="B485" s="183"/>
      <c r="C485" s="183"/>
      <c r="D485" s="183"/>
      <c r="E485" s="199"/>
      <c r="F485" s="199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</row>
    <row r="486" spans="1:19" ht="19.5" customHeight="1" x14ac:dyDescent="0.2">
      <c r="A486" s="183"/>
      <c r="B486" s="183"/>
      <c r="C486" s="183"/>
      <c r="D486" s="183"/>
      <c r="E486" s="199"/>
      <c r="F486" s="199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</row>
    <row r="487" spans="1:19" ht="19.5" customHeight="1" x14ac:dyDescent="0.2">
      <c r="A487" s="183"/>
      <c r="B487" s="183"/>
      <c r="C487" s="183"/>
      <c r="D487" s="183"/>
      <c r="E487" s="199"/>
      <c r="F487" s="199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</row>
    <row r="488" spans="1:19" ht="19.5" customHeight="1" x14ac:dyDescent="0.2">
      <c r="A488" s="183"/>
      <c r="B488" s="183"/>
      <c r="C488" s="183"/>
      <c r="D488" s="183"/>
      <c r="E488" s="199"/>
      <c r="F488" s="199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</row>
    <row r="489" spans="1:19" ht="19.5" customHeight="1" x14ac:dyDescent="0.2">
      <c r="A489" s="183"/>
      <c r="B489" s="183"/>
      <c r="C489" s="183"/>
      <c r="D489" s="183"/>
      <c r="E489" s="199"/>
      <c r="F489" s="199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</row>
    <row r="490" spans="1:19" ht="19.5" customHeight="1" x14ac:dyDescent="0.2">
      <c r="A490" s="183"/>
      <c r="B490" s="183"/>
      <c r="C490" s="183"/>
      <c r="D490" s="183"/>
      <c r="E490" s="199"/>
      <c r="F490" s="199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</row>
    <row r="491" spans="1:19" ht="19.5" customHeight="1" x14ac:dyDescent="0.2">
      <c r="A491" s="183"/>
      <c r="B491" s="183"/>
      <c r="C491" s="183"/>
      <c r="D491" s="183"/>
      <c r="E491" s="199"/>
      <c r="F491" s="199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</row>
    <row r="492" spans="1:19" ht="19.5" customHeight="1" x14ac:dyDescent="0.2">
      <c r="A492" s="183"/>
      <c r="B492" s="183"/>
      <c r="C492" s="183"/>
      <c r="D492" s="183"/>
      <c r="E492" s="199"/>
      <c r="F492" s="199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</row>
    <row r="493" spans="1:19" ht="19.5" customHeight="1" x14ac:dyDescent="0.2">
      <c r="A493" s="183"/>
      <c r="B493" s="183"/>
      <c r="C493" s="183"/>
      <c r="D493" s="183"/>
      <c r="E493" s="199"/>
      <c r="F493" s="199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</row>
    <row r="494" spans="1:19" ht="19.5" customHeight="1" x14ac:dyDescent="0.2">
      <c r="A494" s="183"/>
      <c r="B494" s="183"/>
      <c r="C494" s="183"/>
      <c r="D494" s="183"/>
      <c r="E494" s="199"/>
      <c r="F494" s="199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</row>
    <row r="495" spans="1:19" ht="19.5" customHeight="1" x14ac:dyDescent="0.2">
      <c r="A495" s="183"/>
      <c r="B495" s="183"/>
      <c r="C495" s="183"/>
      <c r="D495" s="183"/>
      <c r="E495" s="199"/>
      <c r="F495" s="199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</row>
    <row r="496" spans="1:19" ht="19.5" customHeight="1" x14ac:dyDescent="0.2">
      <c r="A496" s="183"/>
      <c r="B496" s="183"/>
      <c r="C496" s="183"/>
      <c r="D496" s="183"/>
      <c r="E496" s="199"/>
      <c r="F496" s="199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</row>
    <row r="497" spans="1:19" ht="19.5" customHeight="1" x14ac:dyDescent="0.2">
      <c r="A497" s="183"/>
      <c r="B497" s="183"/>
      <c r="C497" s="183"/>
      <c r="D497" s="183"/>
      <c r="E497" s="199"/>
      <c r="F497" s="199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</row>
    <row r="498" spans="1:19" ht="19.5" customHeight="1" x14ac:dyDescent="0.2">
      <c r="A498" s="183"/>
      <c r="B498" s="183"/>
      <c r="C498" s="183"/>
      <c r="D498" s="183"/>
      <c r="E498" s="199"/>
      <c r="F498" s="199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</row>
    <row r="499" spans="1:19" ht="19.5" customHeight="1" x14ac:dyDescent="0.2">
      <c r="A499" s="183"/>
      <c r="B499" s="183"/>
      <c r="C499" s="183"/>
      <c r="D499" s="183"/>
      <c r="E499" s="199"/>
      <c r="F499" s="199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</row>
    <row r="500" spans="1:19" ht="19.5" customHeight="1" x14ac:dyDescent="0.2">
      <c r="A500" s="183"/>
      <c r="B500" s="183"/>
      <c r="C500" s="183"/>
      <c r="D500" s="183"/>
      <c r="E500" s="199"/>
      <c r="F500" s="199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</row>
    <row r="501" spans="1:19" ht="19.5" customHeight="1" x14ac:dyDescent="0.2">
      <c r="A501" s="183"/>
      <c r="B501" s="183"/>
      <c r="C501" s="183"/>
      <c r="D501" s="183"/>
      <c r="E501" s="199"/>
      <c r="F501" s="199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</row>
    <row r="502" spans="1:19" ht="19.5" customHeight="1" x14ac:dyDescent="0.2">
      <c r="A502" s="183"/>
      <c r="B502" s="183"/>
      <c r="C502" s="183"/>
      <c r="D502" s="183"/>
      <c r="E502" s="199"/>
      <c r="F502" s="199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</row>
    <row r="503" spans="1:19" ht="19.5" customHeight="1" x14ac:dyDescent="0.2">
      <c r="A503" s="183"/>
      <c r="B503" s="183"/>
      <c r="C503" s="183"/>
      <c r="D503" s="183"/>
      <c r="E503" s="199"/>
      <c r="F503" s="199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</row>
    <row r="504" spans="1:19" ht="19.5" customHeight="1" x14ac:dyDescent="0.2">
      <c r="A504" s="183"/>
      <c r="B504" s="183"/>
      <c r="C504" s="183"/>
      <c r="D504" s="183"/>
      <c r="E504" s="199"/>
      <c r="F504" s="199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</row>
    <row r="505" spans="1:19" ht="19.5" customHeight="1" x14ac:dyDescent="0.2">
      <c r="A505" s="183"/>
      <c r="B505" s="183"/>
      <c r="C505" s="183"/>
      <c r="D505" s="183"/>
      <c r="E505" s="199"/>
      <c r="F505" s="199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</row>
    <row r="506" spans="1:19" ht="19.5" customHeight="1" x14ac:dyDescent="0.2">
      <c r="A506" s="183"/>
      <c r="B506" s="183"/>
      <c r="C506" s="183"/>
      <c r="D506" s="183"/>
      <c r="E506" s="199"/>
      <c r="F506" s="199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</row>
    <row r="507" spans="1:19" ht="19.5" customHeight="1" x14ac:dyDescent="0.2">
      <c r="A507" s="183"/>
      <c r="B507" s="183"/>
      <c r="C507" s="183"/>
      <c r="D507" s="183"/>
      <c r="E507" s="199"/>
      <c r="F507" s="199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</row>
    <row r="508" spans="1:19" ht="19.5" customHeight="1" x14ac:dyDescent="0.2">
      <c r="A508" s="183"/>
      <c r="B508" s="183"/>
      <c r="C508" s="183"/>
      <c r="D508" s="183"/>
      <c r="E508" s="199"/>
      <c r="F508" s="199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</row>
    <row r="509" spans="1:19" ht="19.5" customHeight="1" x14ac:dyDescent="0.2">
      <c r="A509" s="183"/>
      <c r="B509" s="183"/>
      <c r="C509" s="183"/>
      <c r="D509" s="183"/>
      <c r="E509" s="199"/>
      <c r="F509" s="199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</row>
    <row r="510" spans="1:19" ht="19.5" customHeight="1" x14ac:dyDescent="0.2">
      <c r="A510" s="183"/>
      <c r="B510" s="183"/>
      <c r="C510" s="183"/>
      <c r="D510" s="183"/>
      <c r="E510" s="199"/>
      <c r="F510" s="199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</row>
    <row r="511" spans="1:19" ht="19.5" customHeight="1" x14ac:dyDescent="0.2">
      <c r="A511" s="183"/>
      <c r="B511" s="183"/>
      <c r="C511" s="183"/>
      <c r="D511" s="183"/>
      <c r="E511" s="199"/>
      <c r="F511" s="199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</row>
    <row r="512" spans="1:19" ht="19.5" customHeight="1" x14ac:dyDescent="0.2">
      <c r="A512" s="183"/>
      <c r="B512" s="183"/>
      <c r="C512" s="183"/>
      <c r="D512" s="183"/>
      <c r="E512" s="199"/>
      <c r="F512" s="199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</row>
    <row r="513" spans="1:19" ht="19.5" customHeight="1" x14ac:dyDescent="0.2">
      <c r="A513" s="183"/>
      <c r="B513" s="183"/>
      <c r="C513" s="183"/>
      <c r="D513" s="183"/>
      <c r="E513" s="199"/>
      <c r="F513" s="199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</row>
    <row r="514" spans="1:19" ht="19.5" customHeight="1" x14ac:dyDescent="0.2">
      <c r="A514" s="183"/>
      <c r="B514" s="183"/>
      <c r="C514" s="183"/>
      <c r="D514" s="183"/>
      <c r="E514" s="199"/>
      <c r="F514" s="199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</row>
    <row r="515" spans="1:19" ht="19.5" customHeight="1" x14ac:dyDescent="0.2">
      <c r="A515" s="183"/>
      <c r="B515" s="183"/>
      <c r="C515" s="183"/>
      <c r="D515" s="183"/>
      <c r="E515" s="199"/>
      <c r="F515" s="199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</row>
    <row r="516" spans="1:19" ht="19.5" customHeight="1" x14ac:dyDescent="0.2">
      <c r="A516" s="183"/>
      <c r="B516" s="183"/>
      <c r="C516" s="183"/>
      <c r="D516" s="183"/>
      <c r="E516" s="199"/>
      <c r="F516" s="199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</row>
    <row r="517" spans="1:19" ht="19.5" customHeight="1" x14ac:dyDescent="0.2">
      <c r="A517" s="183"/>
      <c r="B517" s="183"/>
      <c r="C517" s="183"/>
      <c r="D517" s="183"/>
      <c r="E517" s="199"/>
      <c r="F517" s="199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</row>
    <row r="518" spans="1:19" ht="19.5" customHeight="1" x14ac:dyDescent="0.2">
      <c r="A518" s="183"/>
      <c r="B518" s="183"/>
      <c r="C518" s="183"/>
      <c r="D518" s="183"/>
      <c r="E518" s="199"/>
      <c r="F518" s="199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</row>
    <row r="519" spans="1:19" ht="19.5" customHeight="1" x14ac:dyDescent="0.2">
      <c r="A519" s="183"/>
      <c r="B519" s="183"/>
      <c r="C519" s="183"/>
      <c r="D519" s="183"/>
      <c r="E519" s="199"/>
      <c r="F519" s="199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</row>
    <row r="520" spans="1:19" ht="19.5" customHeight="1" x14ac:dyDescent="0.2">
      <c r="A520" s="183"/>
      <c r="B520" s="183"/>
      <c r="C520" s="183"/>
      <c r="D520" s="183"/>
      <c r="E520" s="199"/>
      <c r="F520" s="199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</row>
    <row r="521" spans="1:19" ht="19.5" customHeight="1" x14ac:dyDescent="0.2">
      <c r="A521" s="183"/>
      <c r="B521" s="183"/>
      <c r="C521" s="183"/>
      <c r="D521" s="183"/>
      <c r="E521" s="199"/>
      <c r="F521" s="199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</row>
    <row r="522" spans="1:19" ht="19.5" customHeight="1" x14ac:dyDescent="0.2">
      <c r="A522" s="183"/>
      <c r="B522" s="183"/>
      <c r="C522" s="183"/>
      <c r="D522" s="183"/>
      <c r="E522" s="199"/>
      <c r="F522" s="199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</row>
    <row r="523" spans="1:19" ht="19.5" customHeight="1" x14ac:dyDescent="0.2">
      <c r="A523" s="183"/>
      <c r="B523" s="183"/>
      <c r="C523" s="183"/>
      <c r="D523" s="183"/>
      <c r="E523" s="199"/>
      <c r="F523" s="199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</row>
    <row r="524" spans="1:19" ht="19.5" customHeight="1" x14ac:dyDescent="0.2">
      <c r="A524" s="183"/>
      <c r="B524" s="183"/>
      <c r="C524" s="183"/>
      <c r="D524" s="183"/>
      <c r="E524" s="199"/>
      <c r="F524" s="199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</row>
    <row r="525" spans="1:19" ht="19.5" customHeight="1" x14ac:dyDescent="0.2">
      <c r="A525" s="183"/>
      <c r="B525" s="183"/>
      <c r="C525" s="183"/>
      <c r="D525" s="183"/>
      <c r="E525" s="199"/>
      <c r="F525" s="199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</row>
    <row r="526" spans="1:19" ht="19.5" customHeight="1" x14ac:dyDescent="0.2">
      <c r="A526" s="183"/>
      <c r="B526" s="183"/>
      <c r="C526" s="183"/>
      <c r="D526" s="183"/>
      <c r="E526" s="199"/>
      <c r="F526" s="199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</row>
    <row r="527" spans="1:19" ht="19.5" customHeight="1" x14ac:dyDescent="0.2">
      <c r="A527" s="183"/>
      <c r="B527" s="183"/>
      <c r="C527" s="183"/>
      <c r="D527" s="183"/>
      <c r="E527" s="199"/>
      <c r="F527" s="199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</row>
    <row r="528" spans="1:19" ht="19.5" customHeight="1" x14ac:dyDescent="0.2">
      <c r="A528" s="183"/>
      <c r="B528" s="183"/>
      <c r="C528" s="183"/>
      <c r="D528" s="183"/>
      <c r="E528" s="199"/>
      <c r="F528" s="199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</row>
    <row r="529" spans="1:19" ht="19.5" customHeight="1" x14ac:dyDescent="0.2">
      <c r="A529" s="183"/>
      <c r="B529" s="183"/>
      <c r="C529" s="183"/>
      <c r="D529" s="183"/>
      <c r="E529" s="199"/>
      <c r="F529" s="199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</row>
    <row r="530" spans="1:19" ht="19.5" customHeight="1" x14ac:dyDescent="0.2">
      <c r="A530" s="183"/>
      <c r="B530" s="183"/>
      <c r="C530" s="183"/>
      <c r="D530" s="183"/>
      <c r="E530" s="199"/>
      <c r="F530" s="199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</row>
    <row r="531" spans="1:19" ht="19.5" customHeight="1" x14ac:dyDescent="0.2">
      <c r="A531" s="183"/>
      <c r="B531" s="183"/>
      <c r="C531" s="183"/>
      <c r="D531" s="183"/>
      <c r="E531" s="199"/>
      <c r="F531" s="199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</row>
    <row r="532" spans="1:19" ht="19.5" customHeight="1" x14ac:dyDescent="0.2">
      <c r="A532" s="183"/>
      <c r="B532" s="183"/>
      <c r="C532" s="183"/>
      <c r="D532" s="183"/>
      <c r="E532" s="199"/>
      <c r="F532" s="199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</row>
    <row r="533" spans="1:19" ht="19.5" customHeight="1" x14ac:dyDescent="0.2">
      <c r="A533" s="183"/>
      <c r="B533" s="183"/>
      <c r="C533" s="183"/>
      <c r="D533" s="183"/>
      <c r="E533" s="199"/>
      <c r="F533" s="199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</row>
    <row r="534" spans="1:19" ht="19.5" customHeight="1" x14ac:dyDescent="0.2">
      <c r="A534" s="183"/>
      <c r="B534" s="183"/>
      <c r="C534" s="183"/>
      <c r="D534" s="183"/>
      <c r="E534" s="199"/>
      <c r="F534" s="199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</row>
    <row r="535" spans="1:19" ht="19.5" customHeight="1" x14ac:dyDescent="0.2">
      <c r="A535" s="183"/>
      <c r="B535" s="183"/>
      <c r="C535" s="183"/>
      <c r="D535" s="183"/>
      <c r="E535" s="199"/>
      <c r="F535" s="199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</row>
    <row r="536" spans="1:19" ht="19.5" customHeight="1" x14ac:dyDescent="0.2">
      <c r="A536" s="183"/>
      <c r="B536" s="183"/>
      <c r="C536" s="183"/>
      <c r="D536" s="183"/>
      <c r="E536" s="199"/>
      <c r="F536" s="199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</row>
    <row r="537" spans="1:19" ht="19.5" customHeight="1" x14ac:dyDescent="0.2">
      <c r="A537" s="183"/>
      <c r="B537" s="183"/>
      <c r="C537" s="183"/>
      <c r="D537" s="183"/>
      <c r="E537" s="199"/>
      <c r="F537" s="199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</row>
    <row r="538" spans="1:19" ht="19.5" customHeight="1" x14ac:dyDescent="0.2">
      <c r="A538" s="183"/>
      <c r="B538" s="183"/>
      <c r="C538" s="183"/>
      <c r="D538" s="183"/>
      <c r="E538" s="199"/>
      <c r="F538" s="199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</row>
    <row r="539" spans="1:19" ht="19.5" customHeight="1" x14ac:dyDescent="0.2">
      <c r="A539" s="183"/>
      <c r="B539" s="183"/>
      <c r="C539" s="183"/>
      <c r="D539" s="183"/>
      <c r="E539" s="199"/>
      <c r="F539" s="199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</row>
    <row r="540" spans="1:19" ht="19.5" customHeight="1" x14ac:dyDescent="0.2">
      <c r="A540" s="183"/>
      <c r="B540" s="183"/>
      <c r="C540" s="183"/>
      <c r="D540" s="183"/>
      <c r="E540" s="199"/>
      <c r="F540" s="199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</row>
    <row r="541" spans="1:19" ht="19.5" customHeight="1" x14ac:dyDescent="0.2">
      <c r="A541" s="183"/>
      <c r="B541" s="183"/>
      <c r="C541" s="183"/>
      <c r="D541" s="183"/>
      <c r="E541" s="199"/>
      <c r="F541" s="199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</row>
    <row r="542" spans="1:19" ht="19.5" customHeight="1" x14ac:dyDescent="0.2">
      <c r="A542" s="183"/>
      <c r="B542" s="183"/>
      <c r="C542" s="183"/>
      <c r="D542" s="183"/>
      <c r="E542" s="199"/>
      <c r="F542" s="199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</row>
    <row r="543" spans="1:19" ht="19.5" customHeight="1" x14ac:dyDescent="0.2">
      <c r="A543" s="183"/>
      <c r="B543" s="183"/>
      <c r="C543" s="183"/>
      <c r="D543" s="183"/>
      <c r="E543" s="199"/>
      <c r="F543" s="199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</row>
    <row r="544" spans="1:19" ht="19.5" customHeight="1" x14ac:dyDescent="0.2">
      <c r="A544" s="183"/>
      <c r="B544" s="183"/>
      <c r="C544" s="183"/>
      <c r="D544" s="183"/>
      <c r="E544" s="199"/>
      <c r="F544" s="199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</row>
    <row r="545" spans="1:19" ht="19.5" customHeight="1" x14ac:dyDescent="0.2">
      <c r="A545" s="183"/>
      <c r="B545" s="183"/>
      <c r="C545" s="183"/>
      <c r="D545" s="183"/>
      <c r="E545" s="199"/>
      <c r="F545" s="199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</row>
    <row r="546" spans="1:19" ht="19.5" customHeight="1" x14ac:dyDescent="0.2">
      <c r="A546" s="183"/>
      <c r="B546" s="183"/>
      <c r="C546" s="183"/>
      <c r="D546" s="183"/>
      <c r="E546" s="199"/>
      <c r="F546" s="199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</row>
    <row r="547" spans="1:19" ht="19.5" customHeight="1" x14ac:dyDescent="0.2">
      <c r="A547" s="183"/>
      <c r="B547" s="183"/>
      <c r="C547" s="183"/>
      <c r="D547" s="183"/>
      <c r="E547" s="199"/>
      <c r="F547" s="199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</row>
    <row r="548" spans="1:19" ht="19.5" customHeight="1" x14ac:dyDescent="0.2">
      <c r="A548" s="183"/>
      <c r="B548" s="183"/>
      <c r="C548" s="183"/>
      <c r="D548" s="183"/>
      <c r="E548" s="199"/>
      <c r="F548" s="199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</row>
    <row r="549" spans="1:19" ht="19.5" customHeight="1" x14ac:dyDescent="0.2">
      <c r="A549" s="183"/>
      <c r="B549" s="183"/>
      <c r="C549" s="183"/>
      <c r="D549" s="183"/>
      <c r="E549" s="199"/>
      <c r="F549" s="199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</row>
    <row r="550" spans="1:19" ht="19.5" customHeight="1" x14ac:dyDescent="0.2">
      <c r="A550" s="183"/>
      <c r="B550" s="183"/>
      <c r="C550" s="183"/>
      <c r="D550" s="183"/>
      <c r="E550" s="199"/>
      <c r="F550" s="199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</row>
    <row r="551" spans="1:19" ht="19.5" customHeight="1" x14ac:dyDescent="0.2">
      <c r="A551" s="183"/>
      <c r="B551" s="183"/>
      <c r="C551" s="183"/>
      <c r="D551" s="183"/>
      <c r="E551" s="199"/>
      <c r="F551" s="199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</row>
    <row r="552" spans="1:19" ht="19.5" customHeight="1" x14ac:dyDescent="0.2">
      <c r="A552" s="183"/>
      <c r="B552" s="183"/>
      <c r="C552" s="183"/>
      <c r="D552" s="183"/>
      <c r="E552" s="199"/>
      <c r="F552" s="199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</row>
    <row r="553" spans="1:19" ht="19.5" customHeight="1" x14ac:dyDescent="0.2">
      <c r="A553" s="183"/>
      <c r="B553" s="183"/>
      <c r="C553" s="183"/>
      <c r="D553" s="183"/>
      <c r="E553" s="199"/>
      <c r="F553" s="199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</row>
    <row r="554" spans="1:19" ht="19.5" customHeight="1" x14ac:dyDescent="0.2">
      <c r="A554" s="183"/>
      <c r="B554" s="183"/>
      <c r="C554" s="183"/>
      <c r="D554" s="183"/>
      <c r="E554" s="199"/>
      <c r="F554" s="199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</row>
    <row r="555" spans="1:19" ht="19.5" customHeight="1" x14ac:dyDescent="0.2">
      <c r="A555" s="183"/>
      <c r="B555" s="183"/>
      <c r="C555" s="183"/>
      <c r="D555" s="183"/>
      <c r="E555" s="199"/>
      <c r="F555" s="199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</row>
    <row r="556" spans="1:19" ht="19.5" customHeight="1" x14ac:dyDescent="0.2">
      <c r="A556" s="183"/>
      <c r="B556" s="183"/>
      <c r="C556" s="183"/>
      <c r="D556" s="183"/>
      <c r="E556" s="199"/>
      <c r="F556" s="199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</row>
    <row r="557" spans="1:19" ht="19.5" customHeight="1" x14ac:dyDescent="0.2">
      <c r="A557" s="183"/>
      <c r="B557" s="183"/>
      <c r="C557" s="183"/>
      <c r="D557" s="183"/>
      <c r="E557" s="199"/>
      <c r="F557" s="199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</row>
    <row r="558" spans="1:19" ht="19.5" customHeight="1" x14ac:dyDescent="0.2">
      <c r="A558" s="183"/>
      <c r="B558" s="183"/>
      <c r="C558" s="183"/>
      <c r="D558" s="183"/>
      <c r="E558" s="199"/>
      <c r="F558" s="199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</row>
    <row r="559" spans="1:19" ht="19.5" customHeight="1" x14ac:dyDescent="0.2">
      <c r="A559" s="183"/>
      <c r="B559" s="183"/>
      <c r="C559" s="183"/>
      <c r="D559" s="183"/>
      <c r="E559" s="199"/>
      <c r="F559" s="199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</row>
    <row r="560" spans="1:19" ht="19.5" customHeight="1" x14ac:dyDescent="0.2">
      <c r="A560" s="183"/>
      <c r="B560" s="183"/>
      <c r="C560" s="183"/>
      <c r="D560" s="183"/>
      <c r="E560" s="199"/>
      <c r="F560" s="199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</row>
    <row r="561" spans="1:19" ht="19.5" customHeight="1" x14ac:dyDescent="0.2">
      <c r="A561" s="183"/>
      <c r="B561" s="183"/>
      <c r="C561" s="183"/>
      <c r="D561" s="183"/>
      <c r="E561" s="199"/>
      <c r="F561" s="199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</row>
    <row r="562" spans="1:19" ht="19.5" customHeight="1" x14ac:dyDescent="0.2">
      <c r="A562" s="183"/>
      <c r="B562" s="183"/>
      <c r="C562" s="183"/>
      <c r="D562" s="183"/>
      <c r="E562" s="199"/>
      <c r="F562" s="199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</row>
    <row r="563" spans="1:19" ht="19.5" customHeight="1" x14ac:dyDescent="0.2">
      <c r="A563" s="183"/>
      <c r="B563" s="183"/>
      <c r="C563" s="183"/>
      <c r="D563" s="183"/>
      <c r="E563" s="199"/>
      <c r="F563" s="199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</row>
    <row r="564" spans="1:19" ht="19.5" customHeight="1" x14ac:dyDescent="0.2">
      <c r="A564" s="183"/>
      <c r="B564" s="183"/>
      <c r="C564" s="183"/>
      <c r="D564" s="183"/>
      <c r="E564" s="199"/>
      <c r="F564" s="199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</row>
    <row r="565" spans="1:19" ht="19.5" customHeight="1" x14ac:dyDescent="0.2">
      <c r="A565" s="183"/>
      <c r="B565" s="183"/>
      <c r="C565" s="183"/>
      <c r="D565" s="183"/>
      <c r="E565" s="199"/>
      <c r="F565" s="199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</row>
    <row r="566" spans="1:19" ht="19.5" customHeight="1" x14ac:dyDescent="0.2">
      <c r="A566" s="183"/>
      <c r="B566" s="183"/>
      <c r="C566" s="183"/>
      <c r="D566" s="183"/>
      <c r="E566" s="199"/>
      <c r="F566" s="199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</row>
    <row r="567" spans="1:19" ht="19.5" customHeight="1" x14ac:dyDescent="0.2">
      <c r="A567" s="183"/>
      <c r="B567" s="183"/>
      <c r="C567" s="183"/>
      <c r="D567" s="183"/>
      <c r="E567" s="199"/>
      <c r="F567" s="199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</row>
    <row r="568" spans="1:19" ht="19.5" customHeight="1" x14ac:dyDescent="0.2">
      <c r="A568" s="183"/>
      <c r="B568" s="183"/>
      <c r="C568" s="183"/>
      <c r="D568" s="183"/>
      <c r="E568" s="199"/>
      <c r="F568" s="199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</row>
    <row r="569" spans="1:19" ht="19.5" customHeight="1" x14ac:dyDescent="0.2">
      <c r="A569" s="183"/>
      <c r="B569" s="183"/>
      <c r="C569" s="183"/>
      <c r="D569" s="183"/>
      <c r="E569" s="199"/>
      <c r="F569" s="199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</row>
    <row r="570" spans="1:19" ht="19.5" customHeight="1" x14ac:dyDescent="0.2">
      <c r="A570" s="183"/>
      <c r="B570" s="183"/>
      <c r="C570" s="183"/>
      <c r="D570" s="183"/>
      <c r="E570" s="199"/>
      <c r="F570" s="199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</row>
    <row r="571" spans="1:19" ht="19.5" customHeight="1" x14ac:dyDescent="0.2">
      <c r="A571" s="183"/>
      <c r="B571" s="183"/>
      <c r="C571" s="183"/>
      <c r="D571" s="183"/>
      <c r="E571" s="199"/>
      <c r="F571" s="199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</row>
    <row r="572" spans="1:19" ht="19.5" customHeight="1" x14ac:dyDescent="0.2">
      <c r="A572" s="183"/>
      <c r="B572" s="183"/>
      <c r="C572" s="183"/>
      <c r="D572" s="183"/>
      <c r="E572" s="199"/>
      <c r="F572" s="199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</row>
    <row r="573" spans="1:19" ht="19.5" customHeight="1" x14ac:dyDescent="0.2">
      <c r="A573" s="183"/>
      <c r="B573" s="183"/>
      <c r="C573" s="183"/>
      <c r="D573" s="183"/>
      <c r="E573" s="199"/>
      <c r="F573" s="199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</row>
    <row r="574" spans="1:19" ht="19.5" customHeight="1" x14ac:dyDescent="0.2">
      <c r="A574" s="183"/>
      <c r="B574" s="183"/>
      <c r="C574" s="183"/>
      <c r="D574" s="183"/>
      <c r="E574" s="199"/>
      <c r="F574" s="199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</row>
    <row r="575" spans="1:19" ht="19.5" customHeight="1" x14ac:dyDescent="0.2">
      <c r="A575" s="183"/>
      <c r="B575" s="183"/>
      <c r="C575" s="183"/>
      <c r="D575" s="183"/>
      <c r="E575" s="199"/>
      <c r="F575" s="199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</row>
    <row r="576" spans="1:19" ht="19.5" customHeight="1" x14ac:dyDescent="0.2">
      <c r="A576" s="183"/>
      <c r="B576" s="183"/>
      <c r="C576" s="183"/>
      <c r="D576" s="183"/>
      <c r="E576" s="199"/>
      <c r="F576" s="199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</row>
    <row r="577" spans="1:19" ht="19.5" customHeight="1" x14ac:dyDescent="0.2">
      <c r="A577" s="183"/>
      <c r="B577" s="183"/>
      <c r="C577" s="183"/>
      <c r="D577" s="183"/>
      <c r="E577" s="199"/>
      <c r="F577" s="199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</row>
    <row r="578" spans="1:19" ht="19.5" customHeight="1" x14ac:dyDescent="0.2">
      <c r="A578" s="183"/>
      <c r="B578" s="183"/>
      <c r="C578" s="183"/>
      <c r="D578" s="183"/>
      <c r="E578" s="199"/>
      <c r="F578" s="199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</row>
    <row r="579" spans="1:19" ht="19.5" customHeight="1" x14ac:dyDescent="0.2">
      <c r="A579" s="183"/>
      <c r="B579" s="183"/>
      <c r="C579" s="183"/>
      <c r="D579" s="183"/>
      <c r="E579" s="199"/>
      <c r="F579" s="199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</row>
    <row r="580" spans="1:19" ht="19.5" customHeight="1" x14ac:dyDescent="0.2">
      <c r="A580" s="183"/>
      <c r="B580" s="183"/>
      <c r="C580" s="183"/>
      <c r="D580" s="183"/>
      <c r="E580" s="199"/>
      <c r="F580" s="199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</row>
    <row r="581" spans="1:19" ht="19.5" customHeight="1" x14ac:dyDescent="0.2">
      <c r="A581" s="183"/>
      <c r="B581" s="183"/>
      <c r="C581" s="183"/>
      <c r="D581" s="183"/>
      <c r="E581" s="199"/>
      <c r="F581" s="199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</row>
    <row r="582" spans="1:19" ht="19.5" customHeight="1" x14ac:dyDescent="0.2">
      <c r="A582" s="183"/>
      <c r="B582" s="183"/>
      <c r="C582" s="183"/>
      <c r="D582" s="183"/>
      <c r="E582" s="199"/>
      <c r="F582" s="199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</row>
    <row r="583" spans="1:19" ht="19.5" customHeight="1" x14ac:dyDescent="0.2">
      <c r="A583" s="183"/>
      <c r="B583" s="183"/>
      <c r="C583" s="183"/>
      <c r="D583" s="183"/>
      <c r="E583" s="199"/>
      <c r="F583" s="199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</row>
    <row r="584" spans="1:19" ht="19.5" customHeight="1" x14ac:dyDescent="0.2">
      <c r="A584" s="183"/>
      <c r="B584" s="183"/>
      <c r="C584" s="183"/>
      <c r="D584" s="183"/>
      <c r="E584" s="199"/>
      <c r="F584" s="199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</row>
    <row r="585" spans="1:19" ht="19.5" customHeight="1" x14ac:dyDescent="0.2">
      <c r="A585" s="183"/>
      <c r="B585" s="183"/>
      <c r="C585" s="183"/>
      <c r="D585" s="183"/>
      <c r="E585" s="199"/>
      <c r="F585" s="199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</row>
    <row r="586" spans="1:19" ht="19.5" customHeight="1" x14ac:dyDescent="0.2">
      <c r="A586" s="183"/>
      <c r="B586" s="183"/>
      <c r="C586" s="183"/>
      <c r="D586" s="183"/>
      <c r="E586" s="199"/>
      <c r="F586" s="199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</row>
    <row r="587" spans="1:19" ht="19.5" customHeight="1" x14ac:dyDescent="0.2">
      <c r="A587" s="183"/>
      <c r="B587" s="183"/>
      <c r="C587" s="183"/>
      <c r="D587" s="183"/>
      <c r="E587" s="199"/>
      <c r="F587" s="199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</row>
    <row r="588" spans="1:19" ht="19.5" customHeight="1" x14ac:dyDescent="0.2">
      <c r="A588" s="183"/>
      <c r="B588" s="183"/>
      <c r="C588" s="183"/>
      <c r="D588" s="183"/>
      <c r="E588" s="199"/>
      <c r="F588" s="199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</row>
    <row r="589" spans="1:19" ht="19.5" customHeight="1" x14ac:dyDescent="0.2">
      <c r="A589" s="183"/>
      <c r="B589" s="183"/>
      <c r="C589" s="183"/>
      <c r="D589" s="183"/>
      <c r="E589" s="199"/>
      <c r="F589" s="199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</row>
    <row r="590" spans="1:19" ht="19.5" customHeight="1" x14ac:dyDescent="0.2">
      <c r="A590" s="183"/>
      <c r="B590" s="183"/>
      <c r="C590" s="183"/>
      <c r="D590" s="183"/>
      <c r="E590" s="199"/>
      <c r="F590" s="199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</row>
    <row r="591" spans="1:19" ht="19.5" customHeight="1" x14ac:dyDescent="0.2">
      <c r="A591" s="183"/>
      <c r="B591" s="183"/>
      <c r="C591" s="183"/>
      <c r="D591" s="183"/>
      <c r="E591" s="199"/>
      <c r="F591" s="199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</row>
    <row r="592" spans="1:19" ht="19.5" customHeight="1" x14ac:dyDescent="0.2">
      <c r="A592" s="183"/>
      <c r="B592" s="183"/>
      <c r="C592" s="183"/>
      <c r="D592" s="183"/>
      <c r="E592" s="199"/>
      <c r="F592" s="199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</row>
    <row r="593" spans="1:19" ht="19.5" customHeight="1" x14ac:dyDescent="0.2">
      <c r="A593" s="183"/>
      <c r="B593" s="183"/>
      <c r="C593" s="183"/>
      <c r="D593" s="183"/>
      <c r="E593" s="199"/>
      <c r="F593" s="199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</row>
    <row r="594" spans="1:19" ht="19.5" customHeight="1" x14ac:dyDescent="0.2">
      <c r="A594" s="183"/>
      <c r="B594" s="183"/>
      <c r="C594" s="183"/>
      <c r="D594" s="183"/>
      <c r="E594" s="199"/>
      <c r="F594" s="199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</row>
    <row r="595" spans="1:19" ht="19.5" customHeight="1" x14ac:dyDescent="0.2">
      <c r="A595" s="183"/>
      <c r="B595" s="183"/>
      <c r="C595" s="183"/>
      <c r="D595" s="183"/>
      <c r="E595" s="199"/>
      <c r="F595" s="199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</row>
    <row r="596" spans="1:19" ht="19.5" customHeight="1" x14ac:dyDescent="0.2">
      <c r="A596" s="183"/>
      <c r="B596" s="183"/>
      <c r="C596" s="183"/>
      <c r="D596" s="183"/>
      <c r="E596" s="199"/>
      <c r="F596" s="199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</row>
    <row r="597" spans="1:19" ht="19.5" customHeight="1" x14ac:dyDescent="0.2">
      <c r="A597" s="183"/>
      <c r="B597" s="183"/>
      <c r="C597" s="183"/>
      <c r="D597" s="183"/>
      <c r="E597" s="199"/>
      <c r="F597" s="199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</row>
    <row r="598" spans="1:19" ht="19.5" customHeight="1" x14ac:dyDescent="0.2">
      <c r="A598" s="183"/>
      <c r="B598" s="183"/>
      <c r="C598" s="183"/>
      <c r="D598" s="183"/>
      <c r="E598" s="199"/>
      <c r="F598" s="199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</row>
    <row r="599" spans="1:19" ht="19.5" customHeight="1" x14ac:dyDescent="0.2">
      <c r="A599" s="183"/>
      <c r="B599" s="183"/>
      <c r="C599" s="183"/>
      <c r="D599" s="183"/>
      <c r="E599" s="199"/>
      <c r="F599" s="199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</row>
    <row r="600" spans="1:19" ht="19.5" customHeight="1" x14ac:dyDescent="0.2">
      <c r="A600" s="183"/>
      <c r="B600" s="183"/>
      <c r="C600" s="183"/>
      <c r="D600" s="183"/>
      <c r="E600" s="199"/>
      <c r="F600" s="199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</row>
    <row r="601" spans="1:19" ht="19.5" customHeight="1" x14ac:dyDescent="0.2">
      <c r="A601" s="183"/>
      <c r="B601" s="183"/>
      <c r="C601" s="183"/>
      <c r="D601" s="183"/>
      <c r="E601" s="199"/>
      <c r="F601" s="199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</row>
    <row r="602" spans="1:19" ht="19.5" customHeight="1" x14ac:dyDescent="0.2">
      <c r="A602" s="183"/>
      <c r="B602" s="183"/>
      <c r="C602" s="183"/>
      <c r="D602" s="183"/>
      <c r="E602" s="199"/>
      <c r="F602" s="199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</row>
    <row r="603" spans="1:19" ht="19.5" customHeight="1" x14ac:dyDescent="0.2">
      <c r="A603" s="183"/>
      <c r="B603" s="183"/>
      <c r="C603" s="183"/>
      <c r="D603" s="183"/>
      <c r="E603" s="199"/>
      <c r="F603" s="199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</row>
    <row r="604" spans="1:19" ht="19.5" customHeight="1" x14ac:dyDescent="0.2">
      <c r="A604" s="183"/>
      <c r="B604" s="183"/>
      <c r="C604" s="183"/>
      <c r="D604" s="183"/>
      <c r="E604" s="199"/>
      <c r="F604" s="199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</row>
    <row r="605" spans="1:19" ht="19.5" customHeight="1" x14ac:dyDescent="0.2">
      <c r="A605" s="183"/>
      <c r="B605" s="183"/>
      <c r="C605" s="183"/>
      <c r="D605" s="183"/>
      <c r="E605" s="199"/>
      <c r="F605" s="199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</row>
    <row r="606" spans="1:19" ht="19.5" customHeight="1" x14ac:dyDescent="0.2">
      <c r="A606" s="183"/>
      <c r="B606" s="183"/>
      <c r="C606" s="183"/>
      <c r="D606" s="183"/>
      <c r="E606" s="199"/>
      <c r="F606" s="199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</row>
    <row r="607" spans="1:19" ht="19.5" customHeight="1" x14ac:dyDescent="0.2">
      <c r="A607" s="183"/>
      <c r="B607" s="183"/>
      <c r="C607" s="183"/>
      <c r="D607" s="183"/>
      <c r="E607" s="199"/>
      <c r="F607" s="199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</row>
    <row r="608" spans="1:19" ht="19.5" customHeight="1" x14ac:dyDescent="0.2">
      <c r="A608" s="183"/>
      <c r="B608" s="183"/>
      <c r="C608" s="183"/>
      <c r="D608" s="183"/>
      <c r="E608" s="199"/>
      <c r="F608" s="199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</row>
    <row r="609" spans="1:19" ht="19.5" customHeight="1" x14ac:dyDescent="0.2">
      <c r="A609" s="183"/>
      <c r="B609" s="183"/>
      <c r="C609" s="183"/>
      <c r="D609" s="183"/>
      <c r="E609" s="199"/>
      <c r="F609" s="199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</row>
    <row r="610" spans="1:19" ht="19.5" customHeight="1" x14ac:dyDescent="0.2">
      <c r="A610" s="183"/>
      <c r="B610" s="183"/>
      <c r="C610" s="183"/>
      <c r="D610" s="183"/>
      <c r="E610" s="199"/>
      <c r="F610" s="199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</row>
    <row r="611" spans="1:19" ht="19.5" customHeight="1" x14ac:dyDescent="0.2">
      <c r="A611" s="183"/>
      <c r="B611" s="183"/>
      <c r="C611" s="183"/>
      <c r="D611" s="183"/>
      <c r="E611" s="199"/>
      <c r="F611" s="199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</row>
    <row r="612" spans="1:19" ht="19.5" customHeight="1" x14ac:dyDescent="0.2">
      <c r="A612" s="183"/>
      <c r="B612" s="183"/>
      <c r="C612" s="183"/>
      <c r="D612" s="183"/>
      <c r="E612" s="199"/>
      <c r="F612" s="199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</row>
    <row r="613" spans="1:19" ht="19.5" customHeight="1" x14ac:dyDescent="0.2">
      <c r="A613" s="183"/>
      <c r="B613" s="183"/>
      <c r="C613" s="183"/>
      <c r="D613" s="183"/>
      <c r="E613" s="199"/>
      <c r="F613" s="199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</row>
    <row r="614" spans="1:19" ht="19.5" customHeight="1" x14ac:dyDescent="0.2">
      <c r="A614" s="183"/>
      <c r="B614" s="183"/>
      <c r="C614" s="183"/>
      <c r="D614" s="183"/>
      <c r="E614" s="199"/>
      <c r="F614" s="199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</row>
    <row r="615" spans="1:19" ht="19.5" customHeight="1" x14ac:dyDescent="0.2">
      <c r="A615" s="183"/>
      <c r="B615" s="183"/>
      <c r="C615" s="183"/>
      <c r="D615" s="183"/>
      <c r="E615" s="199"/>
      <c r="F615" s="199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</row>
    <row r="616" spans="1:19" ht="19.5" customHeight="1" x14ac:dyDescent="0.2">
      <c r="A616" s="183"/>
      <c r="B616" s="183"/>
      <c r="C616" s="183"/>
      <c r="D616" s="183"/>
      <c r="E616" s="199"/>
      <c r="F616" s="199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</row>
    <row r="617" spans="1:19" ht="19.5" customHeight="1" x14ac:dyDescent="0.2">
      <c r="A617" s="183"/>
      <c r="B617" s="183"/>
      <c r="C617" s="183"/>
      <c r="D617" s="183"/>
      <c r="E617" s="199"/>
      <c r="F617" s="199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</row>
    <row r="618" spans="1:19" ht="19.5" customHeight="1" x14ac:dyDescent="0.2">
      <c r="A618" s="183"/>
      <c r="B618" s="183"/>
      <c r="C618" s="183"/>
      <c r="D618" s="183"/>
      <c r="E618" s="199"/>
      <c r="F618" s="199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</row>
    <row r="619" spans="1:19" ht="19.5" customHeight="1" x14ac:dyDescent="0.2">
      <c r="A619" s="183"/>
      <c r="B619" s="183"/>
      <c r="C619" s="183"/>
      <c r="D619" s="183"/>
      <c r="E619" s="199"/>
      <c r="F619" s="199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</row>
    <row r="620" spans="1:19" ht="19.5" customHeight="1" x14ac:dyDescent="0.2">
      <c r="A620" s="183"/>
      <c r="B620" s="183"/>
      <c r="C620" s="183"/>
      <c r="D620" s="183"/>
      <c r="E620" s="199"/>
      <c r="F620" s="199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</row>
    <row r="621" spans="1:19" ht="19.5" customHeight="1" x14ac:dyDescent="0.2">
      <c r="A621" s="183"/>
      <c r="B621" s="183"/>
      <c r="C621" s="183"/>
      <c r="D621" s="183"/>
      <c r="E621" s="199"/>
      <c r="F621" s="199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</row>
    <row r="622" spans="1:19" ht="19.5" customHeight="1" x14ac:dyDescent="0.2">
      <c r="A622" s="183"/>
      <c r="B622" s="183"/>
      <c r="C622" s="183"/>
      <c r="D622" s="183"/>
      <c r="E622" s="199"/>
      <c r="F622" s="199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</row>
    <row r="623" spans="1:19" ht="19.5" customHeight="1" x14ac:dyDescent="0.2">
      <c r="A623" s="183"/>
      <c r="B623" s="183"/>
      <c r="C623" s="183"/>
      <c r="D623" s="183"/>
      <c r="E623" s="199"/>
      <c r="F623" s="199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</row>
    <row r="624" spans="1:19" ht="19.5" customHeight="1" x14ac:dyDescent="0.2">
      <c r="A624" s="183"/>
      <c r="B624" s="183"/>
      <c r="C624" s="183"/>
      <c r="D624" s="183"/>
      <c r="E624" s="199"/>
      <c r="F624" s="199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</row>
    <row r="625" spans="1:19" ht="19.5" customHeight="1" x14ac:dyDescent="0.2">
      <c r="A625" s="183"/>
      <c r="B625" s="183"/>
      <c r="C625" s="183"/>
      <c r="D625" s="183"/>
      <c r="E625" s="199"/>
      <c r="F625" s="199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</row>
    <row r="626" spans="1:19" ht="19.5" customHeight="1" x14ac:dyDescent="0.2">
      <c r="A626" s="183"/>
      <c r="B626" s="183"/>
      <c r="C626" s="183"/>
      <c r="D626" s="183"/>
      <c r="E626" s="199"/>
      <c r="F626" s="199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</row>
    <row r="627" spans="1:19" ht="19.5" customHeight="1" x14ac:dyDescent="0.2">
      <c r="A627" s="183"/>
      <c r="B627" s="183"/>
      <c r="C627" s="183"/>
      <c r="D627" s="183"/>
      <c r="E627" s="199"/>
      <c r="F627" s="199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</row>
    <row r="628" spans="1:19" ht="19.5" customHeight="1" x14ac:dyDescent="0.2">
      <c r="A628" s="183"/>
      <c r="B628" s="183"/>
      <c r="C628" s="183"/>
      <c r="D628" s="183"/>
      <c r="E628" s="199"/>
      <c r="F628" s="199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</row>
    <row r="629" spans="1:19" ht="19.5" customHeight="1" x14ac:dyDescent="0.2">
      <c r="A629" s="183"/>
      <c r="B629" s="183"/>
      <c r="C629" s="183"/>
      <c r="D629" s="183"/>
      <c r="E629" s="199"/>
      <c r="F629" s="199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</row>
    <row r="630" spans="1:19" ht="19.5" customHeight="1" x14ac:dyDescent="0.2">
      <c r="A630" s="183"/>
      <c r="B630" s="183"/>
      <c r="C630" s="183"/>
      <c r="D630" s="183"/>
      <c r="E630" s="199"/>
      <c r="F630" s="199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</row>
    <row r="631" spans="1:19" ht="19.5" customHeight="1" x14ac:dyDescent="0.2">
      <c r="A631" s="183"/>
      <c r="B631" s="183"/>
      <c r="C631" s="183"/>
      <c r="D631" s="183"/>
      <c r="E631" s="199"/>
      <c r="F631" s="199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</row>
    <row r="632" spans="1:19" ht="19.5" customHeight="1" x14ac:dyDescent="0.2">
      <c r="A632" s="183"/>
      <c r="B632" s="183"/>
      <c r="C632" s="183"/>
      <c r="D632" s="183"/>
      <c r="E632" s="199"/>
      <c r="F632" s="199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</row>
    <row r="633" spans="1:19" ht="19.5" customHeight="1" x14ac:dyDescent="0.2">
      <c r="A633" s="183"/>
      <c r="B633" s="183"/>
      <c r="C633" s="183"/>
      <c r="D633" s="183"/>
      <c r="E633" s="199"/>
      <c r="F633" s="199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</row>
    <row r="634" spans="1:19" ht="19.5" customHeight="1" x14ac:dyDescent="0.2">
      <c r="A634" s="183"/>
      <c r="B634" s="183"/>
      <c r="C634" s="183"/>
      <c r="D634" s="183"/>
      <c r="E634" s="199"/>
      <c r="F634" s="199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</row>
    <row r="635" spans="1:19" ht="19.5" customHeight="1" x14ac:dyDescent="0.2">
      <c r="A635" s="183"/>
      <c r="B635" s="183"/>
      <c r="C635" s="183"/>
      <c r="D635" s="183"/>
      <c r="E635" s="199"/>
      <c r="F635" s="199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</row>
    <row r="636" spans="1:19" ht="19.5" customHeight="1" x14ac:dyDescent="0.2">
      <c r="A636" s="183"/>
      <c r="B636" s="183"/>
      <c r="C636" s="183"/>
      <c r="D636" s="183"/>
      <c r="E636" s="199"/>
      <c r="F636" s="199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</row>
    <row r="637" spans="1:19" ht="19.5" customHeight="1" x14ac:dyDescent="0.2">
      <c r="A637" s="183"/>
      <c r="B637" s="183"/>
      <c r="C637" s="183"/>
      <c r="D637" s="183"/>
      <c r="E637" s="199"/>
      <c r="F637" s="199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</row>
    <row r="638" spans="1:19" ht="19.5" customHeight="1" x14ac:dyDescent="0.2">
      <c r="A638" s="183"/>
      <c r="B638" s="183"/>
      <c r="C638" s="183"/>
      <c r="D638" s="183"/>
      <c r="E638" s="199"/>
      <c r="F638" s="199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</row>
    <row r="639" spans="1:19" ht="19.5" customHeight="1" x14ac:dyDescent="0.2">
      <c r="A639" s="183"/>
      <c r="B639" s="183"/>
      <c r="C639" s="183"/>
      <c r="D639" s="183"/>
      <c r="E639" s="199"/>
      <c r="F639" s="199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</row>
    <row r="640" spans="1:19" ht="19.5" customHeight="1" x14ac:dyDescent="0.2">
      <c r="A640" s="183"/>
      <c r="B640" s="183"/>
      <c r="C640" s="183"/>
      <c r="D640" s="183"/>
      <c r="E640" s="199"/>
      <c r="F640" s="199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</row>
    <row r="641" spans="1:19" ht="19.5" customHeight="1" x14ac:dyDescent="0.2">
      <c r="A641" s="183"/>
      <c r="B641" s="183"/>
      <c r="C641" s="183"/>
      <c r="D641" s="183"/>
      <c r="E641" s="199"/>
      <c r="F641" s="199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</row>
    <row r="642" spans="1:19" ht="19.5" customHeight="1" x14ac:dyDescent="0.2">
      <c r="A642" s="183"/>
      <c r="B642" s="183"/>
      <c r="C642" s="183"/>
      <c r="D642" s="183"/>
      <c r="E642" s="199"/>
      <c r="F642" s="199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</row>
    <row r="643" spans="1:19" ht="19.5" customHeight="1" x14ac:dyDescent="0.2">
      <c r="A643" s="183"/>
      <c r="B643" s="183"/>
      <c r="C643" s="183"/>
      <c r="D643" s="183"/>
      <c r="E643" s="199"/>
      <c r="F643" s="199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</row>
    <row r="644" spans="1:19" ht="19.5" customHeight="1" x14ac:dyDescent="0.2">
      <c r="A644" s="183"/>
      <c r="B644" s="183"/>
      <c r="C644" s="183"/>
      <c r="D644" s="183"/>
      <c r="E644" s="199"/>
      <c r="F644" s="199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</row>
    <row r="645" spans="1:19" ht="19.5" customHeight="1" x14ac:dyDescent="0.2">
      <c r="A645" s="183"/>
      <c r="B645" s="183"/>
      <c r="C645" s="183"/>
      <c r="D645" s="183"/>
      <c r="E645" s="199"/>
      <c r="F645" s="199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</row>
    <row r="646" spans="1:19" ht="19.5" customHeight="1" x14ac:dyDescent="0.2">
      <c r="A646" s="183"/>
      <c r="B646" s="183"/>
      <c r="C646" s="183"/>
      <c r="D646" s="183"/>
      <c r="E646" s="199"/>
      <c r="F646" s="199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</row>
    <row r="647" spans="1:19" ht="19.5" customHeight="1" x14ac:dyDescent="0.2">
      <c r="A647" s="183"/>
      <c r="B647" s="183"/>
      <c r="C647" s="183"/>
      <c r="D647" s="183"/>
      <c r="E647" s="199"/>
      <c r="F647" s="199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</row>
    <row r="648" spans="1:19" ht="19.5" customHeight="1" x14ac:dyDescent="0.2">
      <c r="A648" s="183"/>
      <c r="B648" s="183"/>
      <c r="C648" s="183"/>
      <c r="D648" s="183"/>
      <c r="E648" s="199"/>
      <c r="F648" s="199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</row>
    <row r="649" spans="1:19" ht="19.5" customHeight="1" x14ac:dyDescent="0.2">
      <c r="A649" s="183"/>
      <c r="B649" s="183"/>
      <c r="C649" s="183"/>
      <c r="D649" s="183"/>
      <c r="E649" s="199"/>
      <c r="F649" s="199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</row>
    <row r="650" spans="1:19" ht="19.5" customHeight="1" x14ac:dyDescent="0.2">
      <c r="A650" s="183"/>
      <c r="B650" s="183"/>
      <c r="C650" s="183"/>
      <c r="D650" s="183"/>
      <c r="E650" s="199"/>
      <c r="F650" s="199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</row>
    <row r="651" spans="1:19" ht="19.5" customHeight="1" x14ac:dyDescent="0.2">
      <c r="A651" s="183"/>
      <c r="B651" s="183"/>
      <c r="C651" s="183"/>
      <c r="D651" s="183"/>
      <c r="E651" s="199"/>
      <c r="F651" s="199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</row>
    <row r="652" spans="1:19" ht="19.5" customHeight="1" x14ac:dyDescent="0.2">
      <c r="A652" s="183"/>
      <c r="B652" s="183"/>
      <c r="C652" s="183"/>
      <c r="D652" s="183"/>
      <c r="E652" s="199"/>
      <c r="F652" s="199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</row>
    <row r="653" spans="1:19" ht="19.5" customHeight="1" x14ac:dyDescent="0.2">
      <c r="A653" s="183"/>
      <c r="B653" s="183"/>
      <c r="C653" s="183"/>
      <c r="D653" s="183"/>
      <c r="E653" s="199"/>
      <c r="F653" s="199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</row>
    <row r="654" spans="1:19" ht="19.5" customHeight="1" x14ac:dyDescent="0.2">
      <c r="A654" s="183"/>
      <c r="B654" s="183"/>
      <c r="C654" s="183"/>
      <c r="D654" s="183"/>
      <c r="E654" s="199"/>
      <c r="F654" s="199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</row>
    <row r="655" spans="1:19" ht="19.5" customHeight="1" x14ac:dyDescent="0.2">
      <c r="A655" s="183"/>
      <c r="B655" s="183"/>
      <c r="C655" s="183"/>
      <c r="D655" s="183"/>
      <c r="E655" s="199"/>
      <c r="F655" s="199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</row>
    <row r="656" spans="1:19" ht="19.5" customHeight="1" x14ac:dyDescent="0.2">
      <c r="A656" s="183"/>
      <c r="B656" s="183"/>
      <c r="C656" s="183"/>
      <c r="D656" s="183"/>
      <c r="E656" s="199"/>
      <c r="F656" s="199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</row>
    <row r="657" spans="1:19" ht="19.5" customHeight="1" x14ac:dyDescent="0.2">
      <c r="A657" s="183"/>
      <c r="B657" s="183"/>
      <c r="C657" s="183"/>
      <c r="D657" s="183"/>
      <c r="E657" s="199"/>
      <c r="F657" s="199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</row>
    <row r="658" spans="1:19" ht="19.5" customHeight="1" x14ac:dyDescent="0.2">
      <c r="A658" s="183"/>
      <c r="B658" s="183"/>
      <c r="C658" s="183"/>
      <c r="D658" s="183"/>
      <c r="E658" s="199"/>
      <c r="F658" s="199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</row>
    <row r="659" spans="1:19" ht="19.5" customHeight="1" x14ac:dyDescent="0.2">
      <c r="A659" s="183"/>
      <c r="B659" s="183"/>
      <c r="C659" s="183"/>
      <c r="D659" s="183"/>
      <c r="E659" s="199"/>
      <c r="F659" s="199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</row>
    <row r="660" spans="1:19" ht="19.5" customHeight="1" x14ac:dyDescent="0.2">
      <c r="A660" s="183"/>
      <c r="B660" s="183"/>
      <c r="C660" s="183"/>
      <c r="D660" s="183"/>
      <c r="E660" s="199"/>
      <c r="F660" s="199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</row>
    <row r="661" spans="1:19" ht="19.5" customHeight="1" x14ac:dyDescent="0.2">
      <c r="A661" s="183"/>
      <c r="B661" s="183"/>
      <c r="C661" s="183"/>
      <c r="D661" s="183"/>
      <c r="E661" s="199"/>
      <c r="F661" s="199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</row>
    <row r="662" spans="1:19" ht="19.5" customHeight="1" x14ac:dyDescent="0.2">
      <c r="A662" s="183"/>
      <c r="B662" s="183"/>
      <c r="C662" s="183"/>
      <c r="D662" s="183"/>
      <c r="E662" s="199"/>
      <c r="F662" s="199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</row>
    <row r="663" spans="1:19" ht="19.5" customHeight="1" x14ac:dyDescent="0.2">
      <c r="A663" s="183"/>
      <c r="B663" s="183"/>
      <c r="C663" s="183"/>
      <c r="D663" s="183"/>
      <c r="E663" s="199"/>
      <c r="F663" s="199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</row>
    <row r="664" spans="1:19" ht="19.5" customHeight="1" x14ac:dyDescent="0.2">
      <c r="A664" s="183"/>
      <c r="B664" s="183"/>
      <c r="C664" s="183"/>
      <c r="D664" s="183"/>
      <c r="E664" s="199"/>
      <c r="F664" s="199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</row>
    <row r="665" spans="1:19" ht="19.5" customHeight="1" x14ac:dyDescent="0.2">
      <c r="A665" s="183"/>
      <c r="B665" s="183"/>
      <c r="C665" s="183"/>
      <c r="D665" s="183"/>
      <c r="E665" s="199"/>
      <c r="F665" s="199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</row>
    <row r="666" spans="1:19" ht="19.5" customHeight="1" x14ac:dyDescent="0.2">
      <c r="A666" s="183"/>
      <c r="B666" s="183"/>
      <c r="C666" s="183"/>
      <c r="D666" s="183"/>
      <c r="E666" s="199"/>
      <c r="F666" s="199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</row>
    <row r="667" spans="1:19" ht="19.5" customHeight="1" x14ac:dyDescent="0.2">
      <c r="A667" s="183"/>
      <c r="B667" s="183"/>
      <c r="C667" s="183"/>
      <c r="D667" s="183"/>
      <c r="E667" s="199"/>
      <c r="F667" s="199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</row>
    <row r="668" spans="1:19" ht="19.5" customHeight="1" x14ac:dyDescent="0.2">
      <c r="A668" s="183"/>
      <c r="B668" s="183"/>
      <c r="C668" s="183"/>
      <c r="D668" s="183"/>
      <c r="E668" s="199"/>
      <c r="F668" s="199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</row>
    <row r="669" spans="1:19" ht="19.5" customHeight="1" x14ac:dyDescent="0.2">
      <c r="A669" s="183"/>
      <c r="B669" s="183"/>
      <c r="C669" s="183"/>
      <c r="D669" s="183"/>
      <c r="E669" s="199"/>
      <c r="F669" s="199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</row>
    <row r="670" spans="1:19" ht="19.5" customHeight="1" x14ac:dyDescent="0.2">
      <c r="A670" s="183"/>
      <c r="B670" s="183"/>
      <c r="C670" s="183"/>
      <c r="D670" s="183"/>
      <c r="E670" s="199"/>
      <c r="F670" s="199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</row>
    <row r="671" spans="1:19" ht="19.5" customHeight="1" x14ac:dyDescent="0.2">
      <c r="A671" s="183"/>
      <c r="B671" s="183"/>
      <c r="C671" s="183"/>
      <c r="D671" s="183"/>
      <c r="E671" s="199"/>
      <c r="F671" s="199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</row>
    <row r="672" spans="1:19" ht="19.5" customHeight="1" x14ac:dyDescent="0.2">
      <c r="A672" s="183"/>
      <c r="B672" s="183"/>
      <c r="C672" s="183"/>
      <c r="D672" s="183"/>
      <c r="E672" s="199"/>
      <c r="F672" s="199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</row>
    <row r="673" spans="1:19" ht="19.5" customHeight="1" x14ac:dyDescent="0.2">
      <c r="A673" s="183"/>
      <c r="B673" s="183"/>
      <c r="C673" s="183"/>
      <c r="D673" s="183"/>
      <c r="E673" s="199"/>
      <c r="F673" s="199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</row>
    <row r="674" spans="1:19" ht="19.5" customHeight="1" x14ac:dyDescent="0.2">
      <c r="A674" s="183"/>
      <c r="B674" s="183"/>
      <c r="C674" s="183"/>
      <c r="D674" s="183"/>
      <c r="E674" s="199"/>
      <c r="F674" s="199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</row>
    <row r="675" spans="1:19" ht="19.5" customHeight="1" x14ac:dyDescent="0.2">
      <c r="A675" s="183"/>
      <c r="B675" s="183"/>
      <c r="C675" s="183"/>
      <c r="D675" s="183"/>
      <c r="E675" s="199"/>
      <c r="F675" s="199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</row>
    <row r="676" spans="1:19" ht="19.5" customHeight="1" x14ac:dyDescent="0.2">
      <c r="A676" s="183"/>
      <c r="B676" s="183"/>
      <c r="C676" s="183"/>
      <c r="D676" s="183"/>
      <c r="E676" s="199"/>
      <c r="F676" s="199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</row>
    <row r="677" spans="1:19" ht="19.5" customHeight="1" x14ac:dyDescent="0.2">
      <c r="A677" s="183"/>
      <c r="B677" s="183"/>
      <c r="C677" s="183"/>
      <c r="D677" s="183"/>
      <c r="E677" s="199"/>
      <c r="F677" s="199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</row>
    <row r="678" spans="1:19" ht="19.5" customHeight="1" x14ac:dyDescent="0.2">
      <c r="A678" s="183"/>
      <c r="B678" s="183"/>
      <c r="C678" s="183"/>
      <c r="D678" s="183"/>
      <c r="E678" s="199"/>
      <c r="F678" s="199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</row>
    <row r="679" spans="1:19" ht="19.5" customHeight="1" x14ac:dyDescent="0.2">
      <c r="A679" s="183"/>
      <c r="B679" s="183"/>
      <c r="C679" s="183"/>
      <c r="D679" s="183"/>
      <c r="E679" s="199"/>
      <c r="F679" s="199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</row>
    <row r="680" spans="1:19" ht="19.5" customHeight="1" x14ac:dyDescent="0.2">
      <c r="A680" s="183"/>
      <c r="B680" s="183"/>
      <c r="C680" s="183"/>
      <c r="D680" s="183"/>
      <c r="E680" s="199"/>
      <c r="F680" s="199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</row>
    <row r="681" spans="1:19" ht="19.5" customHeight="1" x14ac:dyDescent="0.2">
      <c r="A681" s="183"/>
      <c r="B681" s="183"/>
      <c r="C681" s="183"/>
      <c r="D681" s="183"/>
      <c r="E681" s="199"/>
      <c r="F681" s="199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</row>
    <row r="682" spans="1:19" ht="19.5" customHeight="1" x14ac:dyDescent="0.2">
      <c r="A682" s="183"/>
      <c r="B682" s="183"/>
      <c r="C682" s="183"/>
      <c r="D682" s="183"/>
      <c r="E682" s="199"/>
      <c r="F682" s="199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</row>
    <row r="683" spans="1:19" ht="19.5" customHeight="1" x14ac:dyDescent="0.2">
      <c r="A683" s="183"/>
      <c r="B683" s="183"/>
      <c r="C683" s="183"/>
      <c r="D683" s="183"/>
      <c r="E683" s="199"/>
      <c r="F683" s="199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</row>
    <row r="684" spans="1:19" ht="19.5" customHeight="1" x14ac:dyDescent="0.2">
      <c r="A684" s="183"/>
      <c r="B684" s="183"/>
      <c r="C684" s="183"/>
      <c r="D684" s="183"/>
      <c r="E684" s="199"/>
      <c r="F684" s="199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</row>
    <row r="685" spans="1:19" ht="19.5" customHeight="1" x14ac:dyDescent="0.2">
      <c r="A685" s="183"/>
      <c r="B685" s="183"/>
      <c r="C685" s="183"/>
      <c r="D685" s="183"/>
      <c r="E685" s="199"/>
      <c r="F685" s="199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</row>
    <row r="686" spans="1:19" ht="19.5" customHeight="1" x14ac:dyDescent="0.2">
      <c r="A686" s="183"/>
      <c r="B686" s="183"/>
      <c r="C686" s="183"/>
      <c r="D686" s="183"/>
      <c r="E686" s="199"/>
      <c r="F686" s="199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</row>
    <row r="687" spans="1:19" ht="19.5" customHeight="1" x14ac:dyDescent="0.2">
      <c r="A687" s="183"/>
      <c r="B687" s="183"/>
      <c r="C687" s="183"/>
      <c r="D687" s="183"/>
      <c r="E687" s="199"/>
      <c r="F687" s="199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</row>
    <row r="688" spans="1:19" ht="19.5" customHeight="1" x14ac:dyDescent="0.2">
      <c r="A688" s="183"/>
      <c r="B688" s="183"/>
      <c r="C688" s="183"/>
      <c r="D688" s="183"/>
      <c r="E688" s="199"/>
      <c r="F688" s="199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</row>
    <row r="689" spans="1:19" ht="19.5" customHeight="1" x14ac:dyDescent="0.2">
      <c r="A689" s="183"/>
      <c r="B689" s="183"/>
      <c r="C689" s="183"/>
      <c r="D689" s="183"/>
      <c r="E689" s="199"/>
      <c r="F689" s="199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</row>
    <row r="690" spans="1:19" ht="19.5" customHeight="1" x14ac:dyDescent="0.2">
      <c r="A690" s="183"/>
      <c r="B690" s="183"/>
      <c r="C690" s="183"/>
      <c r="D690" s="183"/>
      <c r="E690" s="199"/>
      <c r="F690" s="199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</row>
    <row r="691" spans="1:19" ht="19.5" customHeight="1" x14ac:dyDescent="0.2">
      <c r="A691" s="183"/>
      <c r="B691" s="183"/>
      <c r="C691" s="183"/>
      <c r="D691" s="183"/>
      <c r="E691" s="199"/>
      <c r="F691" s="199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</row>
    <row r="692" spans="1:19" ht="19.5" customHeight="1" x14ac:dyDescent="0.2">
      <c r="A692" s="183"/>
      <c r="B692" s="183"/>
      <c r="C692" s="183"/>
      <c r="D692" s="183"/>
      <c r="E692" s="199"/>
      <c r="F692" s="199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</row>
    <row r="693" spans="1:19" ht="19.5" customHeight="1" x14ac:dyDescent="0.2">
      <c r="A693" s="183"/>
      <c r="B693" s="183"/>
      <c r="C693" s="183"/>
      <c r="D693" s="183"/>
      <c r="E693" s="199"/>
      <c r="F693" s="199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</row>
    <row r="694" spans="1:19" ht="19.5" customHeight="1" x14ac:dyDescent="0.2">
      <c r="A694" s="183"/>
      <c r="B694" s="183"/>
      <c r="C694" s="183"/>
      <c r="D694" s="183"/>
      <c r="E694" s="199"/>
      <c r="F694" s="199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</row>
    <row r="695" spans="1:19" ht="19.5" customHeight="1" x14ac:dyDescent="0.2">
      <c r="A695" s="183"/>
      <c r="B695" s="183"/>
      <c r="C695" s="183"/>
      <c r="D695" s="183"/>
      <c r="E695" s="199"/>
      <c r="F695" s="199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</row>
    <row r="696" spans="1:19" ht="19.5" customHeight="1" x14ac:dyDescent="0.2">
      <c r="A696" s="183"/>
      <c r="B696" s="183"/>
      <c r="C696" s="183"/>
      <c r="D696" s="183"/>
      <c r="E696" s="199"/>
      <c r="F696" s="199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</row>
    <row r="697" spans="1:19" ht="19.5" customHeight="1" x14ac:dyDescent="0.2">
      <c r="A697" s="183"/>
      <c r="B697" s="183"/>
      <c r="C697" s="183"/>
      <c r="D697" s="183"/>
      <c r="E697" s="199"/>
      <c r="F697" s="199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</row>
    <row r="698" spans="1:19" ht="19.5" customHeight="1" x14ac:dyDescent="0.2">
      <c r="A698" s="183"/>
      <c r="B698" s="183"/>
      <c r="C698" s="183"/>
      <c r="D698" s="183"/>
      <c r="E698" s="199"/>
      <c r="F698" s="199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</row>
    <row r="699" spans="1:19" ht="19.5" customHeight="1" x14ac:dyDescent="0.2">
      <c r="A699" s="183"/>
      <c r="B699" s="183"/>
      <c r="C699" s="183"/>
      <c r="D699" s="183"/>
      <c r="E699" s="199"/>
      <c r="F699" s="199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</row>
    <row r="700" spans="1:19" ht="19.5" customHeight="1" x14ac:dyDescent="0.2">
      <c r="A700" s="183"/>
      <c r="B700" s="183"/>
      <c r="C700" s="183"/>
      <c r="D700" s="183"/>
      <c r="E700" s="199"/>
      <c r="F700" s="199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</row>
    <row r="701" spans="1:19" ht="19.5" customHeight="1" x14ac:dyDescent="0.2">
      <c r="A701" s="183"/>
      <c r="B701" s="183"/>
      <c r="C701" s="183"/>
      <c r="D701" s="183"/>
      <c r="E701" s="199"/>
      <c r="F701" s="199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</row>
    <row r="702" spans="1:19" ht="19.5" customHeight="1" x14ac:dyDescent="0.2">
      <c r="A702" s="183"/>
      <c r="B702" s="183"/>
      <c r="C702" s="183"/>
      <c r="D702" s="183"/>
      <c r="E702" s="199"/>
      <c r="F702" s="199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</row>
    <row r="703" spans="1:19" ht="19.5" customHeight="1" x14ac:dyDescent="0.2">
      <c r="A703" s="183"/>
      <c r="B703" s="183"/>
      <c r="C703" s="183"/>
      <c r="D703" s="183"/>
      <c r="E703" s="199"/>
      <c r="F703" s="199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</row>
    <row r="704" spans="1:19" ht="19.5" customHeight="1" x14ac:dyDescent="0.2">
      <c r="A704" s="183"/>
      <c r="B704" s="183"/>
      <c r="C704" s="183"/>
      <c r="D704" s="183"/>
      <c r="E704" s="199"/>
      <c r="F704" s="199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</row>
    <row r="705" spans="1:19" ht="19.5" customHeight="1" x14ac:dyDescent="0.2">
      <c r="A705" s="183"/>
      <c r="B705" s="183"/>
      <c r="C705" s="183"/>
      <c r="D705" s="183"/>
      <c r="E705" s="199"/>
      <c r="F705" s="199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</row>
    <row r="706" spans="1:19" ht="19.5" customHeight="1" x14ac:dyDescent="0.2">
      <c r="A706" s="183"/>
      <c r="B706" s="183"/>
      <c r="C706" s="183"/>
      <c r="D706" s="183"/>
      <c r="E706" s="199"/>
      <c r="F706" s="199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</row>
    <row r="707" spans="1:19" ht="19.5" customHeight="1" x14ac:dyDescent="0.2">
      <c r="A707" s="183"/>
      <c r="B707" s="183"/>
      <c r="C707" s="183"/>
      <c r="D707" s="183"/>
      <c r="E707" s="199"/>
      <c r="F707" s="199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</row>
    <row r="708" spans="1:19" ht="19.5" customHeight="1" x14ac:dyDescent="0.2">
      <c r="A708" s="183"/>
      <c r="B708" s="183"/>
      <c r="C708" s="183"/>
      <c r="D708" s="183"/>
      <c r="E708" s="199"/>
      <c r="F708" s="199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</row>
    <row r="709" spans="1:19" ht="19.5" customHeight="1" x14ac:dyDescent="0.2">
      <c r="A709" s="183"/>
      <c r="B709" s="183"/>
      <c r="C709" s="183"/>
      <c r="D709" s="183"/>
      <c r="E709" s="199"/>
      <c r="F709" s="199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</row>
    <row r="710" spans="1:19" ht="19.5" customHeight="1" x14ac:dyDescent="0.2">
      <c r="A710" s="183"/>
      <c r="B710" s="183"/>
      <c r="C710" s="183"/>
      <c r="D710" s="183"/>
      <c r="E710" s="199"/>
      <c r="F710" s="199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</row>
    <row r="711" spans="1:19" ht="19.5" customHeight="1" x14ac:dyDescent="0.2">
      <c r="A711" s="183"/>
      <c r="B711" s="183"/>
      <c r="C711" s="183"/>
      <c r="D711" s="183"/>
      <c r="E711" s="199"/>
      <c r="F711" s="199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</row>
    <row r="712" spans="1:19" ht="19.5" customHeight="1" x14ac:dyDescent="0.2">
      <c r="A712" s="183"/>
      <c r="B712" s="183"/>
      <c r="C712" s="183"/>
      <c r="D712" s="183"/>
      <c r="E712" s="199"/>
      <c r="F712" s="199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</row>
    <row r="713" spans="1:19" ht="19.5" customHeight="1" x14ac:dyDescent="0.2">
      <c r="A713" s="183"/>
      <c r="B713" s="183"/>
      <c r="C713" s="183"/>
      <c r="D713" s="183"/>
      <c r="E713" s="199"/>
      <c r="F713" s="199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</row>
    <row r="714" spans="1:19" ht="19.5" customHeight="1" x14ac:dyDescent="0.2">
      <c r="A714" s="183"/>
      <c r="B714" s="183"/>
      <c r="C714" s="183"/>
      <c r="D714" s="183"/>
      <c r="E714" s="199"/>
      <c r="F714" s="199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</row>
    <row r="715" spans="1:19" ht="19.5" customHeight="1" x14ac:dyDescent="0.2">
      <c r="A715" s="183"/>
      <c r="B715" s="183"/>
      <c r="C715" s="183"/>
      <c r="D715" s="183"/>
      <c r="E715" s="199"/>
      <c r="F715" s="199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</row>
    <row r="716" spans="1:19" ht="19.5" customHeight="1" x14ac:dyDescent="0.2">
      <c r="A716" s="183"/>
      <c r="B716" s="183"/>
      <c r="C716" s="183"/>
      <c r="D716" s="183"/>
      <c r="E716" s="199"/>
      <c r="F716" s="199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</row>
    <row r="717" spans="1:19" ht="19.5" customHeight="1" x14ac:dyDescent="0.2">
      <c r="A717" s="183"/>
      <c r="B717" s="183"/>
      <c r="C717" s="183"/>
      <c r="D717" s="183"/>
      <c r="E717" s="199"/>
      <c r="F717" s="199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</row>
    <row r="718" spans="1:19" ht="19.5" customHeight="1" x14ac:dyDescent="0.2">
      <c r="A718" s="183"/>
      <c r="B718" s="183"/>
      <c r="C718" s="183"/>
      <c r="D718" s="183"/>
      <c r="E718" s="199"/>
      <c r="F718" s="199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</row>
    <row r="719" spans="1:19" ht="19.5" customHeight="1" x14ac:dyDescent="0.2">
      <c r="A719" s="183"/>
      <c r="B719" s="183"/>
      <c r="C719" s="183"/>
      <c r="D719" s="183"/>
      <c r="E719" s="199"/>
      <c r="F719" s="199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</row>
    <row r="720" spans="1:19" ht="19.5" customHeight="1" x14ac:dyDescent="0.2">
      <c r="A720" s="183"/>
      <c r="B720" s="183"/>
      <c r="C720" s="183"/>
      <c r="D720" s="183"/>
      <c r="E720" s="199"/>
      <c r="F720" s="199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</row>
    <row r="721" spans="1:19" ht="19.5" customHeight="1" x14ac:dyDescent="0.2">
      <c r="A721" s="183"/>
      <c r="B721" s="183"/>
      <c r="C721" s="183"/>
      <c r="D721" s="183"/>
      <c r="E721" s="199"/>
      <c r="F721" s="199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</row>
    <row r="722" spans="1:19" ht="19.5" customHeight="1" x14ac:dyDescent="0.2">
      <c r="A722" s="183"/>
      <c r="B722" s="183"/>
      <c r="C722" s="183"/>
      <c r="D722" s="183"/>
      <c r="E722" s="199"/>
      <c r="F722" s="199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</row>
    <row r="723" spans="1:19" ht="19.5" customHeight="1" x14ac:dyDescent="0.2">
      <c r="A723" s="183"/>
      <c r="B723" s="183"/>
      <c r="C723" s="183"/>
      <c r="D723" s="183"/>
      <c r="E723" s="199"/>
      <c r="F723" s="199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</row>
    <row r="724" spans="1:19" ht="19.5" customHeight="1" x14ac:dyDescent="0.2">
      <c r="A724" s="183"/>
      <c r="B724" s="183"/>
      <c r="C724" s="183"/>
      <c r="D724" s="183"/>
      <c r="E724" s="199"/>
      <c r="F724" s="199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</row>
    <row r="725" spans="1:19" ht="19.5" customHeight="1" x14ac:dyDescent="0.2">
      <c r="A725" s="183"/>
      <c r="B725" s="183"/>
      <c r="C725" s="183"/>
      <c r="D725" s="183"/>
      <c r="E725" s="199"/>
      <c r="F725" s="199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</row>
    <row r="726" spans="1:19" ht="19.5" customHeight="1" x14ac:dyDescent="0.2">
      <c r="A726" s="183"/>
      <c r="B726" s="183"/>
      <c r="C726" s="183"/>
      <c r="D726" s="183"/>
      <c r="E726" s="199"/>
      <c r="F726" s="199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</row>
    <row r="727" spans="1:19" ht="19.5" customHeight="1" x14ac:dyDescent="0.2">
      <c r="A727" s="183"/>
      <c r="B727" s="183"/>
      <c r="C727" s="183"/>
      <c r="D727" s="183"/>
      <c r="E727" s="199"/>
      <c r="F727" s="199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</row>
    <row r="728" spans="1:19" ht="19.5" customHeight="1" x14ac:dyDescent="0.2">
      <c r="A728" s="183"/>
      <c r="B728" s="183"/>
      <c r="C728" s="183"/>
      <c r="D728" s="183"/>
      <c r="E728" s="199"/>
      <c r="F728" s="199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</row>
    <row r="729" spans="1:19" ht="19.5" customHeight="1" x14ac:dyDescent="0.2">
      <c r="A729" s="183"/>
      <c r="B729" s="183"/>
      <c r="C729" s="183"/>
      <c r="D729" s="183"/>
      <c r="E729" s="199"/>
      <c r="F729" s="199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</row>
    <row r="730" spans="1:19" ht="19.5" customHeight="1" x14ac:dyDescent="0.2">
      <c r="A730" s="183"/>
      <c r="B730" s="183"/>
      <c r="C730" s="183"/>
      <c r="D730" s="183"/>
      <c r="E730" s="199"/>
      <c r="F730" s="199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</row>
    <row r="731" spans="1:19" ht="19.5" customHeight="1" x14ac:dyDescent="0.2">
      <c r="A731" s="183"/>
      <c r="B731" s="183"/>
      <c r="C731" s="183"/>
      <c r="D731" s="183"/>
      <c r="E731" s="199"/>
      <c r="F731" s="199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</row>
    <row r="732" spans="1:19" ht="19.5" customHeight="1" x14ac:dyDescent="0.2">
      <c r="A732" s="183"/>
      <c r="B732" s="183"/>
      <c r="C732" s="183"/>
      <c r="D732" s="183"/>
      <c r="E732" s="199"/>
      <c r="F732" s="199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</row>
    <row r="733" spans="1:19" ht="19.5" customHeight="1" x14ac:dyDescent="0.2">
      <c r="A733" s="183"/>
      <c r="B733" s="183"/>
      <c r="C733" s="183"/>
      <c r="D733" s="183"/>
      <c r="E733" s="199"/>
      <c r="F733" s="199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</row>
    <row r="734" spans="1:19" ht="19.5" customHeight="1" x14ac:dyDescent="0.2">
      <c r="A734" s="183"/>
      <c r="B734" s="183"/>
      <c r="C734" s="183"/>
      <c r="D734" s="183"/>
      <c r="E734" s="199"/>
      <c r="F734" s="199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</row>
    <row r="735" spans="1:19" ht="19.5" customHeight="1" x14ac:dyDescent="0.2">
      <c r="A735" s="183"/>
      <c r="B735" s="183"/>
      <c r="C735" s="183"/>
      <c r="D735" s="183"/>
      <c r="E735" s="199"/>
      <c r="F735" s="199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</row>
    <row r="736" spans="1:19" ht="19.5" customHeight="1" x14ac:dyDescent="0.2">
      <c r="A736" s="183"/>
      <c r="B736" s="183"/>
      <c r="C736" s="183"/>
      <c r="D736" s="183"/>
      <c r="E736" s="199"/>
      <c r="F736" s="199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</row>
    <row r="737" spans="1:19" ht="19.5" customHeight="1" x14ac:dyDescent="0.2">
      <c r="A737" s="183"/>
      <c r="B737" s="183"/>
      <c r="C737" s="183"/>
      <c r="D737" s="183"/>
      <c r="E737" s="199"/>
      <c r="F737" s="199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</row>
    <row r="738" spans="1:19" ht="19.5" customHeight="1" x14ac:dyDescent="0.2">
      <c r="A738" s="183"/>
      <c r="B738" s="183"/>
      <c r="C738" s="183"/>
      <c r="D738" s="183"/>
      <c r="E738" s="199"/>
      <c r="F738" s="199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</row>
    <row r="739" spans="1:19" ht="19.5" customHeight="1" x14ac:dyDescent="0.2">
      <c r="A739" s="183"/>
      <c r="B739" s="183"/>
      <c r="C739" s="183"/>
      <c r="D739" s="183"/>
      <c r="E739" s="199"/>
      <c r="F739" s="199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</row>
    <row r="740" spans="1:19" ht="19.5" customHeight="1" x14ac:dyDescent="0.2">
      <c r="A740" s="183"/>
      <c r="B740" s="183"/>
      <c r="C740" s="183"/>
      <c r="D740" s="183"/>
      <c r="E740" s="199"/>
      <c r="F740" s="199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</row>
    <row r="741" spans="1:19" ht="19.5" customHeight="1" x14ac:dyDescent="0.2">
      <c r="A741" s="183"/>
      <c r="B741" s="183"/>
      <c r="C741" s="183"/>
      <c r="D741" s="183"/>
      <c r="E741" s="199"/>
      <c r="F741" s="199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</row>
    <row r="742" spans="1:19" ht="19.5" customHeight="1" x14ac:dyDescent="0.2">
      <c r="A742" s="183"/>
      <c r="B742" s="183"/>
      <c r="C742" s="183"/>
      <c r="D742" s="183"/>
      <c r="E742" s="199"/>
      <c r="F742" s="199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</row>
    <row r="743" spans="1:19" ht="19.5" customHeight="1" x14ac:dyDescent="0.2">
      <c r="A743" s="183"/>
      <c r="B743" s="183"/>
      <c r="C743" s="183"/>
      <c r="D743" s="183"/>
      <c r="E743" s="199"/>
      <c r="F743" s="199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</row>
    <row r="744" spans="1:19" ht="19.5" customHeight="1" x14ac:dyDescent="0.2">
      <c r="A744" s="183"/>
      <c r="B744" s="183"/>
      <c r="C744" s="183"/>
      <c r="D744" s="183"/>
      <c r="E744" s="199"/>
      <c r="F744" s="199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</row>
    <row r="745" spans="1:19" ht="19.5" customHeight="1" x14ac:dyDescent="0.2">
      <c r="A745" s="183"/>
      <c r="B745" s="183"/>
      <c r="C745" s="183"/>
      <c r="D745" s="183"/>
      <c r="E745" s="199"/>
      <c r="F745" s="199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</row>
    <row r="746" spans="1:19" ht="19.5" customHeight="1" x14ac:dyDescent="0.2">
      <c r="A746" s="183"/>
      <c r="B746" s="183"/>
      <c r="C746" s="183"/>
      <c r="D746" s="183"/>
      <c r="E746" s="199"/>
      <c r="F746" s="199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</row>
    <row r="747" spans="1:19" ht="19.5" customHeight="1" x14ac:dyDescent="0.2">
      <c r="A747" s="183"/>
      <c r="B747" s="183"/>
      <c r="C747" s="183"/>
      <c r="D747" s="183"/>
      <c r="E747" s="199"/>
      <c r="F747" s="199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</row>
    <row r="748" spans="1:19" ht="19.5" customHeight="1" x14ac:dyDescent="0.2">
      <c r="A748" s="183"/>
      <c r="B748" s="183"/>
      <c r="C748" s="183"/>
      <c r="D748" s="183"/>
      <c r="E748" s="199"/>
      <c r="F748" s="199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</row>
    <row r="749" spans="1:19" ht="19.5" customHeight="1" x14ac:dyDescent="0.2">
      <c r="A749" s="183"/>
      <c r="B749" s="183"/>
      <c r="C749" s="183"/>
      <c r="D749" s="183"/>
      <c r="E749" s="199"/>
      <c r="F749" s="199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</row>
    <row r="750" spans="1:19" ht="19.5" customHeight="1" x14ac:dyDescent="0.2">
      <c r="A750" s="183"/>
      <c r="B750" s="183"/>
      <c r="C750" s="183"/>
      <c r="D750" s="183"/>
      <c r="E750" s="199"/>
      <c r="F750" s="199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</row>
    <row r="751" spans="1:19" ht="19.5" customHeight="1" x14ac:dyDescent="0.2">
      <c r="A751" s="183"/>
      <c r="B751" s="183"/>
      <c r="C751" s="183"/>
      <c r="D751" s="183"/>
      <c r="E751" s="199"/>
      <c r="F751" s="199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</row>
    <row r="752" spans="1:19" ht="19.5" customHeight="1" x14ac:dyDescent="0.2">
      <c r="A752" s="183"/>
      <c r="B752" s="183"/>
      <c r="C752" s="183"/>
      <c r="D752" s="183"/>
      <c r="E752" s="199"/>
      <c r="F752" s="199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</row>
    <row r="753" spans="1:19" ht="19.5" customHeight="1" x14ac:dyDescent="0.2">
      <c r="A753" s="183"/>
      <c r="B753" s="183"/>
      <c r="C753" s="183"/>
      <c r="D753" s="183"/>
      <c r="E753" s="199"/>
      <c r="F753" s="199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</row>
    <row r="754" spans="1:19" ht="19.5" customHeight="1" x14ac:dyDescent="0.2">
      <c r="A754" s="183"/>
      <c r="B754" s="183"/>
      <c r="C754" s="183"/>
      <c r="D754" s="183"/>
      <c r="E754" s="199"/>
      <c r="F754" s="199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</row>
    <row r="755" spans="1:19" ht="19.5" customHeight="1" x14ac:dyDescent="0.2">
      <c r="A755" s="183"/>
      <c r="B755" s="183"/>
      <c r="C755" s="183"/>
      <c r="D755" s="183"/>
      <c r="E755" s="199"/>
      <c r="F755" s="199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</row>
    <row r="756" spans="1:19" ht="19.5" customHeight="1" x14ac:dyDescent="0.2">
      <c r="A756" s="183"/>
      <c r="B756" s="183"/>
      <c r="C756" s="183"/>
      <c r="D756" s="183"/>
      <c r="E756" s="199"/>
      <c r="F756" s="199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</row>
    <row r="757" spans="1:19" ht="19.5" customHeight="1" x14ac:dyDescent="0.2">
      <c r="A757" s="183"/>
      <c r="B757" s="183"/>
      <c r="C757" s="183"/>
      <c r="D757" s="183"/>
      <c r="E757" s="199"/>
      <c r="F757" s="199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</row>
    <row r="758" spans="1:19" ht="19.5" customHeight="1" x14ac:dyDescent="0.2">
      <c r="A758" s="183"/>
      <c r="B758" s="183"/>
      <c r="C758" s="183"/>
      <c r="D758" s="183"/>
      <c r="E758" s="199"/>
      <c r="F758" s="199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</row>
    <row r="759" spans="1:19" ht="19.5" customHeight="1" x14ac:dyDescent="0.2">
      <c r="A759" s="183"/>
      <c r="B759" s="183"/>
      <c r="C759" s="183"/>
      <c r="D759" s="183"/>
      <c r="E759" s="199"/>
      <c r="F759" s="199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</row>
    <row r="760" spans="1:19" ht="19.5" customHeight="1" x14ac:dyDescent="0.2">
      <c r="A760" s="183"/>
      <c r="B760" s="183"/>
      <c r="C760" s="183"/>
      <c r="D760" s="183"/>
      <c r="E760" s="199"/>
      <c r="F760" s="199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</row>
    <row r="761" spans="1:19" ht="19.5" customHeight="1" x14ac:dyDescent="0.2">
      <c r="A761" s="183"/>
      <c r="B761" s="183"/>
      <c r="C761" s="183"/>
      <c r="D761" s="183"/>
      <c r="E761" s="199"/>
      <c r="F761" s="199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</row>
    <row r="762" spans="1:19" ht="19.5" customHeight="1" x14ac:dyDescent="0.2">
      <c r="A762" s="183"/>
      <c r="B762" s="183"/>
      <c r="C762" s="183"/>
      <c r="D762" s="183"/>
      <c r="E762" s="199"/>
      <c r="F762" s="199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</row>
    <row r="763" spans="1:19" ht="19.5" customHeight="1" x14ac:dyDescent="0.2">
      <c r="A763" s="183"/>
      <c r="B763" s="183"/>
      <c r="C763" s="183"/>
      <c r="D763" s="183"/>
      <c r="E763" s="199"/>
      <c r="F763" s="199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</row>
    <row r="764" spans="1:19" ht="19.5" customHeight="1" x14ac:dyDescent="0.2">
      <c r="A764" s="183"/>
      <c r="B764" s="183"/>
      <c r="C764" s="183"/>
      <c r="D764" s="183"/>
      <c r="E764" s="199"/>
      <c r="F764" s="199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</row>
    <row r="765" spans="1:19" ht="19.5" customHeight="1" x14ac:dyDescent="0.2">
      <c r="A765" s="183"/>
      <c r="B765" s="183"/>
      <c r="C765" s="183"/>
      <c r="D765" s="183"/>
      <c r="E765" s="199"/>
      <c r="F765" s="199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</row>
    <row r="766" spans="1:19" ht="19.5" customHeight="1" x14ac:dyDescent="0.2">
      <c r="A766" s="183"/>
      <c r="B766" s="183"/>
      <c r="C766" s="183"/>
      <c r="D766" s="183"/>
      <c r="E766" s="199"/>
      <c r="F766" s="199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</row>
    <row r="767" spans="1:19" ht="19.5" customHeight="1" x14ac:dyDescent="0.2">
      <c r="A767" s="183"/>
      <c r="B767" s="183"/>
      <c r="C767" s="183"/>
      <c r="D767" s="183"/>
      <c r="E767" s="199"/>
      <c r="F767" s="199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</row>
    <row r="768" spans="1:19" ht="19.5" customHeight="1" x14ac:dyDescent="0.2">
      <c r="A768" s="183"/>
      <c r="B768" s="183"/>
      <c r="C768" s="183"/>
      <c r="D768" s="183"/>
      <c r="E768" s="199"/>
      <c r="F768" s="199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</row>
    <row r="769" spans="1:19" ht="19.5" customHeight="1" x14ac:dyDescent="0.2">
      <c r="A769" s="183"/>
      <c r="B769" s="183"/>
      <c r="C769" s="183"/>
      <c r="D769" s="183"/>
      <c r="E769" s="199"/>
      <c r="F769" s="199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</row>
    <row r="770" spans="1:19" ht="19.5" customHeight="1" x14ac:dyDescent="0.2">
      <c r="A770" s="183"/>
      <c r="B770" s="183"/>
      <c r="C770" s="183"/>
      <c r="D770" s="183"/>
      <c r="E770" s="199"/>
      <c r="F770" s="199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</row>
    <row r="771" spans="1:19" ht="19.5" customHeight="1" x14ac:dyDescent="0.2">
      <c r="A771" s="183"/>
      <c r="B771" s="183"/>
      <c r="C771" s="183"/>
      <c r="D771" s="183"/>
      <c r="E771" s="199"/>
      <c r="F771" s="199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</row>
    <row r="772" spans="1:19" ht="19.5" customHeight="1" x14ac:dyDescent="0.2">
      <c r="A772" s="183"/>
      <c r="B772" s="183"/>
      <c r="C772" s="183"/>
      <c r="D772" s="183"/>
      <c r="E772" s="199"/>
      <c r="F772" s="199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</row>
    <row r="773" spans="1:19" ht="19.5" customHeight="1" x14ac:dyDescent="0.2">
      <c r="A773" s="183"/>
      <c r="B773" s="183"/>
      <c r="C773" s="183"/>
      <c r="D773" s="183"/>
      <c r="E773" s="199"/>
      <c r="F773" s="199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</row>
    <row r="774" spans="1:19" ht="19.5" customHeight="1" x14ac:dyDescent="0.2">
      <c r="A774" s="183"/>
      <c r="B774" s="183"/>
      <c r="C774" s="183"/>
      <c r="D774" s="183"/>
      <c r="E774" s="199"/>
      <c r="F774" s="199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</row>
    <row r="775" spans="1:19" ht="19.5" customHeight="1" x14ac:dyDescent="0.2">
      <c r="A775" s="183"/>
      <c r="B775" s="183"/>
      <c r="C775" s="183"/>
      <c r="D775" s="183"/>
      <c r="E775" s="199"/>
      <c r="F775" s="199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</row>
    <row r="776" spans="1:19" ht="19.5" customHeight="1" x14ac:dyDescent="0.2">
      <c r="A776" s="183"/>
      <c r="B776" s="183"/>
      <c r="C776" s="183"/>
      <c r="D776" s="183"/>
      <c r="E776" s="199"/>
      <c r="F776" s="199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</row>
    <row r="777" spans="1:19" ht="19.5" customHeight="1" x14ac:dyDescent="0.2">
      <c r="A777" s="183"/>
      <c r="B777" s="183"/>
      <c r="C777" s="183"/>
      <c r="D777" s="183"/>
      <c r="E777" s="199"/>
      <c r="F777" s="199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</row>
    <row r="778" spans="1:19" ht="19.5" customHeight="1" x14ac:dyDescent="0.2">
      <c r="A778" s="183"/>
      <c r="B778" s="183"/>
      <c r="C778" s="183"/>
      <c r="D778" s="183"/>
      <c r="E778" s="199"/>
      <c r="F778" s="199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</row>
    <row r="779" spans="1:19" ht="19.5" customHeight="1" x14ac:dyDescent="0.2">
      <c r="A779" s="183"/>
      <c r="B779" s="183"/>
      <c r="C779" s="183"/>
      <c r="D779" s="183"/>
      <c r="E779" s="199"/>
      <c r="F779" s="199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</row>
    <row r="780" spans="1:19" ht="19.5" customHeight="1" x14ac:dyDescent="0.2">
      <c r="A780" s="183"/>
      <c r="B780" s="183"/>
      <c r="C780" s="183"/>
      <c r="D780" s="183"/>
      <c r="E780" s="199"/>
      <c r="F780" s="199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</row>
    <row r="781" spans="1:19" ht="19.5" customHeight="1" x14ac:dyDescent="0.2">
      <c r="A781" s="183"/>
      <c r="B781" s="183"/>
      <c r="C781" s="183"/>
      <c r="D781" s="183"/>
      <c r="E781" s="199"/>
      <c r="F781" s="199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</row>
    <row r="782" spans="1:19" ht="19.5" customHeight="1" x14ac:dyDescent="0.2">
      <c r="A782" s="183"/>
      <c r="B782" s="183"/>
      <c r="C782" s="183"/>
      <c r="D782" s="183"/>
      <c r="E782" s="199"/>
      <c r="F782" s="199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</row>
    <row r="783" spans="1:19" ht="19.5" customHeight="1" x14ac:dyDescent="0.2">
      <c r="A783" s="183"/>
      <c r="B783" s="183"/>
      <c r="C783" s="183"/>
      <c r="D783" s="183"/>
      <c r="E783" s="199"/>
      <c r="F783" s="199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</row>
    <row r="784" spans="1:19" ht="19.5" customHeight="1" x14ac:dyDescent="0.2">
      <c r="A784" s="183"/>
      <c r="B784" s="183"/>
      <c r="C784" s="183"/>
      <c r="D784" s="183"/>
      <c r="E784" s="199"/>
      <c r="F784" s="199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</row>
    <row r="785" spans="1:19" ht="19.5" customHeight="1" x14ac:dyDescent="0.2">
      <c r="A785" s="183"/>
      <c r="B785" s="183"/>
      <c r="C785" s="183"/>
      <c r="D785" s="183"/>
      <c r="E785" s="199"/>
      <c r="F785" s="199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</row>
    <row r="786" spans="1:19" ht="19.5" customHeight="1" x14ac:dyDescent="0.2">
      <c r="A786" s="183"/>
      <c r="B786" s="183"/>
      <c r="C786" s="183"/>
      <c r="D786" s="183"/>
      <c r="E786" s="199"/>
      <c r="F786" s="199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</row>
    <row r="787" spans="1:19" ht="19.5" customHeight="1" x14ac:dyDescent="0.2">
      <c r="A787" s="183"/>
      <c r="B787" s="183"/>
      <c r="C787" s="183"/>
      <c r="D787" s="183"/>
      <c r="E787" s="199"/>
      <c r="F787" s="199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</row>
    <row r="788" spans="1:19" ht="19.5" customHeight="1" x14ac:dyDescent="0.2">
      <c r="A788" s="183"/>
      <c r="B788" s="183"/>
      <c r="C788" s="183"/>
      <c r="D788" s="183"/>
      <c r="E788" s="199"/>
      <c r="F788" s="199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</row>
    <row r="789" spans="1:19" ht="19.5" customHeight="1" x14ac:dyDescent="0.2">
      <c r="A789" s="183"/>
      <c r="B789" s="183"/>
      <c r="C789" s="183"/>
      <c r="D789" s="183"/>
      <c r="E789" s="199"/>
      <c r="F789" s="199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</row>
    <row r="790" spans="1:19" ht="19.5" customHeight="1" x14ac:dyDescent="0.2">
      <c r="A790" s="183"/>
      <c r="B790" s="183"/>
      <c r="C790" s="183"/>
      <c r="D790" s="183"/>
      <c r="E790" s="199"/>
      <c r="F790" s="199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</row>
    <row r="791" spans="1:19" ht="19.5" customHeight="1" x14ac:dyDescent="0.2">
      <c r="A791" s="183"/>
      <c r="B791" s="183"/>
      <c r="C791" s="183"/>
      <c r="D791" s="183"/>
      <c r="E791" s="199"/>
      <c r="F791" s="199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</row>
    <row r="792" spans="1:19" ht="19.5" customHeight="1" x14ac:dyDescent="0.2">
      <c r="A792" s="183"/>
      <c r="B792" s="183"/>
      <c r="C792" s="183"/>
      <c r="D792" s="183"/>
      <c r="E792" s="199"/>
      <c r="F792" s="199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</row>
    <row r="793" spans="1:19" ht="19.5" customHeight="1" x14ac:dyDescent="0.2">
      <c r="A793" s="183"/>
      <c r="B793" s="183"/>
      <c r="C793" s="183"/>
      <c r="D793" s="183"/>
      <c r="E793" s="199"/>
      <c r="F793" s="199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</row>
    <row r="794" spans="1:19" ht="19.5" customHeight="1" x14ac:dyDescent="0.2">
      <c r="A794" s="183"/>
      <c r="B794" s="183"/>
      <c r="C794" s="183"/>
      <c r="D794" s="183"/>
      <c r="E794" s="199"/>
      <c r="F794" s="199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</row>
    <row r="795" spans="1:19" ht="19.5" customHeight="1" x14ac:dyDescent="0.2">
      <c r="A795" s="183"/>
      <c r="B795" s="183"/>
      <c r="C795" s="183"/>
      <c r="D795" s="183"/>
      <c r="E795" s="199"/>
      <c r="F795" s="199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</row>
    <row r="796" spans="1:19" ht="19.5" customHeight="1" x14ac:dyDescent="0.2">
      <c r="A796" s="183"/>
      <c r="B796" s="183"/>
      <c r="C796" s="183"/>
      <c r="D796" s="183"/>
      <c r="E796" s="199"/>
      <c r="F796" s="199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</row>
    <row r="797" spans="1:19" ht="19.5" customHeight="1" x14ac:dyDescent="0.2">
      <c r="A797" s="183"/>
      <c r="B797" s="183"/>
      <c r="C797" s="183"/>
      <c r="D797" s="183"/>
      <c r="E797" s="199"/>
      <c r="F797" s="199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</row>
    <row r="798" spans="1:19" ht="19.5" customHeight="1" x14ac:dyDescent="0.2">
      <c r="A798" s="183"/>
      <c r="B798" s="183"/>
      <c r="C798" s="183"/>
      <c r="D798" s="183"/>
      <c r="E798" s="199"/>
      <c r="F798" s="199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</row>
    <row r="799" spans="1:19" ht="19.5" customHeight="1" x14ac:dyDescent="0.2">
      <c r="A799" s="183"/>
      <c r="B799" s="183"/>
      <c r="C799" s="183"/>
      <c r="D799" s="183"/>
      <c r="E799" s="199"/>
      <c r="F799" s="199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</row>
    <row r="800" spans="1:19" ht="19.5" customHeight="1" x14ac:dyDescent="0.2">
      <c r="A800" s="183"/>
      <c r="B800" s="183"/>
      <c r="C800" s="183"/>
      <c r="D800" s="183"/>
      <c r="E800" s="199"/>
      <c r="F800" s="199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</row>
    <row r="801" spans="1:19" ht="19.5" customHeight="1" x14ac:dyDescent="0.2">
      <c r="A801" s="183"/>
      <c r="B801" s="183"/>
      <c r="C801" s="183"/>
      <c r="D801" s="183"/>
      <c r="E801" s="199"/>
      <c r="F801" s="199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</row>
    <row r="802" spans="1:19" ht="19.5" customHeight="1" x14ac:dyDescent="0.2">
      <c r="A802" s="183"/>
      <c r="B802" s="183"/>
      <c r="C802" s="183"/>
      <c r="D802" s="183"/>
      <c r="E802" s="199"/>
      <c r="F802" s="199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</row>
    <row r="803" spans="1:19" ht="19.5" customHeight="1" x14ac:dyDescent="0.2">
      <c r="A803" s="183"/>
      <c r="B803" s="183"/>
      <c r="C803" s="183"/>
      <c r="D803" s="183"/>
      <c r="E803" s="199"/>
      <c r="F803" s="199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</row>
    <row r="804" spans="1:19" ht="19.5" customHeight="1" x14ac:dyDescent="0.2">
      <c r="A804" s="183"/>
      <c r="B804" s="183"/>
      <c r="C804" s="183"/>
      <c r="D804" s="183"/>
      <c r="E804" s="199"/>
      <c r="F804" s="199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</row>
    <row r="805" spans="1:19" ht="19.5" customHeight="1" x14ac:dyDescent="0.2">
      <c r="A805" s="183"/>
      <c r="B805" s="183"/>
      <c r="C805" s="183"/>
      <c r="D805" s="183"/>
      <c r="E805" s="199"/>
      <c r="F805" s="199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</row>
    <row r="806" spans="1:19" ht="19.5" customHeight="1" x14ac:dyDescent="0.2">
      <c r="A806" s="183"/>
      <c r="B806" s="183"/>
      <c r="C806" s="183"/>
      <c r="D806" s="183"/>
      <c r="E806" s="199"/>
      <c r="F806" s="199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</row>
    <row r="807" spans="1:19" ht="19.5" customHeight="1" x14ac:dyDescent="0.2">
      <c r="A807" s="183"/>
      <c r="B807" s="183"/>
      <c r="C807" s="183"/>
      <c r="D807" s="183"/>
      <c r="E807" s="199"/>
      <c r="F807" s="199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</row>
    <row r="808" spans="1:19" ht="19.5" customHeight="1" x14ac:dyDescent="0.2">
      <c r="A808" s="183"/>
      <c r="B808" s="183"/>
      <c r="C808" s="183"/>
      <c r="D808" s="183"/>
      <c r="E808" s="199"/>
      <c r="F808" s="199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</row>
    <row r="809" spans="1:19" ht="19.5" customHeight="1" x14ac:dyDescent="0.2">
      <c r="A809" s="183"/>
      <c r="B809" s="183"/>
      <c r="C809" s="183"/>
      <c r="D809" s="183"/>
      <c r="E809" s="199"/>
      <c r="F809" s="199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</row>
    <row r="810" spans="1:19" ht="19.5" customHeight="1" x14ac:dyDescent="0.2">
      <c r="A810" s="183"/>
      <c r="B810" s="183"/>
      <c r="C810" s="183"/>
      <c r="D810" s="183"/>
      <c r="E810" s="199"/>
      <c r="F810" s="199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</row>
    <row r="811" spans="1:19" ht="19.5" customHeight="1" x14ac:dyDescent="0.2">
      <c r="A811" s="183"/>
      <c r="B811" s="183"/>
      <c r="C811" s="183"/>
      <c r="D811" s="183"/>
      <c r="E811" s="199"/>
      <c r="F811" s="199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</row>
    <row r="812" spans="1:19" ht="19.5" customHeight="1" x14ac:dyDescent="0.2">
      <c r="A812" s="183"/>
      <c r="B812" s="183"/>
      <c r="C812" s="183"/>
      <c r="D812" s="183"/>
      <c r="E812" s="199"/>
      <c r="F812" s="199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</row>
    <row r="813" spans="1:19" ht="19.5" customHeight="1" x14ac:dyDescent="0.2">
      <c r="A813" s="183"/>
      <c r="B813" s="183"/>
      <c r="C813" s="183"/>
      <c r="D813" s="183"/>
      <c r="E813" s="199"/>
      <c r="F813" s="199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</row>
    <row r="814" spans="1:19" ht="19.5" customHeight="1" x14ac:dyDescent="0.2">
      <c r="A814" s="183"/>
      <c r="B814" s="183"/>
      <c r="C814" s="183"/>
      <c r="D814" s="183"/>
      <c r="E814" s="199"/>
      <c r="F814" s="199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</row>
    <row r="815" spans="1:19" ht="19.5" customHeight="1" x14ac:dyDescent="0.2">
      <c r="A815" s="183"/>
      <c r="B815" s="183"/>
      <c r="C815" s="183"/>
      <c r="D815" s="183"/>
      <c r="E815" s="199"/>
      <c r="F815" s="199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</row>
    <row r="816" spans="1:19" ht="19.5" customHeight="1" x14ac:dyDescent="0.2">
      <c r="A816" s="183"/>
      <c r="B816" s="183"/>
      <c r="C816" s="183"/>
      <c r="D816" s="183"/>
      <c r="E816" s="199"/>
      <c r="F816" s="199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</row>
    <row r="817" spans="1:19" ht="19.5" customHeight="1" x14ac:dyDescent="0.2">
      <c r="A817" s="183"/>
      <c r="B817" s="183"/>
      <c r="C817" s="183"/>
      <c r="D817" s="183"/>
      <c r="E817" s="199"/>
      <c r="F817" s="199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</row>
    <row r="818" spans="1:19" ht="19.5" customHeight="1" x14ac:dyDescent="0.2">
      <c r="A818" s="183"/>
      <c r="B818" s="183"/>
      <c r="C818" s="183"/>
      <c r="D818" s="183"/>
      <c r="E818" s="199"/>
      <c r="F818" s="199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</row>
    <row r="819" spans="1:19" ht="19.5" customHeight="1" x14ac:dyDescent="0.2">
      <c r="A819" s="183"/>
      <c r="B819" s="183"/>
      <c r="C819" s="183"/>
      <c r="D819" s="183"/>
      <c r="E819" s="199"/>
      <c r="F819" s="199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</row>
    <row r="820" spans="1:19" ht="19.5" customHeight="1" x14ac:dyDescent="0.2">
      <c r="A820" s="183"/>
      <c r="B820" s="183"/>
      <c r="C820" s="183"/>
      <c r="D820" s="183"/>
      <c r="E820" s="199"/>
      <c r="F820" s="199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</row>
    <row r="821" spans="1:19" ht="19.5" customHeight="1" x14ac:dyDescent="0.2">
      <c r="A821" s="183"/>
      <c r="B821" s="183"/>
      <c r="C821" s="183"/>
      <c r="D821" s="183"/>
      <c r="E821" s="199"/>
      <c r="F821" s="199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</row>
    <row r="822" spans="1:19" ht="19.5" customHeight="1" x14ac:dyDescent="0.2">
      <c r="A822" s="183"/>
      <c r="B822" s="183"/>
      <c r="C822" s="183"/>
      <c r="D822" s="183"/>
      <c r="E822" s="199"/>
      <c r="F822" s="199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</row>
    <row r="823" spans="1:19" ht="19.5" customHeight="1" x14ac:dyDescent="0.2">
      <c r="A823" s="183"/>
      <c r="B823" s="183"/>
      <c r="C823" s="183"/>
      <c r="D823" s="183"/>
      <c r="E823" s="199"/>
      <c r="F823" s="199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</row>
    <row r="824" spans="1:19" ht="19.5" customHeight="1" x14ac:dyDescent="0.2">
      <c r="A824" s="183"/>
      <c r="B824" s="183"/>
      <c r="C824" s="183"/>
      <c r="D824" s="183"/>
      <c r="E824" s="199"/>
      <c r="F824" s="199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</row>
    <row r="825" spans="1:19" ht="19.5" customHeight="1" x14ac:dyDescent="0.2">
      <c r="A825" s="183"/>
      <c r="B825" s="183"/>
      <c r="C825" s="183"/>
      <c r="D825" s="183"/>
      <c r="E825" s="199"/>
      <c r="F825" s="199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</row>
    <row r="826" spans="1:19" ht="19.5" customHeight="1" x14ac:dyDescent="0.2">
      <c r="A826" s="183"/>
      <c r="B826" s="183"/>
      <c r="C826" s="183"/>
      <c r="D826" s="183"/>
      <c r="E826" s="199"/>
      <c r="F826" s="199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</row>
    <row r="827" spans="1:19" ht="19.5" customHeight="1" x14ac:dyDescent="0.2">
      <c r="A827" s="183"/>
      <c r="B827" s="183"/>
      <c r="C827" s="183"/>
      <c r="D827" s="183"/>
      <c r="E827" s="199"/>
      <c r="F827" s="199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</row>
    <row r="828" spans="1:19" ht="19.5" customHeight="1" x14ac:dyDescent="0.2">
      <c r="A828" s="183"/>
      <c r="B828" s="183"/>
      <c r="C828" s="183"/>
      <c r="D828" s="183"/>
      <c r="E828" s="199"/>
      <c r="F828" s="199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</row>
    <row r="829" spans="1:19" ht="19.5" customHeight="1" x14ac:dyDescent="0.2">
      <c r="A829" s="183"/>
      <c r="B829" s="183"/>
      <c r="C829" s="183"/>
      <c r="D829" s="183"/>
      <c r="E829" s="199"/>
      <c r="F829" s="199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</row>
    <row r="830" spans="1:19" ht="19.5" customHeight="1" x14ac:dyDescent="0.2">
      <c r="A830" s="183"/>
      <c r="B830" s="183"/>
      <c r="C830" s="183"/>
      <c r="D830" s="183"/>
      <c r="E830" s="199"/>
      <c r="F830" s="199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</row>
    <row r="831" spans="1:19" ht="19.5" customHeight="1" x14ac:dyDescent="0.2">
      <c r="A831" s="183"/>
      <c r="B831" s="183"/>
      <c r="C831" s="183"/>
      <c r="D831" s="183"/>
      <c r="E831" s="199"/>
      <c r="F831" s="199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</row>
    <row r="832" spans="1:19" ht="19.5" customHeight="1" x14ac:dyDescent="0.2">
      <c r="A832" s="183"/>
      <c r="B832" s="183"/>
      <c r="C832" s="183"/>
      <c r="D832" s="183"/>
      <c r="E832" s="199"/>
      <c r="F832" s="199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</row>
    <row r="833" spans="1:19" ht="19.5" customHeight="1" x14ac:dyDescent="0.2">
      <c r="A833" s="183"/>
      <c r="B833" s="183"/>
      <c r="C833" s="183"/>
      <c r="D833" s="183"/>
      <c r="E833" s="199"/>
      <c r="F833" s="199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</row>
    <row r="834" spans="1:19" ht="19.5" customHeight="1" x14ac:dyDescent="0.2">
      <c r="A834" s="183"/>
      <c r="B834" s="183"/>
      <c r="C834" s="183"/>
      <c r="D834" s="183"/>
      <c r="E834" s="199"/>
      <c r="F834" s="199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</row>
    <row r="835" spans="1:19" ht="19.5" customHeight="1" x14ac:dyDescent="0.2">
      <c r="A835" s="183"/>
      <c r="B835" s="183"/>
      <c r="C835" s="183"/>
      <c r="D835" s="183"/>
      <c r="E835" s="199"/>
      <c r="F835" s="199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</row>
    <row r="836" spans="1:19" ht="19.5" customHeight="1" x14ac:dyDescent="0.2">
      <c r="A836" s="183"/>
      <c r="B836" s="183"/>
      <c r="C836" s="183"/>
      <c r="D836" s="183"/>
      <c r="E836" s="199"/>
      <c r="F836" s="199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</row>
    <row r="837" spans="1:19" ht="19.5" customHeight="1" x14ac:dyDescent="0.2">
      <c r="A837" s="183"/>
      <c r="B837" s="183"/>
      <c r="C837" s="183"/>
      <c r="D837" s="183"/>
      <c r="E837" s="199"/>
      <c r="F837" s="199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</row>
    <row r="838" spans="1:19" ht="19.5" customHeight="1" x14ac:dyDescent="0.2">
      <c r="A838" s="183"/>
      <c r="B838" s="183"/>
      <c r="C838" s="183"/>
      <c r="D838" s="183"/>
      <c r="E838" s="199"/>
      <c r="F838" s="199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</row>
    <row r="839" spans="1:19" ht="19.5" customHeight="1" x14ac:dyDescent="0.2">
      <c r="A839" s="183"/>
      <c r="B839" s="183"/>
      <c r="C839" s="183"/>
      <c r="D839" s="183"/>
      <c r="E839" s="199"/>
      <c r="F839" s="199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</row>
    <row r="840" spans="1:19" ht="19.5" customHeight="1" x14ac:dyDescent="0.2">
      <c r="A840" s="183"/>
      <c r="B840" s="183"/>
      <c r="C840" s="183"/>
      <c r="D840" s="183"/>
      <c r="E840" s="199"/>
      <c r="F840" s="199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</row>
    <row r="841" spans="1:19" ht="19.5" customHeight="1" x14ac:dyDescent="0.2">
      <c r="A841" s="183"/>
      <c r="B841" s="183"/>
      <c r="C841" s="183"/>
      <c r="D841" s="183"/>
      <c r="E841" s="199"/>
      <c r="F841" s="199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</row>
    <row r="842" spans="1:19" ht="19.5" customHeight="1" x14ac:dyDescent="0.2">
      <c r="A842" s="183"/>
      <c r="B842" s="183"/>
      <c r="C842" s="183"/>
      <c r="D842" s="183"/>
      <c r="E842" s="199"/>
      <c r="F842" s="199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</row>
    <row r="843" spans="1:19" ht="19.5" customHeight="1" x14ac:dyDescent="0.2">
      <c r="A843" s="183"/>
      <c r="B843" s="183"/>
      <c r="C843" s="183"/>
      <c r="D843" s="183"/>
      <c r="E843" s="199"/>
      <c r="F843" s="199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</row>
    <row r="844" spans="1:19" ht="19.5" customHeight="1" x14ac:dyDescent="0.2">
      <c r="A844" s="183"/>
      <c r="B844" s="183"/>
      <c r="C844" s="183"/>
      <c r="D844" s="183"/>
      <c r="E844" s="199"/>
      <c r="F844" s="199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</row>
    <row r="845" spans="1:19" ht="19.5" customHeight="1" x14ac:dyDescent="0.2">
      <c r="A845" s="183"/>
      <c r="B845" s="183"/>
      <c r="C845" s="183"/>
      <c r="D845" s="183"/>
      <c r="E845" s="199"/>
      <c r="F845" s="199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</row>
    <row r="846" spans="1:19" ht="19.5" customHeight="1" x14ac:dyDescent="0.2">
      <c r="A846" s="183"/>
      <c r="B846" s="183"/>
      <c r="C846" s="183"/>
      <c r="D846" s="183"/>
      <c r="E846" s="199"/>
      <c r="F846" s="199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</row>
    <row r="847" spans="1:19" ht="19.5" customHeight="1" x14ac:dyDescent="0.2">
      <c r="A847" s="183"/>
      <c r="B847" s="183"/>
      <c r="C847" s="183"/>
      <c r="D847" s="183"/>
      <c r="E847" s="199"/>
      <c r="F847" s="199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</row>
    <row r="848" spans="1:19" ht="19.5" customHeight="1" x14ac:dyDescent="0.2">
      <c r="A848" s="183"/>
      <c r="B848" s="183"/>
      <c r="C848" s="183"/>
      <c r="D848" s="183"/>
      <c r="E848" s="199"/>
      <c r="F848" s="199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</row>
    <row r="849" spans="1:19" ht="19.5" customHeight="1" x14ac:dyDescent="0.2">
      <c r="A849" s="183"/>
      <c r="B849" s="183"/>
      <c r="C849" s="183"/>
      <c r="D849" s="183"/>
      <c r="E849" s="199"/>
      <c r="F849" s="199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</row>
    <row r="850" spans="1:19" ht="19.5" customHeight="1" x14ac:dyDescent="0.2">
      <c r="A850" s="183"/>
      <c r="B850" s="183"/>
      <c r="C850" s="183"/>
      <c r="D850" s="183"/>
      <c r="E850" s="199"/>
      <c r="F850" s="199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</row>
    <row r="851" spans="1:19" ht="19.5" customHeight="1" x14ac:dyDescent="0.2">
      <c r="A851" s="183"/>
      <c r="B851" s="183"/>
      <c r="C851" s="183"/>
      <c r="D851" s="183"/>
      <c r="E851" s="199"/>
      <c r="F851" s="199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</row>
    <row r="852" spans="1:19" ht="19.5" customHeight="1" x14ac:dyDescent="0.2">
      <c r="A852" s="183"/>
      <c r="B852" s="183"/>
      <c r="C852" s="183"/>
      <c r="D852" s="183"/>
      <c r="E852" s="199"/>
      <c r="F852" s="199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</row>
    <row r="853" spans="1:19" ht="19.5" customHeight="1" x14ac:dyDescent="0.2">
      <c r="A853" s="183"/>
      <c r="B853" s="183"/>
      <c r="C853" s="183"/>
      <c r="D853" s="183"/>
      <c r="E853" s="199"/>
      <c r="F853" s="199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</row>
    <row r="854" spans="1:19" ht="19.5" customHeight="1" x14ac:dyDescent="0.2">
      <c r="A854" s="183"/>
      <c r="B854" s="183"/>
      <c r="C854" s="183"/>
      <c r="D854" s="183"/>
      <c r="E854" s="199"/>
      <c r="F854" s="199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</row>
    <row r="855" spans="1:19" ht="19.5" customHeight="1" x14ac:dyDescent="0.2">
      <c r="A855" s="183"/>
      <c r="B855" s="183"/>
      <c r="C855" s="183"/>
      <c r="D855" s="183"/>
      <c r="E855" s="199"/>
      <c r="F855" s="199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</row>
    <row r="856" spans="1:19" ht="19.5" customHeight="1" x14ac:dyDescent="0.2">
      <c r="A856" s="183"/>
      <c r="B856" s="183"/>
      <c r="C856" s="183"/>
      <c r="D856" s="183"/>
      <c r="E856" s="199"/>
      <c r="F856" s="199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</row>
    <row r="857" spans="1:19" ht="19.5" customHeight="1" x14ac:dyDescent="0.2">
      <c r="A857" s="183"/>
      <c r="B857" s="183"/>
      <c r="C857" s="183"/>
      <c r="D857" s="183"/>
      <c r="E857" s="199"/>
      <c r="F857" s="199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</row>
    <row r="858" spans="1:19" ht="19.5" customHeight="1" x14ac:dyDescent="0.2">
      <c r="A858" s="183"/>
      <c r="B858" s="183"/>
      <c r="C858" s="183"/>
      <c r="D858" s="183"/>
      <c r="E858" s="199"/>
      <c r="F858" s="199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</row>
    <row r="859" spans="1:19" ht="19.5" customHeight="1" x14ac:dyDescent="0.2">
      <c r="A859" s="183"/>
      <c r="B859" s="183"/>
      <c r="C859" s="183"/>
      <c r="D859" s="183"/>
      <c r="E859" s="199"/>
      <c r="F859" s="199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</row>
    <row r="860" spans="1:19" ht="19.5" customHeight="1" x14ac:dyDescent="0.2">
      <c r="A860" s="183"/>
      <c r="B860" s="183"/>
      <c r="C860" s="183"/>
      <c r="D860" s="183"/>
      <c r="E860" s="199"/>
      <c r="F860" s="199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</row>
    <row r="861" spans="1:19" ht="19.5" customHeight="1" x14ac:dyDescent="0.2">
      <c r="A861" s="183"/>
      <c r="B861" s="183"/>
      <c r="C861" s="183"/>
      <c r="D861" s="183"/>
      <c r="E861" s="199"/>
      <c r="F861" s="199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</row>
    <row r="862" spans="1:19" ht="19.5" customHeight="1" x14ac:dyDescent="0.2">
      <c r="A862" s="183"/>
      <c r="B862" s="183"/>
      <c r="C862" s="183"/>
      <c r="D862" s="183"/>
      <c r="E862" s="199"/>
      <c r="F862" s="199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</row>
    <row r="863" spans="1:19" ht="19.5" customHeight="1" x14ac:dyDescent="0.2">
      <c r="A863" s="183"/>
      <c r="B863" s="183"/>
      <c r="C863" s="183"/>
      <c r="D863" s="183"/>
      <c r="E863" s="199"/>
      <c r="F863" s="199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</row>
    <row r="864" spans="1:19" ht="19.5" customHeight="1" x14ac:dyDescent="0.2">
      <c r="A864" s="183"/>
      <c r="B864" s="183"/>
      <c r="C864" s="183"/>
      <c r="D864" s="183"/>
      <c r="E864" s="199"/>
      <c r="F864" s="199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</row>
    <row r="865" spans="1:19" ht="19.5" customHeight="1" x14ac:dyDescent="0.2">
      <c r="A865" s="183"/>
      <c r="B865" s="183"/>
      <c r="C865" s="183"/>
      <c r="D865" s="183"/>
      <c r="E865" s="199"/>
      <c r="F865" s="199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</row>
    <row r="866" spans="1:19" ht="19.5" customHeight="1" x14ac:dyDescent="0.2">
      <c r="A866" s="183"/>
      <c r="B866" s="183"/>
      <c r="C866" s="183"/>
      <c r="D866" s="183"/>
      <c r="E866" s="199"/>
      <c r="F866" s="199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</row>
    <row r="867" spans="1:19" ht="19.5" customHeight="1" x14ac:dyDescent="0.2">
      <c r="A867" s="183"/>
      <c r="B867" s="183"/>
      <c r="C867" s="183"/>
      <c r="D867" s="183"/>
      <c r="E867" s="199"/>
      <c r="F867" s="199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</row>
    <row r="868" spans="1:19" ht="19.5" customHeight="1" x14ac:dyDescent="0.2">
      <c r="A868" s="183"/>
      <c r="B868" s="183"/>
      <c r="C868" s="183"/>
      <c r="D868" s="183"/>
      <c r="E868" s="199"/>
      <c r="F868" s="199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</row>
    <row r="869" spans="1:19" ht="19.5" customHeight="1" x14ac:dyDescent="0.2">
      <c r="A869" s="183"/>
      <c r="B869" s="183"/>
      <c r="C869" s="183"/>
      <c r="D869" s="183"/>
      <c r="E869" s="199"/>
      <c r="F869" s="199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</row>
    <row r="870" spans="1:19" ht="19.5" customHeight="1" x14ac:dyDescent="0.2">
      <c r="A870" s="183"/>
      <c r="B870" s="183"/>
      <c r="C870" s="183"/>
      <c r="D870" s="183"/>
      <c r="E870" s="199"/>
      <c r="F870" s="199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</row>
    <row r="871" spans="1:19" ht="19.5" customHeight="1" x14ac:dyDescent="0.2">
      <c r="A871" s="183"/>
      <c r="B871" s="183"/>
      <c r="C871" s="183"/>
      <c r="D871" s="183"/>
      <c r="E871" s="199"/>
      <c r="F871" s="199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</row>
    <row r="872" spans="1:19" ht="19.5" customHeight="1" x14ac:dyDescent="0.2">
      <c r="A872" s="183"/>
      <c r="B872" s="183"/>
      <c r="C872" s="183"/>
      <c r="D872" s="183"/>
      <c r="E872" s="199"/>
      <c r="F872" s="199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</row>
    <row r="873" spans="1:19" ht="19.5" customHeight="1" x14ac:dyDescent="0.2">
      <c r="A873" s="183"/>
      <c r="B873" s="183"/>
      <c r="C873" s="183"/>
      <c r="D873" s="183"/>
      <c r="E873" s="199"/>
      <c r="F873" s="199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</row>
    <row r="874" spans="1:19" ht="19.5" customHeight="1" x14ac:dyDescent="0.2">
      <c r="A874" s="183"/>
      <c r="B874" s="183"/>
      <c r="C874" s="183"/>
      <c r="D874" s="183"/>
      <c r="E874" s="199"/>
      <c r="F874" s="199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</row>
    <row r="875" spans="1:19" ht="19.5" customHeight="1" x14ac:dyDescent="0.2">
      <c r="A875" s="183"/>
      <c r="B875" s="183"/>
      <c r="C875" s="183"/>
      <c r="D875" s="183"/>
      <c r="E875" s="199"/>
      <c r="F875" s="199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</row>
    <row r="876" spans="1:19" ht="19.5" customHeight="1" x14ac:dyDescent="0.2">
      <c r="A876" s="183"/>
      <c r="B876" s="183"/>
      <c r="C876" s="183"/>
      <c r="D876" s="183"/>
      <c r="E876" s="199"/>
      <c r="F876" s="199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</row>
    <row r="877" spans="1:19" ht="19.5" customHeight="1" x14ac:dyDescent="0.2">
      <c r="A877" s="183"/>
      <c r="B877" s="183"/>
      <c r="C877" s="183"/>
      <c r="D877" s="183"/>
      <c r="E877" s="199"/>
      <c r="F877" s="199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</row>
    <row r="878" spans="1:19" ht="19.5" customHeight="1" x14ac:dyDescent="0.2">
      <c r="A878" s="183"/>
      <c r="B878" s="183"/>
      <c r="C878" s="183"/>
      <c r="D878" s="183"/>
      <c r="E878" s="199"/>
      <c r="F878" s="199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</row>
    <row r="879" spans="1:19" ht="19.5" customHeight="1" x14ac:dyDescent="0.2">
      <c r="A879" s="183"/>
      <c r="B879" s="183"/>
      <c r="C879" s="183"/>
      <c r="D879" s="183"/>
      <c r="E879" s="199"/>
      <c r="F879" s="199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</row>
    <row r="880" spans="1:19" ht="19.5" customHeight="1" x14ac:dyDescent="0.2">
      <c r="A880" s="183"/>
      <c r="B880" s="183"/>
      <c r="C880" s="183"/>
      <c r="D880" s="183"/>
      <c r="E880" s="199"/>
      <c r="F880" s="199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</row>
    <row r="881" spans="1:19" ht="19.5" customHeight="1" x14ac:dyDescent="0.2">
      <c r="A881" s="183"/>
      <c r="B881" s="183"/>
      <c r="C881" s="183"/>
      <c r="D881" s="183"/>
      <c r="E881" s="199"/>
      <c r="F881" s="199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</row>
    <row r="882" spans="1:19" ht="19.5" customHeight="1" x14ac:dyDescent="0.2">
      <c r="A882" s="183"/>
      <c r="B882" s="183"/>
      <c r="C882" s="183"/>
      <c r="D882" s="183"/>
      <c r="E882" s="199"/>
      <c r="F882" s="199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</row>
    <row r="883" spans="1:19" ht="19.5" customHeight="1" x14ac:dyDescent="0.2">
      <c r="A883" s="183"/>
      <c r="B883" s="183"/>
      <c r="C883" s="183"/>
      <c r="D883" s="183"/>
      <c r="E883" s="199"/>
      <c r="F883" s="199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</row>
    <row r="884" spans="1:19" ht="19.5" customHeight="1" x14ac:dyDescent="0.2">
      <c r="A884" s="183"/>
      <c r="B884" s="183"/>
      <c r="C884" s="183"/>
      <c r="D884" s="183"/>
      <c r="E884" s="199"/>
      <c r="F884" s="199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</row>
    <row r="885" spans="1:19" ht="19.5" customHeight="1" x14ac:dyDescent="0.2">
      <c r="A885" s="183"/>
      <c r="B885" s="183"/>
      <c r="C885" s="183"/>
      <c r="D885" s="183"/>
      <c r="E885" s="199"/>
      <c r="F885" s="199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</row>
    <row r="886" spans="1:19" ht="19.5" customHeight="1" x14ac:dyDescent="0.2">
      <c r="A886" s="183"/>
      <c r="B886" s="183"/>
      <c r="C886" s="183"/>
      <c r="D886" s="183"/>
      <c r="E886" s="199"/>
      <c r="F886" s="199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</row>
    <row r="887" spans="1:19" ht="19.5" customHeight="1" x14ac:dyDescent="0.2">
      <c r="A887" s="183"/>
      <c r="B887" s="183"/>
      <c r="C887" s="183"/>
      <c r="D887" s="183"/>
      <c r="E887" s="199"/>
      <c r="F887" s="199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</row>
    <row r="888" spans="1:19" ht="19.5" customHeight="1" x14ac:dyDescent="0.2">
      <c r="A888" s="183"/>
      <c r="B888" s="183"/>
      <c r="C888" s="183"/>
      <c r="D888" s="183"/>
      <c r="E888" s="199"/>
      <c r="F888" s="199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</row>
    <row r="889" spans="1:19" ht="19.5" customHeight="1" x14ac:dyDescent="0.2">
      <c r="A889" s="183"/>
      <c r="B889" s="183"/>
      <c r="C889" s="183"/>
      <c r="D889" s="183"/>
      <c r="E889" s="199"/>
      <c r="F889" s="199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</row>
    <row r="890" spans="1:19" ht="19.5" customHeight="1" x14ac:dyDescent="0.2">
      <c r="A890" s="183"/>
      <c r="B890" s="183"/>
      <c r="C890" s="183"/>
      <c r="D890" s="183"/>
      <c r="E890" s="199"/>
      <c r="F890" s="199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</row>
    <row r="891" spans="1:19" ht="19.5" customHeight="1" x14ac:dyDescent="0.2">
      <c r="A891" s="183"/>
      <c r="B891" s="183"/>
      <c r="C891" s="183"/>
      <c r="D891" s="183"/>
      <c r="E891" s="199"/>
      <c r="F891" s="199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</row>
    <row r="892" spans="1:19" ht="19.5" customHeight="1" x14ac:dyDescent="0.2">
      <c r="A892" s="183"/>
      <c r="B892" s="183"/>
      <c r="C892" s="183"/>
      <c r="D892" s="183"/>
      <c r="E892" s="199"/>
      <c r="F892" s="199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</row>
    <row r="893" spans="1:19" ht="19.5" customHeight="1" x14ac:dyDescent="0.2">
      <c r="A893" s="183"/>
      <c r="B893" s="183"/>
      <c r="C893" s="183"/>
      <c r="D893" s="183"/>
      <c r="E893" s="199"/>
      <c r="F893" s="199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</row>
    <row r="894" spans="1:19" ht="19.5" customHeight="1" x14ac:dyDescent="0.2">
      <c r="A894" s="183"/>
      <c r="B894" s="183"/>
      <c r="C894" s="183"/>
      <c r="D894" s="183"/>
      <c r="E894" s="199"/>
      <c r="F894" s="199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</row>
    <row r="895" spans="1:19" ht="19.5" customHeight="1" x14ac:dyDescent="0.2">
      <c r="A895" s="183"/>
      <c r="B895" s="183"/>
      <c r="C895" s="183"/>
      <c r="D895" s="183"/>
      <c r="E895" s="199"/>
      <c r="F895" s="199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</row>
    <row r="896" spans="1:19" ht="19.5" customHeight="1" x14ac:dyDescent="0.2">
      <c r="A896" s="183"/>
      <c r="B896" s="183"/>
      <c r="C896" s="183"/>
      <c r="D896" s="183"/>
      <c r="E896" s="199"/>
      <c r="F896" s="199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</row>
    <row r="897" spans="1:19" ht="19.5" customHeight="1" x14ac:dyDescent="0.2">
      <c r="A897" s="183"/>
      <c r="B897" s="183"/>
      <c r="C897" s="183"/>
      <c r="D897" s="183"/>
      <c r="E897" s="199"/>
      <c r="F897" s="199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</row>
    <row r="898" spans="1:19" ht="19.5" customHeight="1" x14ac:dyDescent="0.2">
      <c r="A898" s="183"/>
      <c r="B898" s="183"/>
      <c r="C898" s="183"/>
      <c r="D898" s="183"/>
      <c r="E898" s="199"/>
      <c r="F898" s="199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</row>
    <row r="899" spans="1:19" ht="19.5" customHeight="1" x14ac:dyDescent="0.2">
      <c r="A899" s="183"/>
      <c r="B899" s="183"/>
      <c r="C899" s="183"/>
      <c r="D899" s="183"/>
      <c r="E899" s="199"/>
      <c r="F899" s="199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</row>
    <row r="900" spans="1:19" ht="19.5" customHeight="1" x14ac:dyDescent="0.2">
      <c r="A900" s="183"/>
      <c r="B900" s="183"/>
      <c r="C900" s="183"/>
      <c r="D900" s="183"/>
      <c r="E900" s="199"/>
      <c r="F900" s="199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</row>
    <row r="901" spans="1:19" ht="19.5" customHeight="1" x14ac:dyDescent="0.2">
      <c r="A901" s="183"/>
      <c r="B901" s="183"/>
      <c r="C901" s="183"/>
      <c r="D901" s="183"/>
      <c r="E901" s="199"/>
      <c r="F901" s="199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</row>
    <row r="902" spans="1:19" ht="19.5" customHeight="1" x14ac:dyDescent="0.2">
      <c r="A902" s="183"/>
      <c r="B902" s="183"/>
      <c r="C902" s="183"/>
      <c r="D902" s="183"/>
      <c r="E902" s="199"/>
      <c r="F902" s="199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</row>
    <row r="903" spans="1:19" ht="19.5" customHeight="1" x14ac:dyDescent="0.2">
      <c r="A903" s="183"/>
      <c r="B903" s="183"/>
      <c r="C903" s="183"/>
      <c r="D903" s="183"/>
      <c r="E903" s="199"/>
      <c r="F903" s="199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</row>
    <row r="904" spans="1:19" ht="19.5" customHeight="1" x14ac:dyDescent="0.2">
      <c r="A904" s="183"/>
      <c r="B904" s="183"/>
      <c r="C904" s="183"/>
      <c r="D904" s="183"/>
      <c r="E904" s="199"/>
      <c r="F904" s="199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</row>
    <row r="905" spans="1:19" ht="19.5" customHeight="1" x14ac:dyDescent="0.2">
      <c r="A905" s="183"/>
      <c r="B905" s="183"/>
      <c r="C905" s="183"/>
      <c r="D905" s="183"/>
      <c r="E905" s="199"/>
      <c r="F905" s="199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</row>
    <row r="906" spans="1:19" ht="19.5" customHeight="1" x14ac:dyDescent="0.2">
      <c r="A906" s="183"/>
      <c r="B906" s="183"/>
      <c r="C906" s="183"/>
      <c r="D906" s="183"/>
      <c r="E906" s="199"/>
      <c r="F906" s="199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</row>
    <row r="907" spans="1:19" ht="19.5" customHeight="1" x14ac:dyDescent="0.2">
      <c r="A907" s="183"/>
      <c r="B907" s="183"/>
      <c r="C907" s="183"/>
      <c r="D907" s="183"/>
      <c r="E907" s="199"/>
      <c r="F907" s="199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</row>
    <row r="908" spans="1:19" ht="19.5" customHeight="1" x14ac:dyDescent="0.2">
      <c r="A908" s="183"/>
      <c r="B908" s="183"/>
      <c r="C908" s="183"/>
      <c r="D908" s="183"/>
      <c r="E908" s="199"/>
      <c r="F908" s="199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</row>
    <row r="909" spans="1:19" ht="19.5" customHeight="1" x14ac:dyDescent="0.2">
      <c r="A909" s="183"/>
      <c r="B909" s="183"/>
      <c r="C909" s="183"/>
      <c r="D909" s="183"/>
      <c r="E909" s="199"/>
      <c r="F909" s="199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</row>
    <row r="910" spans="1:19" ht="19.5" customHeight="1" x14ac:dyDescent="0.2">
      <c r="A910" s="183"/>
      <c r="B910" s="183"/>
      <c r="C910" s="183"/>
      <c r="D910" s="183"/>
      <c r="E910" s="199"/>
      <c r="F910" s="199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</row>
    <row r="911" spans="1:19" ht="19.5" customHeight="1" x14ac:dyDescent="0.2">
      <c r="A911" s="183"/>
      <c r="B911" s="183"/>
      <c r="C911" s="183"/>
      <c r="D911" s="183"/>
      <c r="E911" s="199"/>
      <c r="F911" s="199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</row>
    <row r="912" spans="1:19" ht="19.5" customHeight="1" x14ac:dyDescent="0.2">
      <c r="A912" s="183"/>
      <c r="B912" s="183"/>
      <c r="C912" s="183"/>
      <c r="D912" s="183"/>
      <c r="E912" s="199"/>
      <c r="F912" s="199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</row>
    <row r="913" spans="1:19" ht="19.5" customHeight="1" x14ac:dyDescent="0.2">
      <c r="A913" s="183"/>
      <c r="B913" s="183"/>
      <c r="C913" s="183"/>
      <c r="D913" s="183"/>
      <c r="E913" s="199"/>
      <c r="F913" s="199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</row>
    <row r="914" spans="1:19" ht="19.5" customHeight="1" x14ac:dyDescent="0.2">
      <c r="A914" s="183"/>
      <c r="B914" s="183"/>
      <c r="C914" s="183"/>
      <c r="D914" s="183"/>
      <c r="E914" s="199"/>
      <c r="F914" s="199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</row>
    <row r="915" spans="1:19" ht="19.5" customHeight="1" x14ac:dyDescent="0.2">
      <c r="A915" s="183"/>
      <c r="B915" s="183"/>
      <c r="C915" s="183"/>
      <c r="D915" s="183"/>
      <c r="E915" s="199"/>
      <c r="F915" s="199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</row>
    <row r="916" spans="1:19" ht="19.5" customHeight="1" x14ac:dyDescent="0.2">
      <c r="A916" s="183"/>
      <c r="B916" s="183"/>
      <c r="C916" s="183"/>
      <c r="D916" s="183"/>
      <c r="E916" s="199"/>
      <c r="F916" s="199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</row>
    <row r="917" spans="1:19" ht="19.5" customHeight="1" x14ac:dyDescent="0.2">
      <c r="A917" s="183"/>
      <c r="B917" s="183"/>
      <c r="C917" s="183"/>
      <c r="D917" s="183"/>
      <c r="E917" s="199"/>
      <c r="F917" s="199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</row>
    <row r="918" spans="1:19" ht="19.5" customHeight="1" x14ac:dyDescent="0.2">
      <c r="A918" s="183"/>
      <c r="B918" s="183"/>
      <c r="C918" s="183"/>
      <c r="D918" s="183"/>
      <c r="E918" s="199"/>
      <c r="F918" s="199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</row>
    <row r="919" spans="1:19" ht="19.5" customHeight="1" x14ac:dyDescent="0.2">
      <c r="A919" s="183"/>
      <c r="B919" s="183"/>
      <c r="C919" s="183"/>
      <c r="D919" s="183"/>
      <c r="E919" s="199"/>
      <c r="F919" s="199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</row>
    <row r="920" spans="1:19" ht="19.5" customHeight="1" x14ac:dyDescent="0.2">
      <c r="A920" s="183"/>
      <c r="B920" s="183"/>
      <c r="C920" s="183"/>
      <c r="D920" s="183"/>
      <c r="E920" s="199"/>
      <c r="F920" s="199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</row>
    <row r="921" spans="1:19" ht="19.5" customHeight="1" x14ac:dyDescent="0.2">
      <c r="A921" s="183"/>
      <c r="B921" s="183"/>
      <c r="C921" s="183"/>
      <c r="D921" s="183"/>
      <c r="E921" s="199"/>
      <c r="F921" s="199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</row>
    <row r="922" spans="1:19" ht="19.5" customHeight="1" x14ac:dyDescent="0.2">
      <c r="A922" s="183"/>
      <c r="B922" s="183"/>
      <c r="C922" s="183"/>
      <c r="D922" s="183"/>
      <c r="E922" s="199"/>
      <c r="F922" s="199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</row>
    <row r="923" spans="1:19" ht="19.5" customHeight="1" x14ac:dyDescent="0.2">
      <c r="A923" s="183"/>
      <c r="B923" s="183"/>
      <c r="C923" s="183"/>
      <c r="D923" s="183"/>
      <c r="E923" s="199"/>
      <c r="F923" s="199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</row>
    <row r="924" spans="1:19" ht="19.5" customHeight="1" x14ac:dyDescent="0.2">
      <c r="A924" s="183"/>
      <c r="B924" s="183"/>
      <c r="C924" s="183"/>
      <c r="D924" s="183"/>
      <c r="E924" s="199"/>
      <c r="F924" s="199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</row>
    <row r="925" spans="1:19" ht="19.5" customHeight="1" x14ac:dyDescent="0.2">
      <c r="A925" s="183"/>
      <c r="B925" s="183"/>
      <c r="C925" s="183"/>
      <c r="D925" s="183"/>
      <c r="E925" s="199"/>
      <c r="F925" s="199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</row>
    <row r="926" spans="1:19" ht="19.5" customHeight="1" x14ac:dyDescent="0.2">
      <c r="A926" s="183"/>
      <c r="B926" s="183"/>
      <c r="C926" s="183"/>
      <c r="D926" s="183"/>
      <c r="E926" s="199"/>
      <c r="F926" s="199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</row>
    <row r="927" spans="1:19" ht="19.5" customHeight="1" x14ac:dyDescent="0.2">
      <c r="A927" s="183"/>
      <c r="B927" s="183"/>
      <c r="C927" s="183"/>
      <c r="D927" s="183"/>
      <c r="E927" s="199"/>
      <c r="F927" s="199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</row>
    <row r="928" spans="1:19" ht="19.5" customHeight="1" x14ac:dyDescent="0.2">
      <c r="A928" s="183"/>
      <c r="B928" s="183"/>
      <c r="C928" s="183"/>
      <c r="D928" s="183"/>
      <c r="E928" s="199"/>
      <c r="F928" s="199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</row>
    <row r="929" spans="1:19" ht="19.5" customHeight="1" x14ac:dyDescent="0.2">
      <c r="A929" s="183"/>
      <c r="B929" s="183"/>
      <c r="C929" s="183"/>
      <c r="D929" s="183"/>
      <c r="E929" s="199"/>
      <c r="F929" s="199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</row>
    <row r="930" spans="1:19" ht="19.5" customHeight="1" x14ac:dyDescent="0.2">
      <c r="A930" s="183"/>
      <c r="B930" s="183"/>
      <c r="C930" s="183"/>
      <c r="D930" s="183"/>
      <c r="E930" s="199"/>
      <c r="F930" s="199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</row>
    <row r="931" spans="1:19" ht="19.5" customHeight="1" x14ac:dyDescent="0.2">
      <c r="A931" s="183"/>
      <c r="B931" s="183"/>
      <c r="C931" s="183"/>
      <c r="D931" s="183"/>
      <c r="E931" s="199"/>
      <c r="F931" s="199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</row>
    <row r="932" spans="1:19" ht="19.5" customHeight="1" x14ac:dyDescent="0.2">
      <c r="A932" s="183"/>
      <c r="B932" s="183"/>
      <c r="C932" s="183"/>
      <c r="D932" s="183"/>
      <c r="E932" s="199"/>
      <c r="F932" s="199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</row>
    <row r="933" spans="1:19" ht="19.5" customHeight="1" x14ac:dyDescent="0.2">
      <c r="A933" s="183"/>
      <c r="B933" s="183"/>
      <c r="C933" s="183"/>
      <c r="D933" s="183"/>
      <c r="E933" s="199"/>
      <c r="F933" s="199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</row>
    <row r="934" spans="1:19" ht="19.5" customHeight="1" x14ac:dyDescent="0.2">
      <c r="A934" s="183"/>
      <c r="B934" s="183"/>
      <c r="C934" s="183"/>
      <c r="D934" s="183"/>
      <c r="E934" s="199"/>
      <c r="F934" s="199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</row>
    <row r="935" spans="1:19" ht="19.5" customHeight="1" x14ac:dyDescent="0.2">
      <c r="A935" s="183"/>
      <c r="B935" s="183"/>
      <c r="C935" s="183"/>
      <c r="D935" s="183"/>
      <c r="E935" s="199"/>
      <c r="F935" s="199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</row>
    <row r="936" spans="1:19" ht="19.5" customHeight="1" x14ac:dyDescent="0.2">
      <c r="A936" s="183"/>
      <c r="B936" s="183"/>
      <c r="C936" s="183"/>
      <c r="D936" s="183"/>
      <c r="E936" s="199"/>
      <c r="F936" s="199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</row>
    <row r="937" spans="1:19" ht="19.5" customHeight="1" x14ac:dyDescent="0.2">
      <c r="A937" s="183"/>
      <c r="B937" s="183"/>
      <c r="C937" s="183"/>
      <c r="D937" s="183"/>
      <c r="E937" s="199"/>
      <c r="F937" s="199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</row>
    <row r="938" spans="1:19" ht="19.5" customHeight="1" x14ac:dyDescent="0.2">
      <c r="A938" s="183"/>
      <c r="B938" s="183"/>
      <c r="C938" s="183"/>
      <c r="D938" s="183"/>
      <c r="E938" s="199"/>
      <c r="F938" s="199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</row>
    <row r="939" spans="1:19" ht="19.5" customHeight="1" x14ac:dyDescent="0.2">
      <c r="A939" s="183"/>
      <c r="B939" s="183"/>
      <c r="C939" s="183"/>
      <c r="D939" s="183"/>
      <c r="E939" s="199"/>
      <c r="F939" s="199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</row>
    <row r="940" spans="1:19" ht="19.5" customHeight="1" x14ac:dyDescent="0.2">
      <c r="A940" s="183"/>
      <c r="B940" s="183"/>
      <c r="C940" s="183"/>
      <c r="D940" s="183"/>
      <c r="E940" s="199"/>
      <c r="F940" s="199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</row>
    <row r="941" spans="1:19" ht="19.5" customHeight="1" x14ac:dyDescent="0.2">
      <c r="A941" s="183"/>
      <c r="B941" s="183"/>
      <c r="C941" s="183"/>
      <c r="D941" s="183"/>
      <c r="E941" s="199"/>
      <c r="F941" s="199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</row>
    <row r="942" spans="1:19" ht="19.5" customHeight="1" x14ac:dyDescent="0.2">
      <c r="A942" s="183"/>
      <c r="B942" s="183"/>
      <c r="C942" s="183"/>
      <c r="D942" s="183"/>
      <c r="E942" s="199"/>
      <c r="F942" s="199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</row>
    <row r="943" spans="1:19" ht="19.5" customHeight="1" x14ac:dyDescent="0.2">
      <c r="A943" s="183"/>
      <c r="B943" s="183"/>
      <c r="C943" s="183"/>
      <c r="D943" s="183"/>
      <c r="E943" s="199"/>
      <c r="F943" s="199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</row>
    <row r="944" spans="1:19" ht="19.5" customHeight="1" x14ac:dyDescent="0.2">
      <c r="A944" s="183"/>
      <c r="B944" s="183"/>
      <c r="C944" s="183"/>
      <c r="D944" s="183"/>
      <c r="E944" s="199"/>
      <c r="F944" s="199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</row>
    <row r="945" spans="1:19" ht="19.5" customHeight="1" x14ac:dyDescent="0.2">
      <c r="A945" s="183"/>
      <c r="B945" s="183"/>
      <c r="C945" s="183"/>
      <c r="D945" s="183"/>
      <c r="E945" s="199"/>
      <c r="F945" s="199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</row>
    <row r="946" spans="1:19" ht="19.5" customHeight="1" x14ac:dyDescent="0.2">
      <c r="A946" s="183"/>
      <c r="B946" s="183"/>
      <c r="C946" s="183"/>
      <c r="D946" s="183"/>
      <c r="E946" s="199"/>
      <c r="F946" s="199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</row>
    <row r="947" spans="1:19" ht="19.5" customHeight="1" x14ac:dyDescent="0.2">
      <c r="A947" s="183"/>
      <c r="B947" s="183"/>
      <c r="C947" s="183"/>
      <c r="D947" s="183"/>
      <c r="E947" s="199"/>
      <c r="F947" s="199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</row>
    <row r="948" spans="1:19" ht="19.5" customHeight="1" x14ac:dyDescent="0.2">
      <c r="A948" s="183"/>
      <c r="B948" s="183"/>
      <c r="C948" s="183"/>
      <c r="D948" s="183"/>
      <c r="E948" s="199"/>
      <c r="F948" s="199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</row>
    <row r="949" spans="1:19" ht="19.5" customHeight="1" x14ac:dyDescent="0.2">
      <c r="A949" s="183"/>
      <c r="B949" s="183"/>
      <c r="C949" s="183"/>
      <c r="D949" s="183"/>
      <c r="E949" s="199"/>
      <c r="F949" s="199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</row>
    <row r="950" spans="1:19" ht="19.5" customHeight="1" x14ac:dyDescent="0.2">
      <c r="A950" s="183"/>
      <c r="B950" s="183"/>
      <c r="C950" s="183"/>
      <c r="D950" s="183"/>
      <c r="E950" s="199"/>
      <c r="F950" s="199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</row>
    <row r="951" spans="1:19" ht="19.5" customHeight="1" x14ac:dyDescent="0.2">
      <c r="A951" s="183"/>
      <c r="B951" s="183"/>
      <c r="C951" s="183"/>
      <c r="D951" s="183"/>
      <c r="E951" s="199"/>
      <c r="F951" s="199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</row>
    <row r="952" spans="1:19" ht="19.5" customHeight="1" x14ac:dyDescent="0.2">
      <c r="A952" s="183"/>
      <c r="B952" s="183"/>
      <c r="C952" s="183"/>
      <c r="D952" s="183"/>
      <c r="E952" s="199"/>
      <c r="F952" s="199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</row>
    <row r="953" spans="1:19" ht="19.5" customHeight="1" x14ac:dyDescent="0.2">
      <c r="A953" s="183"/>
      <c r="B953" s="183"/>
      <c r="C953" s="183"/>
      <c r="D953" s="183"/>
      <c r="E953" s="199"/>
      <c r="F953" s="199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</row>
    <row r="954" spans="1:19" ht="19.5" customHeight="1" x14ac:dyDescent="0.2">
      <c r="A954" s="183"/>
      <c r="B954" s="183"/>
      <c r="C954" s="183"/>
      <c r="D954" s="183"/>
      <c r="E954" s="199"/>
      <c r="F954" s="199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</row>
    <row r="955" spans="1:19" ht="19.5" customHeight="1" x14ac:dyDescent="0.2">
      <c r="A955" s="183"/>
      <c r="B955" s="183"/>
      <c r="C955" s="183"/>
      <c r="D955" s="183"/>
      <c r="E955" s="199"/>
      <c r="F955" s="199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</row>
    <row r="956" spans="1:19" ht="19.5" customHeight="1" x14ac:dyDescent="0.2">
      <c r="A956" s="183"/>
      <c r="B956" s="183"/>
      <c r="C956" s="183"/>
      <c r="D956" s="183"/>
      <c r="E956" s="199"/>
      <c r="F956" s="199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</row>
    <row r="957" spans="1:19" ht="19.5" customHeight="1" x14ac:dyDescent="0.2">
      <c r="A957" s="183"/>
      <c r="B957" s="183"/>
      <c r="C957" s="183"/>
      <c r="D957" s="183"/>
      <c r="E957" s="199"/>
      <c r="F957" s="199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</row>
    <row r="958" spans="1:19" ht="19.5" customHeight="1" x14ac:dyDescent="0.2">
      <c r="A958" s="183"/>
      <c r="B958" s="183"/>
      <c r="C958" s="183"/>
      <c r="D958" s="183"/>
      <c r="E958" s="199"/>
      <c r="F958" s="199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</row>
    <row r="959" spans="1:19" ht="19.5" customHeight="1" x14ac:dyDescent="0.2">
      <c r="A959" s="183"/>
      <c r="B959" s="183"/>
      <c r="C959" s="183"/>
      <c r="D959" s="183"/>
      <c r="E959" s="199"/>
      <c r="F959" s="199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</row>
    <row r="960" spans="1:19" ht="19.5" customHeight="1" x14ac:dyDescent="0.2">
      <c r="A960" s="183"/>
      <c r="B960" s="183"/>
      <c r="C960" s="183"/>
      <c r="D960" s="183"/>
      <c r="E960" s="199"/>
      <c r="F960" s="199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</row>
    <row r="961" spans="1:19" ht="19.5" customHeight="1" x14ac:dyDescent="0.2">
      <c r="A961" s="183"/>
      <c r="B961" s="183"/>
      <c r="C961" s="183"/>
      <c r="D961" s="183"/>
      <c r="E961" s="199"/>
      <c r="F961" s="199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</row>
    <row r="962" spans="1:19" ht="19.5" customHeight="1" x14ac:dyDescent="0.2">
      <c r="A962" s="183"/>
      <c r="B962" s="183"/>
      <c r="C962" s="183"/>
      <c r="D962" s="183"/>
      <c r="E962" s="199"/>
      <c r="F962" s="199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</row>
    <row r="963" spans="1:19" ht="19.5" customHeight="1" x14ac:dyDescent="0.2">
      <c r="A963" s="183"/>
      <c r="B963" s="183"/>
      <c r="C963" s="183"/>
      <c r="D963" s="183"/>
      <c r="E963" s="199"/>
      <c r="F963" s="199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</row>
    <row r="964" spans="1:19" ht="19.5" customHeight="1" x14ac:dyDescent="0.2">
      <c r="A964" s="183"/>
      <c r="B964" s="183"/>
      <c r="C964" s="183"/>
      <c r="D964" s="183"/>
      <c r="E964" s="199"/>
      <c r="F964" s="199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</row>
    <row r="965" spans="1:19" ht="19.5" customHeight="1" x14ac:dyDescent="0.2">
      <c r="A965" s="183"/>
      <c r="B965" s="183"/>
      <c r="C965" s="183"/>
      <c r="D965" s="183"/>
      <c r="E965" s="199"/>
      <c r="F965" s="199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</row>
    <row r="966" spans="1:19" ht="19.5" customHeight="1" x14ac:dyDescent="0.2">
      <c r="A966" s="183"/>
      <c r="B966" s="183"/>
      <c r="C966" s="183"/>
      <c r="D966" s="183"/>
      <c r="E966" s="199"/>
      <c r="F966" s="199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</row>
    <row r="967" spans="1:19" ht="19.5" customHeight="1" x14ac:dyDescent="0.2">
      <c r="A967" s="183"/>
      <c r="B967" s="183"/>
      <c r="C967" s="183"/>
      <c r="D967" s="183"/>
      <c r="E967" s="199"/>
      <c r="F967" s="199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</row>
    <row r="968" spans="1:19" ht="19.5" customHeight="1" x14ac:dyDescent="0.2">
      <c r="A968" s="183"/>
      <c r="B968" s="183"/>
      <c r="C968" s="183"/>
      <c r="D968" s="183"/>
      <c r="E968" s="199"/>
      <c r="F968" s="199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</row>
    <row r="969" spans="1:19" ht="19.5" customHeight="1" x14ac:dyDescent="0.2">
      <c r="A969" s="183"/>
      <c r="B969" s="183"/>
      <c r="C969" s="183"/>
      <c r="D969" s="183"/>
      <c r="E969" s="199"/>
      <c r="F969" s="199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</row>
    <row r="970" spans="1:19" ht="19.5" customHeight="1" x14ac:dyDescent="0.2">
      <c r="A970" s="183"/>
      <c r="B970" s="183"/>
      <c r="C970" s="183"/>
      <c r="D970" s="183"/>
      <c r="E970" s="199"/>
      <c r="F970" s="199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</row>
    <row r="971" spans="1:19" ht="19.5" customHeight="1" x14ac:dyDescent="0.2">
      <c r="A971" s="183"/>
      <c r="B971" s="183"/>
      <c r="C971" s="183"/>
      <c r="D971" s="183"/>
      <c r="E971" s="199"/>
      <c r="F971" s="199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</row>
    <row r="972" spans="1:19" ht="19.5" customHeight="1" x14ac:dyDescent="0.2">
      <c r="A972" s="183"/>
      <c r="B972" s="183"/>
      <c r="C972" s="183"/>
      <c r="D972" s="183"/>
      <c r="E972" s="199"/>
      <c r="F972" s="199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</row>
    <row r="973" spans="1:19" ht="19.5" customHeight="1" x14ac:dyDescent="0.2">
      <c r="A973" s="183"/>
      <c r="B973" s="183"/>
      <c r="C973" s="183"/>
      <c r="D973" s="183"/>
      <c r="E973" s="199"/>
      <c r="F973" s="199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</row>
    <row r="974" spans="1:19" ht="19.5" customHeight="1" x14ac:dyDescent="0.2">
      <c r="A974" s="183"/>
      <c r="B974" s="183"/>
      <c r="C974" s="183"/>
      <c r="D974" s="183"/>
      <c r="E974" s="199"/>
      <c r="F974" s="199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</row>
    <row r="975" spans="1:19" ht="19.5" customHeight="1" x14ac:dyDescent="0.2">
      <c r="A975" s="183"/>
      <c r="B975" s="183"/>
      <c r="C975" s="183"/>
      <c r="D975" s="183"/>
      <c r="E975" s="199"/>
      <c r="F975" s="199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</row>
    <row r="976" spans="1:19" ht="19.5" customHeight="1" x14ac:dyDescent="0.2">
      <c r="A976" s="183"/>
      <c r="B976" s="183"/>
      <c r="C976" s="183"/>
      <c r="D976" s="183"/>
      <c r="E976" s="199"/>
      <c r="F976" s="199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</row>
    <row r="977" spans="1:19" ht="19.5" customHeight="1" x14ac:dyDescent="0.2">
      <c r="A977" s="183"/>
      <c r="B977" s="183"/>
      <c r="C977" s="183"/>
      <c r="D977" s="183"/>
      <c r="E977" s="199"/>
      <c r="F977" s="199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</row>
    <row r="978" spans="1:19" ht="19.5" customHeight="1" x14ac:dyDescent="0.2">
      <c r="A978" s="183"/>
      <c r="B978" s="183"/>
      <c r="C978" s="183"/>
      <c r="D978" s="183"/>
      <c r="E978" s="199"/>
      <c r="F978" s="199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</row>
    <row r="979" spans="1:19" ht="19.5" customHeight="1" x14ac:dyDescent="0.2">
      <c r="A979" s="183"/>
      <c r="B979" s="183"/>
      <c r="C979" s="183"/>
      <c r="D979" s="183"/>
      <c r="E979" s="199"/>
      <c r="F979" s="199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</row>
    <row r="980" spans="1:19" ht="19.5" customHeight="1" x14ac:dyDescent="0.2">
      <c r="A980" s="183"/>
      <c r="B980" s="183"/>
      <c r="C980" s="183"/>
      <c r="D980" s="183"/>
      <c r="E980" s="199"/>
      <c r="F980" s="199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</row>
    <row r="981" spans="1:19" ht="19.5" customHeight="1" x14ac:dyDescent="0.2">
      <c r="A981" s="183"/>
      <c r="B981" s="183"/>
      <c r="C981" s="183"/>
      <c r="D981" s="183"/>
      <c r="E981" s="199"/>
      <c r="F981" s="199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</row>
    <row r="982" spans="1:19" ht="19.5" customHeight="1" x14ac:dyDescent="0.2">
      <c r="A982" s="183"/>
      <c r="B982" s="183"/>
      <c r="C982" s="183"/>
      <c r="D982" s="183"/>
      <c r="E982" s="199"/>
      <c r="F982" s="199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</row>
    <row r="983" spans="1:19" ht="19.5" customHeight="1" x14ac:dyDescent="0.2">
      <c r="A983" s="183"/>
      <c r="B983" s="183"/>
      <c r="C983" s="183"/>
      <c r="D983" s="183"/>
      <c r="E983" s="199"/>
      <c r="F983" s="199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</row>
    <row r="984" spans="1:19" ht="19.5" customHeight="1" x14ac:dyDescent="0.2">
      <c r="A984" s="183"/>
      <c r="B984" s="183"/>
      <c r="C984" s="183"/>
      <c r="D984" s="183"/>
      <c r="E984" s="199"/>
      <c r="F984" s="199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</row>
    <row r="985" spans="1:19" ht="19.5" customHeight="1" x14ac:dyDescent="0.2">
      <c r="A985" s="183"/>
      <c r="B985" s="183"/>
      <c r="C985" s="183"/>
      <c r="D985" s="183"/>
      <c r="E985" s="199"/>
      <c r="F985" s="199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</row>
    <row r="986" spans="1:19" ht="19.5" customHeight="1" x14ac:dyDescent="0.2">
      <c r="A986" s="183"/>
      <c r="B986" s="183"/>
      <c r="C986" s="183"/>
      <c r="D986" s="183"/>
      <c r="E986" s="199"/>
      <c r="F986" s="199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</row>
    <row r="987" spans="1:19" ht="19.5" customHeight="1" x14ac:dyDescent="0.2">
      <c r="A987" s="183"/>
      <c r="B987" s="183"/>
      <c r="C987" s="183"/>
      <c r="D987" s="183"/>
      <c r="E987" s="199"/>
      <c r="F987" s="199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</row>
    <row r="988" spans="1:19" ht="19.5" customHeight="1" x14ac:dyDescent="0.2">
      <c r="A988" s="183"/>
      <c r="B988" s="183"/>
      <c r="C988" s="183"/>
      <c r="D988" s="183"/>
      <c r="E988" s="199"/>
      <c r="F988" s="199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</row>
    <row r="989" spans="1:19" ht="19.5" customHeight="1" x14ac:dyDescent="0.2">
      <c r="A989" s="183"/>
      <c r="B989" s="183"/>
      <c r="C989" s="183"/>
      <c r="D989" s="183"/>
      <c r="E989" s="199"/>
      <c r="F989" s="199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</row>
    <row r="990" spans="1:19" ht="19.5" customHeight="1" x14ac:dyDescent="0.2">
      <c r="A990" s="183"/>
      <c r="B990" s="183"/>
      <c r="C990" s="183"/>
      <c r="D990" s="183"/>
      <c r="E990" s="199"/>
      <c r="F990" s="199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</row>
    <row r="991" spans="1:19" ht="19.5" customHeight="1" x14ac:dyDescent="0.2">
      <c r="A991" s="183"/>
      <c r="B991" s="183"/>
      <c r="C991" s="183"/>
      <c r="D991" s="183"/>
      <c r="E991" s="199"/>
      <c r="F991" s="199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</row>
    <row r="992" spans="1:19" ht="19.5" customHeight="1" x14ac:dyDescent="0.2">
      <c r="A992" s="183"/>
      <c r="B992" s="183"/>
      <c r="C992" s="183"/>
      <c r="D992" s="183"/>
      <c r="E992" s="199"/>
      <c r="F992" s="199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</row>
    <row r="993" spans="1:19" ht="19.5" customHeight="1" x14ac:dyDescent="0.2">
      <c r="A993" s="183"/>
      <c r="B993" s="183"/>
      <c r="C993" s="183"/>
      <c r="D993" s="183"/>
      <c r="E993" s="199"/>
      <c r="F993" s="199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</row>
    <row r="994" spans="1:19" ht="19.5" customHeight="1" x14ac:dyDescent="0.2">
      <c r="A994" s="183"/>
      <c r="B994" s="183"/>
      <c r="C994" s="183"/>
      <c r="D994" s="183"/>
      <c r="E994" s="199"/>
      <c r="F994" s="199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</row>
    <row r="995" spans="1:19" ht="19.5" customHeight="1" x14ac:dyDescent="0.2">
      <c r="A995" s="183"/>
      <c r="B995" s="183"/>
      <c r="C995" s="183"/>
      <c r="D995" s="183"/>
      <c r="E995" s="199"/>
      <c r="F995" s="199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</row>
    <row r="996" spans="1:19" ht="19.5" customHeight="1" x14ac:dyDescent="0.2">
      <c r="A996" s="183"/>
      <c r="B996" s="183"/>
      <c r="C996" s="183"/>
      <c r="D996" s="183"/>
      <c r="E996" s="199"/>
      <c r="F996" s="199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</row>
    <row r="997" spans="1:19" ht="19.5" customHeight="1" x14ac:dyDescent="0.2">
      <c r="A997" s="183"/>
      <c r="B997" s="183"/>
      <c r="C997" s="183"/>
      <c r="D997" s="183"/>
      <c r="E997" s="199"/>
      <c r="F997" s="199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</row>
    <row r="998" spans="1:19" ht="19.5" customHeight="1" x14ac:dyDescent="0.2">
      <c r="A998" s="183"/>
      <c r="B998" s="183"/>
      <c r="C998" s="183"/>
      <c r="D998" s="183"/>
      <c r="E998" s="199"/>
      <c r="F998" s="199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</row>
    <row r="999" spans="1:19" ht="19.5" customHeight="1" x14ac:dyDescent="0.2">
      <c r="A999" s="183"/>
      <c r="B999" s="183"/>
      <c r="C999" s="183"/>
      <c r="D999" s="183"/>
      <c r="E999" s="199"/>
      <c r="F999" s="199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</row>
    <row r="1000" spans="1:19" ht="19.5" customHeight="1" x14ac:dyDescent="0.2">
      <c r="A1000" s="183"/>
      <c r="B1000" s="183"/>
      <c r="C1000" s="183"/>
      <c r="D1000" s="183"/>
      <c r="E1000" s="199"/>
      <c r="F1000" s="199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</row>
    <row r="1001" spans="1:19" ht="19.5" customHeight="1" x14ac:dyDescent="0.2">
      <c r="A1001" s="183"/>
      <c r="B1001" s="183"/>
      <c r="C1001" s="183"/>
      <c r="D1001" s="183"/>
      <c r="E1001" s="199"/>
      <c r="F1001" s="199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3"/>
      <c r="S1001" s="183"/>
    </row>
    <row r="1002" spans="1:19" ht="19.5" customHeight="1" x14ac:dyDescent="0.2">
      <c r="A1002" s="183"/>
      <c r="B1002" s="183"/>
      <c r="C1002" s="183"/>
      <c r="D1002" s="183"/>
      <c r="E1002" s="199"/>
      <c r="F1002" s="199"/>
      <c r="G1002" s="183"/>
      <c r="H1002" s="183"/>
      <c r="I1002" s="183"/>
      <c r="J1002" s="183"/>
      <c r="K1002" s="183"/>
      <c r="L1002" s="183"/>
      <c r="M1002" s="183"/>
      <c r="N1002" s="183"/>
      <c r="O1002" s="183"/>
      <c r="P1002" s="183"/>
      <c r="Q1002" s="183"/>
      <c r="R1002" s="183"/>
      <c r="S1002" s="183"/>
    </row>
    <row r="1003" spans="1:19" ht="19.5" customHeight="1" x14ac:dyDescent="0.2">
      <c r="A1003" s="183"/>
      <c r="B1003" s="183"/>
      <c r="C1003" s="183"/>
      <c r="D1003" s="183"/>
      <c r="E1003" s="199"/>
      <c r="F1003" s="199"/>
      <c r="G1003" s="183"/>
      <c r="H1003" s="183"/>
      <c r="I1003" s="183"/>
      <c r="J1003" s="183"/>
      <c r="K1003" s="183"/>
      <c r="L1003" s="183"/>
      <c r="M1003" s="183"/>
      <c r="N1003" s="183"/>
      <c r="O1003" s="183"/>
      <c r="P1003" s="183"/>
      <c r="Q1003" s="183"/>
      <c r="R1003" s="183"/>
      <c r="S1003" s="183"/>
    </row>
  </sheetData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F58E-C316-4F8A-AB42-4FCA14582F5B}">
  <dimension ref="A1:Z29"/>
  <sheetViews>
    <sheetView workbookViewId="0">
      <selection activeCell="I4" sqref="I4"/>
    </sheetView>
  </sheetViews>
  <sheetFormatPr defaultRowHeight="12.75" outlineLevelRow="1" x14ac:dyDescent="0.2"/>
  <cols>
    <col min="1" max="1" width="7.5703125" customWidth="1"/>
    <col min="2" max="2" width="44.42578125" bestFit="1" customWidth="1"/>
    <col min="3" max="3" width="13.85546875" customWidth="1"/>
    <col min="4" max="4" width="7.7109375" customWidth="1"/>
    <col min="5" max="5" width="16.5703125" customWidth="1"/>
    <col min="6" max="7" width="18.85546875" customWidth="1"/>
  </cols>
  <sheetData>
    <row r="1" spans="1:26" ht="39" x14ac:dyDescent="0.2">
      <c r="A1" s="23" t="s">
        <v>164</v>
      </c>
      <c r="B1" s="23" t="s">
        <v>165</v>
      </c>
      <c r="C1" s="23" t="s">
        <v>7</v>
      </c>
      <c r="D1" s="24" t="s">
        <v>587</v>
      </c>
      <c r="E1" s="170" t="s">
        <v>53</v>
      </c>
      <c r="F1" s="170" t="s">
        <v>166</v>
      </c>
      <c r="G1" s="170" t="s">
        <v>586</v>
      </c>
    </row>
    <row r="2" spans="1:26" s="50" customFormat="1" ht="15.75" customHeight="1" x14ac:dyDescent="0.55000000000000004">
      <c r="A2" s="28" t="s">
        <v>198</v>
      </c>
      <c r="B2" s="29" t="s">
        <v>559</v>
      </c>
      <c r="C2" s="59"/>
      <c r="D2" s="55"/>
      <c r="E2" s="173"/>
      <c r="F2" s="174">
        <f>SUM(F3:F10)</f>
        <v>2901220.4606840219</v>
      </c>
      <c r="G2" s="174">
        <f>F2/OBRA!$D$10</f>
        <v>798.62266932872956</v>
      </c>
      <c r="H2" s="302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s="48" customFormat="1" ht="15.75" customHeight="1" outlineLevel="1" x14ac:dyDescent="0.55000000000000004">
      <c r="A3" s="53" t="s">
        <v>199</v>
      </c>
      <c r="B3" s="54" t="s">
        <v>200</v>
      </c>
      <c r="C3" s="60">
        <v>1556.9057142857143</v>
      </c>
      <c r="D3" s="56" t="s">
        <v>27</v>
      </c>
      <c r="E3" s="175">
        <f t="shared" ref="E3:E10" si="0">F3/C3</f>
        <v>121.00000000000001</v>
      </c>
      <c r="F3" s="176">
        <v>188385.59142857147</v>
      </c>
      <c r="G3" s="176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s="48" customFormat="1" ht="15.75" customHeight="1" outlineLevel="1" x14ac:dyDescent="0.55000000000000004">
      <c r="A4" s="53" t="s">
        <v>201</v>
      </c>
      <c r="B4" s="54" t="s">
        <v>202</v>
      </c>
      <c r="C4" s="60">
        <v>5449.17</v>
      </c>
      <c r="D4" s="56" t="s">
        <v>27</v>
      </c>
      <c r="E4" s="175">
        <f t="shared" si="0"/>
        <v>2.75</v>
      </c>
      <c r="F4" s="176">
        <v>14985.217500000001</v>
      </c>
      <c r="G4" s="176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s="48" customFormat="1" ht="15.75" customHeight="1" outlineLevel="1" x14ac:dyDescent="0.55000000000000004">
      <c r="A5" s="53" t="s">
        <v>516</v>
      </c>
      <c r="B5" s="54" t="s">
        <v>505</v>
      </c>
      <c r="C5" s="60">
        <v>5079.5200000000004</v>
      </c>
      <c r="D5" s="56" t="s">
        <v>186</v>
      </c>
      <c r="E5" s="175">
        <f t="shared" si="0"/>
        <v>35.200000000000003</v>
      </c>
      <c r="F5" s="176">
        <v>178799.10400000002</v>
      </c>
      <c r="G5" s="176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s="48" customFormat="1" ht="15.75" customHeight="1" outlineLevel="1" x14ac:dyDescent="0.55000000000000004">
      <c r="A6" s="53" t="s">
        <v>517</v>
      </c>
      <c r="B6" s="54" t="s">
        <v>506</v>
      </c>
      <c r="C6" s="60">
        <v>1270</v>
      </c>
      <c r="D6" s="56" t="s">
        <v>188</v>
      </c>
      <c r="E6" s="175">
        <f t="shared" si="0"/>
        <v>79.200000000000017</v>
      </c>
      <c r="F6" s="176">
        <v>100584.00000000001</v>
      </c>
      <c r="G6" s="176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s="48" customFormat="1" ht="15.75" customHeight="1" outlineLevel="1" x14ac:dyDescent="0.55000000000000004">
      <c r="A7" s="53" t="s">
        <v>518</v>
      </c>
      <c r="B7" s="54" t="s">
        <v>507</v>
      </c>
      <c r="C7" s="60">
        <v>908.19499999999994</v>
      </c>
      <c r="D7" s="56" t="s">
        <v>20</v>
      </c>
      <c r="E7" s="175">
        <f t="shared" si="0"/>
        <v>671.05731000000003</v>
      </c>
      <c r="F7" s="176">
        <v>609450.89365544997</v>
      </c>
      <c r="G7" s="176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s="48" customFormat="1" ht="15.75" customHeight="1" outlineLevel="1" x14ac:dyDescent="0.55000000000000004">
      <c r="A8" s="53" t="s">
        <v>519</v>
      </c>
      <c r="B8" s="54" t="s">
        <v>204</v>
      </c>
      <c r="C8" s="60">
        <v>81737.549999999988</v>
      </c>
      <c r="D8" s="56" t="s">
        <v>186</v>
      </c>
      <c r="E8" s="175">
        <f t="shared" si="0"/>
        <v>8.3820000000000014</v>
      </c>
      <c r="F8" s="176">
        <v>685124.14410000003</v>
      </c>
      <c r="G8" s="176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s="48" customFormat="1" ht="15.75" customHeight="1" outlineLevel="1" x14ac:dyDescent="0.55000000000000004">
      <c r="A9" s="53" t="s">
        <v>520</v>
      </c>
      <c r="B9" s="54" t="s">
        <v>509</v>
      </c>
      <c r="C9" s="60">
        <v>1</v>
      </c>
      <c r="D9" s="56" t="s">
        <v>116</v>
      </c>
      <c r="E9" s="175">
        <f t="shared" si="0"/>
        <v>17710</v>
      </c>
      <c r="F9" s="176">
        <v>17710</v>
      </c>
      <c r="G9" s="176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s="48" customFormat="1" ht="15.75" customHeight="1" outlineLevel="1" x14ac:dyDescent="0.55000000000000004">
      <c r="A10" s="53" t="s">
        <v>521</v>
      </c>
      <c r="B10" s="54" t="s">
        <v>508</v>
      </c>
      <c r="C10" s="60">
        <v>16217.01</v>
      </c>
      <c r="D10" s="56" t="s">
        <v>27</v>
      </c>
      <c r="E10" s="175">
        <f t="shared" si="0"/>
        <v>68.211187512371268</v>
      </c>
      <c r="F10" s="176">
        <v>1106181.51</v>
      </c>
      <c r="G10" s="176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s="50" customFormat="1" ht="15.75" customHeight="1" x14ac:dyDescent="0.55000000000000004">
      <c r="A11" s="28" t="s">
        <v>567</v>
      </c>
      <c r="B11" s="29" t="s">
        <v>560</v>
      </c>
      <c r="C11" s="59"/>
      <c r="D11" s="55"/>
      <c r="E11" s="173"/>
      <c r="F11" s="174">
        <f>SUM(F12:F18)</f>
        <v>3110208.4725395665</v>
      </c>
      <c r="G11" s="174">
        <f>F11/OBRA!$D$10</f>
        <v>856.15106682473663</v>
      </c>
      <c r="H11" s="30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s="48" customFormat="1" ht="15.75" customHeight="1" outlineLevel="1" x14ac:dyDescent="0.55000000000000004">
      <c r="A12" s="53" t="s">
        <v>568</v>
      </c>
      <c r="B12" s="54" t="s">
        <v>200</v>
      </c>
      <c r="C12" s="60">
        <v>2594.8428571428567</v>
      </c>
      <c r="D12" s="56" t="s">
        <v>27</v>
      </c>
      <c r="E12" s="175">
        <f t="shared" ref="E12:E18" si="1">F12/C12</f>
        <v>121.00000000000001</v>
      </c>
      <c r="F12" s="176">
        <v>313975.98571428569</v>
      </c>
      <c r="G12" s="176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s="48" customFormat="1" ht="15.75" customHeight="1" outlineLevel="1" x14ac:dyDescent="0.55000000000000004">
      <c r="A13" s="53" t="s">
        <v>569</v>
      </c>
      <c r="B13" s="54" t="s">
        <v>202</v>
      </c>
      <c r="C13" s="60">
        <v>9081.9499999999989</v>
      </c>
      <c r="D13" s="56" t="s">
        <v>27</v>
      </c>
      <c r="E13" s="175">
        <f t="shared" si="1"/>
        <v>2.7500000000000004</v>
      </c>
      <c r="F13" s="176">
        <v>24975.362499999999</v>
      </c>
      <c r="G13" s="176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s="48" customFormat="1" ht="15.75" customHeight="1" outlineLevel="1" x14ac:dyDescent="0.55000000000000004">
      <c r="A14" s="53" t="s">
        <v>570</v>
      </c>
      <c r="B14" s="54" t="s">
        <v>505</v>
      </c>
      <c r="C14" s="60">
        <v>3809.6400000000003</v>
      </c>
      <c r="D14" s="56" t="s">
        <v>562</v>
      </c>
      <c r="E14" s="175">
        <f t="shared" si="1"/>
        <v>35.199999999999996</v>
      </c>
      <c r="F14" s="176">
        <v>134099.32800000001</v>
      </c>
      <c r="G14" s="176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s="48" customFormat="1" ht="15.75" customHeight="1" outlineLevel="1" x14ac:dyDescent="0.55000000000000004">
      <c r="A15" s="53" t="s">
        <v>571</v>
      </c>
      <c r="B15" s="54" t="s">
        <v>507</v>
      </c>
      <c r="C15" s="60">
        <v>980.85059999999999</v>
      </c>
      <c r="D15" s="56" t="s">
        <v>188</v>
      </c>
      <c r="E15" s="175">
        <f t="shared" si="1"/>
        <v>704.6101755000002</v>
      </c>
      <c r="F15" s="176">
        <v>691117.31340528047</v>
      </c>
      <c r="G15" s="176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s="48" customFormat="1" ht="15.75" customHeight="1" outlineLevel="1" x14ac:dyDescent="0.55000000000000004">
      <c r="A16" s="53" t="s">
        <v>572</v>
      </c>
      <c r="B16" s="54" t="s">
        <v>204</v>
      </c>
      <c r="C16" s="60">
        <v>98085.06</v>
      </c>
      <c r="D16" s="56" t="s">
        <v>186</v>
      </c>
      <c r="E16" s="175">
        <f t="shared" si="1"/>
        <v>8.3820000000000014</v>
      </c>
      <c r="F16" s="176">
        <v>822148.97292000009</v>
      </c>
      <c r="G16" s="176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s="48" customFormat="1" ht="15.75" customHeight="1" outlineLevel="1" x14ac:dyDescent="0.55000000000000004">
      <c r="A17" s="53" t="s">
        <v>573</v>
      </c>
      <c r="B17" s="54" t="s">
        <v>509</v>
      </c>
      <c r="C17" s="60">
        <v>3632.7799999999997</v>
      </c>
      <c r="D17" s="56" t="s">
        <v>27</v>
      </c>
      <c r="E17" s="175">
        <f t="shared" si="1"/>
        <v>4.8750543660777703</v>
      </c>
      <c r="F17" s="176">
        <v>17710</v>
      </c>
      <c r="G17" s="176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s="48" customFormat="1" ht="15.75" customHeight="1" outlineLevel="1" x14ac:dyDescent="0.55000000000000004">
      <c r="A18" s="53" t="s">
        <v>574</v>
      </c>
      <c r="B18" s="54" t="s">
        <v>508</v>
      </c>
      <c r="C18" s="60">
        <v>3632.7799999999997</v>
      </c>
      <c r="D18" s="56" t="s">
        <v>27</v>
      </c>
      <c r="E18" s="175">
        <f t="shared" si="1"/>
        <v>304.5</v>
      </c>
      <c r="F18" s="176">
        <v>1106181.51</v>
      </c>
      <c r="G18" s="176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s="50" customFormat="1" ht="15.75" customHeight="1" x14ac:dyDescent="0.55000000000000004">
      <c r="A19" s="28" t="s">
        <v>575</v>
      </c>
      <c r="B19" s="29" t="s">
        <v>561</v>
      </c>
      <c r="C19" s="59"/>
      <c r="D19" s="55"/>
      <c r="E19" s="173"/>
      <c r="F19" s="174">
        <f>SUM(F20:F29)</f>
        <v>2816475.8332100003</v>
      </c>
      <c r="G19" s="174">
        <f>F19/OBRA!$D$10</f>
        <v>775.2949072638587</v>
      </c>
      <c r="H19" s="30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s="48" customFormat="1" ht="15.75" customHeight="1" outlineLevel="1" x14ac:dyDescent="0.55000000000000004">
      <c r="A20" s="53" t="s">
        <v>576</v>
      </c>
      <c r="B20" s="54" t="s">
        <v>200</v>
      </c>
      <c r="C20" s="60">
        <v>2179.6680000000001</v>
      </c>
      <c r="D20" s="56" t="s">
        <v>27</v>
      </c>
      <c r="E20" s="175">
        <f t="shared" ref="E20:E29" si="2">F20/C20</f>
        <v>121.00000000000001</v>
      </c>
      <c r="F20" s="176">
        <v>263739.82800000004</v>
      </c>
      <c r="G20" s="176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s="48" customFormat="1" ht="15.75" customHeight="1" outlineLevel="1" x14ac:dyDescent="0.55000000000000004">
      <c r="A21" s="53" t="s">
        <v>577</v>
      </c>
      <c r="B21" s="54" t="s">
        <v>202</v>
      </c>
      <c r="C21" s="60">
        <v>7628.8379999999997</v>
      </c>
      <c r="D21" s="56" t="s">
        <v>27</v>
      </c>
      <c r="E21" s="175">
        <f t="shared" si="2"/>
        <v>2.7500000000000004</v>
      </c>
      <c r="F21" s="176">
        <v>20979.304500000002</v>
      </c>
      <c r="G21" s="176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s="48" customFormat="1" ht="15.75" customHeight="1" outlineLevel="1" x14ac:dyDescent="0.55000000000000004">
      <c r="A22" s="53" t="s">
        <v>578</v>
      </c>
      <c r="B22" s="54" t="s">
        <v>505</v>
      </c>
      <c r="C22" s="60">
        <v>3809.6400000000003</v>
      </c>
      <c r="D22" s="56" t="s">
        <v>20</v>
      </c>
      <c r="E22" s="175">
        <f t="shared" si="2"/>
        <v>35.199999999999996</v>
      </c>
      <c r="F22" s="176">
        <v>134099.32800000001</v>
      </c>
      <c r="G22" s="176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s="48" customFormat="1" ht="15.75" customHeight="1" outlineLevel="1" x14ac:dyDescent="0.55000000000000004">
      <c r="A23" s="53" t="s">
        <v>579</v>
      </c>
      <c r="B23" s="54" t="s">
        <v>563</v>
      </c>
      <c r="C23" s="60">
        <v>2976.83</v>
      </c>
      <c r="D23" s="56" t="s">
        <v>27</v>
      </c>
      <c r="E23" s="175">
        <f t="shared" si="2"/>
        <v>13.530000000000001</v>
      </c>
      <c r="F23" s="176">
        <v>40276.509900000005</v>
      </c>
      <c r="G23" s="176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s="48" customFormat="1" ht="15.75" customHeight="1" outlineLevel="1" x14ac:dyDescent="0.55000000000000004">
      <c r="A24" s="53" t="s">
        <v>580</v>
      </c>
      <c r="B24" s="54" t="s">
        <v>564</v>
      </c>
      <c r="C24" s="60">
        <v>5655.9769999999999</v>
      </c>
      <c r="D24" s="56" t="s">
        <v>186</v>
      </c>
      <c r="E24" s="175">
        <f t="shared" si="2"/>
        <v>16.830000000000005</v>
      </c>
      <c r="F24" s="176">
        <v>95190.092910000021</v>
      </c>
      <c r="G24" s="176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s="48" customFormat="1" ht="15.75" customHeight="1" outlineLevel="1" x14ac:dyDescent="0.55000000000000004">
      <c r="A25" s="53" t="s">
        <v>581</v>
      </c>
      <c r="B25" s="54" t="s">
        <v>565</v>
      </c>
      <c r="C25" s="60">
        <v>7</v>
      </c>
      <c r="D25" s="56" t="s">
        <v>566</v>
      </c>
      <c r="E25" s="175">
        <f t="shared" si="2"/>
        <v>10450</v>
      </c>
      <c r="F25" s="176">
        <v>73150</v>
      </c>
      <c r="G25" s="176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s="48" customFormat="1" ht="15.75" customHeight="1" outlineLevel="1" x14ac:dyDescent="0.55000000000000004">
      <c r="A26" s="53" t="s">
        <v>582</v>
      </c>
      <c r="B26" s="54" t="s">
        <v>507</v>
      </c>
      <c r="C26" s="60">
        <v>908.19499999999994</v>
      </c>
      <c r="D26" s="56" t="s">
        <v>188</v>
      </c>
      <c r="E26" s="175">
        <f t="shared" si="2"/>
        <v>669.90000000000009</v>
      </c>
      <c r="F26" s="176">
        <v>608399.83050000004</v>
      </c>
      <c r="G26" s="176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s="48" customFormat="1" ht="15.75" customHeight="1" outlineLevel="1" x14ac:dyDescent="0.55000000000000004">
      <c r="A27" s="53" t="s">
        <v>583</v>
      </c>
      <c r="B27" s="54" t="s">
        <v>204</v>
      </c>
      <c r="C27" s="60">
        <v>54491.7</v>
      </c>
      <c r="D27" s="56" t="s">
        <v>186</v>
      </c>
      <c r="E27" s="175">
        <f t="shared" si="2"/>
        <v>8.3819999999999997</v>
      </c>
      <c r="F27" s="176">
        <v>456749.42939999996</v>
      </c>
      <c r="G27" s="176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s="48" customFormat="1" ht="15.75" customHeight="1" outlineLevel="1" x14ac:dyDescent="0.55000000000000004">
      <c r="A28" s="53" t="s">
        <v>584</v>
      </c>
      <c r="B28" s="54" t="s">
        <v>509</v>
      </c>
      <c r="C28" s="60">
        <v>1</v>
      </c>
      <c r="D28" s="56" t="s">
        <v>116</v>
      </c>
      <c r="E28" s="175">
        <f t="shared" si="2"/>
        <v>17710</v>
      </c>
      <c r="F28" s="176">
        <v>17710</v>
      </c>
      <c r="G28" s="17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s="48" customFormat="1" ht="15.75" customHeight="1" outlineLevel="1" x14ac:dyDescent="0.55000000000000004">
      <c r="A29" s="53" t="s">
        <v>585</v>
      </c>
      <c r="B29" s="54" t="s">
        <v>508</v>
      </c>
      <c r="C29" s="60">
        <v>16217.01</v>
      </c>
      <c r="D29" s="56" t="s">
        <v>27</v>
      </c>
      <c r="E29" s="175">
        <f t="shared" si="2"/>
        <v>68.211187512371268</v>
      </c>
      <c r="F29" s="176">
        <v>1106181.51</v>
      </c>
      <c r="G29" s="17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OBRA</vt:lpstr>
      <vt:lpstr>CANTEIRO</vt:lpstr>
      <vt:lpstr>EPCs</vt:lpstr>
      <vt:lpstr>CUSTOS_INDIRETOS</vt:lpstr>
      <vt:lpstr>GERENCIAMENTO_EXECUTIVO</vt:lpstr>
      <vt:lpstr>MÃO DE OBRA</vt:lpstr>
      <vt:lpstr>COMPARATIVOS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cp:lastPrinted>2024-06-18T22:16:13Z</cp:lastPrinted>
  <dcterms:created xsi:type="dcterms:W3CDTF">2020-06-25T16:50:19Z</dcterms:created>
  <dcterms:modified xsi:type="dcterms:W3CDTF">2026-02-03T13:09:37Z</dcterms:modified>
</cp:coreProperties>
</file>