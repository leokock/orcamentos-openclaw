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PLsozA9d_7ik-sBw9KcAtY2AntpK429w\Libra Haus - 09.2021\Libra Concept\03. Custo\03.5 Custo - Determinação do orçamento\"/>
    </mc:Choice>
  </mc:AlternateContent>
  <bookViews>
    <workbookView xWindow="-105" yWindow="-105" windowWidth="23250" windowHeight="12570" activeTab="1"/>
  </bookViews>
  <sheets>
    <sheet name="Gerenciamento executivo " sheetId="3" r:id="rId1"/>
    <sheet name="Executivo " sheetId="1" r:id="rId2"/>
    <sheet name="Auxiliar" sheetId="4" r:id="rId3"/>
  </sheets>
  <definedNames>
    <definedName name="_xlnm._FilterDatabase" localSheetId="2" hidden="1">Auxiliar!$A$1:$E$1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D2" i="1" l="1"/>
  <c r="D10" i="1"/>
  <c r="F17" i="3" l="1"/>
  <c r="F16" i="3"/>
  <c r="B18" i="1"/>
  <c r="B10" i="3" l="1"/>
  <c r="B17" i="3"/>
  <c r="B4" i="3"/>
  <c r="B5" i="3"/>
  <c r="B6" i="3"/>
  <c r="B7" i="3"/>
  <c r="B8" i="3"/>
  <c r="B9" i="3"/>
  <c r="B11" i="3"/>
  <c r="B12" i="3"/>
  <c r="B13" i="3"/>
  <c r="B14" i="3"/>
  <c r="B15" i="3"/>
  <c r="B16" i="3"/>
  <c r="B3" i="3"/>
  <c r="D4" i="1" l="1"/>
  <c r="C4" i="3" s="1"/>
  <c r="D17" i="1" l="1"/>
  <c r="C17" i="3" s="1"/>
  <c r="E17" i="1" l="1"/>
  <c r="E15" i="1" l="1"/>
  <c r="D15" i="1"/>
  <c r="C15" i="3" s="1"/>
  <c r="C7" i="1" l="1"/>
  <c r="C8" i="1"/>
  <c r="C4" i="1"/>
  <c r="C9" i="1"/>
  <c r="C15" i="1"/>
  <c r="C14" i="1"/>
  <c r="C17" i="1"/>
  <c r="C6" i="1"/>
  <c r="C3" i="1"/>
  <c r="C10" i="1"/>
  <c r="C12" i="1"/>
  <c r="C13" i="1"/>
  <c r="C16" i="1"/>
  <c r="C5" i="1"/>
  <c r="C11" i="1"/>
  <c r="D16" i="1" l="1"/>
  <c r="C16" i="3" s="1"/>
  <c r="D7" i="1" l="1"/>
  <c r="C7" i="3" s="1"/>
  <c r="E3" i="1" l="1"/>
  <c r="D5" i="1"/>
  <c r="C5" i="3" s="1"/>
  <c r="E4" i="1"/>
  <c r="E12" i="1"/>
  <c r="E14" i="1"/>
  <c r="E10" i="1"/>
  <c r="E8" i="1"/>
  <c r="D9" i="1"/>
  <c r="C9" i="3" s="1"/>
  <c r="E11" i="1"/>
  <c r="D11" i="1"/>
  <c r="C11" i="3" s="1"/>
  <c r="D6" i="1"/>
  <c r="C6" i="3" s="1"/>
  <c r="E2" i="1"/>
  <c r="E6" i="1" l="1"/>
  <c r="E16" i="1"/>
  <c r="D12" i="1"/>
  <c r="C12" i="3" s="1"/>
  <c r="E9" i="1"/>
  <c r="D13" i="1"/>
  <c r="C13" i="3" s="1"/>
  <c r="E13" i="1"/>
  <c r="E5" i="1"/>
  <c r="E7" i="1"/>
  <c r="D14" i="1"/>
  <c r="C14" i="3" s="1"/>
  <c r="C10" i="3"/>
  <c r="D8" i="1"/>
  <c r="C8" i="3" s="1"/>
  <c r="D3" i="1"/>
  <c r="C3" i="3" s="1"/>
  <c r="B18" i="3"/>
  <c r="E18" i="1" l="1"/>
  <c r="D18" i="1"/>
  <c r="D19" i="1" s="1"/>
  <c r="C2" i="1"/>
  <c r="C18" i="1" s="1"/>
  <c r="C18" i="3" l="1"/>
</calcChain>
</file>

<file path=xl/sharedStrings.xml><?xml version="1.0" encoding="utf-8"?>
<sst xmlns="http://schemas.openxmlformats.org/spreadsheetml/2006/main" count="108" uniqueCount="48">
  <si>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</si>
  <si>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</si>
  <si>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</si>
  <si>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</si>
  <si>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</si>
  <si>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</si>
  <si>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</si>
  <si>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</si>
  <si>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</si>
  <si>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</si>
  <si>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</si>
  <si>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</si>
  <si>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</si>
  <si>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</si>
  <si>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</si>
  <si>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</si>
  <si>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</si>
  <si>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</si>
  <si>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</si>
  <si>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Valor 1</t>
  </si>
  <si>
    <t>Valor 2</t>
  </si>
  <si>
    <t>INSTALAÇÕES ELÉTRICAS, HIDRÁULICAS, GLP E PREVENTIVAS</t>
  </si>
  <si>
    <t>CUBs</t>
  </si>
  <si>
    <t>COBERTURA</t>
  </si>
  <si>
    <t>VALOR</t>
  </si>
  <si>
    <t>240-320</t>
  </si>
  <si>
    <t xml:space="preserve">IMPREVISTOS E CONTINGÊNCIAS </t>
  </si>
  <si>
    <t>120,00 - 180,00</t>
  </si>
  <si>
    <t>160,00 - 180,00</t>
  </si>
  <si>
    <t>250,00 - 300,00</t>
  </si>
  <si>
    <t>80,00 - 140,00</t>
  </si>
  <si>
    <t xml:space="preserve">MOVIMENTAÇÃO DE TERRA </t>
  </si>
  <si>
    <t>CUB/SC</t>
  </si>
  <si>
    <t>4,00 - 7.00</t>
  </si>
  <si>
    <t>110,00 - 160,00</t>
  </si>
  <si>
    <t>230,00 - 270,00</t>
  </si>
  <si>
    <t>100,00 - 200,00</t>
  </si>
  <si>
    <t>55,00 - 65,00</t>
  </si>
  <si>
    <t>140,00 - 190,00</t>
  </si>
  <si>
    <t>60,00 - 70,00</t>
  </si>
  <si>
    <t>120,00 - 140,00</t>
  </si>
  <si>
    <t>15,00 - 30,00</t>
  </si>
  <si>
    <t>90,00 - 130,00</t>
  </si>
  <si>
    <t>VALOR / UNIDADE</t>
  </si>
  <si>
    <t>GERENCIAMENTO TÉCNICO E ADMINISTRATIVO</t>
  </si>
  <si>
    <t>LIBRA CONCEPT</t>
  </si>
  <si>
    <t>2010,00 - 2500,00</t>
  </si>
  <si>
    <t>470,00 - 520,00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</si>
</sst>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80">
    <xf numFmtId="0" fontId="0" fillId="0" borderId="0" xfId="0"/>
    <xf numFmtId="0" fontId="4" fillId="5" borderId="15" xfId="0" applyFont="1" applyFill="1" applyBorder="1" applyAlignment="1">
      <alignment horizontal="center" vertical="center"/>
    </xf>
    <xf numFmtId="0" fontId="5" fillId="0" borderId="0" xfId="0" applyFont="1"/>
    <xf numFmtId="43" fontId="4" fillId="5" borderId="19" xfId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6" fillId="3" borderId="8" xfId="0" applyFont="1" applyFill="1" applyBorder="1"/>
    <xf numFmtId="43" fontId="5" fillId="3" borderId="1" xfId="1" applyFont="1" applyFill="1" applyBorder="1" applyAlignment="1">
      <alignment horizontal="center"/>
    </xf>
    <xf numFmtId="43" fontId="5" fillId="3" borderId="7" xfId="1" applyFont="1" applyFill="1" applyBorder="1" applyAlignment="1">
      <alignment horizontal="center"/>
    </xf>
    <xf numFmtId="0" fontId="6" fillId="6" borderId="8" xfId="0" applyFont="1" applyFill="1" applyBorder="1"/>
    <xf numFmtId="43" fontId="5" fillId="6" borderId="1" xfId="1" applyFont="1" applyFill="1" applyBorder="1" applyAlignment="1">
      <alignment horizontal="center"/>
    </xf>
    <xf numFmtId="43" fontId="5" fillId="6" borderId="7" xfId="1" applyFont="1" applyFill="1" applyBorder="1" applyAlignment="1">
      <alignment horizontal="center"/>
    </xf>
    <xf numFmtId="0" fontId="4" fillId="5" borderId="11" xfId="0" applyFont="1" applyFill="1" applyBorder="1" applyAlignment="1">
      <alignment horizontal="right"/>
    </xf>
    <xf numFmtId="43" fontId="4" fillId="5" borderId="12" xfId="1" applyFont="1" applyFill="1" applyBorder="1" applyAlignment="1">
      <alignment horizontal="right"/>
    </xf>
    <xf numFmtId="43" fontId="4" fillId="5" borderId="12" xfId="0" applyNumberFormat="1" applyFont="1" applyFill="1" applyBorder="1" applyAlignment="1">
      <alignment horizontal="right"/>
    </xf>
    <xf numFmtId="43" fontId="4" fillId="5" borderId="13" xfId="0" applyNumberFormat="1" applyFont="1" applyFill="1" applyBorder="1" applyAlignment="1">
      <alignment horizontal="center"/>
    </xf>
    <xf numFmtId="43" fontId="5" fillId="0" borderId="0" xfId="1" applyFont="1"/>
    <xf numFmtId="0" fontId="5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23" xfId="0" applyFont="1" applyFill="1" applyBorder="1" applyAlignment="1">
      <alignment vertical="center"/>
    </xf>
    <xf numFmtId="43" fontId="5" fillId="6" borderId="24" xfId="1" applyFont="1" applyFill="1" applyBorder="1" applyAlignment="1">
      <alignment vertical="center"/>
    </xf>
    <xf numFmtId="10" fontId="5" fillId="6" borderId="24" xfId="2" applyNumberFormat="1" applyFont="1" applyFill="1" applyBorder="1" applyAlignment="1">
      <alignment horizontal="center" vertical="center"/>
    </xf>
    <xf numFmtId="43" fontId="5" fillId="6" borderId="24" xfId="0" applyNumberFormat="1" applyFont="1" applyFill="1" applyBorder="1" applyAlignment="1">
      <alignment vertical="center"/>
    </xf>
    <xf numFmtId="43" fontId="5" fillId="6" borderId="25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43" fontId="5" fillId="3" borderId="27" xfId="1" applyFont="1" applyFill="1" applyBorder="1" applyAlignment="1">
      <alignment vertical="center"/>
    </xf>
    <xf numFmtId="10" fontId="5" fillId="3" borderId="27" xfId="2" applyNumberFormat="1" applyFont="1" applyFill="1" applyBorder="1" applyAlignment="1">
      <alignment horizontal="center" vertical="center"/>
    </xf>
    <xf numFmtId="43" fontId="5" fillId="3" borderId="27" xfId="0" applyNumberFormat="1" applyFont="1" applyFill="1" applyBorder="1" applyAlignment="1">
      <alignment vertical="center"/>
    </xf>
    <xf numFmtId="43" fontId="5" fillId="3" borderId="28" xfId="0" applyNumberFormat="1" applyFont="1" applyFill="1" applyBorder="1" applyAlignment="1">
      <alignment vertical="center"/>
    </xf>
    <xf numFmtId="0" fontId="6" fillId="6" borderId="26" xfId="0" applyFont="1" applyFill="1" applyBorder="1" applyAlignment="1">
      <alignment vertical="center"/>
    </xf>
    <xf numFmtId="43" fontId="5" fillId="6" borderId="27" xfId="1" applyFont="1" applyFill="1" applyBorder="1" applyAlignment="1">
      <alignment vertical="center"/>
    </xf>
    <xf numFmtId="10" fontId="5" fillId="6" borderId="27" xfId="2" applyNumberFormat="1" applyFont="1" applyFill="1" applyBorder="1" applyAlignment="1">
      <alignment horizontal="center" vertical="center"/>
    </xf>
    <xf numFmtId="43" fontId="5" fillId="6" borderId="27" xfId="0" applyNumberFormat="1" applyFont="1" applyFill="1" applyBorder="1" applyAlignment="1">
      <alignment vertical="center"/>
    </xf>
    <xf numFmtId="43" fontId="5" fillId="6" borderId="28" xfId="0" applyNumberFormat="1" applyFont="1" applyFill="1" applyBorder="1" applyAlignment="1">
      <alignment vertical="center"/>
    </xf>
    <xf numFmtId="43" fontId="5" fillId="3" borderId="28" xfId="1" applyFont="1" applyFill="1" applyBorder="1" applyAlignment="1">
      <alignment vertical="center"/>
    </xf>
    <xf numFmtId="43" fontId="7" fillId="4" borderId="0" xfId="1" applyFont="1" applyFill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5" borderId="9" xfId="0" applyFont="1" applyFill="1" applyBorder="1" applyAlignment="1">
      <alignment horizontal="right" vertical="center"/>
    </xf>
    <xf numFmtId="43" fontId="4" fillId="5" borderId="2" xfId="0" applyNumberFormat="1" applyFont="1" applyFill="1" applyBorder="1" applyAlignment="1">
      <alignment horizontal="right" vertical="center"/>
    </xf>
    <xf numFmtId="43" fontId="4" fillId="5" borderId="10" xfId="0" applyNumberFormat="1" applyFont="1" applyFill="1" applyBorder="1" applyAlignment="1">
      <alignment horizontal="right" vertical="center"/>
    </xf>
    <xf numFmtId="0" fontId="4" fillId="5" borderId="11" xfId="0" applyFont="1" applyFill="1" applyBorder="1" applyAlignment="1">
      <alignment horizontal="right" vertical="center"/>
    </xf>
    <xf numFmtId="43" fontId="4" fillId="5" borderId="12" xfId="1" applyFont="1" applyFill="1" applyBorder="1" applyAlignment="1">
      <alignment horizontal="right" vertical="center"/>
    </xf>
    <xf numFmtId="17" fontId="4" fillId="5" borderId="12" xfId="0" applyNumberFormat="1" applyFont="1" applyFill="1" applyBorder="1" applyAlignment="1">
      <alignment horizontal="center" vertical="center"/>
    </xf>
    <xf numFmtId="43" fontId="4" fillId="5" borderId="21" xfId="1" applyFont="1" applyFill="1" applyBorder="1" applyAlignment="1">
      <alignment horizontal="right" vertical="center"/>
    </xf>
    <xf numFmtId="0" fontId="4" fillId="5" borderId="22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4" fontId="7" fillId="0" borderId="0" xfId="0" applyNumberFormat="1" applyFont="1" applyAlignment="1">
      <alignment vertical="center"/>
    </xf>
    <xf numFmtId="9" fontId="4" fillId="5" borderId="2" xfId="2" applyFont="1" applyFill="1" applyBorder="1" applyAlignment="1">
      <alignment horizontal="right" vertical="center"/>
    </xf>
    <xf numFmtId="14" fontId="7" fillId="0" borderId="0" xfId="0" applyNumberFormat="1" applyFont="1" applyAlignment="1">
      <alignment vertical="center"/>
    </xf>
    <xf numFmtId="14" fontId="7" fillId="0" borderId="0" xfId="1" applyNumberFormat="1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0" fontId="6" fillId="3" borderId="26" xfId="0" applyFont="1" applyFill="1" applyBorder="1" applyAlignment="1">
      <alignment vertical="center" wrapText="1"/>
    </xf>
    <xf numFmtId="0" fontId="4" fillId="5" borderId="23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vertical="center"/>
    </xf>
    <xf numFmtId="0" fontId="4" fillId="5" borderId="26" xfId="0" applyFont="1" applyFill="1" applyBorder="1" applyAlignment="1">
      <alignment horizontal="right" vertical="center"/>
    </xf>
    <xf numFmtId="0" fontId="6" fillId="3" borderId="9" xfId="0" applyFont="1" applyFill="1" applyBorder="1" applyAlignment="1">
      <alignment vertical="center"/>
    </xf>
    <xf numFmtId="43" fontId="4" fillId="5" borderId="24" xfId="1" applyFont="1" applyFill="1" applyBorder="1" applyAlignment="1">
      <alignment horizontal="right" vertical="center"/>
    </xf>
    <xf numFmtId="43" fontId="5" fillId="3" borderId="12" xfId="1" applyFont="1" applyFill="1" applyBorder="1" applyAlignment="1">
      <alignment vertical="center"/>
    </xf>
    <xf numFmtId="43" fontId="4" fillId="5" borderId="27" xfId="0" applyNumberFormat="1" applyFont="1" applyFill="1" applyBorder="1" applyAlignment="1">
      <alignment horizontal="right" vertical="center"/>
    </xf>
    <xf numFmtId="43" fontId="5" fillId="3" borderId="2" xfId="1" applyFont="1" applyFill="1" applyBorder="1" applyAlignment="1">
      <alignment vertical="center"/>
    </xf>
    <xf numFmtId="17" fontId="4" fillId="5" borderId="24" xfId="0" applyNumberFormat="1" applyFont="1" applyFill="1" applyBorder="1" applyAlignment="1">
      <alignment horizontal="center" vertical="center"/>
    </xf>
    <xf numFmtId="10" fontId="5" fillId="3" borderId="12" xfId="2" applyNumberFormat="1" applyFont="1" applyFill="1" applyBorder="1" applyAlignment="1">
      <alignment horizontal="center" vertical="center"/>
    </xf>
    <xf numFmtId="9" fontId="4" fillId="5" borderId="27" xfId="2" applyFont="1" applyFill="1" applyBorder="1" applyAlignment="1">
      <alignment horizontal="right" vertical="center"/>
    </xf>
    <xf numFmtId="10" fontId="5" fillId="3" borderId="2" xfId="2" applyNumberFormat="1" applyFont="1" applyFill="1" applyBorder="1" applyAlignment="1">
      <alignment horizontal="center" vertical="center"/>
    </xf>
    <xf numFmtId="43" fontId="5" fillId="3" borderId="21" xfId="0" applyNumberFormat="1" applyFont="1" applyFill="1" applyBorder="1" applyAlignment="1">
      <alignment vertical="center"/>
    </xf>
    <xf numFmtId="0" fontId="4" fillId="5" borderId="25" xfId="0" applyFont="1" applyFill="1" applyBorder="1" applyAlignment="1">
      <alignment horizontal="left" vertical="center"/>
    </xf>
    <xf numFmtId="43" fontId="5" fillId="3" borderId="22" xfId="0" applyNumberFormat="1" applyFont="1" applyFill="1" applyBorder="1" applyAlignment="1">
      <alignment vertical="center"/>
    </xf>
    <xf numFmtId="43" fontId="4" fillId="5" borderId="28" xfId="0" applyNumberFormat="1" applyFont="1" applyFill="1" applyBorder="1" applyAlignment="1">
      <alignment horizontal="right" vertical="center"/>
    </xf>
    <xf numFmtId="43" fontId="5" fillId="3" borderId="10" xfId="1" applyFont="1" applyFill="1" applyBorder="1" applyAlignment="1">
      <alignment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</cellXfs>
  <cellStyles count="10">
    <cellStyle name="Comma" xfId="7"/>
    <cellStyle name="Comma [0]" xfId="8"/>
    <cellStyle name="Currency" xfId="5"/>
    <cellStyle name="Currency [0]" xfId="6"/>
    <cellStyle name="Normal" xfId="0" builtinId="0"/>
    <cellStyle name="Normal 2" xfId="3"/>
    <cellStyle name="Normal 3" xfId="9"/>
    <cellStyle name="Percent" xfId="4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28913417778387E-2"/>
          <c:y val="0.14391576356724217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'Gerenciamento executivo '!$A$3:$A$17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COBERTURA</c:v>
                </c:pt>
                <c:pt idx="13">
                  <c:v>REVESTIMENTOS E ACABAMENTOS DE FACHADA</c:v>
                </c:pt>
                <c:pt idx="14">
                  <c:v>SERVIÇOS COMPLEMENTARES</c:v>
                </c:pt>
              </c:strCache>
            </c:strRef>
          </c:cat>
          <c:val>
            <c:numRef>
              <c:f>'Gerenciamento executivo '!$E$3:$E$17</c:f>
              <c:numCache>
                <c:formatCode>General</c:formatCode>
                <c:ptCount val="15"/>
                <c:pt idx="0">
                  <c:v>4</c:v>
                </c:pt>
                <c:pt idx="1">
                  <c:v>110</c:v>
                </c:pt>
                <c:pt idx="2">
                  <c:v>520</c:v>
                </c:pt>
                <c:pt idx="3">
                  <c:v>120</c:v>
                </c:pt>
                <c:pt idx="4">
                  <c:v>230</c:v>
                </c:pt>
                <c:pt idx="5">
                  <c:v>100</c:v>
                </c:pt>
                <c:pt idx="6">
                  <c:v>55</c:v>
                </c:pt>
                <c:pt idx="7">
                  <c:v>140</c:v>
                </c:pt>
                <c:pt idx="8">
                  <c:v>60</c:v>
                </c:pt>
                <c:pt idx="9">
                  <c:v>160</c:v>
                </c:pt>
                <c:pt idx="10">
                  <c:v>120</c:v>
                </c:pt>
                <c:pt idx="11">
                  <c:v>250</c:v>
                </c:pt>
                <c:pt idx="12">
                  <c:v>15</c:v>
                </c:pt>
                <c:pt idx="13">
                  <c:v>90</c:v>
                </c:pt>
                <c:pt idx="1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'Gerenciamento executivo '!$F$3:$F$18</c:f>
              <c:numCache>
                <c:formatCode>General</c:formatCode>
                <c:ptCount val="16"/>
                <c:pt idx="0">
                  <c:v>3</c:v>
                </c:pt>
                <c:pt idx="1">
                  <c:v>50</c:v>
                </c:pt>
                <c:pt idx="2">
                  <c:v>60</c:v>
                </c:pt>
                <c:pt idx="3">
                  <c:v>60</c:v>
                </c:pt>
                <c:pt idx="4">
                  <c:v>40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10</c:v>
                </c:pt>
                <c:pt idx="9">
                  <c:v>20</c:v>
                </c:pt>
                <c:pt idx="10">
                  <c:v>20</c:v>
                </c:pt>
                <c:pt idx="11">
                  <c:v>50</c:v>
                </c:pt>
                <c:pt idx="12">
                  <c:v>15</c:v>
                </c:pt>
                <c:pt idx="13">
                  <c:v>40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'!$C$3:$C$17</c:f>
              <c:numCache>
                <c:formatCode>_(* #,##0.00_);_(* \(#,##0.00\);_(* "-"??_);_(@_)</c:formatCode>
                <c:ptCount val="15"/>
                <c:pt idx="0">
                  <c:v>4.3106802158215345</c:v>
                </c:pt>
                <c:pt idx="1">
                  <c:v>168.58220417307209</c:v>
                </c:pt>
                <c:pt idx="2">
                  <c:v>433.1772921818856</c:v>
                </c:pt>
                <c:pt idx="3">
                  <c:v>134.29653104451259</c:v>
                </c:pt>
                <c:pt idx="4">
                  <c:v>191.97218797032338</c:v>
                </c:pt>
                <c:pt idx="5">
                  <c:v>196.34901135575288</c:v>
                </c:pt>
                <c:pt idx="6">
                  <c:v>44.236394185448866</c:v>
                </c:pt>
                <c:pt idx="7">
                  <c:v>129.43144716129225</c:v>
                </c:pt>
                <c:pt idx="8">
                  <c:v>58.490692062496969</c:v>
                </c:pt>
                <c:pt idx="9">
                  <c:v>169.68325585361748</c:v>
                </c:pt>
                <c:pt idx="10">
                  <c:v>102.96580597727005</c:v>
                </c:pt>
                <c:pt idx="11">
                  <c:v>207.41219055170012</c:v>
                </c:pt>
                <c:pt idx="12">
                  <c:v>19.990626375677895</c:v>
                </c:pt>
                <c:pt idx="13">
                  <c:v>118.27380110031183</c:v>
                </c:pt>
                <c:pt idx="14">
                  <c:v>35.954890441300179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'Executivo '!$A$2:$A$17</c:f>
              <c:strCache>
                <c:ptCount val="16"/>
                <c:pt idx="0">
                  <c:v>GERENCIAMENTO TÉCNICO E ADMINISTRATIVO</c:v>
                </c:pt>
                <c:pt idx="1">
                  <c:v>MOVIMENTAÇÃO DE TERRA 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COBERTURA</c:v>
                </c:pt>
                <c:pt idx="14">
                  <c:v>REVESTIMENTOS E ACABAMENTOS DE FACHADA</c:v>
                </c:pt>
                <c:pt idx="15">
                  <c:v>SERVIÇOS COMPLEMENTARES</c:v>
                </c:pt>
              </c:strCache>
            </c:strRef>
          </c:cat>
          <c:val>
            <c:numRef>
              <c:f>'Executivo '!$C$2:$C$17</c:f>
              <c:numCache>
                <c:formatCode>0.00%</c:formatCode>
                <c:ptCount val="16"/>
                <c:pt idx="0">
                  <c:v>0.11267299434534497</c:v>
                </c:pt>
                <c:pt idx="1">
                  <c:v>1.8981349304652401E-3</c:v>
                </c:pt>
                <c:pt idx="2">
                  <c:v>7.423231471016152E-2</c:v>
                </c:pt>
                <c:pt idx="3">
                  <c:v>0.1907422745850989</c:v>
                </c:pt>
                <c:pt idx="4">
                  <c:v>5.9135199980803334E-2</c:v>
                </c:pt>
                <c:pt idx="5">
                  <c:v>8.4531697416776283E-2</c:v>
                </c:pt>
                <c:pt idx="6">
                  <c:v>8.6458957370290954E-2</c:v>
                </c:pt>
                <c:pt idx="7">
                  <c:v>1.9478745997684146E-2</c:v>
                </c:pt>
                <c:pt idx="8">
                  <c:v>5.6992942797240931E-2</c:v>
                </c:pt>
                <c:pt idx="9">
                  <c:v>2.5755384336657999E-2</c:v>
                </c:pt>
                <c:pt idx="10">
                  <c:v>7.4717144145529962E-2</c:v>
                </c:pt>
                <c:pt idx="11">
                  <c:v>4.5339246518826995E-2</c:v>
                </c:pt>
                <c:pt idx="12">
                  <c:v>9.1330440714555164E-2</c:v>
                </c:pt>
                <c:pt idx="13">
                  <c:v>8.8025333139499368E-3</c:v>
                </c:pt>
                <c:pt idx="14">
                  <c:v>5.2079862570973537E-2</c:v>
                </c:pt>
                <c:pt idx="15">
                  <c:v>1.583212626563996E-2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Auxiliar!$A$2:$A$17</c:f>
              <c:strCache>
                <c:ptCount val="16"/>
                <c:pt idx="0">
                  <c:v>CUB/SC</c:v>
                </c:pt>
                <c:pt idx="1">
                  <c:v>TOTAL</c:v>
                </c:pt>
                <c:pt idx="2">
                  <c:v>SUPRAESTRUTURA</c:v>
                </c:pt>
                <c:pt idx="3">
                  <c:v>GERENCIAMENTO TÉCNICO E ADMINISTRATIVO</c:v>
                </c:pt>
                <c:pt idx="4">
                  <c:v>ESQUADRIAS, VIDROS E FERRAGENS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INFRAESTRUTURA</c:v>
                </c:pt>
                <c:pt idx="8">
                  <c:v>ACABAMENTOS EM PISO E PAREDE</c:v>
                </c:pt>
                <c:pt idx="9">
                  <c:v>REVESTIMENTOS INTERNOS EM PISO E PAREDE</c:v>
                </c:pt>
                <c:pt idx="10">
                  <c:v>PINTURA INTERNA</c:v>
                </c:pt>
                <c:pt idx="11">
                  <c:v>ALVENARIA</c:v>
                </c:pt>
                <c:pt idx="12">
                  <c:v>REVESTIMENTOS E ACABAMENTOS DE FACHADA</c:v>
                </c:pt>
                <c:pt idx="13">
                  <c:v>SERVIÇOS COMPLEMENTARES</c:v>
                </c:pt>
                <c:pt idx="14">
                  <c:v>IMPERMEABILIZAÇÃO</c:v>
                </c:pt>
                <c:pt idx="15">
                  <c:v>REVESTIMENTOS E ACABAMENTOS INTERNOS EM TETO</c:v>
                </c:pt>
              </c:strCache>
            </c:strRef>
          </c:cat>
          <c:val>
            <c:numRef>
              <c:f>Auxiliar!$C$2:$C$17</c:f>
              <c:numCache>
                <c:formatCode>0%</c:formatCode>
                <c:ptCount val="16"/>
                <c:pt idx="0" formatCode="mmm\-yy">
                  <c:v>44562</c:v>
                </c:pt>
                <c:pt idx="1">
                  <c:v>0.99999999999999978</c:v>
                </c:pt>
                <c:pt idx="2" formatCode="0.00%">
                  <c:v>0.17960509279372877</c:v>
                </c:pt>
                <c:pt idx="3" formatCode="0.00%">
                  <c:v>0.10901792453332548</c:v>
                </c:pt>
                <c:pt idx="4" formatCode="0.00%">
                  <c:v>9.6193591466489037E-2</c:v>
                </c:pt>
                <c:pt idx="5" formatCode="0.00%">
                  <c:v>8.8148360175278467E-2</c:v>
                </c:pt>
                <c:pt idx="6" formatCode="0.00%">
                  <c:v>7.1320480819493062E-2</c:v>
                </c:pt>
                <c:pt idx="7" formatCode="0.00%">
                  <c:v>6.4241522229364093E-2</c:v>
                </c:pt>
                <c:pt idx="8" formatCode="0.00%">
                  <c:v>6.3017674610795438E-2</c:v>
                </c:pt>
                <c:pt idx="9" formatCode="0.00%">
                  <c:v>5.9709272388860202E-2</c:v>
                </c:pt>
                <c:pt idx="10" formatCode="0.00%">
                  <c:v>5.2110359072696566E-2</c:v>
                </c:pt>
                <c:pt idx="11" formatCode="0.00%">
                  <c:v>5.1293680865444294E-2</c:v>
                </c:pt>
                <c:pt idx="12" formatCode="0.00%">
                  <c:v>4.896629095663195E-2</c:v>
                </c:pt>
                <c:pt idx="13" formatCode="0.00%">
                  <c:v>4.6157083283405627E-2</c:v>
                </c:pt>
                <c:pt idx="14" formatCode="0.00%">
                  <c:v>2.4068399999250055E-2</c:v>
                </c:pt>
                <c:pt idx="15" formatCode="0.00%">
                  <c:v>2.1912841437919463E-2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4-42C2-8C41-58D8757BC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457198</xdr:colOff>
      <xdr:row>1</xdr:row>
      <xdr:rowOff>126274</xdr:rowOff>
    </xdr:from>
    <xdr:to>
      <xdr:col>21</xdr:col>
      <xdr:colOff>415636</xdr:colOff>
      <xdr:row>26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0.09607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87531" y="63460"/>
          <a:ext cx="3870711" cy="224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rPr>
            <a:t>COMPARATIVO OBRAS SIMILARES</a:t>
          </a:r>
          <a:endParaRPr lang="pt-BR" sz="1400">
            <a:effectLst/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  <a:p xmlns:a="http://schemas.openxmlformats.org/drawingml/2006/main">
          <a:endParaRPr lang="pt-BR" sz="1400"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20</xdr:row>
      <xdr:rowOff>57149</xdr:rowOff>
    </xdr:from>
    <xdr:to>
      <xdr:col>4</xdr:col>
      <xdr:colOff>952502</xdr:colOff>
      <xdr:row>47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E6E583-9626-4801-9D5A-1CBBC9840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C1" zoomScale="85" zoomScaleNormal="85" workbookViewId="0">
      <selection activeCell="X11" sqref="X11"/>
    </sheetView>
  </sheetViews>
  <sheetFormatPr defaultColWidth="9.140625" defaultRowHeight="14.25"/>
  <cols>
    <col min="1" max="1" width="66.28515625" style="2" bestFit="1" customWidth="1"/>
    <col min="2" max="2" width="22.28515625" style="16" customWidth="1"/>
    <col min="3" max="3" width="16.85546875" style="2" customWidth="1"/>
    <col min="4" max="4" width="20.7109375" style="17" customWidth="1"/>
    <col min="5" max="16384" width="9.140625" style="2"/>
  </cols>
  <sheetData>
    <row r="1" spans="1:6" ht="15">
      <c r="A1" s="78" t="s">
        <v>0</v>
      </c>
      <c r="B1" s="76" t="s">
        <v>45</v>
      </c>
      <c r="C1" s="77"/>
      <c r="D1" s="1" t="s">
        <v>11</v>
      </c>
    </row>
    <row r="2" spans="1:6" ht="15">
      <c r="A2" s="79"/>
      <c r="B2" s="3" t="s">
        <v>24</v>
      </c>
      <c r="C2" s="4" t="s">
        <v>10</v>
      </c>
      <c r="D2" s="5" t="s">
        <v>10</v>
      </c>
      <c r="E2" s="2" t="s">
        <v>19</v>
      </c>
      <c r="F2" s="2" t="s">
        <v>20</v>
      </c>
    </row>
    <row r="3" spans="1:6">
      <c r="A3" s="6" t="s">
        <v>1</v>
      </c>
      <c r="B3" s="7">
        <f>'Executivo '!B3</f>
        <v>18703.05</v>
      </c>
      <c r="C3" s="7">
        <f>'Executivo '!D3</f>
        <v>4.3106802158215345</v>
      </c>
      <c r="D3" s="8" t="s">
        <v>33</v>
      </c>
      <c r="E3" s="2">
        <v>4</v>
      </c>
      <c r="F3" s="2">
        <v>3</v>
      </c>
    </row>
    <row r="4" spans="1:6">
      <c r="A4" s="9" t="s">
        <v>2</v>
      </c>
      <c r="B4" s="10">
        <f>'Executivo '!B4</f>
        <v>731439.41</v>
      </c>
      <c r="C4" s="10">
        <f>'Executivo '!D4</f>
        <v>168.58220417307209</v>
      </c>
      <c r="D4" s="11" t="s">
        <v>34</v>
      </c>
      <c r="E4" s="2">
        <v>110</v>
      </c>
      <c r="F4" s="2">
        <v>50</v>
      </c>
    </row>
    <row r="5" spans="1:6">
      <c r="A5" s="6" t="s">
        <v>3</v>
      </c>
      <c r="B5" s="7">
        <f>'Executivo '!B5</f>
        <v>1879456.64</v>
      </c>
      <c r="C5" s="7">
        <f>'Executivo '!D5</f>
        <v>433.1772921818856</v>
      </c>
      <c r="D5" s="8" t="s">
        <v>47</v>
      </c>
      <c r="E5" s="2">
        <v>520</v>
      </c>
      <c r="F5" s="2">
        <v>60</v>
      </c>
    </row>
    <row r="6" spans="1:6">
      <c r="A6" s="9" t="s">
        <v>4</v>
      </c>
      <c r="B6" s="10">
        <f>'Executivo '!B6</f>
        <v>582681.76</v>
      </c>
      <c r="C6" s="10">
        <f>'Executivo '!D6</f>
        <v>134.29653104451259</v>
      </c>
      <c r="D6" s="11" t="s">
        <v>27</v>
      </c>
      <c r="E6" s="2">
        <v>120</v>
      </c>
      <c r="F6" s="2">
        <v>60</v>
      </c>
    </row>
    <row r="7" spans="1:6">
      <c r="A7" s="6" t="s">
        <v>21</v>
      </c>
      <c r="B7" s="7">
        <f>'Executivo '!B7</f>
        <v>832923.17</v>
      </c>
      <c r="C7" s="7">
        <f>'Executivo '!D7</f>
        <v>191.97218797032338</v>
      </c>
      <c r="D7" s="8" t="s">
        <v>35</v>
      </c>
      <c r="E7" s="2">
        <v>230</v>
      </c>
      <c r="F7" s="2">
        <v>40</v>
      </c>
    </row>
    <row r="8" spans="1:6">
      <c r="A8" s="9" t="s">
        <v>16</v>
      </c>
      <c r="B8" s="10">
        <f>'Executivo '!B8</f>
        <v>851913.2</v>
      </c>
      <c r="C8" s="10">
        <f>'Executivo '!D8</f>
        <v>196.34901135575288</v>
      </c>
      <c r="D8" s="11" t="s">
        <v>36</v>
      </c>
      <c r="E8" s="2">
        <v>100</v>
      </c>
      <c r="F8" s="2">
        <v>100</v>
      </c>
    </row>
    <row r="9" spans="1:6">
      <c r="A9" s="6" t="s">
        <v>18</v>
      </c>
      <c r="B9" s="7">
        <f>'Executivo '!B9</f>
        <v>191931.54</v>
      </c>
      <c r="C9" s="7">
        <f>'Executivo '!D9</f>
        <v>44.236394185448866</v>
      </c>
      <c r="D9" s="8" t="s">
        <v>37</v>
      </c>
      <c r="E9" s="2">
        <v>55</v>
      </c>
      <c r="F9" s="2">
        <v>10</v>
      </c>
    </row>
    <row r="10" spans="1:6">
      <c r="A10" s="9" t="s">
        <v>12</v>
      </c>
      <c r="B10" s="10">
        <f>'Executivo '!B10</f>
        <v>561573.28</v>
      </c>
      <c r="C10" s="10">
        <f>'Executivo '!D10</f>
        <v>129.43144716129225</v>
      </c>
      <c r="D10" s="11" t="s">
        <v>38</v>
      </c>
      <c r="E10" s="2">
        <v>140</v>
      </c>
      <c r="F10" s="2">
        <v>50</v>
      </c>
    </row>
    <row r="11" spans="1:6">
      <c r="A11" s="6" t="s">
        <v>5</v>
      </c>
      <c r="B11" s="7">
        <f>'Executivo '!B11</f>
        <v>253777.66</v>
      </c>
      <c r="C11" s="7">
        <f>'Executivo '!D11</f>
        <v>58.490692062496969</v>
      </c>
      <c r="D11" s="8" t="s">
        <v>39</v>
      </c>
      <c r="E11" s="2">
        <v>60</v>
      </c>
      <c r="F11" s="2">
        <v>10</v>
      </c>
    </row>
    <row r="12" spans="1:6">
      <c r="A12" s="9" t="s">
        <v>13</v>
      </c>
      <c r="B12" s="10">
        <f>'Executivo '!B12</f>
        <v>736216.62</v>
      </c>
      <c r="C12" s="10">
        <f>'Executivo '!D12</f>
        <v>169.68325585361748</v>
      </c>
      <c r="D12" s="11" t="s">
        <v>28</v>
      </c>
      <c r="E12" s="2">
        <v>160</v>
      </c>
      <c r="F12" s="2">
        <v>20</v>
      </c>
    </row>
    <row r="13" spans="1:6">
      <c r="A13" s="6" t="s">
        <v>6</v>
      </c>
      <c r="B13" s="7">
        <f>'Executivo '!B13</f>
        <v>446744.95</v>
      </c>
      <c r="C13" s="7">
        <f>'Executivo '!D13</f>
        <v>102.96580597727005</v>
      </c>
      <c r="D13" s="8" t="s">
        <v>40</v>
      </c>
      <c r="E13" s="2">
        <v>120</v>
      </c>
      <c r="F13" s="2">
        <v>20</v>
      </c>
    </row>
    <row r="14" spans="1:6">
      <c r="A14" s="9" t="s">
        <v>17</v>
      </c>
      <c r="B14" s="10">
        <f>'Executivo '!B14</f>
        <v>899913.79</v>
      </c>
      <c r="C14" s="10">
        <f>'Executivo '!D14</f>
        <v>207.41219055170012</v>
      </c>
      <c r="D14" s="11" t="s">
        <v>29</v>
      </c>
      <c r="E14" s="2">
        <v>250</v>
      </c>
      <c r="F14" s="2">
        <v>50</v>
      </c>
    </row>
    <row r="15" spans="1:6">
      <c r="A15" s="6" t="s">
        <v>23</v>
      </c>
      <c r="B15" s="7">
        <f>'Executivo '!B15</f>
        <v>86734.73</v>
      </c>
      <c r="C15" s="7">
        <f>'Executivo '!D15</f>
        <v>19.990626375677895</v>
      </c>
      <c r="D15" s="8" t="s">
        <v>41</v>
      </c>
      <c r="E15" s="2">
        <v>15</v>
      </c>
      <c r="F15" s="2">
        <v>15</v>
      </c>
    </row>
    <row r="16" spans="1:6">
      <c r="A16" s="9" t="s">
        <v>14</v>
      </c>
      <c r="B16" s="10">
        <f>'Executivo '!B16</f>
        <v>513162.82</v>
      </c>
      <c r="C16" s="10">
        <f>'Executivo '!D16</f>
        <v>118.27380110031183</v>
      </c>
      <c r="D16" s="11" t="s">
        <v>42</v>
      </c>
      <c r="E16" s="2">
        <v>90</v>
      </c>
      <c r="F16" s="2">
        <f>130-90</f>
        <v>40</v>
      </c>
    </row>
    <row r="17" spans="1:6">
      <c r="A17" s="6" t="s">
        <v>15</v>
      </c>
      <c r="B17" s="7">
        <f>'Executivo '!B17</f>
        <v>156000</v>
      </c>
      <c r="C17" s="7">
        <f>'Executivo '!D17</f>
        <v>35.954890441300179</v>
      </c>
      <c r="D17" s="8" t="s">
        <v>30</v>
      </c>
      <c r="E17" s="2">
        <v>80</v>
      </c>
      <c r="F17" s="2">
        <f>140-80</f>
        <v>60</v>
      </c>
    </row>
    <row r="18" spans="1:6" ht="15.75" thickBot="1">
      <c r="A18" s="12" t="s">
        <v>7</v>
      </c>
      <c r="B18" s="13">
        <f>SUM(B3:B17)</f>
        <v>8743172.620000001</v>
      </c>
      <c r="C18" s="14">
        <f>SUM(C3:C17)</f>
        <v>2015.127010650484</v>
      </c>
      <c r="D18" s="15" t="s">
        <v>46</v>
      </c>
    </row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view="pageBreakPreview" zoomScaleNormal="115" zoomScaleSheetLayoutView="100" workbookViewId="0">
      <selection activeCell="D2" sqref="D2"/>
    </sheetView>
  </sheetViews>
  <sheetFormatPr defaultColWidth="9.140625" defaultRowHeight="12.75"/>
  <cols>
    <col min="1" max="1" width="64.42578125" style="21" bestFit="1" customWidth="1"/>
    <col min="2" max="2" width="20.140625" style="21" bestFit="1" customWidth="1"/>
    <col min="3" max="3" width="14.28515625" style="21" customWidth="1"/>
    <col min="4" max="4" width="15.140625" style="21" customWidth="1"/>
    <col min="5" max="5" width="23.140625" style="21" bestFit="1" customWidth="1"/>
    <col min="6" max="6" width="11.7109375" style="21" bestFit="1" customWidth="1"/>
    <col min="7" max="8" width="14.140625" style="21" bestFit="1" customWidth="1"/>
    <col min="9" max="9" width="9.140625" style="21" customWidth="1"/>
    <col min="10" max="16384" width="9.140625" style="21"/>
  </cols>
  <sheetData>
    <row r="1" spans="1:9" ht="22.5" customHeight="1">
      <c r="A1" s="18" t="s">
        <v>0</v>
      </c>
      <c r="B1" s="19" t="s">
        <v>8</v>
      </c>
      <c r="C1" s="19" t="s">
        <v>9</v>
      </c>
      <c r="D1" s="19" t="s">
        <v>10</v>
      </c>
      <c r="E1" s="20" t="s">
        <v>43</v>
      </c>
    </row>
    <row r="2" spans="1:9" ht="17.25" customHeight="1">
      <c r="A2" s="22" t="s">
        <v>44</v>
      </c>
      <c r="B2" s="23">
        <v>1110210.1399999999</v>
      </c>
      <c r="C2" s="24">
        <f>B2/B$18</f>
        <v>0.11267299434534497</v>
      </c>
      <c r="D2" s="25">
        <f>B2/'Executivo '!H$10</f>
        <v>255.8813073751316</v>
      </c>
      <c r="E2" s="26">
        <f>B2/H$7</f>
        <v>24135.00304347826</v>
      </c>
      <c r="G2" s="27" t="s">
        <v>25</v>
      </c>
    </row>
    <row r="3" spans="1:9" ht="17.25" customHeight="1">
      <c r="A3" s="28" t="s">
        <v>31</v>
      </c>
      <c r="B3" s="29">
        <v>18703.05</v>
      </c>
      <c r="C3" s="30">
        <f>B3/B$18</f>
        <v>1.8981349304652401E-3</v>
      </c>
      <c r="D3" s="31">
        <f>B3/'Executivo '!H$10</f>
        <v>4.3106802158215345</v>
      </c>
      <c r="E3" s="32">
        <f>B3/H$7</f>
        <v>406.58804347826083</v>
      </c>
    </row>
    <row r="4" spans="1:9" ht="16.899999999999999" customHeight="1">
      <c r="A4" s="33" t="s">
        <v>2</v>
      </c>
      <c r="B4" s="34">
        <v>731439.41</v>
      </c>
      <c r="C4" s="35">
        <f>B4/B$18</f>
        <v>7.423231471016152E-2</v>
      </c>
      <c r="D4" s="36">
        <f>B4/'Executivo '!H$10</f>
        <v>168.58220417307209</v>
      </c>
      <c r="E4" s="37">
        <f t="shared" ref="E4:E17" si="0">B4/H$7</f>
        <v>15900.856739130435</v>
      </c>
      <c r="G4" s="52"/>
    </row>
    <row r="5" spans="1:9" ht="17.25" customHeight="1">
      <c r="A5" s="28" t="s">
        <v>3</v>
      </c>
      <c r="B5" s="29">
        <v>1879456.64</v>
      </c>
      <c r="C5" s="30">
        <f>B5/B$18</f>
        <v>0.1907422745850989</v>
      </c>
      <c r="D5" s="29">
        <f>B5/'Executivo '!H$10</f>
        <v>433.1772921818856</v>
      </c>
      <c r="E5" s="38">
        <f t="shared" si="0"/>
        <v>40857.75304347826</v>
      </c>
      <c r="G5" s="52"/>
    </row>
    <row r="6" spans="1:9" ht="17.25" customHeight="1">
      <c r="A6" s="33" t="s">
        <v>4</v>
      </c>
      <c r="B6" s="34">
        <v>582681.76</v>
      </c>
      <c r="C6" s="35">
        <f>B6/B$18</f>
        <v>5.9135199980803334E-2</v>
      </c>
      <c r="D6" s="36">
        <f>B6/'Executivo '!H$10</f>
        <v>134.29653104451259</v>
      </c>
      <c r="E6" s="37">
        <f t="shared" si="0"/>
        <v>12666.994782608695</v>
      </c>
      <c r="G6" s="52"/>
    </row>
    <row r="7" spans="1:9" ht="28.5">
      <c r="A7" s="58" t="s">
        <v>21</v>
      </c>
      <c r="B7" s="29">
        <f>414991.2+283235.2+134696.77</f>
        <v>832923.17</v>
      </c>
      <c r="C7" s="30">
        <f>B7/B$18</f>
        <v>8.4531697416776283E-2</v>
      </c>
      <c r="D7" s="29">
        <f>B7/'Executivo '!H$10</f>
        <v>191.97218797032338</v>
      </c>
      <c r="E7" s="38">
        <f t="shared" si="0"/>
        <v>18107.025434782608</v>
      </c>
      <c r="G7" s="53"/>
      <c r="H7" s="21">
        <v>46</v>
      </c>
    </row>
    <row r="8" spans="1:9" ht="17.25" customHeight="1">
      <c r="A8" s="33" t="s">
        <v>16</v>
      </c>
      <c r="B8" s="34">
        <v>851913.2</v>
      </c>
      <c r="C8" s="35">
        <f>B8/B$18</f>
        <v>8.6458957370290954E-2</v>
      </c>
      <c r="D8" s="36">
        <f>B8/'Executivo '!H$10</f>
        <v>196.34901135575288</v>
      </c>
      <c r="E8" s="37">
        <f>B8/H$7</f>
        <v>18519.852173913041</v>
      </c>
    </row>
    <row r="9" spans="1:9" ht="17.25" customHeight="1">
      <c r="A9" s="28" t="s">
        <v>18</v>
      </c>
      <c r="B9" s="29">
        <v>191931.54</v>
      </c>
      <c r="C9" s="30">
        <f>B9/B$18</f>
        <v>1.9478745997684146E-2</v>
      </c>
      <c r="D9" s="29">
        <f>B9/'Executivo '!H$10</f>
        <v>44.236394185448866</v>
      </c>
      <c r="E9" s="38">
        <f t="shared" si="0"/>
        <v>4172.4247826086958</v>
      </c>
    </row>
    <row r="10" spans="1:9" ht="17.25" customHeight="1">
      <c r="A10" s="33" t="s">
        <v>12</v>
      </c>
      <c r="B10" s="34">
        <v>561573.28</v>
      </c>
      <c r="C10" s="35">
        <f>B10/B$18</f>
        <v>5.6992942797240931E-2</v>
      </c>
      <c r="D10" s="36">
        <f>B10/'Executivo '!H$10</f>
        <v>129.43144716129225</v>
      </c>
      <c r="E10" s="37">
        <f t="shared" si="0"/>
        <v>12208.114782608696</v>
      </c>
      <c r="H10" s="39">
        <v>4338.7700000000004</v>
      </c>
      <c r="I10" s="40" t="s">
        <v>12</v>
      </c>
    </row>
    <row r="11" spans="1:9" ht="17.25" customHeight="1">
      <c r="A11" s="28" t="s">
        <v>5</v>
      </c>
      <c r="B11" s="29">
        <v>253777.66</v>
      </c>
      <c r="C11" s="30">
        <f>B11/B$18</f>
        <v>2.5755384336657999E-2</v>
      </c>
      <c r="D11" s="29">
        <f>B11/'Executivo '!H$10</f>
        <v>58.490692062496969</v>
      </c>
      <c r="E11" s="38">
        <f t="shared" si="0"/>
        <v>5516.905652173913</v>
      </c>
      <c r="I11" s="41" t="s">
        <v>5</v>
      </c>
    </row>
    <row r="12" spans="1:9" ht="17.25" customHeight="1">
      <c r="A12" s="33" t="s">
        <v>13</v>
      </c>
      <c r="B12" s="34">
        <v>736216.62</v>
      </c>
      <c r="C12" s="35">
        <f>B12/B$18</f>
        <v>7.4717144145529962E-2</v>
      </c>
      <c r="D12" s="36">
        <f>B12/'Executivo '!H$10</f>
        <v>169.68325585361748</v>
      </c>
      <c r="E12" s="37">
        <f t="shared" si="0"/>
        <v>16004.709130434783</v>
      </c>
      <c r="I12" s="40" t="s">
        <v>13</v>
      </c>
    </row>
    <row r="13" spans="1:9" ht="17.25" customHeight="1">
      <c r="A13" s="28" t="s">
        <v>6</v>
      </c>
      <c r="B13" s="29">
        <v>446744.95</v>
      </c>
      <c r="C13" s="30">
        <f>B13/B$18</f>
        <v>4.5339246518826995E-2</v>
      </c>
      <c r="D13" s="29">
        <f>B13/'Executivo '!H$10</f>
        <v>102.96580597727005</v>
      </c>
      <c r="E13" s="38">
        <f t="shared" si="0"/>
        <v>9711.8467391304348</v>
      </c>
      <c r="I13" s="41" t="s">
        <v>6</v>
      </c>
    </row>
    <row r="14" spans="1:9" ht="17.25" customHeight="1">
      <c r="A14" s="33" t="s">
        <v>17</v>
      </c>
      <c r="B14" s="34">
        <v>899913.79</v>
      </c>
      <c r="C14" s="35">
        <f>B14/B$18</f>
        <v>9.1330440714555164E-2</v>
      </c>
      <c r="D14" s="36">
        <f>B14/'Executivo '!H$10</f>
        <v>207.41219055170012</v>
      </c>
      <c r="E14" s="37">
        <f t="shared" si="0"/>
        <v>19563.343260869566</v>
      </c>
      <c r="I14" s="40" t="s">
        <v>17</v>
      </c>
    </row>
    <row r="15" spans="1:9" ht="16.149999999999999" customHeight="1">
      <c r="A15" s="28" t="s">
        <v>23</v>
      </c>
      <c r="B15" s="29">
        <v>86734.73</v>
      </c>
      <c r="C15" s="30">
        <f>B15/B$18</f>
        <v>8.8025333139499368E-3</v>
      </c>
      <c r="D15" s="29">
        <f>B15/'Executivo '!H$10</f>
        <v>19.990626375677895</v>
      </c>
      <c r="E15" s="38">
        <f t="shared" ref="E15" si="1">B15/H$7</f>
        <v>1885.5376086956521</v>
      </c>
      <c r="I15" s="21" t="s">
        <v>23</v>
      </c>
    </row>
    <row r="16" spans="1:9" ht="17.25" customHeight="1">
      <c r="A16" s="33" t="s">
        <v>14</v>
      </c>
      <c r="B16" s="34">
        <v>513162.82</v>
      </c>
      <c r="C16" s="35">
        <f>B16/B$18</f>
        <v>5.2079862570973537E-2</v>
      </c>
      <c r="D16" s="36">
        <f>B16/'Executivo '!H$10</f>
        <v>118.27380110031183</v>
      </c>
      <c r="E16" s="37">
        <f t="shared" si="0"/>
        <v>11155.71347826087</v>
      </c>
      <c r="I16" s="40" t="s">
        <v>23</v>
      </c>
    </row>
    <row r="17" spans="1:9" ht="16.149999999999999" customHeight="1">
      <c r="A17" s="28" t="s">
        <v>15</v>
      </c>
      <c r="B17" s="29">
        <v>156000</v>
      </c>
      <c r="C17" s="30">
        <f>B17/B$18</f>
        <v>1.583212626563996E-2</v>
      </c>
      <c r="D17" s="29">
        <f>B17/'Executivo '!H$10</f>
        <v>35.954890441300179</v>
      </c>
      <c r="E17" s="38">
        <f t="shared" si="0"/>
        <v>3391.304347826087</v>
      </c>
      <c r="I17" s="21" t="s">
        <v>14</v>
      </c>
    </row>
    <row r="18" spans="1:9" ht="22.15" customHeight="1">
      <c r="A18" s="42" t="s">
        <v>7</v>
      </c>
      <c r="B18" s="43">
        <f>SUM(B2:B17)</f>
        <v>9853382.7600000016</v>
      </c>
      <c r="C18" s="54">
        <f>SUM(C2:C17)</f>
        <v>1</v>
      </c>
      <c r="D18" s="43">
        <f>SUM(D2:D17)</f>
        <v>2271.0083180256152</v>
      </c>
      <c r="E18" s="44">
        <f>SUM(E2:E17)</f>
        <v>214203.97304347827</v>
      </c>
      <c r="G18" s="51"/>
      <c r="H18" s="57"/>
    </row>
    <row r="19" spans="1:9" ht="22.5" customHeight="1" thickBot="1">
      <c r="A19" s="45" t="s">
        <v>32</v>
      </c>
      <c r="B19" s="46">
        <v>2428.1</v>
      </c>
      <c r="C19" s="47">
        <v>44562</v>
      </c>
      <c r="D19" s="48">
        <f>+D18/B19</f>
        <v>0.93530263087418775</v>
      </c>
      <c r="E19" s="49" t="s">
        <v>22</v>
      </c>
      <c r="H19" s="56"/>
    </row>
    <row r="20" spans="1:9" ht="15" customHeight="1">
      <c r="G20" s="50"/>
      <c r="H20" s="51"/>
    </row>
    <row r="21" spans="1:9">
      <c r="B21" s="51"/>
    </row>
    <row r="22" spans="1:9">
      <c r="G22" s="51"/>
    </row>
    <row r="23" spans="1:9">
      <c r="G23" s="51"/>
    </row>
    <row r="24" spans="1:9">
      <c r="F24" s="51"/>
    </row>
    <row r="25" spans="1:9">
      <c r="G25" s="51"/>
    </row>
    <row r="31" spans="1:9">
      <c r="G31" s="21">
        <v>494549.9</v>
      </c>
    </row>
  </sheetData>
  <pageMargins left="0.511811024" right="0.511811024" top="0.78740157499999996" bottom="0.78740157499999996" header="0.31496062000000002" footer="0.31496062000000002"/>
  <pageSetup paperSize="9" scale="67" orientation="portrait" horizontalDpi="360" verticalDpi="360" r:id="rId1"/>
  <colBreaks count="1" manualBreakCount="1">
    <brk id="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view="pageBreakPreview" zoomScaleNormal="115" zoomScaleSheetLayoutView="100" workbookViewId="0">
      <selection activeCell="C8" sqref="C8"/>
    </sheetView>
  </sheetViews>
  <sheetFormatPr defaultColWidth="9.140625" defaultRowHeight="12.75"/>
  <cols>
    <col min="1" max="1" width="64.42578125" style="21" bestFit="1" customWidth="1"/>
    <col min="2" max="2" width="20.140625" style="21" bestFit="1" customWidth="1"/>
    <col min="3" max="3" width="14.28515625" style="21" customWidth="1"/>
    <col min="4" max="4" width="15.140625" style="21" customWidth="1"/>
    <col min="5" max="5" width="23.140625" style="21" bestFit="1" customWidth="1"/>
    <col min="6" max="6" width="11.7109375" style="21" bestFit="1" customWidth="1"/>
    <col min="7" max="8" width="14.140625" style="21" bestFit="1" customWidth="1"/>
    <col min="9" max="9" width="9.140625" style="21" customWidth="1"/>
    <col min="10" max="16384" width="9.140625" style="21"/>
  </cols>
  <sheetData>
    <row r="1" spans="1:9" ht="22.5" customHeight="1">
      <c r="A1" s="18" t="s">
        <v>0</v>
      </c>
      <c r="B1" s="19" t="s">
        <v>8</v>
      </c>
      <c r="C1" s="19" t="s">
        <v>9</v>
      </c>
      <c r="D1" s="19" t="s">
        <v>10</v>
      </c>
      <c r="E1" s="20" t="s">
        <v>43</v>
      </c>
    </row>
    <row r="2" spans="1:9" ht="17.25" customHeight="1">
      <c r="A2" s="59" t="s">
        <v>32</v>
      </c>
      <c r="B2" s="63">
        <v>2428.1</v>
      </c>
      <c r="C2" s="67">
        <v>44562</v>
      </c>
      <c r="D2" s="63">
        <v>1.0837748290079265</v>
      </c>
      <c r="E2" s="72" t="s">
        <v>22</v>
      </c>
      <c r="G2" s="27" t="s">
        <v>25</v>
      </c>
    </row>
    <row r="3" spans="1:9" ht="17.25" customHeight="1">
      <c r="A3" s="61" t="s">
        <v>7</v>
      </c>
      <c r="B3" s="65">
        <v>11417532.532638751</v>
      </c>
      <c r="C3" s="69">
        <v>0.99999999999999978</v>
      </c>
      <c r="D3" s="65">
        <v>2631.5136623141461</v>
      </c>
      <c r="E3" s="74">
        <v>248207.2289704076</v>
      </c>
    </row>
    <row r="4" spans="1:9" ht="16.899999999999999" customHeight="1">
      <c r="A4" s="28" t="s">
        <v>3</v>
      </c>
      <c r="B4" s="29">
        <v>2050646.99</v>
      </c>
      <c r="C4" s="30">
        <v>0.17960509279372877</v>
      </c>
      <c r="D4" s="29">
        <v>472.63325550789733</v>
      </c>
      <c r="E4" s="38">
        <v>44579.282391304347</v>
      </c>
      <c r="G4" s="52"/>
    </row>
    <row r="5" spans="1:9" ht="17.25" customHeight="1">
      <c r="A5" s="33" t="s">
        <v>44</v>
      </c>
      <c r="B5" s="34">
        <v>1244715.7</v>
      </c>
      <c r="C5" s="35">
        <v>0.10901792453332548</v>
      </c>
      <c r="D5" s="36">
        <v>286.88215784657859</v>
      </c>
      <c r="E5" s="37">
        <v>27059.036956521737</v>
      </c>
      <c r="G5" s="52"/>
    </row>
    <row r="6" spans="1:9" ht="17.25" customHeight="1">
      <c r="A6" s="33" t="s">
        <v>17</v>
      </c>
      <c r="B6" s="34">
        <v>1098293.46</v>
      </c>
      <c r="C6" s="35">
        <v>9.6193591466489037E-2</v>
      </c>
      <c r="D6" s="36">
        <v>253.13475017113143</v>
      </c>
      <c r="E6" s="37">
        <v>23875.944782608694</v>
      </c>
      <c r="G6" s="52"/>
    </row>
    <row r="7" spans="1:9" ht="28.5">
      <c r="A7" s="58" t="s">
        <v>21</v>
      </c>
      <c r="B7" s="29">
        <v>1006436.77</v>
      </c>
      <c r="C7" s="30">
        <v>8.8148360175278467E-2</v>
      </c>
      <c r="D7" s="29">
        <v>231.96361411183352</v>
      </c>
      <c r="E7" s="38">
        <v>21879.060217391303</v>
      </c>
      <c r="G7" s="53"/>
      <c r="H7" s="21">
        <v>46</v>
      </c>
    </row>
    <row r="8" spans="1:9" ht="17.25" customHeight="1">
      <c r="A8" s="33" t="s">
        <v>16</v>
      </c>
      <c r="B8" s="34">
        <v>814303.91</v>
      </c>
      <c r="C8" s="35">
        <v>7.1320480819493062E-2</v>
      </c>
      <c r="D8" s="36">
        <v>187.68081967931002</v>
      </c>
      <c r="E8" s="37">
        <v>17702.258913043479</v>
      </c>
    </row>
    <row r="9" spans="1:9" ht="17.25" customHeight="1">
      <c r="A9" s="33" t="s">
        <v>2</v>
      </c>
      <c r="B9" s="34">
        <v>733479.67</v>
      </c>
      <c r="C9" s="35">
        <v>6.4241522229364093E-2</v>
      </c>
      <c r="D9" s="36">
        <v>169.05244343442956</v>
      </c>
      <c r="E9" s="37">
        <v>15945.210217391304</v>
      </c>
    </row>
    <row r="10" spans="1:9" ht="17.25" customHeight="1">
      <c r="A10" s="33" t="s">
        <v>13</v>
      </c>
      <c r="B10" s="34">
        <v>719506.35</v>
      </c>
      <c r="C10" s="35">
        <v>6.3017674610795438E-2</v>
      </c>
      <c r="D10" s="36">
        <v>165.83187170557551</v>
      </c>
      <c r="E10" s="37">
        <v>15641.442391304347</v>
      </c>
      <c r="H10" s="39">
        <v>4338.7700000000004</v>
      </c>
      <c r="I10" s="40" t="s">
        <v>12</v>
      </c>
    </row>
    <row r="11" spans="1:9" ht="17.25" customHeight="1">
      <c r="A11" s="33" t="s">
        <v>12</v>
      </c>
      <c r="B11" s="34">
        <v>681732.56</v>
      </c>
      <c r="C11" s="35">
        <v>5.9709272388860202E-2</v>
      </c>
      <c r="D11" s="36">
        <v>157.12576605812245</v>
      </c>
      <c r="E11" s="37">
        <v>14820.273043478262</v>
      </c>
      <c r="I11" s="41" t="s">
        <v>5</v>
      </c>
    </row>
    <row r="12" spans="1:9" ht="17.25" customHeight="1">
      <c r="A12" s="28" t="s">
        <v>6</v>
      </c>
      <c r="B12" s="29">
        <v>594971.72</v>
      </c>
      <c r="C12" s="30">
        <v>5.2110359072696566E-2</v>
      </c>
      <c r="D12" s="29">
        <v>137.12912184789695</v>
      </c>
      <c r="E12" s="38">
        <v>12934.167826086956</v>
      </c>
      <c r="I12" s="40" t="s">
        <v>13</v>
      </c>
    </row>
    <row r="13" spans="1:9" ht="17.25" customHeight="1">
      <c r="A13" s="33" t="s">
        <v>4</v>
      </c>
      <c r="B13" s="34">
        <v>585647.27</v>
      </c>
      <c r="C13" s="35">
        <v>5.1293680865444294E-2</v>
      </c>
      <c r="D13" s="36">
        <v>134.98002198779838</v>
      </c>
      <c r="E13" s="37">
        <v>12731.462391304349</v>
      </c>
      <c r="I13" s="41" t="s">
        <v>6</v>
      </c>
    </row>
    <row r="14" spans="1:9" ht="17.25" customHeight="1">
      <c r="A14" s="33" t="s">
        <v>14</v>
      </c>
      <c r="B14" s="34">
        <v>559074.22</v>
      </c>
      <c r="C14" s="35">
        <v>4.896629095663195E-2</v>
      </c>
      <c r="D14" s="36">
        <v>128.85546364522662</v>
      </c>
      <c r="E14" s="37">
        <v>12153.787391304348</v>
      </c>
      <c r="I14" s="40" t="s">
        <v>17</v>
      </c>
    </row>
    <row r="15" spans="1:9" ht="16.149999999999999" customHeight="1">
      <c r="A15" s="28" t="s">
        <v>15</v>
      </c>
      <c r="B15" s="29">
        <v>527000</v>
      </c>
      <c r="C15" s="30">
        <v>4.6157083283405627E-2</v>
      </c>
      <c r="D15" s="29">
        <v>121.46299527285382</v>
      </c>
      <c r="E15" s="38">
        <v>11456.521739130434</v>
      </c>
      <c r="I15" s="21" t="s">
        <v>23</v>
      </c>
    </row>
    <row r="16" spans="1:9" ht="17.25" customHeight="1">
      <c r="A16" s="28" t="s">
        <v>18</v>
      </c>
      <c r="B16" s="29">
        <v>274801.74</v>
      </c>
      <c r="C16" s="30">
        <v>2.4068399999250055E-2</v>
      </c>
      <c r="D16" s="29">
        <v>63.336323428068312</v>
      </c>
      <c r="E16" s="38">
        <v>5973.9508695652175</v>
      </c>
      <c r="I16" s="40" t="s">
        <v>23</v>
      </c>
    </row>
    <row r="17" spans="1:9" ht="16.149999999999999" customHeight="1">
      <c r="A17" s="28" t="s">
        <v>5</v>
      </c>
      <c r="B17" s="29">
        <v>250190.58</v>
      </c>
      <c r="C17" s="30">
        <v>2.1912841437919463E-2</v>
      </c>
      <c r="D17" s="29">
        <v>57.663941624008636</v>
      </c>
      <c r="E17" s="38">
        <v>5438.9256521739126</v>
      </c>
      <c r="I17" s="21" t="s">
        <v>14</v>
      </c>
    </row>
    <row r="18" spans="1:9" ht="17.25" customHeight="1">
      <c r="A18" s="33" t="s">
        <v>26</v>
      </c>
      <c r="B18" s="34">
        <v>171293.81263875001</v>
      </c>
      <c r="C18" s="35">
        <v>1.5002699764513973E-2</v>
      </c>
      <c r="D18" s="36">
        <v>39.479809401915752</v>
      </c>
      <c r="E18" s="37">
        <v>3723.7785356250001</v>
      </c>
      <c r="H18" s="55"/>
      <c r="I18" s="40" t="s">
        <v>14</v>
      </c>
    </row>
    <row r="19" spans="1:9" ht="22.15" customHeight="1">
      <c r="A19" s="62" t="s">
        <v>23</v>
      </c>
      <c r="B19" s="66">
        <v>86734.73</v>
      </c>
      <c r="C19" s="70">
        <v>7.5966264823030365E-3</v>
      </c>
      <c r="D19" s="66">
        <v>19.990626375677895</v>
      </c>
      <c r="E19" s="75">
        <v>1885.5376086956521</v>
      </c>
      <c r="G19" s="51"/>
      <c r="H19" s="57"/>
    </row>
    <row r="20" spans="1:9" ht="22.5" customHeight="1" thickBot="1">
      <c r="A20" s="60" t="s">
        <v>31</v>
      </c>
      <c r="B20" s="64">
        <v>18703.05</v>
      </c>
      <c r="C20" s="68">
        <v>1.6380991205003786E-3</v>
      </c>
      <c r="D20" s="71">
        <v>4.3106802158215345</v>
      </c>
      <c r="E20" s="73">
        <v>406.58804347826083</v>
      </c>
      <c r="H20" s="56"/>
    </row>
    <row r="21" spans="1:9" ht="15" customHeight="1">
      <c r="G21" s="50"/>
      <c r="H21" s="51"/>
    </row>
    <row r="22" spans="1:9">
      <c r="B22" s="51"/>
    </row>
    <row r="23" spans="1:9">
      <c r="G23" s="51"/>
    </row>
    <row r="24" spans="1:9">
      <c r="G24" s="51"/>
    </row>
    <row r="25" spans="1:9">
      <c r="F25" s="51"/>
    </row>
    <row r="26" spans="1:9">
      <c r="G26" s="51"/>
    </row>
  </sheetData>
  <autoFilter ref="A1:E1">
    <sortState ref="A2:E20">
      <sortCondition descending="1" ref="C1"/>
    </sortState>
  </autoFilter>
  <pageMargins left="0.511811024" right="0.511811024" top="0.78740157499999996" bottom="0.78740157499999996" header="0.31496062000000002" footer="0.31496062000000002"/>
  <pageSetup paperSize="9" scale="67" orientation="portrait" horizontalDpi="360" verticalDpi="360" r:id="rId1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 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User</cp:lastModifiedBy>
  <cp:lastPrinted>2022-01-25T18:59:24Z</cp:lastPrinted>
  <dcterms:created xsi:type="dcterms:W3CDTF">2021-06-30T18:49:34Z</dcterms:created>
  <dcterms:modified xsi:type="dcterms:W3CDTF">2022-03-24T19:27:55Z</dcterms:modified>
</cp:coreProperties>
</file>