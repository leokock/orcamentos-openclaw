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Hacasa - 03.2024\Brisa da Armação\04. Custo\03.5 Custo - Determinação do orçamento\"/>
    </mc:Choice>
  </mc:AlternateContent>
  <bookViews>
    <workbookView xWindow="-23145" yWindow="-45" windowWidth="23250" windowHeight="12450" activeTab="1"/>
  </bookViews>
  <sheets>
    <sheet name="ORÇAMENTO_EXECUTIVO" sheetId="2" r:id="rId1"/>
    <sheet name="ANÁLISE_CUSTOS" sheetId="1" r:id="rId2"/>
    <sheet name="CÁLCULO_MÉDIAS" sheetId="5" r:id="rId3"/>
    <sheet name="AREAS_PRIVATIVAS" sheetId="7" r:id="rId4"/>
    <sheet name="Dif. Altura" sheetId="11" r:id="rId5"/>
  </sheets>
  <externalReferences>
    <externalReference r:id="rId6"/>
    <externalReference r:id="rId7"/>
    <externalReference r:id="rId8"/>
  </externalReferences>
  <definedNames>
    <definedName name="\0">#REF!</definedName>
    <definedName name="\1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i">#REF!</definedName>
    <definedName name="\J">#REF!</definedName>
    <definedName name="\k">#REF!</definedName>
    <definedName name="\l">#N/A</definedName>
    <definedName name="\m">#REF!</definedName>
    <definedName name="\o">#REF!</definedName>
    <definedName name="\p">#REF!</definedName>
    <definedName name="\r">#REF!</definedName>
    <definedName name="\T">#REF!</definedName>
    <definedName name="\xasd" hidden="1">{#N/A,#N/A,FALSE,"Plan1";#N/A,#N/A,FALSE,"Plan2"}</definedName>
    <definedName name="\z">#REF!</definedName>
    <definedName name="_" hidden="1">#REF!</definedName>
    <definedName name="__" hidden="1">#REF!</definedName>
    <definedName name="___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ACR10">#REF!</definedName>
    <definedName name="______ACR15">#REF!</definedName>
    <definedName name="______acr20">#REF!</definedName>
    <definedName name="______acr5">#REF!</definedName>
    <definedName name="______ARQ1">#REF!</definedName>
    <definedName name="______QT100">#REF!</definedName>
    <definedName name="______QT2">#REF!</definedName>
    <definedName name="______QT3">#REF!</definedName>
    <definedName name="______QT4">#REF!</definedName>
    <definedName name="______QT50">#REF!</definedName>
    <definedName name="______QT75">#REF!</definedName>
    <definedName name="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ACR10">#REF!</definedName>
    <definedName name="_____ACR15">#REF!</definedName>
    <definedName name="_____acr20">#REF!</definedName>
    <definedName name="_____acr5">#REF!</definedName>
    <definedName name="_____ARQ1">#REF!</definedName>
    <definedName name="_____key2" hidden="1">#REF!</definedName>
    <definedName name="_____QT100">#REF!</definedName>
    <definedName name="_____QT2">#REF!</definedName>
    <definedName name="_____QT3">#REF!</definedName>
    <definedName name="_____QT4">#REF!</definedName>
    <definedName name="_____QT50">#REF!</definedName>
    <definedName name="_____QT75">#REF!</definedName>
    <definedName name="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key2" hidden="1">#REF!</definedName>
    <definedName name="____la29" hidden="1">#REF!</definedName>
    <definedName name="____la3" hidden="1">#REF!</definedName>
    <definedName name="____la31" hidden="1">#REF!</definedName>
    <definedName name="____la32" hidden="1">#REF!</definedName>
    <definedName name="____la4" hidden="1">#REF!</definedName>
    <definedName name="____la5" hidden="1">#REF!</definedName>
    <definedName name="____la6" hidden="1">#REF!</definedName>
    <definedName name="____la7" hidden="1">#REF!</definedName>
    <definedName name="____la8" hidden="1">#REF!</definedName>
    <definedName name="____la9" hidden="1">#REF!</definedName>
    <definedName name="____lb1" hidden="1">#REF!</definedName>
    <definedName name="____lb10" hidden="1">#REF!</definedName>
    <definedName name="____lb11" hidden="1">#REF!</definedName>
    <definedName name="____lb12" hidden="1">#REF!</definedName>
    <definedName name="____lb13" hidden="1">#REF!</definedName>
    <definedName name="____lb14" hidden="1">#REF!</definedName>
    <definedName name="____lb15" hidden="1">#REF!</definedName>
    <definedName name="____lb16" hidden="1">#REF!</definedName>
    <definedName name="____lb17" hidden="1">#REF!</definedName>
    <definedName name="____lb18" hidden="1">#REF!</definedName>
    <definedName name="____lb19" hidden="1">#REF!</definedName>
    <definedName name="____lb2" hidden="1">#REF!</definedName>
    <definedName name="____lb20" hidden="1">#REF!</definedName>
    <definedName name="____lb21" hidden="1">#REF!</definedName>
    <definedName name="____lb22" hidden="1">#REF!</definedName>
    <definedName name="____lb23" hidden="1">#REF!</definedName>
    <definedName name="____lb24" hidden="1">#REF!</definedName>
    <definedName name="____lb25" hidden="1">#REF!</definedName>
    <definedName name="____lb27" hidden="1">#REF!</definedName>
    <definedName name="____lb28" hidden="1">#REF!</definedName>
    <definedName name="____lb29" hidden="1">#REF!</definedName>
    <definedName name="____lb3" hidden="1">#REF!</definedName>
    <definedName name="____lb30" hidden="1">#REF!</definedName>
    <definedName name="____lb31" hidden="1">#REF!</definedName>
    <definedName name="____lb32" hidden="1">#REF!</definedName>
    <definedName name="____lb4" hidden="1">#REF!</definedName>
    <definedName name="____lb5" hidden="1">#REF!</definedName>
    <definedName name="____lb6" hidden="1">#REF!</definedName>
    <definedName name="____lb7" hidden="1">#REF!</definedName>
    <definedName name="____lb8" hidden="1">#REF!</definedName>
    <definedName name="____lb9" hidden="1">#REF!</definedName>
    <definedName name="____lbc1" hidden="1">#REF!</definedName>
    <definedName name="____lbc10" hidden="1">#REF!</definedName>
    <definedName name="____lbc11" hidden="1">#REF!</definedName>
    <definedName name="____lbc12" hidden="1">#REF!</definedName>
    <definedName name="____lbc13" hidden="1">#REF!</definedName>
    <definedName name="____lbc14" hidden="1">#REF!</definedName>
    <definedName name="____lbc15" hidden="1">#REF!</definedName>
    <definedName name="____lbc16" hidden="1">#REF!</definedName>
    <definedName name="____lbc17" hidden="1">#REF!</definedName>
    <definedName name="____lbc18" hidden="1">#REF!</definedName>
    <definedName name="____lbc19" hidden="1">#REF!</definedName>
    <definedName name="____lbc2" hidden="1">#REF!</definedName>
    <definedName name="____lbc20" hidden="1">#REF!</definedName>
    <definedName name="____lbc21" hidden="1">#REF!</definedName>
    <definedName name="____lbc22" hidden="1">#REF!</definedName>
    <definedName name="____lbc23" hidden="1">#REF!</definedName>
    <definedName name="____lbc24" hidden="1">#REF!</definedName>
    <definedName name="____lbc25" hidden="1">#REF!</definedName>
    <definedName name="____lbc26" hidden="1">#REF!</definedName>
    <definedName name="____lbc27" hidden="1">#REF!</definedName>
    <definedName name="____lbc28" hidden="1">#REF!</definedName>
    <definedName name="____lbc29" hidden="1">#REF!</definedName>
    <definedName name="____lbc3" hidden="1">#REF!</definedName>
    <definedName name="____lbc31" hidden="1">#REF!</definedName>
    <definedName name="____lbc32" hidden="1">#REF!</definedName>
    <definedName name="____lbc4" hidden="1">#REF!</definedName>
    <definedName name="____lbc5" hidden="1">#REF!</definedName>
    <definedName name="____lbc6" hidden="1">#REF!</definedName>
    <definedName name="____lbc7" hidden="1">#REF!</definedName>
    <definedName name="____lbc8" hidden="1">#REF!</definedName>
    <definedName name="____lbc9" hidden="1">#REF!</definedName>
    <definedName name="____ld26" hidden="1">#REF!</definedName>
    <definedName name="____ld31" hidden="1">#REF!</definedName>
    <definedName name="____le31" hidden="1">#REF!</definedName>
    <definedName name="____lf31" hidden="1">#REF!</definedName>
    <definedName name="____PK2" hidden="1">{"'장비'!$A$3:$M$12"}</definedName>
    <definedName name="____PKG3" hidden="1">{"'장비'!$A$3:$M$12"}</definedName>
    <definedName name="____qqq222" hidden="1">{"'장비'!$A$3:$M$12"}</definedName>
    <definedName name="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x10" hidden="1">#REF!</definedName>
    <definedName name="____x11" hidden="1">#REF!</definedName>
    <definedName name="____x12" hidden="1">#REF!</definedName>
    <definedName name="____x13" hidden="1">#REF!</definedName>
    <definedName name="____x14" hidden="1">#REF!</definedName>
    <definedName name="____x15" hidden="1">#REF!</definedName>
    <definedName name="____x16" hidden="1">#REF!</definedName>
    <definedName name="____x17" hidden="1">#REF!</definedName>
    <definedName name="____x18" hidden="1">#REF!</definedName>
    <definedName name="____x19" hidden="1">#REF!</definedName>
    <definedName name="____x20" hidden="1">#REF!</definedName>
    <definedName name="____x21" hidden="1">#REF!</definedName>
    <definedName name="____x22" hidden="1">#REF!</definedName>
    <definedName name="____x23" hidden="1">#REF!</definedName>
    <definedName name="____x24" hidden="1">#REF!</definedName>
    <definedName name="____x25" hidden="1">#REF!</definedName>
    <definedName name="____x28" hidden="1">#REF!</definedName>
    <definedName name="____x29" hidden="1">#REF!</definedName>
    <definedName name="____x32" hidden="1">#REF!</definedName>
    <definedName name="____x4" hidden="1">#REF!</definedName>
    <definedName name="____x5" hidden="1">#REF!</definedName>
    <definedName name="____x6" hidden="1">#REF!</definedName>
    <definedName name="____x7" hidden="1">#REF!</definedName>
    <definedName name="____x8" hidden="1">#REF!</definedName>
    <definedName name="____x9" hidden="1">#REF!</definedName>
    <definedName name="___ACR10">#REF!</definedName>
    <definedName name="___ACR15">#REF!</definedName>
    <definedName name="___acr20">#REF!</definedName>
    <definedName name="___acr5">#REF!</definedName>
    <definedName name="___ARQ1">#REF!</definedName>
    <definedName name="__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key2" hidden="1">#REF!</definedName>
    <definedName name="___la29" hidden="1">#REF!</definedName>
    <definedName name="___la3" hidden="1">#REF!</definedName>
    <definedName name="___la31" hidden="1">#REF!</definedName>
    <definedName name="___la32" hidden="1">#REF!</definedName>
    <definedName name="___la4" hidden="1">#REF!</definedName>
    <definedName name="___la5" hidden="1">#REF!</definedName>
    <definedName name="___la6" hidden="1">#REF!</definedName>
    <definedName name="___la7" hidden="1">#REF!</definedName>
    <definedName name="___la8" hidden="1">#REF!</definedName>
    <definedName name="___la9" hidden="1">#REF!</definedName>
    <definedName name="___lb1" hidden="1">#REF!</definedName>
    <definedName name="___lb10" hidden="1">#REF!</definedName>
    <definedName name="___lb11" hidden="1">#REF!</definedName>
    <definedName name="___lb12" hidden="1">#REF!</definedName>
    <definedName name="___lb13" hidden="1">#REF!</definedName>
    <definedName name="___lb14" hidden="1">#REF!</definedName>
    <definedName name="___lb15" hidden="1">#REF!</definedName>
    <definedName name="___lb16" hidden="1">#REF!</definedName>
    <definedName name="___lb17" hidden="1">#REF!</definedName>
    <definedName name="___lb18" hidden="1">#REF!</definedName>
    <definedName name="___lb19" hidden="1">#REF!</definedName>
    <definedName name="___lb2" hidden="1">#REF!</definedName>
    <definedName name="___lb20" hidden="1">#REF!</definedName>
    <definedName name="___lb21" hidden="1">#REF!</definedName>
    <definedName name="___lb22" hidden="1">#REF!</definedName>
    <definedName name="___lb23" hidden="1">#REF!</definedName>
    <definedName name="___lb24" hidden="1">#REF!</definedName>
    <definedName name="___lb25" hidden="1">#REF!</definedName>
    <definedName name="___lb27" hidden="1">#REF!</definedName>
    <definedName name="___lb28" hidden="1">#REF!</definedName>
    <definedName name="___lb29" hidden="1">#REF!</definedName>
    <definedName name="___lb3" hidden="1">#REF!</definedName>
    <definedName name="___lb30" hidden="1">#REF!</definedName>
    <definedName name="___lb31" hidden="1">#REF!</definedName>
    <definedName name="___lb32" hidden="1">#REF!</definedName>
    <definedName name="___lb4" hidden="1">#REF!</definedName>
    <definedName name="___lb5" hidden="1">#REF!</definedName>
    <definedName name="___lb6" hidden="1">#REF!</definedName>
    <definedName name="___lb7" hidden="1">#REF!</definedName>
    <definedName name="___lb8" hidden="1">#REF!</definedName>
    <definedName name="___lb9" hidden="1">#REF!</definedName>
    <definedName name="___lbc1" hidden="1">#REF!</definedName>
    <definedName name="___lbc10" hidden="1">#REF!</definedName>
    <definedName name="___lbc11" hidden="1">#REF!</definedName>
    <definedName name="___lbc12" hidden="1">#REF!</definedName>
    <definedName name="___lbc13" hidden="1">#REF!</definedName>
    <definedName name="___lbc14" hidden="1">#REF!</definedName>
    <definedName name="___lbc15" hidden="1">#REF!</definedName>
    <definedName name="___lbc16" hidden="1">#REF!</definedName>
    <definedName name="___lbc17" hidden="1">#REF!</definedName>
    <definedName name="___lbc18" hidden="1">#REF!</definedName>
    <definedName name="___lbc19" hidden="1">#REF!</definedName>
    <definedName name="___lbc2" hidden="1">#REF!</definedName>
    <definedName name="___lbc20" hidden="1">#REF!</definedName>
    <definedName name="___lbc21" hidden="1">#REF!</definedName>
    <definedName name="___lbc22" hidden="1">#REF!</definedName>
    <definedName name="___lbc23" hidden="1">#REF!</definedName>
    <definedName name="___lbc24" hidden="1">#REF!</definedName>
    <definedName name="___lbc25" hidden="1">#REF!</definedName>
    <definedName name="___lbc26" hidden="1">#REF!</definedName>
    <definedName name="___lbc27" hidden="1">#REF!</definedName>
    <definedName name="___lbc28" hidden="1">#REF!</definedName>
    <definedName name="___lbc29" hidden="1">#REF!</definedName>
    <definedName name="___lbc3" hidden="1">#REF!</definedName>
    <definedName name="___lbc31" hidden="1">#REF!</definedName>
    <definedName name="___lbc32" hidden="1">#REF!</definedName>
    <definedName name="___lbc4" hidden="1">#REF!</definedName>
    <definedName name="___lbc5" hidden="1">#REF!</definedName>
    <definedName name="___lbc6" hidden="1">#REF!</definedName>
    <definedName name="___lbc7" hidden="1">#REF!</definedName>
    <definedName name="___lbc8" hidden="1">#REF!</definedName>
    <definedName name="___lbc9" hidden="1">#REF!</definedName>
    <definedName name="___ld26" hidden="1">#REF!</definedName>
    <definedName name="___ld31" hidden="1">#REF!</definedName>
    <definedName name="___le31" hidden="1">#REF!</definedName>
    <definedName name="___lf31" hidden="1">#REF!</definedName>
    <definedName name="___PK2" hidden="1">{"'장비'!$A$3:$M$12"}</definedName>
    <definedName name="___PKG3" hidden="1">{"'장비'!$A$3:$M$12"}</definedName>
    <definedName name="___qqq222" hidden="1">{"'장비'!$A$3:$M$12"}</definedName>
    <definedName name="___QT100">#REF!</definedName>
    <definedName name="___QT2">#REF!</definedName>
    <definedName name="___QT3">#REF!</definedName>
    <definedName name="___QT4">#REF!</definedName>
    <definedName name="___QT50">#REF!</definedName>
    <definedName name="___QT75">#REF!</definedName>
    <definedName name="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x10" hidden="1">#REF!</definedName>
    <definedName name="___x11" hidden="1">#REF!</definedName>
    <definedName name="___x12" hidden="1">#REF!</definedName>
    <definedName name="___x13" hidden="1">#REF!</definedName>
    <definedName name="___x14" hidden="1">#REF!</definedName>
    <definedName name="___x15" hidden="1">#REF!</definedName>
    <definedName name="___x16" hidden="1">#REF!</definedName>
    <definedName name="___x17" hidden="1">#REF!</definedName>
    <definedName name="___x18" hidden="1">#REF!</definedName>
    <definedName name="___x19" hidden="1">#REF!</definedName>
    <definedName name="___x20" hidden="1">#REF!</definedName>
    <definedName name="___x21" hidden="1">#REF!</definedName>
    <definedName name="___x22" hidden="1">#REF!</definedName>
    <definedName name="___x23" hidden="1">#REF!</definedName>
    <definedName name="___x24" hidden="1">#REF!</definedName>
    <definedName name="___x25" hidden="1">#REF!</definedName>
    <definedName name="___x28" hidden="1">#REF!</definedName>
    <definedName name="___x29" hidden="1">#REF!</definedName>
    <definedName name="___x32" hidden="1">#REF!</definedName>
    <definedName name="___x4" hidden="1">#REF!</definedName>
    <definedName name="___x5" hidden="1">#REF!</definedName>
    <definedName name="___x6" hidden="1">#REF!</definedName>
    <definedName name="___x7" hidden="1">#REF!</definedName>
    <definedName name="___x8" hidden="1">#REF!</definedName>
    <definedName name="___x9" hidden="1">#REF!</definedName>
    <definedName name="__123Graph_A" hidden="1">#REF!</definedName>
    <definedName name="__123Graph_AChart1" hidden="1">#REF!</definedName>
    <definedName name="__123Graph_ACurrent" hidden="1">#REF!</definedName>
    <definedName name="__123Graph_ACUSTO" hidden="1">#REF!</definedName>
    <definedName name="__123Graph_AFAT" hidden="1">#REF!</definedName>
    <definedName name="__123Graph_AGRA1" hidden="1">#REF!</definedName>
    <definedName name="__123Graph_ARES" hidden="1">#REF!</definedName>
    <definedName name="__123Graph_B" hidden="1">#REF!</definedName>
    <definedName name="__123Graph_BChart1" hidden="1">#REF!</definedName>
    <definedName name="__123Graph_BCurrent" hidden="1">#REF!</definedName>
    <definedName name="__123Graph_BCUSTO" hidden="1">#REF!</definedName>
    <definedName name="__123Graph_BFAT" hidden="1">#REF!</definedName>
    <definedName name="__123Graph_BPERFORMANCE" hidden="1">#REF!</definedName>
    <definedName name="__123Graph_BRES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LBL_A" hidden="1">#REF!</definedName>
    <definedName name="__123Graph_LBL_B" hidden="1">#REF!</definedName>
    <definedName name="__123Graph_X" hidden="1">#REF!</definedName>
    <definedName name="__123Graph_XChart1" hidden="1">#REF!</definedName>
    <definedName name="__123Graph_XCurrent" hidden="1">#REF!</definedName>
    <definedName name="__123Graph_XCUSTO" hidden="1">#REF!</definedName>
    <definedName name="__123Graph_XFAT" hidden="1">#REF!</definedName>
    <definedName name="__123Graph_XGRA1" hidden="1">#REF!</definedName>
    <definedName name="__123Graph_XRES" hidden="1">#REF!</definedName>
    <definedName name="__ACR10">#REF!</definedName>
    <definedName name="__ACR15">#REF!</definedName>
    <definedName name="__acr20">#REF!</definedName>
    <definedName name="__acr5">#REF!</definedName>
    <definedName name="__ARQ1">#REF!</definedName>
    <definedName name="__Axe3">#REF!</definedName>
    <definedName name="__Axe4">#REF!</definedName>
    <definedName name="_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htm2">#REF!</definedName>
    <definedName name="__htn2">#REF!</definedName>
    <definedName name="__iss2">#REF!</definedName>
    <definedName name="__key2" hidden="1">#REF!</definedName>
    <definedName name="__la29" hidden="1">#REF!</definedName>
    <definedName name="__la3" hidden="1">#REF!</definedName>
    <definedName name="__la31" hidden="1">#REF!</definedName>
    <definedName name="__la32" hidden="1">#REF!</definedName>
    <definedName name="__la4" hidden="1">#REF!</definedName>
    <definedName name="__la5" hidden="1">#REF!</definedName>
    <definedName name="__la6" hidden="1">#REF!</definedName>
    <definedName name="__la7" hidden="1">#REF!</definedName>
    <definedName name="__la8" hidden="1">#REF!</definedName>
    <definedName name="__la9" hidden="1">#REF!</definedName>
    <definedName name="__lb1" hidden="1">#REF!</definedName>
    <definedName name="__lb10" hidden="1">#REF!</definedName>
    <definedName name="__lb11" hidden="1">#REF!</definedName>
    <definedName name="__lb12" hidden="1">#REF!</definedName>
    <definedName name="__lb13" hidden="1">#REF!</definedName>
    <definedName name="__lb14" hidden="1">#REF!</definedName>
    <definedName name="__lb15" hidden="1">#REF!</definedName>
    <definedName name="__lb16" hidden="1">#REF!</definedName>
    <definedName name="__lb17" hidden="1">#REF!</definedName>
    <definedName name="__lb18" hidden="1">#REF!</definedName>
    <definedName name="__lb19" hidden="1">#REF!</definedName>
    <definedName name="__lb2" hidden="1">#REF!</definedName>
    <definedName name="__lb20" hidden="1">#REF!</definedName>
    <definedName name="__lb21" hidden="1">#REF!</definedName>
    <definedName name="__lb22" hidden="1">#REF!</definedName>
    <definedName name="__lb23" hidden="1">#REF!</definedName>
    <definedName name="__lb24" hidden="1">#REF!</definedName>
    <definedName name="__lb25" hidden="1">#REF!</definedName>
    <definedName name="__lb27" hidden="1">#REF!</definedName>
    <definedName name="__lb28" hidden="1">#REF!</definedName>
    <definedName name="__lb29" hidden="1">#REF!</definedName>
    <definedName name="__lb3" hidden="1">#REF!</definedName>
    <definedName name="__lb30" hidden="1">#REF!</definedName>
    <definedName name="__lb31" hidden="1">#REF!</definedName>
    <definedName name="__lb32" hidden="1">#REF!</definedName>
    <definedName name="__lb4" hidden="1">#REF!</definedName>
    <definedName name="__lb5" hidden="1">#REF!</definedName>
    <definedName name="__lb6" hidden="1">#REF!</definedName>
    <definedName name="__lb7" hidden="1">#REF!</definedName>
    <definedName name="__lb8" hidden="1">#REF!</definedName>
    <definedName name="__lb9" hidden="1">#REF!</definedName>
    <definedName name="__lbc1" hidden="1">#REF!</definedName>
    <definedName name="__lbc10" hidden="1">#REF!</definedName>
    <definedName name="__lbc11" hidden="1">#REF!</definedName>
    <definedName name="__lbc12" hidden="1">#REF!</definedName>
    <definedName name="__lbc13" hidden="1">#REF!</definedName>
    <definedName name="__lbc14" hidden="1">#REF!</definedName>
    <definedName name="__lbc15" hidden="1">#REF!</definedName>
    <definedName name="__lbc16" hidden="1">#REF!</definedName>
    <definedName name="__lbc17" hidden="1">#REF!</definedName>
    <definedName name="__lbc18" hidden="1">#REF!</definedName>
    <definedName name="__lbc19" hidden="1">#REF!</definedName>
    <definedName name="__lbc2" hidden="1">#REF!</definedName>
    <definedName name="__lbc20" hidden="1">#REF!</definedName>
    <definedName name="__lbc21" hidden="1">#REF!</definedName>
    <definedName name="__lbc22" hidden="1">#REF!</definedName>
    <definedName name="__lbc23" hidden="1">#REF!</definedName>
    <definedName name="__lbc24" hidden="1">#REF!</definedName>
    <definedName name="__lbc25" hidden="1">#REF!</definedName>
    <definedName name="__lbc26" hidden="1">#REF!</definedName>
    <definedName name="__lbc27" hidden="1">#REF!</definedName>
    <definedName name="__lbc28" hidden="1">#REF!</definedName>
    <definedName name="__lbc29" hidden="1">#REF!</definedName>
    <definedName name="__lbc3" hidden="1">#REF!</definedName>
    <definedName name="__lbc31" hidden="1">#REF!</definedName>
    <definedName name="__lbc32" hidden="1">#REF!</definedName>
    <definedName name="__lbc4" hidden="1">#REF!</definedName>
    <definedName name="__lbc5" hidden="1">#REF!</definedName>
    <definedName name="__lbc6" hidden="1">#REF!</definedName>
    <definedName name="__lbc7" hidden="1">#REF!</definedName>
    <definedName name="__lbc8" hidden="1">#REF!</definedName>
    <definedName name="__lbc9" hidden="1">#REF!</definedName>
    <definedName name="__ld26" hidden="1">#REF!</definedName>
    <definedName name="__ld31" hidden="1">#REF!</definedName>
    <definedName name="__le31" hidden="1">#REF!</definedName>
    <definedName name="__lf31" hidden="1">#REF!</definedName>
    <definedName name="__PK2" hidden="1">{"'장비'!$A$3:$M$12"}</definedName>
    <definedName name="__PKG3" hidden="1">{"'장비'!$A$3:$M$12"}</definedName>
    <definedName name="__qqq222" hidden="1">{"'장비'!$A$3:$M$12"}</definedName>
    <definedName name="__QT100">#REF!</definedName>
    <definedName name="__QT2">#REF!</definedName>
    <definedName name="__QT3">#REF!</definedName>
    <definedName name="__QT4">#REF!</definedName>
    <definedName name="__QT50">#REF!</definedName>
    <definedName name="__QT75">#REF!</definedName>
    <definedName name="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x10" hidden="1">#REF!</definedName>
    <definedName name="__x11" hidden="1">#REF!</definedName>
    <definedName name="__x12" hidden="1">#REF!</definedName>
    <definedName name="__x13" hidden="1">#REF!</definedName>
    <definedName name="__x14" hidden="1">#REF!</definedName>
    <definedName name="__x15" hidden="1">#REF!</definedName>
    <definedName name="__x16" hidden="1">#REF!</definedName>
    <definedName name="__x17" hidden="1">#REF!</definedName>
    <definedName name="__x18" hidden="1">#REF!</definedName>
    <definedName name="__x19" hidden="1">#REF!</definedName>
    <definedName name="__x20" hidden="1">#REF!</definedName>
    <definedName name="__x21" hidden="1">#REF!</definedName>
    <definedName name="__x22" hidden="1">#REF!</definedName>
    <definedName name="__x23" hidden="1">#REF!</definedName>
    <definedName name="__x24" hidden="1">#REF!</definedName>
    <definedName name="__x25" hidden="1">#REF!</definedName>
    <definedName name="__x28" hidden="1">#REF!</definedName>
    <definedName name="__x29" hidden="1">#REF!</definedName>
    <definedName name="__x32" hidden="1">#REF!</definedName>
    <definedName name="__x4" hidden="1">#REF!</definedName>
    <definedName name="__x5" hidden="1">#REF!</definedName>
    <definedName name="__x6" hidden="1">#REF!</definedName>
    <definedName name="__x7" hidden="1">#REF!</definedName>
    <definedName name="__x8" hidden="1">#REF!</definedName>
    <definedName name="__x9" hidden="1">#REF!</definedName>
    <definedName name="_0.CURVA_OBRA">#REF!</definedName>
    <definedName name="_00.VAR._GASTO">#REF!</definedName>
    <definedName name="_000.CURVA_FINA">#REF!</definedName>
    <definedName name="_1">#REF!</definedName>
    <definedName name="_1__123Graph_ACHART_1" hidden="1">#REF!</definedName>
    <definedName name="_10__123Graph_CCHART_1" hidden="1">#REF!</definedName>
    <definedName name="_11.SERV.TECNIC">#REF!</definedName>
    <definedName name="_11__123Graph_DCHART_1" hidden="1">#REF!</definedName>
    <definedName name="_12.GAST_GERAIS">#REF!</definedName>
    <definedName name="_12__123Graph_XChart_1A" hidden="1">#REF!</definedName>
    <definedName name="_13.P._PERMAN.">#REF!</definedName>
    <definedName name="_15.IMPL._CANT">#REF!</definedName>
    <definedName name="_16.EQUIPAM.">#REF!</definedName>
    <definedName name="_17.OPER._CANT.">#REF!</definedName>
    <definedName name="_19.TRANC_LIMP.">#REF!</definedName>
    <definedName name="_1Dist_Val" hidden="1">#REF!</definedName>
    <definedName name="_2">#REF!</definedName>
    <definedName name="_2__123Graph_BCHART_1" hidden="1">#REF!</definedName>
    <definedName name="_25.PREP.TERREN">#REF!</definedName>
    <definedName name="_27.FUND._ESCOR">#REF!</definedName>
    <definedName name="_2F" hidden="1">#REF!</definedName>
    <definedName name="_3__123Graph_XCHART_1" hidden="1">#REF!</definedName>
    <definedName name="_31_32_33.C_A">#REF!</definedName>
    <definedName name="_41.ALVENARIA">#REF!</definedName>
    <definedName name="_47.IMP._ISOLA.">#REF!</definedName>
    <definedName name="_5__123Graph_ACHART_1" hidden="1">#REF!</definedName>
    <definedName name="_51.REV.ARGAMAS">#REF!</definedName>
    <definedName name="_52.REV.CERAM.I">#REF!</definedName>
    <definedName name="_53.REV.CERAM.E">#REF!</definedName>
    <definedName name="_54.TACOS_E_ASS">#REF!</definedName>
    <definedName name="_55.MARM._E_GRA">#REF!</definedName>
    <definedName name="_56.MARMORITE">#REF!</definedName>
    <definedName name="_59.OUTRS_REVES">#REF!</definedName>
    <definedName name="_6__123Graph_AChart_1A" hidden="1">#REF!</definedName>
    <definedName name="_61.ESQUAD._MAD">#REF!</definedName>
    <definedName name="_63.ESQUAD._ALU">#REF!</definedName>
    <definedName name="_65.ESQUAD._FER">#REF!</definedName>
    <definedName name="_67.VIDROS">#REF!</definedName>
    <definedName name="_7__123Graph_ACHART_2" hidden="1">#REF!</definedName>
    <definedName name="_71_73.I.ELET_H">#REF!</definedName>
    <definedName name="_77.OUTRAS_INST.">#REF!</definedName>
    <definedName name="_78.ELEVADORES">#REF!</definedName>
    <definedName name="_8__123Graph_BChart_1A" hidden="1">#REF!</definedName>
    <definedName name="_81.APAR._SANIT">#REF!</definedName>
    <definedName name="_83_85.PINT_LIM">#REF!</definedName>
    <definedName name="_9__123Graph_BCHART_2" hidden="1">#REF!</definedName>
    <definedName name="_ACR10">#REF!</definedName>
    <definedName name="_ACR15">#REF!</definedName>
    <definedName name="_acr20">#REF!</definedName>
    <definedName name="_acr5">#REF!</definedName>
    <definedName name="_AMO_UniqueIdentifier" hidden="1">"'54256040-62ff-475a-9348-dbdfce08df30'"</definedName>
    <definedName name="_ARQ1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7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xe3">#REF!</definedName>
    <definedName name="_Axe4">#REF!</definedName>
    <definedName name="_Builtin13" hidden="1">#REF!</definedName>
    <definedName name="_CAB1">#REF!</definedName>
    <definedName name="_CAB2">#REF!</definedName>
    <definedName name="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Dist_Bin" hidden="1">#REF!</definedName>
    <definedName name="_Dist_Values" hidden="1">#REF!</definedName>
    <definedName name="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Fill" hidden="1">#REF!</definedName>
    <definedName name="_fill1" hidden="1">#REF!</definedName>
    <definedName name="_FiltrarBancoDados2" hidden="1">#REF!</definedName>
    <definedName name="_xlnm._FilterDatabase" hidden="1">#REF!</definedName>
    <definedName name="_htm2">#REF!</definedName>
    <definedName name="_htn2">#REF!</definedName>
    <definedName name="_IA0542" hidden="1">{#N/A,#N/A,FALSE,"Plan1";#N/A,#N/A,FALSE,"Plan2"}</definedName>
    <definedName name="_iss2">#REF!</definedName>
    <definedName name="_IV65617">#REF!</definedName>
    <definedName name="_IV65999">#REF!</definedName>
    <definedName name="_IV66000">#REF!</definedName>
    <definedName name="_IV67021">#REF!</definedName>
    <definedName name="_IV67022">#REF!</definedName>
    <definedName name="_Key1" hidden="1">#REF!</definedName>
    <definedName name="_Key2" hidden="1">#REF!</definedName>
    <definedName name="_KEY3" hidden="1">#REF!</definedName>
    <definedName name="_key4" hidden="1">#REF!</definedName>
    <definedName name="_l">#REF!</definedName>
    <definedName name="_la29" hidden="1">#REF!</definedName>
    <definedName name="_la3" hidden="1">#REF!</definedName>
    <definedName name="_la31" hidden="1">#REF!</definedName>
    <definedName name="_la32" hidden="1">#REF!</definedName>
    <definedName name="_la4" hidden="1">#REF!</definedName>
    <definedName name="_la5" hidden="1">#REF!</definedName>
    <definedName name="_la6" hidden="1">#REF!</definedName>
    <definedName name="_la7" hidden="1">#REF!</definedName>
    <definedName name="_la8" hidden="1">#REF!</definedName>
    <definedName name="_la9" hidden="1">#REF!</definedName>
    <definedName name="_lb1" hidden="1">#REF!</definedName>
    <definedName name="_lb10" hidden="1">#REF!</definedName>
    <definedName name="_lb11" hidden="1">#REF!</definedName>
    <definedName name="_lb12" hidden="1">#REF!</definedName>
    <definedName name="_lb13" hidden="1">#REF!</definedName>
    <definedName name="_lb14" hidden="1">#REF!</definedName>
    <definedName name="_lb15" hidden="1">#REF!</definedName>
    <definedName name="_lb16" hidden="1">#REF!</definedName>
    <definedName name="_lb17" hidden="1">#REF!</definedName>
    <definedName name="_lb18" hidden="1">#REF!</definedName>
    <definedName name="_lb19" hidden="1">#REF!</definedName>
    <definedName name="_lb2" hidden="1">#REF!</definedName>
    <definedName name="_lb20" hidden="1">#REF!</definedName>
    <definedName name="_lb21" hidden="1">#REF!</definedName>
    <definedName name="_lb22" hidden="1">#REF!</definedName>
    <definedName name="_lb23" hidden="1">#REF!</definedName>
    <definedName name="_lb24" hidden="1">#REF!</definedName>
    <definedName name="_lb25" hidden="1">#REF!</definedName>
    <definedName name="_lb27" hidden="1">#REF!</definedName>
    <definedName name="_lb28" hidden="1">#REF!</definedName>
    <definedName name="_lb29" hidden="1">#REF!</definedName>
    <definedName name="_lb3" hidden="1">#REF!</definedName>
    <definedName name="_lb30" hidden="1">#REF!</definedName>
    <definedName name="_lb31" hidden="1">#REF!</definedName>
    <definedName name="_lb32" hidden="1">#REF!</definedName>
    <definedName name="_lb4" hidden="1">#REF!</definedName>
    <definedName name="_lb5" hidden="1">#REF!</definedName>
    <definedName name="_lb6" hidden="1">#REF!</definedName>
    <definedName name="_lb7" hidden="1">#REF!</definedName>
    <definedName name="_lb8" hidden="1">#REF!</definedName>
    <definedName name="_lb9" hidden="1">#REF!</definedName>
    <definedName name="_lbc1" hidden="1">#REF!</definedName>
    <definedName name="_lbc10" hidden="1">#REF!</definedName>
    <definedName name="_lbc11" hidden="1">#REF!</definedName>
    <definedName name="_lbc12" hidden="1">#REF!</definedName>
    <definedName name="_lbc13" hidden="1">#REF!</definedName>
    <definedName name="_lbc14" hidden="1">#REF!</definedName>
    <definedName name="_lbc15" hidden="1">#REF!</definedName>
    <definedName name="_lbc16" hidden="1">#REF!</definedName>
    <definedName name="_lbc17" hidden="1">#REF!</definedName>
    <definedName name="_lbc18" hidden="1">#REF!</definedName>
    <definedName name="_lbc19" hidden="1">#REF!</definedName>
    <definedName name="_lbc2" hidden="1">#REF!</definedName>
    <definedName name="_lbc20" hidden="1">#REF!</definedName>
    <definedName name="_lbc21" hidden="1">#REF!</definedName>
    <definedName name="_lbc22" hidden="1">#REF!</definedName>
    <definedName name="_lbc23" hidden="1">#REF!</definedName>
    <definedName name="_lbc24" hidden="1">#REF!</definedName>
    <definedName name="_lbc25" hidden="1">#REF!</definedName>
    <definedName name="_lbc26" hidden="1">#REF!</definedName>
    <definedName name="_lbc27" hidden="1">#REF!</definedName>
    <definedName name="_lbc28" hidden="1">#REF!</definedName>
    <definedName name="_lbc29" hidden="1">#REF!</definedName>
    <definedName name="_lbc3" hidden="1">#REF!</definedName>
    <definedName name="_lbc31" hidden="1">#REF!</definedName>
    <definedName name="_lbc32" hidden="1">#REF!</definedName>
    <definedName name="_lbc4" hidden="1">#REF!</definedName>
    <definedName name="_lbc5" hidden="1">#REF!</definedName>
    <definedName name="_lbc6" hidden="1">#REF!</definedName>
    <definedName name="_lbc7" hidden="1">#REF!</definedName>
    <definedName name="_lbc8" hidden="1">#REF!</definedName>
    <definedName name="_lbc9" hidden="1">#REF!</definedName>
    <definedName name="_ld26" hidden="1">#REF!</definedName>
    <definedName name="_ld31" hidden="1">#REF!</definedName>
    <definedName name="_le31" hidden="1">#REF!</definedName>
    <definedName name="_lf31" hidden="1">#REF!</definedName>
    <definedName name="_MatInverse_In" hidden="1">#REF!</definedName>
    <definedName name="_MatMult_A" hidden="1">#REF!</definedName>
    <definedName name="_MatMult_AxB" hidden="1">#REF!</definedName>
    <definedName name="_MatMult_B" hidden="1">#REF!</definedName>
    <definedName name="_new11" hidden="1">{#N/A,#N/A,FALSE,"Global by BU";#N/A,#N/A,FALSE,"U.S. by BU";#N/A,#N/A,FALSE,"Canada by BU";#N/A,#N/A,FALSE,"Europe by BU";#N/A,#N/A,FALSE,"Asia by BU";#N/A,#N/A,FALSE,"Cala by BU"}</definedName>
    <definedName name="_Order1" hidden="1">0</definedName>
    <definedName name="_Order2" hidden="1">255</definedName>
    <definedName name="_Parse_Out" hidden="1">#REF!</definedName>
    <definedName name="_PAV01">#REF!</definedName>
    <definedName name="_PAV02">#REF!</definedName>
    <definedName name="_PAV03">#REF!</definedName>
    <definedName name="_PAV04">#REF!</definedName>
    <definedName name="_PAV05">#REF!</definedName>
    <definedName name="_PAV06">#REF!</definedName>
    <definedName name="_PAV07">#REF!</definedName>
    <definedName name="_PAV08">#REF!</definedName>
    <definedName name="_PAV09">#REF!</definedName>
    <definedName name="_PAV10">#REF!</definedName>
    <definedName name="_PAV11">#REF!</definedName>
    <definedName name="_PK2" hidden="1">{"'장비'!$A$3:$M$12"}</definedName>
    <definedName name="_PKG3" hidden="1">{"'장비'!$A$3:$M$12"}</definedName>
    <definedName name="_qqq222" hidden="1">{"'장비'!$A$3:$M$12"}</definedName>
    <definedName name="_QT100">#REF!</definedName>
    <definedName name="_QT2">#REF!</definedName>
    <definedName name="_QT3">#REF!</definedName>
    <definedName name="_QT4">#REF!</definedName>
    <definedName name="_QT50">#REF!</definedName>
    <definedName name="_QT75">#REF!</definedName>
    <definedName name="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fe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ort" hidden="1">#REF!</definedName>
    <definedName name="_T">#REF!</definedName>
    <definedName name="_Table1_In1" hidden="1">#REF!</definedName>
    <definedName name="_Table1_Out" hidden="1">#REF!</definedName>
    <definedName name="_wer3" hidden="1">{#N/A,#N/A,FALSE,"Plan1";#N/A,#N/A,FALSE,"Plan2"}</definedName>
    <definedName name="_wrn.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x10" hidden="1">#REF!</definedName>
    <definedName name="_x11" hidden="1">#REF!</definedName>
    <definedName name="_x12" hidden="1">#REF!</definedName>
    <definedName name="_x13" hidden="1">#REF!</definedName>
    <definedName name="_x14" hidden="1">#REF!</definedName>
    <definedName name="_x15" hidden="1">#REF!</definedName>
    <definedName name="_x16" hidden="1">#REF!</definedName>
    <definedName name="_x17" hidden="1">#REF!</definedName>
    <definedName name="_x18" hidden="1">#REF!</definedName>
    <definedName name="_x19" hidden="1">#REF!</definedName>
    <definedName name="_x20" hidden="1">#REF!</definedName>
    <definedName name="_x21" hidden="1">#REF!</definedName>
    <definedName name="_x22" hidden="1">#REF!</definedName>
    <definedName name="_x23" hidden="1">#REF!</definedName>
    <definedName name="_x24" hidden="1">#REF!</definedName>
    <definedName name="_x25" hidden="1">#REF!</definedName>
    <definedName name="_x28" hidden="1">#REF!</definedName>
    <definedName name="_x29" hidden="1">#REF!</definedName>
    <definedName name="_x32" hidden="1">#REF!</definedName>
    <definedName name="_x4" hidden="1">#REF!</definedName>
    <definedName name="_x5" hidden="1">#REF!</definedName>
    <definedName name="_x6" hidden="1">#REF!</definedName>
    <definedName name="_x7" hidden="1">#REF!</definedName>
    <definedName name="_x8" hidden="1">#REF!</definedName>
    <definedName name="_x9" hidden="1">#REF!</definedName>
    <definedName name="_xlcn.WorksheetConnection_2018_03ResumoRGOObrasRJ.xlsbTabela1" hidden="1">#REF!</definedName>
    <definedName name="_xlcn.WorksheetConnection_ProjetocontrolefisicoefinanceiroRJ.xlsxTabela31" hidden="1">#REF!</definedName>
    <definedName name="´cAE°eE¹" hidden="1">#REF!</definedName>
    <definedName name="￠￥cAE¡ÆeEⓒo" hidden="1">#REF!</definedName>
    <definedName name="a">#REF!</definedName>
    <definedName name="a\sgt" hidden="1">{#N/A,#N/A,FALSE,"Plan1";#N/A,#N/A,FALSE,"Plan2"}</definedName>
    <definedName name="aa">#REF!</definedName>
    <definedName name="aaa">#REF!</definedName>
    <definedName name="AAAA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dc">#REF!</definedName>
    <definedName name="aaacccc" hidden="1">{#N/A,#N/A,FALSE,"Plan1";#N/A,#N/A,FALSE,"Plan2"}</definedName>
    <definedName name="aaas">#REF!</definedName>
    <definedName name="AB">#REF!</definedName>
    <definedName name="Abat_ISS">#REF!</definedName>
    <definedName name="ab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D" hidden="1">#REF!</definedName>
    <definedName name="abebqt">#REF!</definedName>
    <definedName name="abr17RJ">#REF!</definedName>
    <definedName name="ABRIL">#REF!</definedName>
    <definedName name="ABRIL2001">#REF!</definedName>
    <definedName name="ac" hidden="1">#REF!</definedName>
    <definedName name="Acabam.">#REF!</definedName>
    <definedName name="ACADUC">#REF!</definedName>
    <definedName name="ACBEB">#REF!</definedName>
    <definedName name="ACBOMB">#REF!</definedName>
    <definedName name="AccessDatabase" hidden="1">"C:\posec\DATABASE\vlv_list\vlvlist1.mdb"</definedName>
    <definedName name="ACCHAF">#REF!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db" hidden="1">#REF!</definedName>
    <definedName name="ACDER">#REF!</definedName>
    <definedName name="ACDIV">#REF!</definedName>
    <definedName name="ACDS" hidden="1">#REF!</definedName>
    <definedName name="ACEQP">#REF!</definedName>
    <definedName name="ACHAFQT">#REF!</definedName>
    <definedName name="achar18" hidden="1">#REF!</definedName>
    <definedName name="achar19" hidden="1">#REF!</definedName>
    <definedName name="achart1" hidden="1">#REF!</definedName>
    <definedName name="achart10" hidden="1">#REF!</definedName>
    <definedName name="achart11" hidden="1">#REF!</definedName>
    <definedName name="achart12" hidden="1">#REF!</definedName>
    <definedName name="achart13" hidden="1">#REF!</definedName>
    <definedName name="achart14" hidden="1">#REF!</definedName>
    <definedName name="achart15" hidden="1">#REF!</definedName>
    <definedName name="achart16" hidden="1">#REF!</definedName>
    <definedName name="achart17" hidden="1">#REF!</definedName>
    <definedName name="achart2" hidden="1">#REF!</definedName>
    <definedName name="achart20" hidden="1">#REF!</definedName>
    <definedName name="achart21" hidden="1">#REF!</definedName>
    <definedName name="achart22" hidden="1">#REF!</definedName>
    <definedName name="achart23" hidden="1">#REF!</definedName>
    <definedName name="achart24" hidden="1">#REF!</definedName>
    <definedName name="achart25" hidden="1">#REF!</definedName>
    <definedName name="achart26" hidden="1">#REF!</definedName>
    <definedName name="achart27" hidden="1">#REF!</definedName>
    <definedName name="achart28" hidden="1">#REF!</definedName>
    <definedName name="achart29" hidden="1">#REF!</definedName>
    <definedName name="achart3" hidden="1">#REF!</definedName>
    <definedName name="achart30" hidden="1">#REF!</definedName>
    <definedName name="achart31" hidden="1">#REF!</definedName>
    <definedName name="achart32" hidden="1">#REF!</definedName>
    <definedName name="achart4" hidden="1">#REF!</definedName>
    <definedName name="achart5" hidden="1">#REF!</definedName>
    <definedName name="achart6" hidden="1">#REF!</definedName>
    <definedName name="achart7" hidden="1">#REF!</definedName>
    <definedName name="achart8" hidden="1">#REF!</definedName>
    <definedName name="achart9" hidden="1">#REF!</definedName>
    <definedName name="ACMUR">#REF!</definedName>
    <definedName name="açoeeer" hidden="1">{#N/A,#N/A,FALSE,"Plan1";#N/A,#N/A,FALSE,"Plan2"}</definedName>
    <definedName name="ACOMP">#REF!</definedName>
    <definedName name="ACONT2">#REF!</definedName>
    <definedName name="ACPIPA">#REF!</definedName>
    <definedName name="ACTRANSP">#REF!</definedName>
    <definedName name="ACwvu.Características." hidden="1">#REF!</definedName>
    <definedName name="ACwvu.Ciclos." hidden="1">#REF!</definedName>
    <definedName name="ACwvu.Custos." hidden="1">#REF!</definedName>
    <definedName name="ACwvu.PLANILHA2." hidden="1">#REF!</definedName>
    <definedName name="ACwvu.Recursos." hidden="1">#REF!</definedName>
    <definedName name="ad" hidden="1">{#N/A,#N/A,FALSE,"Plan1";#N/A,#N/A,FALSE,"Plan2"}</definedName>
    <definedName name="adads" hidden="1">{#N/A,#N/A,FALSE,"Plan1";#N/A,#N/A,FALSE,"Plan2"}</definedName>
    <definedName name="adads2" hidden="1">{#N/A,#N/A,FALSE,"Plan1";#N/A,#N/A,FALSE,"Plan2"}</definedName>
    <definedName name="adced" hidden="1">{#N/A,#N/A,FALSE,"Plan1";#N/A,#N/A,FALSE,"Plan2"}</definedName>
    <definedName name="adced2" hidden="1">{#N/A,#N/A,FALSE,"Plan1";#N/A,#N/A,FALSE,"Plan2"}</definedName>
    <definedName name="ader" hidden="1">{#N/A,#N/A,FALSE,"Plan1";#N/A,#N/A,FALSE,"Plan2"}</definedName>
    <definedName name="ader2" hidden="1">{#N/A,#N/A,FALSE,"Plan1";#N/A,#N/A,FALSE,"Plan2"}</definedName>
    <definedName name="adesr" hidden="1">{#N/A,#N/A,FALSE,"Plan1";#N/A,#N/A,FALSE,"Plan2"}</definedName>
    <definedName name="adew" hidden="1">"3ORZTPXRHBU97C8AJ5UM8CAVA"</definedName>
    <definedName name="adewr" hidden="1">{#N/A,#N/A,FALSE,"Plan1";#N/A,#N/A,FALSE,"Plan2"}</definedName>
    <definedName name="adf" hidden="1">{#N/A,#N/A,FALSE,"Plan1";#N/A,#N/A,FALSE,"Plan2"}</definedName>
    <definedName name="ADITIVO_BRUTO">#REF!</definedName>
    <definedName name="ADITIVO_LIQUIDO">#REF!</definedName>
    <definedName name="ADM.EXTERNA">#REF!</definedName>
    <definedName name="adsfr" hidden="1">{#N/A,#N/A,FALSE,"Plan1";#N/A,#N/A,FALSE,"Plan2"}</definedName>
    <definedName name="adssrgtg" hidden="1">{#N/A,#N/A,FALSE,"Plan1";#N/A,#N/A,FALSE,"Plan2"}</definedName>
    <definedName name="adtsetrr6t" hidden="1">{#N/A,#N/A,FALSE,"Plan1";#N/A,#N/A,FALSE,"Plan2"}</definedName>
    <definedName name="ADUCQT">#REF!</definedName>
    <definedName name="adwr" hidden="1">{#N/A,#N/A,FALSE,"Plan1";#N/A,#N/A,FALSE,"Plan2"}</definedName>
    <definedName name="aeiresft" hidden="1">{#N/A,#N/A,FALSE,"Plan1";#N/A,#N/A,FALSE,"Plan2"}</definedName>
    <definedName name="aEL3QE" hidden="1">{#N/A,#N/A,FALSE,"Plan1";#N/A,#N/A,FALSE,"Plan2"}</definedName>
    <definedName name="afeasfre" hidden="1">{#N/A,#N/A,FALSE,"Plan1";#N/A,#N/A,FALSE,"Plan2"}</definedName>
    <definedName name="agdsf" hidden="1">#REF!</definedName>
    <definedName name="ago17RJ">#REF!</definedName>
    <definedName name="AGOSTO">#REF!</definedName>
    <definedName name="agu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H" hidden="1">{#N/A,#N/A,FALSE,"CCTV"}</definedName>
    <definedName name="AITEM">#REF!</definedName>
    <definedName name="Ajudante_Geral">#REF!</definedName>
    <definedName name="ajudante_mes">#REF!</definedName>
    <definedName name="AL">#REF!</definedName>
    <definedName name="ALTADUC">#REF!</definedName>
    <definedName name="ALTBOMB">#REF!</definedName>
    <definedName name="ALTCAP">#REF!</definedName>
    <definedName name="ALTDER">#REF!</definedName>
    <definedName name="ALTEQUIP">#REF!</definedName>
    <definedName name="ALTIEQP">#REF!</definedName>
    <definedName name="ALTMUR">#REF!</definedName>
    <definedName name="ALTRES10">#REF!</definedName>
    <definedName name="ALTRES15">#REF!</definedName>
    <definedName name="ALTRES20">#REF!</definedName>
    <definedName name="ALTTRANS">#REF!</definedName>
    <definedName name="ALUMÍNIO_2">#REF!</definedName>
    <definedName name="angelo">#REF!</definedName>
    <definedName name="anscount" hidden="1">3</definedName>
    <definedName name="AQE" hidden="1">{"'장비'!$A$3:$M$12"}</definedName>
    <definedName name="AQTEMP1">#REF!</definedName>
    <definedName name="AQTEMP2">#REF!</definedName>
    <definedName name="ArComprimido" hidden="1">{"'Estimativa de Lançamento-JAN'!$A$1:$AI$85"}</definedName>
    <definedName name="area" hidden="1">{#N/A,#N/A,FALSE,"Plan1";#N/A,#N/A,FALSE,"Plan2"}</definedName>
    <definedName name="área">#REF!</definedName>
    <definedName name="_xlnm.Print_Area">#REF!</definedName>
    <definedName name="Área_impressão_IM">#REF!</definedName>
    <definedName name="area1">#REF!</definedName>
    <definedName name="Areaimpresso">#REF!</definedName>
    <definedName name="ARM">#REF!</definedName>
    <definedName name="ARMABLOCOS">#REF!</definedName>
    <definedName name="ARMAÇÃO">#REF!</definedName>
    <definedName name="ARQ">#REF!</definedName>
    <definedName name="ARQERR">#REF!</definedName>
    <definedName name="ARQPLAN">#REF!</definedName>
    <definedName name="ARQT">#REF!</definedName>
    <definedName name="ARQTEMP">#REF!</definedName>
    <definedName name="ARQTXT">#REF!</definedName>
    <definedName name="ARTEMP">#REF!</definedName>
    <definedName name="AS">#REF!</definedName>
    <definedName name="AS2DocOpenMode" hidden="1">"AS2DocumentBrowse"</definedName>
    <definedName name="asawe3" hidden="1">{#N/A,#N/A,FALSE,"Plan1";#N/A,#N/A,FALSE,"Plan2"}</definedName>
    <definedName name="ASD" hidden="1">17</definedName>
    <definedName name="ASDA" hidden="1">{#N/A,#N/A,FALSE,"Plan1";#N/A,#N/A,FALSE,"Plan2"}</definedName>
    <definedName name="asdade" hidden="1">{#N/A,#N/A,FALSE,"Plan1";#N/A,#N/A,FALSE,"Plan2"}</definedName>
    <definedName name="asdas" hidden="1">{#N/A,#N/A,FALSE,"Plan1";#N/A,#N/A,FALSE,"Plan2"}</definedName>
    <definedName name="asdawed" hidden="1">{#N/A,#N/A,FALSE,"Plan1";#N/A,#N/A,FALSE,"Plan2"}</definedName>
    <definedName name="ASDER" hidden="1">{#N/A,#N/A,FALSE,"Plan1";#N/A,#N/A,FALSE,"Plan2"}</definedName>
    <definedName name="asderr" hidden="1">{#N/A,#N/A,FALSE,"Plan1";#N/A,#N/A,FALSE,"Plan2"}</definedName>
    <definedName name="asdesre" hidden="1">{#N/A,#N/A,FALSE,"Plan1";#N/A,#N/A,FALSE,"Plan2"}</definedName>
    <definedName name="asdewr" hidden="1">{#N/A,#N/A,FALSE,"Plan1";#N/A,#N/A,FALSE,"Plan2"}</definedName>
    <definedName name="ASDFASDFA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rr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s" hidden="1">{#N/A,#N/A,FALSE,"Plan1";#N/A,#N/A,FALSE,"Plan2"}</definedName>
    <definedName name="asdg" hidden="1">{#N/A,#N/A,FALSE,"Plan1";#N/A,#N/A,FALSE,"Plan2"}</definedName>
    <definedName name="asdjksej" hidden="1">#REF!</definedName>
    <definedName name="asdk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las" hidden="1">{#N/A,#N/A,FALSE,"Plan1";#N/A,#N/A,FALSE,"Plan2"}</definedName>
    <definedName name="asdqwe" hidden="1">{#N/A,#N/A,FALSE,"Plan1";#N/A,#N/A,FALSE,"Plan2"}</definedName>
    <definedName name="asdsa" hidden="1">{#N/A,#N/A,FALSE,"Plan1";#N/A,#N/A,FALSE,"Plan2"}</definedName>
    <definedName name="asdser" hidden="1">{#N/A,#N/A,FALSE,"Plan1";#N/A,#N/A,FALSE,"Plan2"}</definedName>
    <definedName name="asdwef" hidden="1">{#N/A,#N/A,FALSE,"Plan1";#N/A,#N/A,FALSE,"Plan2"}</definedName>
    <definedName name="aseiuw" hidden="1">#REF!</definedName>
    <definedName name="ASET" hidden="1">{#N/A,#N/A,FALSE,"Plan1";#N/A,#N/A,FALSE,"Plan2"}</definedName>
    <definedName name="asfDSF" hidden="1">{#N/A,#N/A,FALSE,"Plan1";#N/A,#N/A,FALSE,"Plan2"}</definedName>
    <definedName name="ASFERTE" hidden="1">{#N/A,#N/A,FALSE,"Plan1";#N/A,#N/A,FALSE,"Plan2"}</definedName>
    <definedName name="asfl" hidden="1">{#N/A,#N/A,FALSE,"Plan1";#N/A,#N/A,FALSE,"Plan2"}</definedName>
    <definedName name="asfsz" hidden="1">{#N/A,#N/A,FALSE,"Plan1";#N/A,#N/A,FALSE,"Plan2"}</definedName>
    <definedName name="askserf" hidden="1">{#N/A,#N/A,FALSE,"Plan1";#N/A,#N/A,FALSE,"Plan2"}</definedName>
    <definedName name="ASSFSDF" hidden="1">{#N/A,#N/A,FALSE,"Plan1";#N/A,#N/A,FALSE,"Plan2"}</definedName>
    <definedName name="asw" hidden="1">{#N/A,#N/A,FALSE,"Plan1";#N/A,#N/A,FALSE,"Plan2"}</definedName>
    <definedName name="Até_Chaves">#REF!</definedName>
    <definedName name="ATIVOS" hidden="1">{#N/A,#N/A,FALSE,"F-01"}</definedName>
    <definedName name="Ato">#REF!</definedName>
    <definedName name="ATUAL">#REF!</definedName>
    <definedName name="aux">#REF!</definedName>
    <definedName name="AUXILIO">#REF!</definedName>
    <definedName name="avulsos">#REF!</definedName>
    <definedName name="awdjw" hidden="1">{#N/A,#N/A,FALSE,"Plan1";#N/A,#N/A,FALSE,"Plan2"}</definedName>
    <definedName name="aweqw4" hidden="1">{#N/A,#N/A,FALSE,"Plan1";#N/A,#N/A,FALSE,"Plan2"}</definedName>
    <definedName name="awssdwaer" hidden="1">{#N/A,#N/A,FALSE,"Plan1";#N/A,#N/A,FALSE,"Plan2"}</definedName>
    <definedName name="AZ" hidden="1">#REF!</definedName>
    <definedName name="B">#REF!</definedName>
    <definedName name="BA">#REF!</definedName>
    <definedName name="balão1">"AutoForma 17"</definedName>
    <definedName name="BANCO">#REF!</definedName>
    <definedName name="Banco_dados_IM">#REF!</definedName>
    <definedName name="_xlnm.Database">#REF!</definedName>
    <definedName name="BANCO1">#REF!</definedName>
    <definedName name="BANCO2">#REF!</definedName>
    <definedName name="BANCO3">#REF!</definedName>
    <definedName name="BANCO4">#REF!</definedName>
    <definedName name="BASE">OFFSET(#REF!,0,0,COUNTA(#REF!)+1,5)</definedName>
    <definedName name="BASE_DE_DADOS_FLUXO_DE_CAIXA">OFFSET(#REF!,0,0,COUNTA(#REF!),COUNTA(#REF!))</definedName>
    <definedName name="BASE_FL_CX_3S">OFFSET(#REF!,0,0,COUNTA(#REF!),COUNTA(#REF!))</definedName>
    <definedName name="BASE_FLUXO_CAIXA_2017">OFFSET(#REF!,0,0,COUNTA(#REF!),COUNTA(#REF!))</definedName>
    <definedName name="bb">#REF!</definedName>
    <definedName name="bbb">#REF!</definedName>
    <definedName name="bbbbbbbbbbbbbbb" hidden="1">{"'Edit'!$A$1:$V$2277"}</definedName>
    <definedName name="bchar10" hidden="1">#REF!</definedName>
    <definedName name="bchart1" hidden="1">#REF!</definedName>
    <definedName name="bchart11" hidden="1">#REF!</definedName>
    <definedName name="bchart12" hidden="1">#REF!</definedName>
    <definedName name="bchart13" hidden="1">#REF!</definedName>
    <definedName name="bchart14" hidden="1">#REF!</definedName>
    <definedName name="bchart15" hidden="1">#REF!</definedName>
    <definedName name="bchart16" hidden="1">#REF!</definedName>
    <definedName name="bchart17" hidden="1">#REF!</definedName>
    <definedName name="bchart18" hidden="1">#REF!</definedName>
    <definedName name="bchart19" hidden="1">#REF!</definedName>
    <definedName name="bchart2" hidden="1">#REF!</definedName>
    <definedName name="bchart20" hidden="1">#REF!</definedName>
    <definedName name="bchart21" hidden="1">#REF!</definedName>
    <definedName name="bchart22" hidden="1">#REF!</definedName>
    <definedName name="bchart23" hidden="1">#REF!</definedName>
    <definedName name="bchart24" hidden="1">#REF!</definedName>
    <definedName name="bchart25" hidden="1">#REF!</definedName>
    <definedName name="bchart26" hidden="1">#REF!</definedName>
    <definedName name="bchart27" hidden="1">#REF!</definedName>
    <definedName name="bchart28" hidden="1">#REF!</definedName>
    <definedName name="bchart29" hidden="1">#REF!</definedName>
    <definedName name="bchart3" hidden="1">#REF!</definedName>
    <definedName name="bchart30" hidden="1">#REF!</definedName>
    <definedName name="bchart31" hidden="1">#REF!</definedName>
    <definedName name="bchart32" hidden="1">#REF!</definedName>
    <definedName name="bchart4" hidden="1">#REF!</definedName>
    <definedName name="bchart5" hidden="1">#REF!</definedName>
    <definedName name="bchart6" hidden="1">#REF!</definedName>
    <definedName name="bchart7" hidden="1">#REF!</definedName>
    <definedName name="bchart8" hidden="1">#REF!</definedName>
    <definedName name="bchart9" hidden="1">#REF!</definedName>
    <definedName name="BD">#REF!</definedName>
    <definedName name="BDA">#REF!</definedName>
    <definedName name="bdfjghf" hidden="1">{#N/A,#N/A,FALSE,"Plan1";#N/A,#N/A,FALSE,"Plan2"}</definedName>
    <definedName name="BDI">1.43344312465585</definedName>
    <definedName name="bdzbfbdr" hidden="1">{#N/A,#N/A,FALSE,"Plan1";#N/A,#N/A,FALSE,"Plan2"}</definedName>
    <definedName name="be">#REF!</definedName>
    <definedName name="bebqt">#REF!</definedName>
    <definedName name="bela_cdi">#REF!</definedName>
    <definedName name="bela_hist">#REF!</definedName>
    <definedName name="bela_uss">#REF!</definedName>
    <definedName name="bg" hidden="1">#REF!</definedName>
    <definedName name="BGG" hidden="1">{#N/A,#N/A,FALSE,"Plan1";#N/A,#N/A,FALSE,"Plan2"}</definedName>
    <definedName name="bhjgfhfh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SDKHFE" hidden="1">{#N/A,#N/A,FALSE,"Plan1";#N/A,#N/A,FALSE,"Plan2"}</definedName>
    <definedName name="bloco">#REF!</definedName>
    <definedName name="BLPH1" hidden="1">#REF!</definedName>
    <definedName name="BLPH100" hidden="1">#REF!</definedName>
    <definedName name="BLPH101" hidden="1">#REF!</definedName>
    <definedName name="BLPH102" hidden="1">#REF!</definedName>
    <definedName name="BLPH103" hidden="1">#REF!</definedName>
    <definedName name="BLPH104" hidden="1">#REF!</definedName>
    <definedName name="BLPH107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bmdgghrtfde" hidden="1">{#N/A,#N/A,FALSE,"Plan1";#N/A,#N/A,FALSE,"Plan2"}</definedName>
    <definedName name="bnkjhjhdfxgt" hidden="1">{#N/A,#N/A,FALSE,"Plan1";#N/A,#N/A,FALSE,"Plan2"}</definedName>
    <definedName name="BORBA2">#REF!</definedName>
    <definedName name="BORDA1">#N/A</definedName>
    <definedName name="BuiltIn_Print_Area">#REF!</definedName>
    <definedName name="BuiltIn_Print_Area___0">#REF!</definedName>
    <definedName name="BuiltIn_Print_Titles">#REF!</definedName>
    <definedName name="BuiltIn_Print_Titles___0">#REF!</definedName>
    <definedName name="BV" hidden="1">#REF!</definedName>
    <definedName name="bxnzfmkzxbhdf" hidden="1">{#N/A,#N/A,FALSE,"Plan1";#N/A,#N/A,FALSE,"Plan2"}</definedName>
    <definedName name="ca">#REF!</definedName>
    <definedName name="CAB">#N/A</definedName>
    <definedName name="CAFS">"Carlos Antonio Fernandes da Silva"</definedName>
    <definedName name="CAGR">#REF!</definedName>
    <definedName name="caixa">#REF!</definedName>
    <definedName name="caix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mbio">#REF!</definedName>
    <definedName name="CAMP">#REF!</definedName>
    <definedName name="CAMPOS">#REF!</definedName>
    <definedName name="çaos\ewapo" hidden="1">{#N/A,#N/A,FALSE,"Plan1";#N/A,#N/A,FALSE,"Plan2"}</definedName>
    <definedName name="Capa">#REF!</definedName>
    <definedName name="CAPA2">#REF!</definedName>
    <definedName name="CAPA55">#REF!</definedName>
    <definedName name="CAPA55A">#REF!</definedName>
    <definedName name="CAPELA">#REF!</definedName>
    <definedName name="CARLA" hidden="1">#REF!</definedName>
    <definedName name="CARLOS1">#REF!</definedName>
    <definedName name="CARTÃO4">#REF!</definedName>
    <definedName name="CAT6_IP" hidden="1">{#N/A,#N/A,FALSE,"F-01"}</definedName>
    <definedName name="categori45">#REF!</definedName>
    <definedName name="CATEGORIA1">#REF!</definedName>
    <definedName name="CATEGORIA10">#REF!</definedName>
    <definedName name="CATEGORIA11">#REF!</definedName>
    <definedName name="CATEGORIA12">#REF!</definedName>
    <definedName name="CATEGORIA13">#REF!</definedName>
    <definedName name="CATEGORIA14">#REF!</definedName>
    <definedName name="CATEGORIA15">#REF!</definedName>
    <definedName name="CATEGORIA16">#REF!</definedName>
    <definedName name="CATEGORIA17">#REF!</definedName>
    <definedName name="CATEGORIA18">#REF!</definedName>
    <definedName name="CATEGORIA19">#REF!</definedName>
    <definedName name="CATEGORIA2">#REF!</definedName>
    <definedName name="CATEGORIA20">#REF!</definedName>
    <definedName name="CATEGORIA21">#REF!</definedName>
    <definedName name="CATEGORIA22">#REF!</definedName>
    <definedName name="CATEGORIA3">#REF!</definedName>
    <definedName name="CATEGORIA4">#REF!</definedName>
    <definedName name="CATEGORIA5">#REF!</definedName>
    <definedName name="CATEGORIA6">#REF!</definedName>
    <definedName name="CATEGORIA7">#REF!</definedName>
    <definedName name="CATEGORIA8">#REF!</definedName>
    <definedName name="CATEGORIA9">#REF!</definedName>
    <definedName name="CATORZE">#REF!</definedName>
    <definedName name="CAUX2">OFFSET(#REF!,0,0,COUNTA(#REF!)+1,1)</definedName>
    <definedName name="CAUX3">OFFSET(#REF!,0,0,COUNTA(#REF!)+1,1)</definedName>
    <definedName name="CCC">#REF!</definedName>
    <definedName name="ççç" hidden="1">{#N/A,#N/A,FALSE,"Plan1";#N/A,#N/A,FALSE,"Plan2"}</definedName>
    <definedName name="cccc" hidden="1">{#N/A,#N/A,FALSE,"Plan1";#N/A,#N/A,FALSE,"Plan2"}</definedName>
    <definedName name="ççççççç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cccccccc" hidden="1">{"HW",#N/A,FALSE,"1998"}</definedName>
    <definedName name="cchart1" hidden="1">#REF!</definedName>
    <definedName name="cchart10" hidden="1">#REF!</definedName>
    <definedName name="cchart11" hidden="1">#REF!</definedName>
    <definedName name="cchart12" hidden="1">#REF!</definedName>
    <definedName name="cchart13" hidden="1">#REF!</definedName>
    <definedName name="cchart14" hidden="1">#REF!</definedName>
    <definedName name="cchart15" hidden="1">#REF!</definedName>
    <definedName name="cchart16" hidden="1">#REF!</definedName>
    <definedName name="cchart17" hidden="1">#REF!</definedName>
    <definedName name="cchart18" hidden="1">#REF!</definedName>
    <definedName name="cchart19" hidden="1">#REF!</definedName>
    <definedName name="cchart2" hidden="1">#REF!</definedName>
    <definedName name="cchart20" hidden="1">#REF!</definedName>
    <definedName name="cchart21" hidden="1">#REF!</definedName>
    <definedName name="cchart22" hidden="1">#REF!</definedName>
    <definedName name="cchart23" hidden="1">#REF!</definedName>
    <definedName name="cchart24" hidden="1">#REF!</definedName>
    <definedName name="cchart25" hidden="1">#REF!</definedName>
    <definedName name="cchart26" hidden="1">#REF!</definedName>
    <definedName name="cchart27" hidden="1">#REF!</definedName>
    <definedName name="cchart28" hidden="1">#REF!</definedName>
    <definedName name="cchart29" hidden="1">#REF!</definedName>
    <definedName name="cchart3" hidden="1">#REF!</definedName>
    <definedName name="cchart31" hidden="1">#REF!</definedName>
    <definedName name="cchart32" hidden="1">#REF!</definedName>
    <definedName name="cchart4" hidden="1">#REF!</definedName>
    <definedName name="cchart5" hidden="1">#REF!</definedName>
    <definedName name="cchart6" hidden="1">#REF!</definedName>
    <definedName name="cchart7" hidden="1">#REF!</definedName>
    <definedName name="cchart8" hidden="1">#REF!</definedName>
    <definedName name="cchart9" hidden="1">#REF!</definedName>
    <definedName name="çcklfj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D">#REF!</definedName>
    <definedName name="çdfmerf" hidden="1">{#N/A,#N/A,FALSE,"Plan1";#N/A,#N/A,FALSE,"Plan2"}</definedName>
    <definedName name="CDSGHE" hidden="1">{#N/A,#N/A,FALSE,"Plan1";#N/A,#N/A,FALSE,"Plan2"}</definedName>
    <definedName name="cdvthd">#REF!</definedName>
    <definedName name="Cel_Constr">#REF!</definedName>
    <definedName name="CestaExcel">#REF!</definedName>
    <definedName name="CevaG">#REF!</definedName>
    <definedName name="CevaGS">#REF!</definedName>
    <definedName name="çfhjglkjhkljy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lçf" hidden="1">{#N/A,#N/A,FALSE,"Plan1";#N/A,#N/A,FALSE,"Plan2"}</definedName>
    <definedName name="CHAFQT">#REF!</definedName>
    <definedName name="Chaves">#REF!</definedName>
    <definedName name="chfch" hidden="1">{#N/A,#N/A,FALSE,"Plan1";#N/A,#N/A,FALSE,"Plan2"}</definedName>
    <definedName name="CI">#REF!</definedName>
    <definedName name="cidades">#REF!</definedName>
    <definedName name="CIFIXA">#REF!</definedName>
    <definedName name="CINCO">#REF!</definedName>
    <definedName name="CITOTAL">#REF!</definedName>
    <definedName name="CIVAR">#REF!</definedName>
    <definedName name="ÇJKRÇLFS" hidden="1">{"Econ Consolidado",#N/A,FALSE,"Econ Consol";"Fluxo de Caixa",#N/A,FALSE,"Fluxo Caixa";"Investimentos",#N/A,FALSE,"Investimentos"}</definedName>
    <definedName name="ÇJsrejtçe" hidden="1">{#N/A,#N/A,FALSE,"Plan1";#N/A,#N/A,FALSE,"Plan2"}</definedName>
    <definedName name="çkaçekow" hidden="1">{#N/A,#N/A,FALSE,"Plan1";#N/A,#N/A,FALSE,"Plan2"}</definedName>
    <definedName name="ÇKSDOEKR" hidden="1">{#N/A,#N/A,FALSE,"Plan1";#N/A,#N/A,FALSE,"Plan2"}</definedName>
    <definedName name="çl" hidden="1">{#N/A,#N/A,FALSE,"Plan1";#N/A,#N/A,FALSE,"Plan2"}</definedName>
    <definedName name="çlassde" hidden="1">{#N/A,#N/A,FALSE,"Plan1";#N/A,#N/A,FALSE,"Plan2"}</definedName>
    <definedName name="Classificação">#REF!</definedName>
    <definedName name="çlçlç" hidden="1">{#N/A,#N/A,FALSE,"Plan1";#N/A,#N/A,FALSE,"Plan2"}</definedName>
    <definedName name="çld" hidden="1">{#N/A,#N/A,FALSE,"Plan1";#N/A,#N/A,FALSE,"Plan2"}</definedName>
    <definedName name="çlererr" hidden="1">{#N/A,#N/A,FALSE,"Plan1";#N/A,#N/A,FALSE,"Plan2"}</definedName>
    <definedName name="çlertert" hidden="1">{#N/A,#N/A,FALSE,"Plan1";#N/A,#N/A,FALSE,"Plan2"}</definedName>
    <definedName name="çlkdflçkrlr" hidden="1">#REF!</definedName>
    <definedName name="çll" hidden="1">{#N/A,#N/A,FALSE,"Plan1";#N/A,#N/A,FALSE,"Plan2"}</definedName>
    <definedName name="C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BRANÇA">#REF!</definedName>
    <definedName name="Cod_Esquadrias">#REF!</definedName>
    <definedName name="CÓDG">OFFSET(#REF!,0,0,COUNTA(#REF!),1)</definedName>
    <definedName name="codigo2">#REF!</definedName>
    <definedName name="codigo3">#REF!</definedName>
    <definedName name="CÓDT">OFFSET(#REF!,0,0,COUNTA(#REF!)+1,1)</definedName>
    <definedName name="COFINS">#REF!</definedName>
    <definedName name="cofins2">#REF!</definedName>
    <definedName name="COGS">#REF!</definedName>
    <definedName name="COLSUB">#REF!</definedName>
    <definedName name="COMISSOES">#REF!</definedName>
    <definedName name="COMPOSICAO">#REF!</definedName>
    <definedName name="composição">#REF!</definedName>
    <definedName name="COMPR">#REF!</definedName>
    <definedName name="COMPRIMENTO">#REF!</definedName>
    <definedName name="COMPROMETIDO">#REF!</definedName>
    <definedName name="CONFIRMAR" hidden="1">{#N/A,#N/A,TRUE,"Quinzena 01 à 15-04-98 "}</definedName>
    <definedName name="cont" hidden="1">{#N/A,#N/A,FALSE,"Plan1";#N/A,#N/A,FALSE,"Plan2"}</definedName>
    <definedName name="CONT1">#REF!</definedName>
    <definedName name="CONT2">#REF!</definedName>
    <definedName name="CONT3">#REF!</definedName>
    <definedName name="CONTAIT">#REF!</definedName>
    <definedName name="CONTREC">#REF!</definedName>
    <definedName name="CONTRES">#REF!</definedName>
    <definedName name="CONTROLE">#REF!</definedName>
    <definedName name="CONVERSÃO">#REF!</definedName>
    <definedName name="cpmf">#REF!</definedName>
    <definedName name="Credor_Rel_Sienge">#REF!</definedName>
    <definedName name="_xlnm.Criteria">#REF!</definedName>
    <definedName name="CRONG">#REF!</definedName>
    <definedName name="cronograma">#REF!</definedName>
    <definedName name="CRONOGRAMA_FÍSICO_FINANCEIRO">#REF!</definedName>
    <definedName name="CS">#REF!</definedName>
    <definedName name="cs_diferida">#REF!</definedName>
    <definedName name="ÇSAÇDFW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dkfçdrkt" hidden="1">#REF!</definedName>
    <definedName name="CS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LÇDLFKD" hidden="1">{#N/A,#N/A,FALSE,"Plan1";#N/A,#N/A,FALSE,"Plan2"}</definedName>
    <definedName name="CT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UST_DIR_IND">#REF!</definedName>
    <definedName name="CUSTINDIRETO">#REF!</definedName>
    <definedName name="CUSTO_DIR_IND">#REF!</definedName>
    <definedName name="Custo_Direto_de_Obras_Civis_e_Instalações_...........................................">#REF!</definedName>
    <definedName name="Custo_Direto_em_geral">#REF!</definedName>
    <definedName name="custo_financing">#REF!</definedName>
    <definedName name="CUSTO_OUTROS">#REF!</definedName>
    <definedName name="Custo_Outros1">#REF!</definedName>
    <definedName name="CUSTODIRETO">#REF!</definedName>
    <definedName name="CUSTODIRETO_R">#REF!</definedName>
    <definedName name="CUSTODIRETO_U">#REF!</definedName>
    <definedName name="CUSTODIRETO1">#REF!</definedName>
    <definedName name="CUSTOFIN">#REF!</definedName>
    <definedName name="d">#REF!</definedName>
    <definedName name="da">#REF!</definedName>
    <definedName name="dalm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sfrt" hidden="1">{#N/A,#N/A,FALSE,"Plan1";#N/A,#N/A,FALSE,"Plan2"}</definedName>
    <definedName name="DATA">#REF!</definedName>
    <definedName name="Data_base">#REF!</definedName>
    <definedName name="data_base_VL">#REF!</definedName>
    <definedName name="DATA_COTAÇÃO">#REF!</definedName>
    <definedName name="DATA_ENTREGA">#REF!</definedName>
    <definedName name="DATA_FECHA">#REF!</definedName>
    <definedName name="Data_Inicio">#REF!</definedName>
    <definedName name="Data_Lançado_Sienge">#REF!</definedName>
    <definedName name="Data_Pagamento_Sienge">#REF!</definedName>
    <definedName name="Data_Previsão_Medição_Fin_Medição">#REF!</definedName>
    <definedName name="Data_Tendência_Recebimento_Fin_Medições">#REF!</definedName>
    <definedName name="DATA1">#REF!</definedName>
    <definedName name="DATA3">#REF!</definedName>
    <definedName name="DATA4">#REF!</definedName>
    <definedName name="DATA6">#REF!</definedName>
    <definedName name="DataChaves_MAP">#REF!</definedName>
    <definedName name="DatasOut13AteDez20">#REF!</definedName>
    <definedName name="DÇDL" hidden="1">{#N/A,#N/A,FALSE,"Plan1";#N/A,#N/A,FALSE,"Plan2"}</definedName>
    <definedName name="dchart26" hidden="1">#REF!</definedName>
    <definedName name="dchart31" hidden="1">#REF!</definedName>
    <definedName name="dcnsfgdjkgb" hidden="1">{#N/A,#N/A,FALSE,"Plan1";#N/A,#N/A,FALSE,"Plan2"}</definedName>
    <definedName name="DÇWK" hidden="1">{#N/A,#N/A,FALSE,"Plan1";#N/A,#N/A,FALSE,"Plan2"}</definedName>
    <definedName name="D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D">#REF!</definedName>
    <definedName name="ddddd" hidden="1">{#N/A,#N/A,FALSE,"Plan1";#N/A,#N/A,FALSE,"Plan2"}</definedName>
    <definedName name="ddddddddddd">#REF!</definedName>
    <definedName name="dddddddddddddddddddddddddd">#REF!</definedName>
    <definedName name="dddddddddddddppppppppp">#REF!</definedName>
    <definedName name="dde" hidden="1">{#N/A,#N/A,FALSE,"Plan1";#N/A,#N/A,FALSE,"Plan2"}</definedName>
    <definedName name="ddfs" hidden="1">#REF!</definedName>
    <definedName name="ddgfdvgd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SFG" hidden="1">{#N/A,#N/A,FALSE,"Plan1";#N/A,#N/A,FALSE,"Plan2"}</definedName>
    <definedName name="dede" hidden="1">{#N/A,#N/A,FALSE,"Plan1";#N/A,#N/A,FALSE,"Plan2"}</definedName>
    <definedName name="defasagem">OFFSET(INDEX(#REF!,MATCH(#REF!,#REF!,0)),1,0,COUNTA(#REF!)-1)</definedName>
    <definedName name="depara">#REF!</definedName>
    <definedName name="DERIVQT">#REF!</definedName>
    <definedName name="des" hidden="1">{#N/A,#N/A,FALSE,"Plan1";#N/A,#N/A,FALSE,"Plan2"}</definedName>
    <definedName name="desc" hidden="1">{#N/A,#N/A,FALSE,"Plan1";#N/A,#N/A,FALSE,"Plan2"}</definedName>
    <definedName name="DESCONTO">#REF!</definedName>
    <definedName name="DESCRIÇÃO_OBRA">#REF!</definedName>
    <definedName name="DespFatur">#REF!</definedName>
    <definedName name="DEZ">#REF!</definedName>
    <definedName name="dez17RJ">#REF!</definedName>
    <definedName name="DEZEMBRO">#REF!</definedName>
    <definedName name="DEZENOVE">#REF!</definedName>
    <definedName name="DEZESSEIS">#REF!</definedName>
    <definedName name="DEZESSETE">#REF!</definedName>
    <definedName name="DEZOITO">#REF!</definedName>
    <definedName name="d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" hidden="1">{#N/A,#N/A,FALSE,"명세표"}</definedName>
    <definedName name="dfdfty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jgfdfgdf" hidden="1">{#N/A,#N/A,FALSE,"Plan1";#N/A,#N/A,FALSE,"Plan2"}</definedName>
    <definedName name="dfdrtrr" hidden="1">{#N/A,#N/A,FALSE,"Plan1";#N/A,#N/A,FALSE,"Plan2"}</definedName>
    <definedName name="DFDSG" hidden="1">{#N/A,#N/A,FALSE,"Plan1";#N/A,#N/A,FALSE,"Plan2"}</definedName>
    <definedName name="dfer" hidden="1">{#N/A,#N/A,FALSE,"Plan1";#N/A,#N/A,FALSE,"Plan2"}</definedName>
    <definedName name="dffbty" hidden="1">{#N/A,#N/A,FALSE,"Plan1";#N/A,#N/A,FALSE,"Plan2"}</definedName>
    <definedName name="dffg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hg" hidden="1">{#N/A,#N/A,FALSE,"Plan1";#N/A,#N/A,FALSE,"Plan2"}</definedName>
    <definedName name="dfg" hidden="1">{#N/A,#N/A,FALSE,"Plan1";#N/A,#N/A,FALSE,"Plan2"}</definedName>
    <definedName name="dfgdf" hidden="1">{#N/A,#N/A,FALSE,"Plan1";#N/A,#N/A,FALSE,"Plan2"}</definedName>
    <definedName name="dfgdytygr" hidden="1">{#N/A,#N/A,FALSE,"Plan1";#N/A,#N/A,FALSE,"Plan2"}</definedName>
    <definedName name="dfgftrrdt5" hidden="1">{#N/A,#N/A,FALSE,"Plan1";#N/A,#N/A,FALSE,"Plan2"}</definedName>
    <definedName name="dfgh">#REF!</definedName>
    <definedName name="dfghjfhsg" hidden="1">{#N/A,#N/A,FALSE,"Plan1";#N/A,#N/A,FALSE,"Plan2"}</definedName>
    <definedName name="dfgj" hidden="1">{#N/A,#N/A,FALSE,"Plan1";#N/A,#N/A,FALSE,"Plan2"}</definedName>
    <definedName name="dfgjfttyd" hidden="1">{#N/A,#N/A,FALSE,"Plan1";#N/A,#N/A,FALSE,"Plan2"}</definedName>
    <definedName name="dfgjjtdrtg" hidden="1">{#N/A,#N/A,FALSE,"Plan1";#N/A,#N/A,FALSE,"Plan2"}</definedName>
    <definedName name="dfgt" hidden="1">{#N/A,#N/A,FALSE,"Plan1";#N/A,#N/A,FALSE,"Plan2"}</definedName>
    <definedName name="dfgtrkjhk" hidden="1">{#N/A,#N/A,FALSE,"Plan1";#N/A,#N/A,FALSE,"Plan2"}</definedName>
    <definedName name="dfgty" hidden="1">{#N/A,#N/A,FALSE,"Plan1";#N/A,#N/A,FALSE,"Plan2"}</definedName>
    <definedName name="dfhdgfdgf" hidden="1">{#N/A,#N/A,FALSE,"Plan1";#N/A,#N/A,FALSE,"Plan2"}</definedName>
    <definedName name="DFHDJGJFHJGF" hidden="1">{#N/A,#N/A,FALSE,"Plan1";#N/A,#N/A,FALSE,"Plan2"}</definedName>
    <definedName name="dfhdyg" hidden="1">{#N/A,#N/A,FALSE,"Plan1";#N/A,#N/A,FALSE,"Plan2"}</definedName>
    <definedName name="DFHGDHUR" hidden="1">{#N/A,#N/A,FALSE,"Plan1";#N/A,#N/A,FALSE,"Plan2"}</definedName>
    <definedName name="dfhgjfgdhfjdrf" hidden="1">{#N/A,#N/A,FALSE,"Plan1";#N/A,#N/A,FALSE,"Plan2"}</definedName>
    <definedName name="dfhgkhfut" hidden="1">{#N/A,#N/A,FALSE,"Plan1";#N/A,#N/A,FALSE,"Plan2"}</definedName>
    <definedName name="dfhgkjdhkjghjd" hidden="1">#REF!</definedName>
    <definedName name="dfhguitrhfg" hidden="1">{#N/A,#N/A,FALSE,"Plan1";#N/A,#N/A,FALSE,"Plan2"}</definedName>
    <definedName name="DFHKHDGKJHDKS" hidden="1">{#N/A,#N/A,FALSE,"Plan1";#N/A,#N/A,FALSE,"Plan2"}</definedName>
    <definedName name="dfijvnqienvvnjv">#REF!</definedName>
    <definedName name="dfjgjfhykj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kgtdftr" hidden="1">{#N/A,#N/A,FALSE,"Plan1";#N/A,#N/A,FALSE,"Plan2"}</definedName>
    <definedName name="dfkhgf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nfhkdrj" hidden="1">{#N/A,#N/A,FALSE,"Plan1";#N/A,#N/A,FALSE,"Plan2"}</definedName>
    <definedName name="dfnert" hidden="1">{#N/A,#N/A,FALSE,"Plan1";#N/A,#N/A,FALSE,"Plan2"}</definedName>
    <definedName name="dfrt" hidden="1">{#N/A,#N/A,FALSE,"Plan1";#N/A,#N/A,FALSE,"Plan2"}</definedName>
    <definedName name="dfsdr5tt" hidden="1">{#N/A,#N/A,FALSE,"Plan1";#N/A,#N/A,FALSE,"Plan2"}</definedName>
    <definedName name="dfsds" hidden="1">#REF!</definedName>
    <definedName name="dfsd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r" hidden="1">{#N/A,#N/A,FALSE,"Plan1";#N/A,#N/A,FALSE,"Plan2"}</definedName>
    <definedName name="dfsf" hidden="1">{#N/A,#N/A,FALSE,"Plan1";#N/A,#N/A,FALSE,"Plan2"}</definedName>
    <definedName name="DFT" hidden="1">{#N/A,#N/A,FALSE,"Plan1";#N/A,#N/A,FALSE,"Plan2"}</definedName>
    <definedName name="DFTRTTY" hidden="1">{#N/A,#N/A,FALSE,"Plan1";#N/A,#N/A,FALSE,"Plan2"}</definedName>
    <definedName name="dfurghifdjyhits" hidden="1">{#N/A,#N/A,FALSE,"Plan1";#N/A,#N/A,FALSE,"Plan2"}</definedName>
    <definedName name="dfxgdrged" hidden="1">{#N/A,#N/A,FALSE,"Plan1";#N/A,#N/A,FALSE,"Plan2"}</definedName>
    <definedName name="dgfrtyt" hidden="1">{#N/A,#N/A,FALSE,"Plan1";#N/A,#N/A,FALSE,"Plan2"}</definedName>
    <definedName name="dggfdg" hidden="1">{#N/A,#N/A,FALSE,"Plan1";#N/A,#N/A,FALSE,"Plan2"}</definedName>
    <definedName name="dgldfhgkljslh" hidden="1">{#N/A,#N/A,FALSE,"Plan1";#N/A,#N/A,FALSE,"Plan2"}</definedName>
    <definedName name="dhfgdhrehrwe" hidden="1">{#N/A,#N/A,FALSE,"Plan1";#N/A,#N/A,FALSE,"Plan2"}</definedName>
    <definedName name="dhgfdgrfgdfgd" hidden="1">{#N/A,#N/A,FALSE,"Plan1";#N/A,#N/A,FALSE,"Plan2"}</definedName>
    <definedName name="dhkjfhdhfjdh" hidden="1">{#N/A,#N/A,FALSE,"Plan1";#N/A,#N/A,FALSE,"Plan2"}</definedName>
    <definedName name="DHTJRT" hidden="1">{#N/A,#N/A,FALSE,"Plan1";#N/A,#N/A,FALSE,"Plan2"}</definedName>
    <definedName name="DI">#REF!</definedName>
    <definedName name="dia3estac">#REF!</definedName>
    <definedName name="diaestaca">#REF!</definedName>
    <definedName name="diambase">#REF!</definedName>
    <definedName name="DIFQT">#REF!</definedName>
    <definedName name="dijghdhks" hidden="1">{#N/A,#N/A,FALSE,"Plan1";#N/A,#N/A,FALSE,"Plan2"}</definedName>
    <definedName name="DIMENSÕES">#REF!</definedName>
    <definedName name="DIR_OPER">#REF!</definedName>
    <definedName name="DIR_TECNICO">#REF!</definedName>
    <definedName name="direto">#REF!</definedName>
    <definedName name="DIRETORIA">#REF!</definedName>
    <definedName name="diretorias">#REF!</definedName>
    <definedName name="Discrim">#REF!</definedName>
    <definedName name="DISCRIMINAÇÃO">#REF!</definedName>
    <definedName name="Discriminação_Controladoria">#REF!</definedName>
    <definedName name="DistCidade">#REF!</definedName>
    <definedName name="distratos">#REF!</definedName>
    <definedName name="div">#REF!</definedName>
    <definedName name="djasdrjas" hidden="1">{#N/A,#N/A,FALSE,"Plan1";#N/A,#N/A,FALSE,"Plan2"}</definedName>
    <definedName name="dj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khjhfgrgdfh" hidden="1">{#N/A,#N/A,FALSE,"Plan1";#N/A,#N/A,FALSE,"Plan2"}</definedName>
    <definedName name="djfkhsdkjhf" hidden="1">{#N/A,#N/A,FALSE,"Plan1";#N/A,#N/A,FALSE,"Plan2"}</definedName>
    <definedName name="djfldjsgljslkjtg" hidden="1">{#N/A,#N/A,FALSE,"Plan1";#N/A,#N/A,FALSE,"Plan2"}</definedName>
    <definedName name="djflkdjgdth" hidden="1">{#N/A,#N/A,FALSE,"Plan1";#N/A,#N/A,FALSE,"Plan2"}</definedName>
    <definedName name="DJFLKDJGKTJYJT" hidden="1">{#N/A,#N/A,FALSE,"Plan1";#N/A,#N/A,FALSE,"Plan2"}</definedName>
    <definedName name="djgkfjgtiyty" hidden="1">{#N/A,#N/A,FALSE,"Plan1";#N/A,#N/A,FALSE,"Plan2"}</definedName>
    <definedName name="djrkehrjfhng" hidden="1">{#N/A,#N/A,FALSE,"Plan1";#N/A,#N/A,FALSE,"Plan2"}</definedName>
    <definedName name="djswfr" hidden="1">#REF!</definedName>
    <definedName name="djtkjldfr" hidden="1">{#N/A,#N/A,FALSE,"Plan1";#N/A,#N/A,FALSE,"Plan2"}</definedName>
    <definedName name="DJXDLFGDFG" hidden="1">{#N/A,#N/A,FALSE,"Plan1";#N/A,#N/A,FALSE,"Plan2"}</definedName>
    <definedName name="dkdkdkdkd" hidden="1">{#N/A,#N/A,FALSE,"명세표"}</definedName>
    <definedName name="dkfhskgf" hidden="1">{#N/A,#N/A,FALSE,"Plan1";#N/A,#N/A,FALSE,"Plan2"}</definedName>
    <definedName name="dkjfk" hidden="1">{#N/A,#N/A,FALSE,"Plan1";#N/A,#N/A,FALSE,"Plan2"}</definedName>
    <definedName name="DKLD" hidden="1">{#N/A,#N/A,FALSE,"Plan1";#N/A,#N/A,FALSE,"Plan2"}</definedName>
    <definedName name="DKLFJDKFD" hidden="1">{#N/A,#N/A,FALSE,"Plan1";#N/A,#N/A,FALSE,"Plan2"}</definedName>
    <definedName name="dklfjgirtgid" hidden="1">{#N/A,#N/A,FALSE,"Plan1";#N/A,#N/A,FALSE,"Plan2"}</definedName>
    <definedName name="dklf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mbfmndbmtrhed" hidden="1">{#N/A,#N/A,FALSE,"Plan1";#N/A,#N/A,FALSE,"Plan2"}</definedName>
    <definedName name="DNFJKDHTKRE" hidden="1">{#N/A,#N/A,FALSE,"Plan1";#N/A,#N/A,FALSE,"Plan2"}</definedName>
    <definedName name="d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CUMENT">#REF!</definedName>
    <definedName name="DOIS">#REF!</definedName>
    <definedName name="dolar">#REF!</definedName>
    <definedName name="dolar_dez">#REF!</definedName>
    <definedName name="dolar_nov">#REF!</definedName>
    <definedName name="dolar_out">#REF!</definedName>
    <definedName name="dolar2">#REF!</definedName>
    <definedName name="dolarabr">#REF!</definedName>
    <definedName name="dolarabr02">#REF!</definedName>
    <definedName name="DolarAgo">#REF!</definedName>
    <definedName name="dolarago02">#REF!</definedName>
    <definedName name="dolardez">#REF!</definedName>
    <definedName name="dolarfev">#REF!</definedName>
    <definedName name="dolarfev02">#REF!</definedName>
    <definedName name="dolarfimdez">#REF!</definedName>
    <definedName name="dolarFimJun">#REF!</definedName>
    <definedName name="dolarfindez">#REF!</definedName>
    <definedName name="dolarfinmar">#REF!</definedName>
    <definedName name="DolarFinSet">#REF!</definedName>
    <definedName name="dolarjan">#REF!</definedName>
    <definedName name="dolarjan02">#REF!</definedName>
    <definedName name="DolarJul">#REF!</definedName>
    <definedName name="dolarjul02">#REF!</definedName>
    <definedName name="dolarjun">#REF!</definedName>
    <definedName name="dolarjun02">#REF!</definedName>
    <definedName name="dolarmai">#REF!</definedName>
    <definedName name="dolarmai02">#REF!</definedName>
    <definedName name="dolarmar">#REF!</definedName>
    <definedName name="dolarmar02">#REF!</definedName>
    <definedName name="dolarnov">#REF!</definedName>
    <definedName name="dolarout">#REF!</definedName>
    <definedName name="DolarSet">#REF!</definedName>
    <definedName name="dolarset02">#REF!</definedName>
    <definedName name="DOZE">#REF!</definedName>
    <definedName name="DRE">#REF!</definedName>
    <definedName name="drewr" hidden="1">{#N/A,#N/A,FALSE,"Plan1";#N/A,#N/A,FALSE,"Plan2"}</definedName>
    <definedName name="DRRJR" hidden="1">{#N/A,#N/A,FALSE,"Plan1";#N/A,#N/A,FALSE,"Plan2"}</definedName>
    <definedName name="drtr" hidden="1">#REF!</definedName>
    <definedName name="drtrt" hidden="1">{"'Estimativa de Lançamento-JAN'!$A$1:$AI$85"}</definedName>
    <definedName name="dsdrf" hidden="1">{#N/A,#N/A,FALSE,"Plan1";#N/A,#N/A,FALSE,"Plan2"}</definedName>
    <definedName name="dsfdf" hidden="1">{#N/A,#N/A,FALSE,"Plan1";#N/A,#N/A,FALSE,"Plan2"}</definedName>
    <definedName name="dsfg" hidden="1">{#N/A,#N/A,FALSE,"Plan1";#N/A,#N/A,FALSE,"Plan2"}</definedName>
    <definedName name="DSFKDSKH" hidden="1">{#N/A,#N/A,FALSE,"Plan1";#N/A,#N/A,FALSE,"Plan2"}</definedName>
    <definedName name="DSF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yy" hidden="1">{#N/A,#N/A,FALSE,"Plan1";#N/A,#N/A,FALSE,"Plan2"}</definedName>
    <definedName name="DSFSAD" hidden="1">{#N/A,#N/A,FALSE,"Plan1";#N/A,#N/A,FALSE,"Plan2"}</definedName>
    <definedName name="dsfsdf" hidden="1">{#N/A,#N/A,FALSE,"Plan1";#N/A,#N/A,FALSE,"Plan2"}</definedName>
    <definedName name="dsfsdgfb" hidden="1">{#N/A,#N/A,FALSE,"Plan1";#N/A,#N/A,FALSE,"Plan2"}</definedName>
    <definedName name="dsgfr" hidden="1">{#N/A,#N/A,FALSE,"Plan1";#N/A,#N/A,FALSE,"Plan2"}</definedName>
    <definedName name="dshfkhkrhesru" hidden="1">{#N/A,#N/A,FALSE,"Plan1";#N/A,#N/A,FALSE,"Plan2"}</definedName>
    <definedName name="dsjkthkr" hidden="1">{#N/A,#N/A,FALSE,"Plan1";#N/A,#N/A,FALSE,"Plan2"}</definedName>
    <definedName name="dskfdhksdfh" hidden="1">4</definedName>
    <definedName name="DSLFJSLFJ" hidden="1">{#N/A,#N/A,FALSE,"Plan1";#N/A,#N/A,FALSE,"Plan2"}</definedName>
    <definedName name="dslfkf" hidden="1">4</definedName>
    <definedName name="dsrff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gdergdr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s" hidden="1">{#N/A,#N/A,FALSE,"Plan1";#N/A,#N/A,FALSE,"Plan2"}</definedName>
    <definedName name="dtgsrytt" hidden="1">{#N/A,#N/A,FALSE,"Plan1";#N/A,#N/A,FALSE,"Plan2"}</definedName>
    <definedName name="dtrjkhtrgkfh" hidden="1">{#N/A,#N/A,FALSE,"Plan1";#N/A,#N/A,FALSE,"Plan2"}</definedName>
    <definedName name="dttjuk" hidden="1">{#N/A,#N/A,FALSE,"Plan1";#N/A,#N/A,FALSE,"Plan2"}</definedName>
    <definedName name="dvtry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wetrt" hidden="1">{#N/A,#N/A,FALSE,"Plan1";#N/A,#N/A,FALSE,"Plan2"}</definedName>
    <definedName name="dwqhdjwqgdwq">#REF!</definedName>
    <definedName name="DY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HYGJDHZKGF" hidden="1">{#N/A,#N/A,FALSE,"Plan1";#N/A,#N/A,FALSE,"Plan2"}</definedName>
    <definedName name="dzdfr" hidden="1">{#N/A,#N/A,FALSE,"Plan1";#N/A,#N/A,FALSE,"Plan2"}</definedName>
    <definedName name="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A">#REF!</definedName>
    <definedName name="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EW" hidden="1">{#N/A,#N/A,FALSE,"F-01"}</definedName>
    <definedName name="ECEW_1" hidden="1">{#N/A,#N/A,FALSE,"F-01"}</definedName>
    <definedName name="echart31" hidden="1">#REF!</definedName>
    <definedName name="EcoPark">#REF!</definedName>
    <definedName name="ECS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E" hidden="1">{#N/A,#N/A,FALSE,"Plan1";#N/A,#N/A,FALSE,"Plan2"}</definedName>
    <definedName name="ee">#REF!</definedName>
    <definedName name="eee" hidden="1">{#N/A,#N/A,FALSE,"ET-CAPA";#N/A,#N/A,FALSE,"ET-PAG1";#N/A,#N/A,FALSE,"ET-PAG2";#N/A,#N/A,FALSE,"ET-PAG3";#N/A,#N/A,FALSE,"ET-PAG4";#N/A,#N/A,FALSE,"ET-PAG5"}</definedName>
    <definedName name="EF">#REF!</definedName>
    <definedName name="efestfr" hidden="1">{#N/A,#N/A,FALSE,"Plan1";#N/A,#N/A,FALSE,"Plan2"}</definedName>
    <definedName name="EFICIÊNCIA">#REF!</definedName>
    <definedName name="Eficiência1">#REF!</definedName>
    <definedName name="efrdrt" hidden="1">{#N/A,#N/A,FALSE,"Plan1";#N/A,#N/A,FALSE,"Plan2"}</definedName>
    <definedName name="efrg" hidden="1">{#N/A,#N/A,FALSE,"Plan1";#N/A,#N/A,FALSE,"Plan2"}</definedName>
    <definedName name="efsgfr" hidden="1">{#N/A,#N/A,FALSE,"Plan1";#N/A,#N/A,FALSE,"Plan2"}</definedName>
    <definedName name="eixo_x_fluxo_graf1">IFERROR(OFFSET(INDEX(#REF!,MATCH((INDEX(#REF!,MATCH(1,#REF!,0))),#REF!,0)),0,0,1,COUNTIF(#REF!,"&gt;=0")+COUNTIF(#REF!,"&lt;0")),0)</definedName>
    <definedName name="eixo_x_graf2">IFERROR(OFFSET(INDEX(#REF!,MATCH((INDEX(#REF!,MATCH(1,#REF!,0))),#REF!,0)),0,0,1,COUNTIF(#REF!,"&gt;=0")+COUNTIF(#REF!,"&lt;0")),0)</definedName>
    <definedName name="eixo_x_graf3_distratos">#REF!</definedName>
    <definedName name="eixo_x_graf3_vendas">#REF!</definedName>
    <definedName name="eixo_y_cury_graf2">IFERROR(OFFSET(INDEX(#REF!,MATCH((INDEX(#REF!,MATCH(1,#REF!,0))),#REF!,0)),0,0,1,COUNTIF(#REF!,"&gt;=0")+COUNTIF(#REF!,"&lt;0")),0)</definedName>
    <definedName name="eixo_y_fluxo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3">#REF!</definedName>
    <definedName name="eixo_y_socio_graf2">IFERROR(OFFSET(INDEX(#REF!,MATCH((INDEX(#REF!,MATCH(1,#REF!,0))),#REF!,0)),0,0,1,COUNTIF(#REF!,"&gt;=0")+COUNTIF(#REF!,"&lt;0")),0)</definedName>
    <definedName name="eixo_y_viab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M">#REF!</definedName>
    <definedName name="Empreend">#REF!</definedName>
    <definedName name="Empreendimentos">#REF!</definedName>
    <definedName name="empresas">#REF!</definedName>
    <definedName name="encanador">#REF!</definedName>
    <definedName name="EPI">#REF!</definedName>
    <definedName name="EQUIP">#REF!</definedName>
    <definedName name="equipamento">#REF!</definedName>
    <definedName name="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gerg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fhyu" hidden="1">{#N/A,#N/A,FALSE,"Plan1";#N/A,#N/A,FALSE,"Plan2"}</definedName>
    <definedName name="erne_cdi">#REF!</definedName>
    <definedName name="erne_hist">#REF!</definedName>
    <definedName name="erne_uss">#REF!</definedName>
    <definedName name="erte" hidden="1">#REF!</definedName>
    <definedName name="ESGFDSFD" hidden="1">{#N/A,#N/A,FALSE,"Plan1";#N/A,#N/A,FALSE,"Plan2"}</definedName>
    <definedName name="esp">#REF!</definedName>
    <definedName name="ESPESSURA">#REF!</definedName>
    <definedName name="estaca">#REF!</definedName>
    <definedName name="estaca3">#REF!</definedName>
    <definedName name="ESTADO">#REF!</definedName>
    <definedName name="estados">#REF!</definedName>
    <definedName name="estagiário">#REF!</definedName>
    <definedName name="ESTOQUE">#REF!</definedName>
    <definedName name="Etq_final">#REF!</definedName>
    <definedName name="EU" hidden="1">{#N/A,#N/A,FALSE,"Plan1";#N/A,#N/A,FALSE,"Plan2"}</definedName>
    <definedName name="EV__LASTREFTIME__" hidden="1">39965.7223611111</definedName>
    <definedName name="EVL" hidden="1">{"Econ Consolidado",#N/A,FALSE,"Econ Consol";"Fluxo de Caixa",#N/A,FALSE,"Fluxo Caixa";"Investimentos",#N/A,FALSE,"Investimentos"}</definedName>
    <definedName name="Evol." hidden="1">{"Econ Consolidado",#N/A,FALSE,"Econ Consol";"Fluxo de Caixa",#N/A,FALSE,"Fluxo Caixa";"Investimentos",#N/A,FALSE,"Investimentos"}</definedName>
    <definedName name="ewfr" hidden="1">{#N/A,#N/A,FALSE,"Plan1";#N/A,#N/A,FALSE,"Plan2"}</definedName>
    <definedName name="exce_cdi">#REF!</definedName>
    <definedName name="exce_hist">#REF!</definedName>
    <definedName name="exce_uss">#REF!</definedName>
    <definedName name="Excel_BuiltIn__FilterDatabase_1">#REF!</definedName>
    <definedName name="Excel_BuiltIn__FilterDatabase_1_1">#REF!</definedName>
    <definedName name="Excel_BuiltIn__FilterDatabase_6">#REF!</definedName>
    <definedName name="Excel_BuiltIn_Print_Area_0">#REF!</definedName>
    <definedName name="Excel_BuiltIn_Print_Area_1_1">#REF!</definedName>
    <definedName name="Excel_BuiltIn_Print_Titles_1_1_1">#REF!</definedName>
    <definedName name="Excel_BuiltIn_Print_Titles_1_1_4">#REF!</definedName>
    <definedName name="Excel_BuiltIn_Print_Titles_1_1_5">#REF!</definedName>
    <definedName name="Exrate">#REF!</definedName>
    <definedName name="eyruieyteta" hidden="1">{#N/A,#N/A,FALSE,"Plan1";#N/A,#N/A,FALSE,"Plan2"}</definedName>
    <definedName name="f">#REF!</definedName>
    <definedName name="FACULDADE">#REF!</definedName>
    <definedName name="FAL">#REF!</definedName>
    <definedName name="farialima">#REF!</definedName>
    <definedName name="FAS" hidden="1">{"'Total'!$A$1","'Total'!$A$3"}</definedName>
    <definedName name="fasfasf" hidden="1">{#N/A,#N/A,TRUE,"Quinzena 01 à 15-04-98 "}</definedName>
    <definedName name="FATOR_K">#REF!</definedName>
    <definedName name="FATORK">#REF!</definedName>
    <definedName name="FBancaria">#REF!</definedName>
    <definedName name="fchart31" hidden="1">#REF!</definedName>
    <definedName name="fddhght" hidden="1">{#N/A,#N/A,FALSE,"Plan1";#N/A,#N/A,FALSE,"Plan2"}</definedName>
    <definedName name="fdfgd" hidden="1">{#N/A,#N/A,FALSE,"Plan1";#N/A,#N/A,FALSE,"Plan2"}</definedName>
    <definedName name="fdf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gaf" hidden="1">{#N/A,#N/A,FALSE,"Plan1";#N/A,#N/A,FALSE,"Plan2"}</definedName>
    <definedName name="fdgdf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FDJHGZEDR" hidden="1">{#N/A,#N/A,FALSE,"Plan1";#N/A,#N/A,FALSE,"Plan2"}</definedName>
    <definedName name="fdgfyhygfuj" hidden="1">{#N/A,#N/A,FALSE,"Plan1";#N/A,#N/A,FALSE,"Plan2"}</definedName>
    <definedName name="fdhgfdf" hidden="1">{#N/A,#N/A,FALSE,"Plan1";#N/A,#N/A,FALSE,"Plan2"}</definedName>
    <definedName name="fdjfgdfjg" hidden="1">{#N/A,#N/A,FALSE,"Plan1";#N/A,#N/A,FALSE,"Plan2"}</definedName>
    <definedName name="fdjghkshtygt" hidden="1">{#N/A,#N/A,FALSE,"Plan1";#N/A,#N/A,FALSE,"Plan2"}</definedName>
    <definedName name="fdnhgf" hidden="1">{"'Estimativa de Lançamento-JAN'!$A$1:$AI$85"}</definedName>
    <definedName name="fdsf" hidden="1">{#N/A,#N/A,FALSE,"Plan1";#N/A,#N/A,FALSE,"Plan2"}</definedName>
    <definedName name="FE">#REF!</definedName>
    <definedName name="fefefefe">#REF!</definedName>
    <definedName name="FER" hidden="1">#REF!</definedName>
    <definedName name="fev17RJ">#REF!</definedName>
    <definedName name="FEVEREIRO2001">#REF!</definedName>
    <definedName name="ff">#REF!</definedName>
    <definedName name="fffefes">#REF!</definedName>
    <definedName name="fffff" hidden="1">{#N/A,#N/A,FALSE,"Plan1";#N/A,#N/A,FALSE,"Plan2"}</definedName>
    <definedName name="FFFFFFF">#REF!</definedName>
    <definedName name="FFTY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" hidden="1">{#N/A,#N/A,FALSE,"Plan1";#N/A,#N/A,FALSE,"Plan2"}</definedName>
    <definedName name="fgg" hidden="1">{"'장비'!$A$3:$M$12"}</definedName>
    <definedName name="fghfh" hidden="1">{"'Estimativa de Lançamento-JAN'!$A$1:$AI$85"}</definedName>
    <definedName name="fghgfh" hidden="1">{#N/A,#N/A,FALSE,"Plan1";#N/A,#N/A,FALSE,"Plan2"}</definedName>
    <definedName name="FGJHFGK" hidden="1">{#N/A,#N/A,FALSE,"Plan1";#N/A,#N/A,FALSE,"Plan2"}</definedName>
    <definedName name="fgktyhd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trgty" hidden="1">{#N/A,#N/A,FALSE,"Plan1";#N/A,#N/A,FALSE,"Plan2"}</definedName>
    <definedName name="fgty" hidden="1">#REF!</definedName>
    <definedName name="fhgjfgyt" hidden="1">{#N/A,#N/A,FALSE,"Plan1";#N/A,#N/A,FALSE,"Plan2"}</definedName>
    <definedName name="fhgjkhtrfg" hidden="1">{#N/A,#N/A,FALSE,"Plan1";#N/A,#N/A,FALSE,"Plan2"}</definedName>
    <definedName name="FHGTGSRSG" hidden="1">{#N/A,#N/A,FALSE,"Plan1";#N/A,#N/A,FALSE,"Plan2"}</definedName>
    <definedName name="FIEL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LTRO" hidden="1">{#N/A,#N/A,TRUE,"Quinzena 01 à 15-04-98 "}</definedName>
    <definedName name="Filtro_Rel_Sienge">#REF!</definedName>
    <definedName name="Firs_hist">#REF!</definedName>
    <definedName name="First_cdi">#REF!</definedName>
    <definedName name="First_uss">#REF!</definedName>
    <definedName name="fjdhfgjdhtgu" hidden="1">{#N/A,#N/A,FALSE,"Plan1";#N/A,#N/A,FALSE,"Plan2"}</definedName>
    <definedName name="fjfjg" hidden="1">{#N/A,#N/A,FALSE,"명세표"}</definedName>
    <definedName name="FJG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 hidden="1">{#N/A,#N/A,FALSE,"Plan1";#N/A,#N/A,FALSE,"Plan2"}</definedName>
    <definedName name="fjtgfh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KF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w" hidden="1">{#N/A,#N/A,FALSE,"Plan1";#N/A,#N/A,FALSE,"Plan2"}</definedName>
    <definedName name="fl">#REF!</definedName>
    <definedName name="FL_1">#REF!</definedName>
    <definedName name="FL_2">#REF!</definedName>
    <definedName name="FL_3">#REF!</definedName>
    <definedName name="Fluxo_captação">#REF!</definedName>
    <definedName name="FOLHA2">#REF!</definedName>
    <definedName name="Format">#REF!</definedName>
    <definedName name="Formato_da_Loja">#REF!</definedName>
    <definedName name="FORMULA">#REF!</definedName>
    <definedName name="FORNECEDOR">OFFSET(#REF!,6,0,COUNTA(#REF!))</definedName>
    <definedName name="FORNECEDOR_2">OFFSET(#REF!,6,0,COUNTA(#REF!))</definedName>
    <definedName name="FORNECEDOR_3">OFFSET(#REF!,6,0,COUNTA(#REF!))</definedName>
    <definedName name="FORNECEDOR_4">OFFSET(#REF!,6,0,COUNTA(#REF!))</definedName>
    <definedName name="FORNECEDOR_5">OFFSET(#REF!,6,0,COUNTA(#REF!))</definedName>
    <definedName name="FORNECEDOR_7">OFFSET(#REF!,6,0,COUNTA(#REF!))</definedName>
    <definedName name="FORNECEDOR_8">OFFSET(#REF!,6,0,COUNTA(#REF!))</definedName>
    <definedName name="frçt4r" hidden="1">{#N/A,#N/A,FALSE,"Plan1";#N/A,#N/A,FALSE,"Plan2"}</definedName>
    <definedName name="frdtty" hidden="1">{#N/A,#N/A,FALSE,"Plan1";#N/A,#N/A,FALSE,"Plan2"}</definedName>
    <definedName name="fsdfs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uihgjk" hidden="1">{#N/A,#N/A,FALSE,"Plan1";#N/A,#N/A,FALSE,"Plan2"}</definedName>
    <definedName name="fuste">#REF!</definedName>
    <definedName name="fxjghkfg" hidden="1">{#N/A,#N/A,FALSE,"Plan1";#N/A,#N/A,FALSE,"Plan2"}</definedName>
    <definedName name="g_10">#REF!</definedName>
    <definedName name="g_11">#REF!</definedName>
    <definedName name="g_12">#REF!</definedName>
    <definedName name="g_13">#REF!</definedName>
    <definedName name="g_15">#REF!</definedName>
    <definedName name="g_16">#REF!</definedName>
    <definedName name="g_17">#REF!</definedName>
    <definedName name="g_19">#REF!</definedName>
    <definedName name="g_21">#REF!</definedName>
    <definedName name="g_25">#REF!</definedName>
    <definedName name="g_27">#REF!</definedName>
    <definedName name="g_31">#REF!</definedName>
    <definedName name="g_32">#REF!</definedName>
    <definedName name="g_33">#REF!</definedName>
    <definedName name="g_34">#REF!</definedName>
    <definedName name="G_35">#REF!</definedName>
    <definedName name="g_37">#REF!</definedName>
    <definedName name="g_41">#REF!</definedName>
    <definedName name="g_42">#REF!</definedName>
    <definedName name="g_45">#REF!</definedName>
    <definedName name="g_47">#REF!</definedName>
    <definedName name="g_51">#REF!</definedName>
    <definedName name="g_52">#REF!</definedName>
    <definedName name="g_53">#REF!</definedName>
    <definedName name="G_54">#REF!</definedName>
    <definedName name="G_55">#REF!</definedName>
    <definedName name="G_56">#REF!</definedName>
    <definedName name="G_57">#REF!</definedName>
    <definedName name="G_58">#REF!</definedName>
    <definedName name="G_59">#REF!</definedName>
    <definedName name="G_61">#REF!</definedName>
    <definedName name="G_63">#REF!</definedName>
    <definedName name="G_65">#REF!</definedName>
    <definedName name="G_67">#REF!</definedName>
    <definedName name="g_68">#REF!</definedName>
    <definedName name="g_69">#REF!</definedName>
    <definedName name="G_71">#REF!</definedName>
    <definedName name="G_73">#REF!</definedName>
    <definedName name="G_75">#REF!</definedName>
    <definedName name="G_77">#REF!</definedName>
    <definedName name="G_78">#REF!</definedName>
    <definedName name="G_81">#REF!</definedName>
    <definedName name="G_83">#REF!</definedName>
    <definedName name="G_85">#REF!</definedName>
    <definedName name="G_87">#REF!</definedName>
    <definedName name="G_90">#REF!</definedName>
    <definedName name="G_91">#REF!</definedName>
    <definedName name="G_92">#REF!</definedName>
    <definedName name="G_94">#REF!</definedName>
    <definedName name="G_95">#REF!</definedName>
    <definedName name="G_96">#REF!</definedName>
    <definedName name="gal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RAGEM">#REF!</definedName>
    <definedName name="garcia">#REF!</definedName>
    <definedName name="GASTOS_JULHO">#REF!</definedName>
    <definedName name="gbdjkvhgd" hidden="1">{#N/A,#N/A,FALSE,"Plan1";#N/A,#N/A,FALSE,"Plan2"}</definedName>
    <definedName name="gbdsjgsjfdgj" hidden="1">{#N/A,#N/A,FALSE,"Plan1";#N/A,#N/A,FALSE,"Plan2"}</definedName>
    <definedName name="gdfdhgfjgj" hidden="1">{#N/A,#N/A,FALSE,"Plan1";#N/A,#N/A,FALSE,"Plan2"}</definedName>
    <definedName name="gdfgdstggt" hidden="1">{#N/A,#N/A,FALSE,"Plan1";#N/A,#N/A,FALSE,"Plan2"}</definedName>
    <definedName name="GDFHGRJGFJDRF" hidden="1">{"Econ Consolidado",#N/A,FALSE,"Econ Consol";"Fluxo de Caixa",#N/A,FALSE,"Fluxo Caixa";"Investimentos",#N/A,FALSE,"Investimentos"}</definedName>
    <definedName name="gdfigfhuyuy" hidden="1">{#N/A,#N/A,FALSE,"Plan1";#N/A,#N/A,FALSE,"Plan2"}</definedName>
    <definedName name="gdfsgfew" hidden="1">{#N/A,#N/A,FALSE,"Plan1";#N/A,#N/A,FALSE,"Plan2"}</definedName>
    <definedName name="gdhfgdhfgf" hidden="1">{#N/A,#N/A,FALSE,"Plan1";#N/A,#N/A,FALSE,"Plan2"}</definedName>
    <definedName name="gdsfhefrwrw" hidden="1">{#N/A,#N/A,FALSE,"Plan1";#N/A,#N/A,FALSE,"Plan2"}</definedName>
    <definedName name="GER_TECNICO">#REF!</definedName>
    <definedName name="Gerentes">#REF!</definedName>
    <definedName name="geshrjhed" hidden="1">{#N/A,#N/A,FALSE,"Plan1";#N/A,#N/A,FALSE,"Plan2"}</definedName>
    <definedName name="gestao" hidden="1">OFFSET(INDEX(#REF!,MATCH(#REF!,#REF!,0)),1,0,COUNTA(#REF!)-1)</definedName>
    <definedName name="gfdcgnkf" hidden="1">{#N/A,#N/A,FALSE,"Plan1";#N/A,#N/A,FALSE,"Plan2"}</definedName>
    <definedName name="gfdjtgur" hidden="1">{#N/A,#N/A,FALSE,"Plan1";#N/A,#N/A,FALSE,"Plan2"}</definedName>
    <definedName name="gfdrtg" hidden="1">#REF!</definedName>
    <definedName name="gfgdhxgfdhf" hidden="1">{#N/A,#N/A,FALSE,"Plan1";#N/A,#N/A,FALSE,"Plan2"}</definedName>
    <definedName name="gfhfdtgjb" hidden="1">{#N/A,#N/A,FALSE,"Plan1";#N/A,#N/A,FALSE,"Plan2"}</definedName>
    <definedName name="gfjdshrtjhtged" hidden="1">{#N/A,#N/A,FALSE,"Plan1";#N/A,#N/A,FALSE,"Plan2"}</definedName>
    <definedName name="gfjgkddgfd" hidden="1">{#N/A,#N/A,FALSE,"Plan1";#N/A,#N/A,FALSE,"Plan2"}</definedName>
    <definedName name="gfsghjdgygr" hidden="1">{#N/A,#N/A,FALSE,"Plan1";#N/A,#N/A,FALSE,"Plan2"}</definedName>
    <definedName name="gftfy" hidden="1">{#N/A,#N/A,FALSE,"Plan1";#N/A,#N/A,FALSE,"Plan2"}</definedName>
    <definedName name="gfty" hidden="1">{#N/A,#N/A,FALSE,"Plan1";#N/A,#N/A,FALSE,"Plan2"}</definedName>
    <definedName name="GFUJU9" hidden="1">{#N/A,#N/A,FALSE,"Plan1";#N/A,#N/A,FALSE,"Plan2"}</definedName>
    <definedName name="ggg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 hidden="1">{#N/A,#N/A,FALSE,"Plan1";#N/A,#N/A,FALSE,"Plan2"}</definedName>
    <definedName name="ggggggggg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 hidden="1">{"'장비'!$A$3:$M$12"}</definedName>
    <definedName name="ghfgdfrtert" hidden="1">{#N/A,#N/A,FALSE,"Plan1";#N/A,#N/A,FALSE,"Plan2"}</definedName>
    <definedName name="ghfhghft" hidden="1">{#N/A,#N/A,FALSE,"Plan1";#N/A,#N/A,FALSE,"Plan2"}</definedName>
    <definedName name="ghjg" hidden="1">{"'Estimativa de Lançamento-JAN'!$A$1:$AI$85"}</definedName>
    <definedName name="ghkfhgh" hidden="1">{#N/A,#N/A,FALSE,"Plan1";#N/A,#N/A,FALSE,"Plan2"}</definedName>
    <definedName name="ghkjh" hidden="1">{#N/A,#N/A,FALSE,"ENG'G(보호계전기)"}</definedName>
    <definedName name="G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fhjktgcf" hidden="1">{#N/A,#N/A,FALSE,"Plan1";#N/A,#N/A,FALSE,"Plan2"}</definedName>
    <definedName name="GJ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hgjhjfggfjhfg" hidden="1">{#N/A,#N/A,FALSE,"Plan1";#N/A,#N/A,FALSE,"Plan2"}</definedName>
    <definedName name="glgl" hidden="1">{#N/A,#N/A,FALSE,"Plan1";#N/A,#N/A,FALSE,"Plan2"}</definedName>
    <definedName name="GLOBAL">#REF!</definedName>
    <definedName name="gnfrt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rec_cdi">#REF!</definedName>
    <definedName name="grec_hist">#REF!</definedName>
    <definedName name="grec_uss">#REF!</definedName>
    <definedName name="grua">#REF!</definedName>
    <definedName name="GSDWJSTG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tuigsdyugsdf" hidden="1">{#N/A,#N/A,FALSE,"Plan1";#N/A,#N/A,FALSE,"Plan2"}</definedName>
    <definedName name="G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V" hidden="1">{#N/A,#N/A,FALSE,"CCTV"}</definedName>
    <definedName name="h">#REF!</definedName>
    <definedName name="hbjgjuae">#REF!</definedName>
    <definedName name="hcjfkhdghfktg" hidden="1">{#N/A,#N/A,FALSE,"Plan1";#N/A,#N/A,FALSE,"Plan2"}</definedName>
    <definedName name="hckhjfdkgfdg" hidden="1">#REF!</definedName>
    <definedName name="hddfndgdf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FGHGST" hidden="1">{#N/A,#N/A,FALSE,"Plan1";#N/A,#N/A,FALSE,"Plan2"}</definedName>
    <definedName name="HDFGJKHKFDHTY" hidden="1">{#N/A,#N/A,FALSE,"Plan1";#N/A,#N/A,FALSE,"Plan2"}</definedName>
    <definedName name="hdfhdhrtgd" hidden="1">{#N/A,#N/A,FALSE,"Plan1";#N/A,#N/A,FALSE,"Plan2"}</definedName>
    <definedName name="hdfhftde" hidden="1">{#N/A,#N/A,FALSE,"Plan1";#N/A,#N/A,FALSE,"Plan2"}</definedName>
    <definedName name="hdfhgkdhgtrf" hidden="1">{#N/A,#N/A,FALSE,"Plan1";#N/A,#N/A,FALSE,"Plan2"}</definedName>
    <definedName name="hdfjhdkzhgdr" hidden="1">{#N/A,#N/A,FALSE,"Plan1";#N/A,#N/A,FALSE,"Plan2"}</definedName>
    <definedName name="hdfjkgvjgtd" hidden="1">{#N/A,#N/A,FALSE,"Plan1";#N/A,#N/A,FALSE,"Plan2"}</definedName>
    <definedName name="hdfjkhdhrute" hidden="1">{#N/A,#N/A,FALSE,"Plan1";#N/A,#N/A,FALSE,"Plan2"}</definedName>
    <definedName name="HDFKGVF" hidden="1">{#N/A,#N/A,FALSE,"Plan1";#N/A,#N/A,FALSE,"Plan2"}</definedName>
    <definedName name="hdgfhdgtdrt" hidden="1">{#N/A,#N/A,FALSE,"Plan1";#N/A,#N/A,FALSE,"Plan2"}</definedName>
    <definedName name="hdghgtgtrgd" hidden="1">{#N/A,#N/A,FALSE,"Plan1";#N/A,#N/A,FALSE,"Plan2"}</definedName>
    <definedName name="HDHDGHTUHDTG" hidden="1">{#N/A,#N/A,FALSE,"Plan1";#N/A,#N/A,FALSE,"Plan2"}</definedName>
    <definedName name="hdhghfthrrhy" hidden="1">{#N/A,#N/A,FALSE,"Plan1";#N/A,#N/A,FALSE,"Plan2"}</definedName>
    <definedName name="hdkfjhydjh" hidden="1">{#N/A,#N/A,FALSE,"Plan1";#N/A,#N/A,FALSE,"Plan2"}</definedName>
    <definedName name="hdsgfgrrdgr" hidden="1">{#N/A,#N/A,FALSE,"Plan1";#N/A,#N/A,FALSE,"Plan2"}</definedName>
    <definedName name="hdtertkkdsa" hidden="1">{#N/A,#N/A,FALSE,"Plan1";#N/A,#N/A,FALSE,"Plan2"}</definedName>
    <definedName name="Header">#REF!</definedName>
    <definedName name="HEDHA" hidden="1">{#N/A,#N/A,FALSE,"Plan1";#N/A,#N/A,FALSE,"Plan2"}</definedName>
    <definedName name="heif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LP">#REF!</definedName>
    <definedName name="herkfdshfker" hidden="1">{#N/A,#N/A,FALSE,"Plan1";#N/A,#N/A,FALSE,"Plan2"}</definedName>
    <definedName name="hersdtretyt" hidden="1">{#N/A,#N/A,FALSE,"Plan1";#N/A,#N/A,FALSE,"Plan2"}</definedName>
    <definedName name="HFDJTHTR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KHGFR" hidden="1">{#N/A,#N/A,FALSE,"Plan1";#N/A,#N/A,FALSE,"Plan2"}</definedName>
    <definedName name="hfdkhgkfdhtj" hidden="1">{#N/A,#N/A,FALSE,"Plan1";#N/A,#N/A,FALSE,"Plan2"}</definedName>
    <definedName name="hfgfktgkhyt" hidden="1">{#N/A,#N/A,FALSE,"Plan1";#N/A,#N/A,FALSE,"Plan2"}</definedName>
    <definedName name="hfghdkhrgkjg" hidden="1">{#N/A,#N/A,FALSE,"Plan1";#N/A,#N/A,FALSE,"Plan2"}</definedName>
    <definedName name="hfighfth" hidden="1">{#N/A,#N/A,FALSE,"Plan1";#N/A,#N/A,FALSE,"Plan2"}</definedName>
    <definedName name="hfjghtfuyrf" hidden="1">{#N/A,#N/A,FALSE,"Plan1";#N/A,#N/A,FALSE,"Plan2"}</definedName>
    <definedName name="HFKJHDJGHFJ" hidden="1">{#N/A,#N/A,FALSE,"Plan1";#N/A,#N/A,FALSE,"Plan2"}</definedName>
    <definedName name="hgdesgfgsj" hidden="1">{#N/A,#N/A,FALSE,"Plan1";#N/A,#N/A,FALSE,"Plan2"}</definedName>
    <definedName name="hgdgfd" hidden="1">{#N/A,#N/A,FALSE,"Plan1";#N/A,#N/A,FALSE,"Plan2"}</definedName>
    <definedName name="hgfhjkdfhj" hidden="1">{#N/A,#N/A,FALSE,"Plan1";#N/A,#N/A,FALSE,"Plan2"}</definedName>
    <definedName name="hgg" hidden="1">{#N/A,#N/A,FALSE,"Plan1";#N/A,#N/A,FALSE,"Plan2"}</definedName>
    <definedName name="hgjdfgghg" hidden="1">{#N/A,#N/A,FALSE,"Plan1";#N/A,#N/A,FALSE,"Plan2"}</definedName>
    <definedName name="hgjkfdhg" hidden="1">{#N/A,#N/A,FALSE,"Plan1";#N/A,#N/A,FALSE,"Plan2"}</definedName>
    <definedName name="hgkdfhkfk" hidden="1">{#N/A,#N/A,FALSE,"Plan1";#N/A,#N/A,FALSE,"Plan2"}</definedName>
    <definedName name="hgkjhdfhtrdyt" hidden="1">{#N/A,#N/A,FALSE,"Plan1";#N/A,#N/A,FALSE,"Plan2"}</definedName>
    <definedName name="hgkjhdfkhgtfhg" hidden="1">{#N/A,#N/A,FALSE,"Plan1";#N/A,#N/A,FALSE,"Plan2"}</definedName>
    <definedName name="hgkjhkfhsdkdhgk" hidden="1">{#N/A,#N/A,FALSE,"Plan1";#N/A,#N/A,FALSE,"Plan2"}</definedName>
    <definedName name="hgsufgdhghd" hidden="1">{#N/A,#N/A,FALSE,"Plan1";#N/A,#N/A,FALSE,"Plan2"}</definedName>
    <definedName name="HHGFHTYUT" hidden="1">{#N/A,#N/A,FALSE,"Plan1";#N/A,#N/A,FALSE,"Plan2"}</definedName>
    <definedName name="hhh" hidden="1">{"'Total'!$A$1","'Total'!$A$3"}</definedName>
    <definedName name="HHIHLK" hidden="1">#REF!</definedName>
    <definedName name="hik" hidden="1">{#N/A,#N/A,FALSE,"TABLE"}</definedName>
    <definedName name="hist">#REF!</definedName>
    <definedName name="HIST1">#REF!</definedName>
    <definedName name="HISTEQ">#REF!</definedName>
    <definedName name="HISTOGRAMA">#REF!</definedName>
    <definedName name="hjdgtjdjxrfg" hidden="1">{#N/A,#N/A,FALSE,"Plan1";#N/A,#N/A,FALSE,"Plan2"}</definedName>
    <definedName name="HJFDGD" hidden="1">{#N/A,#N/A,FALSE,"Plan1";#N/A,#N/A,FALSE,"Plan2"}</definedName>
    <definedName name="HJGASD" hidden="1">{#N/A,#N/A,FALSE,"Plan1";#N/A,#N/A,FALSE,"Plan2"}</definedName>
    <definedName name="HJGFGTFDG" hidden="1">{#N/A,#N/A,FALSE,"Plan1";#N/A,#N/A,FALSE,"Plan2"}</definedName>
    <definedName name="hjgfhdsgfhsd" hidden="1">{#N/A,#N/A,FALSE,"Plan1";#N/A,#N/A,FALSE,"Plan2"}</definedName>
    <definedName name="hjgxfjgdjyftr" hidden="1">{#N/A,#N/A,FALSE,"Plan1";#N/A,#N/A,FALSE,"Plan2"}</definedName>
    <definedName name="hjgyugasd" hidden="1">{#N/A,#N/A,FALSE,"Plan1";#N/A,#N/A,FALSE,"Plan2"}</definedName>
    <definedName name="hjjfyfy" hidden="1">{#N/A,#N/A,FALSE,"Plan1";#N/A,#N/A,FALSE,"Plan2"}</definedName>
    <definedName name="hjkchkvjhdjkgh" hidden="1">{#N/A,#N/A,FALSE,"Plan1";#N/A,#N/A,FALSE,"Plan2"}</definedName>
    <definedName name="hjkfjdyht" hidden="1">{#N/A,#N/A,FALSE,"Plan1";#N/A,#N/A,FALSE,"Plan2"}</definedName>
    <definedName name="hjsdff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khk" hidden="1">{#N/A,#N/A,FALSE,"Plan1";#N/A,#N/A,FALSE,"Plan2"}</definedName>
    <definedName name="hjsdsdrjfrh" hidden="1">2</definedName>
    <definedName name="hjsrdfre" hidden="1">{"Econ Consolidado",#N/A,FALSE,"Econ Consol";"Fluxo de Caixa",#N/A,FALSE,"Fluxo Caixa";"Investimentos",#N/A,FALSE,"Investimentos"}</definedName>
    <definedName name="HKewewsr" hidden="1">{#N/A,#N/A,FALSE,"Plan1";#N/A,#N/A,FALSE,"Plan2"}</definedName>
    <definedName name="hkhdskacd" hidden="1">{#N/A,#N/A,FALSE,"Plan1";#N/A,#N/A,FALSE,"Plan2"}</definedName>
    <definedName name="hkjfgfhgfh" hidden="1">{#N/A,#N/A,FALSE,"Plan1";#N/A,#N/A,FALSE,"Plan2"}</definedName>
    <definedName name="hkjfhgjkfhghfg" hidden="1">{#N/A,#N/A,FALSE,"Plan1";#N/A,#N/A,FALSE,"Plan2"}</definedName>
    <definedName name="HKLZHFRH" hidden="1">{#N/A,#N/A,FALSE,"Plan1";#N/A,#N/A,FALSE,"Plan2"}</definedName>
    <definedName name="ho" hidden="1">{#N/A,#N/A,FALSE,"TABLE"}</definedName>
    <definedName name="HOJE">#REF!</definedName>
    <definedName name="HONORARIOS">#REF!</definedName>
    <definedName name="HOSPEDES">#REF!</definedName>
    <definedName name="HOTEL">#REF!</definedName>
    <definedName name="hrterte" hidden="1">{#N/A,#N/A,FALSE,"Plan1";#N/A,#N/A,FALSE,"Plan2"}</definedName>
    <definedName name="hsdf" hidden="1">{#N/A,#N/A,FALSE,"Plan1";#N/A,#N/A,FALSE,"Plan2"}</definedName>
    <definedName name="hsdfgdgudrt" hidden="1">{#N/A,#N/A,FALSE,"Plan1";#N/A,#N/A,FALSE,"Plan2"}</definedName>
    <definedName name="hsdfjkdhur" hidden="1">{#N/A,#N/A,FALSE,"Plan1";#N/A,#N/A,FALSE,"Plan2"}</definedName>
    <definedName name="hsdgftdh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jffd" hidden="1">{#N/A,#N/A,FALSE,"Plan1";#N/A,#N/A,FALSE,"Plan2"}</definedName>
    <definedName name="hsdjffe" hidden="1">{#N/A,#N/A,FALSE,"Plan1";#N/A,#N/A,FALSE,"Plan2"}</definedName>
    <definedName name="HSFIHDTR" hidden="1">{"Econ Consolidado",#N/A,FALSE,"Econ Consol";"Fluxo de Caixa",#N/A,FALSE,"Fluxo Caixa";"Investimentos",#N/A,FALSE,"Investimentos"}</definedName>
    <definedName name="hsfjkdshrgf" hidden="1">{#N/A,#N/A,FALSE,"Plan1";#N/A,#N/A,FALSE,"Plan2"}</definedName>
    <definedName name="hthhrtetdre" hidden="1">{#N/A,#N/A,FALSE,"Plan1";#N/A,#N/A,FALSE,"Plan2"}</definedName>
    <definedName name="HTM">#REF!</definedName>
    <definedName name="HTML_CodePage" hidden="1">949</definedName>
    <definedName name="HTML_Control" hidden="1">{"'장비'!$A$3:$M$12"}</definedName>
    <definedName name="HTML_Description" hidden="1">""</definedName>
    <definedName name="HTML_Email" hidden="1">""</definedName>
    <definedName name="HTML_Header" hidden="1">"장비"</definedName>
    <definedName name="HTML_LastUpdate" hidden="1">"97-08-05"</definedName>
    <definedName name="HTML_LineAfter" hidden="1">FALSE</definedName>
    <definedName name="HTML_LineBefore" hidden="1">FALSE</definedName>
    <definedName name="HTML_Name" hidden="1">"이진화"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"가산동미라보"</definedName>
    <definedName name="HTML2_CONTROL" hidden="1">{"'Estimativa de Lançamento-JAN'!$A$1:$AI$85"}</definedName>
    <definedName name="HTML3_CONTROL" hidden="1">{"'Estimativa de Lançamento-JAN'!$A$1:$AI$85"}</definedName>
    <definedName name="HTMLControl" hidden="1">{"'Edit'!$A$1:$V$2277"}</definedName>
    <definedName name="HTN">#REF!</definedName>
    <definedName name="HVJKHGKFXHFD" hidden="1">{#N/A,#N/A,FALSE,"Plan1";#N/A,#N/A,FALSE,"Plan2"}</definedName>
    <definedName name="hwekjhekhf" hidden="1">{#N/A,#N/A,FALSE,"Plan1";#N/A,#N/A,FALSE,"Plan2"}</definedName>
    <definedName name="HXFRE" hidden="1">{#N/A,#N/A,FALSE,"Plan1";#N/A,#N/A,FALSE,"Plan2"}</definedName>
    <definedName name="HXKJFGDKHG" hidden="1">{#N/A,#N/A,FALSE,"Plan1";#N/A,#N/A,FALSE,"Plan2"}</definedName>
    <definedName name="I">#REF!</definedName>
    <definedName name="ibir_cdi">#REF!</definedName>
    <definedName name="ibir_hist">#REF!</definedName>
    <definedName name="ibir_uss">#REF!</definedName>
    <definedName name="IC" hidden="1">#REF!</definedName>
    <definedName name="icoa_cdi">#REF!</definedName>
    <definedName name="icoa_hist">#REF!</definedName>
    <definedName name="icoa_uss">#REF!</definedName>
    <definedName name="Identificação">#REF!</definedName>
    <definedName name="idfhgkjhfkthy" hidden="1">{#N/A,#N/A,FALSE,"Plan1";#N/A,#N/A,FALSE,"Plan2"}</definedName>
    <definedName name="ieroweft" hidden="1">{#N/A,#N/A,FALSE,"Plan1";#N/A,#N/A,FALSE,"Plan2"}</definedName>
    <definedName name="iewpotqi5poejy" hidden="1">{#N/A,#N/A,FALSE,"Plan1";#N/A,#N/A,FALSE,"Plan2"}</definedName>
    <definedName name="ihdfifguhgfuiy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eidhgufr" hidden="1">#REF!</definedName>
    <definedName name="ihfdkjhktgrd" hidden="1">{#N/A,#N/A,FALSE,"Plan1";#N/A,#N/A,FALSE,"Plan2"}</definedName>
    <definedName name="ihrtetw4r" hidden="1">{#N/A,#N/A,FALSE,"Plan1";#N/A,#N/A,FALSE,"Plan2"}</definedName>
    <definedName name="II">#REF!</definedName>
    <definedName name="IIASDSAWE" hidden="1">{"Econ Consolidado",#N/A,FALSE,"Econ Consol";"Fluxo de Caixa",#N/A,FALSE,"Fluxo Caixa";"Investimentos",#N/A,FALSE,"Investimentos"}</definedName>
    <definedName name="III">#REF!</definedName>
    <definedName name="iinstalaçõ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lhweilrji4e" hidden="1">{#N/A,#N/A,FALSE,"Plan1";#N/A,#N/A,FALSE,"Plan2"}</definedName>
    <definedName name="ilsdr4wf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M">#REF!</definedName>
    <definedName name="IMP" hidden="1">#REF!</definedName>
    <definedName name="IMPERMEABILIZ.">#REF!</definedName>
    <definedName name="IMPF">#REF!</definedName>
    <definedName name="IMPI">#REF!</definedName>
    <definedName name="IMPOSTO">#REF!</definedName>
    <definedName name="INCC">#REF!</definedName>
    <definedName name="Incorido_Aplicado_X_Físico">#REF!</definedName>
    <definedName name="INCORPORAÇÃO">#REF!</definedName>
    <definedName name="Index" hidden="1">#REF!</definedName>
    <definedName name="Indice">#REF!</definedName>
    <definedName name="indice_correcao_proj">#REF!</definedName>
    <definedName name="infra">#REF!</definedName>
    <definedName name="Infra_OBra_Sienge">#REF!</definedName>
    <definedName name="Infra_Projetos_Sienge">#REF!</definedName>
    <definedName name="INFRA2">#REF!</definedName>
    <definedName name="Insatalaçõ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S_Bloqueado_Fin_Medição">#REF!</definedName>
    <definedName name="Inss_Bloqueado_Previsão_Fin_Medições">#REF!</definedName>
    <definedName name="instalaçoe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U">OFFSET(#REF!,0,0,COUNTA(#REF!),1)</definedName>
    <definedName name="INSUMOS">#REF!</definedName>
    <definedName name="INT.FILTRO.NBASE">#REF!</definedName>
    <definedName name="INTEGRA" hidden="1">{"'Edit'!$A$1:$V$2277"}</definedName>
    <definedName name="IO">196.003</definedName>
    <definedName name="ioeriotyt" hidden="1">{#N/A,#N/A,FALSE,"Plan1";#N/A,#N/A,FALSE,"Plan2"}</definedName>
    <definedName name="iohudtorh" hidden="1">{#N/A,#N/A,FALSE,"Plan1";#N/A,#N/A,FALSE,"Plan2"}</definedName>
    <definedName name="iojtkheayed" hidden="1">{#N/A,#N/A,FALSE,"Plan1";#N/A,#N/A,FALSE,"Plan2"}</definedName>
    <definedName name="iouweroieuw4" hidden="1">{#N/A,#N/A,FALSE,"Plan1";#N/A,#N/A,FALSE,"Plan2"}</definedName>
    <definedName name="iphifpgh" hidden="1">{#N/A,#N/A,FALSE,"Plan1";#N/A,#N/A,FALSE,"Plan2"}</definedName>
    <definedName name="IPMF">#REF!</definedName>
    <definedName name="ipodsifgpds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tjrjketjr" hidden="1">{#N/A,#N/A,FALSE,"Plan1";#N/A,#N/A,FALSE,"Plan2"}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40730.4399768518</definedName>
    <definedName name="IQ_NTM" hidden="1">6000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R_diferido">#REF!</definedName>
    <definedName name="ISOPOR">#REF!</definedName>
    <definedName name="ISS">#REF!</definedName>
    <definedName name="ItalieNS">#REF!</definedName>
    <definedName name="ItalieNT">#REF!</definedName>
    <definedName name="itc_cdi">#REF!</definedName>
    <definedName name="itc_hist">#REF!</definedName>
    <definedName name="itc_uss">#REF!</definedName>
    <definedName name="item_1">#REF!</definedName>
    <definedName name="ITEMCONT">#REF!</definedName>
    <definedName name="ITEMDER">#REF!</definedName>
    <definedName name="ITEMIZAÇÃO">#REF!</definedName>
    <definedName name="ITEMIZAÇÃO_2">#REF!</definedName>
    <definedName name="ITEMIZAÇÃO_3">#REF!</definedName>
    <definedName name="ITEMIZAÇÃO_4">#REF!</definedName>
    <definedName name="ITEMIZAÇÃO_5">#REF!</definedName>
    <definedName name="ITEMIZAÇÃO_7">#REF!</definedName>
    <definedName name="ITEMIZAÇÃO_8">#REF!</definedName>
    <definedName name="ITEMR20">#REF!</definedName>
    <definedName name="ITEM별상세업무분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NS">#REF!</definedName>
    <definedName name="ITENS0">#REF!</definedName>
    <definedName name="ITENS1">#REF!</definedName>
    <definedName name="ITENSP">#REF!</definedName>
    <definedName name="ITENSPMED">#REF!</definedName>
    <definedName name="IUGFGDFUY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V">#REF!</definedName>
    <definedName name="iyguygiyt" hidden="1">{#N/A,#N/A,FALSE,"Plan1";#N/A,#N/A,FALSE,"Plan2"}</definedName>
    <definedName name="iyuyheturtd" hidden="1">{#N/A,#N/A,FALSE,"Plan1";#N/A,#N/A,FALSE,"Plan2"}</definedName>
    <definedName name="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alejdasjf" hidden="1">{#N/A,#N/A,FALSE,"Plan1";#N/A,#N/A,FALSE,"Plan2"}</definedName>
    <definedName name="jan_05">#REF!</definedName>
    <definedName name="jan17RJ">#REF!</definedName>
    <definedName name="JANEIRO2001">#REF!</definedName>
    <definedName name="JASDJS" hidden="1">{#N/A,#N/A,FALSE,"Plan1";#N/A,#N/A,FALSE,"Plan2"}</definedName>
    <definedName name="jaskldjlse" hidden="1">{#N/A,#N/A,FALSE,"Plan1";#N/A,#N/A,FALSE,"Plan2"}</definedName>
    <definedName name="JASLDKLD" hidden="1">{#N/A,#N/A,FALSE,"Plan1";#N/A,#N/A,FALSE,"Plan2"}</definedName>
    <definedName name="jasoe" hidden="1">#REF!</definedName>
    <definedName name="jbzxffcbgdhgft" hidden="1">#REF!</definedName>
    <definedName name="JÇDFHDF" hidden="1">{"Econ Consolidado",#N/A,FALSE,"Econ Consol";"Fluxo de Caixa",#N/A,FALSE,"Fluxo Caixa";"Investimentos",#N/A,FALSE,"Investimentos"}</definedName>
    <definedName name="jdbgftbhr" hidden="1">{#N/A,#N/A,FALSE,"Plan1";#N/A,#N/A,FALSE,"Plan2"}</definedName>
    <definedName name="jdfgkrhgft" hidden="1">#REF!</definedName>
    <definedName name="jdfgldfjgklh" hidden="1">{#N/A,#N/A,FALSE,"Plan1";#N/A,#N/A,FALSE,"Plan2"}</definedName>
    <definedName name="jdfhjkdrhjtkg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jdtrgt" hidden="1">{#N/A,#N/A,FALSE,"Plan1";#N/A,#N/A,FALSE,"Plan2"}</definedName>
    <definedName name="JDFJLDJR" hidden="1">{#N/A,#N/A,FALSE,"Plan1";#N/A,#N/A,FALSE,"Plan2"}</definedName>
    <definedName name="jdfkgitfgdrtt" hidden="1">{#N/A,#N/A,FALSE,"Plan1";#N/A,#N/A,FALSE,"Plan2"}</definedName>
    <definedName name="JDFKHFKJ" hidden="1">{#N/A,#N/A,FALSE,"Plan1";#N/A,#N/A,FALSE,"Plan2"}</definedName>
    <definedName name="jdfklgtdtr" hidden="1">{#N/A,#N/A,FALSE,"Plan1";#N/A,#N/A,FALSE,"Plan2"}</definedName>
    <definedName name="JDFKTHRT" hidden="1">{#N/A,#N/A,FALSE,"Plan1";#N/A,#N/A,FALSE,"Plan2"}</definedName>
    <definedName name="JDFLKJDRF" hidden="1">{#N/A,#N/A,FALSE,"Plan1";#N/A,#N/A,FALSE,"Plan2"}</definedName>
    <definedName name="jdfzlkjgfdht" hidden="1">{#N/A,#N/A,FALSE,"Plan1";#N/A,#N/A,FALSE,"Plan2"}</definedName>
    <definedName name="jdglhfghkt" hidden="1">{#N/A,#N/A,FALSE,"Plan1";#N/A,#N/A,FALSE,"Plan2"}</definedName>
    <definedName name="jdhfjdhgfd" hidden="1">{#N/A,#N/A,FALSE,"Plan1";#N/A,#N/A,FALSE,"Plan2"}</definedName>
    <definedName name="jdjdjdjd" hidden="1">{#N/A,#N/A,FALSE,"명세표"}</definedName>
    <definedName name="jdkfhgjhf" hidden="1">{#N/A,#N/A,FALSE,"Plan1";#N/A,#N/A,FALSE,"Plan2"}</definedName>
    <definedName name="jdkfjdtr" hidden="1">{#N/A,#N/A,FALSE,"Plan1";#N/A,#N/A,FALSE,"Plan2"}</definedName>
    <definedName name="jdljgftldjti5r" hidden="1">{#N/A,#N/A,FALSE,"Plan1";#N/A,#N/A,FALSE,"Plan2"}</definedName>
    <definedName name="JDLKJDASGF" hidden="1">{#N/A,#N/A,FALSE,"Plan1";#N/A,#N/A,FALSE,"Plan2"}</definedName>
    <definedName name="jdrfkdjfghrtfjg" hidden="1">{#N/A,#N/A,FALSE,"Plan1";#N/A,#N/A,FALSE,"Plan2"}</definedName>
    <definedName name="jdskfhdk" hidden="1">{#N/A,#N/A,FALSE,"Plan1";#N/A,#N/A,FALSE,"Plan2"}</definedName>
    <definedName name="JDSKLGKDRHGGF" hidden="1">{#N/A,#N/A,FALSE,"Plan1";#N/A,#N/A,FALSE,"Plan2"}</definedName>
    <definedName name="jefsgfr" hidden="1">{#N/A,#N/A,FALSE,"Plan1";#N/A,#N/A,FALSE,"Plan2"}</definedName>
    <definedName name="JERHIEHYURE" hidden="1">{#N/A,#N/A,FALSE,"Plan1";#N/A,#N/A,FALSE,"Plan2"}</definedName>
    <definedName name="jfddlsrtyty" hidden="1">{#N/A,#N/A,FALSE,"Plan1";#N/A,#N/A,FALSE,"Plan2"}</definedName>
    <definedName name="jfdjtgdjghitfyh" hidden="1">{#N/A,#N/A,FALSE,"Plan1";#N/A,#N/A,FALSE,"Plan2"}</definedName>
    <definedName name="jfdkgkftftg" hidden="1">{#N/A,#N/A,FALSE,"Plan1";#N/A,#N/A,FALSE,"Plan2"}</definedName>
    <definedName name="jfghjkfdhtkyru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JYHTY" hidden="1">{#N/A,#N/A,FALSE,"Plan1";#N/A,#N/A,FALSE,"Plan2"}</definedName>
    <definedName name="jfgkflcnjkglc" hidden="1">{#N/A,#N/A,FALSE,"Plan1";#N/A,#N/A,FALSE,"Plan2"}</definedName>
    <definedName name="JFHRE" hidden="1">{#N/A,#N/A,FALSE,"Plan1";#N/A,#N/A,FALSE,"Plan2"}</definedName>
    <definedName name="jfkdls5jtirjd" hidden="1">{#N/A,#N/A,FALSE,"Plan1";#N/A,#N/A,FALSE,"Plan2"}</definedName>
    <definedName name="jfkljdkfcj" hidden="1">{#N/A,#N/A,FALSE,"Plan1";#N/A,#N/A,FALSE,"Plan2"}</definedName>
    <definedName name="jfkrhdtghdut" hidden="1">{#N/A,#N/A,FALSE,"Plan1";#N/A,#N/A,FALSE,"Plan2"}</definedName>
    <definedName name="JFRESR" hidden="1">{#N/A,#N/A,FALSE,"Plan1";#N/A,#N/A,FALSE,"Plan2"}</definedName>
    <definedName name="jgdfdgfjgdj" hidden="1">{#N/A,#N/A,FALSE,"Plan1";#N/A,#N/A,FALSE,"Plan2"}</definedName>
    <definedName name="jgdfght" hidden="1">{#N/A,#N/A,FALSE,"Plan1";#N/A,#N/A,FALSE,"Plan2"}</definedName>
    <definedName name="jgfgdsgfdhrf" hidden="1">{#N/A,#N/A,FALSE,"Plan1";#N/A,#N/A,FALSE,"Plan2"}</definedName>
    <definedName name="JGFJGTFT" hidden="1">{#N/A,#N/A,FALSE,"Plan1";#N/A,#N/A,FALSE,"Plan2"}</definedName>
    <definedName name="JGJSFJKSDGB" hidden="1">17</definedName>
    <definedName name="jgkjkhjuftgi" hidden="1">{#N/A,#N/A,FALSE,"Plan1";#N/A,#N/A,FALSE,"Plan2"}</definedName>
    <definedName name="jh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fjjhirft" hidden="1">{#N/A,#N/A,FALSE,"Plan1";#N/A,#N/A,FALSE,"Plan2"}</definedName>
    <definedName name="jhdfjkhtrdhf" hidden="1">{#N/A,#N/A,FALSE,"Plan1";#N/A,#N/A,FALSE,"Plan2"}</definedName>
    <definedName name="jhdfuthr" hidden="1">{#N/A,#N/A,FALSE,"Plan1";#N/A,#N/A,FALSE,"Plan2"}</definedName>
    <definedName name="JHDFZGRDHF" hidden="1">{"Econ Consolidado",#N/A,FALSE,"Econ Consol";"Fluxo de Caixa",#N/A,FALSE,"Fluxo Caixa";"Investimentos",#N/A,FALSE,"Investimentos"}</definedName>
    <definedName name="JHERKHKFGH" hidden="1">{#N/A,#N/A,FALSE,"Plan1";#N/A,#N/A,FALSE,"Plan2"}</definedName>
    <definedName name="jhfhhztfhe" hidden="1">#REF!</definedName>
    <definedName name="JHGKJFJFJGL" hidden="1">{#N/A,#N/A,FALSE,"Plan1";#N/A,#N/A,FALSE,"Plan2"}</definedName>
    <definedName name="jhsdjkhfuks" hidden="1">{#N/A,#N/A,FALSE,"Plan1";#N/A,#N/A,FALSE,"Plan2"}</definedName>
    <definedName name="jisdrkje" hidden="1">{#N/A,#N/A,FALSE,"Plan1";#N/A,#N/A,FALSE,"Plan2"}</definedName>
    <definedName name="jishfrieyhtau" hidden="1">{#N/A,#N/A,FALSE,"Plan1";#N/A,#N/A,FALSE,"Plan2"}</definedName>
    <definedName name="jiu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j" hidden="1">{"'Apr-00'!$B$4:$AD$44"}</definedName>
    <definedName name="jjfdsktyhhy" hidden="1">{#N/A,#N/A,FALSE,"Plan1";#N/A,#N/A,FALSE,"Plan2"}</definedName>
    <definedName name="jjjjjjjjjjjjjjjjjjjj">#REF!</definedName>
    <definedName name="jjkjkjk" hidden="1">{#N/A,#N/A,FALSE,"Plan1";#N/A,#N/A,FALSE,"Plan2"}</definedName>
    <definedName name="JKDCK" hidden="1">{#N/A,#N/A,FALSE,"Plan1";#N/A,#N/A,FALSE,"Plan2"}</definedName>
    <definedName name="JKDFHKHFR" hidden="1">{#N/A,#N/A,FALSE,"Plan1";#N/A,#N/A,FALSE,"Plan2"}</definedName>
    <definedName name="JKDFTRDRJ" hidden="1">{#N/A,#N/A,FALSE,"Plan1";#N/A,#N/A,FALSE,"Plan2"}</definedName>
    <definedName name="jkdhfukhddf" hidden="1">{#N/A,#N/A,FALSE,"Plan1";#N/A,#N/A,FALSE,"Plan2"}</definedName>
    <definedName name="JKDRKGJHTDR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elsjreja" hidden="1">{#N/A,#N/A,FALSE,"Plan1";#N/A,#N/A,FALSE,"Plan2"}</definedName>
    <definedName name="jkfhjgkfhghh" hidden="1">{#N/A,#N/A,FALSE,"Plan1";#N/A,#N/A,FALSE,"Plan2"}</definedName>
    <definedName name="jkhderjkhes" hidden="1">{#N/A,#N/A,FALSE,"Plan1";#N/A,#N/A,FALSE,"Plan2"}</definedName>
    <definedName name="jkhdfhfd" hidden="1">{#N/A,#N/A,FALSE,"Plan1";#N/A,#N/A,FALSE,"Plan2"}</definedName>
    <definedName name="jkhfhes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KJHGKFTHUDET" hidden="1">{#N/A,#N/A,FALSE,"Plan1";#N/A,#N/A,FALSE,"Plan2"}</definedName>
    <definedName name="JKHGDHFUHTG" hidden="1">{#N/A,#N/A,FALSE,"Plan1";#N/A,#N/A,FALSE,"Plan2"}</definedName>
    <definedName name="jkhsdzjkfyiu" hidden="1">{#N/A,#N/A,FALSE,"Plan1";#N/A,#N/A,FALSE,"Plan2"}</definedName>
    <definedName name="jkjsdkhfdhrf" hidden="1">{#N/A,#N/A,FALSE,"Plan1";#N/A,#N/A,FALSE,"Plan2"}</definedName>
    <definedName name="jklgfsjgtjtg" hidden="1">{#N/A,#N/A,FALSE,"Plan1";#N/A,#N/A,FALSE,"Plan2"}</definedName>
    <definedName name="jksldfjsdhf" hidden="1">{#N/A,#N/A,FALSE,"Plan1";#N/A,#N/A,FALSE,"Plan2"}</definedName>
    <definedName name="jkxhcjkhfr" hidden="1">{#N/A,#N/A,FALSE,"Plan1";#N/A,#N/A,FALSE,"Plan2"}</definedName>
    <definedName name="JNGCKFKJFGH" hidden="1">{#N/A,#N/A,FALSE,"Plan1";#N/A,#N/A,FALSE,"Plan2"}</definedName>
    <definedName name="JOALDO">#REF!</definedName>
    <definedName name="joao_cdi">#REF!</definedName>
    <definedName name="joao_hist">#REF!</definedName>
    <definedName name="joao_uss">#REF!</definedName>
    <definedName name="JREJRW" hidden="1">{#N/A,#N/A,FALSE,"Plan1";#N/A,#N/A,FALSE,"Plan2"}</definedName>
    <definedName name="JSADKAH" hidden="1">{"Econ Consolidado",#N/A,FALSE,"Econ Consol";"Fluxo de Caixa",#N/A,FALSE,"Fluxo Caixa";"Investimentos",#N/A,FALSE,"Investimentos"}</definedName>
    <definedName name="JSDAJRE" hidden="1">{#N/A,#N/A,FALSE,"Plan1";#N/A,#N/A,FALSE,"Plan2"}</definedName>
    <definedName name="jsdffs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jgx" hidden="1">{#N/A,#N/A,FALSE,"Plan1";#N/A,#N/A,FALSE,"Plan2"}</definedName>
    <definedName name="jsdfkgnfr" hidden="1">#REF!</definedName>
    <definedName name="jsdfsdfd" hidden="1">{#N/A,#N/A,FALSE,"Plan1";#N/A,#N/A,FALSE,"Plan2"}</definedName>
    <definedName name="jsdljficd" hidden="1">{#N/A,#N/A,FALSE,"Plan1";#N/A,#N/A,FALSE,"Plan2"}</definedName>
    <definedName name="JSDTLFJDRG" hidden="1">{#N/A,#N/A,FALSE,"Plan1";#N/A,#N/A,FALSE,"Plan2"}</definedName>
    <definedName name="jsfjsjferwea" hidden="1">{#N/A,#N/A,FALSE,"Plan1";#N/A,#N/A,FALSE,"Plan2"}</definedName>
    <definedName name="jslrjer" hidden="1">{#N/A,#N/A,FALSE,"Plan1";#N/A,#N/A,FALSE,"Plan2"}</definedName>
    <definedName name="juklhkhdf" hidden="1">{#N/A,#N/A,FALSE,"Plan1";#N/A,#N/A,FALSE,"Plan2"}</definedName>
    <definedName name="jul17RJ">#REF!</definedName>
    <definedName name="JULHO">#REF!</definedName>
    <definedName name="JULHO2001">#REF!</definedName>
    <definedName name="JULHO99" hidden="1">{#N/A,#N/A,TRUE,"Quinzena 01 à 15-04-98 "}</definedName>
    <definedName name="jun17RJ">#REF!</definedName>
    <definedName name="JUNHO">#REF!</definedName>
    <definedName name="JUNHO2001">#REF!</definedName>
    <definedName name="JurosTpMes">#REF!</definedName>
    <definedName name="jwekljd" hidden="1">{#N/A,#N/A,FALSE,"Plan1";#N/A,#N/A,FALSE,"Plan2"}</definedName>
    <definedName name="JWEOITORU5Y" hidden="1">{#N/A,#N/A,FALSE,"Plan1";#N/A,#N/A,FALSE,"Plan2"}</definedName>
    <definedName name="jxdfjsrf" hidden="1">{#N/A,#N/A,FALSE,"Plan1";#N/A,#N/A,FALSE,"Plan2"}</definedName>
    <definedName name="jxdklfjv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Y" hidden="1">#REF!</definedName>
    <definedName name="jzsdjkszl" hidden="1">{#N/A,#N/A,FALSE,"Plan1";#N/A,#N/A,FALSE,"Plan2"}</definedName>
    <definedName name="JZXFKLJLDJF" hidden="1">{#N/A,#N/A,FALSE,"Plan1";#N/A,#N/A,FALSE,"Plan2"}</definedName>
    <definedName name="jzxklfdlvgfg" hidden="1">{#N/A,#N/A,FALSE,"Plan1";#N/A,#N/A,FALSE,"Plan2"}</definedName>
    <definedName name="k" hidden="1">{#N/A,#N/A,FALSE,"Plan1";#N/A,#N/A,FALSE,"Plan2"}</definedName>
    <definedName name="K_1">#REF!</definedName>
    <definedName name="kaedkroswr" hidden="1">{"Econ Consolidado",#N/A,FALSE,"Econ Consol";"Fluxo de Caixa",#N/A,FALSE,"Fluxo Caixa";"Investimentos",#N/A,FALSE,"Investimentos"}</definedName>
    <definedName name="kapa">#REF!</definedName>
    <definedName name="kç\lKçaksdçaqew" hidden="1">{#N/A,#N/A,FALSE,"Plan1";#N/A,#N/A,FALSE,"Plan2"}</definedName>
    <definedName name="kçdasekr" hidden="1">{#N/A,#N/A,FALSE,"Plan1";#N/A,#N/A,FALSE,"Plan2"}</definedName>
    <definedName name="kçfdljtredr" hidden="1">{#N/A,#N/A,FALSE,"Plan1";#N/A,#N/A,FALSE,"Plan2"}</definedName>
    <definedName name="KCIVIL">#REF!</definedName>
    <definedName name="kclçkglf" hidden="1">{#N/A,#N/A,FALSE,"Plan1";#N/A,#N/A,FALSE,"Plan2"}</definedName>
    <definedName name="kçlkasçkere" hidden="1">{#N/A,#N/A,FALSE,"Plan1";#N/A,#N/A,FALSE,"Plan2"}</definedName>
    <definedName name="kdfbngtjkbf" hidden="1">{#N/A,#N/A,FALSE,"Plan1";#N/A,#N/A,FALSE,"Plan2"}</definedName>
    <definedName name="kdfhkghkrh" hidden="1">{#N/A,#N/A,FALSE,"Plan1";#N/A,#N/A,FALSE,"Plan2"}</definedName>
    <definedName name="kdfier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kçrkf" hidden="1">{#N/A,#N/A,FALSE,"Plan1";#N/A,#N/A,FALSE,"Plan2"}</definedName>
    <definedName name="kdfljlfr" hidden="1">{#N/A,#N/A,FALSE,"Plan1";#N/A,#N/A,FALSE,"Plan2"}</definedName>
    <definedName name="kdhfgkdfhytgu" hidden="1">{#N/A,#N/A,FALSE,"Plan1";#N/A,#N/A,FALSE,"Plan2"}</definedName>
    <definedName name="kdhgftfg" hidden="1">{#N/A,#N/A,FALSE,"Plan1";#N/A,#N/A,FALSE,"Plan2"}</definedName>
    <definedName name="KDHKFGKKHGF" hidden="1">{#N/A,#N/A,FALSE,"Plan1";#N/A,#N/A,FALSE,"Plan2"}</definedName>
    <definedName name="kdjfdr" hidden="1">#REF!</definedName>
    <definedName name="kdjgkfjgd" hidden="1">{#N/A,#N/A,FALSE,"Plan1";#N/A,#N/A,FALSE,"Plan2"}</definedName>
    <definedName name="kdjglkdlgjd" hidden="1">{#N/A,#N/A,FALSE,"Plan1";#N/A,#N/A,FALSE,"Plan2"}</definedName>
    <definedName name="kdjsfkldjgkty" hidden="1">{#N/A,#N/A,FALSE,"Plan1";#N/A,#N/A,FALSE,"Plan2"}</definedName>
    <definedName name="KDJU" hidden="1">{"'장비'!$A$3:$M$12"}</definedName>
    <definedName name="kdkjhgdkfhjk" hidden="1">{#N/A,#N/A,FALSE,"Plan1";#N/A,#N/A,FALSE,"Plan2"}</definedName>
    <definedName name="kdsf" hidden="1">{#N/A,#N/A,FALSE,"Plan1";#N/A,#N/A,FALSE,"Plan2"}</definedName>
    <definedName name="kdsr" hidden="1">{#N/A,#N/A,FALSE,"Plan1";#N/A,#N/A,FALSE,"Plan2"}</definedName>
    <definedName name="kergtfdstr" hidden="1">{#N/A,#N/A,FALSE,"Plan1";#N/A,#N/A,FALSE,"Plan2"}</definedName>
    <definedName name="kesp">#REF!</definedName>
    <definedName name="KFDKTHGT" hidden="1">{#N/A,#N/A,FALSE,"Plan1";#N/A,#N/A,FALSE,"Plan2"}</definedName>
    <definedName name="kfdxlfdzs" hidden="1">{"Econ Consolidado",#N/A,FALSE,"Econ Consol";"Fluxo de Caixa",#N/A,FALSE,"Fluxo Caixa";"Investimentos",#N/A,FALSE,"Investimentos"}</definedName>
    <definedName name="kfgkhjkjhy" hidden="1">{#N/A,#N/A,FALSE,"Plan1";#N/A,#N/A,FALSE,"Plan2"}</definedName>
    <definedName name="KFJFDSDF" hidden="1">{#N/A,#N/A,FALSE,"Plan1";#N/A,#N/A,FALSE,"Plan2"}</definedName>
    <definedName name="kfnkeasd" hidden="1">{#N/A,#N/A,FALSE,"Plan1";#N/A,#N/A,FALSE,"Plan2"}</definedName>
    <definedName name="khdjkfkjhtg" hidden="1">{#N/A,#N/A,FALSE,"Plan1";#N/A,#N/A,FALSE,"Plan2"}</definedName>
    <definedName name="khdkfjhhfsdg" hidden="1">{#N/A,#N/A,FALSE,"Plan1";#N/A,#N/A,FALSE,"Plan2"}</definedName>
    <definedName name="khdkjfhgudytu" hidden="1">{#N/A,#N/A,FALSE,"Plan1";#N/A,#N/A,FALSE,"Plan2"}</definedName>
    <definedName name="khfdghhhgd" hidden="1">{#N/A,#N/A,FALSE,"Plan1";#N/A,#N/A,FALSE,"Plan2"}</definedName>
    <definedName name="khfdkjhsdjf" hidden="1">{#N/A,#N/A,FALSE,"Plan1";#N/A,#N/A,FALSE,"Plan2"}</definedName>
    <definedName name="khgdkftfy" hidden="1">{#N/A,#N/A,FALSE,"Plan1";#N/A,#N/A,FALSE,"Plan2"}</definedName>
    <definedName name="khgfhhtuhf" hidden="1">{#N/A,#N/A,FALSE,"Plan1";#N/A,#N/A,FALSE,"Plan2"}</definedName>
    <definedName name="khjk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LSDF" hidden="1">{#N/A,#N/A,FALSE,"Plan1";#N/A,#N/A,FALSE,"Plan2"}</definedName>
    <definedName name="kieret" hidden="1">{#N/A,#N/A,FALSE,"Plan1";#N/A,#N/A,FALSE,"Plan2"}</definedName>
    <definedName name="kiweokwr" hidden="1">#REF!</definedName>
    <definedName name="kjchkfhsezk" hidden="1">{#N/A,#N/A,FALSE,"Plan1";#N/A,#N/A,FALSE,"Plan2"}</definedName>
    <definedName name="kjdghksef" hidden="1">{#N/A,#N/A,FALSE,"Plan1";#N/A,#N/A,FALSE,"Plan2"}</definedName>
    <definedName name="kjdkftyhtert" hidden="1">{#N/A,#N/A,FALSE,"Plan1";#N/A,#N/A,FALSE,"Plan2"}</definedName>
    <definedName name="kjdlfkjds" hidden="1">{#N/A,#N/A,FALSE,"Plan1";#N/A,#N/A,FALSE,"Plan2"}</definedName>
    <definedName name="kjdzhfytrfy" hidden="1">{#N/A,#N/A,FALSE,"Plan1";#N/A,#N/A,FALSE,"Plan2"}</definedName>
    <definedName name="kjhdfgjthdft" hidden="1">{#N/A,#N/A,FALSE,"Plan1";#N/A,#N/A,FALSE,"Plan2"}</definedName>
    <definedName name="kjhsdf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iorf" hidden="1">{#N/A,#N/A,FALSE,"Plan1";#N/A,#N/A,FALSE,"Plan2"}</definedName>
    <definedName name="KJ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www" hidden="1">{#N/A,#N/A,FALSE,"Plan1";#N/A,#N/A,FALSE,"Plan2"}</definedName>
    <definedName name="kjl" hidden="1">{#N/A,#N/A,FALSE,"ENG'G(보호계전기)"}</definedName>
    <definedName name="KJOI" hidden="1">{#N/A,#N/A,FALSE,"Plan1";#N/A,#N/A,FALSE,"Plan2"}</definedName>
    <definedName name="kjqwerw" hidden="1">{#N/A,#N/A,FALSE,"Plan1";#N/A,#N/A,FALSE,"Plan2"}</definedName>
    <definedName name="kjsfert" hidden="1">{#N/A,#N/A,FALSE,"Plan1";#N/A,#N/A,FALSE,"Plan2"}</definedName>
    <definedName name="KJXCFKR" hidden="1">{#N/A,#N/A,FALSE,"Plan1";#N/A,#N/A,FALSE,"Plan2"}</definedName>
    <definedName name="KJXDFD" hidden="1">{#N/A,#N/A,FALSE,"Plan1";#N/A,#N/A,FALSE,"Plan2"}</definedName>
    <definedName name="kjydhfkjghkjfh" hidden="1">#REF!</definedName>
    <definedName name="kk">#REF!</definedName>
    <definedName name="kk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k" hidden="1">{#N/A,#N/A,FALSE,"Plan1";#N/A,#N/A,FALSE,"Plan2"}</definedName>
    <definedName name="kkkkk" hidden="1">{#N/A,#N/A,FALSE,"Plan1";#N/A,#N/A,FALSE,"Plan2"}</definedName>
    <definedName name="kkkkkk" hidden="1">{#N/A,#N/A,FALSE,"Plan1";#N/A,#N/A,FALSE,"Plan2"}</definedName>
    <definedName name="kk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saklçer" hidden="1">{#N/A,#N/A,FALSE,"Plan1";#N/A,#N/A,FALSE,"Plan2"}</definedName>
    <definedName name="kksarde" hidden="1">{#N/A,#N/A,FALSE,"Plan1";#N/A,#N/A,FALSE,"Plan2"}</definedName>
    <definedName name="klaskldjsw" hidden="1">{#N/A,#N/A,FALSE,"Plan1";#N/A,#N/A,FALSE,"Plan2"}</definedName>
    <definedName name="klçkop" hidden="1">{#N/A,#N/A,FALSE,"Plan1";#N/A,#N/A,FALSE,"Plan2"}</definedName>
    <definedName name="KLDFNTRDT" hidden="1">{#N/A,#N/A,FALSE,"Plan1";#N/A,#N/A,FALSE,"Plan2"}</definedName>
    <definedName name="klhjsdklhdf" hidden="1">{#N/A,#N/A,FALSE,"Plan1";#N/A,#N/A,FALSE,"Plan2"}</definedName>
    <definedName name="KLHSKLRHWE" hidden="1">{#N/A,#N/A,FALSE,"Plan1";#N/A,#N/A,FALSE,"Plan2"}</definedName>
    <definedName name="KLJASKJD" hidden="1">{#N/A,#N/A,FALSE,"Plan1";#N/A,#N/A,FALSE,"Plan2"}</definedName>
    <definedName name="KLJDXL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eflwr" hidden="1">{#N/A,#N/A,FALSE,"Plan1";#N/A,#N/A,FALSE,"Plan2"}</definedName>
    <definedName name="kljflgjrf" hidden="1">{#N/A,#N/A,FALSE,"Plan1";#N/A,#N/A,FALSE,"Plan2"}</definedName>
    <definedName name="kljgfdfr" hidden="1">{#N/A,#N/A,FALSE,"Plan1";#N/A,#N/A,FALSE,"Plan2"}</definedName>
    <definedName name="kljgfjrt" hidden="1">{#N/A,#N/A,FALSE,"Plan1";#N/A,#N/A,FALSE,"Plan2"}</definedName>
    <definedName name="kljlkdfj" hidden="1">{#N/A,#N/A,FALSE,"Plan1";#N/A,#N/A,FALSE,"Plan2"}</definedName>
    <definedName name="kljsakjfr" hidden="1">{#N/A,#N/A,FALSE,"Plan1";#N/A,#N/A,FALSE,"Plan2"}</definedName>
    <definedName name="kljsdje" hidden="1">{#N/A,#N/A,FALSE,"Plan1";#N/A,#N/A,FALSE,"Plan2"}</definedName>
    <definedName name="kljsfwe" hidden="1">{#N/A,#N/A,FALSE,"Plan1";#N/A,#N/A,FALSE,"Plan2"}</definedName>
    <definedName name="klk" hidden="1">{#N/A,#N/A,FALSE,"Plan1";#N/A,#N/A,FALSE,"Plan2"}</definedName>
    <definedName name="KLKKLKÇJÇ" hidden="1">{#N/A,#N/A,FALSE,"Plan1";#N/A,#N/A,FALSE,"Plan2"}</definedName>
    <definedName name="KLSDFT" hidden="1">{#N/A,#N/A,FALSE,"Plan1";#N/A,#N/A,FALSE,"Plan2"}</definedName>
    <definedName name="KLSDHSJKHF" hidden="1">{#N/A,#N/A,FALSE,"Plan1";#N/A,#N/A,FALSE,"Plan2"}</definedName>
    <definedName name="klsdkre" hidden="1">{#N/A,#N/A,FALSE,"Plan1";#N/A,#N/A,FALSE,"Plan2"}</definedName>
    <definedName name="KLSIDJE" hidden="1">{#N/A,#N/A,FALSE,"Plan1";#N/A,#N/A,FALSE,"Plan2"}</definedName>
    <definedName name="klsjarsf" hidden="1">{#N/A,#N/A,FALSE,"Plan1";#N/A,#N/A,FALSE,"Plan2"}</definedName>
    <definedName name="klsjdwe" hidden="1">#REF!</definedName>
    <definedName name="klxhjfdkhser" hidden="1">{#N/A,#N/A,FALSE,"Plan1";#N/A,#N/A,FALSE,"Plan2"}</definedName>
    <definedName name="kopipnsdfne" hidden="1">{#N/A,#N/A,FALSE,"Plan1";#N/A,#N/A,FALSE,"Plan2"}</definedName>
    <definedName name="kp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DF" hidden="1">{#N/A,#N/A,FALSE,"Plan1";#N/A,#N/A,FALSE,"Plan2"}</definedName>
    <definedName name="ksdlkfsçzd" hidden="1">{#N/A,#N/A,FALSE,"Plan1";#N/A,#N/A,FALSE,"Plan2"}</definedName>
    <definedName name="KSDNFK">#REF!</definedName>
    <definedName name="ksdoçierfe" hidden="1">{#N/A,#N/A,FALSE,"Plan1";#N/A,#N/A,FALSE,"Plan2"}</definedName>
    <definedName name="ksdtrdrkf" hidden="1">{#N/A,#N/A,FALSE,"Plan1";#N/A,#N/A,FALSE,"Plan2"}</definedName>
    <definedName name="KSFÇJDFJL" hidden="1">{#N/A,#N/A,FALSE,"Plan1";#N/A,#N/A,FALSE,"Plan2"}</definedName>
    <definedName name="ksfhse" hidden="1">{#N/A,#N/A,FALSE,"Plan1";#N/A,#N/A,FALSE,"Plan2"}</definedName>
    <definedName name="KSRKOE" hidden="1">{#N/A,#N/A,FALSE,"Plan1";#N/A,#N/A,FALSE,"Plan2"}</definedName>
    <definedName name="KSWKE" hidden="1">{#N/A,#N/A,FALSE,"Plan1";#N/A,#N/A,FALSE,"Plan2"}</definedName>
    <definedName name="kubus">#REF!</definedName>
    <definedName name="kubus1">#REF!</definedName>
    <definedName name="kysdusf" hidden="1">{#N/A,#N/A,FALSE,"Plan1";#N/A,#N/A,FALSE,"Plan2"}</definedName>
    <definedName name="kzslçdkçle" hidden="1">{#N/A,#N/A,FALSE,"Plan1";#N/A,#N/A,FALSE,"Plan2"}</definedName>
    <definedName name="L_">#REF!</definedName>
    <definedName name="LAEKWRK" hidden="1">{#N/A,#N/A,FALSE,"Plan1";#N/A,#N/A,FALSE,"Plan2"}</definedName>
    <definedName name="laeqwep" hidden="1">#REF!</definedName>
    <definedName name="LAKDEWRF" hidden="1">{#N/A,#N/A,FALSE,"Plan1";#N/A,#N/A,FALSE,"Plan2"}</definedName>
    <definedName name="Lancamentos">#REF!</definedName>
    <definedName name="LARGURA">#REF!</definedName>
    <definedName name="LASÇDSRLF" hidden="1">{#N/A,#N/A,FALSE,"Plan1";#N/A,#N/A,FALSE,"Plan2"}</definedName>
    <definedName name="LASDAKWE" hidden="1">25</definedName>
    <definedName name="lasrlswer" hidden="1">{#N/A,#N/A,FALSE,"Plan1";#N/A,#N/A,FALSE,"Plan2"}</definedName>
    <definedName name="LAZER">#REF!</definedName>
    <definedName name="lbla1" hidden="1">#REF!</definedName>
    <definedName name="lbla10" hidden="1">#REF!</definedName>
    <definedName name="lbla11" hidden="1">#REF!</definedName>
    <definedName name="lbla12" hidden="1">#REF!</definedName>
    <definedName name="lbla13" hidden="1">#REF!</definedName>
    <definedName name="lbla14" hidden="1">#REF!</definedName>
    <definedName name="lbla15" hidden="1">#REF!</definedName>
    <definedName name="lbla16" hidden="1">#REF!</definedName>
    <definedName name="lbla17" hidden="1">#REF!</definedName>
    <definedName name="lbla18" hidden="1">#REF!</definedName>
    <definedName name="lbla19" hidden="1">#REF!</definedName>
    <definedName name="lbla2" hidden="1">#REF!</definedName>
    <definedName name="lbla20" hidden="1">#REF!</definedName>
    <definedName name="lbla21" hidden="1">#REF!</definedName>
    <definedName name="lbla22" hidden="1">#REF!</definedName>
    <definedName name="lbla23" hidden="1">#REF!</definedName>
    <definedName name="lbla24" hidden="1">#REF!</definedName>
    <definedName name="lbla25" hidden="1">#REF!</definedName>
    <definedName name="lbla27" hidden="1">#REF!</definedName>
    <definedName name="lbla28" hidden="1">#REF!</definedName>
    <definedName name="lçadple4r" hidden="1">{#N/A,#N/A,FALSE,"Plan1";#N/A,#N/A,FALSE,"Plan2"}</definedName>
    <definedName name="lçasser" hidden="1">{#N/A,#N/A,FALSE,"Plan1";#N/A,#N/A,FALSE,"Plan2"}</definedName>
    <definedName name="lcdgjtklfrn" hidden="1">{#N/A,#N/A,FALSE,"Plan1";#N/A,#N/A,FALSE,"Plan2"}</definedName>
    <definedName name="lçfklsdkçaer" hidden="1">{#N/A,#N/A,FALSE,"Plan1";#N/A,#N/A,FALSE,"Plan2"}</definedName>
    <definedName name="lçjkgf" hidden="1">{#N/A,#N/A,FALSE,"Plan1";#N/A,#N/A,FALSE,"Plan2"}</definedName>
    <definedName name="LÇJSLDFJ" hidden="1">{#N/A,#N/A,FALSE,"Plan1";#N/A,#N/A,FALSE,"Plan2"}</definedName>
    <definedName name="LÇKÇSDRLK" hidden="1">{#N/A,#N/A,FALSE,"Plan1";#N/A,#N/A,FALSE,"Plan2"}</definedName>
    <definedName name="lçkdfkdstkre" hidden="1">25</definedName>
    <definedName name="lçk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fklçdglfdgt" hidden="1">{#N/A,#N/A,FALSE,"Plan1";#N/A,#N/A,FALSE,"Plan2"}</definedName>
    <definedName name="lçslrr4r" hidden="1">{#N/A,#N/A,FALSE,"Plan1";#N/A,#N/A,FALSE,"Plan2"}</definedName>
    <definedName name="ldfjgry" hidden="1">{#N/A,#N/A,FALSE,"Plan1";#N/A,#N/A,FALSE,"Plan2"}</definedName>
    <definedName name="ldfjgtilrf" hidden="1">{#N/A,#N/A,FALSE,"Plan1";#N/A,#N/A,FALSE,"Plan2"}</definedName>
    <definedName name="ldk" hidden="1">{#N/A,#N/A,FALSE,"Plan1";#N/A,#N/A,FALSE,"Plan2"}</definedName>
    <definedName name="ldkgkdfjgkh" hidden="1">{#N/A,#N/A,FALSE,"Plan1";#N/A,#N/A,FALSE,"Plan2"}</definedName>
    <definedName name="LDTJGR" hidden="1">{#N/A,#N/A,FALSE,"Plan1";#N/A,#N/A,FALSE,"Plan2"}</definedName>
    <definedName name="Leg" hidden="1">#REF!</definedName>
    <definedName name="legr_cdi">#REF!</definedName>
    <definedName name="legr_hist">#REF!</definedName>
    <definedName name="legr_uss">#REF!</definedName>
    <definedName name="LEK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VANTAMENTO">#REF!</definedName>
    <definedName name="lfjdjrt" hidden="1">{#N/A,#N/A,FALSE,"Plan1";#N/A,#N/A,FALSE,"Plan2"}</definedName>
    <definedName name="LI">#REF!</definedName>
    <definedName name="LIDER_OPER">#REF!</definedName>
    <definedName name="lidfjgklruf" hidden="1">{#N/A,#N/A,FALSE,"Plan1";#N/A,#N/A,FALSE,"Plan2"}</definedName>
    <definedName name="LII">#REF!</definedName>
    <definedName name="LIII">#REF!</definedName>
    <definedName name="LIMBO">#REF!</definedName>
    <definedName name="limcount" hidden="1">3</definedName>
    <definedName name="LIN">#REF!</definedName>
    <definedName name="lis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A">#REF!</definedName>
    <definedName name="LISTA_CONTAS">#REF!</definedName>
    <definedName name="lista_empresa">OFFSET(INDEX(#REF!,MATCH(#REF!,#REF!,0)),1,0,COUNTA(#REF!)-1)</definedName>
    <definedName name="LISTA_FORNECEDORES">#REF!</definedName>
    <definedName name="LISTSEL">#REF!</definedName>
    <definedName name="list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V">#REF!</definedName>
    <definedName name="LIX">#REF!</definedName>
    <definedName name="ljdfkgyt" hidden="1">{#N/A,#N/A,FALSE,"Plan1";#N/A,#N/A,FALSE,"Plan2"}</definedName>
    <definedName name="LJDFLJRL" hidden="1">{#N/A,#N/A,FALSE,"Plan1";#N/A,#N/A,FALSE,"Plan2"}</definedName>
    <definedName name="ljsdfrd" hidden="1">{#N/A,#N/A,FALSE,"Plan1";#N/A,#N/A,FALSE,"Plan2"}</definedName>
    <definedName name="LJSFLDJDLKFJG" hidden="1">#REF!</definedName>
    <definedName name="LK" hidden="1">{#N/A,#N/A,TRUE,"Quinzena 01 à 15-04-98 "}</definedName>
    <definedName name="lkasdkeo" hidden="1">{#N/A,#N/A,FALSE,"Plan1";#N/A,#N/A,FALSE,"Plan2"}</definedName>
    <definedName name="lkdeas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zxfsdrf" hidden="1">{#N/A,#N/A,FALSE,"Plan1";#N/A,#N/A,FALSE,"Plan2"}</definedName>
    <definedName name="lkfdkçtktr" hidden="1">{#N/A,#N/A,FALSE,"Plan1";#N/A,#N/A,FALSE,"Plan2"}</definedName>
    <definedName name="lkjr4" hidden="1">17</definedName>
    <definedName name="LKSSDKÇ\E" hidden="1">{#N/A,#N/A,FALSE,"Plan1";#N/A,#N/A,FALSE,"Plan2"}</definedName>
    <definedName name="lkt" hidden="1">{#N/A,#N/A,FALSE,"Plan1";#N/A,#N/A,FALSE,"Plan2"}</definedName>
    <definedName name="lktlyklt" hidden="1">{#N/A,#N/A,FALSE,"Plan1";#N/A,#N/A,FALSE,"Plan2"}</definedName>
    <definedName name="LKTTYT" hidden="1">{#N/A,#N/A,FALSE,"Plan1";#N/A,#N/A,FALSE,"Plan2"}</definedName>
    <definedName name="llgg" hidden="1">{#N/A,#N/A,FALSE,"Plan1";#N/A,#N/A,FALSE,"Plan2"}</definedName>
    <definedName name="LLL" hidden="1">{#N/A,#N/A,FALSE,"Plan1";#N/A,#N/A,FALSE,"Plan2"}</definedName>
    <definedName name="LM_AR" hidden="1">{#N/A,#N/A,FALSE,"F-01"}</definedName>
    <definedName name="LM_AT" hidden="1">{#N/A,#N/A,FALSE,"F-01"}</definedName>
    <definedName name="LM_INC" hidden="1">{#N/A,#N/A,FALSE,"F-01"}</definedName>
    <definedName name="LMPAS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CALMENU">#REF!</definedName>
    <definedName name="LOCALOBRA">#REF!</definedName>
    <definedName name="LS">#REF!</definedName>
    <definedName name="LSDFKLDKFTR" hidden="1">{#N/A,#N/A,FALSE,"Plan1";#N/A,#N/A,FALSE,"Plan2"}</definedName>
    <definedName name="lsdjs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kljfkg" hidden="1">{#N/A,#N/A,FALSE,"Plan1";#N/A,#N/A,FALSE,"Plan2"}</definedName>
    <definedName name="lsdsder" hidden="1">{#N/A,#N/A,FALSE,"Plan1";#N/A,#N/A,FALSE,"Plan2"}</definedName>
    <definedName name="ltj6ljyhdjhngças" hidden="1">{#N/A,#N/A,FALSE,"Plan1";#N/A,#N/A,FALSE,"Plan2"}</definedName>
    <definedName name="LUCRO">#REF!</definedName>
    <definedName name="luis_cdi">#REF!</definedName>
    <definedName name="luis_hist">#REF!</definedName>
    <definedName name="luis_uss">#REF!</definedName>
    <definedName name="LV">#REF!</definedName>
    <definedName name="LVI">#REF!</definedName>
    <definedName name="LVII">#REF!</definedName>
    <definedName name="LVIII">#REF!</definedName>
    <definedName name="lwaeddew" hidden="1">#REF!</definedName>
    <definedName name="LXX">#REF!</definedName>
    <definedName name="LXXI">#REF!</definedName>
    <definedName name="LXXII">#REF!</definedName>
    <definedName name="LXXIII">#REF!</definedName>
    <definedName name="LXXIV">#REF!</definedName>
    <definedName name="LXXIX">#REF!</definedName>
    <definedName name="LXXV">#REF!</definedName>
    <definedName name="LXXVI">#REF!</definedName>
    <definedName name="LXXVII">#REF!</definedName>
    <definedName name="LXXVIII">#REF!</definedName>
    <definedName name="LXXX">#REF!</definedName>
    <definedName name="LXXXI">#REF!</definedName>
    <definedName name="LXXXII">#REF!</definedName>
    <definedName name="LXXXIII">#REF!</definedName>
    <definedName name="LXXXIV">#REF!</definedName>
    <definedName name="LXXXV">#REF!</definedName>
    <definedName name="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ADRI">#REF!</definedName>
    <definedName name="mai17RJ">#REF!</definedName>
    <definedName name="MAIO">#REF!</definedName>
    <definedName name="MAIO2001">#REF!</definedName>
    <definedName name="MAISAP" hidden="1">{#N/A,#N/A,FALSE,"Plan1";#N/A,#N/A,FALSE,"Plan2"}</definedName>
    <definedName name="MA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O_DE_OBRA">#REF!</definedName>
    <definedName name="mar17RJ">#REF!</definedName>
    <definedName name="MARCAX">#REF!</definedName>
    <definedName name="MARÇO">#REF!</definedName>
    <definedName name="MARÇO2001">#REF!</definedName>
    <definedName name="martha">#REF!</definedName>
    <definedName name="MAST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ERIAL">#REF!</definedName>
    <definedName name="mattubcu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URILIO" hidden="1">{#N/A,#N/A,FALSE,"Plan1";#N/A,#N/A,FALSE,"Plan2"}</definedName>
    <definedName name="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V">#REF!</definedName>
    <definedName name="mdfgtr" hidden="1">{#N/A,#N/A,FALSE,"Plan1";#N/A,#N/A,FALSE,"Plan2"}</definedName>
    <definedName name="MDSÇLFJKJSD" hidden="1">{#N/A,#N/A,FALSE,"Plan1";#N/A,#N/A,FALSE,"Plan2"}</definedName>
    <definedName name="ME" hidden="1">{"HW",#N/A,FALSE,"1998"}</definedName>
    <definedName name="Medido_Fin_Medições">#REF!</definedName>
    <definedName name="melo_cdi">#REF!</definedName>
    <definedName name="melo_hist">#REF!</definedName>
    <definedName name="melo_uss">#REF!</definedName>
    <definedName name="MEMÓRIA">#REF!</definedName>
    <definedName name="memória2">#REF!</definedName>
    <definedName name="mensal">#REF!</definedName>
    <definedName name="MENU">#REF!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BOM">#REF!</definedName>
    <definedName name="MENUEQP">#REF!</definedName>
    <definedName name="MENUFIM">#REF!</definedName>
    <definedName name="MENUMED">#REF!</definedName>
    <definedName name="MENUOBRA">#REF!</definedName>
    <definedName name="MENUOUT">#REF!</definedName>
    <definedName name="MENUOUTRO">#REF!</definedName>
    <definedName name="menures">#REF!</definedName>
    <definedName name="Mês_data_base">#REF!</definedName>
    <definedName name="Mês_Medição_Fin_Medições">#REF!</definedName>
    <definedName name="mes_relatorio">#REF!</definedName>
    <definedName name="Meses">#REF!</definedName>
    <definedName name="MESTR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a_venda">#REF!</definedName>
    <definedName name="MetaBP">#REF!</definedName>
    <definedName name="MILENA" hidden="1">#REF!</definedName>
    <definedName name="Minha_Casa_Minha_Vida">#REF!</definedName>
    <definedName name="MLMÇLKJKI" hidden="1">{#N/A,#N/A,FALSE,"Plan1";#N/A,#N/A,FALSE,"Plan2"}</definedName>
    <definedName name="M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" hidden="1">{"tabela",#N/A,FALSE,"Tabela";"decoração",#N/A,FALSE,"Decor.";"Informações",#N/A,FALSE,"Inform."}</definedName>
    <definedName name="mmmmmm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NBXFKGS" hidden="1">{#N/A,#N/A,FALSE,"Plan1";#N/A,#N/A,FALSE,"Plan2"}</definedName>
    <definedName name="mncvbgcvmc" hidden="1">{#N/A,#N/A,FALSE,"Plan1";#N/A,#N/A,FALSE,"Plan2"}</definedName>
    <definedName name="MNDKZSFNCEA" hidden="1">{#N/A,#N/A,FALSE,"Plan1";#N/A,#N/A,FALSE,"Plan2"}</definedName>
    <definedName name="mnhdshfgfhd" hidden="1">{#N/A,#N/A,FALSE,"Plan1";#N/A,#N/A,FALSE,"Plan2"}</definedName>
    <definedName name="mo">#REF!</definedName>
    <definedName name="mobr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delo1" hidden="1">{#N/A,#N/A,FALSE,"cdi";#N/A,#N/A,FALSE,"debent";#N/A,#N/A,FALSE,"fdos";#N/A,#N/A,FALSE,"resumo"}</definedName>
    <definedName name="Modelo1a" hidden="1">{#N/A,#N/A,FALSE,"cdi";#N/A,#N/A,FALSE,"debent";#N/A,#N/A,FALSE,"fdos";#N/A,#N/A,FALSE,"resumo"}</definedName>
    <definedName name="Modelo2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ódulo">#REF!</definedName>
    <definedName name="mond_cdi">#REF!</definedName>
    <definedName name="mond_hist">#REF!</definedName>
    <definedName name="mond_uss">#REF!</definedName>
    <definedName name="MP" hidden="1">{#N/A,#N/A,FALSE,"CCTV"}</definedName>
    <definedName name="MSDFJKDT" hidden="1">25</definedName>
    <definedName name="MSDRFSWER" hidden="1">{"Econ Consolidado",#N/A,FALSE,"Econ Consol";"Fluxo de Caixa",#N/A,FALSE,"Fluxo Caixa";"Investimentos",#N/A,FALSE,"Investimentos"}</definedName>
    <definedName name="MURBOMB">#REF!</definedName>
    <definedName name="mzshdjshjs" hidden="1">{#N/A,#N/A,FALSE,"Plan1";#N/A,#N/A,FALSE,"Plan2"}</definedName>
    <definedName name="na" hidden="1">{#N/A,#N/A,FALSE,"$170M Cash";#N/A,#N/A,FALSE,"$250M Cash";#N/A,#N/A,FALSE,"$325M Cash"}</definedName>
    <definedName name="ncdgrdhrtg" hidden="1">{#N/A,#N/A,FALSE,"Plan1";#N/A,#N/A,FALSE,"Plan2"}</definedName>
    <definedName name="nchngdfhgdh" hidden="1">{#N/A,#N/A,FALSE,"Plan1";#N/A,#N/A,FALSE,"Plan2"}</definedName>
    <definedName name="NCJFKNGJHF" hidden="1">{#N/A,#N/A,FALSE,"Plan1";#N/A,#N/A,FALSE,"Plan2"}</definedName>
    <definedName name="NDATA">#REF!</definedName>
    <definedName name="ndcxhgdhf" hidden="1">{#N/A,#N/A,FALSE,"Plan1";#N/A,#N/A,FALSE,"Plan2"}</definedName>
    <definedName name="ndfjnjkrhdgt" hidden="1">{#N/A,#N/A,FALSE,"Plan1";#N/A,#N/A,FALSE,"Plan2"}</definedName>
    <definedName name="ndfkghkjthfyst" hidden="1">{#N/A,#N/A,FALSE,"Plan1";#N/A,#N/A,FALSE,"Plan2"}</definedName>
    <definedName name="ndfldslvjnvberugberqubquierbv">#REF!</definedName>
    <definedName name="NDJGKFKGHUFG" hidden="1">{#N/A,#N/A,FALSE,"Plan1";#N/A,#N/A,FALSE,"Plan2"}</definedName>
    <definedName name="ndrjkt" hidden="1">{#N/A,#N/A,FALSE,"Plan1";#N/A,#N/A,FALSE,"Plan2"}</definedName>
    <definedName name="new" hidden="1">{#N/A,#N/A,FALSE,"Global by BU";#N/A,#N/A,FALSE,"U.S. by BU";#N/A,#N/A,FALSE,"Canada by BU";#N/A,#N/A,FALSE,"Europe by BU";#N/A,#N/A,FALSE,"Asia by BU";#N/A,#N/A,FALSE,"Cala by BU"}</definedName>
    <definedName name="NEWNAME" hidden="1">{#N/A,#N/A,FALSE,"CCTV"}</definedName>
    <definedName name="nfgjkhvhfghn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khdjkthde" hidden="1">{#N/A,#N/A,FALSE,"Plan1";#N/A,#N/A,FALSE,"Plan2"}</definedName>
    <definedName name="n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HFDSHF" hidden="1">{#N/A,#N/A,FALSE,"Plan1";#N/A,#N/A,FALSE,"Plan2"}</definedName>
    <definedName name="NJSDFHERTG" hidden="1">{#N/A,#N/A,FALSE,"Plan1";#N/A,#N/A,FALSE,"Plan2"}</definedName>
    <definedName name="nkfnsskdn" hidden="1">{#N/A,#N/A,FALSE,"Plan1";#N/A,#N/A,FALSE,"Plan2"}</definedName>
    <definedName name="NKJ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l">#REF!</definedName>
    <definedName name="nlaksjdwe" hidden="1">{#N/A,#N/A,FALSE,"Plan1";#N/A,#N/A,FALSE,"Plan2"}</definedName>
    <definedName name="nljsdfljfdsfr" hidden="1">{#N/A,#N/A,FALSE,"Plan1";#N/A,#N/A,FALSE,"Plan2"}</definedName>
    <definedName name="nm_k1">#REF!</definedName>
    <definedName name="nm_k2">#REF!</definedName>
    <definedName name="nm_k3">#REF!</definedName>
    <definedName name="nmjdfhxj" hidden="1">{#N/A,#N/A,FALSE,"Plan1";#N/A,#N/A,FALSE,"Plan2"}</definedName>
    <definedName name="nnmn" hidden="1">{#N/A,#N/A,FALSE,"Plan1";#N/A,#N/A,FALSE,"Plan2"}</definedName>
    <definedName name="nnn" hidden="1">{#N/A,#N/A,FALSE,"Plan1";#N/A,#N/A,FALSE,"Plan2"}</definedName>
    <definedName name="nnnnnnnnnnn" hidden="1">{"HW",#N/A,FALSE,"1998"}</definedName>
    <definedName name="NNNNNNNNNNNNNNN" hidden="1">{#N/A,#N/A,FALSE,"Plan1";#N/A,#N/A,FALSE,"Plan2"}</definedName>
    <definedName name="nnnnnnnnnnnnnnnnnnnn" hidden="1">{#N/A,#N/A,FALSE,"Plan1";#N/A,#N/A,FALSE,"Plan2"}</definedName>
    <definedName name="NNXFT" hidden="1">{#N/A,#N/A,FALSE,"Plan1";#N/A,#N/A,FALSE,"Plan2"}</definedName>
    <definedName name="no">#REF!</definedName>
    <definedName name="NOME">#REF!</definedName>
    <definedName name="nome2">#REF!</definedName>
    <definedName name="NOMEITEM">#REF!</definedName>
    <definedName name="NOMEOBRA">#REF!</definedName>
    <definedName name="nov17RJ">#REF!</definedName>
    <definedName name="NOVE">#REF!</definedName>
    <definedName name="NOVEMBRO">#REF!</definedName>
    <definedName name="nsdkfndgfdnatf" hidden="1">{#N/A,#N/A,FALSE,"Plan1";#N/A,#N/A,FALSE,"Plan2"}</definedName>
    <definedName name="nsfljdiljrf" hidden="1">{#N/A,#N/A,FALSE,"Plan1";#N/A,#N/A,FALSE,"Plan2"}</definedName>
    <definedName name="NUCOPIAS">#REF!</definedName>
    <definedName name="NUMOBRA">#REF!</definedName>
    <definedName name="NutN">#REF!</definedName>
    <definedName name="nzxcnnjkd" hidden="1">{#N/A,#N/A,FALSE,"Plan1";#N/A,#N/A,FALSE,"Plan2"}</definedName>
    <definedName name="OAE">#REF!</definedName>
    <definedName name="OBRA">#REF!</definedName>
    <definedName name="Obra_Fin_Medição">#REF!</definedName>
    <definedName name="OBRA_PROJETADO">#REF!</definedName>
    <definedName name="Obra_Rel_Controladoria">#REF!</definedName>
    <definedName name="Obra_Sienge">#REF!</definedName>
    <definedName name="Obra2_Fin_Medição">#REF!</definedName>
    <definedName name="OBRALOC">#REF!</definedName>
    <definedName name="OBRAS">#REF!</definedName>
    <definedName name="Obras_Apoio_Rel_Controladoria">#REF!</definedName>
    <definedName name="OBRAS_REALIZADO">#REF!</definedName>
    <definedName name="OBRASEL">#REF!</definedName>
    <definedName name="odflgj" hidden="1">25</definedName>
    <definedName name="odfuudor" hidden="1">{#N/A,#N/A,FALSE,"Plan1";#N/A,#N/A,FALSE,"Plan2"}</definedName>
    <definedName name="ODH" hidden="1">#REF!</definedName>
    <definedName name="oficial_mes">#REF!</definedName>
    <definedName name="oficial2_mes">#REF!</definedName>
    <definedName name="oiditrot" hidden="1">{#N/A,#N/A,FALSE,"Plan1";#N/A,#N/A,FALSE,"Plan2"}</definedName>
    <definedName name="oio" hidden="1">{#N/A,#N/A,FALSE,"Plan1";#N/A,#N/A,FALSE,"Plan2"}</definedName>
    <definedName name="OITO">#REF!</definedName>
    <definedName name="oiufioorif" hidden="1">#REF!</definedName>
    <definedName name="OJÇLJ" hidden="1">{#N/A,#N/A,FALSE,"Plan1";#N/A,#N/A,FALSE,"Plan2"}</definedName>
    <definedName name="ojkdfit" hidden="1">{#N/A,#N/A,FALSE,"Plan1";#N/A,#N/A,FALSE,"Plan2"}</definedName>
    <definedName name="oMISSOS" hidden="1">#REF!</definedName>
    <definedName name="ONZE">#REF!</definedName>
    <definedName name="ooo" hidden="1">{#N/A,#N/A,FALSE,"Plan1";#N/A,#N/A,FALSE,"Plan2"}</definedName>
    <definedName name="OPASEDWED" hidden="1">{"Econ Consolidado",#N/A,FALSE,"Econ Consol";"Fluxo de Caixa",#N/A,FALSE,"Fluxo Caixa";"Investimentos",#N/A,FALSE,"Investimentos"}</definedName>
    <definedName name="opcao_taxa_desconto">#REF!</definedName>
    <definedName name="opções">#REF!</definedName>
    <definedName name="opiwre" hidden="1">{#N/A,#N/A,FALSE,"Plan1";#N/A,#N/A,FALSE,"Plan2"}</definedName>
    <definedName name="ORCAMEN">#REF!</definedName>
    <definedName name="Orcamentistas">#REF!</definedName>
    <definedName name="origem_recebiveis">#REF!</definedName>
    <definedName name="origem_unidades">#REF!</definedName>
    <definedName name="Origem2_Recebimento_Fin_Medições">#REF!</definedName>
    <definedName name="os" hidden="1">{#N/A,#N/A,FALSE,"TABLE"}</definedName>
    <definedName name="osca_cdi">#REF!</definedName>
    <definedName name="osca_hist">#REF!</definedName>
    <definedName name="osca_uss">#REF!</definedName>
    <definedName name="otodgkrjglsrd" hidden="1">{#N/A,#N/A,FALSE,"Plan1";#N/A,#N/A,FALSE,"Plan2"}</definedName>
    <definedName name="OUERWRSR" hidden="1">{#N/A,#N/A,FALSE,"Plan1";#N/A,#N/A,FALSE,"Plan2"}</definedName>
    <definedName name="out17RJ">#REF!</definedName>
    <definedName name="outro" hidden="1">#REF!</definedName>
    <definedName name="OUTROS">#REF!</definedName>
    <definedName name="OUTROS_CCUSTO">#REF!</definedName>
    <definedName name="Outros_Pisos">#REF!</definedName>
    <definedName name="Outros1">#REF!</definedName>
    <definedName name="OUTUBRO">#REF!</definedName>
    <definedName name="overhau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xfo_cdi">#REF!</definedName>
    <definedName name="oxfo_hist">#REF!</definedName>
    <definedName name="oxfo_uss">#REF!</definedName>
    <definedName name="P">#REF!</definedName>
    <definedName name="PA">#REF!</definedName>
    <definedName name="Padrao_A">#REF!</definedName>
    <definedName name="Padrao_B">#REF!</definedName>
    <definedName name="Padrao_C">#REF!</definedName>
    <definedName name="Padrao_D">#REF!</definedName>
    <definedName name="Padrao_E">#REF!</definedName>
    <definedName name="Padrao_F">#REF!</definedName>
    <definedName name="Pagamento_Num">ROW()-Linha_Cabeçalho</definedName>
    <definedName name="Pago_Até_2015_Controladoria">#REF!</definedName>
    <definedName name="Pal_Workbook_GUID" hidden="1">"3HURD34M2XKWJ5V6M4BWCR5Q"</definedName>
    <definedName name="PAP">#REF!</definedName>
    <definedName name="PARAM_FIS_1">#REF!</definedName>
    <definedName name="PARAM_FIS_2">#REF!</definedName>
    <definedName name="ParamValues1">[1]ParamValues!$A$1:$A$39</definedName>
    <definedName name="Parao_E">#REF!</definedName>
    <definedName name="Parede1">#REF!</definedName>
    <definedName name="Parede2">#REF!</definedName>
    <definedName name="PAREDES">#REF!</definedName>
    <definedName name="PAV">#REF!</definedName>
    <definedName name="PAVILHAO">#REF!</definedName>
    <definedName name="PAVT">#REF!</definedName>
    <definedName name="pçgktr" hidden="1">#REF!</definedName>
    <definedName name="PDER">#REF!</definedName>
    <definedName name="PDIVERS">#REF!</definedName>
    <definedName name="PE">#REF!</definedName>
    <definedName name="PEMD">#REF!</definedName>
    <definedName name="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rfura">#REF!</definedName>
    <definedName name="pessoal">#REF!</definedName>
    <definedName name="petro2" hidden="1">#REF!</definedName>
    <definedName name="PhyG">#REF!</definedName>
    <definedName name="PhyGS">#REF!</definedName>
    <definedName name="PI">#REF!</definedName>
    <definedName name="piaz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EQUIP">#REF!</definedName>
    <definedName name="PIS_COFINS">#REF!</definedName>
    <definedName name="PisCofins">#REF!</definedName>
    <definedName name="Piso1">#REF!</definedName>
    <definedName name="Piso2">#REF!</definedName>
    <definedName name="PISOS">#REF!</definedName>
    <definedName name="PL">#REF!</definedName>
    <definedName name="PLACAS" hidden="1">{#N/A,#N/A,TRUE,"Quinzena 01 à 15-04-98 "}</definedName>
    <definedName name="Placas_Areas" hidden="1">{#N/A,#N/A,TRUE,"Quinzena 01 à 15-04-98 "}</definedName>
    <definedName name="PLAN">#REF!</definedName>
    <definedName name="plan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ILHA">#REF!</definedName>
    <definedName name="Planilha2">#REF!</definedName>
    <definedName name="plasçdeaw" hidden="1">{#N/A,#N/A,FALSE,"Plan1";#N/A,#N/A,FALSE,"Plan2"}</definedName>
    <definedName name="plaslrswe" hidden="1">{#N/A,#N/A,FALSE,"Plan1";#N/A,#N/A,FALSE,"Plan2"}</definedName>
    <definedName name="pls" hidden="1">#REF!</definedName>
    <definedName name="plsearpef" hidden="1">{#N/A,#N/A,FALSE,"Plan1";#N/A,#N/A,FALSE,"Plan2"}</definedName>
    <definedName name="plss" hidden="1">{#N/A,#N/A,FALSE,"Plan1";#N/A,#N/A,FALSE,"Plan2"}</definedName>
    <definedName name="PMUR">#REF!</definedName>
    <definedName name="PN2건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onderações">#REF!</definedName>
    <definedName name="Pós_Chaves">#REF!</definedName>
    <definedName name="pr">#REF!</definedName>
    <definedName name="PRAZO">#REF!</definedName>
    <definedName name="PRAZO_EDITAL">#REF!</definedName>
    <definedName name="PRAZO_ORC">#REF!</definedName>
    <definedName name="prazo2">#REF!</definedName>
    <definedName name="PRE">#REF!</definedName>
    <definedName name="PREÇ">OFFSET(#REF!,0,0,COUNTA(#REF!),1)</definedName>
    <definedName name="Previsão_Inicial_abr_16">#REF!</definedName>
    <definedName name="Previsão_Inicial_ago_16">#REF!</definedName>
    <definedName name="Previsão_Inicial_dez_16">#REF!</definedName>
    <definedName name="Previsão_Inicial_fev_16">#REF!</definedName>
    <definedName name="Previsão_Inicial_jan_16">#REF!</definedName>
    <definedName name="Previsão_Inicial_jul_16">#REF!</definedName>
    <definedName name="Previsão_Inicial_jun_16">#REF!</definedName>
    <definedName name="Previsão_Inicial_mai_16">#REF!</definedName>
    <definedName name="Previsão_Inicial_mar_16">#REF!</definedName>
    <definedName name="Previsão_Inicial_nov_16">#REF!</definedName>
    <definedName name="Previsão_Inicial_out_16">#REF!</definedName>
    <definedName name="Previsão_Inicial_set_16">#REF!</definedName>
    <definedName name="Previsão_Vento1">#REF!</definedName>
    <definedName name="Previsto_a_medir_Fin_Medições">#REF!</definedName>
    <definedName name="print" hidden="1">{#N/A,#N/A,FALSE,"$170M Cash";#N/A,#N/A,FALSE,"$250M Cash";#N/A,#N/A,FALSE,"$325M Cash"}</definedName>
    <definedName name="Print_Area_MI">#REF!</definedName>
    <definedName name="PRINT_TITLES_MI">#REF!</definedName>
    <definedName name="programa">#REF!</definedName>
    <definedName name="Programaa">#REF!</definedName>
    <definedName name="projeto_nome_com">IF((COUNTA(#REF!)-2)&gt;1,"TERRENO "&amp;VLOOKUP(#REF!,#REF!,8,0),VLOOKUP(#REF!,#REF!,3,0))</definedName>
    <definedName name="PROPAGANDA">#REF!</definedName>
    <definedName name="ptirigyiotut" hidden="1">{#N/A,#N/A,FALSE,"Plan1";#N/A,#N/A,FALSE,"Plan2"}</definedName>
    <definedName name="PWER3" hidden="1">{#N/A,#N/A,FALSE,"Plan1";#N/A,#N/A,FALSE,"Plan2"}</definedName>
    <definedName name="q">#REF!</definedName>
    <definedName name="QCLIENTE_PCLIENTE">#REF!</definedName>
    <definedName name="QCliente_PCliente1">#REF!</definedName>
    <definedName name="qe">#REF!</definedName>
    <definedName name="qee">#REF!</definedName>
    <definedName name="qkqh1" hidden="1">{#N/A,#N/A,FALSE,"명세표"}</definedName>
    <definedName name="QOAS_POAS">#REF!</definedName>
    <definedName name="Q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Q">#REF!:#REF!</definedName>
    <definedName name="QQQQQQQQ" hidden="1">#REF!</definedName>
    <definedName name="QREAL_PCLIENTE">#REF!</definedName>
    <definedName name="QReal_PCliente1">#REF!</definedName>
    <definedName name="QSQWSE" hidden="1">{#N/A,#N/A,FALSE,"Plan1";#N/A,#N/A,FALSE,"Plan2"}</definedName>
    <definedName name="qtd_mensal">#REF!</definedName>
    <definedName name="qtd3esta">#REF!</definedName>
    <definedName name="qtdbase">#REF!</definedName>
    <definedName name="qtdbltub">#REF!</definedName>
    <definedName name="qtdestac">#REF!</definedName>
    <definedName name="qtdsap">#REF!</definedName>
    <definedName name="qtdtub">#REF!</definedName>
    <definedName name="QTNULO">#REF!</definedName>
    <definedName name="QTPADRAO">#REF!</definedName>
    <definedName name="QTRES">#REF!</definedName>
    <definedName name="QuadraE">#REF!</definedName>
    <definedName name="quadrocompar.">#REF!</definedName>
    <definedName name="QUANT">#REF!</definedName>
    <definedName name="QUANTP">#REF!</definedName>
    <definedName name="QUATRO">#REF!</definedName>
    <definedName name="QUINZE">#REF!</definedName>
    <definedName name="qwdqw" hidden="1">{#N/A,#N/A,FALSE,"Plan1";#N/A,#N/A,FALSE,"Plan2"}</definedName>
    <definedName name="qweqwe" hidden="1">{#N/A,#N/A,FALSE,"Plan1";#N/A,#N/A,FALSE,"Plan2"}</definedName>
    <definedName name="qweqwe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wqe" hidden="1">#REF!</definedName>
    <definedName name="qwqw" hidden="1">#REF!</definedName>
    <definedName name="R.imobAtualiz">#REF!</definedName>
    <definedName name="R_CorretAtualiz">#REF!</definedName>
    <definedName name="R_G.Cobr.Atualiz">#REF!</definedName>
    <definedName name="R_PmaisJAtualiz">#REF!</definedName>
    <definedName name="R_Prev.PerdaAtualiz">#REF!</definedName>
    <definedName name="RADIO" hidden="1">{"HW",#N/A,FALSE,"1998"}</definedName>
    <definedName name="RANGE">#REF!</definedName>
    <definedName name="RANGE1">#REF!</definedName>
    <definedName name="RANGE2">#REF!</definedName>
    <definedName name="RARQIMP">#REF!</definedName>
    <definedName name="RawData">#REF!</definedName>
    <definedName name="RE">#REF!</definedName>
    <definedName name="RECADUC">#REF!</definedName>
    <definedName name="Recebido_Acumulado_2015_Controladoria">#REF!</definedName>
    <definedName name="RE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orsu">#REF!</definedName>
    <definedName name="REL_RJ">#REF!</definedName>
    <definedName name="REL_SP">#REF!</definedName>
    <definedName name="relat3">#REF!</definedName>
    <definedName name="ren">#REF!</definedName>
    <definedName name="REPETIÇÃO">#REF!</definedName>
    <definedName name="ReqC">#REF!</definedName>
    <definedName name="Responsável_Rel_Controladoria">#REF!</definedName>
    <definedName name="resum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O">#REF!</definedName>
    <definedName name="RESUMO2" hidden="1">{#N/A,#N/A,TRUE,"Quinzena 01 à 15-04-98 "}</definedName>
    <definedName name="REV">#REF!</definedName>
    <definedName name="RF" hidden="1">{#N/A,#N/A,FALSE,"CCTV"}</definedName>
    <definedName name="rgedrfrgfdg" hidden="1">{#N/A,#N/A,FALSE,"Plan1";#N/A,#N/A,FALSE,"Plan2"}</definedName>
    <definedName name="rhdrm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I">#REF!</definedName>
    <definedName name="ridbeb">#REF!</definedName>
    <definedName name="RIDCHAF">#REF!</definedName>
    <definedName name="ridres05">#REF!</definedName>
    <definedName name="RIDRES10">#REF!</definedName>
    <definedName name="RIDRES15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1</definedName>
    <definedName name="RiskSwapState" hidden="1">"True"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O">#REF!</definedName>
    <definedName name="Rodapé">#REF!</definedName>
    <definedName name="RODAPÉS">#REF!</definedName>
    <definedName name="ROMANO">#REF!</definedName>
    <definedName name="ROTCOMP">#REF!</definedName>
    <definedName name="ROTIMP">#REF!</definedName>
    <definedName name="ROTRES">#REF!</definedName>
    <definedName name="RQTADUC">#REF!</definedName>
    <definedName name="rqtbeb">#REF!</definedName>
    <definedName name="RQTCHAF">#REF!</definedName>
    <definedName name="RQTDERV">#REF!</definedName>
    <definedName name="rres05">#REF!</definedName>
    <definedName name="RRES10">#REF!</definedName>
    <definedName name="RRES15">#REF!</definedName>
    <definedName name="RRES20">#REF!</definedName>
    <definedName name="RRR" hidden="1">#REF!</definedName>
    <definedName name="rrrrr" hidden="1">{"'장비'!$A$3:$M$12"}</definedName>
    <definedName name="rrrrrrrr" hidden="1">{"'장비'!$A$3:$M$12"}</definedName>
    <definedName name="rrrrrrrrrrr" hidden="1">{#N/A,#N/A,TRUE,"Quinzena 01 à 15-04-98 "}</definedName>
    <definedName name="RSEQ">#REF!</definedName>
    <definedName name="RSUBTOT">#REF!</definedName>
    <definedName name="rtitbeb">#REF!</definedName>
    <definedName name="RTITCHAF">#REF!</definedName>
    <definedName name="rtubos">#REF!</definedName>
    <definedName name="RTYE" hidden="1">{"'장비'!$A$3:$M$12"}</definedName>
    <definedName name="s">#REF!</definedName>
    <definedName name="sa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asd" hidden="1">{#N/A,#N/A,FALSE,"Plan1";#N/A,#N/A,FALSE,"Plan2"}</definedName>
    <definedName name="sadk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rjkedft" hidden="1">{#N/A,#N/A,FALSE,"Plan1";#N/A,#N/A,FALSE,"Plan2"}</definedName>
    <definedName name="SADSRTR" hidden="1">{#N/A,#N/A,FALSE,"Plan1";#N/A,#N/A,FALSE,"Plan2"}</definedName>
    <definedName name="sadwde" hidden="1">{#N/A,#N/A,FALSE,"Plan1";#N/A,#N/A,FALSE,"Plan2"}</definedName>
    <definedName name="Salas">#REF!</definedName>
    <definedName name="sanjay" hidden="1">{#N/A,#N/A,FALSE,"TABLE"}</definedName>
    <definedName name="sapata">#REF!</definedName>
    <definedName name="SAPBEXrevision" hidden="1">14</definedName>
    <definedName name="SAPBEXsysID" hidden="1">"BW3"</definedName>
    <definedName name="SAPBEXwbID" hidden="1">"3SO04G3IWYENSZLK6QOKKYLB2"</definedName>
    <definedName name="SAS" hidden="1">{#N/A,#N/A,FALSE,"Plan1";#N/A,#N/A,FALSE,"Plan2"}</definedName>
    <definedName name="sasads" hidden="1">{#N/A,#N/A,FALSE,"Plan1";#N/A,#N/A,FALSE,"Plan2"}</definedName>
    <definedName name="SC" hidden="1">#REF!</definedName>
    <definedName name="sçadldfsfd" hidden="1">25</definedName>
    <definedName name="sda">#REF!</definedName>
    <definedName name="sda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OTGFR" hidden="1">{#N/A,#N/A,FALSE,"Plan1";#N/A,#N/A,FALSE,"Plan2"}</definedName>
    <definedName name="sdckd" hidden="1">{#N/A,#N/A,FALSE,"Plan1";#N/A,#N/A,FALSE,"Plan2"}</definedName>
    <definedName name="SDDFKSEDE" hidden="1">{#N/A,#N/A,FALSE,"Plan1";#N/A,#N/A,FALSE,"Plan2"}</definedName>
    <definedName name="sddkslker" hidden="1">{#N/A,#N/A,FALSE,"Plan1";#N/A,#N/A,FALSE,"Plan2"}</definedName>
    <definedName name="sdefr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t" hidden="1">#REF!</definedName>
    <definedName name="sdf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ds" hidden="1">{#N/A,#N/A,FALSE,"Plan1";#N/A,#N/A,FALSE,"Plan2"}</definedName>
    <definedName name="sdfdfc" hidden="1">{#N/A,#N/A,FALSE,"Plan1";#N/A,#N/A,FALSE,"Plan2"}</definedName>
    <definedName name="sdfdf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gft" hidden="1">{#N/A,#N/A,FALSE,"Plan1";#N/A,#N/A,FALSE,"Plan2"}</definedName>
    <definedName name="sdfdsf" hidden="1">{#N/A,#N/A,FALSE,"Plan1";#N/A,#N/A,FALSE,"Plan2"}</definedName>
    <definedName name="sdfdsf\da" hidden="1">{#N/A,#N/A,FALSE,"Plan1";#N/A,#N/A,FALSE,"Plan2"}</definedName>
    <definedName name="SDFEDRT" hidden="1">{#N/A,#N/A,FALSE,"Plan1";#N/A,#N/A,FALSE,"Plan2"}</definedName>
    <definedName name="sdfer" hidden="1">{#N/A,#N/A,FALSE,"Plan1";#N/A,#N/A,FALSE,"Plan2"}</definedName>
    <definedName name="sdferr" hidden="1">{#N/A,#N/A,FALSE,"Plan1";#N/A,#N/A,FALSE,"Plan2"}</definedName>
    <definedName name="sdfe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GJFSRF" hidden="1">{#N/A,#N/A,FALSE,"Plan1";#N/A,#N/A,FALSE,"Plan2"}</definedName>
    <definedName name="sdfgtr" hidden="1">{#N/A,#N/A,FALSE,"Plan1";#N/A,#N/A,FALSE,"Plan2"}</definedName>
    <definedName name="sdfjdetrt" hidden="1">{#N/A,#N/A,FALSE,"Plan1";#N/A,#N/A,FALSE,"Plan2"}</definedName>
    <definedName name="SDFJDRTJEIDR" hidden="1">{#N/A,#N/A,FALSE,"Plan1";#N/A,#N/A,FALSE,"Plan2"}</definedName>
    <definedName name="sdfjergtij" hidden="1">{#N/A,#N/A,FALSE,"Plan1";#N/A,#N/A,FALSE,"Plan2"}</definedName>
    <definedName name="SDFOPJKWE" hidden="1">{#N/A,#N/A,FALSE,"Plan1";#N/A,#N/A,FALSE,"Plan2"}</definedName>
    <definedName name="sdfrdt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t" hidden="1">{#N/A,#N/A,FALSE,"Plan1";#N/A,#N/A,FALSE,"Plan2"}</definedName>
    <definedName name="SDFRTKK" hidden="1">{#N/A,#N/A,FALSE,"Plan1";#N/A,#N/A,FALSE,"Plan2"}</definedName>
    <definedName name="SDFRTR" hidden="1">{#N/A,#N/A,FALSE,"Plan1";#N/A,#N/A,FALSE,"Plan2"}</definedName>
    <definedName name="sdfry6" hidden="1">{#N/A,#N/A,FALSE,"Plan1";#N/A,#N/A,FALSE,"Plan2"}</definedName>
    <definedName name="sdfsaf" hidden="1">{#N/A,#N/A,FALSE,"Plan1";#N/A,#N/A,FALSE,"Plan2"}</definedName>
    <definedName name="sdfsd" hidden="1">{"'Estimativa de Lançamento-JAN'!$A$1:$AI$85"}</definedName>
    <definedName name="sdfsdfg" hidden="1">{#N/A,#N/A,FALSE,"Plan1";#N/A,#N/A,FALSE,"Plan2"}</definedName>
    <definedName name="SDFSDFK" hidden="1">{#N/A,#N/A,FALSE,"Plan1";#N/A,#N/A,FALSE,"Plan2"}</definedName>
    <definedName name="sdfsdgftret" hidden="1">{#N/A,#N/A,FALSE,"Plan1";#N/A,#N/A,FALSE,"Plan2"}</definedName>
    <definedName name="sdfsdr" hidden="1">1</definedName>
    <definedName name="sdfsf" hidden="1">{#N/A,#N/A,FALSE,"Plan1";#N/A,#N/A,FALSE,"Plan2"}</definedName>
    <definedName name="SDFSFRT" hidden="1">{"Econ Consolidado",#N/A,FALSE,"Econ Consol";"Fluxo de Caixa",#N/A,FALSE,"Fluxo Caixa";"Investimentos",#N/A,FALSE,"Investimentos"}</definedName>
    <definedName name="sdfsr" hidden="1">{#N/A,#N/A,FALSE,"Plan1";#N/A,#N/A,FALSE,"Plan2"}</definedName>
    <definedName name="sdfty" hidden="1">{#N/A,#N/A,FALSE,"Plan1";#N/A,#N/A,FALSE,"Plan2"}</definedName>
    <definedName name="sdgdf" hidden="1">{#N/A,#N/A,FALSE,"Plan1";#N/A,#N/A,FALSE,"Plan2"}</definedName>
    <definedName name="sdgfrt" hidden="1">{#N/A,#N/A,FALSE,"Plan1";#N/A,#N/A,FALSE,"Plan2"}</definedName>
    <definedName name="sdgft" hidden="1">{#N/A,#N/A,FALSE,"Plan1";#N/A,#N/A,FALSE,"Plan2"}</definedName>
    <definedName name="sdgt" hidden="1">{#N/A,#N/A,FALSE,"Plan1";#N/A,#N/A,FALSE,"Plan2"}</definedName>
    <definedName name="sdgtry" hidden="1">#REF!</definedName>
    <definedName name="sdhfghdsfg" hidden="1">{#N/A,#N/A,FALSE,"Plan1";#N/A,#N/A,FALSE,"Plan2"}</definedName>
    <definedName name="SDHFJKHDFJRE" hidden="1">{#N/A,#N/A,FALSE,"Plan1";#N/A,#N/A,FALSE,"Plan2"}</definedName>
    <definedName name="SDHKFDRKGTR" hidden="1">{#N/A,#N/A,FALSE,"Plan1";#N/A,#N/A,FALSE,"Plan2"}</definedName>
    <definedName name="sdjdswger" hidden="1">{#N/A,#N/A,FALSE,"Plan1";#N/A,#N/A,FALSE,"Plan2"}</definedName>
    <definedName name="sdjfdf" hidden="1">{#N/A,#N/A,FALSE,"Plan1";#N/A,#N/A,FALSE,"Plan2"}</definedName>
    <definedName name="sdjfhdjk" hidden="1">{#N/A,#N/A,FALSE,"Plan1";#N/A,#N/A,FALSE,"Plan2"}</definedName>
    <definedName name="SDJFJDER" hidden="1">{#N/A,#N/A,FALSE,"Plan1";#N/A,#N/A,FALSE,"Plan2"}</definedName>
    <definedName name="sdjflsdjfl" hidden="1">{#N/A,#N/A,FALSE,"Plan1";#N/A,#N/A,FALSE,"Plan2"}</definedName>
    <definedName name="SDJHF" hidden="1">{#N/A,#N/A,FALSE,"Plan1";#N/A,#N/A,FALSE,"Plan2"}</definedName>
    <definedName name="sdjrderertrr" hidden="1">{#N/A,#N/A,FALSE,"Plan1";#N/A,#N/A,FALSE,"Plan2"}</definedName>
    <definedName name="sdkdjk" hidden="1">{#N/A,#N/A,FALSE,"Plan1";#N/A,#N/A,FALSE,"Plan2"}</definedName>
    <definedName name="sdkfjhkdgfh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njd" hidden="1">{#N/A,#N/A,FALSE,"Plan1";#N/A,#N/A,FALSE,"Plan2"}</definedName>
    <definedName name="sdkk" hidden="1">{#N/A,#N/A,FALSE,"Plan1";#N/A,#N/A,FALSE,"Plan2"}</definedName>
    <definedName name="sdlfsdflj" hidden="1">{#N/A,#N/A,FALSE,"Plan1";#N/A,#N/A,FALSE,"Plan2"}</definedName>
    <definedName name="sdmfmdfsgfd" hidden="1">{#N/A,#N/A,FALSE,"Plan1";#N/A,#N/A,FALSE,"Plan2"}</definedName>
    <definedName name="sd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fgt" hidden="1">{#N/A,#N/A,FALSE,"Plan1";#N/A,#N/A,FALSE,"Plan2"}</definedName>
    <definedName name="sdsd" hidden="1">{#N/A,#N/A,FALSE,"Plan1";#N/A,#N/A,FALSE,"Plan2"}</definedName>
    <definedName name="sdser" hidden="1">{#N/A,#N/A,FALSE,"Plan1";#N/A,#N/A,FALSE,"Plan2"}</definedName>
    <definedName name="sdsre" hidden="1">{#N/A,#N/A,FALSE,"Plan1";#N/A,#N/A,FALSE,"Plan2"}</definedName>
    <definedName name="sdss" hidden="1">{#N/A,#N/A,FALSE,"Plan1";#N/A,#N/A,FALSE,"Plan2"}</definedName>
    <definedName name="sdtrtg" hidden="1">#REF!</definedName>
    <definedName name="sdusi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WER" hidden="1">{"Econ Consolidado",#N/A,FALSE,"Econ Consol";"Fluxo de Caixa",#N/A,FALSE,"Fluxo Caixa";"Investimentos",#N/A,FALSE,"Investimentos"}</definedName>
    <definedName name="sdxfrt" hidden="1">{#N/A,#N/A,FALSE,"Plan1";#N/A,#N/A,FALSE,"Plan2"}</definedName>
    <definedName name="SDZFERF" hidden="1">{#N/A,#N/A,FALSE,"Plan1";#N/A,#N/A,FALSE,"Plan2"}</definedName>
    <definedName name="se">#REF!</definedName>
    <definedName name="SEDE">#REF!</definedName>
    <definedName name="sefret4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G">#REF!</definedName>
    <definedName name="segftru" hidden="1">{#N/A,#N/A,FALSE,"Plan1";#N/A,#N/A,FALSE,"Plan2"}</definedName>
    <definedName name="SegmentaçãodeDados_UF1">""</definedName>
    <definedName name="SegmentaçãodeDados_UF11">""</definedName>
    <definedName name="SegmentaçãodeDados_UF12">""</definedName>
    <definedName name="SEIS">#REF!</definedName>
    <definedName name="sencount" hidden="1">3</definedName>
    <definedName name="SEQUENCIA">#REF!</definedName>
    <definedName name="SEREWRSWE" hidden="1">{"tabela",#N/A,FALSE,"Tabela";"decoração",#N/A,FALSE,"Decor.";"Informações",#N/A,FALSE,"Inform."}</definedName>
    <definedName name="Set_17">#REF!</definedName>
    <definedName name="SETE">#REF!</definedName>
    <definedName name="SETEMBRO">#REF!</definedName>
    <definedName name="setRJ17">#REF!</definedName>
    <definedName name="severo">#REF!</definedName>
    <definedName name="sf" hidden="1">{#N/A,#N/A,FALSE,"Plan1";#N/A,#N/A,FALSE,"Plan2"}</definedName>
    <definedName name="sfcre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ddfd" hidden="1">{#N/A,#N/A,FALSE,"Plan1";#N/A,#N/A,FALSE,"Plan2"}</definedName>
    <definedName name="sfds" hidden="1">{#N/A,#N/A,FALSE,"Plan1";#N/A,#N/A,FALSE,"Plan2"}</definedName>
    <definedName name="sfdsd" hidden="1">{#N/A,#N/A,FALSE,"Plan1";#N/A,#N/A,FALSE,"Plan2"}</definedName>
    <definedName name="SFDSF" hidden="1">34</definedName>
    <definedName name="sfrsdrgt" hidden="1">{#N/A,#N/A,FALSE,"Plan1";#N/A,#N/A,FALSE,"Plan2"}</definedName>
    <definedName name="SFRT" hidden="1">{#N/A,#N/A,FALSE,"Plan1";#N/A,#N/A,FALSE,"Plan2"}</definedName>
    <definedName name="sfsdferf" hidden="1">{#N/A,#N/A,FALSE,"Plan1";#N/A,#N/A,FALSE,"Plan2"}</definedName>
    <definedName name="sfsdfs" hidden="1">34</definedName>
    <definedName name="SFSDS" hidden="1">{#N/A,#N/A,FALSE,"Plan1";#N/A,#N/A,FALSE,"Plan2"}</definedName>
    <definedName name="SGarantia">#REF!</definedName>
    <definedName name="sgtghty" hidden="1">{#N/A,#N/A,FALSE,"Plan1";#N/A,#N/A,FALSE,"Plan2"}</definedName>
    <definedName name="S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RED_FORMULA_0">#N/A</definedName>
    <definedName name="SHARED_FORMULA_1">#N/A</definedName>
    <definedName name="SHARED_FORMULA_10">#N/A</definedName>
    <definedName name="SHARED_FORMULA_11">#N/A</definedName>
    <definedName name="SHARED_FORMULA_12">#N/A</definedName>
    <definedName name="SHARED_FORMULA_13">#N/A</definedName>
    <definedName name="SHARED_FORMULA_14">#N/A</definedName>
    <definedName name="SHARED_FORMULA_15">#N/A</definedName>
    <definedName name="SHARED_FORMULA_16">#N/A</definedName>
    <definedName name="SHARED_FORMULA_17">#N/A</definedName>
    <definedName name="SHARED_FORMULA_18">#N/A</definedName>
    <definedName name="SHARED_FORMULA_19">#N/A</definedName>
    <definedName name="SHARED_FORMULA_2">#N/A</definedName>
    <definedName name="SHARED_FORMULA_20">#N/A</definedName>
    <definedName name="SHARED_FORMULA_21">#N/A</definedName>
    <definedName name="SHARED_FORMULA_22">#N/A</definedName>
    <definedName name="SHARED_FORMULA_23">#N/A</definedName>
    <definedName name="SHARED_FORMULA_24">#N/A</definedName>
    <definedName name="SHARED_FORMULA_25">#N/A</definedName>
    <definedName name="SHARED_FORMULA_26">#N/A</definedName>
    <definedName name="SHARED_FORMULA_27">#N/A</definedName>
    <definedName name="SHARED_FORMULA_28">#N/A</definedName>
    <definedName name="SHARED_FORMULA_29">#N/A</definedName>
    <definedName name="SHARED_FORMULA_3">#N/A</definedName>
    <definedName name="SHARED_FORMULA_30">#N/A</definedName>
    <definedName name="SHARED_FORMULA_31">#N/A</definedName>
    <definedName name="SHARED_FORMULA_32">#N/A</definedName>
    <definedName name="SHARED_FORMULA_33">#N/A</definedName>
    <definedName name="SHARED_FORMULA_34">#N/A</definedName>
    <definedName name="SHARED_FORMULA_35">#N/A</definedName>
    <definedName name="SHARED_FORMULA_36">#N/A</definedName>
    <definedName name="SHARED_FORMULA_37">#N/A</definedName>
    <definedName name="SHARED_FORMULA_38">#N/A</definedName>
    <definedName name="SHARED_FORMULA_39">#N/A</definedName>
    <definedName name="SHARED_FORMULA_4">#N/A</definedName>
    <definedName name="SHARED_FORMULA_40">#N/A</definedName>
    <definedName name="SHARED_FORMULA_41">#N/A</definedName>
    <definedName name="SHARED_FORMULA_42">#N/A</definedName>
    <definedName name="SHARED_FORMULA_43">#N/A</definedName>
    <definedName name="SHARED_FORMULA_44">#N/A</definedName>
    <definedName name="SHARED_FORMULA_45">#N/A</definedName>
    <definedName name="SHARED_FORMULA_46">#N/A</definedName>
    <definedName name="SHARED_FORMULA_47">#N/A</definedName>
    <definedName name="SHARED_FORMULA_48">#N/A</definedName>
    <definedName name="SHARED_FORMULA_49">#N/A</definedName>
    <definedName name="SHARED_FORMULA_5">#N/A</definedName>
    <definedName name="SHARED_FORMULA_50">#N/A</definedName>
    <definedName name="SHARED_FORMULA_51">#N/A</definedName>
    <definedName name="SHARED_FORMULA_52">#N/A</definedName>
    <definedName name="SHARED_FORMULA_53">#N/A</definedName>
    <definedName name="SHARED_FORMULA_54">#N/A</definedName>
    <definedName name="SHARED_FORMULA_55">#N/A</definedName>
    <definedName name="SHARED_FORMULA_56">#N/A</definedName>
    <definedName name="SHARED_FORMULA_57">#N/A</definedName>
    <definedName name="SHARED_FORMULA_58">#N/A</definedName>
    <definedName name="SHARED_FORMULA_59">#N/A</definedName>
    <definedName name="SHARED_FORMULA_6">#N/A</definedName>
    <definedName name="SHARED_FORMULA_60">#N/A</definedName>
    <definedName name="SHARED_FORMULA_61">#N/A</definedName>
    <definedName name="SHARED_FORMULA_62">#N/A</definedName>
    <definedName name="SHARED_FORMULA_7">#N/A</definedName>
    <definedName name="SHARED_FORMULA_8">#N/A</definedName>
    <definedName name="SHARED_FORMULA_9">#N/A</definedName>
    <definedName name="SIH">#REF!</definedName>
    <definedName name="SISTEM1">#REF!</definedName>
    <definedName name="SISTEM2">#REF!</definedName>
    <definedName name="SIV">#REF!</definedName>
    <definedName name="sjawe" hidden="1">{#N/A,#N/A,FALSE,"Plan1";#N/A,#N/A,FALSE,"Plan2"}</definedName>
    <definedName name="sjdffd" hidden="1">{#N/A,#N/A,FALSE,"Plan1";#N/A,#N/A,FALSE,"Plan2"}</definedName>
    <definedName name="SJDFHDJS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HFHRE" hidden="1">{#N/A,#N/A,FALSE,"Plan1";#N/A,#N/A,FALSE,"Plan2"}</definedName>
    <definedName name="SJDKJDE" hidden="1">{"Econ Consolidado",#N/A,FALSE,"Econ Consol";"Fluxo de Caixa",#N/A,FALSE,"Fluxo Caixa";"Investimentos",#N/A,FALSE,"Investimentos"}</definedName>
    <definedName name="sjekwjri" hidden="1">{#N/A,#N/A,FALSE,"Plan1";#N/A,#N/A,FALSE,"Plan2"}</definedName>
    <definedName name="sjfkdhsfds" hidden="1">{#N/A,#N/A,FALSE,"Plan1";#N/A,#N/A,FALSE,"Plan2"}</definedName>
    <definedName name="sjkdljslkrje" hidden="1">{#N/A,#N/A,FALSE,"Plan1";#N/A,#N/A,FALSE,"Plan2"}</definedName>
    <definedName name="skadadaszs" hidden="1">{#N/A,#N/A,FALSE,"Plan1";#N/A,#N/A,FALSE,"Plan2"}</definedName>
    <definedName name="SKASH" hidden="1">{#N/A,#N/A,FALSE,"Plan1";#N/A,#N/A,FALSE,"Plan2"}</definedName>
    <definedName name="skldfrde" hidden="1">{#N/A,#N/A,FALSE,"Plan1";#N/A,#N/A,FALSE,"Plan2"}</definedName>
    <definedName name="skosroer" hidden="1">{#N/A,#N/A,FALSE,"Plan1";#N/A,#N/A,FALSE,"Plan2"}</definedName>
    <definedName name="SO">#REF!</definedName>
    <definedName name="solver_lin" hidden="1">0</definedName>
    <definedName name="solver_num" hidden="1">0</definedName>
    <definedName name="solver_rel1" hidden="1">3</definedName>
    <definedName name="solver_rhs1" hidden="1">0</definedName>
    <definedName name="solver_tmp" hidden="1">0</definedName>
    <definedName name="solver_typ" hidden="1">1</definedName>
    <definedName name="solver_val" hidden="1">0</definedName>
    <definedName name="soma">#REF!</definedName>
    <definedName name="sp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QEWWE" hidden="1">{#N/A,#N/A,FALSE,"Plan1";#N/A,#N/A,FALSE,"Plan2"}</definedName>
    <definedName name="SR" hidden="1">#REF!</definedName>
    <definedName name="SR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" hidden="1">#REF!</definedName>
    <definedName name="sssss" hidden="1">#REF!</definedName>
    <definedName name="stake_cury">#REF!</definedName>
    <definedName name="status_projeto" hidden="1">OFFSET(INDEX(#REF!,MATCH(#REF!,#REF!,0)),1,0,COUNTA(#REF!)-1)</definedName>
    <definedName name="SUB_TOTAL_1">#REF!</definedName>
    <definedName name="SUBDER">#REF!</definedName>
    <definedName name="SUBDIV">#REF!</definedName>
    <definedName name="SUBEQP">#REF!</definedName>
    <definedName name="SUBMUR">#REF!</definedName>
    <definedName name="summ" hidden="1">#REF!</definedName>
    <definedName name="susref">#REF!</definedName>
    <definedName name="Swvu.Características." hidden="1">#REF!</definedName>
    <definedName name="Swvu.Ciclos." hidden="1">#REF!</definedName>
    <definedName name="Swvu.Custos." hidden="1">#REF!</definedName>
    <definedName name="Swvu.PLANILHA2." hidden="1">#REF!</definedName>
    <definedName name="Swvu.Recursos." hidden="1">#REF!</definedName>
    <definedName name="T_actual">#REF!</definedName>
    <definedName name="t_cc">#REF!</definedName>
    <definedName name="t_KSB1_Transport">#REF!</definedName>
    <definedName name="tab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_GASTOS">#REF!</definedName>
    <definedName name="TABACABAMENTOS">#REF!</definedName>
    <definedName name="tabela">#REF!</definedName>
    <definedName name="Tabela_Atribuição">#REF!</definedName>
    <definedName name="TABELA_DE_REVESTIMENTOS">#REF!</definedName>
    <definedName name="Tabela_Recursos">#REF!</definedName>
    <definedName name="Tabela_Tarefas">#REF!</definedName>
    <definedName name="Tabela1">#REF!</definedName>
    <definedName name="Tabela2">#REF!</definedName>
    <definedName name="tabela3">#REF!</definedName>
    <definedName name="TABREF">#REF!</definedName>
    <definedName name="tania">#REF!</definedName>
    <definedName name="TAUX2">OFFSET(#REF!,0,0,COUNTA(#REF!)+1,1)</definedName>
    <definedName name="TAUX3">OFFSET(#REF!,0,0,COUNTA(#REF!)+1,1)</definedName>
    <definedName name="TAXA_VENTO">#REF!</definedName>
    <definedName name="TAXAS">#REF!</definedName>
    <definedName name="TbDin">OFFSET(#REF!,0,0,COUNTA(#REF!),13)</definedName>
    <definedName name="tc">#REF!</definedName>
    <definedName name="TE">#REF!</definedName>
    <definedName name="TECLA">#REF!</definedName>
    <definedName name="Tendência_Obra_Controladoria">#REF!</definedName>
    <definedName name="TERRENO">#REF!</definedName>
    <definedName name="Test" hidden="1">{"'Edit'!$A$1:$V$2277"}</definedName>
    <definedName name="TESTANDO" hidden="1">{#N/A,#N/A,TRUE,"Quinzena 01 à 15-04-98 "}</definedName>
    <definedName name="teste">#REF!</definedName>
    <definedName name="teste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3">#REF!</definedName>
    <definedName name="TESTHKEY">#REF!</definedName>
    <definedName name="teto1">#REF!</definedName>
    <definedName name="Teto2">#REF!</definedName>
    <definedName name="tetuytw">#REF!</definedName>
    <definedName name="TextRefCopyRangeCount" hidden="1">1</definedName>
    <definedName name="thjgsergsr" hidden="1">{#N/A,#N/A,FALSE,"Plan1";#N/A,#N/A,FALSE,"Plan2"}</definedName>
    <definedName name="THYJ" hidden="1">{#N/A,#N/A,FALSE,"Plan1";#N/A,#N/A,FALSE,"Plan2"}</definedName>
    <definedName name="tihjgih" hidden="1">{#N/A,#N/A,FALSE,"Plan1";#N/A,#N/A,FALSE,"Plan2"}</definedName>
    <definedName name="TIPO_CTT">#REF!</definedName>
    <definedName name="Tipo_de_Diretoria">#REF!</definedName>
    <definedName name="Tipo_de_Gestao">#REF!</definedName>
    <definedName name="Tipo_de_Padrao">#REF!</definedName>
    <definedName name="Tipo_de_Regiao">#REF!</definedName>
    <definedName name="Tipo_de_Segmento">#REF!</definedName>
    <definedName name="Tipo_de_Status">#REF!</definedName>
    <definedName name="Tipo_de_UF">#REF!</definedName>
    <definedName name="Tipo_de_Unidade_de_Negocio">#REF!</definedName>
    <definedName name="Tipo_do_cliente">#REF!</definedName>
    <definedName name="tipo_subtotal">#REF!</definedName>
    <definedName name="tipobloco">#REF!</definedName>
    <definedName name="titbeb">#REF!</definedName>
    <definedName name="TITCHAF">#REF!</definedName>
    <definedName name="TituloMkt">#REF!</definedName>
    <definedName name="titulos">#REF!</definedName>
    <definedName name="_xlnm.Print_Titles">#REF!</definedName>
    <definedName name="Títulos_impressão_IM">#REF!</definedName>
    <definedName name="TMO">#REF!</definedName>
    <definedName name="TOLTAL2">#REF!</definedName>
    <definedName name="TOT">#REF!</definedName>
    <definedName name="tot3estac">#REF!</definedName>
    <definedName name="TOTAIS">#REF!</definedName>
    <definedName name="Total">#REF!</definedName>
    <definedName name="Total_2016_Rel_Controladoria">#REF!</definedName>
    <definedName name="Total_Parcelas_MAP">#REF!</definedName>
    <definedName name="total_unid">#REF!</definedName>
    <definedName name="TOTAL1">#REF!</definedName>
    <definedName name="TOTAL10">#REF!</definedName>
    <definedName name="TOTAL11">#REF!</definedName>
    <definedName name="TOTAL12">#REF!</definedName>
    <definedName name="TOTAL13">#REF!</definedName>
    <definedName name="TOTAL14">#REF!</definedName>
    <definedName name="TOTAL15">#REF!</definedName>
    <definedName name="TOTAL16">#REF!</definedName>
    <definedName name="TOTAL2">#REF!</definedName>
    <definedName name="TOTAL3">#REF!</definedName>
    <definedName name="TOTAL4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ALITEM">#REF!</definedName>
    <definedName name="totbase">#REF!</definedName>
    <definedName name="totestaca">#REF!</definedName>
    <definedName name="TOTG">OFFSET(#REF!,0,0,COUNTA(#REF!),1)</definedName>
    <definedName name="totperfura">#REF!</definedName>
    <definedName name="TOTQTS">#REF!</definedName>
    <definedName name="TOTT">OFFSET(#REF!,0,0,COUNTA(#REF!)+1,1)</definedName>
    <definedName name="TR">#REF!</definedName>
    <definedName name="Transferencia1">#REF!</definedName>
    <definedName name="TRES">#REF!</definedName>
    <definedName name="TREZE">#REF!</definedName>
    <definedName name="tri">#REF!</definedName>
    <definedName name="Trimestre_data_base">#REF!</definedName>
    <definedName name="trjyidih" hidden="1">{#N/A,#N/A,FALSE,"Plan1";#N/A,#N/A,FALSE,"Plan2"}</definedName>
    <definedName name="TRP">#REF!</definedName>
    <definedName name="TTT">#REF!</definedName>
    <definedName name="TURNO">#REF!</definedName>
    <definedName name="tuyedjsksj" hidden="1">{#N/A,#N/A,FALSE,"Plan1";#N/A,#N/A,FALSE,"Plan2"}</definedName>
    <definedName name="TX_ADM">#REF!</definedName>
    <definedName name="tx_desconto_real">#REF!</definedName>
    <definedName name="TxAplicMes">#REF!</definedName>
    <definedName name="TxCdiMes">#REF!</definedName>
    <definedName name="TxDescMes">#REF!</definedName>
    <definedName name="TxSecuritizacaoMes">#REF!</definedName>
    <definedName name="TxSfhEco">#REF!</definedName>
    <definedName name="TxSfhMap">#REF!</definedName>
    <definedName name="TXTEQUIP">#REF!</definedName>
    <definedName name="TXTMARCA">#REF!</definedName>
    <definedName name="TXTMOD">#REF!</definedName>
    <definedName name="TXTPOT">#REF!</definedName>
    <definedName name="TYHGFHFHG" hidden="1">{#N/A,#N/A,FALSE,"Plan1";#N/A,#N/A,FALSE,"Plan2"}</definedName>
    <definedName name="u" hidden="1">{#N/A,#N/A,FALSE,"ET-CAPA";#N/A,#N/A,FALSE,"ET-PAG1";#N/A,#N/A,FALSE,"ET-PAG2";#N/A,#N/A,FALSE,"ET-PAG3";#N/A,#N/A,FALSE,"ET-PAG4";#N/A,#N/A,FALSE,"ET-PAG5"}</definedName>
    <definedName name="udhgfhfg" hidden="1">{#N/A,#N/A,FALSE,"Plan1";#N/A,#N/A,FALSE,"Plan2"}</definedName>
    <definedName name="ueiutriuef" hidden="1">{#N/A,#N/A,FALSE,"Plan1";#N/A,#N/A,FALSE,"Plan2"}</definedName>
    <definedName name="UENSIT">#REF!</definedName>
    <definedName name="UENSITS">#REF!</definedName>
    <definedName name="UHGSDUS" hidden="1">{#N/A,#N/A,FALSE,"Plan1";#N/A,#N/A,FALSE,"Plan2"}</definedName>
    <definedName name="UI" hidden="1">#REF!</definedName>
    <definedName name="UIHWER45R" hidden="1">{#N/A,#N/A,FALSE,"Plan1";#N/A,#N/A,FALSE,"Plan2"}</definedName>
    <definedName name="uiosderuiu" hidden="1">{#N/A,#N/A,FALSE,"Plan1";#N/A,#N/A,FALSE,"Plan2"}</definedName>
    <definedName name="UIOURET" hidden="1">{#N/A,#N/A,FALSE,"Plan1";#N/A,#N/A,FALSE,"Plan2"}</definedName>
    <definedName name="uiwuer" hidden="1">{#N/A,#N/A,FALSE,"Plan1";#N/A,#N/A,FALSE,"Plan2"}</definedName>
    <definedName name="UKHDFDSGUDFKD" hidden="1">{#N/A,#N/A,FALSE,"Plan1";#N/A,#N/A,FALSE,"Plan2"}</definedName>
    <definedName name="UM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D">OFFSET(#REF!,0,0,COUNTA(#REF!),1)</definedName>
    <definedName name="uni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v_cdi">#REF!</definedName>
    <definedName name="univ_hist">#REF!</definedName>
    <definedName name="univ_uss">#REF!</definedName>
    <definedName name="UPS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ryrtyt" hidden="1">{#N/A,#N/A,FALSE,"Plan1";#N/A,#N/A,FALSE,"Plan2"}</definedName>
    <definedName name="V">#REF!</definedName>
    <definedName name="VALIDADE_EXECUÇÃO">#REF!</definedName>
    <definedName name="Valor_PLS_Controladoria">#REF!</definedName>
    <definedName name="Valor_Previsto_Fin_Medições">#REF!</definedName>
    <definedName name="VALOR_REAIS">#REF!</definedName>
    <definedName name="Valor_Recebido_Fin_Medições">#REF!</definedName>
    <definedName name="Valor_Sienge">#REF!</definedName>
    <definedName name="VALOR_VENDA">#REF!</definedName>
    <definedName name="valores_diferidos">#REF!</definedName>
    <definedName name="valv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OS">#REF!</definedName>
    <definedName name="vdsgfrhgfr" hidden="1">{#N/A,#N/A,FALSE,"Plan1";#N/A,#N/A,FALSE,"Plan2"}</definedName>
    <definedName name="Veiculos">#REF!</definedName>
    <definedName name="VENDA_ADOTADA">#REF!</definedName>
    <definedName name="VENDAFINAL_R">#REF!</definedName>
    <definedName name="VENDAFINAL_U">#REF!</definedName>
    <definedName name="Vendas">#REF!</definedName>
    <definedName name="vendas_">#REF!</definedName>
    <definedName name="VERIFICAR" hidden="1">{#N/A,#N/A,TRUE,"Quinzena 01 à 15-04-98 "}</definedName>
    <definedName name="versao_estudo">#REF!</definedName>
    <definedName name="vfbg">#REF!</definedName>
    <definedName name="vfnijf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V" hidden="1">{#N/A,#N/A,FALSE,"Plan1";#N/A,#N/A,FALSE,"Plan2"}</definedName>
    <definedName name="VI">#REF!</definedName>
    <definedName name="VINTE">#REF!</definedName>
    <definedName name="visao_cashflow">#REF!</definedName>
    <definedName name="visao_VL">#REF!</definedName>
    <definedName name="vl_cd">#REF!</definedName>
    <definedName name="vl_k1">#REF!</definedName>
    <definedName name="vl_k2">#REF!</definedName>
    <definedName name="vl_k3">#REF!</definedName>
    <definedName name="vld_classificacao" hidden="1">IF(#REF!="Ativa",OFFSET(INDEX(rng_list_classificacao,MATCH(#REF!,rng_list_classificacao,0)),1,0,COUNTA(rng_list_classificacao)-1),#REF!)</definedName>
    <definedName name="vld_regional" hidden="1">OFFSET(INDEX(rng_list_regional,MATCH(#REF!,rng_list_regional,0)),1,0,COUNTA(rng_list_regional)-1)</definedName>
    <definedName name="vld_segmento" hidden="1">IF(#REF!="Ativa",OFFSET(INDEX(rng_list_segmento,MATCH(#REF!,rng_list_segmento,0)),1,0,COUNTA(rng_list_segmento)-1),#REF!)</definedName>
    <definedName name="vld_sociedade" hidden="1">OFFSET(INDEX(rng_list_sociedade,MATCH(#REF!,rng_list_sociedade,0)),1,0,COUNTA(rng_list_sociedade)-1)</definedName>
    <definedName name="vld_status_empresa" hidden="1">OFFSET(INDEX(rng_list_status_empresa,MATCH(#REF!,rng_list_status_empresa,0)),1,0,COUNTA(rng_list_status_empresa)-1)</definedName>
    <definedName name="vld_status_lancamento" hidden="1">IF(#REF!="Ativa",OFFSET(INDEX(rng_list_status_lancamento,MATCH(#REF!,rng_list_status_lancamento,0)),1,0,COUNTA(rng_list_status_lancamento)-1),#REF!)</definedName>
    <definedName name="vld_status_projeto" hidden="1">IF(#REF!="Ativa",OFFSET(INDEX(rng_list_status_projeto,MATCH(#REF!,rng_list_status_projeto,0)),1,0,COUNTA(rng_list_status_projeto)-1),#REF!)</definedName>
    <definedName name="vld_status_viabilidade" hidden="1">OFFSET(INDEX(rng_list_status_viabilidade,MATCH(#REF!,rng_list_status_viabilidade,0)),1,0,COUNTA(rng_list_status_viabilidade)-1)</definedName>
    <definedName name="VOLUME1">#REF!</definedName>
    <definedName name="VOLUME2">#REF!</definedName>
    <definedName name="VOLUME3">#REF!</definedName>
    <definedName name="VSDHFGDFGR" hidden="1">{#N/A,#N/A,FALSE,"Plan1";#N/A,#N/A,FALSE,"Plan2"}</definedName>
    <definedName name="vvbb" hidden="1">{"tabela",#N/A,FALSE,"Tabela";"decoração",#N/A,FALSE,"Decor.";"Informações",#N/A,FALSE,"Inform."}</definedName>
    <definedName name="vvcbnb" hidden="1">{#N/A,#N/A,FALSE,"Plan1";#N/A,#N/A,FALSE,"Plan2"}</definedName>
    <definedName name="vvvvv" hidden="1">{"Econ Consolidado",#N/A,FALSE,"Econ Consol";"Fluxo de Caixa",#N/A,FALSE,"Fluxo Caixa";"Investimentos",#N/A,FALSE,"Investimentos"}</definedName>
    <definedName name="vvvvvv" hidden="1">{#N/A,#N/A,FALSE,"Plan1";#N/A,#N/A,FALSE,"Plan2"}</definedName>
    <definedName name="vvvvvvvvvvvvvvvvv" hidden="1">{"HW",#N/A,FALSE,"1998"}</definedName>
    <definedName name="VX" hidden="1">#REF!</definedName>
    <definedName name="w">#REF!</definedName>
    <definedName name="wacc">#REF!</definedName>
    <definedName name="wadalrdjlaev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ter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dewr" hidden="1">#REF!</definedName>
    <definedName name="WE" hidden="1">#REF!</definedName>
    <definedName name="weki_9701.xls" hidden="1">#REF!</definedName>
    <definedName name="wekir9701.xls" hidden="1">#REF!</definedName>
    <definedName name="werw4tr" hidden="1">{#N/A,#N/A,FALSE,"Plan1";#N/A,#N/A,FALSE,"Plan2"}</definedName>
    <definedName name="wetoedjtkdr" hidden="1">{#N/A,#N/A,FALSE,"Plan1";#N/A,#N/A,FALSE,"Plan2"}</definedName>
    <definedName name="WHATS" hidden="1">{"'Edit'!$A$1:$V$2277"}</definedName>
    <definedName name="win.VESSE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TENS">#REF!</definedName>
    <definedName name="WKJHIR" hidden="1">{#N/A,#N/A,FALSE,"Plan1";#N/A,#N/A,FALSE,"Plan2"}</definedName>
    <definedName name="WLQ" hidden="1">{#N/A,#N/A,FALSE,"명세표"}</definedName>
    <definedName name="WNMLOCAL">#REF!</definedName>
    <definedName name="WNMMUN">#REF!</definedName>
    <definedName name="WNMSERV">#REF!</definedName>
    <definedName name="worl_cdi">#REF!</definedName>
    <definedName name="worl_hist">#REF!</definedName>
    <definedName name="worl_uss">#REF!</definedName>
    <definedName name="WRITE" hidden="1">{#N/A,#N/A,FALSE,"CCTV"}</definedName>
    <definedName name="wrn.BM." hidden="1">{#N/A,#N/A,FALSE,"CCTV"}</definedName>
    <definedName name="wrn.Brita98.xls." hidden="1">{#N/A,#N/A,TRUE,"Quinzena 01 à 15-04-98 "}</definedName>
    <definedName name="wrn.Completo.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ns." hidden="1">{"EconCons",#N/A,TRUE,"Econômico - Consolidado";"CaixaCons",#N/A,TRUE,"Caixa - Consolidado";"InvestCons",#N/A,TRUE,"Invest Consolidado"}</definedName>
    <definedName name="wrn.Consolidado." hidden="1">{"Econ Consolidado",#N/A,FALSE,"Econ Consol";"Fluxo de Caixa",#N/A,FALSE,"Fluxo Caixa";"Investimentos",#N/A,FALSE,"Investimentos"}</definedName>
    <definedName name="wrn.GERAL." hidden="1">{#N/A,#N/A,FALSE,"ET-CAPA";#N/A,#N/A,FALSE,"ET-PAG1";#N/A,#N/A,FALSE,"ET-PAG2";#N/A,#N/A,FALSE,"ET-PAG3";#N/A,#N/A,FALSE,"ET-PAG4";#N/A,#N/A,FALSE,"ET-PAG5"}</definedName>
    <definedName name="wrn.HAGE." hidden="1">{#N/A,#N/A,FALSE,"cdi";#N/A,#N/A,FALSE,"debent";#N/A,#N/A,FALSE,"fdos";#N/A,#N/A,FALSE,"resumo"}</definedName>
    <definedName name="wrn.HAGE01" hidden="1">{#N/A,#N/A,FALSE,"cdi";#N/A,#N/A,FALSE,"debent";#N/A,#N/A,FALSE,"fdos";#N/A,#N/A,FALSE,"resumo"}</definedName>
    <definedName name="wrn.HW." hidden="1">{"HW",#N/A,FALSE,"1998"}</definedName>
    <definedName name="wrn.imp_flx." hidden="1">{#N/A,#N/A,FALSE,"CONSOLID";#N/A,#N/A,FALSE,"CIMENTO";#N/A,#N/A,FALSE,"METALURGIA";#N/A,#N/A,FALSE,"PAPEL";#N/A,#N/A,FALSE,"QUÍMICA";#N/A,#N/A,FALSE,"AGROINDL";#N/A,#N/A,FALSE,"OUTROS";#N/A,#N/A,FALSE,"REAL_ORCADO"}</definedName>
    <definedName name="wrn.IMPRESSO." hidden="1">{#N/A,#N/A,FALSE,"Plan1";#N/A,#N/A,FALSE,"Plan2"}</definedName>
    <definedName name="wrn.Imprimir." hidden="1">{"tabela",#N/A,FALSE,"Tabela";"decoração",#N/A,FALSE,"Decor.";"Informações",#N/A,FALSE,"Inform."}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GM機器リスト.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onth._.Report._.Package." hidden="1">{#N/A,#N/A,FALSE,"Global Wls Trend";#N/A,#N/A,FALSE,"Region Trend";#N/A,#N/A,FALSE,"PBU Trend"}</definedName>
    <definedName name="wrn.Monthly._.Report._.Package." hidden="1">{#N/A,#N/A,FALSE,"Global by BU";#N/A,#N/A,FALSE,"U.S. by BU";#N/A,#N/A,FALSE,"Canada by BU";#N/A,#N/A,FALSE,"Europe by BU";#N/A,#N/A,FALSE,"Asia by BU";#N/A,#N/A,FALSE,"Cala by BU"}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iha._.de._.Medição._.F._.01." hidden="1">{#N/A,#N/A,FALSE,"F-01"}</definedName>
    <definedName name="wrn.Planiha._.de._.Medição._.F._.01._1" hidden="1">{#N/A,#N/A,FALSE,"F-01"}</definedName>
    <definedName name="wrn.Planilha_de_Medição_F_02" hidden="1">{#N/A,#N/A,FALSE,"F-01"}</definedName>
    <definedName name="wrn.print._.all." hidden="1">{#N/A,#N/A,FALSE,"$170M Cash";#N/A,#N/A,FALSE,"$250M Cash";#N/A,#N/A,FALSE,"$325M Cash"}</definedName>
    <definedName name="wrn.PrintAll.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 hidden="1">{#N/A,#N/A,FALSE,"Sheet1";#N/A,#N/A,FALSE,"Sheet2";#N/A,#N/A,FALSE,"Sheet3"}</definedName>
    <definedName name="wrn.PrintPrev1." hidden="1">{#N/A,#N/A,FALSE,"Sheet4";#N/A,#N/A,FALSE,"Sheet5";#N/A,#N/A,FALSE,"Sheet6"}</definedName>
    <definedName name="wrn.PrintPrev2." hidden="1">{#N/A,#N/A,FALSE,"Sheet7";#N/A,#N/A,FALSE,"Sheet8";#N/A,#N/A,FALSE,"Sheet9"}</definedName>
    <definedName name="wrn.Quadros._.relatório.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PORT." hidden="1">{#N/A,#N/A,FALSE,"표지";#N/A,#N/A,FALSE,"목차";#N/A,#N/A,FALSE,"내용1";#N/A,#N/A,FALSE,"내용2";#N/A,#N/A,FALSE,"결론";#N/A,#N/A,FALSE,"첨부";#N/A,#N/A,FALSE,"진공도달시간";#N/A,#N/A,FALSE,"배가스속도"}</definedName>
    <definedName name="wrn.STAFFS." hidden="1">{#N/A,#N/A,FALSE,"TABLE"}</definedName>
    <definedName name="wrn.TERCEIRO.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st1." hidden="1">{#N/A,#N/A,FALSE,"명세표"}</definedName>
    <definedName name="wrn.Unidades." hidden="1">{"Rio Branco",#N/A,FALSE,"Rio Branco";"Itajaí",#N/A,FALSE,"Itajaí";"Pinheiro Machado",#N/A,FALSE,"PMachado";"Esteio",#N/A,FALSE,"Esteio"}</definedName>
    <definedName name="wrn.VESSEL및N2._.구입사양서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견적." hidden="1">{#N/A,#N/A,FALSE,"Sheet1";#N/A,#N/A,FALSE,"Sheet2";#N/A,#N/A,FALSE,"TAB96-1"}</definedName>
    <definedName name="wrn.보호계전기." hidden="1">{#N/A,#N/A,FALSE,"ENG'G(보호계전기)"}</definedName>
    <definedName name="wrn.현장._.NCR._.분석." hidden="1">{#N/A,#N/A,FALSE,"현장 NCR 분석";#N/A,#N/A,FALSE,"현장품질감사";#N/A,#N/A,FALSE,"현장품질감사"}</definedName>
    <definedName name="wrn1.Cons." hidden="1">{"EconCons",#N/A,TRUE,"Econômico - Consolidado";"CaixaCons",#N/A,TRUE,"Caixa - Consolidado";"InvestCons",#N/A,TRUE,"Invest Consolidado"}</definedName>
    <definedName name="wrn1.print._.all." hidden="1">{#N/A,#N/A,FALSE,"$170M Cash";#N/A,#N/A,FALSE,"$250M Cash";#N/A,#N/A,FALSE,"$325M Cash"}</definedName>
    <definedName name="WRS" hidden="1">{"'장비'!$A$3:$M$12"}</definedName>
    <definedName name="wrt" hidden="1">{#N/A,#N/A,FALSE,"$170M Cash";#N/A,#N/A,FALSE,"$250M Cash";#N/A,#N/A,FALSE,"$325M Cash"}</definedName>
    <definedName name="wvu.PLANILHA2.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w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wwwwwww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>#REF!</definedName>
    <definedName name="XALFA">#REF!</definedName>
    <definedName name="XC">#REF!</definedName>
    <definedName name="xcfrt" hidden="1">{#N/A,#N/A,FALSE,"Plan1";#N/A,#N/A,FALSE,"Plan2"}</definedName>
    <definedName name="xcgjkfghf" hidden="1">{#N/A,#N/A,FALSE,"Plan1";#N/A,#N/A,FALSE,"Plan2"}</definedName>
    <definedName name="XCGJKVHFDG" hidden="1">{#N/A,#N/A,FALSE,"Plan1";#N/A,#N/A,FALSE,"Plan2"}</definedName>
    <definedName name="xcgtrty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I">#REF!</definedName>
    <definedName name="XCII">#REF!</definedName>
    <definedName name="XCIII">#REF!</definedName>
    <definedName name="XCIV">#REF!</definedName>
    <definedName name="XCIX">#REF!</definedName>
    <definedName name="xçl" hidden="1">{#N/A,#N/A,FALSE,"Plan1";#N/A,#N/A,FALSE,"Plan2"}</definedName>
    <definedName name="xcndj" hidden="1">{#N/A,#N/A,FALSE,"Plan1";#N/A,#N/A,FALSE,"Plan2"}</definedName>
    <definedName name="XCV">#REF!</definedName>
    <definedName name="XCVGGT" hidden="1">{#N/A,#N/A,FALSE,"Plan1";#N/A,#N/A,FALSE,"Plan2"}</definedName>
    <definedName name="XCVI">#REF!</definedName>
    <definedName name="XCVII">#REF!</definedName>
    <definedName name="XCVIII">#REF!</definedName>
    <definedName name="xcvrg" hidden="1">{#N/A,#N/A,FALSE,"Plan1";#N/A,#N/A,FALSE,"Plan2"}</definedName>
    <definedName name="XDATA">#REF!</definedName>
    <definedName name="xdfe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gtyhyt" hidden="1">{#N/A,#N/A,FALSE,"Plan1";#N/A,#N/A,FALSE,"Plan2"}</definedName>
    <definedName name="xfdlfj" hidden="1">{#N/A,#N/A,FALSE,"Plan1";#N/A,#N/A,FALSE,"Plan2"}</definedName>
    <definedName name="xfdxfdf" hidden="1">{#N/A,#N/A,FALSE,"Plan1";#N/A,#N/A,FALSE,"Plan2"}</definedName>
    <definedName name="XFJKLDJKLG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rty" hidden="1">{#N/A,#N/A,FALSE,"Plan1";#N/A,#N/A,FALSE,"Plan2"}</definedName>
    <definedName name="X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vchdhhd" hidden="1">{"Econ Consolidado",#N/A,FALSE,"Econ Consol";"Fluxo de Caixa",#N/A,FALSE,"Fluxo Caixa";"Investimentos",#N/A,FALSE,"Investimentos"}</definedName>
    <definedName name="xfvgcfgt" hidden="1">{#N/A,#N/A,FALSE,"Plan1";#N/A,#N/A,FALSE,"Plan2"}</definedName>
    <definedName name="xgrg" hidden="1">{#N/A,#N/A,FALSE,"Plan1";#N/A,#N/A,FALSE,"Plan2"}</definedName>
    <definedName name="XI">#REF!</definedName>
    <definedName name="XII">#REF!</definedName>
    <definedName name="XIII">#REF!</definedName>
    <definedName name="XITEM">#REF!</definedName>
    <definedName name="XIV">#REF!</definedName>
    <definedName name="XLOC">#REF!</definedName>
    <definedName name="xmght" hidden="1">{#N/A,#N/A,FALSE,"Plan1";#N/A,#N/A,FALSE,"Plan2"}</definedName>
    <definedName name="xnInforme_quantos_bebedouros____bebqt__if_bebqt__0__xlQt.bebedouros_invalida___ENTER_p_reinformar__xresp__branch_rqtderv">#REF!</definedName>
    <definedName name="XNUCOPIAS">#REF!</definedName>
    <definedName name="xo" hidden="1">{#N/A,#N/A,FALSE,"Global by BU";#N/A,#N/A,FALSE,"U.S. by BU";#N/A,#N/A,FALSE,"Canada by BU";#N/A,#N/A,FALSE,"Europe by BU";#N/A,#N/A,FALSE,"Asia by BU";#N/A,#N/A,FALSE,"Cala by BU"}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ColumnsCount" hidden="1">1</definedName>
    <definedName name="XRefCopy2" hidden="1">#REF!</definedName>
    <definedName name="XRefCopy3Row" hidden="1">#REF!</definedName>
    <definedName name="XRefCopy4Row" hidden="1">#REF!</definedName>
    <definedName name="XRefCopy6" hidden="1">#REF!</definedName>
    <definedName name="XRefCopyRangeCount" hidden="1">1</definedName>
    <definedName name="XRefPaste2" hidden="1">#REF!</definedName>
    <definedName name="XRefPaste4" hidden="1">#REF!</definedName>
    <definedName name="XRefPaste5" hidden="1">#REF!</definedName>
    <definedName name="XRefPaste6" hidden="1">#REF!</definedName>
    <definedName name="XRefPaste7Row" hidden="1">#REF!</definedName>
    <definedName name="XRefPasteRangeCount" hidden="1">1</definedName>
    <definedName name="XRESP">#REF!</definedName>
    <definedName name="XTITRES">#REF!</definedName>
    <definedName name="XV">#REF!</definedName>
    <definedName name="XX">#REF!</definedName>
    <definedName name="XXI">#REF!</definedName>
    <definedName name="XXII">#REF!</definedName>
    <definedName name="XXIII">#REF!</definedName>
    <definedName name="XXIV">#REF!</definedName>
    <definedName name="XXV">#REF!</definedName>
    <definedName name="XXX">#REF!</definedName>
    <definedName name="XXXI">#REF!</definedName>
    <definedName name="XXXII">#REF!</definedName>
    <definedName name="XXXIII">#REF!</definedName>
    <definedName name="XXXIV">#REF!</definedName>
    <definedName name="XXXIX">#REF!</definedName>
    <definedName name="XXXV">#REF!</definedName>
    <definedName name="XXXVI">#REF!</definedName>
    <definedName name="XXXVII">#REF!</definedName>
    <definedName name="XXXVIII">#REF!</definedName>
    <definedName name="xxxx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xxxx">#REF!</definedName>
    <definedName name="xxxxxxxxxxxxxx" hidden="1">{#N/A,#N/A,FALSE,"Plan1";#N/A,#N/A,FALSE,"Plan2"}</definedName>
    <definedName name="xzfrt" hidden="1">{#N/A,#N/A,FALSE,"Plan1";#N/A,#N/A,FALSE,"Plan2"}</definedName>
    <definedName name="yeitrtged" hidden="1">{#N/A,#N/A,FALSE,"Plan1";#N/A,#N/A,FALSE,"Plan2"}</definedName>
    <definedName name="yhdfiuygrui" hidden="1">{#N/A,#N/A,FALSE,"Plan1";#N/A,#N/A,FALSE,"Plan2"}</definedName>
    <definedName name="YRGUYDRIY" hidden="1">{"Econ Consolidado",#N/A,FALSE,"Econ Consol";"Fluxo de Caixa",#N/A,FALSE,"Fluxo Caixa";"Investimentos",#N/A,FALSE,"Investimentos"}</definedName>
    <definedName name="ytdju">#REF!</definedName>
    <definedName name="yuegursdmksf" hidden="1">{#N/A,#N/A,FALSE,"Plan1";#N/A,#N/A,FALSE,"Plan2"}</definedName>
    <definedName name="yuekl4fr" hidden="1">{#N/A,#N/A,FALSE,"Plan1";#N/A,#N/A,FALSE,"Plan2"}</definedName>
    <definedName name="yureytuyrea" hidden="1">{#N/A,#N/A,FALSE,"Plan1";#N/A,#N/A,FALSE,"Plan2"}</definedName>
    <definedName name="z" hidden="1">{"'Estimativa de Lançamento-JAN'!$A$1:$AI$85"}</definedName>
    <definedName name="z\dj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_022B7420_7F94_427F_B370_84030F9B3342_.wvu.FilterData" hidden="1">#REF!</definedName>
    <definedName name="Z_04BC043C_175B_412D_8093_6F29CD74FBAE_.wvu.FilterData" hidden="1">#REF!</definedName>
    <definedName name="Z_058B9256_CB4D_4C39_834D_D693FEEB491F_.wvu.FilterData" hidden="1">#REF!</definedName>
    <definedName name="Z_05D1A71D_3B7B_4FB7_8DF3_B8E29CA3927A_.wvu.FilterData" hidden="1">#REF!</definedName>
    <definedName name="Z_07C2CF55_E6DF_411A_AB00_7E155615468C_.wvu.FilterData" hidden="1">#REF!</definedName>
    <definedName name="Z_0B1003A7_69DB_4D5B_966D_57B9E8AF76FB_.wvu.FilterData" hidden="1">#REF!</definedName>
    <definedName name="Z_0C3EE359_64F6_4049_9576_8EACA8563EA4_.wvu.FilterData" hidden="1">#REF!</definedName>
    <definedName name="Z_0D05AC4E_32D3_4985_8208_9776E00AC749_.wvu.FilterData" hidden="1">#REF!</definedName>
    <definedName name="Z_0DB407A0_1449_11D8_ADD1_0060083A646F_.wvu.PrintArea" hidden="1">#REF!</definedName>
    <definedName name="Z_0DC459DE_F68C_4E33_8D1E_F1663ABAC944_.wvu.FilterData" hidden="1">#REF!</definedName>
    <definedName name="Z_0FACBA89_1203_4ED8_87E5_EC1D45B051B7_.wvu.FilterData" hidden="1">#REF!</definedName>
    <definedName name="Z_0FEA3536_5108_4591_BECF_C3181387F85F_.wvu.FilterData" hidden="1">#REF!</definedName>
    <definedName name="Z_0FEFDB42_ECBC_4500_A6C8_FEE3D368790B_.wvu.FilterData" hidden="1">#REF!</definedName>
    <definedName name="Z_110A0651_47C7_408E_B3BF_0C80D30B95FC_.wvu.FilterData" hidden="1">#REF!</definedName>
    <definedName name="Z_128E64DD_BE84_40EE_A6D2_C9B0EB25CBBD_.wvu.FilterData" hidden="1">#REF!</definedName>
    <definedName name="Z_12F2973E_0018_407B_98AD_CD9C5D1F65FA_.wvu.FilterData" hidden="1">#REF!</definedName>
    <definedName name="Z_137DAE61_8A8D_4219_A4CC_0EEC18A94882_.wvu.FilterData" hidden="1">#REF!</definedName>
    <definedName name="Z_13E06FB5_D019_406D_B278_1B53AD2F6386_.wvu.FilterData" hidden="1">#REF!</definedName>
    <definedName name="Z_14D375AC_5615_46DE_8EE3_95915B2A8B54_.wvu.FilterData" hidden="1">#REF!</definedName>
    <definedName name="Z_15697660_066E_11D5_AF15_00010242ED40_.wvu.PrintArea" hidden="1">#REF!</definedName>
    <definedName name="Z_15697660_066E_11D5_AF15_00010242ED40_.wvu.PrintTitles" hidden="1">#REF!</definedName>
    <definedName name="Z_15697660_066E_11D5_AF15_00010242ED40_.wvu.Rows" hidden="1">#REF!</definedName>
    <definedName name="Z_15B5DC78_B02F_4AC6_8572_015040A55619_.wvu.FilterData" hidden="1">#REF!</definedName>
    <definedName name="Z_166D6F0F_4D44_46E7_8C36_48FD4848B5AA_.wvu.FilterData" hidden="1">#REF!</definedName>
    <definedName name="Z_16FAB836_2255_4D4C_90E4_6B46255F3759_.wvu.FilterData" hidden="1">#REF!</definedName>
    <definedName name="Z_198D391C_95CB_49F5_8924_5FEA3CE5C98A_.wvu.FilterData" hidden="1">#REF!</definedName>
    <definedName name="Z_1D9C37CC_3E33_4D4D_B7CD_819F75C83D65_.wvu.FilterData" hidden="1">#REF!</definedName>
    <definedName name="Z_1DF9838C_880D_4C4E_BFFE_89B5894EC40F_.wvu.FilterData" hidden="1">#REF!</definedName>
    <definedName name="Z_1EF42BFC_874B_4E01_B67D_1607E823ACD0_.wvu.FilterData" hidden="1">#REF!</definedName>
    <definedName name="Z_1F94C6E7_3CCA_4599_AF6F_4D6291B2AD93_.wvu.FilterData" hidden="1">#REF!</definedName>
    <definedName name="Z_20A9AA17_0DEB_4190_8DAD_FC60D0D33A52_.wvu.FilterData" hidden="1">#REF!</definedName>
    <definedName name="Z_2103F656_ECB2_4F99_BE9B_56F4D7A5CEE2_.wvu.FilterData" hidden="1">#REF!</definedName>
    <definedName name="Z_2158A2BC_8DB5_455D_AFDE_914B22949288_.wvu.FilterData" hidden="1">#REF!</definedName>
    <definedName name="Z_21A967FF_561E_495F_AEB9_4DD3BEDA53BC_.wvu.FilterData" hidden="1">#REF!</definedName>
    <definedName name="Z_227E7522_DC52_4EA7_A11A_0741FF23CC42_.wvu.FilterData" hidden="1">#REF!</definedName>
    <definedName name="Z_23BA0C23_280B_4568_A53C_1C6D2E85772A_.wvu.FilterData" hidden="1">#REF!</definedName>
    <definedName name="Z_244346C6_3866_4160_9E2E_C77913F25398_.wvu.FilterData" hidden="1">#REF!</definedName>
    <definedName name="Z_25117F67_F0EE_43EF_8FF9_79F533CE10B0_.wvu.FilterData" hidden="1">#REF!</definedName>
    <definedName name="Z_259E2DDE_5459_4510_B7A2_66F49964C56E_.wvu.FilterData" hidden="1">#REF!</definedName>
    <definedName name="Z_25C7DFCF_BE54_4A41_B957_DE39B9B2A5B5_.wvu.FilterData" hidden="1">#REF!</definedName>
    <definedName name="Z_272E0E4D_901D_11D7_B59C_0050DAB35C7B_.wvu.FilterData" hidden="1">#REF!</definedName>
    <definedName name="Z_27D9353E_5A5F_49BF_8724_FA312A4073FF_.wvu.FilterData" hidden="1">#REF!</definedName>
    <definedName name="Z_299BE965_B904_49FA_A79D_B9538F94936F_.wvu.FilterData" hidden="1">#REF!</definedName>
    <definedName name="Z_29D37CE9_76D1_4D09_99A0_55ABA6929929_.wvu.FilterData" hidden="1">#REF!</definedName>
    <definedName name="Z_2C05BC27_731C_41F4_980F_CD81E4A7A662_.wvu.FilterData" hidden="1">#REF!</definedName>
    <definedName name="Z_2C0BDCBF_705B_4E5A_9659_05D99EC56641_.wvu.FilterData" hidden="1">#REF!</definedName>
    <definedName name="Z_2CD580B5_D99D_45ED_AC1E_45F8CBBBB9F1_.wvu.FilterData" hidden="1">#REF!</definedName>
    <definedName name="Z_2D98D706_A306_4353_8B3D_DA92F9EAEC9A_.wvu.FilterData" hidden="1">#REF!</definedName>
    <definedName name="Z_2F8736FC_F07E_49E8_9C13_8E0A0F5EFE5F_.wvu.FilterData" hidden="1">#REF!</definedName>
    <definedName name="Z_304C2F7A_D3A6_4DBA_A568_C3E56D7C6E2F_.wvu.FilterData" hidden="1">#REF!</definedName>
    <definedName name="Z_30E0ACE8_B29A_44E9_B542_E8C1CA3FD802_.wvu.FilterData" hidden="1">#REF!</definedName>
    <definedName name="Z_31A27EA2_D574_43B8_A671_7419A12151C9_.wvu.FilterData" hidden="1">#REF!</definedName>
    <definedName name="Z_32D1B352_62AB_4105_8DFC_EAA2DF743365_.wvu.FilterData" hidden="1">#REF!</definedName>
    <definedName name="Z_330DF436_5BED_40AF_AC51_73D268BD9DF4_.wvu.FilterData" hidden="1">#REF!</definedName>
    <definedName name="Z_33B8EF57_2FB1_4600_9590_B0A2F2FE409B_.wvu.FilterData" hidden="1">#REF!</definedName>
    <definedName name="Z_3404588C_6CE7_4C97_A62C_D19D9EE290D3_.wvu.FilterData" hidden="1">#REF!</definedName>
    <definedName name="Z_34E71878_8D1A_4343_91A1_3FE085136D2B_.wvu.FilterData" hidden="1">#REF!</definedName>
    <definedName name="Z_37611AA0_E86A_42C8_8705_108B25E060A1_.wvu.FilterData" hidden="1">#REF!</definedName>
    <definedName name="Z_38FE6CED_4C19_4332_9788_ACC902B20A46_.wvu.FilterData" hidden="1">#REF!</definedName>
    <definedName name="Z_394E75CB_4F7F_4C88_A08F_29E48E587341_.wvu.FilterData" hidden="1">#REF!</definedName>
    <definedName name="Z_3C200595_20A3_4A0C_B071_705F4AD5DAD3_.wvu.FilterData" hidden="1">#REF!</definedName>
    <definedName name="Z_3E93FF4A_0B7F_475C_A63C_54FBDB9DB4C5_.wvu.FilterData" hidden="1">#REF!</definedName>
    <definedName name="Z_3FF05DC4_CA9E_470D_A193_91785ACE00EF_.wvu.FilterData" hidden="1">#REF!</definedName>
    <definedName name="Z_43791B95_57D7_42F4_8815_D1B7E488543E_.wvu.FilterData" hidden="1">#REF!</definedName>
    <definedName name="Z_445AA90F_6D9B_40F5_8E1D_CE1EF57CF450_.wvu.FilterData" hidden="1">#REF!</definedName>
    <definedName name="Z_454E0C40_F84F_42A3_A371_6F23C1F38595_.wvu.FilterData" hidden="1">#REF!</definedName>
    <definedName name="Z_4608FCB3_3552_4D58_B6CE_B8F34D78221E_.wvu.FilterData" hidden="1">#REF!</definedName>
    <definedName name="Z_46E47F7C_9185_4E39_BED5_B4A69FF64CC1_.wvu.FilterData" hidden="1">#REF!</definedName>
    <definedName name="Z_48202D5D_77CB_41DE_8C59_9325C98D7C97_.wvu.FilterData" hidden="1">#REF!</definedName>
    <definedName name="Z_48824DFE_B714_4D0B_9E95_F01C5BAD5D1F_.wvu.FilterData" hidden="1">#REF!</definedName>
    <definedName name="Z_4C45D885_33EE_4DA9_BF96_6B10CFBA5596_.wvu.FilterData" hidden="1">#REF!</definedName>
    <definedName name="Z_4CA4BF7C_65C1_4E25_8563_22DF58586D2C_.wvu.PrintArea" hidden="1">#REF!</definedName>
    <definedName name="Z_4CA4BF7C_65C1_4E25_8563_22DF58586D2C_.wvu.PrintTitles" hidden="1">#REF!</definedName>
    <definedName name="Z_4CA4BF7C_65C1_4E25_8563_22DF58586D2C_.wvu.Rows" hidden="1">#REF!</definedName>
    <definedName name="Z_4D344757_9064_4D2F_A3A5_69132D23B7B9_.wvu.FilterData" hidden="1">#REF!</definedName>
    <definedName name="Z_4E773EE1_0A5B_43A9_9C28_FFB0A27D19C3_.wvu.FilterData" hidden="1">#REF!</definedName>
    <definedName name="Z_5122F04C_91B2_4031_BAE2_43203D520992_.wvu.FilterData" hidden="1">#REF!</definedName>
    <definedName name="Z_52B8D0B0_5872_4367_8D38_9AA5A4B975B3_.wvu.FilterData" hidden="1">#REF!</definedName>
    <definedName name="Z_532423B2_94C7_44C1_9A2A_9712DAE92CE9_.wvu.FilterData" hidden="1">#REF!</definedName>
    <definedName name="Z_53F31130_5EA7_42BA_93EB_88A7CB743782_.wvu.FilterData" hidden="1">#REF!</definedName>
    <definedName name="Z_55213581_1831_4A94_AB4D_23E4F8BC8085_.wvu.FilterData" hidden="1">#REF!</definedName>
    <definedName name="Z_552B9204_1C85_45BC_B148_AF3E206BDAA2_.wvu.FilterData" hidden="1">#REF!</definedName>
    <definedName name="Z_566671FC_5910_47FD_B961_1065A17D262D_.wvu.FilterData" hidden="1">#REF!</definedName>
    <definedName name="Z_569D17FA_30FE_42CA_8D65_E126C1C01EC2_.wvu.FilterData" hidden="1">#REF!</definedName>
    <definedName name="Z_573E904E_5C2F_4CA2_AFCF_918B916322E4_.wvu.FilterData" hidden="1">#REF!</definedName>
    <definedName name="Z_58DA6172_DC47_4A5F_B420_207BB6987764_.wvu.FilterData" hidden="1">#REF!</definedName>
    <definedName name="Z_58FCB891_F6F4_46F2_BF6B_861E585C9231_.wvu.FilterData" hidden="1">#REF!</definedName>
    <definedName name="Z_59A87EBA_E018_40E8_A580_AB2176E95D7E_.wvu.FilterData" hidden="1">#REF!</definedName>
    <definedName name="Z_5A3E740D_87C0_4F85_AB6D_B402AD860D04_.wvu.FilterData" hidden="1">#REF!</definedName>
    <definedName name="Z_5B42E6B5_40AA_4D3F_B932_EF1583491CDE_.wvu.FilterData" hidden="1">#REF!</definedName>
    <definedName name="Z_5B7B4951_7310_4C66_B906_4D046076272E_.wvu.FilterData" hidden="1">#REF!</definedName>
    <definedName name="Z_5D41F4B9_83DF_4509_9C07_453BA5A62846_.wvu.FilterData" hidden="1">#REF!</definedName>
    <definedName name="Z_5DB05E9F_8F3B_4886_A6CB_2CC53331BA7A_.wvu.FilterData" hidden="1">#REF!</definedName>
    <definedName name="Z_5F096896_2CB8_4B96_A0FE_9AB50EEEEFAB_.wvu.FilterData" hidden="1">#REF!</definedName>
    <definedName name="Z_60DF8B29_1C1F_4B50_BDA8_B8E0C7DD04C3_.wvu.Cols" hidden="1">#REF!,#REF!</definedName>
    <definedName name="Z_60DF8B29_1C1F_4B50_BDA8_B8E0C7DD04C3_.wvu.FilterData" hidden="1">#REF!</definedName>
    <definedName name="Z_615F4A4D_D5AB_4A04_81F5_F436484247A5_.wvu.FilterData" hidden="1">#REF!</definedName>
    <definedName name="Z_616443B5_6F0D_4082_9223_F71B54305366_.wvu.FilterData" hidden="1">#REF!</definedName>
    <definedName name="Z_631F0312_B404_409F_AF2B_39FB2D25040B_.wvu.FilterData" hidden="1">#REF!</definedName>
    <definedName name="Z_632CF316_8294_4588_87E1_2B69E184A62B_.wvu.FilterData" hidden="1">#REF!</definedName>
    <definedName name="Z_66D1BA5F_F4AE_443C_8583_CE89D6674A73_.wvu.FilterData" hidden="1">#REF!</definedName>
    <definedName name="Z_66DD4806_8039_438A_B1CE_46CC5B464050_.wvu.FilterData" hidden="1">#REF!</definedName>
    <definedName name="Z_67B65FDF_FF67_490E_B8E5_92DC66C9FC9D_.wvu.FilterData" hidden="1">#REF!</definedName>
    <definedName name="Z_68B709DF_9429_4090_9106_386C5F16C4D7_.wvu.FilterData" hidden="1">#REF!</definedName>
    <definedName name="Z_690BC25F_5AA3_4B4B_9507_8C197E768E98_.wvu.FilterData" hidden="1">#REF!</definedName>
    <definedName name="Z_6A66B8A7_491B_4A29_94A1_39F4FDA32C48_.wvu.FilterData" hidden="1">#REF!</definedName>
    <definedName name="Z_6A6F36C8_24A1_4147_9C63_27B7978935DD_.wvu.FilterData" hidden="1">#REF!</definedName>
    <definedName name="Z_6C2050D3_ABE5_4B48_B2A7_DDDD21669987_.wvu.FilterData" hidden="1">#REF!</definedName>
    <definedName name="Z_6CD84A0B_C00D_4BC8_A655_6383CCA4B296_.wvu.FilterData" hidden="1">#REF!</definedName>
    <definedName name="Z_6D5E5F42_E924_48A0_A50F_5BB481AFD1D5_.wvu.FilterData" hidden="1">#REF!</definedName>
    <definedName name="Z_6D789842_F56B_40C4_8907_F36C02855F76_.wvu.FilterData" hidden="1">#REF!</definedName>
    <definedName name="Z_6E345713_0818_471C_B54B_D890B987A0BC_.wvu.FilterData" hidden="1">#REF!</definedName>
    <definedName name="Z_701DEAE4_9CF1_491A_A54B_A6AE3235639D_.wvu.FilterData" hidden="1">#REF!</definedName>
    <definedName name="Z_7319B1DA_C8AE_4D1D_AB4C_B14141921483_.wvu.FilterData" hidden="1">#REF!</definedName>
    <definedName name="Z_75A1B66F_9EE1_4406_8264_C9BF12113183_.wvu.FilterData" hidden="1">#REF!</definedName>
    <definedName name="Z_7651BD63_D75B_41A5_B133_06AE6A84AE8F_.wvu.FilterData" hidden="1">#REF!</definedName>
    <definedName name="Z_767B7DB4_B657_4E6E_831B_84CA933FFCBE_.wvu.FilterData" hidden="1">#REF!</definedName>
    <definedName name="Z_76FA93EF_40A9_4929_9B4A_2213742C1620_.wvu.FilterData" hidden="1">#REF!</definedName>
    <definedName name="Z_78A33412_D032_45F7_9C2D_D4A31DB937D9_.wvu.FilterData" hidden="1">#REF!</definedName>
    <definedName name="Z_796E4E5E_16C3_474D_B1D5_F6D39CD34051_.wvu.FilterData" hidden="1">#REF!</definedName>
    <definedName name="Z_7BFA9C41_C881_48A8_90C2_F93F8E16E599_.wvu.FilterData" hidden="1">#REF!</definedName>
    <definedName name="Z_7BFBCE1E_B6C5_4BAC_AD95_2B50D2ED28AB_.wvu.FilterData" hidden="1">#REF!</definedName>
    <definedName name="Z_7C6FEBF3_4382_4282_BBB0_E0269BEE42DE_.wvu.FilterData" hidden="1">#REF!</definedName>
    <definedName name="Z_7D057642_92FA_4DD6_84C5_B10B17893E1F_.wvu.FilterData" hidden="1">#REF!</definedName>
    <definedName name="Z_7ED5F3D1_B838_492E_9467_7E7CE6B348ED_.wvu.FilterData" hidden="1">#REF!</definedName>
    <definedName name="Z_8090FD3B_94DF_4ACF_9708_D5B9ADEFD29C_.wvu.FilterData" hidden="1">#REF!</definedName>
    <definedName name="Z_8149A5A7_8307_4FA6_B457_A66B8A6DFABD_.wvu.FilterData" hidden="1">#REF!</definedName>
    <definedName name="Z_819A0FD3_B678_47E8_9DFB_641B3990B590_.wvu.FilterData" hidden="1">#REF!</definedName>
    <definedName name="Z_82999604_BD48_4054_BDCB_CB8B074A34A3_.wvu.FilterData" hidden="1">#REF!</definedName>
    <definedName name="Z_8473B3F0_0740_4E9F_9BAE_9113E5077DE8_.wvu.FilterData" hidden="1">#REF!</definedName>
    <definedName name="Z_85A83A94_71B4_44C8_8B5A_68CAA2461241_.wvu.FilterData" hidden="1">#REF!</definedName>
    <definedName name="Z_86E0C273_91AF_11D7_9C1E_0004231B06E7_.wvu.FilterData" hidden="1">#REF!</definedName>
    <definedName name="Z_87F04A72_68BF_497D_8569_47D1A3B89590_.wvu.FilterData" hidden="1">#REF!</definedName>
    <definedName name="Z_893CBEFD_F317_41F0_BA87_CC1860E1F73B_.wvu.FilterData" hidden="1">#REF!</definedName>
    <definedName name="Z_89D83FA2_2F4F_4275_9074_3A6247C2CDA6_.wvu.FilterData" hidden="1">#REF!</definedName>
    <definedName name="Z_8B2E8E84_1A68_4B75_A867_04E8EAC8E685_.wvu.FilterData" hidden="1">#REF!</definedName>
    <definedName name="Z_8B5FADF8_BAFC_44E0_9D1D_DE21657D83CA_.wvu.FilterData" hidden="1">#REF!</definedName>
    <definedName name="Z_8CBA7976_3F45_4926_8F5C_251343B1DCDB_.wvu.FilterData" hidden="1">#REF!</definedName>
    <definedName name="Z_8D213052_8AFD_4E06_B410_DCB431062572_.wvu.FilterData" hidden="1">#REF!</definedName>
    <definedName name="Z_8EA755F4_0515_4AA0_970C_55F473C7FD9B_.wvu.FilterData" hidden="1">#REF!</definedName>
    <definedName name="Z_8F33F4E3_A14E_4DD4_ADD4_B19023A45B10_.wvu.FilterData" hidden="1">#REF!</definedName>
    <definedName name="Z_901BF8EA_CA8A_411C_8FD3_BCB793FCF48A_.wvu.FilterData" hidden="1">#REF!</definedName>
    <definedName name="Z_9066F505_4944_4582_AAF9_B40B49D59413_.wvu.PrintArea" hidden="1">#REF!</definedName>
    <definedName name="Z_9066F505_4944_4582_AAF9_B40B49D59413_.wvu.PrintTitles" hidden="1">#REF!</definedName>
    <definedName name="Z_9066F505_4944_4582_AAF9_B40B49D59413_.wvu.Rows" hidden="1">#REF!</definedName>
    <definedName name="Z_91488B6D_F045_4050_BA1B_41C2E3B3B10A_.wvu.FilterData" hidden="1">#REF!</definedName>
    <definedName name="Z_92919032_3A1D_4E0A_A8D8_FD23494D13A8_.wvu.FilterData" hidden="1">#REF!</definedName>
    <definedName name="Z_9587B38A_B060_410B_8598_4B23623A371C_.wvu.FilterData" hidden="1">#REF!</definedName>
    <definedName name="Z_96EB0306_BB94_45E8_9D0D_4C07A6623010_.wvu.FilterData" hidden="1">#REF!</definedName>
    <definedName name="Z_97666733_8666_4F9D_9588_AF9B6CF9224C_.wvu.FilterData" hidden="1">#REF!</definedName>
    <definedName name="Z_98599B4F_1D05_4040_9183_E1D7A1DDEB9C_.wvu.FilterData" hidden="1">#REF!</definedName>
    <definedName name="Z_98C8BF36_C172_45C3_8EFB_521E6ACCA0D3_.wvu.FilterData" hidden="1">#REF!</definedName>
    <definedName name="Z_9A372634_7C2D_4502_BF44_0C63FD1FB6D2_.wvu.FilterData" hidden="1">#REF!</definedName>
    <definedName name="Z_9A5CC0D4_28E7_4461_BE2E_802002496535_.wvu.FilterData" hidden="1">#REF!</definedName>
    <definedName name="Z_9C86BF25_210A_4B5C_9F2A_856CA801294A_.wvu.FilterData" hidden="1">#REF!</definedName>
    <definedName name="Z_9C8AF864_7E20_415C_848E_C2849E8CBF0C_.wvu.FilterData" hidden="1">#REF!</definedName>
    <definedName name="Z_9E7B61E2_2701_4257_A261_86548A6D7D7C_.wvu.FilterData" hidden="1">#REF!</definedName>
    <definedName name="Z_A0276843_5A14_4A7A_AD1C_583475FE9ED2_.wvu.FilterData" hidden="1">#REF!</definedName>
    <definedName name="Z_A2CB926C_E33A_4E38_9626_682814771DB1_.wvu.FilterData" hidden="1">#REF!</definedName>
    <definedName name="Z_A320C8A7_8D87_4204_85D4_AE25493D1363_.wvu.FilterData" hidden="1">#REF!</definedName>
    <definedName name="Z_A5F4C2AC_640B_40D9_88C9_69B3215DBE96_.wvu.FilterData" hidden="1">#REF!</definedName>
    <definedName name="Z_A686C168_1672_48B1_ADFD_481A1276CC81_.wvu.FilterData" hidden="1">#REF!</definedName>
    <definedName name="Z_A933351F_4BD3_4901_98D5_53D192BD61DC_.wvu.FilterData" hidden="1">#REF!</definedName>
    <definedName name="Z_AA0BD2F5_1513_40DB_B224_CC27CA57E181_.wvu.FilterData" hidden="1">#REF!</definedName>
    <definedName name="Z_AA329A38_94E6_4014_8D54_EFB48C7FA433_.wvu.FilterData" hidden="1">#REF!</definedName>
    <definedName name="Z_AC5679A6_5A24_441C_BBA3_F0C9D8E8E441_.wvu.FilterData" hidden="1">#REF!</definedName>
    <definedName name="Z_ACE528A7_3516_429C_8E77_FA07F86ED2D8_.wvu.Cols" hidden="1">#REF!</definedName>
    <definedName name="Z_AE302359_F16A_4874_8921_3865B0ECD878_.wvu.FilterData" hidden="1">#REF!</definedName>
    <definedName name="Z_AF0BF736_181F_4A59_8FB9_D3BCA8E591F7_.wvu.FilterData" hidden="1">#REF!</definedName>
    <definedName name="Z_AF12B415_1D2E_4088_9C86_BB0173951217_.wvu.FilterData" hidden="1">#REF!</definedName>
    <definedName name="Z_AF537E87_E5DE_4792_8C82_FFA1FC35463A_.wvu.FilterData" hidden="1">#REF!</definedName>
    <definedName name="Z_B1269BAB_A618_45E5_8379_9ECE98405A14_.wvu.FilterData" hidden="1">#REF!</definedName>
    <definedName name="Z_B20EEB3D_E9E6_496E_8678_B417DDC74718_.wvu.FilterData" hidden="1">#REF!</definedName>
    <definedName name="Z_B3255642_8A6B_11D5_916F_005004920FCB_.wvu.PrintTitles" hidden="1">#REF!</definedName>
    <definedName name="Z_B4864B96_AD18_4114_8AFA_A8BAA8915737_.wvu.FilterData" hidden="1">#REF!</definedName>
    <definedName name="Z_B645C4A8_1830_42C7_9DBF_0F519499A6CE_.wvu.FilterData" hidden="1">#REF!</definedName>
    <definedName name="Z_B7475313_60A1_440E_A07B_6B97978B34F2_.wvu.FilterData" hidden="1">#REF!</definedName>
    <definedName name="Z_B891B51F_1CA2_435F_A819_8A494B08D3EE_.wvu.FilterData" hidden="1">#REF!</definedName>
    <definedName name="Z_B8CE2FA5_D3F2_48A0_8603_A3FBA2808CB4_.wvu.FilterData" hidden="1">#REF!</definedName>
    <definedName name="Z_B9837360_94DA_11D7_9C1E_0004231B06E7_.wvu.FilterData" hidden="1">#REF!</definedName>
    <definedName name="Z_BBE1AFA0_C6F6_4019_9D53_075DA4654337_.wvu.FilterData" hidden="1">#REF!</definedName>
    <definedName name="Z_BC0EED6A_3F15_49FF_A48F_B40AC74B528A_.wvu.FilterData" hidden="1">#REF!</definedName>
    <definedName name="Z_BC4212E8_2D54_48E9_A2B4_66875F86EBEF_.wvu.FilterData" hidden="1">#REF!</definedName>
    <definedName name="Z_BE48B5BF_102F_4FB8_8807_DA126440E01B_.wvu.FilterData" hidden="1">#REF!</definedName>
    <definedName name="Z_BE949522_4A35_4352_9A91_0CE0E28D3461_.wvu.FilterData" hidden="1">#REF!</definedName>
    <definedName name="Z_C1310828_8567_4952_A9D3_7183F1221321_.wvu.FilterData" hidden="1">#REF!</definedName>
    <definedName name="Z_C581774C_2FCD_4906_B930_CCB3F9F9A50B_.wvu.FilterData" hidden="1">#REF!</definedName>
    <definedName name="Z_C67C9A44_7556_4756_AC39_E00F137116ED_.wvu.FilterData" hidden="1">#REF!</definedName>
    <definedName name="Z_C908089F_9A5A_11D7_9C1E_0004231B06E7_.wvu.FilterData" hidden="1">#REF!</definedName>
    <definedName name="Z_C942EE3A_8DBF_41D7_ADAF_F43C01F31E23_.wvu.FilterData" hidden="1">#REF!</definedName>
    <definedName name="Z_CB8FB7EE_B771_11D7_9C1E_0004231B06E7_.wvu.FilterData" hidden="1">#REF!</definedName>
    <definedName name="Z_CB8FB7F1_B771_11D7_9C1E_0004231B06E7_.wvu.FilterData" hidden="1">#REF!</definedName>
    <definedName name="Z_CD48E0DF_E307_492A_9CFD_ADF6DE6ECCFB_.wvu.FilterData" hidden="1">#REF!</definedName>
    <definedName name="Z_CDAD3BC7_95B1_4949_91B3_EAB234D2A550_.wvu.FilterData" hidden="1">#REF!</definedName>
    <definedName name="Z_CE1A6073_4007_44EE_88D3_3C79CF746C78_.wvu.FilterData" hidden="1">#REF!</definedName>
    <definedName name="Z_D0500033_B90B_46E5_BD62_60D0DA033A55_.wvu.FilterData" hidden="1">#REF!</definedName>
    <definedName name="Z_D11C04A2_606C_4EF4_9AD3_4865E5EFAE70_.wvu.FilterData" hidden="1">#REF!</definedName>
    <definedName name="Z_D1371C66_ADFD_11D7_9C1E_0004231B06E7_.wvu.FilterData" hidden="1">#REF!</definedName>
    <definedName name="Z_D1371C82_ADFD_11D7_9C1E_0004231B06E7_.wvu.FilterData" hidden="1">#REF!</definedName>
    <definedName name="Z_D1371C98_ADFD_11D7_9C1E_0004231B06E7_.wvu.FilterData" hidden="1">#REF!</definedName>
    <definedName name="Z_D15727E9_9BC2_420E_AC98_E8E9B60BD754_.wvu.FilterData" hidden="1">#REF!</definedName>
    <definedName name="Z_D371D622_5497_46A4_826D_01F2F492E39D_.wvu.FilterData" hidden="1">#REF!</definedName>
    <definedName name="Z_D3FF2053_BD11_4CA8_9648_A06F387C0C79_.wvu.FilterData" hidden="1">#REF!</definedName>
    <definedName name="Z_D4D6DC3A_302F_4BF4_8221_EFB7EA05B30F_.wvu.FilterData" hidden="1">#REF!</definedName>
    <definedName name="Z_D4FF4BA0_F9BE_4CEE_B334_FBD19DA86BF4_.wvu.FilterData" hidden="1">#REF!</definedName>
    <definedName name="Z_D5810466_54E3_455B_B341_3E7B86FB72D3_.wvu.FilterData" hidden="1">#REF!</definedName>
    <definedName name="Z_D60B1DF7_D653_4F01_B5AD_6A66E578C24F_.wvu.FilterData" hidden="1">#REF!</definedName>
    <definedName name="Z_D684BA0E_B94B_4BF7_8F27_4E3A1924425C_.wvu.FilterData" hidden="1">#REF!</definedName>
    <definedName name="Z_D9443332_B48E_4E65_8F23_AC96FB75A5A9_.wvu.FilterData" hidden="1">#REF!</definedName>
    <definedName name="Z_DAA35AF8_874B_4671_A195_994D9700CFB0_.wvu.FilterData" hidden="1">#REF!</definedName>
    <definedName name="Z_DB31579F_8662_40C5_BB19_660F0F7B70E5_.wvu.FilterData" hidden="1">#REF!</definedName>
    <definedName name="Z_DB349C77_BBCF_4BF0_8906_770DC9CEB279_.wvu.FilterData" hidden="1">#REF!</definedName>
    <definedName name="Z_DBA9A16F_C863_43D6_BEF6_4907AD7FF11A_.wvu.FilterData" hidden="1">#REF!</definedName>
    <definedName name="Z_DC39DC03_5BF1_41DE_A26D_8DA774859990_.wvu.FilterData" hidden="1">#REF!</definedName>
    <definedName name="Z_DC4BE57B_E9B6_4823_AAB5_0B4AD0A1C9F8_.wvu.FilterData" hidden="1">#REF!</definedName>
    <definedName name="Z_DD40B456_B833_4D7B_A3C9_47AA2D6A0830_.wvu.FilterData" hidden="1">#REF!</definedName>
    <definedName name="Z_DDC9046D_2716_4CA3_9471_7091058B3C12_.wvu.FilterData" hidden="1">#REF!</definedName>
    <definedName name="Z_DF3B204A_F509_4DA0_BCB7_F89536B5FEBF_.wvu.FilterData" hidden="1">#REF!</definedName>
    <definedName name="Z_E3FFE9E0_6C4F_4FB4_A56E_FBE96871B5C8_.wvu.Cols" hidden="1">#REF!,#REF!</definedName>
    <definedName name="Z_E3FFE9E0_6C4F_4FB4_A56E_FBE96871B5C8_.wvu.FilterData" hidden="1">#REF!</definedName>
    <definedName name="Z_E42D429F_E4E8_41D2_9176_83C726BAF8E3_.wvu.FilterData" hidden="1">#REF!</definedName>
    <definedName name="Z_E491B72F_902A_11D7_9C1E_0004231B06E7_.wvu.FilterData" hidden="1">#REF!</definedName>
    <definedName name="Z_E491B77E_902A_11D7_9C1E_0004231B06E7_.wvu.FilterData" hidden="1">#REF!</definedName>
    <definedName name="Z_E4A534A8_CD89_4423_9F3F_8134353F3CAC_.wvu.FilterData" hidden="1">#REF!</definedName>
    <definedName name="Z_E4E1532E_DC25_47E7_8CAC_8E70342889F1_.wvu.FilterData" hidden="1">#REF!</definedName>
    <definedName name="Z_E74731A0_5CEF_4B97_AFDD_B1DCA3953478_.wvu.FilterData" hidden="1">#REF!</definedName>
    <definedName name="Z_E7582842_0D7F_4174_A223_2AB1DD8C9047_.wvu.FilterData" hidden="1">#REF!</definedName>
    <definedName name="Z_E7E3B215_0D2B_424B_B9A9_091ABF42A9B2_.wvu.FilterData" hidden="1">#REF!</definedName>
    <definedName name="Z_E833D806_B408_4951_8EA0_84873DD98CC6_.wvu.FilterData" hidden="1">#REF!</definedName>
    <definedName name="Z_E84FA520_D8B7_472A_9913_1B62E15D532D_.wvu.FilterData" hidden="1">#REF!</definedName>
    <definedName name="Z_E856A7FB_F0DE_4CE8_85BE_FBD78193AF0B_.wvu.FilterData" hidden="1">#REF!</definedName>
    <definedName name="Z_E8B81FC8_C17A_451A_B505_641DE5886245_.wvu.FilterData" hidden="1">#REF!</definedName>
    <definedName name="Z_EA900FC6_5EC3_4E18_9ED9_37FAC8862A4C_.wvu.FilterData" hidden="1">#REF!</definedName>
    <definedName name="Z_EC12F0CE_807C_4CF2_B52D_1E5945238C05_.wvu.FilterData" hidden="1">#REF!</definedName>
    <definedName name="Z_EC74CDC8_4C91_4C55_BE9F_24DF0A9793FF_.wvu.FilterData" hidden="1">#REF!</definedName>
    <definedName name="Z_ED3E33DB_FBFA_4FDE_929F_AD12074101A3_.wvu.FilterData" hidden="1">#REF!</definedName>
    <definedName name="Z_EE21DFC7_81AA_40DA_B313_9BC83DA41DD6_.wvu.FilterData" hidden="1">#REF!</definedName>
    <definedName name="Z_EE5311D7_3149_40F1_82F5_7EEC6ACB6C85_.wvu.FilterData" hidden="1">#REF!</definedName>
    <definedName name="Z_EEE8CD21_C3A5_4786_B8BE_B9E68F0A5347_.wvu.FilterData" hidden="1">#REF!</definedName>
    <definedName name="Z_F0522591_4E2E_4AD6_B99B_B69551272A68_.wvu.FilterData" hidden="1">#REF!</definedName>
    <definedName name="Z_F1326E0B_5376_4D6E_9BC8_214AA525DE83_.wvu.FilterData" hidden="1">#REF!</definedName>
    <definedName name="Z_F2145668_4090_4220_8C3C_9C4DCC7A01D1_.wvu.Cols" hidden="1">#REF!</definedName>
    <definedName name="Z_F2145668_4090_4220_8C3C_9C4DCC7A01D1_.wvu.FilterData" hidden="1">#REF!</definedName>
    <definedName name="Z_F300E2D5_C458_4E4B_AB71_FF06367EF684_.wvu.FilterData" hidden="1">#REF!</definedName>
    <definedName name="Z_F3F443DB_8EE1_48F9_9BF4_EAF21EDD719F_.wvu.FilterData" hidden="1">#REF!</definedName>
    <definedName name="Z_F6923408_DB58_4A59_8717_D0133A922204_.wvu.FilterData" hidden="1">#REF!</definedName>
    <definedName name="Z_F9CB3A99_6D24_412C_93C4_575819594890_.wvu.FilterData" hidden="1">#REF!</definedName>
    <definedName name="Z_FA40CB26_17FE_4901_96A4_2176E8FA5EEE_.wvu.FilterData" hidden="1">#REF!</definedName>
    <definedName name="Z_FC4D1412_4B52_4393_A184_1BAD70B9C231_.wvu.FilterData" hidden="1">#REF!</definedName>
    <definedName name="Z_FD259A29_AD61_4284_9BC7_5C3B20DD002B_.wvu.FilterData" hidden="1">#REF!</definedName>
    <definedName name="Z_FDFF93A6_D487_497C_8FA1_B8636451E74C_.wvu.FilterData" hidden="1">#REF!</definedName>
    <definedName name="Z_FE37516D_56E4_424C_8DE6_6B2719F76EF4_.wvu.FilterData" hidden="1">#REF!</definedName>
    <definedName name="Z_FEBB3479_FB57_4CDC_BCCD_5D8B83257FC7_.wvu.FilterData" hidden="1">#REF!</definedName>
    <definedName name="zcdçskld" hidden="1">{#N/A,#N/A,FALSE,"Plan1";#N/A,#N/A,FALSE,"Plan2"}</definedName>
    <definedName name="zcsdrfrt" hidden="1">{#N/A,#N/A,FALSE,"Plan1";#N/A,#N/A,FALSE,"Plan2"}</definedName>
    <definedName name="ZDRE" hidden="1">{#N/A,#N/A,FALSE,"Plan1";#N/A,#N/A,FALSE,"Plan2"}</definedName>
    <definedName name="ZEZE">#REF!</definedName>
    <definedName name="ZIN">#REF!</definedName>
    <definedName name="ZINS">#REF!</definedName>
    <definedName name="ZSADF" hidden="1">{#N/A,#N/A,FALSE,"Plan1";#N/A,#N/A,FALSE,"Plan2"}</definedName>
    <definedName name="zsads" hidden="1">{#N/A,#N/A,FALSE,"Plan1";#N/A,#N/A,FALSE,"Plan2"}</definedName>
    <definedName name="ZSDFSETR" hidden="1">#REF!</definedName>
    <definedName name="zsds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ccdf" hidden="1">{#N/A,#N/A,FALSE,"Plan1";#N/A,#N/A,FALSE,"Plan2"}</definedName>
    <definedName name="zxcdsf" hidden="1">#REF!</definedName>
    <definedName name="zxcfdstrrt" hidden="1">{#N/A,#N/A,FALSE,"Plan1";#N/A,#N/A,FALSE,"Plan2"}</definedName>
    <definedName name="zxcx" hidden="1">{#N/A,#N/A,FALSE,"Plan1";#N/A,#N/A,FALSE,"Plan2"}</definedName>
    <definedName name="ZXFCR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HDFRHDF" hidden="1">{#N/A,#N/A,FALSE,"Plan1";#N/A,#N/A,FALSE,"Plan2"}</definedName>
    <definedName name="ZZ">#REF!</definedName>
    <definedName name="zzdftr" hidden="1">{#N/A,#N/A,FALSE,"Plan1";#N/A,#N/A,FALSE,"Plan2"}</definedName>
    <definedName name="zzz">#REF!</definedName>
    <definedName name="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 hidden="1">{"'장비'!$A$3:$M$12"}</definedName>
    <definedName name="가나다" hidden="1">#REF!</definedName>
    <definedName name="검증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조건" hidden="1">#REF!</definedName>
    <definedName name="계약고햔황2" hidden="1">#REF!</definedName>
    <definedName name="계약고현황2" hidden="1">#REF!</definedName>
    <definedName name="고문" hidden="1">{#N/A,#N/A,FALSE,"현장 NCR 분석";#N/A,#N/A,FALSE,"현장품질감사";#N/A,#N/A,FALSE,"현장품질감사"}</definedName>
    <definedName name="고문2" hidden="1">{#N/A,#N/A,FALSE,"현장 NCR 분석";#N/A,#N/A,FALSE,"현장품질감사";#N/A,#N/A,FALSE,"현장품질감사"}</definedName>
    <definedName name="공공공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 hidden="1">{#N/A,#N/A,FALSE,"ENG'G(보호계전기)"}</definedName>
    <definedName name="공급표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ㄴㄴ" hidden="1">#REF!</definedName>
    <definedName name="내역" hidden="1">{#N/A,#N/A,FALSE,"CCTV"}</definedName>
    <definedName name="ㄷㄳ" hidden="1">{"'장비'!$A$3:$M$12"}</definedName>
    <definedName name="ㄷㄷㄷㄷ" hidden="1">{"'장비'!$A$3:$M$12"}</definedName>
    <definedName name="ㄷㅈㅂㄷ" hidden="1">{"'장비'!$A$3:$M$12"}</definedName>
    <definedName name="당초계획" hidden="1">#REF!</definedName>
    <definedName name="도면외주" hidden="1">#REF!</definedName>
    <definedName name="도면용역비" hidden="1">#REF!</definedName>
    <definedName name="ㄹㄹ" hidden="1">{"'장비'!$A$3:$M$12"}</definedName>
    <definedName name="ㄹㄹㄹ" hidden="1">#REF!</definedName>
    <definedName name="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러러러" hidden="1">{#N/A,#N/A,FALSE,"현장 NCR 분석";#N/A,#N/A,FALSE,"현장품질감사";#N/A,#N/A,FALSE,"현장품질감사"}</definedName>
    <definedName name="ㅁ" hidden="1">{#N/A,#N/A,FALSE,"명세표"}</definedName>
    <definedName name="ㅁㄱ해ㅜ5" hidden="1">#REF!</definedName>
    <definedName name="ㅁ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" hidden="1">{#N/A,#N/A,FALSE,"명세표"}</definedName>
    <definedName name="ㅁㅁㅁ" hidden="1">#REF!</definedName>
    <definedName name="ㅁㅁㅁㅁㅁㅁㅁㅁㅁㅁㅁ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머" hidden="1">{#N/A,#N/A,FALSE,"명세표"}</definedName>
    <definedName name="ㅂㅂㅂㅂ" hidden="1">{#N/A,#N/A,FALSE,"명세표"}</definedName>
    <definedName name="ㅂㅂㅂㅂㅂㅂㅂ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 hidden="1">{"'장비'!$A$3:$M$12"}</definedName>
    <definedName name="ㅂㅈㄷ" hidden="1">{"'장비'!$A$3:$M$12"}</definedName>
    <definedName name="ㅂㅈㄷㄷㅂㅈㅈㅂ" hidden="1">{"'장비'!$A$3:$M$12"}</definedName>
    <definedName name="ㅂㅈㄷㅂㅈ" hidden="1">{"'장비'!$A$3:$M$12"}</definedName>
    <definedName name="ㅂㅈㄷㅂㅈㅈㅂㄷ" hidden="1">{"'장비'!$A$3:$M$12"}</definedName>
    <definedName name="ㅂㅈㄷㅈㅂㄷ" hidden="1">{"'장비'!$A$3:$M$12"}</definedName>
    <definedName name="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충" hidden="1">#REF!</definedName>
    <definedName name="보호" hidden="1">{#N/A,#N/A,FALSE,"ENG'G(보호계전기)"}</definedName>
    <definedName name="본공사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대공사" hidden="1">#REF!</definedName>
    <definedName name="부손익" hidden="1">{#N/A,#N/A,FALSE,"현장 NCR 분석";#N/A,#N/A,FALSE,"현장품질감사";#N/A,#N/A,FALSE,"현장품질감사"}</definedName>
    <definedName name="분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ㄱㄱㄷ" hidden="1">{"'장비'!$A$3:$M$12"}</definedName>
    <definedName name="ㅅㅅㅅㅅㅅ" hidden="1">{"'장비'!$A$3:$M$12"}</definedName>
    <definedName name="사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계획수정" hidden="1">#REF!</definedName>
    <definedName name="사업관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부양식2" hidden="1">#REF!</definedName>
    <definedName name="산출" hidden="1">#REF!</definedName>
    <definedName name="새안" hidden="1">{#N/A,#N/A,FALSE,"TABLE"}</definedName>
    <definedName name="석항" hidden="1">{#N/A,#N/A,FALSE,"명세표"}</definedName>
    <definedName name="설계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손익계산서" hidden="1">#REF!</definedName>
    <definedName name="쇼ㅗㅎ로" hidden="1">{"'장비'!$A$3:$M$12"}</definedName>
    <definedName name="수" hidden="1">#REF!</definedName>
    <definedName name="수당" hidden="1">#N/A</definedName>
    <definedName name="신설" hidden="1">{#N/A,#N/A,FALSE,"명세표"}</definedName>
    <definedName name="실적총괄1" hidden="1">#REF!</definedName>
    <definedName name="실총" hidden="1">#REF!</definedName>
    <definedName name="ㅇㄹㄹ" hidden="1">#REF!</definedName>
    <definedName name="ㅇ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ㅇㅇ" hidden="1">#REF!</definedName>
    <definedName name="양식변경1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월" hidden="1">#REF!</definedName>
    <definedName name="이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ㅈ" hidden="1">{#N/A,#N/A,FALSE,"명세표"}</definedName>
    <definedName name="ㅈㅈㅈㅈ" hidden="1">{#N/A,#N/A,FALSE,"명세표"}</definedName>
    <definedName name="자미" hidden="1">{#N/A,#N/A,FALSE,"명세표"}</definedName>
    <definedName name="자운" hidden="1">#REF!</definedName>
    <definedName name="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계장금액" hidden="1">#REF!</definedName>
    <definedName name="전기사양_SAMPL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선조장" hidden="1">#REF!</definedName>
    <definedName name="조직표현장" hidden="1">#REF!</definedName>
    <definedName name="종합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중량비교검토" hidden="1">{#N/A,#N/A,FALSE,"ENG'G(보호계전기)"}</definedName>
    <definedName name="집계" hidden="1">{#N/A,#N/A,FALSE,"명세표"}</definedName>
    <definedName name="철골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ㅋㅁ" hidden="1">{#N/A,#N/A,FALSE,"명세표"}</definedName>
    <definedName name="ㅋㅋㅋ" hidden="1">{#N/A,#N/A,FALSE,"명세표"}</definedName>
    <definedName name="ㅌㅌ" hidden="1">{#N/A,#N/A,FALSE,"명세표"}</definedName>
    <definedName name="토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 hidden="1">{"'장비'!$A$3:$M$12"}</definedName>
    <definedName name="하하하" hidden="1">{#N/A,#N/A,FALSE,"명세표"}</definedName>
    <definedName name="한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호호" hidden="1">{#N/A,#N/A,FALSE,"명세표"}</definedName>
    <definedName name="ㅏㅏㅏ" hidden="1">{#N/A,#N/A,FALSE,"명세표"}</definedName>
    <definedName name="ㅔㅔ" hidden="1">{#N/A,#N/A,FALSE,"명세표"}</definedName>
    <definedName name="ㅔㅔㅔㅔ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홓ㅎ로" hidden="1">{"'장비'!$A$3:$M$12"}</definedName>
    <definedName name="ㅗㅗ" hidden="1">{#N/A,#N/A,FALSE,"명세표"}</definedName>
    <definedName name="ㅗㅗㅗㅗㅗ" hidden="1">{"'장비'!$A$3:$M$12"}</definedName>
    <definedName name="ㅛ" hidden="1">{"'장비'!$A$3:$M$12"}</definedName>
    <definedName name="ㅛㅕㅛㅕㅛ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 hidden="1">{"'장비'!$A$3:$M$12"}</definedName>
    <definedName name="ㅜ" hidden="1">{#N/A,#N/A,FALSE,"명세표"}</definedName>
    <definedName name="ㅠㅠ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ㅡㅡ" hidden="1">{#N/A,#N/A,FALSE,"명세표"}</definedName>
  </definedNames>
  <calcPr calcId="162913" iterate="1"/>
  <pivotCaches>
    <pivotCache cacheId="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AF10" i="5" l="1"/>
  <c r="AD10" i="5"/>
  <c r="AA10" i="5"/>
  <c r="AB10" i="5" s="1"/>
  <c r="Z10" i="5"/>
  <c r="X10" i="5"/>
  <c r="V10" i="5"/>
  <c r="N10" i="5"/>
  <c r="L10" i="5"/>
  <c r="J10" i="5"/>
  <c r="H10" i="5"/>
  <c r="F10" i="5"/>
  <c r="D10" i="5"/>
  <c r="AF13" i="5"/>
  <c r="AD13" i="5"/>
  <c r="AA13" i="5"/>
  <c r="AB13" i="5" s="1"/>
  <c r="Z13" i="5"/>
  <c r="X13" i="5"/>
  <c r="V13" i="5"/>
  <c r="N13" i="5"/>
  <c r="L13" i="5"/>
  <c r="J13" i="5"/>
  <c r="H13" i="5"/>
  <c r="F13" i="5"/>
  <c r="D13" i="5"/>
  <c r="AF12" i="5"/>
  <c r="AD12" i="5"/>
  <c r="AA12" i="5"/>
  <c r="AB12" i="5" s="1"/>
  <c r="Z12" i="5"/>
  <c r="X12" i="5"/>
  <c r="V12" i="5"/>
  <c r="N12" i="5"/>
  <c r="L12" i="5"/>
  <c r="J12" i="5"/>
  <c r="H12" i="5"/>
  <c r="F12" i="5"/>
  <c r="D12" i="5"/>
  <c r="K24" i="5"/>
  <c r="I24" i="5" l="1"/>
  <c r="N23" i="5"/>
  <c r="N22" i="5"/>
  <c r="N21" i="5"/>
  <c r="N20" i="5"/>
  <c r="N19" i="5"/>
  <c r="N18" i="5"/>
  <c r="N17" i="5"/>
  <c r="N16" i="5"/>
  <c r="N15" i="5"/>
  <c r="N14" i="5"/>
  <c r="N11" i="5"/>
  <c r="N9" i="5"/>
  <c r="N8" i="5"/>
  <c r="L9" i="5"/>
  <c r="L11" i="5"/>
  <c r="L14" i="5"/>
  <c r="L15" i="5"/>
  <c r="L16" i="5"/>
  <c r="L17" i="5"/>
  <c r="L18" i="5"/>
  <c r="L19" i="5"/>
  <c r="L20" i="5"/>
  <c r="L21" i="5"/>
  <c r="L22" i="5"/>
  <c r="L23" i="5"/>
  <c r="L8" i="5"/>
  <c r="J9" i="5"/>
  <c r="J11" i="5"/>
  <c r="J14" i="5"/>
  <c r="J15" i="5"/>
  <c r="J16" i="5"/>
  <c r="J17" i="5"/>
  <c r="J18" i="5"/>
  <c r="J19" i="5"/>
  <c r="J20" i="5"/>
  <c r="J21" i="5"/>
  <c r="J22" i="5"/>
  <c r="J23" i="5"/>
  <c r="J8" i="5"/>
  <c r="M24" i="5" l="1"/>
  <c r="N24" i="5"/>
  <c r="J24" i="5"/>
  <c r="L24" i="5"/>
  <c r="H9" i="5"/>
  <c r="H11" i="5"/>
  <c r="H14" i="5"/>
  <c r="H15" i="5"/>
  <c r="H16" i="5"/>
  <c r="H17" i="5"/>
  <c r="H18" i="5"/>
  <c r="H19" i="5"/>
  <c r="H20" i="5"/>
  <c r="H21" i="5"/>
  <c r="H22" i="5"/>
  <c r="H23" i="5"/>
  <c r="H8" i="5"/>
  <c r="F9" i="5"/>
  <c r="F11" i="5"/>
  <c r="F14" i="5"/>
  <c r="F15" i="5"/>
  <c r="F16" i="5"/>
  <c r="F17" i="5"/>
  <c r="F18" i="5"/>
  <c r="F19" i="5"/>
  <c r="F20" i="5"/>
  <c r="F21" i="5"/>
  <c r="F22" i="5"/>
  <c r="F23" i="5"/>
  <c r="F8" i="5"/>
  <c r="D9" i="5"/>
  <c r="D11" i="5"/>
  <c r="D14" i="5"/>
  <c r="D15" i="5"/>
  <c r="D16" i="5"/>
  <c r="D17" i="5"/>
  <c r="D18" i="5"/>
  <c r="D19" i="5"/>
  <c r="D20" i="5"/>
  <c r="D21" i="5"/>
  <c r="D22" i="5"/>
  <c r="D23" i="5"/>
  <c r="D8" i="5"/>
  <c r="O4" i="5"/>
  <c r="B3" i="7" l="1"/>
  <c r="I5" i="7" l="1"/>
  <c r="H3" i="7"/>
  <c r="J3" i="7" s="1"/>
  <c r="Q24" i="5"/>
  <c r="L7" i="7" l="1"/>
  <c r="AE502" i="1" l="1"/>
  <c r="C24" i="11" l="1"/>
  <c r="D23" i="11"/>
  <c r="C23" i="11"/>
  <c r="E21" i="11"/>
  <c r="E20" i="11"/>
  <c r="E19" i="11"/>
  <c r="E18" i="11"/>
  <c r="E17" i="11"/>
  <c r="E16" i="11"/>
  <c r="E15" i="11"/>
  <c r="E14" i="11"/>
  <c r="E13" i="11"/>
  <c r="I12" i="11"/>
  <c r="E12" i="11"/>
  <c r="E11" i="11"/>
  <c r="E10" i="11"/>
  <c r="E9" i="11"/>
  <c r="E8" i="11"/>
  <c r="E7" i="11"/>
  <c r="E6" i="11"/>
  <c r="E5" i="11"/>
  <c r="E4" i="11"/>
  <c r="E3" i="11"/>
  <c r="E23" i="11" s="1"/>
  <c r="F23" i="11" l="1"/>
  <c r="I8" i="11"/>
  <c r="I14" i="11" s="1"/>
  <c r="G24" i="5" l="1"/>
  <c r="H24" i="5" l="1"/>
  <c r="E24" i="5"/>
  <c r="F24" i="5" l="1"/>
  <c r="F7" i="7" l="1"/>
  <c r="AD9" i="5" l="1"/>
  <c r="AD11" i="5"/>
  <c r="AD14" i="5"/>
  <c r="AD15" i="5"/>
  <c r="AD16" i="5"/>
  <c r="AD17" i="5"/>
  <c r="AD18" i="5"/>
  <c r="AD19" i="5"/>
  <c r="AD20" i="5"/>
  <c r="AD21" i="5"/>
  <c r="AD22" i="5"/>
  <c r="AD23" i="5"/>
  <c r="AD8" i="5"/>
  <c r="AB9" i="5"/>
  <c r="AB17" i="5"/>
  <c r="Z9" i="5"/>
  <c r="Z11" i="5"/>
  <c r="Z14" i="5"/>
  <c r="Z15" i="5"/>
  <c r="Z16" i="5"/>
  <c r="Z17" i="5"/>
  <c r="Z18" i="5"/>
  <c r="Z19" i="5"/>
  <c r="Z20" i="5"/>
  <c r="Z21" i="5"/>
  <c r="Z22" i="5"/>
  <c r="Z23" i="5"/>
  <c r="Z8" i="5"/>
  <c r="AD24" i="5" l="1"/>
  <c r="AA23" i="5"/>
  <c r="AB23" i="5" s="1"/>
  <c r="AA22" i="5"/>
  <c r="AB22" i="5" s="1"/>
  <c r="AA21" i="5"/>
  <c r="AB21" i="5" s="1"/>
  <c r="AA20" i="5"/>
  <c r="AB20" i="5" s="1"/>
  <c r="AA19" i="5"/>
  <c r="AB19" i="5" s="1"/>
  <c r="AA18" i="5"/>
  <c r="AB18" i="5" s="1"/>
  <c r="AA16" i="5"/>
  <c r="AB16" i="5" s="1"/>
  <c r="AA15" i="5"/>
  <c r="AA14" i="5"/>
  <c r="AB14" i="5" s="1"/>
  <c r="AA11" i="5"/>
  <c r="AB11" i="5" s="1"/>
  <c r="AA8" i="5"/>
  <c r="AB8" i="5" s="1"/>
  <c r="Y24" i="5"/>
  <c r="Z24" i="5"/>
  <c r="AA24" i="5" l="1"/>
  <c r="AB15" i="5"/>
  <c r="AB24" i="5" s="1"/>
  <c r="C24" i="5" l="1"/>
  <c r="D24" i="5" l="1"/>
  <c r="X23" i="5" l="1"/>
  <c r="X22" i="5"/>
  <c r="X20" i="5"/>
  <c r="X15" i="5"/>
  <c r="X14" i="5"/>
  <c r="X11" i="5"/>
  <c r="X9" i="5"/>
  <c r="P24" i="5" l="1"/>
  <c r="D19" i="1" l="1"/>
  <c r="X18" i="5" l="1"/>
  <c r="X19" i="5"/>
  <c r="X21" i="5"/>
  <c r="W17" i="5"/>
  <c r="X17" i="5" s="1"/>
  <c r="W16" i="5"/>
  <c r="X16" i="5" s="1"/>
  <c r="W8" i="5"/>
  <c r="X8" i="5" s="1"/>
  <c r="V9" i="5"/>
  <c r="V11" i="5"/>
  <c r="V14" i="5"/>
  <c r="V15" i="5"/>
  <c r="V16" i="5"/>
  <c r="V17" i="5"/>
  <c r="V18" i="5"/>
  <c r="V19" i="5"/>
  <c r="V20" i="5"/>
  <c r="V21" i="5"/>
  <c r="V22" i="5"/>
  <c r="V23" i="5"/>
  <c r="V8" i="5"/>
  <c r="AF9" i="5"/>
  <c r="AF11" i="5"/>
  <c r="AF14" i="5"/>
  <c r="AF15" i="5"/>
  <c r="AF16" i="5"/>
  <c r="AF17" i="5"/>
  <c r="AF18" i="5"/>
  <c r="AF19" i="5"/>
  <c r="AF20" i="5"/>
  <c r="AF21" i="5"/>
  <c r="AF22" i="5"/>
  <c r="AF23" i="5"/>
  <c r="AF8" i="5" l="1"/>
  <c r="U24" i="5"/>
  <c r="W24" i="5"/>
  <c r="W26" i="5" s="1"/>
  <c r="AC24" i="5"/>
  <c r="AE24" i="5"/>
  <c r="X24" i="5" l="1"/>
  <c r="V24" i="5"/>
  <c r="AF24" i="5"/>
  <c r="I15" i="11" l="1"/>
  <c r="I16" i="11" s="1"/>
  <c r="C13" i="1" l="1"/>
  <c r="R18" i="5" s="1"/>
  <c r="C11" i="1" l="1"/>
  <c r="R16" i="5" s="1"/>
  <c r="B2" i="2" l="1"/>
  <c r="B3" i="1" s="1"/>
  <c r="D2" i="2" l="1"/>
  <c r="C3" i="1"/>
  <c r="R8" i="5" l="1"/>
  <c r="B21" i="2" l="1"/>
  <c r="D21" i="2" l="1"/>
  <c r="B13" i="2" l="1"/>
  <c r="B9" i="2"/>
  <c r="B20" i="2"/>
  <c r="B8" i="2"/>
  <c r="B18" i="2"/>
  <c r="B16" i="2"/>
  <c r="B14" i="2"/>
  <c r="B12" i="2"/>
  <c r="B4" i="2"/>
  <c r="B15" i="2"/>
  <c r="B19" i="2"/>
  <c r="B17" i="2"/>
  <c r="B6" i="2"/>
  <c r="B10" i="2"/>
  <c r="B11" i="2"/>
  <c r="B7" i="2"/>
  <c r="B3" i="2" l="1"/>
  <c r="D3" i="2" s="1"/>
  <c r="B10" i="1"/>
  <c r="C10" i="1" s="1"/>
  <c r="R15" i="5" s="1"/>
  <c r="D8" i="2"/>
  <c r="D7" i="2"/>
  <c r="B7" i="1"/>
  <c r="C7" i="1" s="1"/>
  <c r="R12" i="5" s="1"/>
  <c r="B17" i="1"/>
  <c r="C17" i="1" s="1"/>
  <c r="R22" i="5" s="1"/>
  <c r="D19" i="2"/>
  <c r="B9" i="1"/>
  <c r="C9" i="1" s="1"/>
  <c r="R14" i="5" s="1"/>
  <c r="D10" i="2"/>
  <c r="D17" i="2"/>
  <c r="D12" i="2"/>
  <c r="B5" i="2"/>
  <c r="B5" i="1" s="1"/>
  <c r="B14" i="1"/>
  <c r="C14" i="1" s="1"/>
  <c r="R19" i="5" s="1"/>
  <c r="D15" i="2"/>
  <c r="D11" i="2"/>
  <c r="D6" i="2"/>
  <c r="B6" i="1"/>
  <c r="C6" i="1" s="1"/>
  <c r="R11" i="5" s="1"/>
  <c r="D4" i="2"/>
  <c r="D14" i="2"/>
  <c r="B18" i="1"/>
  <c r="C18" i="1" s="1"/>
  <c r="R23" i="5" s="1"/>
  <c r="D20" i="2"/>
  <c r="B12" i="1"/>
  <c r="C12" i="1" s="1"/>
  <c r="R17" i="5" s="1"/>
  <c r="D13" i="2"/>
  <c r="B16" i="1"/>
  <c r="C16" i="1" s="1"/>
  <c r="R21" i="5" s="1"/>
  <c r="D18" i="2"/>
  <c r="B15" i="1"/>
  <c r="C15" i="1" s="1"/>
  <c r="R20" i="5" s="1"/>
  <c r="D16" i="2"/>
  <c r="B8" i="1"/>
  <c r="C8" i="1" s="1"/>
  <c r="R13" i="5" s="1"/>
  <c r="D9" i="2"/>
  <c r="B4" i="1" l="1"/>
  <c r="C4" i="1" s="1"/>
  <c r="F23" i="2"/>
  <c r="B22" i="2"/>
  <c r="C16" i="2" s="1"/>
  <c r="C5" i="1"/>
  <c r="R10" i="5" s="1"/>
  <c r="D5" i="2"/>
  <c r="D22" i="2" s="1"/>
  <c r="D23" i="2" s="1"/>
  <c r="C19" i="2" l="1"/>
  <c r="C11" i="2"/>
  <c r="C9" i="2"/>
  <c r="C20" i="2"/>
  <c r="C18" i="2"/>
  <c r="C13" i="2"/>
  <c r="C7" i="2"/>
  <c r="C14" i="2"/>
  <c r="C12" i="2"/>
  <c r="C21" i="2"/>
  <c r="C17" i="2"/>
  <c r="C8" i="2"/>
  <c r="C4" i="2"/>
  <c r="C2" i="2"/>
  <c r="C15" i="2"/>
  <c r="C5" i="2"/>
  <c r="C3" i="2"/>
  <c r="C10" i="2"/>
  <c r="B19" i="1"/>
  <c r="D3" i="7"/>
  <c r="D10" i="7" s="1"/>
  <c r="C6" i="2"/>
  <c r="R9" i="5"/>
  <c r="C19" i="1"/>
  <c r="D19" i="7" l="1"/>
  <c r="D11" i="7"/>
  <c r="D12" i="7"/>
  <c r="D20" i="7"/>
  <c r="D7" i="7"/>
  <c r="D6" i="7"/>
  <c r="C22" i="2"/>
  <c r="D8" i="7"/>
  <c r="D15" i="7"/>
  <c r="J7" i="7"/>
  <c r="D13" i="7"/>
  <c r="D21" i="7"/>
  <c r="D18" i="7"/>
  <c r="D4" i="7"/>
  <c r="D9" i="7"/>
  <c r="J6" i="7"/>
  <c r="J4" i="7"/>
  <c r="J9" i="7"/>
  <c r="D16" i="7"/>
  <c r="D17" i="7"/>
  <c r="J8" i="7"/>
  <c r="D14" i="7"/>
  <c r="D5" i="7"/>
  <c r="J5" i="7"/>
</calcChain>
</file>

<file path=xl/comments1.xml><?xml version="1.0" encoding="utf-8"?>
<comments xmlns="http://schemas.openxmlformats.org/spreadsheetml/2006/main">
  <authors>
    <author>Larissa Oliveira</author>
    <author>tc={2BD625B1-ABDE-4BB2-B4E5-9585C5E73455}</author>
    <author>tc={E7011368-3FE6-4A88-B09A-0C8D568432B3}</author>
  </authors>
  <commentList>
    <comment ref="G7" authorId="0" shapeId="0">
      <text>
        <r>
          <rPr>
            <b/>
            <sz val="9"/>
            <color indexed="81"/>
            <rFont val="Segoe UI"/>
            <family val="2"/>
          </rPr>
          <t>Larissa Oliveira:</t>
        </r>
        <r>
          <rPr>
            <sz val="9"/>
            <color indexed="81"/>
            <rFont val="Segoe UI"/>
            <family val="2"/>
          </rPr>
          <t xml:space="preserve">
VALOR SEM IMPREVISTOS
</t>
        </r>
      </text>
    </comment>
    <comment ref="G9" authorId="0" shapeId="0">
      <text>
        <r>
          <rPr>
            <b/>
            <sz val="9"/>
            <color indexed="81"/>
            <rFont val="Segoe UI"/>
            <family val="2"/>
          </rPr>
          <t>Larissa Oliveira:</t>
        </r>
        <r>
          <rPr>
            <sz val="9"/>
            <color indexed="81"/>
            <rFont val="Segoe UI"/>
            <family val="2"/>
          </rPr>
          <t xml:space="preserve">
VERBA DE ESCAVAÇÃO REPASSADA PELO RAVELLO, E FOI CONSIDERADO SOMENTE ESCAVAÇÃO COM BOTA FORA DE BLOCOS BALDRAMES E LASTRO DE BRITA</t>
        </r>
      </text>
    </comment>
    <comment ref="I10" authorId="1" shapeId="0">
      <text>
        <r>
          <rPr>
            <sz val="11"/>
            <color theme="1"/>
            <rFont val="Calibri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Considerando contenção
</t>
        </r>
      </text>
    </comment>
    <comment ref="K10" authorId="2" shapeId="0">
      <text>
        <r>
          <rPr>
            <sz val="11"/>
            <color theme="1"/>
            <rFont val="Calibri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Considerando contenção
</t>
        </r>
      </text>
    </comment>
    <comment ref="I11" authorId="1" shapeId="0">
      <text>
        <r>
          <rPr>
            <sz val="11"/>
            <color theme="1"/>
            <rFont val="Calibri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Considerando contenção
</t>
        </r>
      </text>
    </comment>
    <comment ref="K11" authorId="2" shapeId="0">
      <text>
        <r>
          <rPr>
            <sz val="11"/>
            <color theme="1"/>
            <rFont val="Calibri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Considerando contenção
</t>
        </r>
      </text>
    </comment>
  </commentList>
</comments>
</file>

<file path=xl/sharedStrings.xml><?xml version="1.0" encoding="utf-8"?>
<sst xmlns="http://schemas.openxmlformats.org/spreadsheetml/2006/main" count="249" uniqueCount="133">
  <si>
    <t>ETAPA</t>
  </si>
  <si>
    <t>VALOR</t>
  </si>
  <si>
    <t>VALOR / m²</t>
  </si>
  <si>
    <t>MOVIMENTAÇÃO DE TERRA</t>
  </si>
  <si>
    <t>INFRAESTRUTURA</t>
  </si>
  <si>
    <t>SUPRAESTRUTURA</t>
  </si>
  <si>
    <t>ALVENARIA</t>
  </si>
  <si>
    <t>INSTALAÇÕES ELÉTRICAS, HIDRÁULICAS, GLP E PREVENTIVAS</t>
  </si>
  <si>
    <t>IMPERMEABILIZAÇÃO</t>
  </si>
  <si>
    <t>ACABAMENTOS EM PISO E PAREDE</t>
  </si>
  <si>
    <t>PINTURA INTERNA</t>
  </si>
  <si>
    <t>ESQUADRIAS, VIDROS E FERRAGENS</t>
  </si>
  <si>
    <t>REVESTIMENTOS E ACABAMENTOS DE FACHADA</t>
  </si>
  <si>
    <t>SERVIÇOS COMPLEMENTARES</t>
  </si>
  <si>
    <t>TOTAL</t>
  </si>
  <si>
    <t>VALOR ORÇADO</t>
  </si>
  <si>
    <t>%</t>
  </si>
  <si>
    <t>GERENCIAMENTO TÉCNICO E ADMINISTRATIVO</t>
  </si>
  <si>
    <t>REVESTIMENTOS INTERNOS EM PISO E PAREDE</t>
  </si>
  <si>
    <t>REVESTIMENTOS E ACABAMENTOS INTERNOS EM TETO</t>
  </si>
  <si>
    <t>IMPREVISTOS E CONTINGENCIAS</t>
  </si>
  <si>
    <t>COBERTURA</t>
  </si>
  <si>
    <t>EQUIPAMENTOS E SISTEMAS ESPECIAIS</t>
  </si>
  <si>
    <t>DATA BASE</t>
  </si>
  <si>
    <t>ÁREA CONSTRUÍDA</t>
  </si>
  <si>
    <t>m²</t>
  </si>
  <si>
    <t>CUB</t>
  </si>
  <si>
    <t>VALOR / M2</t>
  </si>
  <si>
    <t>INDEXADO</t>
  </si>
  <si>
    <t>MÉDIAS</t>
  </si>
  <si>
    <t>MÍNIMA</t>
  </si>
  <si>
    <t>MÁXIMA</t>
  </si>
  <si>
    <t>DIFERENÇAS EM QUNATITATIVOS:</t>
  </si>
  <si>
    <t>PISOS - AREAS TECNICAS E LAJES APENAS COM CONTRAPISO, SEM REVESTIMENTO</t>
  </si>
  <si>
    <t>HABITAH</t>
  </si>
  <si>
    <t>DOM BOSCO</t>
  </si>
  <si>
    <t>SAN MARINO</t>
  </si>
  <si>
    <t>CUB/SC</t>
  </si>
  <si>
    <t>DESCRIÇÃO</t>
  </si>
  <si>
    <t>DOM</t>
  </si>
  <si>
    <t>PAESSAGGIO</t>
  </si>
  <si>
    <t>THOZEN</t>
  </si>
  <si>
    <t>CONCRETO</t>
  </si>
  <si>
    <t>AÇO</t>
  </si>
  <si>
    <t>FORMA</t>
  </si>
  <si>
    <t>ÁREA (m²)</t>
  </si>
  <si>
    <t>VALOR TOTAL</t>
  </si>
  <si>
    <t>VALOR POR ÁREA PRIVATIVA (R$/m²)</t>
  </si>
  <si>
    <t>área</t>
  </si>
  <si>
    <t>ÁREA DE LAZER</t>
  </si>
  <si>
    <t>IMPERMEABILIZAÇÃO E TRATAMENTOS</t>
  </si>
  <si>
    <t>REVESTIMENTOS INTERNOS DE PAREDE</t>
  </si>
  <si>
    <t>PISOS E PAVIMENTAÇÕES</t>
  </si>
  <si>
    <t>SERVIÇOS COMPLEMENTARES E FINAIS</t>
  </si>
  <si>
    <t>JUSTIFICATIVA</t>
  </si>
  <si>
    <t>Rótulos de Linha</t>
  </si>
  <si>
    <t>Total Geral</t>
  </si>
  <si>
    <t>CÁLCULO DA DIFERENÇA DE ALTURA DA REVISÃO DE PROJETO X VISUS</t>
  </si>
  <si>
    <t>Projeto atual</t>
  </si>
  <si>
    <t>Visus</t>
  </si>
  <si>
    <t>Diferença</t>
  </si>
  <si>
    <t>Subsolo</t>
  </si>
  <si>
    <t>Térreo</t>
  </si>
  <si>
    <t>Nível 1</t>
  </si>
  <si>
    <t>Nível 2</t>
  </si>
  <si>
    <t>Lazer</t>
  </si>
  <si>
    <t>Tipo 1 A</t>
  </si>
  <si>
    <t>X</t>
  </si>
  <si>
    <t>Tipo 1-B1</t>
  </si>
  <si>
    <t>Tipo 1-B2</t>
  </si>
  <si>
    <t>Tipo 1-B3</t>
  </si>
  <si>
    <t>Tipo 1-B4</t>
  </si>
  <si>
    <t>A.C.</t>
  </si>
  <si>
    <t>Tipo 1-B5</t>
  </si>
  <si>
    <t>A.C. 1 PAV</t>
  </si>
  <si>
    <t>Tipo 2 A</t>
  </si>
  <si>
    <t>A.C. 1 PAV DIF.</t>
  </si>
  <si>
    <t>Tipo 2-B1</t>
  </si>
  <si>
    <t>Tipo 2-B2</t>
  </si>
  <si>
    <t>Tipo 2-B3</t>
  </si>
  <si>
    <t>Tipo 3</t>
  </si>
  <si>
    <t>Ático</t>
  </si>
  <si>
    <t>Casa de máquinas</t>
  </si>
  <si>
    <t>Barrilete</t>
  </si>
  <si>
    <t>Caixa d'água</t>
  </si>
  <si>
    <t>MÉDIA</t>
  </si>
  <si>
    <t>CUSTO:</t>
  </si>
  <si>
    <t>VALOR POR UNIDADE TIPO 01</t>
  </si>
  <si>
    <t>VALOR POR UNIDADE TIPO 02</t>
  </si>
  <si>
    <t>VALOR POR UNIDADE TIPO 03</t>
  </si>
  <si>
    <t>VALOR POR UNIDADE TIPO 04</t>
  </si>
  <si>
    <t>VALOR POR UNIDADE ESTÚDIO</t>
  </si>
  <si>
    <t>VALOR POR UNIDADE GARDEN</t>
  </si>
  <si>
    <t>QUANT.</t>
  </si>
  <si>
    <t>609/610</t>
  </si>
  <si>
    <t>701 a 1901</t>
  </si>
  <si>
    <t xml:space="preserve">703 a 1903 / 704 a 1904 / 709 a 1909 / 710 a 1910 / </t>
  </si>
  <si>
    <t>705 a 1905</t>
  </si>
  <si>
    <t>702 a 1902</t>
  </si>
  <si>
    <t>706 a 1906</t>
  </si>
  <si>
    <t>707 a 1907</t>
  </si>
  <si>
    <t>708 a 1908</t>
  </si>
  <si>
    <t>INFRAESTRUTURA E CONTENÇÃO</t>
  </si>
  <si>
    <t>OBRAS DE REFERÊNCIA</t>
  </si>
  <si>
    <t>Soma de %</t>
  </si>
  <si>
    <t>REVESTIMENTOS EXTERNOS DE PAREDE</t>
  </si>
  <si>
    <t>SISTEMAS DE PINTURA</t>
  </si>
  <si>
    <t>CLIMATIZAÇÃO, EXAUSTÃO MECÂNICA E PRESSURIZAÇÃO</t>
  </si>
  <si>
    <t>ACABAMENTOS INTERNOS EM PAREDE</t>
  </si>
  <si>
    <t>ACABAMENTOS INTERNOS EM TETO</t>
  </si>
  <si>
    <t>LOUÇAS E METAIS</t>
  </si>
  <si>
    <t>IMPREVISTOS</t>
  </si>
  <si>
    <t>NOUVE</t>
  </si>
  <si>
    <t>CONTENÇÕES</t>
  </si>
  <si>
    <t>FOR SEASONS</t>
  </si>
  <si>
    <t>SÃO VICENTE</t>
  </si>
  <si>
    <t>-</t>
  </si>
  <si>
    <t>MARINE</t>
  </si>
  <si>
    <t>MAIORI</t>
  </si>
  <si>
    <t>LAGO DI GARDA</t>
  </si>
  <si>
    <t>MAIOR</t>
  </si>
  <si>
    <t>OK</t>
  </si>
  <si>
    <t>5 elevadores</t>
  </si>
  <si>
    <t>Grande quantidade de área a ser impermeabilizada (bastante área de piscinas, terraços)</t>
  </si>
  <si>
    <t>Consideradas esquadrias de alto padrão, 32 à 50mm</t>
  </si>
  <si>
    <t>Pergolados em vidro</t>
  </si>
  <si>
    <t>Mobiliários</t>
  </si>
  <si>
    <t>Locação de grandes equipamentos, confirmar existência</t>
  </si>
  <si>
    <t>BRISA DA ARMAÇÃO</t>
  </si>
  <si>
    <t>INFRAESTRUTURA E CONTENÇÕES</t>
  </si>
  <si>
    <t>Basicamente pintura, com equilíbrio entre brises de madeira ecológica e acabamentos cerâmicos; Subsolo não tem fachada</t>
  </si>
  <si>
    <t>Escavação e bota-fora de subsolo / Possui rebaixamento de lençol</t>
  </si>
  <si>
    <t>Contenção em todo o perímetro do subsolo, obras de referência somente em alguns trechos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</si>
</sst>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8" formatCode="&quot;R$&quot;\ #,##0.00;[Red]\-&quot;R$&quot;\ #,##0.00"/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_-;\-* #,##0.00_-;_-* &quot;-&quot;??_-;_-@"/>
    <numFmt numFmtId="165" formatCode="_-&quot;R$&quot;\ * #,##0.00_-;\-&quot;R$&quot;\ * #,##0.00_-;_-&quot;R$&quot;\ * &quot;-&quot;??_-;_-@"/>
    <numFmt numFmtId="166" formatCode="#,##0.00\ &quot;m²&quot;"/>
    <numFmt numFmtId="167" formatCode="_(&quot;R$&quot;* #,##0.00_);_(&quot;R$&quot;* \(#,##0.00\);_(&quot;R$&quot;* &quot;-&quot;??_);_(@_)"/>
    <numFmt numFmtId="168" formatCode="0.000"/>
  </numFmts>
  <fonts count="3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Poppins"/>
    </font>
    <font>
      <b/>
      <sz val="11"/>
      <color rgb="FFF5F5F5"/>
      <name val="Poppins"/>
    </font>
    <font>
      <sz val="11"/>
      <color theme="1"/>
      <name val="Poppins"/>
    </font>
    <font>
      <sz val="10"/>
      <color theme="1"/>
      <name val="Poppins"/>
    </font>
    <font>
      <sz val="11"/>
      <color theme="1"/>
      <name val="Calibri"/>
      <family val="2"/>
    </font>
    <font>
      <sz val="8"/>
      <color theme="1"/>
      <name val="Poppins"/>
    </font>
    <font>
      <sz val="11"/>
      <color theme="1"/>
      <name val="Calibri"/>
      <family val="2"/>
      <scheme val="minor"/>
    </font>
    <font>
      <sz val="10"/>
      <color rgb="FF19212D"/>
      <name val="Arial"/>
      <family val="2"/>
    </font>
    <font>
      <sz val="11"/>
      <color theme="1"/>
      <name val="Calibri"/>
      <family val="2"/>
      <scheme val="minor"/>
    </font>
    <font>
      <sz val="11"/>
      <name val="Poppins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Poppins"/>
    </font>
    <font>
      <sz val="8"/>
      <color rgb="FF3B3B3B"/>
      <name val="Tahoma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color theme="1"/>
      <name val="Poppins"/>
    </font>
  </fonts>
  <fills count="13">
    <fill>
      <patternFill patternType="none"/>
    </fill>
    <fill>
      <patternFill patternType="gray125"/>
    </fill>
    <fill>
      <patternFill patternType="solid">
        <fgColor rgb="FF255AE5"/>
        <bgColor rgb="FF255AE5"/>
      </patternFill>
    </fill>
    <fill>
      <patternFill patternType="solid">
        <fgColor theme="0"/>
        <bgColor theme="0"/>
      </patternFill>
    </fill>
    <fill>
      <patternFill patternType="solid">
        <fgColor rgb="FFDCDCDC"/>
        <bgColor rgb="FFDCDCDC"/>
      </patternFill>
    </fill>
    <fill>
      <patternFill patternType="solid">
        <fgColor rgb="FF12121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121212"/>
        <bgColor theme="0"/>
      </patternFill>
    </fill>
    <fill>
      <patternFill patternType="solid">
        <fgColor rgb="FFFFFFFF"/>
        <bgColor indexed="8"/>
      </patternFill>
    </fill>
    <fill>
      <patternFill patternType="solid">
        <fgColor theme="1" tint="0.749992370372631"/>
        <bgColor indexed="64"/>
      </patternFill>
    </fill>
    <fill>
      <patternFill patternType="solid">
        <fgColor theme="1" tint="0.749992370372631"/>
        <bgColor rgb="FF255AE5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medium">
        <color rgb="FF000000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646464"/>
      </right>
      <top/>
      <bottom style="hair">
        <color rgb="FF000000"/>
      </bottom>
      <diagonal/>
    </border>
    <border>
      <left/>
      <right style="medium">
        <color indexed="64"/>
      </right>
      <top style="hair">
        <color rgb="FF000000"/>
      </top>
      <bottom style="hair">
        <color rgb="FF000000"/>
      </bottom>
      <diagonal/>
    </border>
    <border>
      <left/>
      <right style="medium">
        <color indexed="64"/>
      </right>
      <top/>
      <bottom style="hair">
        <color rgb="FF000000"/>
      </bottom>
      <diagonal/>
    </border>
    <border>
      <left style="medium">
        <color indexed="64"/>
      </left>
      <right style="thin">
        <color rgb="FF6464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646464"/>
      </left>
      <right/>
      <top style="hair">
        <color rgb="FF000000"/>
      </top>
      <bottom style="hair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rgb="FF646464"/>
      </right>
      <top/>
      <bottom style="hair">
        <color rgb="FF000000"/>
      </bottom>
      <diagonal/>
    </border>
    <border>
      <left/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/>
      <right style="thin">
        <color indexed="64"/>
      </right>
      <top/>
      <bottom style="hair">
        <color rgb="FF000000"/>
      </bottom>
      <diagonal/>
    </border>
    <border>
      <left style="thin">
        <color indexed="64"/>
      </left>
      <right style="thin">
        <color rgb="FF646464"/>
      </right>
      <top/>
      <bottom style="thin">
        <color indexed="64"/>
      </bottom>
      <diagonal/>
    </border>
  </borders>
  <cellStyleXfs count="18">
    <xf numFmtId="0" fontId="0" fillId="0" borderId="0"/>
    <xf numFmtId="44" fontId="14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6" fillId="0" borderId="4"/>
    <xf numFmtId="9" fontId="6" fillId="0" borderId="4" applyFont="0" applyFill="0" applyBorder="0" applyAlignment="0" applyProtection="0"/>
    <xf numFmtId="0" fontId="21" fillId="8" borderId="4" applyNumberFormat="0" applyFont="0" applyFill="0" applyBorder="0" applyAlignment="0" applyProtection="0">
      <alignment horizontal="left" vertical="top" wrapText="1"/>
    </xf>
    <xf numFmtId="0" fontId="4" fillId="0" borderId="4"/>
    <xf numFmtId="9" fontId="4" fillId="0" borderId="4" applyFont="0" applyFill="0" applyBorder="0" applyAlignment="0" applyProtection="0"/>
    <xf numFmtId="9" fontId="24" fillId="0" borderId="0" applyFont="0" applyFill="0" applyBorder="0" applyAlignment="0" applyProtection="0"/>
    <xf numFmtId="0" fontId="27" fillId="0" borderId="4"/>
    <xf numFmtId="9" fontId="27" fillId="0" borderId="4" applyFont="0" applyFill="0" applyBorder="0" applyAlignment="0" applyProtection="0"/>
    <xf numFmtId="44" fontId="27" fillId="0" borderId="4" applyFont="0" applyFill="0" applyBorder="0" applyAlignment="0" applyProtection="0"/>
    <xf numFmtId="42" fontId="27" fillId="0" borderId="4" applyFont="0" applyFill="0" applyBorder="0" applyAlignment="0" applyProtection="0"/>
    <xf numFmtId="43" fontId="27" fillId="0" borderId="4" applyFont="0" applyFill="0" applyBorder="0" applyAlignment="0" applyProtection="0"/>
    <xf numFmtId="41" fontId="27" fillId="0" borderId="4" applyFont="0" applyFill="0" applyBorder="0" applyAlignment="0" applyProtection="0"/>
    <xf numFmtId="0" fontId="27" fillId="0" borderId="4" applyNumberFormat="0" applyFont="0" applyFill="0" applyBorder="0" applyAlignment="0" applyProtection="0"/>
    <xf numFmtId="0" fontId="27" fillId="0" borderId="4" applyNumberFormat="0" applyFont="0" applyFill="0" applyBorder="0" applyAlignment="0" applyProtection="0"/>
    <xf numFmtId="167" fontId="27" fillId="0" borderId="4" applyFont="0" applyFill="0" applyBorder="0" applyAlignment="0" applyProtection="0"/>
  </cellStyleXfs>
  <cellXfs count="185">
    <xf numFmtId="0" fontId="0" fillId="0" borderId="0" xfId="0"/>
    <xf numFmtId="0" fontId="10" fillId="0" borderId="0" xfId="0" applyFont="1"/>
    <xf numFmtId="0" fontId="10" fillId="3" borderId="1" xfId="0" applyFont="1" applyFill="1" applyBorder="1" applyAlignment="1">
      <alignment horizontal="left" vertical="center"/>
    </xf>
    <xf numFmtId="0" fontId="10" fillId="0" borderId="0" xfId="0" applyFont="1" applyAlignment="1">
      <alignment vertical="center"/>
    </xf>
    <xf numFmtId="164" fontId="10" fillId="0" borderId="0" xfId="0" applyNumberFormat="1" applyFont="1" applyAlignment="1">
      <alignment vertical="center"/>
    </xf>
    <xf numFmtId="4" fontId="10" fillId="0" borderId="0" xfId="0" applyNumberFormat="1" applyFont="1" applyAlignment="1">
      <alignment vertical="center"/>
    </xf>
    <xf numFmtId="164" fontId="10" fillId="0" borderId="0" xfId="0" applyNumberFormat="1" applyFont="1"/>
    <xf numFmtId="0" fontId="11" fillId="0" borderId="0" xfId="0" applyFont="1" applyAlignment="1">
      <alignment vertical="center"/>
    </xf>
    <xf numFmtId="0" fontId="10" fillId="4" borderId="1" xfId="0" applyFont="1" applyFill="1" applyBorder="1" applyAlignment="1">
      <alignment horizontal="left" vertical="center"/>
    </xf>
    <xf numFmtId="10" fontId="10" fillId="4" borderId="2" xfId="0" applyNumberFormat="1" applyFont="1" applyFill="1" applyBorder="1" applyAlignment="1">
      <alignment horizontal="center" vertical="center"/>
    </xf>
    <xf numFmtId="10" fontId="10" fillId="3" borderId="2" xfId="0" applyNumberFormat="1" applyFont="1" applyFill="1" applyBorder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horizontal="center" vertical="center"/>
    </xf>
    <xf numFmtId="4" fontId="12" fillId="0" borderId="0" xfId="0" applyNumberFormat="1" applyFont="1"/>
    <xf numFmtId="165" fontId="13" fillId="0" borderId="0" xfId="0" applyNumberFormat="1" applyFont="1" applyAlignment="1">
      <alignment horizontal="left"/>
    </xf>
    <xf numFmtId="165" fontId="11" fillId="0" borderId="0" xfId="0" applyNumberFormat="1" applyFont="1" applyAlignment="1">
      <alignment vertical="center"/>
    </xf>
    <xf numFmtId="164" fontId="10" fillId="3" borderId="2" xfId="0" applyNumberFormat="1" applyFont="1" applyFill="1" applyBorder="1" applyAlignment="1">
      <alignment horizontal="center" vertical="center"/>
    </xf>
    <xf numFmtId="0" fontId="0" fillId="0" borderId="4" xfId="0" applyBorder="1"/>
    <xf numFmtId="44" fontId="0" fillId="0" borderId="7" xfId="1" applyFont="1" applyBorder="1"/>
    <xf numFmtId="0" fontId="15" fillId="0" borderId="0" xfId="0" applyFont="1"/>
    <xf numFmtId="0" fontId="7" fillId="0" borderId="0" xfId="0" applyFont="1"/>
    <xf numFmtId="0" fontId="0" fillId="0" borderId="0" xfId="0" applyAlignment="1">
      <alignment horizontal="center"/>
    </xf>
    <xf numFmtId="0" fontId="20" fillId="0" borderId="14" xfId="0" applyFont="1" applyBorder="1" applyAlignment="1">
      <alignment vertical="center"/>
    </xf>
    <xf numFmtId="0" fontId="11" fillId="0" borderId="15" xfId="0" applyFont="1" applyBorder="1" applyAlignment="1">
      <alignment vertical="center"/>
    </xf>
    <xf numFmtId="0" fontId="11" fillId="0" borderId="16" xfId="0" applyFont="1" applyBorder="1" applyAlignment="1">
      <alignment horizontal="center" vertical="center"/>
    </xf>
    <xf numFmtId="0" fontId="10" fillId="3" borderId="17" xfId="0" applyFont="1" applyFill="1" applyBorder="1" applyAlignment="1">
      <alignment horizontal="left" vertical="center"/>
    </xf>
    <xf numFmtId="0" fontId="10" fillId="4" borderId="18" xfId="0" applyFont="1" applyFill="1" applyBorder="1" applyAlignment="1">
      <alignment horizontal="left" vertical="center"/>
    </xf>
    <xf numFmtId="0" fontId="10" fillId="3" borderId="19" xfId="0" applyFont="1" applyFill="1" applyBorder="1" applyAlignment="1">
      <alignment horizontal="left" vertical="center"/>
    </xf>
    <xf numFmtId="0" fontId="10" fillId="4" borderId="19" xfId="0" applyFont="1" applyFill="1" applyBorder="1" applyAlignment="1">
      <alignment horizontal="left" vertical="center"/>
    </xf>
    <xf numFmtId="44" fontId="0" fillId="0" borderId="20" xfId="1" applyFont="1" applyBorder="1"/>
    <xf numFmtId="44" fontId="0" fillId="0" borderId="20" xfId="1" applyFont="1" applyFill="1" applyBorder="1"/>
    <xf numFmtId="0" fontId="0" fillId="0" borderId="9" xfId="0" applyBorder="1"/>
    <xf numFmtId="0" fontId="8" fillId="7" borderId="13" xfId="0" applyFont="1" applyFill="1" applyBorder="1" applyAlignment="1">
      <alignment horizontal="left" vertical="center"/>
    </xf>
    <xf numFmtId="44" fontId="19" fillId="5" borderId="22" xfId="0" applyNumberFormat="1" applyFont="1" applyFill="1" applyBorder="1"/>
    <xf numFmtId="44" fontId="19" fillId="5" borderId="22" xfId="0" applyNumberFormat="1" applyFont="1" applyFill="1" applyBorder="1" applyAlignment="1">
      <alignment horizontal="center"/>
    </xf>
    <xf numFmtId="0" fontId="19" fillId="5" borderId="5" xfId="0" applyFont="1" applyFill="1" applyBorder="1"/>
    <xf numFmtId="0" fontId="19" fillId="5" borderId="8" xfId="0" applyFont="1" applyFill="1" applyBorder="1"/>
    <xf numFmtId="43" fontId="0" fillId="0" borderId="0" xfId="2" applyFont="1"/>
    <xf numFmtId="43" fontId="19" fillId="5" borderId="10" xfId="2" applyFont="1" applyFill="1" applyBorder="1" applyAlignment="1">
      <alignment horizontal="center"/>
    </xf>
    <xf numFmtId="43" fontId="0" fillId="0" borderId="10" xfId="2" applyFont="1" applyBorder="1"/>
    <xf numFmtId="43" fontId="19" fillId="5" borderId="22" xfId="2" applyFont="1" applyFill="1" applyBorder="1"/>
    <xf numFmtId="43" fontId="10" fillId="0" borderId="0" xfId="2" applyFont="1" applyAlignment="1">
      <alignment horizontal="center"/>
    </xf>
    <xf numFmtId="0" fontId="8" fillId="2" borderId="10" xfId="0" applyFont="1" applyFill="1" applyBorder="1" applyAlignment="1">
      <alignment horizontal="left" vertical="center"/>
    </xf>
    <xf numFmtId="0" fontId="8" fillId="2" borderId="10" xfId="0" applyFont="1" applyFill="1" applyBorder="1" applyAlignment="1">
      <alignment horizontal="center" vertical="center"/>
    </xf>
    <xf numFmtId="9" fontId="8" fillId="2" borderId="10" xfId="0" applyNumberFormat="1" applyFont="1" applyFill="1" applyBorder="1" applyAlignment="1">
      <alignment horizontal="center" vertical="center"/>
    </xf>
    <xf numFmtId="164" fontId="8" fillId="2" borderId="10" xfId="0" applyNumberFormat="1" applyFont="1" applyFill="1" applyBorder="1" applyAlignment="1">
      <alignment horizontal="center" vertical="center"/>
    </xf>
    <xf numFmtId="17" fontId="8" fillId="2" borderId="10" xfId="0" applyNumberFormat="1" applyFont="1" applyFill="1" applyBorder="1" applyAlignment="1">
      <alignment horizontal="center" vertical="center"/>
    </xf>
    <xf numFmtId="44" fontId="0" fillId="6" borderId="21" xfId="1" applyFont="1" applyFill="1" applyBorder="1"/>
    <xf numFmtId="44" fontId="19" fillId="6" borderId="22" xfId="0" applyNumberFormat="1" applyFont="1" applyFill="1" applyBorder="1"/>
    <xf numFmtId="2" fontId="8" fillId="2" borderId="10" xfId="0" applyNumberFormat="1" applyFont="1" applyFill="1" applyBorder="1" applyAlignment="1">
      <alignment horizontal="center" vertical="center"/>
    </xf>
    <xf numFmtId="17" fontId="0" fillId="0" borderId="6" xfId="0" applyNumberFormat="1" applyBorder="1"/>
    <xf numFmtId="44" fontId="10" fillId="3" borderId="2" xfId="1" applyFont="1" applyFill="1" applyBorder="1" applyAlignment="1">
      <alignment horizontal="left" vertical="center"/>
    </xf>
    <xf numFmtId="44" fontId="17" fillId="4" borderId="2" xfId="1" applyFont="1" applyFill="1" applyBorder="1" applyAlignment="1">
      <alignment horizontal="left" vertical="center"/>
    </xf>
    <xf numFmtId="44" fontId="8" fillId="2" borderId="10" xfId="1" applyFont="1" applyFill="1" applyBorder="1" applyAlignment="1">
      <alignment horizontal="left" vertical="center"/>
    </xf>
    <xf numFmtId="44" fontId="8" fillId="2" borderId="10" xfId="1" applyFont="1" applyFill="1" applyBorder="1" applyAlignment="1">
      <alignment horizontal="center" vertical="center"/>
    </xf>
    <xf numFmtId="44" fontId="10" fillId="3" borderId="3" xfId="1" applyFont="1" applyFill="1" applyBorder="1" applyAlignment="1">
      <alignment horizontal="center" vertical="center"/>
    </xf>
    <xf numFmtId="44" fontId="10" fillId="4" borderId="3" xfId="1" applyFont="1" applyFill="1" applyBorder="1" applyAlignment="1">
      <alignment horizontal="center" vertical="center"/>
    </xf>
    <xf numFmtId="43" fontId="10" fillId="0" borderId="0" xfId="0" applyNumberFormat="1" applyFont="1"/>
    <xf numFmtId="0" fontId="8" fillId="2" borderId="5" xfId="0" applyFont="1" applyFill="1" applyBorder="1" applyAlignment="1">
      <alignment horizontal="left" vertical="center"/>
    </xf>
    <xf numFmtId="0" fontId="8" fillId="2" borderId="11" xfId="0" applyFont="1" applyFill="1" applyBorder="1" applyAlignment="1">
      <alignment horizontal="center" vertical="center"/>
    </xf>
    <xf numFmtId="0" fontId="10" fillId="4" borderId="29" xfId="0" applyFont="1" applyFill="1" applyBorder="1" applyAlignment="1">
      <alignment horizontal="left" vertical="center"/>
    </xf>
    <xf numFmtId="44" fontId="10" fillId="3" borderId="30" xfId="1" applyFont="1" applyFill="1" applyBorder="1" applyAlignment="1">
      <alignment horizontal="center" vertical="center"/>
    </xf>
    <xf numFmtId="44" fontId="10" fillId="4" borderId="31" xfId="1" applyFont="1" applyFill="1" applyBorder="1" applyAlignment="1">
      <alignment horizontal="center" vertical="center"/>
    </xf>
    <xf numFmtId="0" fontId="10" fillId="4" borderId="32" xfId="0" applyFont="1" applyFill="1" applyBorder="1" applyAlignment="1">
      <alignment horizontal="left" vertical="center"/>
    </xf>
    <xf numFmtId="44" fontId="10" fillId="4" borderId="33" xfId="1" applyFont="1" applyFill="1" applyBorder="1" applyAlignment="1">
      <alignment horizontal="center" vertical="center"/>
    </xf>
    <xf numFmtId="10" fontId="13" fillId="0" borderId="0" xfId="8" applyNumberFormat="1" applyFont="1" applyAlignment="1">
      <alignment horizontal="left"/>
    </xf>
    <xf numFmtId="43" fontId="8" fillId="2" borderId="10" xfId="2" applyFont="1" applyFill="1" applyBorder="1" applyAlignment="1">
      <alignment horizontal="center" vertical="center"/>
    </xf>
    <xf numFmtId="0" fontId="0" fillId="9" borderId="0" xfId="0" applyFill="1"/>
    <xf numFmtId="0" fontId="19" fillId="9" borderId="5" xfId="0" applyFont="1" applyFill="1" applyBorder="1"/>
    <xf numFmtId="0" fontId="11" fillId="9" borderId="15" xfId="0" applyFont="1" applyFill="1" applyBorder="1" applyAlignment="1">
      <alignment vertical="center"/>
    </xf>
    <xf numFmtId="17" fontId="0" fillId="9" borderId="6" xfId="0" applyNumberFormat="1" applyFill="1" applyBorder="1"/>
    <xf numFmtId="17" fontId="3" fillId="9" borderId="6" xfId="0" applyNumberFormat="1" applyFont="1" applyFill="1" applyBorder="1"/>
    <xf numFmtId="0" fontId="19" fillId="9" borderId="8" xfId="0" applyFont="1" applyFill="1" applyBorder="1"/>
    <xf numFmtId="0" fontId="0" fillId="9" borderId="9" xfId="0" applyFill="1" applyBorder="1"/>
    <xf numFmtId="0" fontId="8" fillId="10" borderId="27" xfId="0" applyFont="1" applyFill="1" applyBorder="1" applyAlignment="1">
      <alignment horizontal="center" vertical="center"/>
    </xf>
    <xf numFmtId="0" fontId="8" fillId="10" borderId="22" xfId="0" applyFont="1" applyFill="1" applyBorder="1" applyAlignment="1">
      <alignment horizontal="center" vertical="center"/>
    </xf>
    <xf numFmtId="0" fontId="8" fillId="10" borderId="23" xfId="0" applyFont="1" applyFill="1" applyBorder="1" applyAlignment="1">
      <alignment horizontal="center" vertical="center"/>
    </xf>
    <xf numFmtId="44" fontId="19" fillId="9" borderId="22" xfId="0" applyNumberFormat="1" applyFont="1" applyFill="1" applyBorder="1" applyAlignment="1">
      <alignment horizontal="center"/>
    </xf>
    <xf numFmtId="44" fontId="19" fillId="9" borderId="27" xfId="0" applyNumberFormat="1" applyFont="1" applyFill="1" applyBorder="1" applyAlignment="1">
      <alignment horizontal="center"/>
    </xf>
    <xf numFmtId="44" fontId="19" fillId="9" borderId="23" xfId="0" applyNumberFormat="1" applyFont="1" applyFill="1" applyBorder="1" applyAlignment="1">
      <alignment horizontal="center"/>
    </xf>
    <xf numFmtId="44" fontId="0" fillId="9" borderId="20" xfId="1" applyFont="1" applyFill="1" applyBorder="1"/>
    <xf numFmtId="44" fontId="0" fillId="9" borderId="21" xfId="1" applyFont="1" applyFill="1" applyBorder="1"/>
    <xf numFmtId="44" fontId="0" fillId="9" borderId="26" xfId="1" applyFont="1" applyFill="1" applyBorder="1"/>
    <xf numFmtId="44" fontId="3" fillId="9" borderId="20" xfId="1" applyFont="1" applyFill="1" applyBorder="1"/>
    <xf numFmtId="44" fontId="0" fillId="9" borderId="24" xfId="1" applyFont="1" applyFill="1" applyBorder="1"/>
    <xf numFmtId="44" fontId="0" fillId="9" borderId="25" xfId="1" applyFont="1" applyFill="1" applyBorder="1"/>
    <xf numFmtId="44" fontId="22" fillId="9" borderId="7" xfId="1" applyFont="1" applyFill="1" applyBorder="1"/>
    <xf numFmtId="44" fontId="0" fillId="9" borderId="7" xfId="1" applyFont="1" applyFill="1" applyBorder="1"/>
    <xf numFmtId="44" fontId="18" fillId="9" borderId="25" xfId="1" applyFont="1" applyFill="1" applyBorder="1"/>
    <xf numFmtId="44" fontId="5" fillId="9" borderId="25" xfId="1" applyFont="1" applyFill="1" applyBorder="1"/>
    <xf numFmtId="44" fontId="19" fillId="9" borderId="22" xfId="0" applyNumberFormat="1" applyFont="1" applyFill="1" applyBorder="1"/>
    <xf numFmtId="44" fontId="23" fillId="9" borderId="22" xfId="0" applyNumberFormat="1" applyFont="1" applyFill="1" applyBorder="1"/>
    <xf numFmtId="0" fontId="15" fillId="9" borderId="0" xfId="0" applyFont="1" applyFill="1"/>
    <xf numFmtId="0" fontId="7" fillId="9" borderId="0" xfId="0" applyFont="1" applyFill="1"/>
    <xf numFmtId="2" fontId="0" fillId="9" borderId="0" xfId="0" applyNumberFormat="1" applyFill="1"/>
    <xf numFmtId="0" fontId="8" fillId="2" borderId="28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43" fontId="8" fillId="2" borderId="34" xfId="2" applyFont="1" applyFill="1" applyBorder="1" applyAlignment="1">
      <alignment horizontal="center" vertical="center"/>
    </xf>
    <xf numFmtId="43" fontId="8" fillId="2" borderId="28" xfId="2" applyFont="1" applyFill="1" applyBorder="1" applyAlignment="1">
      <alignment horizontal="center" vertical="center"/>
    </xf>
    <xf numFmtId="164" fontId="10" fillId="3" borderId="40" xfId="0" applyNumberFormat="1" applyFont="1" applyFill="1" applyBorder="1" applyAlignment="1">
      <alignment horizontal="center" vertical="center"/>
    </xf>
    <xf numFmtId="164" fontId="10" fillId="4" borderId="40" xfId="0" applyNumberFormat="1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right" vertical="center"/>
    </xf>
    <xf numFmtId="44" fontId="8" fillId="2" borderId="12" xfId="1" applyFont="1" applyFill="1" applyBorder="1" applyAlignment="1">
      <alignment horizontal="right" vertical="center"/>
    </xf>
    <xf numFmtId="164" fontId="8" fillId="2" borderId="12" xfId="0" applyNumberFormat="1" applyFont="1" applyFill="1" applyBorder="1" applyAlignment="1">
      <alignment horizontal="center" vertical="center"/>
    </xf>
    <xf numFmtId="43" fontId="9" fillId="2" borderId="39" xfId="2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7" fillId="0" borderId="4" xfId="15" applyNumberFormat="1" applyFont="1" applyFill="1" applyBorder="1" applyAlignment="1"/>
    <xf numFmtId="0" fontId="28" fillId="11" borderId="41" xfId="15" applyNumberFormat="1" applyFont="1" applyFill="1" applyBorder="1" applyAlignment="1">
      <alignment horizontal="center" vertical="center"/>
    </xf>
    <xf numFmtId="0" fontId="28" fillId="0" borderId="41" xfId="15" applyNumberFormat="1" applyFont="1" applyFill="1" applyBorder="1" applyAlignment="1"/>
    <xf numFmtId="2" fontId="27" fillId="0" borderId="41" xfId="15" applyNumberFormat="1" applyFont="1" applyFill="1" applyBorder="1" applyAlignment="1">
      <alignment horizontal="center" vertical="center"/>
    </xf>
    <xf numFmtId="0" fontId="27" fillId="0" borderId="4" xfId="15" applyNumberFormat="1" applyFont="1" applyFill="1" applyBorder="1" applyAlignment="1">
      <alignment horizontal="center" vertical="center"/>
    </xf>
    <xf numFmtId="2" fontId="27" fillId="0" borderId="4" xfId="15" applyNumberFormat="1" applyFont="1" applyFill="1" applyBorder="1" applyAlignment="1">
      <alignment horizontal="center" vertical="center"/>
    </xf>
    <xf numFmtId="0" fontId="27" fillId="0" borderId="4" xfId="15" applyNumberFormat="1" applyFont="1" applyFill="1" applyBorder="1" applyAlignment="1">
      <alignment vertical="center"/>
    </xf>
    <xf numFmtId="0" fontId="28" fillId="11" borderId="4" xfId="15" applyNumberFormat="1" applyFont="1" applyFill="1" applyBorder="1" applyAlignment="1">
      <alignment vertical="center"/>
    </xf>
    <xf numFmtId="166" fontId="28" fillId="11" borderId="4" xfId="15" applyNumberFormat="1" applyFont="1" applyFill="1" applyBorder="1" applyAlignment="1">
      <alignment vertical="center"/>
    </xf>
    <xf numFmtId="0" fontId="28" fillId="11" borderId="44" xfId="15" applyNumberFormat="1" applyFont="1" applyFill="1" applyBorder="1" applyAlignment="1">
      <alignment vertical="center"/>
    </xf>
    <xf numFmtId="2" fontId="27" fillId="11" borderId="41" xfId="15" applyNumberFormat="1" applyFont="1" applyFill="1" applyBorder="1" applyAlignment="1">
      <alignment horizontal="center" vertical="center"/>
    </xf>
    <xf numFmtId="2" fontId="27" fillId="0" borderId="4" xfId="15" applyNumberFormat="1" applyFont="1" applyFill="1" applyBorder="1" applyAlignment="1">
      <alignment vertical="center"/>
    </xf>
    <xf numFmtId="0" fontId="28" fillId="6" borderId="4" xfId="15" applyNumberFormat="1" applyFont="1" applyFill="1" applyBorder="1" applyAlignment="1">
      <alignment vertical="center"/>
    </xf>
    <xf numFmtId="166" fontId="28" fillId="6" borderId="4" xfId="15" applyNumberFormat="1" applyFont="1" applyFill="1" applyBorder="1" applyAlignment="1">
      <alignment vertical="center"/>
    </xf>
    <xf numFmtId="44" fontId="27" fillId="0" borderId="4" xfId="15" applyNumberFormat="1" applyFont="1" applyFill="1" applyBorder="1" applyAlignment="1"/>
    <xf numFmtId="44" fontId="27" fillId="6" borderId="4" xfId="15" applyNumberFormat="1" applyFont="1" applyFill="1" applyBorder="1" applyAlignment="1"/>
    <xf numFmtId="43" fontId="10" fillId="0" borderId="0" xfId="0" applyNumberFormat="1" applyFont="1" applyAlignment="1">
      <alignment vertical="center"/>
    </xf>
    <xf numFmtId="44" fontId="0" fillId="0" borderId="0" xfId="0" applyNumberFormat="1"/>
    <xf numFmtId="0" fontId="8" fillId="2" borderId="34" xfId="0" applyFont="1" applyFill="1" applyBorder="1" applyAlignment="1">
      <alignment horizontal="center" vertical="center"/>
    </xf>
    <xf numFmtId="4" fontId="10" fillId="4" borderId="45" xfId="0" applyNumberFormat="1" applyFont="1" applyFill="1" applyBorder="1" applyAlignment="1">
      <alignment horizontal="center" vertical="center"/>
    </xf>
    <xf numFmtId="4" fontId="10" fillId="3" borderId="46" xfId="0" applyNumberFormat="1" applyFont="1" applyFill="1" applyBorder="1" applyAlignment="1">
      <alignment horizontal="center" vertical="center"/>
    </xf>
    <xf numFmtId="4" fontId="10" fillId="4" borderId="37" xfId="0" applyNumberFormat="1" applyFont="1" applyFill="1" applyBorder="1" applyAlignment="1">
      <alignment horizontal="center" vertical="center"/>
    </xf>
    <xf numFmtId="0" fontId="8" fillId="2" borderId="47" xfId="0" applyFont="1" applyFill="1" applyBorder="1" applyAlignment="1">
      <alignment horizontal="center" vertical="center"/>
    </xf>
    <xf numFmtId="44" fontId="10" fillId="4" borderId="30" xfId="1" applyFont="1" applyFill="1" applyBorder="1" applyAlignment="1">
      <alignment vertical="center"/>
    </xf>
    <xf numFmtId="4" fontId="10" fillId="4" borderId="48" xfId="0" applyNumberFormat="1" applyFont="1" applyFill="1" applyBorder="1" applyAlignment="1">
      <alignment horizontal="center" vertical="center"/>
    </xf>
    <xf numFmtId="4" fontId="10" fillId="3" borderId="40" xfId="0" applyNumberFormat="1" applyFont="1" applyFill="1" applyBorder="1" applyAlignment="1">
      <alignment horizontal="center" vertical="center"/>
    </xf>
    <xf numFmtId="4" fontId="10" fillId="4" borderId="49" xfId="0" applyNumberFormat="1" applyFont="1" applyFill="1" applyBorder="1" applyAlignment="1">
      <alignment horizontal="center" vertical="center"/>
    </xf>
    <xf numFmtId="4" fontId="10" fillId="4" borderId="50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49" fontId="11" fillId="0" borderId="0" xfId="0" applyNumberFormat="1" applyFont="1" applyAlignment="1">
      <alignment horizontal="left" vertical="center"/>
    </xf>
    <xf numFmtId="0" fontId="10" fillId="4" borderId="51" xfId="0" applyFont="1" applyFill="1" applyBorder="1" applyAlignment="1">
      <alignment horizontal="left" vertical="center"/>
    </xf>
    <xf numFmtId="0" fontId="10" fillId="3" borderId="53" xfId="0" applyFont="1" applyFill="1" applyBorder="1" applyAlignment="1">
      <alignment horizontal="left" vertical="center"/>
    </xf>
    <xf numFmtId="44" fontId="10" fillId="3" borderId="52" xfId="1" applyFont="1" applyFill="1" applyBorder="1" applyAlignment="1">
      <alignment horizontal="center" vertical="center"/>
    </xf>
    <xf numFmtId="44" fontId="10" fillId="4" borderId="54" xfId="1" applyFont="1" applyFill="1" applyBorder="1" applyAlignment="1">
      <alignment horizontal="center" vertical="center"/>
    </xf>
    <xf numFmtId="0" fontId="10" fillId="4" borderId="55" xfId="0" applyFont="1" applyFill="1" applyBorder="1" applyAlignment="1">
      <alignment horizontal="left" vertical="center"/>
    </xf>
    <xf numFmtId="44" fontId="10" fillId="4" borderId="24" xfId="1" applyFont="1" applyFill="1" applyBorder="1" applyAlignment="1">
      <alignment horizontal="center" vertical="center"/>
    </xf>
    <xf numFmtId="4" fontId="11" fillId="0" borderId="0" xfId="0" applyNumberFormat="1" applyFont="1" applyAlignment="1">
      <alignment horizontal="center" vertical="center"/>
    </xf>
    <xf numFmtId="44" fontId="27" fillId="0" borderId="4" xfId="1" applyFont="1" applyFill="1" applyBorder="1" applyAlignment="1"/>
    <xf numFmtId="0" fontId="30" fillId="4" borderId="51" xfId="0" applyFont="1" applyFill="1" applyBorder="1" applyAlignment="1">
      <alignment horizontal="left" vertical="center"/>
    </xf>
    <xf numFmtId="4" fontId="30" fillId="4" borderId="45" xfId="0" applyNumberFormat="1" applyFont="1" applyFill="1" applyBorder="1" applyAlignment="1">
      <alignment horizontal="center" vertical="center"/>
    </xf>
    <xf numFmtId="4" fontId="30" fillId="4" borderId="48" xfId="0" applyNumberFormat="1" applyFont="1" applyFill="1" applyBorder="1" applyAlignment="1">
      <alignment horizontal="center" vertical="center"/>
    </xf>
    <xf numFmtId="44" fontId="30" fillId="4" borderId="52" xfId="1" applyFont="1" applyFill="1" applyBorder="1" applyAlignment="1">
      <alignment vertical="center"/>
    </xf>
    <xf numFmtId="44" fontId="19" fillId="5" borderId="27" xfId="0" applyNumberFormat="1" applyFont="1" applyFill="1" applyBorder="1" applyAlignment="1">
      <alignment horizontal="center"/>
    </xf>
    <xf numFmtId="44" fontId="19" fillId="5" borderId="23" xfId="0" applyNumberFormat="1" applyFont="1" applyFill="1" applyBorder="1" applyAlignment="1">
      <alignment horizontal="center"/>
    </xf>
    <xf numFmtId="44" fontId="2" fillId="0" borderId="20" xfId="1" applyFont="1" applyBorder="1"/>
    <xf numFmtId="44" fontId="0" fillId="6" borderId="26" xfId="1" applyFont="1" applyFill="1" applyBorder="1"/>
    <xf numFmtId="44" fontId="22" fillId="0" borderId="7" xfId="1" applyFont="1" applyBorder="1"/>
    <xf numFmtId="4" fontId="11" fillId="0" borderId="0" xfId="0" applyNumberFormat="1" applyFont="1" applyAlignment="1">
      <alignment vertical="center"/>
    </xf>
    <xf numFmtId="43" fontId="11" fillId="0" borderId="0" xfId="0" applyNumberFormat="1" applyFont="1" applyAlignment="1">
      <alignment vertical="center"/>
    </xf>
    <xf numFmtId="0" fontId="17" fillId="4" borderId="17" xfId="0" applyFont="1" applyFill="1" applyBorder="1" applyAlignment="1">
      <alignment horizontal="left" vertical="center"/>
    </xf>
    <xf numFmtId="164" fontId="17" fillId="4" borderId="2" xfId="0" applyNumberFormat="1" applyFont="1" applyFill="1" applyBorder="1" applyAlignment="1">
      <alignment horizontal="center" vertical="center"/>
    </xf>
    <xf numFmtId="43" fontId="17" fillId="4" borderId="38" xfId="2" applyFont="1" applyFill="1" applyBorder="1" applyAlignment="1">
      <alignment horizontal="center" vertical="center"/>
    </xf>
    <xf numFmtId="168" fontId="0" fillId="0" borderId="0" xfId="0" applyNumberFormat="1" applyAlignment="1">
      <alignment horizontal="left"/>
    </xf>
    <xf numFmtId="44" fontId="11" fillId="0" borderId="0" xfId="0" applyNumberFormat="1" applyFont="1" applyAlignment="1">
      <alignment vertical="center"/>
    </xf>
    <xf numFmtId="43" fontId="18" fillId="0" borderId="10" xfId="2" applyFont="1" applyBorder="1"/>
    <xf numFmtId="8" fontId="0" fillId="0" borderId="20" xfId="1" applyNumberFormat="1" applyFont="1" applyFill="1" applyBorder="1"/>
    <xf numFmtId="17" fontId="1" fillId="0" borderId="6" xfId="0" applyNumberFormat="1" applyFont="1" applyBorder="1"/>
    <xf numFmtId="0" fontId="11" fillId="12" borderId="0" xfId="0" applyFont="1" applyFill="1" applyAlignment="1">
      <alignment vertical="center"/>
    </xf>
    <xf numFmtId="0" fontId="10" fillId="12" borderId="0" xfId="0" applyFont="1" applyFill="1" applyAlignment="1">
      <alignment vertical="center"/>
    </xf>
    <xf numFmtId="43" fontId="22" fillId="0" borderId="10" xfId="2" applyFont="1" applyBorder="1"/>
    <xf numFmtId="164" fontId="17" fillId="3" borderId="38" xfId="0" applyNumberFormat="1" applyFont="1" applyFill="1" applyBorder="1" applyAlignment="1">
      <alignment horizontal="center" vertical="center"/>
    </xf>
    <xf numFmtId="0" fontId="8" fillId="2" borderId="36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9" fillId="2" borderId="34" xfId="0" applyFont="1" applyFill="1" applyBorder="1" applyAlignment="1">
      <alignment horizontal="center" vertical="center"/>
    </xf>
    <xf numFmtId="0" fontId="9" fillId="2" borderId="35" xfId="0" applyFont="1" applyFill="1" applyBorder="1" applyAlignment="1">
      <alignment horizontal="center" vertical="center"/>
    </xf>
    <xf numFmtId="49" fontId="8" fillId="2" borderId="10" xfId="0" applyNumberFormat="1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10" borderId="27" xfId="0" applyFont="1" applyFill="1" applyBorder="1" applyAlignment="1">
      <alignment horizontal="center" vertical="center"/>
    </xf>
    <xf numFmtId="0" fontId="8" fillId="10" borderId="22" xfId="0" applyFont="1" applyFill="1" applyBorder="1" applyAlignment="1">
      <alignment horizontal="center" vertical="center"/>
    </xf>
    <xf numFmtId="0" fontId="8" fillId="10" borderId="23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28" fillId="0" borderId="4" xfId="15" applyNumberFormat="1" applyFont="1" applyFill="1" applyBorder="1" applyAlignment="1">
      <alignment horizontal="center" vertical="center"/>
    </xf>
    <xf numFmtId="2" fontId="27" fillId="0" borderId="42" xfId="15" applyNumberFormat="1" applyFont="1" applyFill="1" applyBorder="1" applyAlignment="1">
      <alignment horizontal="center" vertical="center"/>
    </xf>
    <xf numFmtId="2" fontId="27" fillId="0" borderId="43" xfId="15" applyNumberFormat="1" applyFont="1" applyFill="1" applyBorder="1" applyAlignment="1">
      <alignment horizontal="center" vertical="center"/>
    </xf>
  </cellXfs>
  <cellStyles count="18">
    <cellStyle name="Comma" xfId="13"/>
    <cellStyle name="Comma [0]" xfId="14"/>
    <cellStyle name="Currency" xfId="11"/>
    <cellStyle name="Currency [0]" xfId="12"/>
    <cellStyle name="Moeda" xfId="1" builtinId="4"/>
    <cellStyle name="Moeda 9" xfId="17"/>
    <cellStyle name="Normal" xfId="0" builtinId="0"/>
    <cellStyle name="Normal 2" xfId="3"/>
    <cellStyle name="Normal 2 2" xfId="6"/>
    <cellStyle name="Normal 2 4" xfId="16"/>
    <cellStyle name="Normal 3" xfId="5"/>
    <cellStyle name="Normal 4" xfId="9"/>
    <cellStyle name="Normal 5" xfId="15"/>
    <cellStyle name="Percent" xfId="10"/>
    <cellStyle name="Porcentagem" xfId="8" builtinId="5"/>
    <cellStyle name="Porcentagem 2" xfId="4"/>
    <cellStyle name="Porcentagem 2 2" xfId="7"/>
    <cellStyle name="Vírgula" xfId="2" builtinId="3"/>
  </cellStyles>
  <dxfs count="0"/>
  <tableStyles count="1" defaultTableStyle="TableStyleMedium2" defaultPivotStyle="PivotStyleLight16">
    <tableStyle name="Estilo de Tabela 1" pivot="0" count="0"/>
  </tableStyles>
  <colors>
    <mruColors>
      <color rgb="FF12121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[CTN_HAC-BRS - Apresentação Orçamento - R00.xlsx]ORÇAMENTO_EXECUTIVO!Tabela dinâmica1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ORÇAMENTO_EXECUTIVO!$B$26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ORÇAMENTO_EXECUTIVO!$A$27:$A$43</c:f>
              <c:strCache>
                <c:ptCount val="16"/>
                <c:pt idx="0">
                  <c:v>SUPRAESTRUTURA</c:v>
                </c:pt>
                <c:pt idx="1">
                  <c:v>INSTALAÇÕES ELÉTRICAS, HIDRÁULICAS, GLP E PREVENTIVAS</c:v>
                </c:pt>
                <c:pt idx="2">
                  <c:v>GERENCIAMENTO TÉCNICO E ADMINISTRATIVO</c:v>
                </c:pt>
                <c:pt idx="3">
                  <c:v>REVESTIMENTOS EXTERNOS DE PAREDE</c:v>
                </c:pt>
                <c:pt idx="4">
                  <c:v>ESQUADRIAS, VIDROS E FERRAGENS</c:v>
                </c:pt>
                <c:pt idx="5">
                  <c:v>PISOS E PAVIMENTAÇÕES</c:v>
                </c:pt>
                <c:pt idx="6">
                  <c:v>INFRAESTRUTURA E CONTENÇÃO</c:v>
                </c:pt>
                <c:pt idx="7">
                  <c:v>REVESTIMENTOS INTERNOS DE PAREDE</c:v>
                </c:pt>
                <c:pt idx="8">
                  <c:v>EQUIPAMENTOS E SISTEMAS ESPECIAIS</c:v>
                </c:pt>
                <c:pt idx="9">
                  <c:v>SERVIÇOS COMPLEMENTARES E FINAIS</c:v>
                </c:pt>
                <c:pt idx="10">
                  <c:v>ALVENARIA</c:v>
                </c:pt>
                <c:pt idx="11">
                  <c:v>SISTEMAS DE PINTURA</c:v>
                </c:pt>
                <c:pt idx="12">
                  <c:v>REVESTIMENTOS E ACABAMENTOS INTERNOS EM TETO</c:v>
                </c:pt>
                <c:pt idx="13">
                  <c:v>IMPREVISTOS E CONTINGENCIAS</c:v>
                </c:pt>
                <c:pt idx="14">
                  <c:v>IMPERMEABILIZAÇÃO E TRATAMENTOS</c:v>
                </c:pt>
                <c:pt idx="15">
                  <c:v>COBERTURA</c:v>
                </c:pt>
              </c:strCache>
            </c:strRef>
          </c:cat>
          <c:val>
            <c:numRef>
              <c:f>ORÇAMENTO_EXECUTIVO!$B$27:$B$43</c:f>
              <c:numCache>
                <c:formatCode>0.00%</c:formatCode>
                <c:ptCount val="16"/>
                <c:pt idx="0">
                  <c:v>0.21475057949019236</c:v>
                </c:pt>
                <c:pt idx="1">
                  <c:v>0.11481471173406588</c:v>
                </c:pt>
                <c:pt idx="2">
                  <c:v>9.7889814890819285E-2</c:v>
                </c:pt>
                <c:pt idx="3">
                  <c:v>7.4814559840528316E-2</c:v>
                </c:pt>
                <c:pt idx="4">
                  <c:v>7.4322949463844878E-2</c:v>
                </c:pt>
                <c:pt idx="5">
                  <c:v>7.3737862701202542E-2</c:v>
                </c:pt>
                <c:pt idx="6">
                  <c:v>6.1831504422899274E-2</c:v>
                </c:pt>
                <c:pt idx="7">
                  <c:v>5.7700985793795768E-2</c:v>
                </c:pt>
                <c:pt idx="8">
                  <c:v>5.3983261254242042E-2</c:v>
                </c:pt>
                <c:pt idx="9">
                  <c:v>5.161494152675266E-2</c:v>
                </c:pt>
                <c:pt idx="10">
                  <c:v>3.8924635212531269E-2</c:v>
                </c:pt>
                <c:pt idx="11">
                  <c:v>3.1038792905917875E-2</c:v>
                </c:pt>
                <c:pt idx="12">
                  <c:v>2.721681498615627E-2</c:v>
                </c:pt>
                <c:pt idx="13">
                  <c:v>1.4778325123152724E-2</c:v>
                </c:pt>
                <c:pt idx="14">
                  <c:v>1.2494080057018924E-2</c:v>
                </c:pt>
                <c:pt idx="15">
                  <c:v>8.6180596880014115E-5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87-49D7-AB97-18AC6E3D59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20824671"/>
        <c:axId val="1220826111"/>
      </c:barChart>
      <c:catAx>
        <c:axId val="1220824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20826111"/>
        <c:crosses val="autoZero"/>
        <c:auto val="1"/>
        <c:lblAlgn val="ctr"/>
        <c:lblOffset val="100"/>
        <c:noMultiLvlLbl val="0"/>
      </c:catAx>
      <c:valAx>
        <c:axId val="1220826111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220824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54429</xdr:colOff>
      <xdr:row>26</xdr:row>
      <xdr:rowOff>34744</xdr:rowOff>
    </xdr:from>
    <xdr:to>
      <xdr:col>8</xdr:col>
      <xdr:colOff>587829</xdr:colOff>
      <xdr:row>37</xdr:row>
      <xdr:rowOff>78015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24C4238-0A2A-FD2A-28D2-ACF6DA0DE7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114300</xdr:colOff>
      <xdr:row>0</xdr:row>
      <xdr:rowOff>0</xdr:rowOff>
    </xdr:from>
    <xdr:to>
      <xdr:col>21</xdr:col>
      <xdr:colOff>77136</xdr:colOff>
      <xdr:row>36</xdr:row>
      <xdr:rowOff>116169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A219854-96A0-48BD-8CF2-88DB995384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62900" y="0"/>
          <a:ext cx="6058836" cy="637726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.shortcut-targets-by-id/16oaQUYgx8kiowDwLhg-oO1zGZ777DJUb/2.%20Projetos%20em%20Andamento/AS%20Ramos%20-%2001.2022/02.%20Paessaggio/02.%20Escopo/02.4%20Escopo%20-%20Extra&#231;&#227;o%20de%20quantitativos/CTN_ORC_ED%20PAESAGGIO_MOD_ARQ_R0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TN_HAC_BRS%20-%20Or&#231;amento_Executivo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/.shortcut-targets-by-id/16oaQUYgx8kiowDwLhg-oO1zGZ777DJUb/2.%20Projetos%20em%20Andamento/CN%20-%2003.2021/Brava%20Ocean/03.%20Custo/03.5%20Custo%20-%20Determina&#231;&#227;o%20do%20or&#231;amento/EXECUTIVO/R00/Apresenta&#231;&#227;o/CTN-CN-BVO-%20Apresenta&#231;&#227;o_Or&#231;amento%20-%20R00A.xlsx?93E507CF" TargetMode="External"/><Relationship Id="rId1" Type="http://schemas.openxmlformats.org/officeDocument/2006/relationships/externalLinkPath" Target="file:///\\93E507CF\CTN-CN-BVO-%20Apresenta&#231;&#227;o_Or&#231;amento%20-%20R0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-CTN_ORC_Tabela de parede ger"/>
      <sheetName val="02-CTN_ORC_Levantamento do mate"/>
      <sheetName val="09-CTN_ORC_Tabela de piso e tet"/>
      <sheetName val="03-CTN_ORC_FACHADA_Tabela de pa"/>
      <sheetName val="08-CTN_ORC_Tabela de telhado"/>
      <sheetName val="10-CTN_ORC_RODAPÉ_Tabela de mol"/>
      <sheetName val="11-CTN_ORC_FAIXA GARAGEM_Tabela"/>
      <sheetName val="12-CTN_ORC_Tabela de forro"/>
      <sheetName val="07-CTN_ORC_Tabela de guarda-cor"/>
      <sheetName val="04-CTN_ORC_Tabela de janela"/>
      <sheetName val="05-CTN_ORC_Tabela de porta"/>
      <sheetName val="06-CTN_ORC_Tabela de escada"/>
      <sheetName val="Instructions"/>
      <sheetName val="Param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10º Tipo (x24) 3</v>
          </cell>
        </row>
        <row r="2">
          <cell r="A2" t="str">
            <v>11º Tipo (24x) 4</v>
          </cell>
        </row>
        <row r="3">
          <cell r="A3" t="str">
            <v>12º Tipo (24x) 5</v>
          </cell>
        </row>
        <row r="4">
          <cell r="A4" t="str">
            <v>13º Tipo (24x) 6</v>
          </cell>
        </row>
        <row r="5">
          <cell r="A5" t="str">
            <v>14º Tipo (24x) 7</v>
          </cell>
        </row>
        <row r="6">
          <cell r="A6" t="str">
            <v>15º Tipo (24x) 8</v>
          </cell>
        </row>
        <row r="7">
          <cell r="A7" t="str">
            <v>16º Tipo (24x) 9</v>
          </cell>
        </row>
        <row r="8">
          <cell r="A8" t="str">
            <v>17º Tipo (24x) 10</v>
          </cell>
        </row>
        <row r="9">
          <cell r="A9" t="str">
            <v>18º Tipo (24x) 11</v>
          </cell>
        </row>
        <row r="10">
          <cell r="A10" t="str">
            <v>19º Tipo (24x) 12</v>
          </cell>
        </row>
        <row r="11">
          <cell r="A11" t="str">
            <v>20º Tipo (24x) 13</v>
          </cell>
        </row>
        <row r="12">
          <cell r="A12" t="str">
            <v>21º Tipo (24x) 14</v>
          </cell>
        </row>
        <row r="13">
          <cell r="A13" t="str">
            <v>22º Tipo (24x) 15</v>
          </cell>
        </row>
        <row r="14">
          <cell r="A14" t="str">
            <v>23º Tipo (24x) 16</v>
          </cell>
        </row>
        <row r="15">
          <cell r="A15" t="str">
            <v>24º Tipo (24x) 17</v>
          </cell>
        </row>
        <row r="16">
          <cell r="A16" t="str">
            <v>25º Tipo (24x) 18</v>
          </cell>
        </row>
        <row r="17">
          <cell r="A17" t="str">
            <v>26º Tipo (24x) 19</v>
          </cell>
        </row>
        <row r="18">
          <cell r="A18" t="str">
            <v>27º Tipo (24x) 20</v>
          </cell>
        </row>
        <row r="19">
          <cell r="A19" t="str">
            <v>28º Tipo (24x) 21</v>
          </cell>
        </row>
        <row r="20">
          <cell r="A20" t="str">
            <v>29º Tipo (24x) 22</v>
          </cell>
        </row>
        <row r="21">
          <cell r="A21" t="str">
            <v>2º Mezanino - G1</v>
          </cell>
        </row>
        <row r="22">
          <cell r="A22" t="str">
            <v>30º Tipo (24x) 23</v>
          </cell>
        </row>
        <row r="23">
          <cell r="A23" t="str">
            <v>31º Tipo (24x) 24</v>
          </cell>
        </row>
        <row r="24">
          <cell r="A24" t="str">
            <v>32º Duplex Inf.</v>
          </cell>
        </row>
        <row r="25">
          <cell r="A25" t="str">
            <v>33º Duplex Sup.</v>
          </cell>
        </row>
        <row r="26">
          <cell r="A26" t="str">
            <v>3º G2</v>
          </cell>
        </row>
        <row r="27">
          <cell r="A27" t="str">
            <v>4º G3</v>
          </cell>
        </row>
        <row r="28">
          <cell r="A28" t="str">
            <v>5º Tipo Dif 01/Lazer</v>
          </cell>
        </row>
        <row r="29">
          <cell r="A29" t="str">
            <v>6º Tipo Dif. 02</v>
          </cell>
        </row>
        <row r="30">
          <cell r="A30" t="str">
            <v>7º Tipo Dif. 03</v>
          </cell>
        </row>
        <row r="31">
          <cell r="A31" t="str">
            <v>8º Tipo (x24) 1</v>
          </cell>
        </row>
        <row r="32">
          <cell r="A32" t="str">
            <v>9º Tipo (x24) 2</v>
          </cell>
        </row>
        <row r="33">
          <cell r="A33" t="str">
            <v>Barrilete</v>
          </cell>
        </row>
        <row r="34">
          <cell r="A34" t="str">
            <v>Cobertura Casa Máq.</v>
          </cell>
        </row>
        <row r="35">
          <cell r="A35" t="str">
            <v>PAVIMENTO TÉRREO</v>
          </cell>
        </row>
        <row r="36">
          <cell r="A36" t="str">
            <v>PC Maq</v>
          </cell>
        </row>
        <row r="37">
          <cell r="A37" t="str">
            <v>Reservatório</v>
          </cell>
        </row>
        <row r="38">
          <cell r="A38" t="str">
            <v>Tampa Reserv.</v>
          </cell>
        </row>
        <row r="39">
          <cell r="A39" t="str">
            <v>Terreno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bra "/>
      <sheetName val="Controle tec."/>
      <sheetName val="EPCs"/>
      <sheetName val="CANTEIRO"/>
      <sheetName val="BASES"/>
      <sheetName val="Ger_Tec e Adm"/>
      <sheetName val="Ger_Executivo"/>
      <sheetName val="CPU"/>
      <sheetName val="Insumos"/>
      <sheetName val="Cortina"/>
      <sheetName val="Arm. Cortina"/>
      <sheetName val="Estacas"/>
      <sheetName val="Fundação Rasa"/>
      <sheetName val="Aço_Infraestrutura"/>
      <sheetName val="Escadas"/>
      <sheetName val="Supraestrutura"/>
      <sheetName val="Escoramento"/>
      <sheetName val="MO Infra"/>
      <sheetName val="Cotações"/>
      <sheetName val="Tabela de Aço"/>
      <sheetName val="ARQ"/>
      <sheetName val="ESQUADRIAS"/>
      <sheetName val="HIDROSSANITÁRIO"/>
      <sheetName val="ELÉTRICA"/>
      <sheetName val="SPDA"/>
      <sheetName val="PREVENTIVAS"/>
      <sheetName val="COMUNICAÇÃO"/>
      <sheetName val="CLIMATIZAÇÃO"/>
      <sheetName val="Resumo Louças e Metais"/>
      <sheetName val="LOUÇAS E METAIS"/>
      <sheetName val="MOBILIÁRIO"/>
      <sheetName val="Piso Arm.Térreo"/>
      <sheetName val="Pilares"/>
      <sheetName val="Vigas - T1 "/>
      <sheetName val="Lajes - T1 "/>
      <sheetName val="Escada - T1"/>
      <sheetName val="Indices de Bloco"/>
      <sheetName val="Resumo Esquadrias - T1"/>
    </sheetNames>
    <sheetDataSet>
      <sheetData sheetId="0">
        <row r="32">
          <cell r="C32">
            <v>3480224.2810878847</v>
          </cell>
        </row>
        <row r="33">
          <cell r="C33">
            <v>360886.15250195883</v>
          </cell>
        </row>
        <row r="34">
          <cell r="C34">
            <v>896526.2975349325</v>
          </cell>
        </row>
        <row r="35">
          <cell r="C35">
            <v>2836945.6737659127</v>
          </cell>
        </row>
        <row r="36">
          <cell r="C36">
            <v>4630661.6661939044</v>
          </cell>
        </row>
        <row r="37">
          <cell r="C37">
            <v>1010165.4942642079</v>
          </cell>
        </row>
        <row r="38">
          <cell r="C38">
            <v>628956.39540399995</v>
          </cell>
        </row>
        <row r="39">
          <cell r="C39">
            <v>2239417.0776952379</v>
          </cell>
        </row>
        <row r="40">
          <cell r="C40">
            <v>1445508.45</v>
          </cell>
        </row>
        <row r="41">
          <cell r="C41">
            <v>763896.88951999997</v>
          </cell>
        </row>
        <row r="42">
          <cell r="C42">
            <v>1312739.5936981568</v>
          </cell>
        </row>
        <row r="43">
          <cell r="C43">
            <v>614021.42093750008</v>
          </cell>
        </row>
        <row r="44">
          <cell r="C44">
            <v>1522297.0616126752</v>
          </cell>
        </row>
        <row r="45">
          <cell r="C45">
            <v>870504.57496326719</v>
          </cell>
        </row>
        <row r="46">
          <cell r="C46">
            <v>2592852.7899713786</v>
          </cell>
        </row>
        <row r="47">
          <cell r="C47">
            <v>243668.14520000003</v>
          </cell>
        </row>
        <row r="48">
          <cell r="C48">
            <v>136876.19659692002</v>
          </cell>
        </row>
        <row r="49">
          <cell r="C49">
            <v>731054.24577106663</v>
          </cell>
        </row>
        <row r="50">
          <cell r="C50">
            <v>1787965.0052799992</v>
          </cell>
        </row>
        <row r="51">
          <cell r="C51">
            <v>283186.84600547788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çamento resumo Bvo"/>
      <sheetName val="ORÇAMENTO_EXECUTIVO"/>
      <sheetName val="AREAS PRIVATIVAS"/>
      <sheetName val="CN"/>
      <sheetName val="ANÁLISE_CUSTOS"/>
      <sheetName val="CÁLCULO_MÉDIAS"/>
      <sheetName val="Estmiativa"/>
    </sheetNames>
    <sheetDataSet>
      <sheetData sheetId="0" refreshError="1"/>
      <sheetData sheetId="1" refreshError="1">
        <row r="19">
          <cell r="B19">
            <v>2754.98</v>
          </cell>
        </row>
      </sheetData>
      <sheetData sheetId="2" refreshError="1"/>
      <sheetData sheetId="3" refreshError="1"/>
      <sheetData sheetId="4" refreshError="1"/>
      <sheetData sheetId="5" refreshError="1">
        <row r="4">
          <cell r="N4">
            <v>2680.84</v>
          </cell>
        </row>
      </sheetData>
      <sheetData sheetId="6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ichelle Oliveira" id="{9A9401D4-DFED-44C9-A3FD-9C3061420AEF}" userId="5e761594a592f5f8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atricia Bragatto" refreshedDate="45705.353777777775" createdVersion="8" refreshedVersion="7" minRefreshableVersion="3" recordCount="16">
  <cacheSource type="worksheet">
    <worksheetSource ref="A1:D21" sheet="ORÇAMENTO_EXECUTIVO"/>
  </cacheSource>
  <cacheFields count="4">
    <cacheField name="ETAPA" numFmtId="0">
      <sharedItems count="32">
        <s v="GERENCIAMENTO TÉCNICO E ADMINISTRATIVO"/>
        <s v="INFRAESTRUTURA E CONTENÇÃO"/>
        <s v="SUPRAESTRUTURA"/>
        <s v="ALVENARIA"/>
        <s v="REVESTIMENTOS INTERNOS DE PAREDE"/>
        <s v="REVESTIMENTOS EXTERNOS DE PAREDE"/>
        <s v="ESQUADRIAS, VIDROS E FERRAGENS"/>
        <s v="PISOS E PAVIMENTAÇÕES"/>
        <s v="IMPERMEABILIZAÇÃO E TRATAMENTOS"/>
        <s v="INSTALAÇÕES ELÉTRICAS, HIDRÁULICAS, GLP E PREVENTIVAS"/>
        <s v="EQUIPAMENTOS E SISTEMAS ESPECIAIS"/>
        <s v="REVESTIMENTOS E ACABAMENTOS INTERNOS EM TETO"/>
        <s v="SISTEMAS DE PINTURA"/>
        <s v="COBERTURA"/>
        <s v="SERVIÇOS COMPLEMENTARES E FINAIS"/>
        <s v="IMPREVISTOS E CONTINGENCIAS"/>
        <s v="ACABAMENTOS EM PISO E PAREDE" u="1"/>
        <s v="CLIMATIZAÇÃO, EQUIPAMENTOS E SISTEMAS ESPECIAIS" u="1"/>
        <s v="REVESTIMENTOS ARGAMASSADOS" u="1"/>
        <s v="SERVIÇOS COMPLEMENTARES" u="1"/>
        <s v="INFRAESTRUTURA" u="1"/>
        <s v="IMPERMEABILIZAÇÃO" u="1"/>
        <s v="REVESTIMENTOS E ACABAMENTOS DE FACHADA" u="1"/>
        <s v="MOVIMENTAÇÃO DE TERRA" u="1"/>
        <s v="ACABAMENTOS INETRNOS EM PAREDE" u="1"/>
        <s v="ACABAMENTOS INTERNOS EM TETO" u="1"/>
        <s v="_x0009_CONTENÇÃO" u="1"/>
        <s v="REVESTIMENTOS INTERNOS EM PISO E PAREDE" u="1"/>
        <s v="PINTURA INTERNA" u="1"/>
        <s v="LOUÇAS E METAIS" u="1"/>
        <s v="ACABAMENTOS EM PISOS E PAVIMENTAÇÕES" u="1"/>
        <s v="LIMPEZA DE OBRA" u="1"/>
      </sharedItems>
    </cacheField>
    <cacheField name="VALOR ORÇADO" numFmtId="44">
      <sharedItems containsSemiMixedTypes="0" containsString="0" containsNumber="1" minValue="9010.0079999999998" maxValue="22451740.986490972"/>
    </cacheField>
    <cacheField name="%" numFmtId="10">
      <sharedItems containsSemiMixedTypes="0" containsString="0" containsNumber="1" minValue="8.6180596880014115E-5" maxValue="0.21475057949019236"/>
    </cacheField>
    <cacheField name="VALOR / m²" numFmtId="44">
      <sharedItems containsSemiMixedTypes="0" containsString="0" containsNumber="1" minValue="0.27716918533557899" maxValue="690.6687273297794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n v="10234183.182935694"/>
    <n v="9.7889814890819285E-2"/>
    <n v="314.82771329274834"/>
  </r>
  <r>
    <x v="1"/>
    <n v="6464359.3763685543"/>
    <n v="6.1831504422899274E-2"/>
    <n v="198.85900457185872"/>
  </r>
  <r>
    <x v="2"/>
    <n v="22451740.986490972"/>
    <n v="0.21475057949019236"/>
    <n v="690.66872732977947"/>
  </r>
  <r>
    <x v="3"/>
    <n v="4069492.2912899996"/>
    <n v="3.8924635212531269E-2"/>
    <n v="125.18722104422858"/>
  </r>
  <r>
    <x v="4"/>
    <n v="6032521.9647040004"/>
    <n v="5.7700985793795768E-2"/>
    <n v="185.57466302760156"/>
  </r>
  <r>
    <x v="5"/>
    <n v="7821711.6971020028"/>
    <n v="7.4814559840528316E-2"/>
    <n v="240.61437670372001"/>
  </r>
  <r>
    <x v="6"/>
    <n v="7770314.8213879997"/>
    <n v="7.4322949463844878E-2"/>
    <n v="239.03328707866706"/>
  </r>
  <r>
    <x v="7"/>
    <n v="7709145.1776056401"/>
    <n v="7.3737862701202542E-2"/>
    <n v="237.15156396205893"/>
  </r>
  <r>
    <x v="8"/>
    <n v="1306230.930648"/>
    <n v="1.2494080057018924E-2"/>
    <n v="40.182757097201396"/>
  </r>
  <r>
    <x v="9"/>
    <n v="12003647.093346262"/>
    <n v="0.11481471173406588"/>
    <n v="369.26061396600028"/>
  </r>
  <r>
    <x v="10"/>
    <n v="5643841.3445197195"/>
    <n v="5.3983261254242042E-2"/>
    <n v="173.61792660159563"/>
  </r>
  <r>
    <x v="11"/>
    <n v="2845463.2439039997"/>
    <n v="2.721681498615627E-2"/>
    <n v="87.533188562674468"/>
  </r>
  <r>
    <x v="12"/>
    <n v="3245043.3452209979"/>
    <n v="3.1038792905917875E-2"/>
    <n v="99.825218842596584"/>
  </r>
  <r>
    <x v="13"/>
    <n v="9010.0079999999998"/>
    <n v="8.6180596880014115E-5"/>
    <n v="0.27716918533557899"/>
  </r>
  <r>
    <x v="14"/>
    <n v="5396238.2823020602"/>
    <n v="5.161494152675266E-2"/>
    <n v="166.0010699859896"/>
  </r>
  <r>
    <x v="15"/>
    <n v="1545044.15618739"/>
    <n v="1.4778325123152724E-2"/>
    <n v="47.52921751878088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 chartFormat="1">
  <location ref="A26:B43" firstHeaderRow="1" firstDataRow="1" firstDataCol="1"/>
  <pivotFields count="4">
    <pivotField axis="axisRow" showAll="0" sortType="descending">
      <items count="33">
        <item m="1" x="16"/>
        <item x="3"/>
        <item x="13"/>
        <item x="10"/>
        <item x="6"/>
        <item x="0"/>
        <item m="1" x="21"/>
        <item x="15"/>
        <item m="1" x="20"/>
        <item x="9"/>
        <item m="1" x="28"/>
        <item m="1" x="22"/>
        <item x="11"/>
        <item m="1" x="27"/>
        <item m="1" x="19"/>
        <item x="2"/>
        <item m="1" x="23"/>
        <item m="1" x="26"/>
        <item x="1"/>
        <item m="1" x="18"/>
        <item x="8"/>
        <item m="1" x="24"/>
        <item m="1" x="30"/>
        <item m="1" x="25"/>
        <item m="1" x="29"/>
        <item m="1" x="17"/>
        <item m="1" x="31"/>
        <item x="4"/>
        <item x="5"/>
        <item x="7"/>
        <item x="12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</pivotFields>
  <rowFields count="1">
    <field x="0"/>
  </rowFields>
  <rowItems count="17">
    <i>
      <x v="15"/>
    </i>
    <i>
      <x v="9"/>
    </i>
    <i>
      <x v="5"/>
    </i>
    <i>
      <x v="28"/>
    </i>
    <i>
      <x v="4"/>
    </i>
    <i>
      <x v="29"/>
    </i>
    <i>
      <x v="18"/>
    </i>
    <i>
      <x v="27"/>
    </i>
    <i>
      <x v="3"/>
    </i>
    <i>
      <x v="31"/>
    </i>
    <i>
      <x v="1"/>
    </i>
    <i>
      <x v="30"/>
    </i>
    <i>
      <x v="12"/>
    </i>
    <i>
      <x v="7"/>
    </i>
    <i>
      <x v="20"/>
    </i>
    <i>
      <x v="2"/>
    </i>
    <i t="grand">
      <x/>
    </i>
  </rowItems>
  <colItems count="1">
    <i/>
  </colItems>
  <dataFields count="1">
    <dataField name="Soma de %" fld="2" baseField="0" baseItem="15" numFmtId="1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121212"/>
      </a:dk1>
      <a:lt1>
        <a:srgbClr val="F5F5F5"/>
      </a:lt1>
      <a:dk2>
        <a:srgbClr val="121212"/>
      </a:dk2>
      <a:lt2>
        <a:srgbClr val="F5F5F5"/>
      </a:lt2>
      <a:accent1>
        <a:srgbClr val="255AE5"/>
      </a:accent1>
      <a:accent2>
        <a:srgbClr val="FE3400"/>
      </a:accent2>
      <a:accent3>
        <a:srgbClr val="121212"/>
      </a:accent3>
      <a:accent4>
        <a:srgbClr val="FFC000"/>
      </a:accent4>
      <a:accent5>
        <a:srgbClr val="5B9BD5"/>
      </a:accent5>
      <a:accent6>
        <a:srgbClr val="70AD47"/>
      </a:accent6>
      <a:hlink>
        <a:srgbClr val="121212"/>
      </a:hlink>
      <a:folHlink>
        <a:srgbClr val="121212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0" dT="2024-04-30T13:04:05.62" personId="{9A9401D4-DFED-44C9-A3FD-9C3061420AEF}" id="{2BD625B1-ABDE-4BB2-B4E5-9585C5E73455}">
    <text xml:space="preserve">Considerando contenção
</text>
  </threadedComment>
  <threadedComment ref="K10" dT="2024-04-30T13:04:05.62" personId="{9A9401D4-DFED-44C9-A3FD-9C3061420AEF}" id="{E7011368-3FE6-4A88-B09A-0C8D568432B3}">
    <text xml:space="preserve">Considerando contenção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N1004"/>
  <sheetViews>
    <sheetView showGridLines="0" zoomScale="70" zoomScaleNormal="70" workbookViewId="0">
      <pane ySplit="1" topLeftCell="A2" activePane="bottomLeft" state="frozen"/>
      <selection pane="bottomLeft" activeCell="B20" sqref="B20"/>
    </sheetView>
  </sheetViews>
  <sheetFormatPr defaultColWidth="14.42578125" defaultRowHeight="15" customHeight="1" outlineLevelCol="1" x14ac:dyDescent="0.25"/>
  <cols>
    <col min="1" max="1" width="55" bestFit="1" customWidth="1"/>
    <col min="2" max="2" width="25.7109375" bestFit="1" customWidth="1"/>
    <col min="3" max="3" width="16.28515625" style="22" customWidth="1" outlineLevel="1"/>
    <col min="4" max="4" width="21.28515625" style="22" customWidth="1" outlineLevel="1"/>
    <col min="5" max="5" width="30.7109375" customWidth="1"/>
    <col min="6" max="6" width="19.28515625" bestFit="1" customWidth="1"/>
    <col min="7" max="7" width="19.28515625" customWidth="1"/>
    <col min="8" max="8" width="20.140625" bestFit="1" customWidth="1"/>
    <col min="9" max="9" width="17.7109375" customWidth="1"/>
    <col min="10" max="10" width="11.7109375" customWidth="1"/>
    <col min="11" max="11" width="17.85546875" customWidth="1"/>
    <col min="12" max="12" width="11.42578125" customWidth="1"/>
    <col min="13" max="13" width="15.7109375" bestFit="1" customWidth="1"/>
    <col min="14" max="14" width="9.140625" customWidth="1"/>
  </cols>
  <sheetData>
    <row r="1" spans="1:14" s="22" customFormat="1" ht="22.5" customHeight="1" thickBot="1" x14ac:dyDescent="0.3">
      <c r="A1" s="44" t="s">
        <v>0</v>
      </c>
      <c r="B1" s="44" t="s">
        <v>15</v>
      </c>
      <c r="C1" s="44" t="s">
        <v>16</v>
      </c>
      <c r="D1" s="44" t="s">
        <v>2</v>
      </c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22.5" customHeight="1" thickBot="1" x14ac:dyDescent="0.3">
      <c r="A2" s="2" t="s">
        <v>17</v>
      </c>
      <c r="B2" s="52">
        <f ca="1">'[2]Obra '!C32</f>
        <v>3480224.2810878847</v>
      </c>
      <c r="C2" s="10">
        <f ca="1">B2/$B$22</f>
        <v>0.12259337929413744</v>
      </c>
      <c r="D2" s="56">
        <f ca="1">B2/$G$2</f>
        <v>503.85675770074931</v>
      </c>
      <c r="E2" s="7"/>
      <c r="F2" s="23" t="s">
        <v>24</v>
      </c>
      <c r="G2" s="24">
        <v>6907.17</v>
      </c>
      <c r="H2" s="25" t="s">
        <v>25</v>
      </c>
      <c r="J2" s="7"/>
      <c r="K2" s="7"/>
      <c r="L2" s="7"/>
      <c r="M2" s="7"/>
      <c r="N2" s="7"/>
    </row>
    <row r="3" spans="1:14" ht="22.5" customHeight="1" x14ac:dyDescent="0.25">
      <c r="A3" s="8" t="s">
        <v>3</v>
      </c>
      <c r="B3" s="53">
        <f ca="1">'[2]Obra '!C33</f>
        <v>360886.15250195883</v>
      </c>
      <c r="C3" s="9">
        <f ca="1">B3/$B$22</f>
        <v>1.2712471784101472E-2</v>
      </c>
      <c r="D3" s="57">
        <f ca="1">B3/$G$2</f>
        <v>52.248048405057183</v>
      </c>
      <c r="E3" s="7"/>
      <c r="F3" s="7"/>
      <c r="G3" s="7"/>
      <c r="H3" s="7"/>
      <c r="J3" s="7"/>
      <c r="K3" s="7"/>
      <c r="L3" s="7"/>
      <c r="M3" s="7"/>
      <c r="N3" s="7"/>
    </row>
    <row r="4" spans="1:14" ht="19.5" customHeight="1" x14ac:dyDescent="0.25">
      <c r="A4" s="2" t="s">
        <v>113</v>
      </c>
      <c r="B4" s="52">
        <f ca="1">'[2]Obra '!C34</f>
        <v>896526.2975349325</v>
      </c>
      <c r="C4" s="10">
        <f t="shared" ref="C4:C21" ca="1" si="0">B4/$B$22</f>
        <v>3.1580777433836089E-2</v>
      </c>
      <c r="D4" s="56">
        <f t="shared" ref="D4:D21" ca="1" si="1">B4/$G$2</f>
        <v>129.79647200444356</v>
      </c>
      <c r="E4" s="7"/>
      <c r="F4" s="11"/>
      <c r="G4" s="11"/>
      <c r="H4" s="158"/>
      <c r="I4" s="7"/>
      <c r="J4" s="7"/>
      <c r="K4" s="7"/>
      <c r="L4" s="7"/>
      <c r="M4" s="7"/>
      <c r="N4" s="7"/>
    </row>
    <row r="5" spans="1:14" ht="19.5" customHeight="1" x14ac:dyDescent="0.25">
      <c r="A5" s="8" t="s">
        <v>4</v>
      </c>
      <c r="B5" s="53">
        <f ca="1">'[2]Obra '!C35</f>
        <v>2836945.6737659127</v>
      </c>
      <c r="C5" s="9">
        <f t="shared" ref="C5" ca="1" si="2">B5/$B$22</f>
        <v>9.9933432138497341E-2</v>
      </c>
      <c r="D5" s="57">
        <f t="shared" ref="D5" ca="1" si="3">B5/$G$2</f>
        <v>410.72475033420528</v>
      </c>
      <c r="E5" s="7"/>
      <c r="F5" s="11"/>
      <c r="G5" s="11"/>
      <c r="H5" s="158"/>
      <c r="I5" s="7"/>
      <c r="J5" s="7"/>
      <c r="K5" s="7"/>
      <c r="L5" s="7"/>
      <c r="M5" s="7"/>
      <c r="N5" s="7"/>
    </row>
    <row r="6" spans="1:14" ht="19.5" customHeight="1" x14ac:dyDescent="0.25">
      <c r="A6" s="2" t="s">
        <v>5</v>
      </c>
      <c r="B6" s="52">
        <f ca="1">'[2]Obra '!C36</f>
        <v>4630661.6661939044</v>
      </c>
      <c r="C6" s="10">
        <f t="shared" ca="1" si="0"/>
        <v>0.163118355650653</v>
      </c>
      <c r="D6" s="56">
        <f t="shared" ca="1" si="1"/>
        <v>670.41373908473429</v>
      </c>
      <c r="E6" s="7"/>
      <c r="F6" s="7"/>
      <c r="G6" s="157"/>
      <c r="H6" s="158"/>
      <c r="I6" s="7"/>
      <c r="J6" s="7"/>
      <c r="K6" s="7"/>
      <c r="L6" s="7"/>
      <c r="M6" s="7"/>
      <c r="N6" s="7"/>
    </row>
    <row r="7" spans="1:14" ht="19.5" customHeight="1" x14ac:dyDescent="0.25">
      <c r="A7" s="8" t="s">
        <v>6</v>
      </c>
      <c r="B7" s="53">
        <f ca="1">'[2]Obra '!C37</f>
        <v>1010165.4942642079</v>
      </c>
      <c r="C7" s="9">
        <f t="shared" ca="1" si="0"/>
        <v>3.5583799084773576E-2</v>
      </c>
      <c r="D7" s="57">
        <f t="shared" ca="1" si="1"/>
        <v>146.24882466541405</v>
      </c>
      <c r="E7" s="7"/>
      <c r="F7" s="7"/>
      <c r="G7" s="157"/>
      <c r="H7" s="158"/>
      <c r="I7" s="7"/>
      <c r="J7" s="7"/>
      <c r="K7" s="7"/>
      <c r="L7" s="7"/>
      <c r="M7" s="7"/>
      <c r="N7" s="7"/>
    </row>
    <row r="8" spans="1:14" ht="19.5" customHeight="1" x14ac:dyDescent="0.25">
      <c r="A8" s="2" t="s">
        <v>8</v>
      </c>
      <c r="B8" s="52">
        <f ca="1">'[2]Obra '!C38</f>
        <v>628956.39540399995</v>
      </c>
      <c r="C8" s="10">
        <f t="shared" ca="1" si="0"/>
        <v>2.2155437038998384E-2</v>
      </c>
      <c r="D8" s="56">
        <f t="shared" ca="1" si="1"/>
        <v>91.058479146162597</v>
      </c>
      <c r="E8" s="7"/>
      <c r="F8" s="7"/>
      <c r="G8" s="7"/>
      <c r="H8" s="158"/>
      <c r="I8" s="7"/>
      <c r="J8" s="7"/>
      <c r="K8" s="7"/>
      <c r="L8" s="7"/>
      <c r="M8" s="7"/>
      <c r="N8" s="7"/>
    </row>
    <row r="9" spans="1:14" ht="19.5" customHeight="1" x14ac:dyDescent="0.25">
      <c r="A9" s="8" t="s">
        <v>7</v>
      </c>
      <c r="B9" s="53">
        <f ca="1">'[2]Obra '!C39</f>
        <v>2239417.0776952379</v>
      </c>
      <c r="C9" s="9">
        <f t="shared" ca="1" si="0"/>
        <v>7.888506171729924E-2</v>
      </c>
      <c r="D9" s="57">
        <f t="shared" ca="1" si="1"/>
        <v>324.21629664468054</v>
      </c>
      <c r="E9" s="7"/>
      <c r="F9" s="7"/>
      <c r="G9" s="7"/>
      <c r="H9" s="7"/>
      <c r="I9" s="7"/>
      <c r="J9" s="7"/>
      <c r="K9" s="7"/>
      <c r="L9" s="7"/>
      <c r="M9" s="7"/>
      <c r="N9" s="7"/>
    </row>
    <row r="10" spans="1:14" ht="19.5" customHeight="1" x14ac:dyDescent="0.25">
      <c r="A10" s="2" t="s">
        <v>22</v>
      </c>
      <c r="B10" s="52">
        <f ca="1">'[2]Obra '!C40</f>
        <v>1445508.45</v>
      </c>
      <c r="C10" s="10">
        <f t="shared" ca="1" si="0"/>
        <v>5.0919064798989513E-2</v>
      </c>
      <c r="D10" s="56">
        <f t="shared" ca="1" si="1"/>
        <v>209.27651266727182</v>
      </c>
      <c r="E10" s="7"/>
      <c r="F10" s="7"/>
      <c r="G10" s="7"/>
      <c r="H10" s="7"/>
      <c r="I10" s="7"/>
      <c r="J10" s="7"/>
      <c r="K10" s="7"/>
      <c r="L10" s="7"/>
      <c r="M10" s="7"/>
      <c r="N10" s="7"/>
    </row>
    <row r="11" spans="1:14" ht="19.5" customHeight="1" x14ac:dyDescent="0.25">
      <c r="A11" s="8" t="s">
        <v>107</v>
      </c>
      <c r="B11" s="53">
        <f ca="1">'[2]Obra '!C41</f>
        <v>763896.88951999997</v>
      </c>
      <c r="C11" s="9">
        <f t="shared" ca="1" si="0"/>
        <v>2.6908812063475254E-2</v>
      </c>
      <c r="D11" s="57">
        <f t="shared" ca="1" si="1"/>
        <v>110.59477174009037</v>
      </c>
      <c r="E11" s="7"/>
      <c r="F11" s="7"/>
      <c r="G11" s="7"/>
      <c r="H11" s="7"/>
      <c r="I11" s="7"/>
      <c r="J11" s="7"/>
      <c r="K11" s="7"/>
      <c r="L11" s="7"/>
      <c r="M11" s="7"/>
      <c r="N11" s="7"/>
    </row>
    <row r="12" spans="1:14" ht="19.5" customHeight="1" x14ac:dyDescent="0.25">
      <c r="A12" s="2" t="s">
        <v>108</v>
      </c>
      <c r="B12" s="52">
        <f ca="1">'[2]Obra '!C42</f>
        <v>1312739.5936981568</v>
      </c>
      <c r="C12" s="10">
        <f t="shared" ca="1" si="0"/>
        <v>4.6242187263392069E-2</v>
      </c>
      <c r="D12" s="56">
        <f t="shared" ca="1" si="1"/>
        <v>190.05462348518375</v>
      </c>
      <c r="E12" s="7"/>
      <c r="F12" s="7"/>
      <c r="G12" s="7"/>
      <c r="H12" s="7"/>
      <c r="I12" s="7"/>
      <c r="J12" s="7"/>
      <c r="K12" s="7"/>
      <c r="L12" s="7"/>
      <c r="M12" s="7"/>
      <c r="N12" s="7"/>
    </row>
    <row r="13" spans="1:14" ht="19.5" customHeight="1" x14ac:dyDescent="0.25">
      <c r="A13" s="8" t="s">
        <v>109</v>
      </c>
      <c r="B13" s="53">
        <f ca="1">'[2]Obra '!C43</f>
        <v>614021.42093750008</v>
      </c>
      <c r="C13" s="9">
        <f t="shared" ca="1" si="0"/>
        <v>2.1629341925108903E-2</v>
      </c>
      <c r="D13" s="57">
        <f t="shared" ca="1" si="1"/>
        <v>88.896236944725558</v>
      </c>
      <c r="E13" s="7"/>
      <c r="F13" s="7"/>
      <c r="G13" s="7"/>
      <c r="H13" s="7"/>
      <c r="I13" s="7"/>
      <c r="J13" s="7"/>
      <c r="K13" s="7"/>
      <c r="L13" s="7"/>
      <c r="M13" s="7"/>
      <c r="N13" s="7"/>
    </row>
    <row r="14" spans="1:14" ht="19.5" customHeight="1" x14ac:dyDescent="0.25">
      <c r="A14" s="2" t="s">
        <v>52</v>
      </c>
      <c r="B14" s="52">
        <f ca="1">'[2]Obra '!C44</f>
        <v>1522297.0616126752</v>
      </c>
      <c r="C14" s="10">
        <f t="shared" ref="C14:C15" ca="1" si="4">B14/$B$22</f>
        <v>5.3623998340215265E-2</v>
      </c>
      <c r="D14" s="56">
        <f t="shared" ref="D14:D15" ca="1" si="5">B14/$G$2</f>
        <v>220.39374470480314</v>
      </c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14" ht="19.5" customHeight="1" x14ac:dyDescent="0.25">
      <c r="A15" s="8" t="s">
        <v>10</v>
      </c>
      <c r="B15" s="53">
        <f ca="1">'[2]Obra '!C45</f>
        <v>870504.57496326719</v>
      </c>
      <c r="C15" s="9">
        <f t="shared" ca="1" si="4"/>
        <v>3.0664143720758898E-2</v>
      </c>
      <c r="D15" s="57">
        <f t="shared" ca="1" si="5"/>
        <v>126.0291226310149</v>
      </c>
      <c r="E15" s="7"/>
      <c r="F15" s="7"/>
      <c r="G15" s="7"/>
      <c r="H15" s="7"/>
      <c r="I15" s="7"/>
      <c r="J15" s="7"/>
      <c r="K15" s="7"/>
      <c r="L15" s="7"/>
      <c r="M15" s="7"/>
      <c r="N15" s="7"/>
    </row>
    <row r="16" spans="1:14" ht="19.5" customHeight="1" x14ac:dyDescent="0.25">
      <c r="A16" s="2" t="s">
        <v>11</v>
      </c>
      <c r="B16" s="52">
        <f ca="1">'[2]Obra '!C46</f>
        <v>2592852.7899713786</v>
      </c>
      <c r="C16" s="10">
        <f t="shared" ca="1" si="0"/>
        <v>9.1335086437435473E-2</v>
      </c>
      <c r="D16" s="56">
        <f t="shared" ca="1" si="1"/>
        <v>375.38569196521564</v>
      </c>
      <c r="E16" s="7"/>
      <c r="F16" s="7"/>
      <c r="G16" s="7"/>
      <c r="H16" s="7"/>
      <c r="I16" s="7"/>
      <c r="J16" s="7"/>
      <c r="K16" s="7"/>
      <c r="L16" s="7"/>
      <c r="M16" s="7"/>
      <c r="N16" s="7"/>
    </row>
    <row r="17" spans="1:14" ht="19.5" customHeight="1" x14ac:dyDescent="0.25">
      <c r="A17" s="8" t="s">
        <v>110</v>
      </c>
      <c r="B17" s="53">
        <f ca="1">'[2]Obra '!C47</f>
        <v>243668.14520000003</v>
      </c>
      <c r="C17" s="9">
        <f t="shared" ca="1" si="0"/>
        <v>8.5833839815245543E-3</v>
      </c>
      <c r="D17" s="57">
        <f t="shared" ca="1" si="1"/>
        <v>35.277565949585721</v>
      </c>
      <c r="E17" s="7"/>
      <c r="F17" s="7"/>
      <c r="G17" s="7"/>
      <c r="H17" s="7"/>
      <c r="I17" s="7"/>
      <c r="J17" s="7"/>
      <c r="K17" s="7"/>
      <c r="L17" s="7"/>
      <c r="M17" s="7"/>
      <c r="N17" s="7"/>
    </row>
    <row r="18" spans="1:14" ht="19.5" customHeight="1" x14ac:dyDescent="0.25">
      <c r="A18" s="2" t="s">
        <v>21</v>
      </c>
      <c r="B18" s="52">
        <f ca="1">'[2]Obra '!C48</f>
        <v>136876.19659692002</v>
      </c>
      <c r="C18" s="10">
        <f t="shared" ca="1" si="0"/>
        <v>4.8215615231843156E-3</v>
      </c>
      <c r="D18" s="56">
        <f t="shared" ca="1" si="1"/>
        <v>19.816537973861948</v>
      </c>
      <c r="E18" s="7"/>
      <c r="F18" s="7"/>
      <c r="G18" s="7"/>
      <c r="H18" s="7"/>
      <c r="I18" s="7"/>
      <c r="J18" s="7"/>
      <c r="K18" s="7"/>
      <c r="L18" s="7"/>
      <c r="M18" s="7"/>
      <c r="N18" s="7"/>
    </row>
    <row r="19" spans="1:14" ht="19.5" customHeight="1" x14ac:dyDescent="0.25">
      <c r="A19" s="8" t="s">
        <v>12</v>
      </c>
      <c r="B19" s="53">
        <f ca="1">'[2]Obra '!C49</f>
        <v>731054.24577106663</v>
      </c>
      <c r="C19" s="9">
        <f t="shared" ref="C19" ca="1" si="6">B19/$B$22</f>
        <v>2.5751906543329685E-2</v>
      </c>
      <c r="D19" s="57">
        <f t="shared" ref="D19" ca="1" si="7">B19/$G$2</f>
        <v>105.8399092205732</v>
      </c>
      <c r="E19" s="7"/>
      <c r="F19" s="7"/>
      <c r="G19" s="7"/>
      <c r="H19" s="7"/>
      <c r="I19" s="7"/>
      <c r="J19" s="7"/>
      <c r="K19" s="7"/>
      <c r="L19" s="7"/>
      <c r="M19" s="7"/>
      <c r="N19" s="7"/>
    </row>
    <row r="20" spans="1:14" ht="19.5" customHeight="1" x14ac:dyDescent="0.25">
      <c r="A20" s="2" t="s">
        <v>13</v>
      </c>
      <c r="B20" s="52">
        <f ca="1">'[2]Obra '!C50</f>
        <v>1787965.0052799992</v>
      </c>
      <c r="C20" s="10">
        <f t="shared" ca="1" si="0"/>
        <v>6.298234089339147E-2</v>
      </c>
      <c r="D20" s="56">
        <f t="shared" ca="1" si="1"/>
        <v>258.85637754391439</v>
      </c>
      <c r="E20" s="7"/>
      <c r="F20" s="7"/>
      <c r="G20" s="7"/>
      <c r="H20" s="7"/>
      <c r="I20" s="7"/>
      <c r="J20" s="7"/>
      <c r="K20" s="7"/>
      <c r="L20" s="7"/>
      <c r="M20" s="7"/>
      <c r="N20" s="7"/>
    </row>
    <row r="21" spans="1:14" ht="19.5" customHeight="1" x14ac:dyDescent="0.25">
      <c r="A21" s="8" t="s">
        <v>111</v>
      </c>
      <c r="B21" s="53">
        <f ca="1">'[2]Obra '!C51</f>
        <v>283186.84600547788</v>
      </c>
      <c r="C21" s="9">
        <f t="shared" ca="1" si="0"/>
        <v>9.9754583668980931E-3</v>
      </c>
      <c r="D21" s="57">
        <f t="shared" ca="1" si="1"/>
        <v>40.99896860877579</v>
      </c>
      <c r="E21" s="7"/>
      <c r="F21" s="7"/>
      <c r="G21" s="7"/>
      <c r="H21" s="7"/>
      <c r="I21" s="7"/>
      <c r="J21" s="7"/>
      <c r="K21" s="7"/>
      <c r="L21" s="7"/>
      <c r="M21" s="7"/>
      <c r="N21" s="7"/>
    </row>
    <row r="22" spans="1:14" ht="19.5" customHeight="1" x14ac:dyDescent="0.25">
      <c r="A22" s="43" t="s">
        <v>14</v>
      </c>
      <c r="B22" s="54">
        <f ca="1">SUM(B2:B21)</f>
        <v>28388354.258004479</v>
      </c>
      <c r="C22" s="45">
        <f ca="1">SUM(C2:C21)</f>
        <v>1.0000000000000002</v>
      </c>
      <c r="D22" s="55">
        <f ca="1">SUM(D2:D21)</f>
        <v>4109.9834314204627</v>
      </c>
      <c r="E22" s="7"/>
      <c r="F22" s="7"/>
      <c r="G22" s="7"/>
      <c r="H22" s="7"/>
      <c r="I22" s="7"/>
      <c r="J22" s="7"/>
      <c r="K22" s="7"/>
      <c r="L22" s="7"/>
      <c r="M22" s="7"/>
      <c r="N22" s="7"/>
    </row>
    <row r="23" spans="1:14" ht="22.5" customHeight="1" x14ac:dyDescent="0.25">
      <c r="A23" s="43" t="s">
        <v>37</v>
      </c>
      <c r="B23" s="55">
        <v>2907.85</v>
      </c>
      <c r="C23" s="47">
        <v>45717</v>
      </c>
      <c r="D23" s="50" t="str">
        <f ca="1">ROUNDUP(+D22/B23,2)&amp;" CUB"</f>
        <v>1,42 CUB</v>
      </c>
      <c r="E23" s="7"/>
      <c r="F23" s="163">
        <f ca="1">SUM(B2:B20)</f>
        <v>28105167.411999002</v>
      </c>
      <c r="G23" s="7"/>
      <c r="H23" s="7"/>
      <c r="I23" s="7"/>
      <c r="J23" s="7"/>
      <c r="K23" s="7"/>
      <c r="L23" s="7"/>
      <c r="M23" s="7"/>
      <c r="N23" s="7"/>
    </row>
    <row r="24" spans="1:14" ht="22.5" customHeight="1" x14ac:dyDescent="0.25">
      <c r="A24" s="7"/>
      <c r="B24" s="7">
        <v>7385.89</v>
      </c>
      <c r="C24" s="13"/>
      <c r="D24" s="13"/>
      <c r="E24" s="7"/>
      <c r="F24" s="7"/>
      <c r="G24" s="7"/>
      <c r="H24" s="7"/>
      <c r="I24" s="7"/>
      <c r="J24" s="7"/>
      <c r="K24" s="7"/>
      <c r="L24" s="7"/>
      <c r="M24" s="7"/>
      <c r="N24" s="7"/>
    </row>
    <row r="25" spans="1:14" ht="15" customHeight="1" x14ac:dyDescent="0.25">
      <c r="A25" s="7"/>
      <c r="B25" s="12"/>
      <c r="C25" s="13"/>
      <c r="D25" s="13"/>
      <c r="E25" s="7"/>
      <c r="F25" s="7"/>
      <c r="G25" s="7"/>
      <c r="H25" s="7"/>
      <c r="I25" s="7"/>
      <c r="J25" s="7"/>
      <c r="K25" s="7"/>
      <c r="L25" s="7"/>
      <c r="M25" s="7"/>
      <c r="N25" s="7"/>
    </row>
    <row r="26" spans="1:14" ht="19.5" customHeight="1" x14ac:dyDescent="0.25">
      <c r="A26" s="98" t="s">
        <v>55</v>
      </c>
      <c r="B26" t="s">
        <v>104</v>
      </c>
      <c r="C26"/>
      <c r="D26" s="13"/>
      <c r="E26" s="7"/>
      <c r="F26" s="7"/>
      <c r="G26" s="7"/>
      <c r="H26" s="7"/>
      <c r="I26" s="7"/>
      <c r="J26" s="7"/>
      <c r="K26" s="7"/>
      <c r="L26" s="7"/>
      <c r="M26" s="7"/>
      <c r="N26" s="7"/>
    </row>
    <row r="27" spans="1:14" ht="19.5" customHeight="1" x14ac:dyDescent="0.25">
      <c r="A27" s="99" t="s">
        <v>5</v>
      </c>
      <c r="B27" s="100">
        <v>0.21475057949019236</v>
      </c>
      <c r="C27"/>
      <c r="E27" s="7"/>
      <c r="F27" s="7"/>
      <c r="G27" s="7"/>
      <c r="H27" s="7"/>
      <c r="I27" s="7"/>
      <c r="J27" s="7"/>
      <c r="K27" s="7"/>
      <c r="L27" s="7"/>
      <c r="M27" s="7"/>
      <c r="N27" s="7"/>
    </row>
    <row r="28" spans="1:14" ht="19.5" customHeight="1" x14ac:dyDescent="0.25">
      <c r="A28" s="99" t="s">
        <v>7</v>
      </c>
      <c r="B28" s="100">
        <v>0.11481471173406588</v>
      </c>
      <c r="C28"/>
      <c r="D28" s="13"/>
      <c r="F28" s="7"/>
      <c r="G28" s="7"/>
      <c r="H28" s="7"/>
      <c r="I28" s="7"/>
      <c r="J28" s="7"/>
      <c r="K28" s="7"/>
      <c r="L28" s="7"/>
      <c r="M28" s="7"/>
      <c r="N28" s="7"/>
    </row>
    <row r="29" spans="1:14" ht="19.5" customHeight="1" x14ac:dyDescent="0.45">
      <c r="A29" s="99" t="s">
        <v>17</v>
      </c>
      <c r="B29" s="100">
        <v>9.7889814890819285E-2</v>
      </c>
      <c r="C29"/>
      <c r="D29" s="13"/>
      <c r="E29" s="15"/>
      <c r="F29" s="7"/>
      <c r="G29" s="7"/>
      <c r="H29" s="7"/>
      <c r="I29" s="7"/>
      <c r="J29" s="7"/>
      <c r="K29" s="7"/>
      <c r="L29" s="7"/>
      <c r="M29" s="7"/>
      <c r="N29" s="7"/>
    </row>
    <row r="30" spans="1:14" ht="19.5" customHeight="1" x14ac:dyDescent="0.25">
      <c r="A30" s="99" t="s">
        <v>105</v>
      </c>
      <c r="B30" s="100">
        <v>7.4814559840528316E-2</v>
      </c>
      <c r="C30"/>
      <c r="D30" s="13"/>
      <c r="E30" s="16"/>
      <c r="F30" s="7"/>
      <c r="G30" s="7"/>
      <c r="H30" s="7"/>
      <c r="I30" s="7"/>
      <c r="J30" s="7"/>
      <c r="K30" s="7"/>
      <c r="L30" s="7"/>
      <c r="M30" s="7"/>
      <c r="N30" s="7"/>
    </row>
    <row r="31" spans="1:14" ht="19.5" customHeight="1" x14ac:dyDescent="0.25">
      <c r="A31" s="99" t="s">
        <v>11</v>
      </c>
      <c r="B31" s="100">
        <v>7.4322949463844878E-2</v>
      </c>
      <c r="C31"/>
      <c r="D31" s="13"/>
      <c r="E31" s="7"/>
      <c r="F31" s="7"/>
      <c r="G31" s="7"/>
      <c r="H31" s="7"/>
      <c r="I31" s="7"/>
      <c r="J31" s="7"/>
      <c r="K31" s="7"/>
      <c r="L31" s="7"/>
      <c r="M31" s="7"/>
      <c r="N31" s="7"/>
    </row>
    <row r="32" spans="1:14" ht="19.5" customHeight="1" x14ac:dyDescent="0.25">
      <c r="A32" s="99" t="s">
        <v>52</v>
      </c>
      <c r="B32" s="100">
        <v>7.3737862701202542E-2</v>
      </c>
      <c r="C32"/>
      <c r="D32" s="13"/>
      <c r="E32" s="7"/>
      <c r="F32" s="7"/>
      <c r="G32" s="7"/>
      <c r="H32" s="7"/>
      <c r="I32" s="7"/>
      <c r="J32" s="7"/>
      <c r="K32" s="7"/>
      <c r="L32" s="7"/>
      <c r="M32" s="7"/>
      <c r="N32" s="7"/>
    </row>
    <row r="33" spans="1:14" ht="19.5" customHeight="1" x14ac:dyDescent="0.25">
      <c r="A33" s="99" t="s">
        <v>102</v>
      </c>
      <c r="B33" s="100">
        <v>6.1831504422899274E-2</v>
      </c>
      <c r="C33"/>
      <c r="D33" s="13"/>
      <c r="E33" s="7"/>
      <c r="F33" s="7"/>
      <c r="G33" s="7"/>
      <c r="H33" s="7"/>
      <c r="I33" s="7"/>
      <c r="J33" s="7"/>
      <c r="K33" s="7"/>
      <c r="L33" s="7"/>
      <c r="M33" s="7"/>
      <c r="N33" s="7"/>
    </row>
    <row r="34" spans="1:14" ht="19.5" customHeight="1" x14ac:dyDescent="0.25">
      <c r="A34" s="99" t="s">
        <v>51</v>
      </c>
      <c r="B34" s="100">
        <v>5.7700985793795768E-2</v>
      </c>
      <c r="C34"/>
      <c r="D34" s="13"/>
      <c r="E34" s="7"/>
      <c r="F34" s="7"/>
      <c r="G34" s="7"/>
      <c r="H34" s="7"/>
      <c r="I34" s="7"/>
      <c r="J34" s="7"/>
      <c r="K34" s="7"/>
      <c r="L34" s="7"/>
      <c r="M34" s="7"/>
      <c r="N34" s="7"/>
    </row>
    <row r="35" spans="1:14" ht="19.5" customHeight="1" x14ac:dyDescent="0.25">
      <c r="A35" s="99" t="s">
        <v>22</v>
      </c>
      <c r="B35" s="100">
        <v>5.3983261254242042E-2</v>
      </c>
      <c r="C35"/>
      <c r="E35" s="7"/>
      <c r="F35" s="7"/>
      <c r="G35" s="7"/>
      <c r="H35" s="7"/>
      <c r="I35" s="7"/>
      <c r="J35" s="7"/>
      <c r="K35" s="7"/>
      <c r="L35" s="7"/>
      <c r="M35" s="7"/>
      <c r="N35" s="7"/>
    </row>
    <row r="36" spans="1:14" ht="19.5" customHeight="1" x14ac:dyDescent="0.25">
      <c r="A36" s="99" t="s">
        <v>53</v>
      </c>
      <c r="B36" s="100">
        <v>5.161494152675266E-2</v>
      </c>
      <c r="C36"/>
      <c r="D36" s="13"/>
      <c r="F36" s="7"/>
      <c r="G36" s="7"/>
      <c r="H36" s="7"/>
      <c r="I36" s="7"/>
      <c r="J36" s="7"/>
      <c r="K36" s="7"/>
      <c r="L36" s="7"/>
      <c r="M36" s="7"/>
      <c r="N36" s="7"/>
    </row>
    <row r="37" spans="1:14" ht="19.5" customHeight="1" x14ac:dyDescent="0.25">
      <c r="A37" s="99" t="s">
        <v>6</v>
      </c>
      <c r="B37" s="100">
        <v>3.8924635212531269E-2</v>
      </c>
      <c r="C37"/>
      <c r="D37" s="13"/>
      <c r="E37" s="7"/>
      <c r="F37" s="7"/>
      <c r="G37" s="7"/>
      <c r="H37" s="7"/>
      <c r="I37" s="7"/>
      <c r="J37" s="7"/>
      <c r="K37" s="7"/>
      <c r="L37" s="7"/>
      <c r="M37" s="7"/>
      <c r="N37" s="7"/>
    </row>
    <row r="38" spans="1:14" ht="19.5" customHeight="1" x14ac:dyDescent="0.25">
      <c r="A38" s="99" t="s">
        <v>106</v>
      </c>
      <c r="B38" s="100">
        <v>3.1038792905917875E-2</v>
      </c>
      <c r="C38"/>
      <c r="D38" s="13"/>
      <c r="E38" s="7"/>
      <c r="F38" s="7"/>
      <c r="G38" s="7"/>
      <c r="H38" s="7"/>
      <c r="I38" s="7"/>
      <c r="J38" s="7"/>
      <c r="K38" s="7"/>
      <c r="L38" s="7"/>
      <c r="M38" s="7"/>
      <c r="N38" s="7"/>
    </row>
    <row r="39" spans="1:14" ht="19.5" customHeight="1" x14ac:dyDescent="0.25">
      <c r="A39" s="99" t="s">
        <v>19</v>
      </c>
      <c r="B39" s="100">
        <v>2.721681498615627E-2</v>
      </c>
      <c r="C39"/>
      <c r="D39" s="13"/>
      <c r="E39" s="7"/>
      <c r="F39" s="7"/>
      <c r="G39" s="7"/>
      <c r="H39" s="7"/>
      <c r="I39" s="7"/>
      <c r="J39" s="7"/>
      <c r="K39" s="7"/>
      <c r="L39" s="7"/>
      <c r="M39" s="7"/>
      <c r="N39" s="7"/>
    </row>
    <row r="40" spans="1:14" ht="19.5" customHeight="1" x14ac:dyDescent="0.25">
      <c r="A40" s="99" t="s">
        <v>20</v>
      </c>
      <c r="B40" s="100">
        <v>1.4778325123152724E-2</v>
      </c>
      <c r="C40"/>
      <c r="D40" s="13"/>
      <c r="E40" s="7"/>
      <c r="F40" s="7"/>
      <c r="G40" s="7"/>
      <c r="H40" s="7"/>
      <c r="I40" s="7"/>
      <c r="J40" s="7"/>
      <c r="K40" s="7"/>
      <c r="L40" s="7"/>
      <c r="M40" s="7"/>
      <c r="N40" s="7"/>
    </row>
    <row r="41" spans="1:14" ht="19.5" customHeight="1" x14ac:dyDescent="0.25">
      <c r="A41" s="99" t="s">
        <v>50</v>
      </c>
      <c r="B41" s="100">
        <v>1.2494080057018924E-2</v>
      </c>
      <c r="C41"/>
      <c r="D41" s="13"/>
      <c r="E41" s="7"/>
      <c r="F41" s="7"/>
      <c r="G41" s="7"/>
      <c r="H41" s="7"/>
      <c r="I41" s="7"/>
      <c r="J41" s="7"/>
      <c r="K41" s="7"/>
      <c r="L41" s="7"/>
      <c r="M41" s="7"/>
      <c r="N41" s="7"/>
    </row>
    <row r="42" spans="1:14" ht="19.5" customHeight="1" x14ac:dyDescent="0.25">
      <c r="A42" s="99" t="s">
        <v>21</v>
      </c>
      <c r="B42" s="100">
        <v>8.6180596880014115E-5</v>
      </c>
      <c r="C42"/>
      <c r="D42" s="13"/>
      <c r="E42" s="7"/>
      <c r="F42" s="7"/>
      <c r="G42" s="7"/>
      <c r="H42" s="7"/>
      <c r="I42" s="7"/>
      <c r="J42" s="7"/>
      <c r="K42" s="7"/>
      <c r="L42" s="7"/>
      <c r="M42" s="7"/>
      <c r="N42" s="7"/>
    </row>
    <row r="43" spans="1:14" ht="19.5" customHeight="1" x14ac:dyDescent="0.25">
      <c r="A43" s="99" t="s">
        <v>56</v>
      </c>
      <c r="B43" s="100">
        <v>1</v>
      </c>
      <c r="C43"/>
      <c r="D43" s="13"/>
      <c r="E43" s="7"/>
      <c r="F43" s="7"/>
      <c r="G43" s="7"/>
      <c r="H43" s="7"/>
      <c r="I43" s="7"/>
      <c r="J43" s="7"/>
      <c r="K43" s="7"/>
      <c r="L43" s="7"/>
      <c r="M43" s="7"/>
      <c r="N43" s="7"/>
    </row>
    <row r="44" spans="1:14" ht="19.5" x14ac:dyDescent="0.25">
      <c r="C44" s="13"/>
      <c r="D44" s="13"/>
      <c r="E44" s="7"/>
      <c r="F44" s="7"/>
      <c r="G44" s="7"/>
      <c r="H44" s="7"/>
      <c r="I44" s="7"/>
      <c r="J44" s="7"/>
      <c r="K44" s="7"/>
      <c r="L44" s="7"/>
      <c r="M44" s="7"/>
      <c r="N44" s="7"/>
    </row>
    <row r="45" spans="1:14" ht="19.5" x14ac:dyDescent="0.25">
      <c r="C45" s="13"/>
      <c r="D45" s="13"/>
      <c r="E45" s="7"/>
      <c r="F45" s="7"/>
      <c r="G45" s="7"/>
      <c r="H45" s="7"/>
      <c r="I45" s="7"/>
      <c r="J45" s="7"/>
      <c r="K45" s="7"/>
      <c r="L45" s="7"/>
      <c r="M45" s="7"/>
      <c r="N45" s="7"/>
    </row>
    <row r="46" spans="1:14" ht="19.5" customHeight="1" x14ac:dyDescent="0.25">
      <c r="C46" s="13"/>
      <c r="D46" s="13"/>
      <c r="E46" s="7"/>
      <c r="F46" s="7"/>
      <c r="G46" s="7"/>
      <c r="H46" s="7"/>
      <c r="I46" s="7"/>
      <c r="J46" s="7"/>
      <c r="K46" s="7"/>
      <c r="L46" s="7"/>
      <c r="M46" s="7"/>
      <c r="N46" s="7"/>
    </row>
    <row r="47" spans="1:14" ht="19.5" customHeight="1" x14ac:dyDescent="0.25">
      <c r="A47" s="7"/>
      <c r="B47" s="7"/>
      <c r="C47" s="13"/>
      <c r="D47" s="13"/>
      <c r="E47" s="7"/>
      <c r="F47" s="7"/>
      <c r="G47" s="7"/>
      <c r="H47" s="7"/>
      <c r="I47" s="7"/>
      <c r="J47" s="7"/>
      <c r="K47" s="7"/>
      <c r="L47" s="7"/>
      <c r="M47" s="7"/>
      <c r="N47" s="7"/>
    </row>
    <row r="48" spans="1:14" ht="19.5" customHeight="1" x14ac:dyDescent="0.25">
      <c r="A48" s="7"/>
      <c r="B48" s="7"/>
      <c r="C48" s="13"/>
      <c r="D48" s="13"/>
      <c r="E48" s="7"/>
      <c r="F48" s="7"/>
      <c r="G48" s="7"/>
      <c r="H48" s="7"/>
      <c r="I48" s="7"/>
      <c r="J48" s="7"/>
      <c r="K48" s="7"/>
      <c r="L48" s="7"/>
      <c r="M48" s="7"/>
      <c r="N48" s="7"/>
    </row>
    <row r="49" spans="1:14" ht="19.5" customHeight="1" x14ac:dyDescent="0.25">
      <c r="A49" s="7"/>
      <c r="B49" s="7"/>
      <c r="C49" s="13"/>
      <c r="D49" s="13"/>
      <c r="E49" s="7"/>
      <c r="F49" s="7"/>
      <c r="G49" s="7"/>
      <c r="H49" s="7"/>
      <c r="I49" s="7"/>
      <c r="J49" s="7"/>
      <c r="K49" s="7"/>
      <c r="L49" s="7"/>
      <c r="M49" s="7"/>
      <c r="N49" s="7"/>
    </row>
    <row r="50" spans="1:14" ht="19.5" customHeight="1" x14ac:dyDescent="0.25">
      <c r="A50" s="7"/>
      <c r="B50" s="7"/>
      <c r="C50" s="13"/>
      <c r="D50" s="13"/>
      <c r="E50" s="7"/>
      <c r="F50" s="7"/>
      <c r="G50" s="7"/>
      <c r="H50" s="7"/>
      <c r="I50" s="7"/>
      <c r="J50" s="7"/>
      <c r="K50" s="7"/>
      <c r="L50" s="7"/>
      <c r="M50" s="7"/>
      <c r="N50" s="7"/>
    </row>
    <row r="51" spans="1:14" ht="19.5" customHeight="1" x14ac:dyDescent="0.25">
      <c r="A51" s="7"/>
      <c r="B51" s="7"/>
      <c r="C51" s="13"/>
      <c r="D51" s="13"/>
      <c r="E51" s="7"/>
      <c r="F51" s="7"/>
      <c r="G51" s="7"/>
      <c r="H51" s="7"/>
      <c r="I51" s="7"/>
      <c r="J51" s="7"/>
      <c r="K51" s="7"/>
      <c r="L51" s="7"/>
      <c r="M51" s="7"/>
      <c r="N51" s="7"/>
    </row>
    <row r="52" spans="1:14" ht="19.5" customHeight="1" x14ac:dyDescent="0.25">
      <c r="A52" s="7"/>
      <c r="B52" s="7"/>
      <c r="C52" s="13"/>
      <c r="D52" s="13"/>
      <c r="E52" s="7"/>
      <c r="F52" s="7"/>
      <c r="G52" s="7"/>
      <c r="H52" s="7"/>
      <c r="I52" s="7"/>
      <c r="J52" s="7"/>
      <c r="K52" s="7"/>
      <c r="L52" s="7"/>
      <c r="M52" s="7"/>
      <c r="N52" s="7"/>
    </row>
    <row r="53" spans="1:14" ht="19.5" customHeight="1" x14ac:dyDescent="0.25">
      <c r="A53" s="7"/>
      <c r="B53" s="7"/>
      <c r="C53" s="13"/>
      <c r="D53" s="13"/>
      <c r="E53" s="7"/>
      <c r="F53" s="7"/>
      <c r="G53" s="7"/>
      <c r="H53" s="7"/>
      <c r="I53" s="7"/>
      <c r="J53" s="7"/>
      <c r="K53" s="7"/>
      <c r="L53" s="7"/>
      <c r="M53" s="7"/>
      <c r="N53" s="7"/>
    </row>
    <row r="54" spans="1:14" ht="19.5" customHeight="1" x14ac:dyDescent="0.25">
      <c r="A54" s="7"/>
      <c r="B54" s="7"/>
      <c r="C54" s="13"/>
      <c r="D54" s="13"/>
      <c r="E54" s="7"/>
      <c r="F54" s="7"/>
      <c r="G54" s="7"/>
      <c r="H54" s="7"/>
      <c r="I54" s="7"/>
      <c r="J54" s="7"/>
      <c r="K54" s="7"/>
      <c r="L54" s="7"/>
      <c r="M54" s="7"/>
      <c r="N54" s="7"/>
    </row>
    <row r="55" spans="1:14" ht="19.5" customHeight="1" x14ac:dyDescent="0.25">
      <c r="A55" s="7"/>
      <c r="B55" s="7"/>
      <c r="C55" s="13"/>
      <c r="D55" s="13"/>
      <c r="E55" s="7"/>
      <c r="F55" s="7"/>
      <c r="G55" s="7"/>
      <c r="H55" s="7"/>
      <c r="I55" s="7"/>
      <c r="J55" s="7"/>
      <c r="K55" s="7"/>
      <c r="L55" s="7"/>
      <c r="M55" s="7"/>
      <c r="N55" s="7"/>
    </row>
    <row r="56" spans="1:14" ht="19.5" customHeight="1" x14ac:dyDescent="0.25">
      <c r="A56" s="7"/>
      <c r="B56" s="7"/>
      <c r="C56" s="13"/>
      <c r="D56" s="13"/>
      <c r="E56" s="7"/>
      <c r="F56" s="7"/>
      <c r="G56" s="7"/>
      <c r="H56" s="7"/>
      <c r="I56" s="7"/>
      <c r="J56" s="7"/>
      <c r="K56" s="7"/>
      <c r="L56" s="7"/>
      <c r="M56" s="7"/>
      <c r="N56" s="7"/>
    </row>
    <row r="57" spans="1:14" ht="19.5" customHeight="1" x14ac:dyDescent="0.25">
      <c r="A57" s="7"/>
      <c r="B57" s="7"/>
      <c r="C57" s="13"/>
      <c r="D57" s="13"/>
      <c r="E57" s="7"/>
      <c r="F57" s="7"/>
      <c r="G57" s="7"/>
      <c r="H57" s="7"/>
      <c r="I57" s="7"/>
      <c r="J57" s="7"/>
      <c r="K57" s="7"/>
      <c r="L57" s="7"/>
      <c r="M57" s="7"/>
      <c r="N57" s="7"/>
    </row>
    <row r="58" spans="1:14" ht="19.5" customHeight="1" x14ac:dyDescent="0.25">
      <c r="A58" s="7"/>
      <c r="B58" s="7"/>
      <c r="C58" s="13"/>
      <c r="D58" s="13"/>
      <c r="E58" s="7"/>
      <c r="F58" s="7"/>
      <c r="G58" s="7"/>
      <c r="H58" s="7"/>
      <c r="I58" s="7"/>
      <c r="J58" s="7"/>
      <c r="K58" s="7"/>
      <c r="L58" s="7"/>
      <c r="M58" s="7"/>
      <c r="N58" s="7"/>
    </row>
    <row r="59" spans="1:14" ht="19.5" customHeight="1" x14ac:dyDescent="0.25">
      <c r="A59" s="7"/>
      <c r="B59" s="7"/>
      <c r="C59" s="13"/>
      <c r="D59" s="13"/>
      <c r="E59" s="7"/>
      <c r="F59" s="7"/>
      <c r="G59" s="7"/>
      <c r="H59" s="7"/>
      <c r="I59" s="7"/>
      <c r="J59" s="7"/>
      <c r="K59" s="7"/>
      <c r="L59" s="7"/>
      <c r="M59" s="7"/>
      <c r="N59" s="7"/>
    </row>
    <row r="60" spans="1:14" ht="19.5" customHeight="1" x14ac:dyDescent="0.25">
      <c r="A60" s="7"/>
      <c r="B60" s="7"/>
      <c r="C60" s="13"/>
      <c r="D60" s="13"/>
      <c r="E60" s="7"/>
      <c r="F60" s="7"/>
      <c r="G60" s="7"/>
      <c r="H60" s="7"/>
      <c r="I60" s="7"/>
      <c r="J60" s="7"/>
      <c r="K60" s="7"/>
      <c r="L60" s="7"/>
      <c r="M60" s="7"/>
      <c r="N60" s="7"/>
    </row>
    <row r="61" spans="1:14" ht="19.5" customHeight="1" x14ac:dyDescent="0.25">
      <c r="A61" s="7"/>
      <c r="B61" s="7"/>
      <c r="C61" s="13"/>
      <c r="D61" s="13"/>
      <c r="E61" s="7"/>
      <c r="F61" s="7"/>
      <c r="G61" s="7"/>
      <c r="H61" s="7"/>
      <c r="I61" s="7"/>
      <c r="J61" s="7"/>
      <c r="K61" s="7"/>
      <c r="L61" s="7"/>
      <c r="M61" s="7"/>
      <c r="N61" s="7"/>
    </row>
    <row r="62" spans="1:14" ht="19.5" customHeight="1" x14ac:dyDescent="0.25">
      <c r="A62" s="7"/>
      <c r="B62" s="7"/>
      <c r="C62" s="13"/>
      <c r="D62" s="13"/>
      <c r="E62" s="7"/>
      <c r="F62" s="7"/>
      <c r="G62" s="7"/>
      <c r="H62" s="7"/>
      <c r="I62" s="7"/>
      <c r="J62" s="7"/>
      <c r="K62" s="7"/>
      <c r="L62" s="7"/>
      <c r="M62" s="7"/>
      <c r="N62" s="7"/>
    </row>
    <row r="63" spans="1:14" ht="19.5" customHeight="1" x14ac:dyDescent="0.25">
      <c r="A63" s="7"/>
      <c r="B63" s="7"/>
      <c r="C63" s="13"/>
      <c r="D63" s="13"/>
      <c r="E63" s="7"/>
      <c r="F63" s="7"/>
      <c r="G63" s="7"/>
      <c r="H63" s="7"/>
      <c r="I63" s="7"/>
      <c r="J63" s="7"/>
      <c r="K63" s="7"/>
      <c r="L63" s="7"/>
      <c r="M63" s="7"/>
      <c r="N63" s="7"/>
    </row>
    <row r="64" spans="1:14" ht="19.5" customHeight="1" x14ac:dyDescent="0.25">
      <c r="A64" s="7"/>
      <c r="B64" s="7"/>
      <c r="C64" s="13"/>
      <c r="D64" s="13"/>
      <c r="E64" s="7"/>
      <c r="F64" s="7"/>
      <c r="G64" s="7"/>
      <c r="H64" s="7"/>
      <c r="I64" s="7"/>
      <c r="J64" s="7"/>
      <c r="K64" s="7"/>
      <c r="L64" s="7"/>
      <c r="M64" s="7"/>
      <c r="N64" s="7"/>
    </row>
    <row r="65" spans="1:14" ht="19.5" customHeight="1" x14ac:dyDescent="0.25">
      <c r="A65" s="7"/>
      <c r="B65" s="7"/>
      <c r="C65" s="13"/>
      <c r="D65" s="13"/>
      <c r="E65" s="7"/>
      <c r="F65" s="7"/>
      <c r="G65" s="7"/>
      <c r="H65" s="7"/>
      <c r="I65" s="7"/>
      <c r="J65" s="7"/>
      <c r="K65" s="7"/>
      <c r="L65" s="7"/>
      <c r="M65" s="7"/>
      <c r="N65" s="7"/>
    </row>
    <row r="66" spans="1:14" ht="19.5" customHeight="1" x14ac:dyDescent="0.25">
      <c r="A66" s="7"/>
      <c r="B66" s="7"/>
      <c r="C66" s="13"/>
      <c r="D66" s="13"/>
      <c r="E66" s="7"/>
      <c r="F66" s="7"/>
      <c r="G66" s="7"/>
      <c r="H66" s="7"/>
      <c r="I66" s="7"/>
      <c r="J66" s="7"/>
      <c r="K66" s="7"/>
      <c r="L66" s="7"/>
      <c r="M66" s="7"/>
      <c r="N66" s="7"/>
    </row>
    <row r="67" spans="1:14" ht="19.5" customHeight="1" x14ac:dyDescent="0.25">
      <c r="A67" s="7"/>
      <c r="B67" s="7"/>
      <c r="C67" s="13"/>
      <c r="D67" s="13"/>
      <c r="E67" s="7"/>
      <c r="F67" s="7"/>
      <c r="G67" s="7"/>
      <c r="H67" s="7"/>
      <c r="I67" s="7"/>
      <c r="J67" s="7"/>
      <c r="K67" s="7"/>
      <c r="L67" s="7"/>
      <c r="M67" s="7"/>
      <c r="N67" s="7"/>
    </row>
    <row r="68" spans="1:14" ht="19.5" customHeight="1" x14ac:dyDescent="0.25">
      <c r="A68" s="7"/>
      <c r="B68" s="7"/>
      <c r="C68" s="13"/>
      <c r="D68" s="13"/>
      <c r="E68" s="7"/>
      <c r="F68" s="7"/>
      <c r="G68" s="7"/>
      <c r="H68" s="7"/>
      <c r="I68" s="7"/>
      <c r="J68" s="7"/>
      <c r="K68" s="7"/>
      <c r="L68" s="7"/>
      <c r="M68" s="7"/>
      <c r="N68" s="7"/>
    </row>
    <row r="69" spans="1:14" ht="19.5" customHeight="1" x14ac:dyDescent="0.25">
      <c r="A69" s="7"/>
      <c r="B69" s="7"/>
      <c r="C69" s="13"/>
      <c r="D69" s="13"/>
      <c r="E69" s="7"/>
      <c r="F69" s="7"/>
      <c r="G69" s="7"/>
      <c r="H69" s="7"/>
      <c r="I69" s="7"/>
      <c r="J69" s="7"/>
      <c r="K69" s="7"/>
      <c r="L69" s="7"/>
      <c r="M69" s="7"/>
      <c r="N69" s="7"/>
    </row>
    <row r="70" spans="1:14" ht="19.5" customHeight="1" x14ac:dyDescent="0.25">
      <c r="A70" s="7"/>
      <c r="B70" s="7"/>
      <c r="C70" s="13"/>
      <c r="D70" s="13"/>
      <c r="E70" s="7"/>
      <c r="F70" s="7"/>
      <c r="G70" s="7"/>
      <c r="H70" s="7"/>
      <c r="I70" s="7"/>
      <c r="J70" s="7"/>
      <c r="K70" s="7"/>
      <c r="L70" s="7"/>
      <c r="M70" s="7"/>
      <c r="N70" s="7"/>
    </row>
    <row r="71" spans="1:14" ht="19.5" customHeight="1" x14ac:dyDescent="0.25">
      <c r="A71" s="7"/>
      <c r="B71" s="7"/>
      <c r="C71" s="13"/>
      <c r="D71" s="13"/>
      <c r="E71" s="7"/>
      <c r="F71" s="7"/>
      <c r="G71" s="7"/>
      <c r="H71" s="7"/>
      <c r="I71" s="7"/>
      <c r="J71" s="7"/>
      <c r="K71" s="7"/>
      <c r="L71" s="7"/>
      <c r="M71" s="7"/>
      <c r="N71" s="7"/>
    </row>
    <row r="72" spans="1:14" ht="19.5" customHeight="1" x14ac:dyDescent="0.25">
      <c r="A72" s="7"/>
      <c r="B72" s="7"/>
      <c r="C72" s="13"/>
      <c r="D72" s="13"/>
      <c r="E72" s="7"/>
      <c r="F72" s="7"/>
      <c r="G72" s="7"/>
      <c r="H72" s="7"/>
      <c r="I72" s="7"/>
      <c r="J72" s="7"/>
      <c r="K72" s="7"/>
      <c r="L72" s="7"/>
      <c r="M72" s="7"/>
      <c r="N72" s="7"/>
    </row>
    <row r="73" spans="1:14" ht="19.5" customHeight="1" x14ac:dyDescent="0.25">
      <c r="A73" s="7"/>
      <c r="B73" s="7"/>
      <c r="C73" s="13"/>
      <c r="D73" s="13"/>
      <c r="E73" s="7"/>
      <c r="F73" s="7"/>
      <c r="G73" s="7"/>
      <c r="H73" s="7"/>
      <c r="I73" s="7"/>
      <c r="J73" s="7"/>
      <c r="K73" s="7"/>
      <c r="L73" s="7"/>
      <c r="M73" s="7"/>
      <c r="N73" s="7"/>
    </row>
    <row r="74" spans="1:14" ht="19.5" customHeight="1" x14ac:dyDescent="0.25">
      <c r="A74" s="7"/>
      <c r="B74" s="7"/>
      <c r="C74" s="13"/>
      <c r="D74" s="13"/>
      <c r="E74" s="7"/>
      <c r="F74" s="7"/>
      <c r="G74" s="7"/>
      <c r="H74" s="7"/>
      <c r="I74" s="7"/>
      <c r="J74" s="7"/>
      <c r="K74" s="7"/>
      <c r="L74" s="7"/>
      <c r="M74" s="7"/>
      <c r="N74" s="7"/>
    </row>
    <row r="75" spans="1:14" ht="19.5" customHeight="1" x14ac:dyDescent="0.25">
      <c r="A75" s="7"/>
      <c r="B75" s="7"/>
      <c r="C75" s="13"/>
      <c r="D75" s="13"/>
      <c r="E75" s="7"/>
      <c r="F75" s="7"/>
      <c r="G75" s="7"/>
      <c r="H75" s="7"/>
      <c r="I75" s="7"/>
      <c r="J75" s="7"/>
      <c r="K75" s="7"/>
      <c r="L75" s="7"/>
      <c r="M75" s="7"/>
      <c r="N75" s="7"/>
    </row>
    <row r="76" spans="1:14" ht="19.5" customHeight="1" x14ac:dyDescent="0.25">
      <c r="A76" s="7"/>
      <c r="B76" s="7"/>
      <c r="C76" s="13"/>
      <c r="D76" s="13"/>
      <c r="E76" s="7"/>
      <c r="F76" s="7"/>
      <c r="G76" s="7"/>
      <c r="H76" s="7"/>
      <c r="I76" s="7"/>
      <c r="J76" s="7"/>
      <c r="K76" s="7"/>
      <c r="L76" s="7"/>
      <c r="M76" s="7"/>
      <c r="N76" s="7"/>
    </row>
    <row r="77" spans="1:14" ht="19.5" customHeight="1" x14ac:dyDescent="0.25">
      <c r="A77" s="7"/>
      <c r="B77" s="7"/>
      <c r="C77" s="13"/>
      <c r="D77" s="13"/>
      <c r="E77" s="7"/>
      <c r="F77" s="7"/>
      <c r="G77" s="7"/>
      <c r="H77" s="7"/>
      <c r="I77" s="7"/>
      <c r="J77" s="7"/>
      <c r="K77" s="7"/>
      <c r="L77" s="7"/>
      <c r="M77" s="7"/>
      <c r="N77" s="7"/>
    </row>
    <row r="78" spans="1:14" ht="19.5" customHeight="1" x14ac:dyDescent="0.25">
      <c r="A78" s="7"/>
      <c r="B78" s="7"/>
      <c r="C78" s="13"/>
      <c r="D78" s="13"/>
      <c r="E78" s="7"/>
      <c r="F78" s="7"/>
      <c r="G78" s="7"/>
      <c r="H78" s="7"/>
      <c r="I78" s="7"/>
      <c r="J78" s="7"/>
      <c r="K78" s="7"/>
      <c r="L78" s="7"/>
      <c r="M78" s="7"/>
      <c r="N78" s="7"/>
    </row>
    <row r="79" spans="1:14" ht="19.5" customHeight="1" x14ac:dyDescent="0.25">
      <c r="A79" s="7"/>
      <c r="B79" s="7"/>
      <c r="C79" s="13"/>
      <c r="D79" s="13"/>
      <c r="E79" s="7"/>
      <c r="F79" s="7"/>
      <c r="G79" s="7"/>
      <c r="H79" s="7"/>
      <c r="I79" s="7"/>
      <c r="J79" s="7"/>
      <c r="K79" s="7"/>
      <c r="L79" s="7"/>
      <c r="M79" s="7"/>
      <c r="N79" s="7"/>
    </row>
    <row r="80" spans="1:14" ht="19.5" customHeight="1" x14ac:dyDescent="0.25">
      <c r="A80" s="7"/>
      <c r="B80" s="7"/>
      <c r="C80" s="13"/>
      <c r="D80" s="13"/>
      <c r="E80" s="7"/>
      <c r="F80" s="7"/>
      <c r="G80" s="7"/>
      <c r="H80" s="7"/>
      <c r="I80" s="7"/>
      <c r="J80" s="7"/>
      <c r="K80" s="7"/>
      <c r="L80" s="7"/>
      <c r="M80" s="7"/>
      <c r="N80" s="7"/>
    </row>
    <row r="81" spans="1:14" ht="19.5" customHeight="1" x14ac:dyDescent="0.25">
      <c r="A81" s="7"/>
      <c r="B81" s="7"/>
      <c r="C81" s="13"/>
      <c r="D81" s="13"/>
      <c r="E81" s="7"/>
      <c r="F81" s="7"/>
      <c r="G81" s="7"/>
      <c r="H81" s="7"/>
      <c r="I81" s="7"/>
      <c r="J81" s="7"/>
      <c r="K81" s="7"/>
      <c r="L81" s="7"/>
      <c r="M81" s="7"/>
      <c r="N81" s="7"/>
    </row>
    <row r="82" spans="1:14" ht="19.5" customHeight="1" x14ac:dyDescent="0.25">
      <c r="A82" s="7"/>
      <c r="B82" s="7"/>
      <c r="C82" s="13"/>
      <c r="D82" s="13"/>
      <c r="E82" s="7"/>
      <c r="F82" s="7"/>
      <c r="G82" s="7"/>
      <c r="H82" s="7"/>
      <c r="I82" s="7"/>
      <c r="J82" s="7"/>
      <c r="K82" s="7"/>
      <c r="L82" s="7"/>
      <c r="M82" s="7"/>
      <c r="N82" s="7"/>
    </row>
    <row r="83" spans="1:14" ht="19.5" customHeight="1" x14ac:dyDescent="0.25">
      <c r="A83" s="7"/>
      <c r="B83" s="7"/>
      <c r="C83" s="13"/>
      <c r="D83" s="13"/>
      <c r="E83" s="7"/>
      <c r="F83" s="7"/>
      <c r="G83" s="7"/>
      <c r="H83" s="7"/>
      <c r="I83" s="7"/>
      <c r="J83" s="7"/>
      <c r="K83" s="7"/>
      <c r="L83" s="7"/>
      <c r="M83" s="7"/>
      <c r="N83" s="7"/>
    </row>
    <row r="84" spans="1:14" ht="19.5" customHeight="1" x14ac:dyDescent="0.25">
      <c r="A84" s="7"/>
      <c r="B84" s="7"/>
      <c r="C84" s="13"/>
      <c r="D84" s="13"/>
      <c r="E84" s="7"/>
      <c r="F84" s="7"/>
      <c r="G84" s="7"/>
      <c r="H84" s="7"/>
      <c r="I84" s="7"/>
      <c r="J84" s="7"/>
      <c r="K84" s="7"/>
      <c r="L84" s="7"/>
      <c r="M84" s="7"/>
      <c r="N84" s="7"/>
    </row>
    <row r="85" spans="1:14" ht="19.5" customHeight="1" x14ac:dyDescent="0.25">
      <c r="A85" s="7"/>
      <c r="B85" s="7"/>
      <c r="C85" s="13"/>
      <c r="D85" s="13"/>
      <c r="E85" s="7"/>
      <c r="F85" s="7"/>
      <c r="G85" s="7"/>
      <c r="H85" s="7"/>
      <c r="I85" s="7"/>
      <c r="J85" s="7"/>
      <c r="K85" s="7"/>
      <c r="L85" s="7"/>
      <c r="M85" s="7"/>
      <c r="N85" s="7"/>
    </row>
    <row r="86" spans="1:14" ht="19.5" customHeight="1" x14ac:dyDescent="0.25">
      <c r="A86" s="7"/>
      <c r="B86" s="7"/>
      <c r="C86" s="13"/>
      <c r="D86" s="13"/>
      <c r="E86" s="7"/>
      <c r="F86" s="7"/>
      <c r="G86" s="7"/>
      <c r="H86" s="7"/>
      <c r="I86" s="7"/>
      <c r="J86" s="7"/>
      <c r="K86" s="7"/>
      <c r="L86" s="7"/>
      <c r="M86" s="7"/>
      <c r="N86" s="7"/>
    </row>
    <row r="87" spans="1:14" ht="19.5" customHeight="1" x14ac:dyDescent="0.25">
      <c r="A87" s="7"/>
      <c r="B87" s="7"/>
      <c r="C87" s="13"/>
      <c r="D87" s="13"/>
      <c r="E87" s="7"/>
      <c r="F87" s="7"/>
      <c r="G87" s="7"/>
      <c r="H87" s="7"/>
      <c r="I87" s="7"/>
      <c r="J87" s="7"/>
      <c r="K87" s="7"/>
      <c r="L87" s="7"/>
      <c r="M87" s="7"/>
      <c r="N87" s="7"/>
    </row>
    <row r="88" spans="1:14" ht="19.5" customHeight="1" x14ac:dyDescent="0.25">
      <c r="A88" s="7"/>
      <c r="B88" s="7"/>
      <c r="C88" s="13"/>
      <c r="D88" s="13"/>
      <c r="E88" s="7"/>
      <c r="F88" s="7"/>
      <c r="G88" s="7"/>
      <c r="H88" s="7"/>
      <c r="I88" s="7"/>
      <c r="J88" s="7"/>
      <c r="K88" s="7"/>
      <c r="L88" s="7"/>
      <c r="M88" s="7"/>
      <c r="N88" s="7"/>
    </row>
    <row r="89" spans="1:14" ht="19.5" customHeight="1" x14ac:dyDescent="0.25">
      <c r="A89" s="7"/>
      <c r="B89" s="7"/>
      <c r="C89" s="13"/>
      <c r="D89" s="13"/>
      <c r="E89" s="7"/>
      <c r="F89" s="7"/>
      <c r="G89" s="7"/>
      <c r="H89" s="7"/>
      <c r="I89" s="7"/>
      <c r="J89" s="7"/>
      <c r="K89" s="7"/>
      <c r="L89" s="7"/>
      <c r="M89" s="7"/>
      <c r="N89" s="7"/>
    </row>
    <row r="90" spans="1:14" ht="19.5" customHeight="1" x14ac:dyDescent="0.25">
      <c r="A90" s="7"/>
      <c r="B90" s="7"/>
      <c r="C90" s="13"/>
      <c r="D90" s="13"/>
      <c r="E90" s="7"/>
      <c r="F90" s="7"/>
      <c r="G90" s="7"/>
      <c r="H90" s="7"/>
      <c r="I90" s="7"/>
      <c r="J90" s="7"/>
      <c r="K90" s="7"/>
      <c r="L90" s="7"/>
      <c r="M90" s="7"/>
      <c r="N90" s="7"/>
    </row>
    <row r="91" spans="1:14" ht="19.5" customHeight="1" x14ac:dyDescent="0.25">
      <c r="A91" s="7"/>
      <c r="B91" s="7"/>
      <c r="C91" s="13"/>
      <c r="D91" s="13"/>
      <c r="E91" s="7"/>
      <c r="F91" s="7"/>
      <c r="G91" s="7"/>
      <c r="H91" s="7"/>
      <c r="I91" s="7"/>
      <c r="J91" s="7"/>
      <c r="K91" s="7"/>
      <c r="L91" s="7"/>
      <c r="M91" s="7"/>
      <c r="N91" s="7"/>
    </row>
    <row r="92" spans="1:14" ht="19.5" customHeight="1" x14ac:dyDescent="0.25">
      <c r="A92" s="7"/>
      <c r="B92" s="7"/>
      <c r="C92" s="13"/>
      <c r="D92" s="13"/>
      <c r="E92" s="7"/>
      <c r="F92" s="7"/>
      <c r="G92" s="7"/>
      <c r="H92" s="7"/>
      <c r="I92" s="7"/>
      <c r="J92" s="7"/>
      <c r="K92" s="7"/>
      <c r="L92" s="7"/>
      <c r="M92" s="7"/>
      <c r="N92" s="7"/>
    </row>
    <row r="93" spans="1:14" ht="19.5" customHeight="1" x14ac:dyDescent="0.25">
      <c r="A93" s="7"/>
      <c r="B93" s="7"/>
      <c r="C93" s="13"/>
      <c r="D93" s="13"/>
      <c r="E93" s="7"/>
      <c r="F93" s="7"/>
      <c r="G93" s="7"/>
      <c r="H93" s="7"/>
      <c r="I93" s="7"/>
      <c r="J93" s="7"/>
      <c r="K93" s="7"/>
      <c r="L93" s="7"/>
      <c r="M93" s="7"/>
      <c r="N93" s="7"/>
    </row>
    <row r="94" spans="1:14" ht="19.5" customHeight="1" x14ac:dyDescent="0.25">
      <c r="A94" s="7"/>
      <c r="B94" s="7"/>
      <c r="C94" s="13"/>
      <c r="D94" s="13"/>
      <c r="E94" s="7"/>
      <c r="F94" s="7"/>
      <c r="G94" s="7"/>
      <c r="H94" s="7"/>
      <c r="I94" s="7"/>
      <c r="J94" s="7"/>
      <c r="K94" s="7"/>
      <c r="L94" s="7"/>
      <c r="M94" s="7"/>
      <c r="N94" s="7"/>
    </row>
    <row r="95" spans="1:14" ht="19.5" customHeight="1" x14ac:dyDescent="0.25">
      <c r="A95" s="7"/>
      <c r="B95" s="7"/>
      <c r="C95" s="13"/>
      <c r="D95" s="13"/>
      <c r="E95" s="7"/>
      <c r="F95" s="7"/>
      <c r="G95" s="7"/>
      <c r="H95" s="7"/>
      <c r="I95" s="7"/>
      <c r="J95" s="7"/>
      <c r="K95" s="7"/>
      <c r="L95" s="7"/>
      <c r="M95" s="7"/>
      <c r="N95" s="7"/>
    </row>
    <row r="96" spans="1:14" ht="19.5" customHeight="1" x14ac:dyDescent="0.25">
      <c r="A96" s="7"/>
      <c r="B96" s="7"/>
      <c r="C96" s="13"/>
      <c r="D96" s="13"/>
      <c r="E96" s="7"/>
      <c r="F96" s="7"/>
      <c r="G96" s="7"/>
      <c r="H96" s="7"/>
      <c r="I96" s="7"/>
      <c r="J96" s="7"/>
      <c r="K96" s="7"/>
      <c r="L96" s="7"/>
      <c r="M96" s="7"/>
      <c r="N96" s="7"/>
    </row>
    <row r="97" spans="1:14" ht="19.5" customHeight="1" x14ac:dyDescent="0.25">
      <c r="A97" s="7"/>
      <c r="B97" s="7"/>
      <c r="C97" s="13"/>
      <c r="D97" s="13"/>
      <c r="E97" s="7"/>
      <c r="F97" s="7"/>
      <c r="G97" s="7"/>
      <c r="H97" s="7"/>
      <c r="I97" s="7"/>
      <c r="J97" s="7"/>
      <c r="K97" s="7"/>
      <c r="L97" s="7"/>
      <c r="M97" s="7"/>
      <c r="N97" s="7"/>
    </row>
    <row r="98" spans="1:14" ht="19.5" customHeight="1" x14ac:dyDescent="0.25">
      <c r="A98" s="7"/>
      <c r="B98" s="7"/>
      <c r="C98" s="13"/>
      <c r="D98" s="13"/>
      <c r="E98" s="7"/>
      <c r="F98" s="7"/>
      <c r="G98" s="7"/>
      <c r="H98" s="7"/>
      <c r="I98" s="7"/>
      <c r="J98" s="7"/>
      <c r="K98" s="7"/>
      <c r="L98" s="7"/>
      <c r="M98" s="7"/>
      <c r="N98" s="7"/>
    </row>
    <row r="99" spans="1:14" ht="19.5" customHeight="1" x14ac:dyDescent="0.25">
      <c r="A99" s="7"/>
      <c r="B99" s="7"/>
      <c r="C99" s="13"/>
      <c r="D99" s="13"/>
      <c r="E99" s="7"/>
      <c r="F99" s="7"/>
      <c r="G99" s="7"/>
      <c r="H99" s="7"/>
      <c r="I99" s="7"/>
      <c r="J99" s="7"/>
      <c r="K99" s="7"/>
      <c r="L99" s="7"/>
      <c r="M99" s="7"/>
      <c r="N99" s="7"/>
    </row>
    <row r="100" spans="1:14" ht="19.5" customHeight="1" x14ac:dyDescent="0.25">
      <c r="A100" s="7"/>
      <c r="B100" s="7"/>
      <c r="C100" s="13"/>
      <c r="D100" s="13"/>
      <c r="E100" s="7"/>
      <c r="F100" s="7"/>
      <c r="G100" s="7"/>
      <c r="H100" s="7"/>
      <c r="I100" s="7"/>
      <c r="J100" s="7"/>
      <c r="K100" s="7"/>
      <c r="L100" s="7"/>
      <c r="M100" s="7"/>
      <c r="N100" s="7"/>
    </row>
    <row r="101" spans="1:14" ht="19.5" customHeight="1" x14ac:dyDescent="0.25">
      <c r="A101" s="7"/>
      <c r="B101" s="7"/>
      <c r="C101" s="13"/>
      <c r="D101" s="13"/>
      <c r="E101" s="7"/>
      <c r="F101" s="7"/>
      <c r="G101" s="7"/>
      <c r="H101" s="7"/>
      <c r="I101" s="7"/>
      <c r="J101" s="7"/>
      <c r="K101" s="7"/>
      <c r="L101" s="7"/>
      <c r="M101" s="7"/>
      <c r="N101" s="7"/>
    </row>
    <row r="102" spans="1:14" ht="19.5" customHeight="1" x14ac:dyDescent="0.25">
      <c r="A102" s="7"/>
      <c r="B102" s="7"/>
      <c r="C102" s="13"/>
      <c r="D102" s="13"/>
      <c r="E102" s="7"/>
      <c r="F102" s="7"/>
      <c r="G102" s="7"/>
      <c r="H102" s="7"/>
      <c r="I102" s="7"/>
      <c r="J102" s="7"/>
      <c r="K102" s="7"/>
      <c r="L102" s="7"/>
      <c r="M102" s="7"/>
      <c r="N102" s="7"/>
    </row>
    <row r="103" spans="1:14" ht="19.5" customHeight="1" x14ac:dyDescent="0.25">
      <c r="A103" s="7"/>
      <c r="B103" s="7"/>
      <c r="C103" s="13"/>
      <c r="D103" s="13"/>
      <c r="E103" s="7"/>
      <c r="F103" s="7"/>
      <c r="G103" s="7"/>
      <c r="H103" s="7"/>
      <c r="I103" s="7"/>
      <c r="J103" s="7"/>
      <c r="K103" s="7"/>
      <c r="L103" s="7"/>
      <c r="M103" s="7"/>
      <c r="N103" s="7"/>
    </row>
    <row r="104" spans="1:14" ht="19.5" customHeight="1" x14ac:dyDescent="0.25">
      <c r="A104" s="7"/>
      <c r="B104" s="7"/>
      <c r="C104" s="13"/>
      <c r="D104" s="13"/>
      <c r="E104" s="7"/>
      <c r="F104" s="7"/>
      <c r="G104" s="7"/>
      <c r="H104" s="7"/>
      <c r="I104" s="7"/>
      <c r="J104" s="7"/>
      <c r="K104" s="7"/>
      <c r="L104" s="7"/>
      <c r="M104" s="7"/>
      <c r="N104" s="7"/>
    </row>
    <row r="105" spans="1:14" ht="19.5" customHeight="1" x14ac:dyDescent="0.25">
      <c r="A105" s="7"/>
      <c r="B105" s="7"/>
      <c r="C105" s="13"/>
      <c r="D105" s="13"/>
      <c r="E105" s="7"/>
      <c r="F105" s="7"/>
      <c r="G105" s="7"/>
      <c r="H105" s="7"/>
      <c r="I105" s="7"/>
      <c r="J105" s="7"/>
      <c r="K105" s="7"/>
      <c r="L105" s="7"/>
      <c r="M105" s="7"/>
      <c r="N105" s="7"/>
    </row>
    <row r="106" spans="1:14" ht="19.5" customHeight="1" x14ac:dyDescent="0.25">
      <c r="A106" s="7"/>
      <c r="B106" s="7"/>
      <c r="C106" s="13"/>
      <c r="D106" s="13"/>
      <c r="E106" s="7"/>
      <c r="F106" s="7"/>
      <c r="G106" s="7"/>
      <c r="H106" s="7"/>
      <c r="I106" s="7"/>
      <c r="J106" s="7"/>
      <c r="K106" s="7"/>
      <c r="L106" s="7"/>
      <c r="M106" s="7"/>
      <c r="N106" s="7"/>
    </row>
    <row r="107" spans="1:14" ht="19.5" customHeight="1" x14ac:dyDescent="0.25">
      <c r="A107" s="7"/>
      <c r="B107" s="7"/>
      <c r="C107" s="13"/>
      <c r="D107" s="13"/>
      <c r="E107" s="7"/>
      <c r="F107" s="7"/>
      <c r="G107" s="7"/>
      <c r="H107" s="7"/>
      <c r="I107" s="7"/>
      <c r="J107" s="7"/>
      <c r="K107" s="7"/>
      <c r="L107" s="7"/>
      <c r="M107" s="7"/>
      <c r="N107" s="7"/>
    </row>
    <row r="108" spans="1:14" ht="19.5" customHeight="1" x14ac:dyDescent="0.25">
      <c r="A108" s="7"/>
      <c r="B108" s="7"/>
      <c r="C108" s="13"/>
      <c r="D108" s="13"/>
      <c r="E108" s="7"/>
      <c r="F108" s="7"/>
      <c r="G108" s="7"/>
      <c r="H108" s="7"/>
      <c r="I108" s="7"/>
      <c r="J108" s="7"/>
      <c r="K108" s="7"/>
      <c r="L108" s="7"/>
      <c r="M108" s="7"/>
      <c r="N108" s="7"/>
    </row>
    <row r="109" spans="1:14" ht="19.5" customHeight="1" x14ac:dyDescent="0.25">
      <c r="A109" s="7"/>
      <c r="B109" s="7"/>
      <c r="C109" s="13"/>
      <c r="D109" s="13"/>
      <c r="E109" s="7"/>
      <c r="F109" s="7"/>
      <c r="G109" s="7"/>
      <c r="H109" s="7"/>
      <c r="I109" s="7"/>
      <c r="J109" s="7"/>
      <c r="K109" s="7"/>
      <c r="L109" s="7"/>
      <c r="M109" s="7"/>
      <c r="N109" s="7"/>
    </row>
    <row r="110" spans="1:14" ht="19.5" customHeight="1" x14ac:dyDescent="0.25">
      <c r="A110" s="7"/>
      <c r="B110" s="7"/>
      <c r="C110" s="13"/>
      <c r="D110" s="13"/>
      <c r="E110" s="7"/>
      <c r="F110" s="7"/>
      <c r="G110" s="7"/>
      <c r="H110" s="7"/>
      <c r="I110" s="7"/>
      <c r="J110" s="7"/>
      <c r="K110" s="7"/>
      <c r="L110" s="7"/>
      <c r="M110" s="7"/>
      <c r="N110" s="7"/>
    </row>
    <row r="111" spans="1:14" ht="19.5" customHeight="1" x14ac:dyDescent="0.25">
      <c r="A111" s="7"/>
      <c r="B111" s="7"/>
      <c r="C111" s="13"/>
      <c r="D111" s="13"/>
      <c r="E111" s="7"/>
      <c r="F111" s="7"/>
      <c r="G111" s="7"/>
      <c r="H111" s="7"/>
      <c r="I111" s="7"/>
      <c r="J111" s="7"/>
      <c r="K111" s="7"/>
      <c r="L111" s="7"/>
      <c r="M111" s="7"/>
      <c r="N111" s="7"/>
    </row>
    <row r="112" spans="1:14" ht="19.5" customHeight="1" x14ac:dyDescent="0.25">
      <c r="A112" s="7"/>
      <c r="B112" s="7"/>
      <c r="C112" s="13"/>
      <c r="D112" s="13"/>
      <c r="E112" s="7"/>
      <c r="F112" s="7"/>
      <c r="G112" s="7"/>
      <c r="H112" s="7"/>
      <c r="I112" s="7"/>
      <c r="J112" s="7"/>
      <c r="K112" s="7"/>
      <c r="L112" s="7"/>
      <c r="M112" s="7"/>
      <c r="N112" s="7"/>
    </row>
    <row r="113" spans="1:14" ht="19.5" customHeight="1" x14ac:dyDescent="0.25">
      <c r="A113" s="7"/>
      <c r="B113" s="7"/>
      <c r="C113" s="13"/>
      <c r="D113" s="13"/>
      <c r="E113" s="7"/>
      <c r="F113" s="7"/>
      <c r="G113" s="7"/>
      <c r="H113" s="7"/>
      <c r="I113" s="7"/>
      <c r="J113" s="7"/>
      <c r="K113" s="7"/>
      <c r="L113" s="7"/>
      <c r="M113" s="7"/>
      <c r="N113" s="7"/>
    </row>
    <row r="114" spans="1:14" ht="19.5" customHeight="1" x14ac:dyDescent="0.25">
      <c r="A114" s="7"/>
      <c r="B114" s="7"/>
      <c r="C114" s="13"/>
      <c r="D114" s="13"/>
      <c r="E114" s="7"/>
      <c r="F114" s="7"/>
      <c r="G114" s="7"/>
      <c r="H114" s="7"/>
      <c r="I114" s="7"/>
      <c r="J114" s="7"/>
      <c r="K114" s="7"/>
      <c r="L114" s="7"/>
      <c r="M114" s="7"/>
      <c r="N114" s="7"/>
    </row>
    <row r="115" spans="1:14" ht="19.5" customHeight="1" x14ac:dyDescent="0.25">
      <c r="A115" s="7"/>
      <c r="B115" s="7"/>
      <c r="C115" s="13"/>
      <c r="D115" s="13"/>
      <c r="E115" s="7"/>
      <c r="F115" s="7"/>
      <c r="G115" s="7"/>
      <c r="H115" s="7"/>
      <c r="I115" s="7"/>
      <c r="J115" s="7"/>
      <c r="K115" s="7"/>
      <c r="L115" s="7"/>
      <c r="M115" s="7"/>
      <c r="N115" s="7"/>
    </row>
    <row r="116" spans="1:14" ht="19.5" customHeight="1" x14ac:dyDescent="0.25">
      <c r="A116" s="7"/>
      <c r="B116" s="7"/>
      <c r="C116" s="13"/>
      <c r="D116" s="13"/>
      <c r="E116" s="7"/>
      <c r="F116" s="7"/>
      <c r="G116" s="7"/>
      <c r="H116" s="7"/>
      <c r="I116" s="7"/>
      <c r="J116" s="7"/>
      <c r="K116" s="7"/>
      <c r="L116" s="7"/>
      <c r="M116" s="7"/>
      <c r="N116" s="7"/>
    </row>
    <row r="117" spans="1:14" ht="19.5" customHeight="1" x14ac:dyDescent="0.25">
      <c r="A117" s="7"/>
      <c r="B117" s="7"/>
      <c r="C117" s="13"/>
      <c r="D117" s="13"/>
      <c r="E117" s="7"/>
      <c r="F117" s="7"/>
      <c r="G117" s="7"/>
      <c r="H117" s="7"/>
      <c r="I117" s="7"/>
      <c r="J117" s="7"/>
      <c r="K117" s="7"/>
      <c r="L117" s="7"/>
      <c r="M117" s="7"/>
      <c r="N117" s="7"/>
    </row>
    <row r="118" spans="1:14" ht="19.5" customHeight="1" x14ac:dyDescent="0.25">
      <c r="A118" s="7"/>
      <c r="B118" s="7"/>
      <c r="C118" s="13"/>
      <c r="D118" s="13"/>
      <c r="E118" s="7"/>
      <c r="F118" s="7"/>
      <c r="G118" s="7"/>
      <c r="H118" s="7"/>
      <c r="I118" s="7"/>
      <c r="J118" s="7"/>
      <c r="K118" s="7"/>
      <c r="L118" s="7"/>
      <c r="M118" s="7"/>
      <c r="N118" s="7"/>
    </row>
    <row r="119" spans="1:14" ht="19.5" customHeight="1" x14ac:dyDescent="0.25">
      <c r="A119" s="7"/>
      <c r="B119" s="7"/>
      <c r="C119" s="13"/>
      <c r="D119" s="13"/>
      <c r="E119" s="7"/>
      <c r="F119" s="7"/>
      <c r="G119" s="7"/>
      <c r="H119" s="7"/>
      <c r="I119" s="7"/>
      <c r="J119" s="7"/>
      <c r="K119" s="7"/>
      <c r="L119" s="7"/>
      <c r="M119" s="7"/>
      <c r="N119" s="7"/>
    </row>
    <row r="120" spans="1:14" ht="19.5" customHeight="1" x14ac:dyDescent="0.25">
      <c r="A120" s="7"/>
      <c r="B120" s="7"/>
      <c r="C120" s="13"/>
      <c r="D120" s="13"/>
      <c r="E120" s="7"/>
      <c r="F120" s="7"/>
      <c r="G120" s="7"/>
      <c r="H120" s="7"/>
      <c r="I120" s="7"/>
      <c r="J120" s="7"/>
      <c r="K120" s="7"/>
      <c r="L120" s="7"/>
      <c r="M120" s="7"/>
      <c r="N120" s="7"/>
    </row>
    <row r="121" spans="1:14" ht="19.5" customHeight="1" x14ac:dyDescent="0.25">
      <c r="A121" s="7"/>
      <c r="B121" s="7"/>
      <c r="C121" s="13"/>
      <c r="D121" s="13"/>
      <c r="E121" s="7"/>
      <c r="F121" s="7"/>
      <c r="G121" s="7"/>
      <c r="H121" s="7"/>
      <c r="I121" s="7"/>
      <c r="J121" s="7"/>
      <c r="K121" s="7"/>
      <c r="L121" s="7"/>
      <c r="M121" s="7"/>
      <c r="N121" s="7"/>
    </row>
    <row r="122" spans="1:14" ht="19.5" customHeight="1" x14ac:dyDescent="0.25">
      <c r="A122" s="7"/>
      <c r="B122" s="7"/>
      <c r="C122" s="13"/>
      <c r="D122" s="13"/>
      <c r="E122" s="7"/>
      <c r="F122" s="7"/>
      <c r="G122" s="7"/>
      <c r="H122" s="7"/>
      <c r="I122" s="7"/>
      <c r="J122" s="7"/>
      <c r="K122" s="7"/>
      <c r="L122" s="7"/>
      <c r="M122" s="7"/>
      <c r="N122" s="7"/>
    </row>
    <row r="123" spans="1:14" ht="19.5" customHeight="1" x14ac:dyDescent="0.25">
      <c r="A123" s="7"/>
      <c r="B123" s="7"/>
      <c r="C123" s="13"/>
      <c r="D123" s="13"/>
      <c r="E123" s="7"/>
      <c r="F123" s="7"/>
      <c r="G123" s="7"/>
      <c r="H123" s="7"/>
      <c r="I123" s="7"/>
      <c r="J123" s="7"/>
      <c r="K123" s="7"/>
      <c r="L123" s="7"/>
      <c r="M123" s="7"/>
      <c r="N123" s="7"/>
    </row>
    <row r="124" spans="1:14" ht="19.5" customHeight="1" x14ac:dyDescent="0.25">
      <c r="A124" s="7"/>
      <c r="B124" s="7"/>
      <c r="C124" s="13"/>
      <c r="D124" s="13"/>
      <c r="E124" s="7"/>
      <c r="F124" s="7"/>
      <c r="G124" s="7"/>
      <c r="H124" s="7"/>
      <c r="I124" s="7"/>
      <c r="J124" s="7"/>
      <c r="K124" s="7"/>
      <c r="L124" s="7"/>
      <c r="M124" s="7"/>
      <c r="N124" s="7"/>
    </row>
    <row r="125" spans="1:14" ht="19.5" customHeight="1" x14ac:dyDescent="0.25">
      <c r="A125" s="7"/>
      <c r="B125" s="7"/>
      <c r="C125" s="13"/>
      <c r="D125" s="13"/>
      <c r="E125" s="7"/>
      <c r="F125" s="7"/>
      <c r="G125" s="7"/>
      <c r="H125" s="7"/>
      <c r="I125" s="7"/>
      <c r="J125" s="7"/>
      <c r="K125" s="7"/>
      <c r="L125" s="7"/>
      <c r="M125" s="7"/>
      <c r="N125" s="7"/>
    </row>
    <row r="126" spans="1:14" ht="19.5" customHeight="1" x14ac:dyDescent="0.25">
      <c r="A126" s="7"/>
      <c r="B126" s="7"/>
      <c r="C126" s="13"/>
      <c r="D126" s="13"/>
      <c r="E126" s="7"/>
      <c r="F126" s="7"/>
      <c r="G126" s="7"/>
      <c r="H126" s="7"/>
      <c r="I126" s="7"/>
      <c r="J126" s="7"/>
      <c r="K126" s="7"/>
      <c r="L126" s="7"/>
      <c r="M126" s="7"/>
      <c r="N126" s="7"/>
    </row>
    <row r="127" spans="1:14" ht="19.5" customHeight="1" x14ac:dyDescent="0.25">
      <c r="A127" s="7"/>
      <c r="B127" s="7"/>
      <c r="C127" s="13"/>
      <c r="D127" s="13"/>
      <c r="E127" s="7"/>
      <c r="F127" s="7"/>
      <c r="G127" s="7"/>
      <c r="H127" s="7"/>
      <c r="I127" s="7"/>
      <c r="J127" s="7"/>
      <c r="K127" s="7"/>
      <c r="L127" s="7"/>
      <c r="M127" s="7"/>
      <c r="N127" s="7"/>
    </row>
    <row r="128" spans="1:14" ht="19.5" customHeight="1" x14ac:dyDescent="0.25">
      <c r="A128" s="7"/>
      <c r="B128" s="7"/>
      <c r="C128" s="13"/>
      <c r="D128" s="13"/>
      <c r="E128" s="7"/>
      <c r="F128" s="7"/>
      <c r="G128" s="7"/>
      <c r="H128" s="7"/>
      <c r="I128" s="7"/>
      <c r="J128" s="7"/>
      <c r="K128" s="7"/>
      <c r="L128" s="7"/>
      <c r="M128" s="7"/>
      <c r="N128" s="7"/>
    </row>
    <row r="129" spans="1:14" ht="19.5" customHeight="1" x14ac:dyDescent="0.25">
      <c r="A129" s="7"/>
      <c r="B129" s="7"/>
      <c r="C129" s="13"/>
      <c r="D129" s="13"/>
      <c r="E129" s="7"/>
      <c r="F129" s="7"/>
      <c r="G129" s="7"/>
      <c r="H129" s="7"/>
      <c r="I129" s="7"/>
      <c r="J129" s="7"/>
      <c r="K129" s="7"/>
      <c r="L129" s="7"/>
      <c r="M129" s="7"/>
      <c r="N129" s="7"/>
    </row>
    <row r="130" spans="1:14" ht="19.5" customHeight="1" x14ac:dyDescent="0.25">
      <c r="A130" s="7"/>
      <c r="B130" s="7"/>
      <c r="C130" s="13"/>
      <c r="D130" s="13"/>
      <c r="E130" s="7"/>
      <c r="F130" s="7"/>
      <c r="G130" s="7"/>
      <c r="H130" s="7"/>
      <c r="I130" s="7"/>
      <c r="J130" s="7"/>
      <c r="K130" s="7"/>
      <c r="L130" s="7"/>
      <c r="M130" s="7"/>
      <c r="N130" s="7"/>
    </row>
    <row r="131" spans="1:14" ht="19.5" customHeight="1" x14ac:dyDescent="0.25">
      <c r="A131" s="7"/>
      <c r="B131" s="7"/>
      <c r="C131" s="13"/>
      <c r="D131" s="13"/>
      <c r="E131" s="7"/>
      <c r="F131" s="7"/>
      <c r="G131" s="7"/>
      <c r="H131" s="7"/>
      <c r="I131" s="7"/>
      <c r="J131" s="7"/>
      <c r="K131" s="7"/>
      <c r="L131" s="7"/>
      <c r="M131" s="7"/>
      <c r="N131" s="7"/>
    </row>
    <row r="132" spans="1:14" ht="19.5" customHeight="1" x14ac:dyDescent="0.25">
      <c r="A132" s="7"/>
      <c r="B132" s="7"/>
      <c r="C132" s="13"/>
      <c r="D132" s="13"/>
      <c r="E132" s="7"/>
      <c r="F132" s="7"/>
      <c r="G132" s="7"/>
      <c r="H132" s="7"/>
      <c r="I132" s="7"/>
      <c r="J132" s="7"/>
      <c r="K132" s="7"/>
      <c r="L132" s="7"/>
      <c r="M132" s="7"/>
      <c r="N132" s="7"/>
    </row>
    <row r="133" spans="1:14" ht="19.5" customHeight="1" x14ac:dyDescent="0.25">
      <c r="A133" s="7"/>
      <c r="B133" s="7"/>
      <c r="C133" s="13"/>
      <c r="D133" s="13"/>
      <c r="E133" s="7"/>
      <c r="F133" s="7"/>
      <c r="G133" s="7"/>
      <c r="H133" s="7"/>
      <c r="I133" s="7"/>
      <c r="J133" s="7"/>
      <c r="K133" s="7"/>
      <c r="L133" s="7"/>
      <c r="M133" s="7"/>
      <c r="N133" s="7"/>
    </row>
    <row r="134" spans="1:14" ht="19.5" customHeight="1" x14ac:dyDescent="0.25">
      <c r="A134" s="7"/>
      <c r="B134" s="7"/>
      <c r="C134" s="13"/>
      <c r="D134" s="13"/>
      <c r="E134" s="7"/>
      <c r="F134" s="7"/>
      <c r="G134" s="7"/>
      <c r="H134" s="7"/>
      <c r="I134" s="7"/>
      <c r="J134" s="7"/>
      <c r="K134" s="7"/>
      <c r="L134" s="7"/>
      <c r="M134" s="7"/>
      <c r="N134" s="7"/>
    </row>
    <row r="135" spans="1:14" ht="19.5" customHeight="1" x14ac:dyDescent="0.25">
      <c r="A135" s="7"/>
      <c r="B135" s="7"/>
      <c r="C135" s="13"/>
      <c r="D135" s="13"/>
      <c r="E135" s="7"/>
      <c r="F135" s="7"/>
      <c r="G135" s="7"/>
      <c r="H135" s="7"/>
      <c r="I135" s="7"/>
      <c r="J135" s="7"/>
      <c r="K135" s="7"/>
      <c r="L135" s="7"/>
      <c r="M135" s="7"/>
      <c r="N135" s="7"/>
    </row>
    <row r="136" spans="1:14" ht="19.5" customHeight="1" x14ac:dyDescent="0.25">
      <c r="A136" s="7"/>
      <c r="B136" s="7"/>
      <c r="C136" s="13"/>
      <c r="D136" s="13"/>
      <c r="E136" s="7"/>
      <c r="F136" s="7"/>
      <c r="G136" s="7"/>
      <c r="H136" s="7"/>
      <c r="I136" s="7"/>
      <c r="J136" s="7"/>
      <c r="K136" s="7"/>
      <c r="L136" s="7"/>
      <c r="M136" s="7"/>
      <c r="N136" s="7"/>
    </row>
    <row r="137" spans="1:14" ht="19.5" customHeight="1" x14ac:dyDescent="0.25">
      <c r="A137" s="7"/>
      <c r="B137" s="7"/>
      <c r="C137" s="13"/>
      <c r="D137" s="13"/>
      <c r="E137" s="7"/>
      <c r="F137" s="7"/>
      <c r="G137" s="7"/>
      <c r="H137" s="7"/>
      <c r="I137" s="7"/>
      <c r="J137" s="7"/>
      <c r="K137" s="7"/>
      <c r="L137" s="7"/>
      <c r="M137" s="7"/>
      <c r="N137" s="7"/>
    </row>
    <row r="138" spans="1:14" ht="19.5" customHeight="1" x14ac:dyDescent="0.25">
      <c r="A138" s="7"/>
      <c r="B138" s="7"/>
      <c r="C138" s="13"/>
      <c r="D138" s="13"/>
      <c r="E138" s="7"/>
      <c r="F138" s="7"/>
      <c r="G138" s="7"/>
      <c r="H138" s="7"/>
      <c r="I138" s="7"/>
      <c r="J138" s="7"/>
      <c r="K138" s="7"/>
      <c r="L138" s="7"/>
      <c r="M138" s="7"/>
      <c r="N138" s="7"/>
    </row>
    <row r="139" spans="1:14" ht="19.5" customHeight="1" x14ac:dyDescent="0.25">
      <c r="A139" s="7"/>
      <c r="B139" s="7"/>
      <c r="C139" s="13"/>
      <c r="D139" s="13"/>
      <c r="E139" s="7"/>
      <c r="F139" s="7"/>
      <c r="G139" s="7"/>
      <c r="H139" s="7"/>
      <c r="I139" s="7"/>
      <c r="J139" s="7"/>
      <c r="K139" s="7"/>
      <c r="L139" s="7"/>
      <c r="M139" s="7"/>
      <c r="N139" s="7"/>
    </row>
    <row r="140" spans="1:14" ht="19.5" customHeight="1" x14ac:dyDescent="0.25">
      <c r="A140" s="7"/>
      <c r="B140" s="7"/>
      <c r="C140" s="13"/>
      <c r="D140" s="13"/>
      <c r="E140" s="7"/>
      <c r="F140" s="7"/>
      <c r="G140" s="7"/>
      <c r="H140" s="7"/>
      <c r="I140" s="7"/>
      <c r="J140" s="7"/>
      <c r="K140" s="7"/>
      <c r="L140" s="7"/>
      <c r="M140" s="7"/>
      <c r="N140" s="7"/>
    </row>
    <row r="141" spans="1:14" ht="19.5" customHeight="1" x14ac:dyDescent="0.25">
      <c r="A141" s="7"/>
      <c r="B141" s="7"/>
      <c r="C141" s="13"/>
      <c r="D141" s="13"/>
      <c r="E141" s="7"/>
      <c r="F141" s="7"/>
      <c r="G141" s="7"/>
      <c r="H141" s="7"/>
      <c r="I141" s="7"/>
      <c r="J141" s="7"/>
      <c r="K141" s="7"/>
      <c r="L141" s="7"/>
      <c r="M141" s="7"/>
      <c r="N141" s="7"/>
    </row>
    <row r="142" spans="1:14" ht="19.5" customHeight="1" x14ac:dyDescent="0.25">
      <c r="A142" s="7"/>
      <c r="B142" s="7"/>
      <c r="C142" s="13"/>
      <c r="D142" s="13"/>
      <c r="E142" s="7"/>
      <c r="F142" s="7"/>
      <c r="G142" s="7"/>
      <c r="H142" s="7"/>
      <c r="I142" s="7"/>
      <c r="J142" s="7"/>
      <c r="K142" s="7"/>
      <c r="L142" s="7"/>
      <c r="M142" s="7"/>
      <c r="N142" s="7"/>
    </row>
    <row r="143" spans="1:14" ht="19.5" customHeight="1" x14ac:dyDescent="0.25">
      <c r="A143" s="7"/>
      <c r="B143" s="7"/>
      <c r="C143" s="13"/>
      <c r="D143" s="13"/>
      <c r="E143" s="7"/>
      <c r="F143" s="7"/>
      <c r="G143" s="7"/>
      <c r="H143" s="7"/>
      <c r="I143" s="7"/>
      <c r="J143" s="7"/>
      <c r="K143" s="7"/>
      <c r="L143" s="7"/>
      <c r="M143" s="7"/>
      <c r="N143" s="7"/>
    </row>
    <row r="144" spans="1:14" ht="19.5" customHeight="1" x14ac:dyDescent="0.25">
      <c r="A144" s="7"/>
      <c r="B144" s="7"/>
      <c r="C144" s="13"/>
      <c r="D144" s="13"/>
      <c r="E144" s="7"/>
      <c r="F144" s="7"/>
      <c r="G144" s="7"/>
      <c r="H144" s="7"/>
      <c r="I144" s="7"/>
      <c r="J144" s="7"/>
      <c r="K144" s="7"/>
      <c r="L144" s="7"/>
      <c r="M144" s="7"/>
      <c r="N144" s="7"/>
    </row>
    <row r="145" spans="1:14" ht="19.5" customHeight="1" x14ac:dyDescent="0.25">
      <c r="A145" s="7"/>
      <c r="B145" s="7"/>
      <c r="C145" s="13"/>
      <c r="D145" s="13"/>
      <c r="E145" s="7"/>
      <c r="F145" s="7"/>
      <c r="G145" s="7"/>
      <c r="H145" s="7"/>
      <c r="I145" s="7"/>
      <c r="J145" s="7"/>
      <c r="K145" s="7"/>
      <c r="L145" s="7"/>
      <c r="M145" s="7"/>
      <c r="N145" s="7"/>
    </row>
    <row r="146" spans="1:14" ht="19.5" customHeight="1" x14ac:dyDescent="0.25">
      <c r="A146" s="7"/>
      <c r="B146" s="7"/>
      <c r="C146" s="13"/>
      <c r="D146" s="13"/>
      <c r="E146" s="7"/>
      <c r="F146" s="7"/>
      <c r="G146" s="7"/>
      <c r="H146" s="7"/>
      <c r="I146" s="7"/>
      <c r="J146" s="7"/>
      <c r="K146" s="7"/>
      <c r="L146" s="7"/>
      <c r="M146" s="7"/>
      <c r="N146" s="7"/>
    </row>
    <row r="147" spans="1:14" ht="19.5" customHeight="1" x14ac:dyDescent="0.25">
      <c r="A147" s="7"/>
      <c r="B147" s="7"/>
      <c r="C147" s="13"/>
      <c r="D147" s="13"/>
      <c r="E147" s="7"/>
      <c r="F147" s="7"/>
      <c r="G147" s="7"/>
      <c r="H147" s="7"/>
      <c r="I147" s="7"/>
      <c r="J147" s="7"/>
      <c r="K147" s="7"/>
      <c r="L147" s="7"/>
      <c r="M147" s="7"/>
      <c r="N147" s="7"/>
    </row>
    <row r="148" spans="1:14" ht="19.5" customHeight="1" x14ac:dyDescent="0.25">
      <c r="A148" s="7"/>
      <c r="B148" s="7"/>
      <c r="C148" s="13"/>
      <c r="D148" s="13"/>
      <c r="E148" s="7"/>
      <c r="F148" s="7"/>
      <c r="G148" s="7"/>
      <c r="H148" s="7"/>
      <c r="I148" s="7"/>
      <c r="J148" s="7"/>
      <c r="K148" s="7"/>
      <c r="L148" s="7"/>
      <c r="M148" s="7"/>
      <c r="N148" s="7"/>
    </row>
    <row r="149" spans="1:14" ht="19.5" customHeight="1" x14ac:dyDescent="0.25">
      <c r="A149" s="7"/>
      <c r="B149" s="7"/>
      <c r="C149" s="13"/>
      <c r="D149" s="13"/>
      <c r="E149" s="7"/>
      <c r="F149" s="7"/>
      <c r="G149" s="7"/>
      <c r="H149" s="7"/>
      <c r="I149" s="7"/>
      <c r="J149" s="7"/>
      <c r="K149" s="7"/>
      <c r="L149" s="7"/>
      <c r="M149" s="7"/>
      <c r="N149" s="7"/>
    </row>
    <row r="150" spans="1:14" ht="19.5" customHeight="1" x14ac:dyDescent="0.25">
      <c r="A150" s="7"/>
      <c r="B150" s="7"/>
      <c r="C150" s="13"/>
      <c r="D150" s="13"/>
      <c r="E150" s="7"/>
      <c r="F150" s="7"/>
      <c r="G150" s="7"/>
      <c r="H150" s="7"/>
      <c r="I150" s="7"/>
      <c r="J150" s="7"/>
      <c r="K150" s="7"/>
      <c r="L150" s="7"/>
      <c r="M150" s="7"/>
      <c r="N150" s="7"/>
    </row>
    <row r="151" spans="1:14" ht="19.5" customHeight="1" x14ac:dyDescent="0.25">
      <c r="A151" s="7"/>
      <c r="B151" s="7"/>
      <c r="C151" s="13"/>
      <c r="D151" s="13"/>
      <c r="E151" s="7"/>
      <c r="F151" s="7"/>
      <c r="G151" s="7"/>
      <c r="H151" s="7"/>
      <c r="I151" s="7"/>
      <c r="J151" s="7"/>
      <c r="K151" s="7"/>
      <c r="L151" s="7"/>
      <c r="M151" s="7"/>
      <c r="N151" s="7"/>
    </row>
    <row r="152" spans="1:14" ht="19.5" customHeight="1" x14ac:dyDescent="0.25">
      <c r="A152" s="7"/>
      <c r="B152" s="7"/>
      <c r="C152" s="13"/>
      <c r="D152" s="13"/>
      <c r="E152" s="7"/>
      <c r="F152" s="7"/>
      <c r="G152" s="7"/>
      <c r="H152" s="7"/>
      <c r="I152" s="7"/>
      <c r="J152" s="7"/>
      <c r="K152" s="7"/>
      <c r="L152" s="7"/>
      <c r="M152" s="7"/>
      <c r="N152" s="7"/>
    </row>
    <row r="153" spans="1:14" ht="19.5" customHeight="1" x14ac:dyDescent="0.25">
      <c r="A153" s="7"/>
      <c r="B153" s="7"/>
      <c r="C153" s="13"/>
      <c r="D153" s="13"/>
      <c r="E153" s="7"/>
      <c r="F153" s="7"/>
      <c r="G153" s="7"/>
      <c r="H153" s="7"/>
      <c r="I153" s="7"/>
      <c r="J153" s="7"/>
      <c r="K153" s="7"/>
      <c r="L153" s="7"/>
      <c r="M153" s="7"/>
      <c r="N153" s="7"/>
    </row>
    <row r="154" spans="1:14" ht="19.5" customHeight="1" x14ac:dyDescent="0.25">
      <c r="A154" s="7"/>
      <c r="B154" s="7"/>
      <c r="C154" s="13"/>
      <c r="D154" s="13"/>
      <c r="E154" s="7"/>
      <c r="F154" s="7"/>
      <c r="G154" s="7"/>
      <c r="H154" s="7"/>
      <c r="I154" s="7"/>
      <c r="J154" s="7"/>
      <c r="K154" s="7"/>
      <c r="L154" s="7"/>
      <c r="M154" s="7"/>
      <c r="N154" s="7"/>
    </row>
    <row r="155" spans="1:14" ht="19.5" customHeight="1" x14ac:dyDescent="0.25">
      <c r="A155" s="7"/>
      <c r="B155" s="7"/>
      <c r="C155" s="13"/>
      <c r="D155" s="13"/>
      <c r="E155" s="7"/>
      <c r="F155" s="7"/>
      <c r="G155" s="7"/>
      <c r="H155" s="7"/>
      <c r="I155" s="7"/>
      <c r="J155" s="7"/>
      <c r="K155" s="7"/>
      <c r="L155" s="7"/>
      <c r="M155" s="7"/>
      <c r="N155" s="7"/>
    </row>
    <row r="156" spans="1:14" ht="19.5" customHeight="1" x14ac:dyDescent="0.25">
      <c r="A156" s="7"/>
      <c r="B156" s="7"/>
      <c r="C156" s="13"/>
      <c r="D156" s="13"/>
      <c r="E156" s="7"/>
      <c r="F156" s="7"/>
      <c r="G156" s="7"/>
      <c r="H156" s="7"/>
      <c r="I156" s="7"/>
      <c r="J156" s="7"/>
      <c r="K156" s="7"/>
      <c r="L156" s="7"/>
      <c r="M156" s="7"/>
      <c r="N156" s="7"/>
    </row>
    <row r="157" spans="1:14" ht="19.5" customHeight="1" x14ac:dyDescent="0.25">
      <c r="A157" s="7"/>
      <c r="B157" s="7"/>
      <c r="C157" s="13"/>
      <c r="D157" s="13"/>
      <c r="E157" s="7"/>
      <c r="F157" s="7"/>
      <c r="G157" s="7"/>
      <c r="H157" s="7"/>
      <c r="I157" s="7"/>
      <c r="J157" s="7"/>
      <c r="K157" s="7"/>
      <c r="L157" s="7"/>
      <c r="M157" s="7"/>
      <c r="N157" s="7"/>
    </row>
    <row r="158" spans="1:14" ht="19.5" customHeight="1" x14ac:dyDescent="0.25">
      <c r="A158" s="7"/>
      <c r="B158" s="7"/>
      <c r="C158" s="13"/>
      <c r="D158" s="13"/>
      <c r="E158" s="7"/>
      <c r="F158" s="7"/>
      <c r="G158" s="7"/>
      <c r="H158" s="7"/>
      <c r="I158" s="7"/>
      <c r="J158" s="7"/>
      <c r="K158" s="7"/>
      <c r="L158" s="7"/>
      <c r="M158" s="7"/>
      <c r="N158" s="7"/>
    </row>
    <row r="159" spans="1:14" ht="19.5" customHeight="1" x14ac:dyDescent="0.25">
      <c r="A159" s="7"/>
      <c r="B159" s="7"/>
      <c r="C159" s="13"/>
      <c r="D159" s="13"/>
      <c r="E159" s="7"/>
      <c r="F159" s="7"/>
      <c r="G159" s="7"/>
      <c r="H159" s="7"/>
      <c r="I159" s="7"/>
      <c r="J159" s="7"/>
      <c r="K159" s="7"/>
      <c r="L159" s="7"/>
      <c r="M159" s="7"/>
      <c r="N159" s="7"/>
    </row>
    <row r="160" spans="1:14" ht="19.5" customHeight="1" x14ac:dyDescent="0.25">
      <c r="A160" s="7"/>
      <c r="B160" s="7"/>
      <c r="C160" s="13"/>
      <c r="D160" s="13"/>
      <c r="E160" s="7"/>
      <c r="F160" s="7"/>
      <c r="G160" s="7"/>
      <c r="H160" s="7"/>
      <c r="I160" s="7"/>
      <c r="J160" s="7"/>
      <c r="K160" s="7"/>
      <c r="L160" s="7"/>
      <c r="M160" s="7"/>
      <c r="N160" s="7"/>
    </row>
    <row r="161" spans="1:14" ht="19.5" customHeight="1" x14ac:dyDescent="0.25">
      <c r="A161" s="7"/>
      <c r="B161" s="7"/>
      <c r="C161" s="13"/>
      <c r="D161" s="13"/>
      <c r="E161" s="7"/>
      <c r="F161" s="7"/>
      <c r="G161" s="7"/>
      <c r="H161" s="7"/>
      <c r="I161" s="7"/>
      <c r="J161" s="7"/>
      <c r="K161" s="7"/>
      <c r="L161" s="7"/>
      <c r="M161" s="7"/>
      <c r="N161" s="7"/>
    </row>
    <row r="162" spans="1:14" ht="19.5" customHeight="1" x14ac:dyDescent="0.25">
      <c r="A162" s="7"/>
      <c r="B162" s="7"/>
      <c r="C162" s="13"/>
      <c r="D162" s="13"/>
      <c r="E162" s="7"/>
      <c r="F162" s="7"/>
      <c r="G162" s="7"/>
      <c r="H162" s="7"/>
      <c r="I162" s="7"/>
      <c r="J162" s="7"/>
      <c r="K162" s="7"/>
      <c r="L162" s="7"/>
      <c r="M162" s="7"/>
      <c r="N162" s="7"/>
    </row>
    <row r="163" spans="1:14" ht="19.5" customHeight="1" x14ac:dyDescent="0.25">
      <c r="A163" s="7"/>
      <c r="B163" s="7"/>
      <c r="C163" s="13"/>
      <c r="D163" s="13"/>
      <c r="E163" s="7"/>
      <c r="F163" s="7"/>
      <c r="G163" s="7"/>
      <c r="H163" s="7"/>
      <c r="I163" s="7"/>
      <c r="J163" s="7"/>
      <c r="K163" s="7"/>
      <c r="L163" s="7"/>
      <c r="M163" s="7"/>
      <c r="N163" s="7"/>
    </row>
    <row r="164" spans="1:14" ht="19.5" customHeight="1" x14ac:dyDescent="0.25">
      <c r="A164" s="7"/>
      <c r="B164" s="7"/>
      <c r="C164" s="13"/>
      <c r="D164" s="13"/>
      <c r="E164" s="7"/>
      <c r="F164" s="7"/>
      <c r="G164" s="7"/>
      <c r="H164" s="7"/>
      <c r="I164" s="7"/>
      <c r="J164" s="7"/>
      <c r="K164" s="7"/>
      <c r="L164" s="7"/>
      <c r="M164" s="7"/>
      <c r="N164" s="7"/>
    </row>
    <row r="165" spans="1:14" ht="19.5" customHeight="1" x14ac:dyDescent="0.25">
      <c r="A165" s="7"/>
      <c r="B165" s="7"/>
      <c r="C165" s="13"/>
      <c r="D165" s="13"/>
      <c r="E165" s="7"/>
      <c r="F165" s="7"/>
      <c r="G165" s="7"/>
      <c r="H165" s="7"/>
      <c r="I165" s="7"/>
      <c r="J165" s="7"/>
      <c r="K165" s="7"/>
      <c r="L165" s="7"/>
      <c r="M165" s="7"/>
      <c r="N165" s="7"/>
    </row>
    <row r="166" spans="1:14" ht="19.5" customHeight="1" x14ac:dyDescent="0.25">
      <c r="A166" s="7"/>
      <c r="B166" s="7"/>
      <c r="C166" s="13"/>
      <c r="D166" s="13"/>
      <c r="E166" s="7"/>
      <c r="F166" s="7"/>
      <c r="G166" s="7"/>
      <c r="H166" s="7"/>
      <c r="I166" s="7"/>
      <c r="J166" s="7"/>
      <c r="K166" s="7"/>
      <c r="L166" s="7"/>
      <c r="M166" s="7"/>
      <c r="N166" s="7"/>
    </row>
    <row r="167" spans="1:14" ht="19.5" customHeight="1" x14ac:dyDescent="0.25">
      <c r="A167" s="7"/>
      <c r="B167" s="7"/>
      <c r="C167" s="13"/>
      <c r="D167" s="13"/>
      <c r="E167" s="7"/>
      <c r="F167" s="7"/>
      <c r="G167" s="7"/>
      <c r="H167" s="7"/>
      <c r="I167" s="7"/>
      <c r="J167" s="7"/>
      <c r="K167" s="7"/>
      <c r="L167" s="7"/>
      <c r="M167" s="7"/>
      <c r="N167" s="7"/>
    </row>
    <row r="168" spans="1:14" ht="19.5" customHeight="1" x14ac:dyDescent="0.25">
      <c r="A168" s="7"/>
      <c r="B168" s="7"/>
      <c r="C168" s="13"/>
      <c r="D168" s="13"/>
      <c r="E168" s="7"/>
      <c r="F168" s="7"/>
      <c r="G168" s="7"/>
      <c r="H168" s="7"/>
      <c r="I168" s="7"/>
      <c r="J168" s="7"/>
      <c r="K168" s="7"/>
      <c r="L168" s="7"/>
      <c r="M168" s="7"/>
      <c r="N168" s="7"/>
    </row>
    <row r="169" spans="1:14" ht="19.5" customHeight="1" x14ac:dyDescent="0.25">
      <c r="A169" s="7"/>
      <c r="B169" s="7"/>
      <c r="C169" s="13"/>
      <c r="D169" s="13"/>
      <c r="E169" s="7"/>
      <c r="F169" s="7"/>
      <c r="G169" s="7"/>
      <c r="H169" s="7"/>
      <c r="I169" s="7"/>
      <c r="J169" s="7"/>
      <c r="K169" s="7"/>
      <c r="L169" s="7"/>
      <c r="M169" s="7"/>
      <c r="N169" s="7"/>
    </row>
    <row r="170" spans="1:14" ht="19.5" customHeight="1" x14ac:dyDescent="0.25">
      <c r="A170" s="7"/>
      <c r="B170" s="7"/>
      <c r="C170" s="13"/>
      <c r="D170" s="13"/>
      <c r="E170" s="7"/>
      <c r="F170" s="7"/>
      <c r="G170" s="7"/>
      <c r="H170" s="7"/>
      <c r="I170" s="7"/>
      <c r="J170" s="7"/>
      <c r="K170" s="7"/>
      <c r="L170" s="7"/>
      <c r="M170" s="7"/>
      <c r="N170" s="7"/>
    </row>
    <row r="171" spans="1:14" ht="19.5" customHeight="1" x14ac:dyDescent="0.25">
      <c r="A171" s="7"/>
      <c r="B171" s="7"/>
      <c r="C171" s="13"/>
      <c r="D171" s="13"/>
      <c r="E171" s="7"/>
      <c r="F171" s="7"/>
      <c r="G171" s="7"/>
      <c r="H171" s="7"/>
      <c r="I171" s="7"/>
      <c r="J171" s="7"/>
      <c r="K171" s="7"/>
      <c r="L171" s="7"/>
      <c r="M171" s="7"/>
      <c r="N171" s="7"/>
    </row>
    <row r="172" spans="1:14" ht="19.5" customHeight="1" x14ac:dyDescent="0.25">
      <c r="A172" s="7"/>
      <c r="B172" s="7"/>
      <c r="C172" s="13"/>
      <c r="D172" s="13"/>
      <c r="E172" s="7"/>
      <c r="F172" s="7"/>
      <c r="G172" s="7"/>
      <c r="H172" s="7"/>
      <c r="I172" s="7"/>
      <c r="J172" s="7"/>
      <c r="K172" s="7"/>
      <c r="L172" s="7"/>
      <c r="M172" s="7"/>
      <c r="N172" s="7"/>
    </row>
    <row r="173" spans="1:14" ht="19.5" customHeight="1" x14ac:dyDescent="0.25">
      <c r="A173" s="7"/>
      <c r="B173" s="7"/>
      <c r="C173" s="13"/>
      <c r="D173" s="13"/>
      <c r="E173" s="7"/>
      <c r="F173" s="7"/>
      <c r="G173" s="7"/>
      <c r="H173" s="7"/>
      <c r="I173" s="7"/>
      <c r="J173" s="7"/>
      <c r="K173" s="7"/>
      <c r="L173" s="7"/>
      <c r="M173" s="7"/>
      <c r="N173" s="7"/>
    </row>
    <row r="174" spans="1:14" ht="19.5" customHeight="1" x14ac:dyDescent="0.25">
      <c r="A174" s="7"/>
      <c r="B174" s="7"/>
      <c r="C174" s="13"/>
      <c r="D174" s="13"/>
      <c r="E174" s="7"/>
      <c r="F174" s="7"/>
      <c r="G174" s="7"/>
      <c r="H174" s="7"/>
      <c r="I174" s="7"/>
      <c r="J174" s="7"/>
      <c r="K174" s="7"/>
      <c r="L174" s="7"/>
      <c r="M174" s="7"/>
      <c r="N174" s="7"/>
    </row>
    <row r="175" spans="1:14" ht="19.5" customHeight="1" x14ac:dyDescent="0.25">
      <c r="A175" s="7"/>
      <c r="B175" s="7"/>
      <c r="C175" s="13"/>
      <c r="D175" s="13"/>
      <c r="E175" s="7"/>
      <c r="F175" s="7"/>
      <c r="G175" s="7"/>
      <c r="H175" s="7"/>
      <c r="I175" s="7"/>
      <c r="J175" s="7"/>
      <c r="K175" s="7"/>
      <c r="L175" s="7"/>
      <c r="M175" s="7"/>
      <c r="N175" s="7"/>
    </row>
    <row r="176" spans="1:14" ht="19.5" customHeight="1" x14ac:dyDescent="0.25">
      <c r="A176" s="7"/>
      <c r="B176" s="7"/>
      <c r="C176" s="13"/>
      <c r="D176" s="13"/>
      <c r="E176" s="7"/>
      <c r="F176" s="7"/>
      <c r="G176" s="7"/>
      <c r="H176" s="7"/>
      <c r="I176" s="7"/>
      <c r="J176" s="7"/>
      <c r="K176" s="7"/>
      <c r="L176" s="7"/>
      <c r="M176" s="7"/>
      <c r="N176" s="7"/>
    </row>
    <row r="177" spans="1:14" ht="19.5" customHeight="1" x14ac:dyDescent="0.25">
      <c r="A177" s="7"/>
      <c r="B177" s="7"/>
      <c r="C177" s="13"/>
      <c r="D177" s="13"/>
      <c r="E177" s="7"/>
      <c r="F177" s="7"/>
      <c r="G177" s="7"/>
      <c r="H177" s="7"/>
      <c r="I177" s="7"/>
      <c r="J177" s="7"/>
      <c r="K177" s="7"/>
      <c r="L177" s="7"/>
      <c r="M177" s="7"/>
      <c r="N177" s="7"/>
    </row>
    <row r="178" spans="1:14" ht="19.5" customHeight="1" x14ac:dyDescent="0.25">
      <c r="A178" s="7"/>
      <c r="B178" s="7"/>
      <c r="C178" s="13"/>
      <c r="D178" s="13"/>
      <c r="E178" s="7"/>
      <c r="F178" s="7"/>
      <c r="G178" s="7"/>
      <c r="H178" s="7"/>
      <c r="I178" s="7"/>
      <c r="J178" s="7"/>
      <c r="K178" s="7"/>
      <c r="L178" s="7"/>
      <c r="M178" s="7"/>
      <c r="N178" s="7"/>
    </row>
    <row r="179" spans="1:14" ht="19.5" customHeight="1" x14ac:dyDescent="0.25">
      <c r="A179" s="7"/>
      <c r="B179" s="7"/>
      <c r="C179" s="13"/>
      <c r="D179" s="13"/>
      <c r="E179" s="7"/>
      <c r="F179" s="7"/>
      <c r="G179" s="7"/>
      <c r="H179" s="7"/>
      <c r="I179" s="7"/>
      <c r="J179" s="7"/>
      <c r="K179" s="7"/>
      <c r="L179" s="7"/>
      <c r="M179" s="7"/>
      <c r="N179" s="7"/>
    </row>
    <row r="180" spans="1:14" ht="19.5" customHeight="1" x14ac:dyDescent="0.25">
      <c r="A180" s="7"/>
      <c r="B180" s="7"/>
      <c r="C180" s="13"/>
      <c r="D180" s="13"/>
      <c r="E180" s="7"/>
      <c r="F180" s="7"/>
      <c r="G180" s="7"/>
      <c r="H180" s="7"/>
      <c r="I180" s="7"/>
      <c r="J180" s="7"/>
      <c r="K180" s="7"/>
      <c r="L180" s="7"/>
      <c r="M180" s="7"/>
      <c r="N180" s="7"/>
    </row>
    <row r="181" spans="1:14" ht="19.5" customHeight="1" x14ac:dyDescent="0.25">
      <c r="A181" s="7"/>
      <c r="B181" s="7"/>
      <c r="C181" s="13"/>
      <c r="D181" s="13"/>
      <c r="E181" s="7"/>
      <c r="F181" s="7"/>
      <c r="G181" s="7"/>
      <c r="H181" s="7"/>
      <c r="I181" s="7"/>
      <c r="J181" s="7"/>
      <c r="K181" s="7"/>
      <c r="L181" s="7"/>
      <c r="M181" s="7"/>
      <c r="N181" s="7"/>
    </row>
    <row r="182" spans="1:14" ht="19.5" customHeight="1" x14ac:dyDescent="0.25">
      <c r="A182" s="7"/>
      <c r="B182" s="7"/>
      <c r="C182" s="13"/>
      <c r="D182" s="13"/>
      <c r="E182" s="7"/>
      <c r="F182" s="7"/>
      <c r="G182" s="7"/>
      <c r="H182" s="7"/>
      <c r="I182" s="7"/>
      <c r="J182" s="7"/>
      <c r="K182" s="7"/>
      <c r="L182" s="7"/>
      <c r="M182" s="7"/>
      <c r="N182" s="7"/>
    </row>
    <row r="183" spans="1:14" ht="19.5" customHeight="1" x14ac:dyDescent="0.25">
      <c r="A183" s="7"/>
      <c r="B183" s="7"/>
      <c r="C183" s="13"/>
      <c r="D183" s="13"/>
      <c r="E183" s="7"/>
      <c r="F183" s="7"/>
      <c r="G183" s="7"/>
      <c r="H183" s="7"/>
      <c r="I183" s="7"/>
      <c r="J183" s="7"/>
      <c r="K183" s="7"/>
      <c r="L183" s="7"/>
      <c r="M183" s="7"/>
      <c r="N183" s="7"/>
    </row>
    <row r="184" spans="1:14" ht="19.5" customHeight="1" x14ac:dyDescent="0.25">
      <c r="A184" s="7"/>
      <c r="B184" s="7"/>
      <c r="C184" s="13"/>
      <c r="D184" s="13"/>
      <c r="E184" s="7"/>
      <c r="F184" s="7"/>
      <c r="G184" s="7"/>
      <c r="H184" s="7"/>
      <c r="I184" s="7"/>
      <c r="J184" s="7"/>
      <c r="K184" s="7"/>
      <c r="L184" s="7"/>
      <c r="M184" s="7"/>
      <c r="N184" s="7"/>
    </row>
    <row r="185" spans="1:14" ht="19.5" customHeight="1" x14ac:dyDescent="0.25">
      <c r="A185" s="7"/>
      <c r="B185" s="7"/>
      <c r="C185" s="13"/>
      <c r="D185" s="13"/>
      <c r="E185" s="7"/>
      <c r="F185" s="7"/>
      <c r="G185" s="7"/>
      <c r="H185" s="7"/>
      <c r="I185" s="7"/>
      <c r="J185" s="7"/>
      <c r="K185" s="7"/>
      <c r="L185" s="7"/>
      <c r="M185" s="7"/>
      <c r="N185" s="7"/>
    </row>
    <row r="186" spans="1:14" ht="19.5" customHeight="1" x14ac:dyDescent="0.25">
      <c r="A186" s="7"/>
      <c r="B186" s="7"/>
      <c r="C186" s="13"/>
      <c r="D186" s="13"/>
      <c r="E186" s="7"/>
      <c r="F186" s="7"/>
      <c r="G186" s="7"/>
      <c r="H186" s="7"/>
      <c r="I186" s="7"/>
      <c r="J186" s="7"/>
      <c r="K186" s="7"/>
      <c r="L186" s="7"/>
      <c r="M186" s="7"/>
      <c r="N186" s="7"/>
    </row>
    <row r="187" spans="1:14" ht="19.5" customHeight="1" x14ac:dyDescent="0.25">
      <c r="A187" s="7"/>
      <c r="B187" s="7"/>
      <c r="C187" s="13"/>
      <c r="D187" s="13"/>
      <c r="E187" s="7"/>
      <c r="F187" s="7"/>
      <c r="G187" s="7"/>
      <c r="H187" s="7"/>
      <c r="I187" s="7"/>
      <c r="J187" s="7"/>
      <c r="K187" s="7"/>
      <c r="L187" s="7"/>
      <c r="M187" s="7"/>
      <c r="N187" s="7"/>
    </row>
    <row r="188" spans="1:14" ht="19.5" customHeight="1" x14ac:dyDescent="0.25">
      <c r="A188" s="7"/>
      <c r="B188" s="7"/>
      <c r="C188" s="13"/>
      <c r="D188" s="13"/>
      <c r="E188" s="7"/>
      <c r="F188" s="7"/>
      <c r="G188" s="7"/>
      <c r="H188" s="7"/>
      <c r="I188" s="7"/>
      <c r="J188" s="7"/>
      <c r="K188" s="7"/>
      <c r="L188" s="7"/>
      <c r="M188" s="7"/>
      <c r="N188" s="7"/>
    </row>
    <row r="189" spans="1:14" ht="19.5" customHeight="1" x14ac:dyDescent="0.25">
      <c r="A189" s="7"/>
      <c r="B189" s="7"/>
      <c r="C189" s="13"/>
      <c r="D189" s="13"/>
      <c r="E189" s="7"/>
      <c r="F189" s="7"/>
      <c r="G189" s="7"/>
      <c r="H189" s="7"/>
      <c r="I189" s="7"/>
      <c r="J189" s="7"/>
      <c r="K189" s="7"/>
      <c r="L189" s="7"/>
      <c r="M189" s="7"/>
      <c r="N189" s="7"/>
    </row>
    <row r="190" spans="1:14" ht="19.5" customHeight="1" x14ac:dyDescent="0.25">
      <c r="A190" s="7"/>
      <c r="B190" s="7"/>
      <c r="C190" s="13"/>
      <c r="D190" s="13"/>
      <c r="E190" s="7"/>
      <c r="F190" s="7"/>
      <c r="G190" s="7"/>
      <c r="H190" s="7"/>
      <c r="I190" s="7"/>
      <c r="J190" s="7"/>
      <c r="K190" s="7"/>
      <c r="L190" s="7"/>
      <c r="M190" s="7"/>
      <c r="N190" s="7"/>
    </row>
    <row r="191" spans="1:14" ht="19.5" customHeight="1" x14ac:dyDescent="0.25">
      <c r="A191" s="7"/>
      <c r="B191" s="7"/>
      <c r="C191" s="13"/>
      <c r="D191" s="13"/>
      <c r="E191" s="7"/>
      <c r="F191" s="7"/>
      <c r="G191" s="7"/>
      <c r="H191" s="7"/>
      <c r="I191" s="7"/>
      <c r="J191" s="7"/>
      <c r="K191" s="7"/>
      <c r="L191" s="7"/>
      <c r="M191" s="7"/>
      <c r="N191" s="7"/>
    </row>
    <row r="192" spans="1:14" ht="19.5" customHeight="1" x14ac:dyDescent="0.25">
      <c r="A192" s="7"/>
      <c r="B192" s="7"/>
      <c r="C192" s="13"/>
      <c r="D192" s="13"/>
      <c r="E192" s="7"/>
      <c r="F192" s="7"/>
      <c r="G192" s="7"/>
      <c r="H192" s="7"/>
      <c r="I192" s="7"/>
      <c r="J192" s="7"/>
      <c r="K192" s="7"/>
      <c r="L192" s="7"/>
      <c r="M192" s="7"/>
      <c r="N192" s="7"/>
    </row>
    <row r="193" spans="1:14" ht="19.5" customHeight="1" x14ac:dyDescent="0.25">
      <c r="A193" s="7"/>
      <c r="B193" s="7"/>
      <c r="C193" s="13"/>
      <c r="D193" s="13"/>
      <c r="E193" s="7"/>
      <c r="F193" s="7"/>
      <c r="G193" s="7"/>
      <c r="H193" s="7"/>
      <c r="I193" s="7"/>
      <c r="J193" s="7"/>
      <c r="K193" s="7"/>
      <c r="L193" s="7"/>
      <c r="M193" s="7"/>
      <c r="N193" s="7"/>
    </row>
    <row r="194" spans="1:14" ht="19.5" customHeight="1" x14ac:dyDescent="0.25">
      <c r="A194" s="7"/>
      <c r="B194" s="7"/>
      <c r="C194" s="13"/>
      <c r="D194" s="13"/>
      <c r="E194" s="7"/>
      <c r="F194" s="7"/>
      <c r="G194" s="7"/>
      <c r="H194" s="7"/>
      <c r="I194" s="7"/>
      <c r="J194" s="7"/>
      <c r="K194" s="7"/>
      <c r="L194" s="7"/>
      <c r="M194" s="7"/>
      <c r="N194" s="7"/>
    </row>
    <row r="195" spans="1:14" ht="19.5" customHeight="1" x14ac:dyDescent="0.25">
      <c r="A195" s="7"/>
      <c r="B195" s="7"/>
      <c r="C195" s="13"/>
      <c r="D195" s="13"/>
      <c r="E195" s="7"/>
      <c r="F195" s="7"/>
      <c r="G195" s="7"/>
      <c r="H195" s="7"/>
      <c r="I195" s="7"/>
      <c r="J195" s="7"/>
      <c r="K195" s="7"/>
      <c r="L195" s="7"/>
      <c r="M195" s="7"/>
      <c r="N195" s="7"/>
    </row>
    <row r="196" spans="1:14" ht="19.5" customHeight="1" x14ac:dyDescent="0.25">
      <c r="A196" s="7"/>
      <c r="B196" s="7"/>
      <c r="C196" s="13"/>
      <c r="D196" s="13"/>
      <c r="E196" s="7"/>
      <c r="F196" s="7"/>
      <c r="G196" s="7"/>
      <c r="H196" s="7"/>
      <c r="I196" s="7"/>
      <c r="J196" s="7"/>
      <c r="K196" s="7"/>
      <c r="L196" s="7"/>
      <c r="M196" s="7"/>
      <c r="N196" s="7"/>
    </row>
    <row r="197" spans="1:14" ht="19.5" customHeight="1" x14ac:dyDescent="0.25">
      <c r="A197" s="7"/>
      <c r="B197" s="7"/>
      <c r="C197" s="13"/>
      <c r="D197" s="13"/>
      <c r="E197" s="7"/>
      <c r="F197" s="7"/>
      <c r="G197" s="7"/>
      <c r="H197" s="7"/>
      <c r="I197" s="7"/>
      <c r="J197" s="7"/>
      <c r="K197" s="7"/>
      <c r="L197" s="7"/>
      <c r="M197" s="7"/>
      <c r="N197" s="7"/>
    </row>
    <row r="198" spans="1:14" ht="19.5" customHeight="1" x14ac:dyDescent="0.25">
      <c r="A198" s="7"/>
      <c r="B198" s="7"/>
      <c r="C198" s="13"/>
      <c r="D198" s="13"/>
      <c r="E198" s="7"/>
      <c r="F198" s="7"/>
      <c r="G198" s="7"/>
      <c r="H198" s="7"/>
      <c r="I198" s="7"/>
      <c r="J198" s="7"/>
      <c r="K198" s="7"/>
      <c r="L198" s="7"/>
      <c r="M198" s="7"/>
      <c r="N198" s="7"/>
    </row>
    <row r="199" spans="1:14" ht="19.5" customHeight="1" x14ac:dyDescent="0.25">
      <c r="A199" s="7"/>
      <c r="B199" s="7"/>
      <c r="C199" s="13"/>
      <c r="D199" s="13"/>
      <c r="E199" s="7"/>
      <c r="F199" s="7"/>
      <c r="G199" s="7"/>
      <c r="H199" s="7"/>
      <c r="I199" s="7"/>
      <c r="J199" s="7"/>
      <c r="K199" s="7"/>
      <c r="L199" s="7"/>
      <c r="M199" s="7"/>
      <c r="N199" s="7"/>
    </row>
    <row r="200" spans="1:14" ht="19.5" customHeight="1" x14ac:dyDescent="0.25">
      <c r="A200" s="7"/>
      <c r="B200" s="7"/>
      <c r="C200" s="13"/>
      <c r="D200" s="13"/>
      <c r="E200" s="7"/>
      <c r="F200" s="7"/>
      <c r="G200" s="7"/>
      <c r="H200" s="7"/>
      <c r="I200" s="7"/>
      <c r="J200" s="7"/>
      <c r="K200" s="7"/>
      <c r="L200" s="7"/>
      <c r="M200" s="7"/>
      <c r="N200" s="7"/>
    </row>
    <row r="201" spans="1:14" ht="19.5" customHeight="1" x14ac:dyDescent="0.25">
      <c r="A201" s="7"/>
      <c r="B201" s="7"/>
      <c r="C201" s="13"/>
      <c r="D201" s="13"/>
      <c r="E201" s="7"/>
      <c r="F201" s="7"/>
      <c r="G201" s="7"/>
      <c r="H201" s="7"/>
      <c r="I201" s="7"/>
      <c r="J201" s="7"/>
      <c r="K201" s="7"/>
      <c r="L201" s="7"/>
      <c r="M201" s="7"/>
      <c r="N201" s="7"/>
    </row>
    <row r="202" spans="1:14" ht="19.5" customHeight="1" x14ac:dyDescent="0.25">
      <c r="A202" s="7"/>
      <c r="B202" s="7"/>
      <c r="C202" s="13"/>
      <c r="D202" s="13"/>
      <c r="E202" s="7"/>
      <c r="F202" s="7"/>
      <c r="G202" s="7"/>
      <c r="H202" s="7"/>
      <c r="I202" s="7"/>
      <c r="J202" s="7"/>
      <c r="K202" s="7"/>
      <c r="L202" s="7"/>
      <c r="M202" s="7"/>
      <c r="N202" s="7"/>
    </row>
    <row r="203" spans="1:14" ht="19.5" customHeight="1" x14ac:dyDescent="0.25">
      <c r="A203" s="7"/>
      <c r="B203" s="7"/>
      <c r="C203" s="13"/>
      <c r="D203" s="13"/>
      <c r="E203" s="7"/>
      <c r="F203" s="7"/>
      <c r="G203" s="7"/>
      <c r="H203" s="7"/>
      <c r="I203" s="7"/>
      <c r="J203" s="7"/>
      <c r="K203" s="7"/>
      <c r="L203" s="7"/>
      <c r="M203" s="7"/>
      <c r="N203" s="7"/>
    </row>
    <row r="204" spans="1:14" ht="19.5" customHeight="1" x14ac:dyDescent="0.25">
      <c r="A204" s="7"/>
      <c r="B204" s="7"/>
      <c r="C204" s="13"/>
      <c r="D204" s="13"/>
      <c r="E204" s="7"/>
      <c r="F204" s="7"/>
      <c r="G204" s="7"/>
      <c r="H204" s="7"/>
      <c r="I204" s="7"/>
      <c r="J204" s="7"/>
      <c r="K204" s="7"/>
      <c r="L204" s="7"/>
      <c r="M204" s="7"/>
      <c r="N204" s="7"/>
    </row>
    <row r="205" spans="1:14" ht="19.5" customHeight="1" x14ac:dyDescent="0.25">
      <c r="A205" s="7"/>
      <c r="B205" s="7"/>
      <c r="C205" s="13"/>
      <c r="D205" s="13"/>
      <c r="E205" s="7"/>
      <c r="F205" s="7"/>
      <c r="G205" s="7"/>
      <c r="H205" s="7"/>
      <c r="I205" s="7"/>
      <c r="J205" s="7"/>
      <c r="K205" s="7"/>
      <c r="L205" s="7"/>
      <c r="M205" s="7"/>
      <c r="N205" s="7"/>
    </row>
    <row r="206" spans="1:14" ht="19.5" customHeight="1" x14ac:dyDescent="0.25">
      <c r="A206" s="7"/>
      <c r="B206" s="7"/>
      <c r="C206" s="13"/>
      <c r="D206" s="13"/>
      <c r="E206" s="7"/>
      <c r="F206" s="7"/>
      <c r="G206" s="7"/>
      <c r="H206" s="7"/>
      <c r="I206" s="7"/>
      <c r="J206" s="7"/>
      <c r="K206" s="7"/>
      <c r="L206" s="7"/>
      <c r="M206" s="7"/>
      <c r="N206" s="7"/>
    </row>
    <row r="207" spans="1:14" ht="19.5" customHeight="1" x14ac:dyDescent="0.25">
      <c r="A207" s="7"/>
      <c r="B207" s="7"/>
      <c r="C207" s="13"/>
      <c r="D207" s="13"/>
      <c r="E207" s="7"/>
      <c r="F207" s="7"/>
      <c r="G207" s="7"/>
      <c r="H207" s="7"/>
      <c r="I207" s="7"/>
      <c r="J207" s="7"/>
      <c r="K207" s="7"/>
      <c r="L207" s="7"/>
      <c r="M207" s="7"/>
      <c r="N207" s="7"/>
    </row>
    <row r="208" spans="1:14" ht="19.5" customHeight="1" x14ac:dyDescent="0.25">
      <c r="A208" s="7"/>
      <c r="B208" s="7"/>
      <c r="C208" s="13"/>
      <c r="D208" s="13"/>
      <c r="E208" s="7"/>
      <c r="F208" s="7"/>
      <c r="G208" s="7"/>
      <c r="H208" s="7"/>
      <c r="I208" s="7"/>
      <c r="J208" s="7"/>
      <c r="K208" s="7"/>
      <c r="L208" s="7"/>
      <c r="M208" s="7"/>
      <c r="N208" s="7"/>
    </row>
    <row r="209" spans="1:14" ht="19.5" customHeight="1" x14ac:dyDescent="0.25">
      <c r="A209" s="7"/>
      <c r="B209" s="7"/>
      <c r="C209" s="13"/>
      <c r="D209" s="13"/>
      <c r="E209" s="7"/>
      <c r="F209" s="7"/>
      <c r="G209" s="7"/>
      <c r="H209" s="7"/>
      <c r="I209" s="7"/>
      <c r="J209" s="7"/>
      <c r="K209" s="7"/>
      <c r="L209" s="7"/>
      <c r="M209" s="7"/>
      <c r="N209" s="7"/>
    </row>
    <row r="210" spans="1:14" ht="19.5" customHeight="1" x14ac:dyDescent="0.25">
      <c r="A210" s="7"/>
      <c r="B210" s="7"/>
      <c r="C210" s="13"/>
      <c r="D210" s="13"/>
      <c r="E210" s="7"/>
      <c r="F210" s="7"/>
      <c r="G210" s="7"/>
      <c r="H210" s="7"/>
      <c r="I210" s="7"/>
      <c r="J210" s="7"/>
      <c r="K210" s="7"/>
      <c r="L210" s="7"/>
      <c r="M210" s="7"/>
      <c r="N210" s="7"/>
    </row>
    <row r="211" spans="1:14" ht="19.5" customHeight="1" x14ac:dyDescent="0.25">
      <c r="A211" s="7"/>
      <c r="B211" s="7"/>
      <c r="C211" s="13"/>
      <c r="D211" s="13"/>
      <c r="E211" s="7"/>
      <c r="F211" s="7"/>
      <c r="G211" s="7"/>
      <c r="H211" s="7"/>
      <c r="I211" s="7"/>
      <c r="J211" s="7"/>
      <c r="K211" s="7"/>
      <c r="L211" s="7"/>
      <c r="M211" s="7"/>
      <c r="N211" s="7"/>
    </row>
    <row r="212" spans="1:14" ht="19.5" customHeight="1" x14ac:dyDescent="0.25">
      <c r="A212" s="7"/>
      <c r="B212" s="7"/>
      <c r="C212" s="13"/>
      <c r="D212" s="13"/>
      <c r="E212" s="7"/>
      <c r="F212" s="7"/>
      <c r="G212" s="7"/>
      <c r="H212" s="7"/>
      <c r="I212" s="7"/>
      <c r="J212" s="7"/>
      <c r="K212" s="7"/>
      <c r="L212" s="7"/>
      <c r="M212" s="7"/>
      <c r="N212" s="7"/>
    </row>
    <row r="213" spans="1:14" ht="19.5" customHeight="1" x14ac:dyDescent="0.25">
      <c r="A213" s="7"/>
      <c r="B213" s="7"/>
      <c r="C213" s="13"/>
      <c r="D213" s="13"/>
      <c r="E213" s="7"/>
      <c r="F213" s="7"/>
      <c r="G213" s="7"/>
      <c r="H213" s="7"/>
      <c r="I213" s="7"/>
      <c r="J213" s="7"/>
      <c r="K213" s="7"/>
      <c r="L213" s="7"/>
      <c r="M213" s="7"/>
      <c r="N213" s="7"/>
    </row>
    <row r="214" spans="1:14" ht="19.5" customHeight="1" x14ac:dyDescent="0.25">
      <c r="A214" s="7"/>
      <c r="B214" s="7"/>
      <c r="C214" s="13"/>
      <c r="D214" s="13"/>
      <c r="E214" s="7"/>
      <c r="F214" s="7"/>
      <c r="G214" s="7"/>
      <c r="H214" s="7"/>
      <c r="I214" s="7"/>
      <c r="J214" s="7"/>
      <c r="K214" s="7"/>
      <c r="L214" s="7"/>
      <c r="M214" s="7"/>
      <c r="N214" s="7"/>
    </row>
    <row r="215" spans="1:14" ht="19.5" customHeight="1" x14ac:dyDescent="0.25">
      <c r="A215" s="7"/>
      <c r="B215" s="7"/>
      <c r="C215" s="13"/>
      <c r="D215" s="13"/>
      <c r="E215" s="7"/>
      <c r="F215" s="7"/>
      <c r="G215" s="7"/>
      <c r="H215" s="7"/>
      <c r="I215" s="7"/>
      <c r="J215" s="7"/>
      <c r="K215" s="7"/>
      <c r="L215" s="7"/>
      <c r="M215" s="7"/>
      <c r="N215" s="7"/>
    </row>
    <row r="216" spans="1:14" ht="19.5" customHeight="1" x14ac:dyDescent="0.25">
      <c r="A216" s="7"/>
      <c r="B216" s="7"/>
      <c r="C216" s="13"/>
      <c r="D216" s="13"/>
      <c r="E216" s="7"/>
      <c r="F216" s="7"/>
      <c r="G216" s="7"/>
      <c r="H216" s="7"/>
      <c r="I216" s="7"/>
      <c r="J216" s="7"/>
      <c r="K216" s="7"/>
      <c r="L216" s="7"/>
      <c r="M216" s="7"/>
      <c r="N216" s="7"/>
    </row>
    <row r="217" spans="1:14" ht="19.5" customHeight="1" x14ac:dyDescent="0.25">
      <c r="A217" s="7"/>
      <c r="B217" s="7"/>
      <c r="C217" s="13"/>
      <c r="D217" s="13"/>
      <c r="E217" s="7"/>
      <c r="F217" s="7"/>
      <c r="G217" s="7"/>
      <c r="H217" s="7"/>
      <c r="I217" s="7"/>
      <c r="J217" s="7"/>
      <c r="K217" s="7"/>
      <c r="L217" s="7"/>
      <c r="M217" s="7"/>
      <c r="N217" s="7"/>
    </row>
    <row r="218" spans="1:14" ht="19.5" customHeight="1" x14ac:dyDescent="0.25">
      <c r="A218" s="7"/>
      <c r="B218" s="7"/>
      <c r="C218" s="13"/>
      <c r="D218" s="13"/>
      <c r="E218" s="7"/>
      <c r="F218" s="7"/>
      <c r="G218" s="7"/>
      <c r="H218" s="7"/>
      <c r="I218" s="7"/>
      <c r="J218" s="7"/>
      <c r="K218" s="7"/>
      <c r="L218" s="7"/>
      <c r="M218" s="7"/>
      <c r="N218" s="7"/>
    </row>
    <row r="219" spans="1:14" ht="19.5" customHeight="1" x14ac:dyDescent="0.25">
      <c r="A219" s="7"/>
      <c r="B219" s="7"/>
      <c r="C219" s="13"/>
      <c r="D219" s="13"/>
      <c r="E219" s="7"/>
      <c r="F219" s="7"/>
      <c r="G219" s="7"/>
      <c r="H219" s="7"/>
      <c r="I219" s="7"/>
      <c r="J219" s="7"/>
      <c r="K219" s="7"/>
      <c r="L219" s="7"/>
      <c r="M219" s="7"/>
      <c r="N219" s="7"/>
    </row>
    <row r="220" spans="1:14" ht="19.5" customHeight="1" x14ac:dyDescent="0.25">
      <c r="A220" s="7"/>
      <c r="B220" s="7"/>
      <c r="C220" s="13"/>
      <c r="D220" s="13"/>
      <c r="E220" s="7"/>
      <c r="F220" s="7"/>
      <c r="G220" s="7"/>
      <c r="H220" s="7"/>
      <c r="I220" s="7"/>
      <c r="J220" s="7"/>
      <c r="K220" s="7"/>
      <c r="L220" s="7"/>
      <c r="M220" s="7"/>
      <c r="N220" s="7"/>
    </row>
    <row r="221" spans="1:14" ht="19.5" customHeight="1" x14ac:dyDescent="0.25">
      <c r="A221" s="7"/>
      <c r="B221" s="7"/>
      <c r="C221" s="13"/>
      <c r="D221" s="13"/>
      <c r="E221" s="7"/>
      <c r="F221" s="7"/>
      <c r="G221" s="7"/>
      <c r="H221" s="7"/>
      <c r="I221" s="7"/>
      <c r="J221" s="7"/>
      <c r="K221" s="7"/>
      <c r="L221" s="7"/>
      <c r="M221" s="7"/>
      <c r="N221" s="7"/>
    </row>
    <row r="222" spans="1:14" ht="19.5" customHeight="1" x14ac:dyDescent="0.25">
      <c r="A222" s="7"/>
      <c r="B222" s="7"/>
      <c r="C222" s="13"/>
      <c r="D222" s="13"/>
      <c r="E222" s="7"/>
      <c r="F222" s="7"/>
      <c r="G222" s="7"/>
      <c r="H222" s="7"/>
      <c r="I222" s="7"/>
      <c r="J222" s="7"/>
      <c r="K222" s="7"/>
      <c r="L222" s="7"/>
      <c r="M222" s="7"/>
      <c r="N222" s="7"/>
    </row>
    <row r="223" spans="1:14" ht="19.5" customHeight="1" x14ac:dyDescent="0.25">
      <c r="A223" s="7"/>
      <c r="B223" s="7"/>
      <c r="C223" s="13"/>
      <c r="D223" s="13"/>
      <c r="E223" s="7"/>
      <c r="F223" s="7"/>
      <c r="G223" s="7"/>
      <c r="H223" s="7"/>
      <c r="I223" s="7"/>
      <c r="J223" s="7"/>
      <c r="K223" s="7"/>
      <c r="L223" s="7"/>
      <c r="M223" s="7"/>
      <c r="N223" s="7"/>
    </row>
    <row r="224" spans="1:14" ht="19.5" customHeight="1" x14ac:dyDescent="0.25">
      <c r="A224" s="7"/>
      <c r="B224" s="7"/>
      <c r="C224" s="13"/>
      <c r="D224" s="13"/>
      <c r="E224" s="7"/>
      <c r="F224" s="7"/>
      <c r="G224" s="7"/>
      <c r="H224" s="7"/>
      <c r="I224" s="7"/>
      <c r="J224" s="7"/>
      <c r="K224" s="7"/>
      <c r="L224" s="7"/>
      <c r="M224" s="7"/>
      <c r="N224" s="7"/>
    </row>
    <row r="225" spans="1:14" ht="19.5" customHeight="1" x14ac:dyDescent="0.25">
      <c r="A225" s="7"/>
      <c r="B225" s="7"/>
      <c r="C225" s="13"/>
      <c r="D225" s="13"/>
      <c r="E225" s="7"/>
      <c r="F225" s="7"/>
      <c r="G225" s="7"/>
      <c r="H225" s="7"/>
      <c r="I225" s="7"/>
      <c r="J225" s="7"/>
      <c r="K225" s="7"/>
      <c r="L225" s="7"/>
      <c r="M225" s="7"/>
      <c r="N225" s="7"/>
    </row>
    <row r="226" spans="1:14" ht="19.5" customHeight="1" x14ac:dyDescent="0.25">
      <c r="A226" s="7"/>
      <c r="B226" s="7"/>
      <c r="C226" s="13"/>
      <c r="D226" s="13"/>
      <c r="E226" s="7"/>
      <c r="F226" s="7"/>
      <c r="G226" s="7"/>
      <c r="H226" s="7"/>
      <c r="I226" s="7"/>
      <c r="J226" s="7"/>
      <c r="K226" s="7"/>
      <c r="L226" s="7"/>
      <c r="M226" s="7"/>
      <c r="N226" s="7"/>
    </row>
    <row r="227" spans="1:14" ht="19.5" customHeight="1" x14ac:dyDescent="0.25">
      <c r="A227" s="7"/>
      <c r="B227" s="7"/>
      <c r="C227" s="13"/>
      <c r="D227" s="13"/>
      <c r="E227" s="7"/>
      <c r="F227" s="7"/>
      <c r="G227" s="7"/>
      <c r="H227" s="7"/>
      <c r="I227" s="7"/>
      <c r="J227" s="7"/>
      <c r="K227" s="7"/>
      <c r="L227" s="7"/>
      <c r="M227" s="7"/>
      <c r="N227" s="7"/>
    </row>
    <row r="228" spans="1:14" ht="19.5" customHeight="1" x14ac:dyDescent="0.25">
      <c r="A228" s="7"/>
      <c r="B228" s="7"/>
      <c r="C228" s="13"/>
      <c r="D228" s="13"/>
      <c r="E228" s="7"/>
      <c r="F228" s="7"/>
      <c r="G228" s="7"/>
      <c r="H228" s="7"/>
      <c r="I228" s="7"/>
      <c r="J228" s="7"/>
      <c r="K228" s="7"/>
      <c r="L228" s="7"/>
      <c r="M228" s="7"/>
      <c r="N228" s="7"/>
    </row>
    <row r="229" spans="1:14" ht="19.5" customHeight="1" x14ac:dyDescent="0.25">
      <c r="A229" s="7"/>
      <c r="B229" s="7"/>
      <c r="C229" s="13"/>
      <c r="D229" s="13"/>
      <c r="E229" s="7"/>
      <c r="F229" s="7"/>
      <c r="G229" s="7"/>
      <c r="H229" s="7"/>
      <c r="I229" s="7"/>
      <c r="J229" s="7"/>
      <c r="K229" s="7"/>
      <c r="L229" s="7"/>
      <c r="M229" s="7"/>
      <c r="N229" s="7"/>
    </row>
    <row r="230" spans="1:14" ht="19.5" customHeight="1" x14ac:dyDescent="0.25">
      <c r="A230" s="7"/>
      <c r="B230" s="7"/>
      <c r="C230" s="13"/>
      <c r="D230" s="13"/>
      <c r="E230" s="7"/>
      <c r="F230" s="7"/>
      <c r="G230" s="7"/>
      <c r="H230" s="7"/>
      <c r="I230" s="7"/>
      <c r="J230" s="7"/>
      <c r="K230" s="7"/>
      <c r="L230" s="7"/>
      <c r="M230" s="7"/>
      <c r="N230" s="7"/>
    </row>
    <row r="231" spans="1:14" ht="19.5" customHeight="1" x14ac:dyDescent="0.25">
      <c r="A231" s="7"/>
      <c r="B231" s="7"/>
      <c r="C231" s="13"/>
      <c r="D231" s="13"/>
      <c r="E231" s="7"/>
      <c r="F231" s="7"/>
      <c r="G231" s="7"/>
      <c r="H231" s="7"/>
      <c r="I231" s="7"/>
      <c r="J231" s="7"/>
      <c r="K231" s="7"/>
      <c r="L231" s="7"/>
      <c r="M231" s="7"/>
      <c r="N231" s="7"/>
    </row>
    <row r="232" spans="1:14" ht="19.5" customHeight="1" x14ac:dyDescent="0.25">
      <c r="A232" s="7"/>
      <c r="B232" s="7"/>
      <c r="C232" s="13"/>
      <c r="D232" s="13"/>
      <c r="E232" s="7"/>
      <c r="F232" s="7"/>
      <c r="G232" s="7"/>
      <c r="H232" s="7"/>
      <c r="I232" s="7"/>
      <c r="J232" s="7"/>
      <c r="K232" s="7"/>
      <c r="L232" s="7"/>
      <c r="M232" s="7"/>
      <c r="N232" s="7"/>
    </row>
    <row r="233" spans="1:14" ht="19.5" customHeight="1" x14ac:dyDescent="0.25">
      <c r="A233" s="7"/>
      <c r="B233" s="7"/>
      <c r="C233" s="13"/>
      <c r="D233" s="13"/>
      <c r="E233" s="7"/>
      <c r="F233" s="7"/>
      <c r="G233" s="7"/>
      <c r="H233" s="7"/>
      <c r="I233" s="7"/>
      <c r="J233" s="7"/>
      <c r="K233" s="7"/>
      <c r="L233" s="7"/>
      <c r="M233" s="7"/>
      <c r="N233" s="7"/>
    </row>
    <row r="234" spans="1:14" ht="19.5" customHeight="1" x14ac:dyDescent="0.25">
      <c r="A234" s="7"/>
      <c r="B234" s="7"/>
      <c r="C234" s="13"/>
      <c r="D234" s="13"/>
      <c r="E234" s="7"/>
      <c r="F234" s="7"/>
      <c r="G234" s="7"/>
      <c r="H234" s="7"/>
      <c r="I234" s="7"/>
      <c r="J234" s="7"/>
      <c r="K234" s="7"/>
      <c r="L234" s="7"/>
      <c r="M234" s="7"/>
      <c r="N234" s="7"/>
    </row>
    <row r="235" spans="1:14" ht="19.5" customHeight="1" x14ac:dyDescent="0.25">
      <c r="A235" s="7"/>
      <c r="B235" s="7"/>
      <c r="C235" s="13"/>
      <c r="D235" s="13"/>
      <c r="E235" s="7"/>
      <c r="F235" s="7"/>
      <c r="G235" s="7"/>
      <c r="H235" s="7"/>
      <c r="I235" s="7"/>
      <c r="J235" s="7"/>
      <c r="K235" s="7"/>
      <c r="L235" s="7"/>
      <c r="M235" s="7"/>
      <c r="N235" s="7"/>
    </row>
    <row r="236" spans="1:14" ht="19.5" customHeight="1" x14ac:dyDescent="0.25">
      <c r="A236" s="7"/>
      <c r="B236" s="7"/>
      <c r="C236" s="13"/>
      <c r="D236" s="13"/>
      <c r="E236" s="7"/>
      <c r="F236" s="7"/>
      <c r="G236" s="7"/>
      <c r="H236" s="7"/>
      <c r="I236" s="7"/>
      <c r="J236" s="7"/>
      <c r="K236" s="7"/>
      <c r="L236" s="7"/>
      <c r="M236" s="7"/>
      <c r="N236" s="7"/>
    </row>
    <row r="237" spans="1:14" ht="19.5" customHeight="1" x14ac:dyDescent="0.25">
      <c r="A237" s="7"/>
      <c r="B237" s="7"/>
      <c r="C237" s="13"/>
      <c r="D237" s="13"/>
      <c r="E237" s="7"/>
      <c r="F237" s="7"/>
      <c r="G237" s="7"/>
      <c r="H237" s="7"/>
      <c r="I237" s="7"/>
      <c r="J237" s="7"/>
      <c r="K237" s="7"/>
      <c r="L237" s="7"/>
      <c r="M237" s="7"/>
      <c r="N237" s="7"/>
    </row>
    <row r="238" spans="1:14" ht="19.5" customHeight="1" x14ac:dyDescent="0.25">
      <c r="A238" s="7"/>
      <c r="B238" s="7"/>
      <c r="C238" s="13"/>
      <c r="D238" s="13"/>
      <c r="E238" s="7"/>
      <c r="F238" s="7"/>
      <c r="G238" s="7"/>
      <c r="H238" s="7"/>
      <c r="I238" s="7"/>
      <c r="J238" s="7"/>
      <c r="K238" s="7"/>
      <c r="L238" s="7"/>
      <c r="M238" s="7"/>
      <c r="N238" s="7"/>
    </row>
    <row r="239" spans="1:14" ht="19.5" customHeight="1" x14ac:dyDescent="0.25">
      <c r="A239" s="7"/>
      <c r="B239" s="7"/>
      <c r="C239" s="13"/>
      <c r="D239" s="13"/>
      <c r="E239" s="7"/>
      <c r="F239" s="7"/>
      <c r="G239" s="7"/>
      <c r="H239" s="7"/>
      <c r="I239" s="7"/>
      <c r="J239" s="7"/>
      <c r="K239" s="7"/>
      <c r="L239" s="7"/>
      <c r="M239" s="7"/>
      <c r="N239" s="7"/>
    </row>
    <row r="240" spans="1:14" ht="19.5" customHeight="1" x14ac:dyDescent="0.25">
      <c r="A240" s="7"/>
      <c r="B240" s="7"/>
      <c r="C240" s="13"/>
      <c r="D240" s="13"/>
      <c r="E240" s="7"/>
      <c r="F240" s="7"/>
      <c r="G240" s="7"/>
      <c r="H240" s="7"/>
      <c r="I240" s="7"/>
      <c r="J240" s="7"/>
      <c r="K240" s="7"/>
      <c r="L240" s="7"/>
      <c r="M240" s="7"/>
      <c r="N240" s="7"/>
    </row>
    <row r="241" spans="1:14" ht="19.5" customHeight="1" x14ac:dyDescent="0.25">
      <c r="A241" s="7"/>
      <c r="B241" s="7"/>
      <c r="C241" s="13"/>
      <c r="D241" s="13"/>
      <c r="E241" s="7"/>
      <c r="F241" s="7"/>
      <c r="G241" s="7"/>
      <c r="H241" s="7"/>
      <c r="I241" s="7"/>
      <c r="J241" s="7"/>
      <c r="K241" s="7"/>
      <c r="L241" s="7"/>
      <c r="M241" s="7"/>
      <c r="N241" s="7"/>
    </row>
    <row r="242" spans="1:14" ht="19.5" customHeight="1" x14ac:dyDescent="0.25">
      <c r="A242" s="7"/>
      <c r="B242" s="7"/>
      <c r="C242" s="13"/>
      <c r="D242" s="13"/>
      <c r="E242" s="7"/>
      <c r="F242" s="7"/>
      <c r="G242" s="7"/>
      <c r="H242" s="7"/>
      <c r="I242" s="7"/>
      <c r="J242" s="7"/>
      <c r="K242" s="7"/>
      <c r="L242" s="7"/>
      <c r="M242" s="7"/>
      <c r="N242" s="7"/>
    </row>
    <row r="243" spans="1:14" ht="19.5" customHeight="1" x14ac:dyDescent="0.25">
      <c r="A243" s="7"/>
      <c r="B243" s="7"/>
      <c r="C243" s="13"/>
      <c r="D243" s="13"/>
      <c r="E243" s="7"/>
      <c r="F243" s="7"/>
      <c r="G243" s="7"/>
      <c r="H243" s="7"/>
      <c r="I243" s="7"/>
      <c r="J243" s="7"/>
      <c r="K243" s="7"/>
      <c r="L243" s="7"/>
      <c r="M243" s="7"/>
      <c r="N243" s="7"/>
    </row>
    <row r="244" spans="1:14" ht="19.5" customHeight="1" x14ac:dyDescent="0.25">
      <c r="A244" s="7"/>
      <c r="B244" s="7"/>
      <c r="C244" s="13"/>
      <c r="D244" s="13"/>
      <c r="E244" s="7"/>
      <c r="F244" s="7"/>
      <c r="G244" s="7"/>
      <c r="H244" s="7"/>
      <c r="I244" s="7"/>
      <c r="J244" s="7"/>
      <c r="K244" s="7"/>
      <c r="L244" s="7"/>
      <c r="M244" s="7"/>
      <c r="N244" s="7"/>
    </row>
    <row r="245" spans="1:14" ht="19.5" customHeight="1" x14ac:dyDescent="0.25">
      <c r="A245" s="7"/>
      <c r="B245" s="7"/>
      <c r="C245" s="13"/>
      <c r="D245" s="13"/>
      <c r="E245" s="7"/>
      <c r="F245" s="7"/>
      <c r="G245" s="7"/>
      <c r="H245" s="7"/>
      <c r="I245" s="7"/>
      <c r="J245" s="7"/>
      <c r="K245" s="7"/>
      <c r="L245" s="7"/>
      <c r="M245" s="7"/>
      <c r="N245" s="7"/>
    </row>
    <row r="246" spans="1:14" ht="19.5" customHeight="1" x14ac:dyDescent="0.25">
      <c r="A246" s="7"/>
      <c r="B246" s="7"/>
      <c r="C246" s="13"/>
      <c r="D246" s="13"/>
      <c r="E246" s="7"/>
      <c r="F246" s="7"/>
      <c r="G246" s="7"/>
      <c r="H246" s="7"/>
      <c r="I246" s="7"/>
      <c r="J246" s="7"/>
      <c r="K246" s="7"/>
      <c r="L246" s="7"/>
      <c r="M246" s="7"/>
      <c r="N246" s="7"/>
    </row>
    <row r="247" spans="1:14" ht="19.5" customHeight="1" x14ac:dyDescent="0.25">
      <c r="A247" s="7"/>
      <c r="B247" s="7"/>
      <c r="C247" s="13"/>
      <c r="D247" s="13"/>
      <c r="E247" s="7"/>
      <c r="F247" s="7"/>
      <c r="G247" s="7"/>
      <c r="H247" s="7"/>
      <c r="I247" s="7"/>
      <c r="J247" s="7"/>
      <c r="K247" s="7"/>
      <c r="L247" s="7"/>
      <c r="M247" s="7"/>
      <c r="N247" s="7"/>
    </row>
    <row r="248" spans="1:14" ht="19.5" customHeight="1" x14ac:dyDescent="0.25">
      <c r="A248" s="7"/>
      <c r="B248" s="7"/>
      <c r="C248" s="13"/>
      <c r="D248" s="13"/>
      <c r="E248" s="7"/>
      <c r="F248" s="7"/>
      <c r="G248" s="7"/>
      <c r="H248" s="7"/>
      <c r="I248" s="7"/>
      <c r="J248" s="7"/>
      <c r="K248" s="7"/>
      <c r="L248" s="7"/>
      <c r="M248" s="7"/>
      <c r="N248" s="7"/>
    </row>
    <row r="249" spans="1:14" ht="19.5" customHeight="1" x14ac:dyDescent="0.25">
      <c r="A249" s="7"/>
      <c r="B249" s="7"/>
      <c r="C249" s="13"/>
      <c r="D249" s="13"/>
      <c r="E249" s="7"/>
      <c r="F249" s="7"/>
      <c r="G249" s="7"/>
      <c r="H249" s="7"/>
      <c r="I249" s="7"/>
      <c r="J249" s="7"/>
      <c r="K249" s="7"/>
      <c r="L249" s="7"/>
      <c r="M249" s="7"/>
      <c r="N249" s="7"/>
    </row>
    <row r="250" spans="1:14" ht="19.5" customHeight="1" x14ac:dyDescent="0.25">
      <c r="A250" s="7"/>
      <c r="B250" s="7"/>
      <c r="C250" s="13"/>
      <c r="D250" s="13"/>
      <c r="E250" s="7"/>
      <c r="F250" s="7"/>
      <c r="G250" s="7"/>
      <c r="H250" s="7"/>
      <c r="I250" s="7"/>
      <c r="J250" s="7"/>
      <c r="K250" s="7"/>
      <c r="L250" s="7"/>
      <c r="M250" s="7"/>
      <c r="N250" s="7"/>
    </row>
    <row r="251" spans="1:14" ht="19.5" customHeight="1" x14ac:dyDescent="0.25">
      <c r="A251" s="7"/>
      <c r="B251" s="7"/>
      <c r="C251" s="13"/>
      <c r="D251" s="13"/>
      <c r="E251" s="7"/>
      <c r="F251" s="7"/>
      <c r="G251" s="7"/>
      <c r="H251" s="7"/>
      <c r="I251" s="7"/>
      <c r="J251" s="7"/>
      <c r="K251" s="7"/>
      <c r="L251" s="7"/>
      <c r="M251" s="7"/>
      <c r="N251" s="7"/>
    </row>
    <row r="252" spans="1:14" ht="19.5" customHeight="1" x14ac:dyDescent="0.25">
      <c r="A252" s="7"/>
      <c r="B252" s="7"/>
      <c r="C252" s="13"/>
      <c r="D252" s="13"/>
      <c r="E252" s="7"/>
      <c r="F252" s="7"/>
      <c r="G252" s="7"/>
      <c r="H252" s="7"/>
      <c r="I252" s="7"/>
      <c r="J252" s="7"/>
      <c r="K252" s="7"/>
      <c r="L252" s="7"/>
      <c r="M252" s="7"/>
      <c r="N252" s="7"/>
    </row>
    <row r="253" spans="1:14" ht="19.5" customHeight="1" x14ac:dyDescent="0.25">
      <c r="A253" s="7"/>
      <c r="B253" s="7"/>
      <c r="C253" s="13"/>
      <c r="D253" s="13"/>
      <c r="E253" s="7"/>
      <c r="F253" s="7"/>
      <c r="G253" s="7"/>
      <c r="H253" s="7"/>
      <c r="I253" s="7"/>
      <c r="J253" s="7"/>
      <c r="K253" s="7"/>
      <c r="L253" s="7"/>
      <c r="M253" s="7"/>
      <c r="N253" s="7"/>
    </row>
    <row r="254" spans="1:14" ht="19.5" customHeight="1" x14ac:dyDescent="0.25">
      <c r="A254" s="7"/>
      <c r="B254" s="7"/>
      <c r="C254" s="13"/>
      <c r="D254" s="13"/>
      <c r="E254" s="7"/>
      <c r="F254" s="7"/>
      <c r="G254" s="7"/>
      <c r="H254" s="7"/>
      <c r="I254" s="7"/>
      <c r="J254" s="7"/>
      <c r="K254" s="7"/>
      <c r="L254" s="7"/>
      <c r="M254" s="7"/>
      <c r="N254" s="7"/>
    </row>
    <row r="255" spans="1:14" ht="19.5" customHeight="1" x14ac:dyDescent="0.25">
      <c r="A255" s="7"/>
      <c r="B255" s="7"/>
      <c r="C255" s="13"/>
      <c r="D255" s="13"/>
      <c r="E255" s="7"/>
      <c r="F255" s="7"/>
      <c r="G255" s="7"/>
      <c r="H255" s="7"/>
      <c r="I255" s="7"/>
      <c r="J255" s="7"/>
      <c r="K255" s="7"/>
      <c r="L255" s="7"/>
      <c r="M255" s="7"/>
      <c r="N255" s="7"/>
    </row>
    <row r="256" spans="1:14" ht="19.5" customHeight="1" x14ac:dyDescent="0.25">
      <c r="A256" s="7"/>
      <c r="B256" s="7"/>
      <c r="C256" s="13"/>
      <c r="D256" s="13"/>
      <c r="E256" s="7"/>
      <c r="F256" s="7"/>
      <c r="G256" s="7"/>
      <c r="H256" s="7"/>
      <c r="I256" s="7"/>
      <c r="J256" s="7"/>
      <c r="K256" s="7"/>
      <c r="L256" s="7"/>
      <c r="M256" s="7"/>
      <c r="N256" s="7"/>
    </row>
    <row r="257" spans="1:14" ht="19.5" customHeight="1" x14ac:dyDescent="0.25">
      <c r="A257" s="7"/>
      <c r="B257" s="7"/>
      <c r="C257" s="13"/>
      <c r="D257" s="13"/>
      <c r="E257" s="7"/>
      <c r="F257" s="7"/>
      <c r="G257" s="7"/>
      <c r="H257" s="7"/>
      <c r="I257" s="7"/>
      <c r="J257" s="7"/>
      <c r="K257" s="7"/>
      <c r="L257" s="7"/>
      <c r="M257" s="7"/>
      <c r="N257" s="7"/>
    </row>
    <row r="258" spans="1:14" ht="19.5" customHeight="1" x14ac:dyDescent="0.25">
      <c r="A258" s="7"/>
      <c r="B258" s="7"/>
      <c r="C258" s="13"/>
      <c r="D258" s="13"/>
      <c r="E258" s="7"/>
      <c r="F258" s="7"/>
      <c r="G258" s="7"/>
      <c r="H258" s="7"/>
      <c r="I258" s="7"/>
      <c r="J258" s="7"/>
      <c r="K258" s="7"/>
      <c r="L258" s="7"/>
      <c r="M258" s="7"/>
      <c r="N258" s="7"/>
    </row>
    <row r="259" spans="1:14" ht="19.5" customHeight="1" x14ac:dyDescent="0.25">
      <c r="A259" s="7"/>
      <c r="B259" s="7"/>
      <c r="C259" s="13"/>
      <c r="D259" s="13"/>
      <c r="E259" s="7"/>
      <c r="F259" s="7"/>
      <c r="G259" s="7"/>
      <c r="H259" s="7"/>
      <c r="I259" s="7"/>
      <c r="J259" s="7"/>
      <c r="K259" s="7"/>
      <c r="L259" s="7"/>
      <c r="M259" s="7"/>
      <c r="N259" s="7"/>
    </row>
    <row r="260" spans="1:14" ht="19.5" customHeight="1" x14ac:dyDescent="0.25">
      <c r="A260" s="7"/>
      <c r="B260" s="7"/>
      <c r="C260" s="13"/>
      <c r="D260" s="13"/>
      <c r="E260" s="7"/>
      <c r="F260" s="7"/>
      <c r="G260" s="7"/>
      <c r="H260" s="7"/>
      <c r="I260" s="7"/>
      <c r="J260" s="7"/>
      <c r="K260" s="7"/>
      <c r="L260" s="7"/>
      <c r="M260" s="7"/>
      <c r="N260" s="7"/>
    </row>
    <row r="261" spans="1:14" ht="19.5" customHeight="1" x14ac:dyDescent="0.25">
      <c r="A261" s="7"/>
      <c r="B261" s="7"/>
      <c r="C261" s="13"/>
      <c r="D261" s="13"/>
      <c r="E261" s="7"/>
      <c r="F261" s="7"/>
      <c r="G261" s="7"/>
      <c r="H261" s="7"/>
      <c r="I261" s="7"/>
      <c r="J261" s="7"/>
      <c r="K261" s="7"/>
      <c r="L261" s="7"/>
      <c r="M261" s="7"/>
      <c r="N261" s="7"/>
    </row>
    <row r="262" spans="1:14" ht="19.5" customHeight="1" x14ac:dyDescent="0.25">
      <c r="A262" s="7"/>
      <c r="B262" s="7"/>
      <c r="C262" s="13"/>
      <c r="D262" s="13"/>
      <c r="E262" s="7"/>
      <c r="F262" s="7"/>
      <c r="G262" s="7"/>
      <c r="H262" s="7"/>
      <c r="I262" s="7"/>
      <c r="J262" s="7"/>
      <c r="K262" s="7"/>
      <c r="L262" s="7"/>
      <c r="M262" s="7"/>
      <c r="N262" s="7"/>
    </row>
    <row r="263" spans="1:14" ht="19.5" customHeight="1" x14ac:dyDescent="0.25">
      <c r="A263" s="7"/>
      <c r="B263" s="7"/>
      <c r="C263" s="13"/>
      <c r="D263" s="13"/>
      <c r="E263" s="7"/>
      <c r="F263" s="7"/>
      <c r="G263" s="7"/>
      <c r="H263" s="7"/>
      <c r="I263" s="7"/>
      <c r="J263" s="7"/>
      <c r="K263" s="7"/>
      <c r="L263" s="7"/>
      <c r="M263" s="7"/>
      <c r="N263" s="7"/>
    </row>
    <row r="264" spans="1:14" ht="19.5" customHeight="1" x14ac:dyDescent="0.25">
      <c r="A264" s="7"/>
      <c r="B264" s="7"/>
      <c r="C264" s="13"/>
      <c r="D264" s="13"/>
      <c r="E264" s="7"/>
      <c r="F264" s="7"/>
      <c r="G264" s="7"/>
      <c r="H264" s="7"/>
      <c r="I264" s="7"/>
      <c r="J264" s="7"/>
      <c r="K264" s="7"/>
      <c r="L264" s="7"/>
      <c r="M264" s="7"/>
      <c r="N264" s="7"/>
    </row>
    <row r="265" spans="1:14" ht="19.5" customHeight="1" x14ac:dyDescent="0.25">
      <c r="A265" s="7"/>
      <c r="B265" s="7"/>
      <c r="C265" s="13"/>
      <c r="D265" s="13"/>
      <c r="E265" s="7"/>
      <c r="F265" s="7"/>
      <c r="G265" s="7"/>
      <c r="H265" s="7"/>
      <c r="I265" s="7"/>
      <c r="J265" s="7"/>
      <c r="K265" s="7"/>
      <c r="L265" s="7"/>
      <c r="M265" s="7"/>
      <c r="N265" s="7"/>
    </row>
    <row r="266" spans="1:14" ht="19.5" customHeight="1" x14ac:dyDescent="0.25">
      <c r="A266" s="7"/>
      <c r="B266" s="7"/>
      <c r="C266" s="13"/>
      <c r="D266" s="13"/>
      <c r="E266" s="7"/>
      <c r="F266" s="7"/>
      <c r="G266" s="7"/>
      <c r="H266" s="7"/>
      <c r="I266" s="7"/>
      <c r="J266" s="7"/>
      <c r="K266" s="7"/>
      <c r="L266" s="7"/>
      <c r="M266" s="7"/>
      <c r="N266" s="7"/>
    </row>
    <row r="267" spans="1:14" ht="19.5" customHeight="1" x14ac:dyDescent="0.25">
      <c r="A267" s="7"/>
      <c r="B267" s="7"/>
      <c r="C267" s="13"/>
      <c r="D267" s="13"/>
      <c r="E267" s="7"/>
      <c r="F267" s="7"/>
      <c r="G267" s="7"/>
      <c r="H267" s="7"/>
      <c r="I267" s="7"/>
      <c r="J267" s="7"/>
      <c r="K267" s="7"/>
      <c r="L267" s="7"/>
      <c r="M267" s="7"/>
      <c r="N267" s="7"/>
    </row>
    <row r="268" spans="1:14" ht="19.5" customHeight="1" x14ac:dyDescent="0.25">
      <c r="A268" s="7"/>
      <c r="B268" s="7"/>
      <c r="C268" s="13"/>
      <c r="D268" s="13"/>
      <c r="E268" s="7"/>
      <c r="F268" s="7"/>
      <c r="G268" s="7"/>
      <c r="H268" s="7"/>
      <c r="I268" s="7"/>
      <c r="J268" s="7"/>
      <c r="K268" s="7"/>
      <c r="L268" s="7"/>
      <c r="M268" s="7"/>
      <c r="N268" s="7"/>
    </row>
    <row r="269" spans="1:14" ht="19.5" customHeight="1" x14ac:dyDescent="0.25">
      <c r="A269" s="7"/>
      <c r="B269" s="7"/>
      <c r="C269" s="13"/>
      <c r="D269" s="13"/>
      <c r="E269" s="7"/>
      <c r="F269" s="7"/>
      <c r="G269" s="7"/>
      <c r="H269" s="7"/>
      <c r="I269" s="7"/>
      <c r="J269" s="7"/>
      <c r="K269" s="7"/>
      <c r="L269" s="7"/>
      <c r="M269" s="7"/>
      <c r="N269" s="7"/>
    </row>
    <row r="270" spans="1:14" ht="19.5" customHeight="1" x14ac:dyDescent="0.25">
      <c r="A270" s="7"/>
      <c r="B270" s="7"/>
      <c r="C270" s="13"/>
      <c r="D270" s="13"/>
      <c r="E270" s="7"/>
      <c r="F270" s="7"/>
      <c r="G270" s="7"/>
      <c r="H270" s="7"/>
      <c r="I270" s="7"/>
      <c r="J270" s="7"/>
      <c r="K270" s="7"/>
      <c r="L270" s="7"/>
      <c r="M270" s="7"/>
      <c r="N270" s="7"/>
    </row>
    <row r="271" spans="1:14" ht="19.5" customHeight="1" x14ac:dyDescent="0.25">
      <c r="A271" s="7"/>
      <c r="B271" s="7"/>
      <c r="C271" s="13"/>
      <c r="D271" s="13"/>
      <c r="E271" s="7"/>
      <c r="F271" s="7"/>
      <c r="G271" s="7"/>
      <c r="H271" s="7"/>
      <c r="I271" s="7"/>
      <c r="J271" s="7"/>
      <c r="K271" s="7"/>
      <c r="L271" s="7"/>
      <c r="M271" s="7"/>
      <c r="N271" s="7"/>
    </row>
    <row r="272" spans="1:14" ht="19.5" customHeight="1" x14ac:dyDescent="0.25">
      <c r="A272" s="7"/>
      <c r="B272" s="7"/>
      <c r="C272" s="13"/>
      <c r="D272" s="13"/>
      <c r="E272" s="7"/>
      <c r="F272" s="7"/>
      <c r="G272" s="7"/>
      <c r="H272" s="7"/>
      <c r="I272" s="7"/>
      <c r="J272" s="7"/>
      <c r="K272" s="7"/>
      <c r="L272" s="7"/>
      <c r="M272" s="7"/>
      <c r="N272" s="7"/>
    </row>
    <row r="273" spans="1:14" ht="19.5" customHeight="1" x14ac:dyDescent="0.25">
      <c r="A273" s="7"/>
      <c r="B273" s="7"/>
      <c r="C273" s="13"/>
      <c r="D273" s="13"/>
      <c r="E273" s="7"/>
      <c r="F273" s="7"/>
      <c r="G273" s="7"/>
      <c r="H273" s="7"/>
      <c r="I273" s="7"/>
      <c r="J273" s="7"/>
      <c r="K273" s="7"/>
      <c r="L273" s="7"/>
      <c r="M273" s="7"/>
      <c r="N273" s="7"/>
    </row>
    <row r="274" spans="1:14" ht="19.5" customHeight="1" x14ac:dyDescent="0.25">
      <c r="A274" s="7"/>
      <c r="B274" s="7"/>
      <c r="C274" s="13"/>
      <c r="D274" s="13"/>
      <c r="E274" s="7"/>
      <c r="F274" s="7"/>
      <c r="G274" s="7"/>
      <c r="H274" s="7"/>
      <c r="I274" s="7"/>
      <c r="J274" s="7"/>
      <c r="K274" s="7"/>
      <c r="L274" s="7"/>
      <c r="M274" s="7"/>
      <c r="N274" s="7"/>
    </row>
    <row r="275" spans="1:14" ht="19.5" customHeight="1" x14ac:dyDescent="0.25">
      <c r="A275" s="7"/>
      <c r="B275" s="7"/>
      <c r="C275" s="13"/>
      <c r="D275" s="13"/>
      <c r="E275" s="7"/>
      <c r="F275" s="7"/>
      <c r="G275" s="7"/>
      <c r="H275" s="7"/>
      <c r="I275" s="7"/>
      <c r="J275" s="7"/>
      <c r="K275" s="7"/>
      <c r="L275" s="7"/>
      <c r="M275" s="7"/>
      <c r="N275" s="7"/>
    </row>
    <row r="276" spans="1:14" ht="19.5" customHeight="1" x14ac:dyDescent="0.25">
      <c r="A276" s="7"/>
      <c r="B276" s="7"/>
      <c r="C276" s="13"/>
      <c r="D276" s="13"/>
      <c r="E276" s="7"/>
      <c r="F276" s="7"/>
      <c r="G276" s="7"/>
      <c r="H276" s="7"/>
      <c r="I276" s="7"/>
      <c r="J276" s="7"/>
      <c r="K276" s="7"/>
      <c r="L276" s="7"/>
      <c r="M276" s="7"/>
      <c r="N276" s="7"/>
    </row>
    <row r="277" spans="1:14" ht="19.5" customHeight="1" x14ac:dyDescent="0.25">
      <c r="A277" s="7"/>
      <c r="B277" s="7"/>
      <c r="C277" s="13"/>
      <c r="D277" s="13"/>
      <c r="E277" s="7"/>
      <c r="F277" s="7"/>
      <c r="G277" s="7"/>
      <c r="H277" s="7"/>
      <c r="I277" s="7"/>
      <c r="J277" s="7"/>
      <c r="K277" s="7"/>
      <c r="L277" s="7"/>
      <c r="M277" s="7"/>
      <c r="N277" s="7"/>
    </row>
    <row r="278" spans="1:14" ht="19.5" customHeight="1" x14ac:dyDescent="0.25">
      <c r="A278" s="7"/>
      <c r="B278" s="7"/>
      <c r="C278" s="13"/>
      <c r="D278" s="13"/>
      <c r="E278" s="7"/>
      <c r="F278" s="7"/>
      <c r="G278" s="7"/>
      <c r="H278" s="7"/>
      <c r="I278" s="7"/>
      <c r="J278" s="7"/>
      <c r="K278" s="7"/>
      <c r="L278" s="7"/>
      <c r="M278" s="7"/>
      <c r="N278" s="7"/>
    </row>
    <row r="279" spans="1:14" ht="19.5" customHeight="1" x14ac:dyDescent="0.25">
      <c r="A279" s="7"/>
      <c r="B279" s="7"/>
      <c r="C279" s="13"/>
      <c r="D279" s="13"/>
      <c r="E279" s="7"/>
      <c r="F279" s="7"/>
      <c r="G279" s="7"/>
      <c r="H279" s="7"/>
      <c r="I279" s="7"/>
      <c r="J279" s="7"/>
      <c r="K279" s="7"/>
      <c r="L279" s="7"/>
      <c r="M279" s="7"/>
      <c r="N279" s="7"/>
    </row>
    <row r="280" spans="1:14" ht="19.5" customHeight="1" x14ac:dyDescent="0.25">
      <c r="A280" s="7"/>
      <c r="B280" s="7"/>
      <c r="C280" s="13"/>
      <c r="D280" s="13"/>
      <c r="E280" s="7"/>
      <c r="F280" s="7"/>
      <c r="G280" s="7"/>
      <c r="H280" s="7"/>
      <c r="I280" s="7"/>
      <c r="J280" s="7"/>
      <c r="K280" s="7"/>
      <c r="L280" s="7"/>
      <c r="M280" s="7"/>
      <c r="N280" s="7"/>
    </row>
    <row r="281" spans="1:14" ht="19.5" customHeight="1" x14ac:dyDescent="0.25">
      <c r="A281" s="7"/>
      <c r="B281" s="7"/>
      <c r="C281" s="13"/>
      <c r="D281" s="13"/>
      <c r="E281" s="7"/>
      <c r="F281" s="7"/>
      <c r="G281" s="7"/>
      <c r="H281" s="7"/>
      <c r="I281" s="7"/>
      <c r="J281" s="7"/>
      <c r="K281" s="7"/>
      <c r="L281" s="7"/>
      <c r="M281" s="7"/>
      <c r="N281" s="7"/>
    </row>
    <row r="282" spans="1:14" ht="19.5" customHeight="1" x14ac:dyDescent="0.25">
      <c r="A282" s="7"/>
      <c r="B282" s="7"/>
      <c r="C282" s="13"/>
      <c r="D282" s="13"/>
      <c r="E282" s="7"/>
      <c r="F282" s="7"/>
      <c r="G282" s="7"/>
      <c r="H282" s="7"/>
      <c r="I282" s="7"/>
      <c r="J282" s="7"/>
      <c r="K282" s="7"/>
      <c r="L282" s="7"/>
      <c r="M282" s="7"/>
      <c r="N282" s="7"/>
    </row>
    <row r="283" spans="1:14" ht="19.5" customHeight="1" x14ac:dyDescent="0.25">
      <c r="A283" s="7"/>
      <c r="B283" s="7"/>
      <c r="C283" s="13"/>
      <c r="D283" s="13"/>
      <c r="E283" s="7"/>
      <c r="F283" s="7"/>
      <c r="G283" s="7"/>
      <c r="H283" s="7"/>
      <c r="I283" s="7"/>
      <c r="J283" s="7"/>
      <c r="K283" s="7"/>
      <c r="L283" s="7"/>
      <c r="M283" s="7"/>
      <c r="N283" s="7"/>
    </row>
    <row r="284" spans="1:14" ht="19.5" customHeight="1" x14ac:dyDescent="0.25">
      <c r="A284" s="7"/>
      <c r="B284" s="7"/>
      <c r="C284" s="13"/>
      <c r="D284" s="13"/>
      <c r="E284" s="7"/>
      <c r="F284" s="7"/>
      <c r="G284" s="7"/>
      <c r="H284" s="7"/>
      <c r="I284" s="7"/>
      <c r="J284" s="7"/>
      <c r="K284" s="7"/>
      <c r="L284" s="7"/>
      <c r="M284" s="7"/>
      <c r="N284" s="7"/>
    </row>
    <row r="285" spans="1:14" ht="19.5" customHeight="1" x14ac:dyDescent="0.25">
      <c r="A285" s="7"/>
      <c r="B285" s="7"/>
      <c r="C285" s="13"/>
      <c r="D285" s="13"/>
      <c r="E285" s="7"/>
      <c r="F285" s="7"/>
      <c r="G285" s="7"/>
      <c r="H285" s="7"/>
      <c r="I285" s="7"/>
      <c r="J285" s="7"/>
      <c r="K285" s="7"/>
      <c r="L285" s="7"/>
      <c r="M285" s="7"/>
      <c r="N285" s="7"/>
    </row>
    <row r="286" spans="1:14" ht="19.5" customHeight="1" x14ac:dyDescent="0.25">
      <c r="A286" s="7"/>
      <c r="B286" s="7"/>
      <c r="C286" s="13"/>
      <c r="D286" s="13"/>
      <c r="E286" s="7"/>
      <c r="F286" s="7"/>
      <c r="G286" s="7"/>
      <c r="H286" s="7"/>
      <c r="I286" s="7"/>
      <c r="J286" s="7"/>
      <c r="K286" s="7"/>
      <c r="L286" s="7"/>
      <c r="M286" s="7"/>
      <c r="N286" s="7"/>
    </row>
    <row r="287" spans="1:14" ht="19.5" customHeight="1" x14ac:dyDescent="0.25">
      <c r="A287" s="7"/>
      <c r="B287" s="7"/>
      <c r="C287" s="13"/>
      <c r="D287" s="13"/>
      <c r="E287" s="7"/>
      <c r="F287" s="7"/>
      <c r="G287" s="7"/>
      <c r="H287" s="7"/>
      <c r="I287" s="7"/>
      <c r="J287" s="7"/>
      <c r="K287" s="7"/>
      <c r="L287" s="7"/>
      <c r="M287" s="7"/>
      <c r="N287" s="7"/>
    </row>
    <row r="288" spans="1:14" ht="19.5" customHeight="1" x14ac:dyDescent="0.25">
      <c r="A288" s="7"/>
      <c r="B288" s="7"/>
      <c r="C288" s="13"/>
      <c r="D288" s="13"/>
      <c r="E288" s="7"/>
      <c r="F288" s="7"/>
      <c r="G288" s="7"/>
      <c r="H288" s="7"/>
      <c r="I288" s="7"/>
      <c r="J288" s="7"/>
      <c r="K288" s="7"/>
      <c r="L288" s="7"/>
      <c r="M288" s="7"/>
      <c r="N288" s="7"/>
    </row>
    <row r="289" spans="1:14" ht="19.5" customHeight="1" x14ac:dyDescent="0.25">
      <c r="A289" s="7"/>
      <c r="B289" s="7"/>
      <c r="C289" s="13"/>
      <c r="D289" s="13"/>
      <c r="E289" s="7"/>
      <c r="F289" s="7"/>
      <c r="G289" s="7"/>
      <c r="H289" s="7"/>
      <c r="I289" s="7"/>
      <c r="J289" s="7"/>
      <c r="K289" s="7"/>
      <c r="L289" s="7"/>
      <c r="M289" s="7"/>
      <c r="N289" s="7"/>
    </row>
    <row r="290" spans="1:14" ht="19.5" customHeight="1" x14ac:dyDescent="0.25">
      <c r="A290" s="7"/>
      <c r="B290" s="7"/>
      <c r="C290" s="13"/>
      <c r="D290" s="13"/>
      <c r="E290" s="7"/>
      <c r="F290" s="7"/>
      <c r="G290" s="7"/>
      <c r="H290" s="7"/>
      <c r="I290" s="7"/>
      <c r="J290" s="7"/>
      <c r="K290" s="7"/>
      <c r="L290" s="7"/>
      <c r="M290" s="7"/>
      <c r="N290" s="7"/>
    </row>
    <row r="291" spans="1:14" ht="19.5" customHeight="1" x14ac:dyDescent="0.25">
      <c r="A291" s="7"/>
      <c r="B291" s="7"/>
      <c r="C291" s="13"/>
      <c r="D291" s="13"/>
      <c r="E291" s="7"/>
      <c r="F291" s="7"/>
      <c r="G291" s="7"/>
      <c r="H291" s="7"/>
      <c r="I291" s="7"/>
      <c r="J291" s="7"/>
      <c r="K291" s="7"/>
      <c r="L291" s="7"/>
      <c r="M291" s="7"/>
      <c r="N291" s="7"/>
    </row>
    <row r="292" spans="1:14" ht="19.5" customHeight="1" x14ac:dyDescent="0.25">
      <c r="A292" s="7"/>
      <c r="B292" s="7"/>
      <c r="C292" s="13"/>
      <c r="D292" s="13"/>
      <c r="E292" s="7"/>
      <c r="F292" s="7"/>
      <c r="G292" s="7"/>
      <c r="H292" s="7"/>
      <c r="I292" s="7"/>
      <c r="J292" s="7"/>
      <c r="K292" s="7"/>
      <c r="L292" s="7"/>
      <c r="M292" s="7"/>
      <c r="N292" s="7"/>
    </row>
    <row r="293" spans="1:14" ht="19.5" customHeight="1" x14ac:dyDescent="0.25">
      <c r="A293" s="7"/>
      <c r="B293" s="7"/>
      <c r="C293" s="13"/>
      <c r="D293" s="13"/>
      <c r="E293" s="7"/>
      <c r="F293" s="7"/>
      <c r="G293" s="7"/>
      <c r="H293" s="7"/>
      <c r="I293" s="7"/>
      <c r="J293" s="7"/>
      <c r="K293" s="7"/>
      <c r="L293" s="7"/>
      <c r="M293" s="7"/>
      <c r="N293" s="7"/>
    </row>
    <row r="294" spans="1:14" ht="19.5" customHeight="1" x14ac:dyDescent="0.25">
      <c r="A294" s="7"/>
      <c r="B294" s="7"/>
      <c r="C294" s="13"/>
      <c r="D294" s="13"/>
      <c r="E294" s="7"/>
      <c r="F294" s="7"/>
      <c r="G294" s="7"/>
      <c r="H294" s="7"/>
      <c r="I294" s="7"/>
      <c r="J294" s="7"/>
      <c r="K294" s="7"/>
      <c r="L294" s="7"/>
      <c r="M294" s="7"/>
      <c r="N294" s="7"/>
    </row>
    <row r="295" spans="1:14" ht="19.5" customHeight="1" x14ac:dyDescent="0.25">
      <c r="A295" s="7"/>
      <c r="B295" s="7"/>
      <c r="C295" s="13"/>
      <c r="D295" s="13"/>
      <c r="E295" s="7"/>
      <c r="F295" s="7"/>
      <c r="G295" s="7"/>
      <c r="H295" s="7"/>
      <c r="I295" s="7"/>
      <c r="J295" s="7"/>
      <c r="K295" s="7"/>
      <c r="L295" s="7"/>
      <c r="M295" s="7"/>
      <c r="N295" s="7"/>
    </row>
    <row r="296" spans="1:14" ht="19.5" customHeight="1" x14ac:dyDescent="0.25">
      <c r="A296" s="7"/>
      <c r="B296" s="7"/>
      <c r="C296" s="13"/>
      <c r="D296" s="13"/>
      <c r="E296" s="7"/>
      <c r="F296" s="7"/>
      <c r="G296" s="7"/>
      <c r="H296" s="7"/>
      <c r="I296" s="7"/>
      <c r="J296" s="7"/>
      <c r="K296" s="7"/>
      <c r="L296" s="7"/>
      <c r="M296" s="7"/>
      <c r="N296" s="7"/>
    </row>
    <row r="297" spans="1:14" ht="19.5" customHeight="1" x14ac:dyDescent="0.25">
      <c r="A297" s="7"/>
      <c r="B297" s="7"/>
      <c r="C297" s="13"/>
      <c r="D297" s="13"/>
      <c r="E297" s="7"/>
      <c r="F297" s="7"/>
      <c r="G297" s="7"/>
      <c r="H297" s="7"/>
      <c r="I297" s="7"/>
      <c r="J297" s="7"/>
      <c r="K297" s="7"/>
      <c r="L297" s="7"/>
      <c r="M297" s="7"/>
      <c r="N297" s="7"/>
    </row>
    <row r="298" spans="1:14" ht="19.5" customHeight="1" x14ac:dyDescent="0.25">
      <c r="A298" s="7"/>
      <c r="B298" s="7"/>
      <c r="C298" s="13"/>
      <c r="D298" s="13"/>
      <c r="E298" s="7"/>
      <c r="F298" s="7"/>
      <c r="G298" s="7"/>
      <c r="H298" s="7"/>
      <c r="I298" s="7"/>
      <c r="J298" s="7"/>
      <c r="K298" s="7"/>
      <c r="L298" s="7"/>
      <c r="M298" s="7"/>
      <c r="N298" s="7"/>
    </row>
    <row r="299" spans="1:14" ht="19.5" customHeight="1" x14ac:dyDescent="0.25">
      <c r="A299" s="7"/>
      <c r="B299" s="7"/>
      <c r="C299" s="13"/>
      <c r="D299" s="13"/>
      <c r="E299" s="7"/>
      <c r="F299" s="7"/>
      <c r="G299" s="7"/>
      <c r="H299" s="7"/>
      <c r="I299" s="7"/>
      <c r="J299" s="7"/>
      <c r="K299" s="7"/>
      <c r="L299" s="7"/>
      <c r="M299" s="7"/>
      <c r="N299" s="7"/>
    </row>
    <row r="300" spans="1:14" ht="19.5" customHeight="1" x14ac:dyDescent="0.25">
      <c r="A300" s="7"/>
      <c r="B300" s="7"/>
      <c r="C300" s="13"/>
      <c r="D300" s="13"/>
      <c r="E300" s="7"/>
      <c r="F300" s="7"/>
      <c r="G300" s="7"/>
      <c r="H300" s="7"/>
      <c r="I300" s="7"/>
      <c r="J300" s="7"/>
      <c r="K300" s="7"/>
      <c r="L300" s="7"/>
      <c r="M300" s="7"/>
      <c r="N300" s="7"/>
    </row>
    <row r="301" spans="1:14" ht="19.5" customHeight="1" x14ac:dyDescent="0.25">
      <c r="A301" s="7"/>
      <c r="B301" s="7"/>
      <c r="C301" s="13"/>
      <c r="D301" s="13"/>
      <c r="E301" s="7"/>
      <c r="F301" s="7"/>
      <c r="G301" s="7"/>
      <c r="H301" s="7"/>
      <c r="I301" s="7"/>
      <c r="J301" s="7"/>
      <c r="K301" s="7"/>
      <c r="L301" s="7"/>
      <c r="M301" s="7"/>
      <c r="N301" s="7"/>
    </row>
    <row r="302" spans="1:14" ht="19.5" customHeight="1" x14ac:dyDescent="0.25">
      <c r="A302" s="7"/>
      <c r="B302" s="7"/>
      <c r="C302" s="13"/>
      <c r="D302" s="13"/>
      <c r="E302" s="7"/>
      <c r="F302" s="7"/>
      <c r="G302" s="7"/>
      <c r="H302" s="7"/>
      <c r="I302" s="7"/>
      <c r="J302" s="7"/>
      <c r="K302" s="7"/>
      <c r="L302" s="7"/>
      <c r="M302" s="7"/>
      <c r="N302" s="7"/>
    </row>
    <row r="303" spans="1:14" ht="19.5" customHeight="1" x14ac:dyDescent="0.25">
      <c r="A303" s="7"/>
      <c r="B303" s="7"/>
      <c r="C303" s="13"/>
      <c r="D303" s="13"/>
      <c r="E303" s="7"/>
      <c r="F303" s="7"/>
      <c r="G303" s="7"/>
      <c r="H303" s="7"/>
      <c r="I303" s="7"/>
      <c r="J303" s="7"/>
      <c r="K303" s="7"/>
      <c r="L303" s="7"/>
      <c r="M303" s="7"/>
      <c r="N303" s="7"/>
    </row>
    <row r="304" spans="1:14" ht="19.5" customHeight="1" x14ac:dyDescent="0.25">
      <c r="A304" s="7"/>
      <c r="B304" s="7"/>
      <c r="C304" s="13"/>
      <c r="D304" s="13"/>
      <c r="E304" s="7"/>
      <c r="F304" s="7"/>
      <c r="G304" s="7"/>
      <c r="H304" s="7"/>
      <c r="I304" s="7"/>
      <c r="J304" s="7"/>
      <c r="K304" s="7"/>
      <c r="L304" s="7"/>
      <c r="M304" s="7"/>
      <c r="N304" s="7"/>
    </row>
    <row r="305" spans="1:14" ht="19.5" customHeight="1" x14ac:dyDescent="0.25">
      <c r="A305" s="7"/>
      <c r="B305" s="7"/>
      <c r="C305" s="13"/>
      <c r="D305" s="13"/>
      <c r="E305" s="7"/>
      <c r="F305" s="7"/>
      <c r="G305" s="7"/>
      <c r="H305" s="7"/>
      <c r="I305" s="7"/>
      <c r="J305" s="7"/>
      <c r="K305" s="7"/>
      <c r="L305" s="7"/>
      <c r="M305" s="7"/>
      <c r="N305" s="7"/>
    </row>
    <row r="306" spans="1:14" ht="19.5" customHeight="1" x14ac:dyDescent="0.25">
      <c r="A306" s="7"/>
      <c r="B306" s="7"/>
      <c r="C306" s="13"/>
      <c r="D306" s="13"/>
      <c r="E306" s="7"/>
      <c r="F306" s="7"/>
      <c r="G306" s="7"/>
      <c r="H306" s="7"/>
      <c r="I306" s="7"/>
      <c r="J306" s="7"/>
      <c r="K306" s="7"/>
      <c r="L306" s="7"/>
      <c r="M306" s="7"/>
      <c r="N306" s="7"/>
    </row>
    <row r="307" spans="1:14" ht="19.5" customHeight="1" x14ac:dyDescent="0.25">
      <c r="A307" s="7"/>
      <c r="B307" s="7"/>
      <c r="C307" s="13"/>
      <c r="D307" s="13"/>
      <c r="E307" s="7"/>
      <c r="F307" s="7"/>
      <c r="G307" s="7"/>
      <c r="H307" s="7"/>
      <c r="I307" s="7"/>
      <c r="J307" s="7"/>
      <c r="K307" s="7"/>
      <c r="L307" s="7"/>
      <c r="M307" s="7"/>
      <c r="N307" s="7"/>
    </row>
    <row r="308" spans="1:14" ht="19.5" customHeight="1" x14ac:dyDescent="0.25">
      <c r="A308" s="7"/>
      <c r="B308" s="7"/>
      <c r="C308" s="13"/>
      <c r="D308" s="13"/>
      <c r="E308" s="7"/>
      <c r="F308" s="7"/>
      <c r="G308" s="7"/>
      <c r="H308" s="7"/>
      <c r="I308" s="7"/>
      <c r="J308" s="7"/>
      <c r="K308" s="7"/>
      <c r="L308" s="7"/>
      <c r="M308" s="7"/>
      <c r="N308" s="7"/>
    </row>
    <row r="309" spans="1:14" ht="19.5" customHeight="1" x14ac:dyDescent="0.25">
      <c r="A309" s="7"/>
      <c r="B309" s="7"/>
      <c r="C309" s="13"/>
      <c r="D309" s="13"/>
      <c r="E309" s="7"/>
      <c r="F309" s="7"/>
      <c r="G309" s="7"/>
      <c r="H309" s="7"/>
      <c r="I309" s="7"/>
      <c r="J309" s="7"/>
      <c r="K309" s="7"/>
      <c r="L309" s="7"/>
      <c r="M309" s="7"/>
      <c r="N309" s="7"/>
    </row>
    <row r="310" spans="1:14" ht="19.5" customHeight="1" x14ac:dyDescent="0.25">
      <c r="A310" s="7"/>
      <c r="B310" s="7"/>
      <c r="C310" s="13"/>
      <c r="D310" s="13"/>
      <c r="E310" s="7"/>
      <c r="F310" s="7"/>
      <c r="G310" s="7"/>
      <c r="H310" s="7"/>
      <c r="I310" s="7"/>
      <c r="J310" s="7"/>
      <c r="K310" s="7"/>
      <c r="L310" s="7"/>
      <c r="M310" s="7"/>
      <c r="N310" s="7"/>
    </row>
    <row r="311" spans="1:14" ht="19.5" customHeight="1" x14ac:dyDescent="0.25">
      <c r="A311" s="7"/>
      <c r="B311" s="7"/>
      <c r="C311" s="13"/>
      <c r="D311" s="13"/>
      <c r="E311" s="7"/>
      <c r="F311" s="7"/>
      <c r="G311" s="7"/>
      <c r="H311" s="7"/>
      <c r="I311" s="7"/>
      <c r="J311" s="7"/>
      <c r="K311" s="7"/>
      <c r="L311" s="7"/>
      <c r="M311" s="7"/>
      <c r="N311" s="7"/>
    </row>
    <row r="312" spans="1:14" ht="19.5" customHeight="1" x14ac:dyDescent="0.25">
      <c r="A312" s="7"/>
      <c r="B312" s="7"/>
      <c r="C312" s="13"/>
      <c r="D312" s="13"/>
      <c r="E312" s="7"/>
      <c r="F312" s="7"/>
      <c r="G312" s="7"/>
      <c r="H312" s="7"/>
      <c r="I312" s="7"/>
      <c r="J312" s="7"/>
      <c r="K312" s="7"/>
      <c r="L312" s="7"/>
      <c r="M312" s="7"/>
      <c r="N312" s="7"/>
    </row>
    <row r="313" spans="1:14" ht="19.5" customHeight="1" x14ac:dyDescent="0.25">
      <c r="A313" s="7"/>
      <c r="B313" s="7"/>
      <c r="C313" s="13"/>
      <c r="D313" s="13"/>
      <c r="E313" s="7"/>
      <c r="F313" s="7"/>
      <c r="G313" s="7"/>
      <c r="H313" s="7"/>
      <c r="I313" s="7"/>
      <c r="J313" s="7"/>
      <c r="K313" s="7"/>
      <c r="L313" s="7"/>
      <c r="M313" s="7"/>
      <c r="N313" s="7"/>
    </row>
    <row r="314" spans="1:14" ht="19.5" customHeight="1" x14ac:dyDescent="0.25">
      <c r="A314" s="7"/>
      <c r="B314" s="7"/>
      <c r="C314" s="13"/>
      <c r="D314" s="13"/>
      <c r="E314" s="7"/>
      <c r="F314" s="7"/>
      <c r="G314" s="7"/>
      <c r="H314" s="7"/>
      <c r="I314" s="7"/>
      <c r="J314" s="7"/>
      <c r="K314" s="7"/>
      <c r="L314" s="7"/>
      <c r="M314" s="7"/>
      <c r="N314" s="7"/>
    </row>
    <row r="315" spans="1:14" ht="19.5" customHeight="1" x14ac:dyDescent="0.25">
      <c r="A315" s="7"/>
      <c r="B315" s="7"/>
      <c r="C315" s="13"/>
      <c r="D315" s="13"/>
      <c r="E315" s="7"/>
      <c r="F315" s="7"/>
      <c r="G315" s="7"/>
      <c r="H315" s="7"/>
      <c r="I315" s="7"/>
      <c r="J315" s="7"/>
      <c r="K315" s="7"/>
      <c r="L315" s="7"/>
      <c r="M315" s="7"/>
      <c r="N315" s="7"/>
    </row>
    <row r="316" spans="1:14" ht="19.5" customHeight="1" x14ac:dyDescent="0.25">
      <c r="A316" s="7"/>
      <c r="B316" s="7"/>
      <c r="C316" s="13"/>
      <c r="D316" s="13"/>
      <c r="E316" s="7"/>
      <c r="F316" s="7"/>
      <c r="G316" s="7"/>
      <c r="H316" s="7"/>
      <c r="I316" s="7"/>
      <c r="J316" s="7"/>
      <c r="K316" s="7"/>
      <c r="L316" s="7"/>
      <c r="M316" s="7"/>
      <c r="N316" s="7"/>
    </row>
    <row r="317" spans="1:14" ht="19.5" customHeight="1" x14ac:dyDescent="0.25">
      <c r="A317" s="7"/>
      <c r="B317" s="7"/>
      <c r="C317" s="13"/>
      <c r="D317" s="13"/>
      <c r="E317" s="7"/>
      <c r="F317" s="7"/>
      <c r="G317" s="7"/>
      <c r="H317" s="7"/>
      <c r="I317" s="7"/>
      <c r="J317" s="7"/>
      <c r="K317" s="7"/>
      <c r="L317" s="7"/>
      <c r="M317" s="7"/>
      <c r="N317" s="7"/>
    </row>
    <row r="318" spans="1:14" ht="19.5" customHeight="1" x14ac:dyDescent="0.25">
      <c r="A318" s="7"/>
      <c r="B318" s="7"/>
      <c r="C318" s="13"/>
      <c r="D318" s="13"/>
      <c r="E318" s="7"/>
      <c r="F318" s="7"/>
      <c r="G318" s="7"/>
      <c r="H318" s="7"/>
      <c r="I318" s="7"/>
      <c r="J318" s="7"/>
      <c r="K318" s="7"/>
      <c r="L318" s="7"/>
      <c r="M318" s="7"/>
      <c r="N318" s="7"/>
    </row>
    <row r="319" spans="1:14" ht="19.5" customHeight="1" x14ac:dyDescent="0.25">
      <c r="A319" s="7"/>
      <c r="B319" s="7"/>
      <c r="C319" s="13"/>
      <c r="D319" s="13"/>
      <c r="E319" s="7"/>
      <c r="F319" s="7"/>
      <c r="G319" s="7"/>
      <c r="H319" s="7"/>
      <c r="I319" s="7"/>
      <c r="J319" s="7"/>
      <c r="K319" s="7"/>
      <c r="L319" s="7"/>
      <c r="M319" s="7"/>
      <c r="N319" s="7"/>
    </row>
    <row r="320" spans="1:14" ht="19.5" customHeight="1" x14ac:dyDescent="0.25">
      <c r="A320" s="7"/>
      <c r="B320" s="7"/>
      <c r="C320" s="13"/>
      <c r="D320" s="13"/>
      <c r="E320" s="7"/>
      <c r="F320" s="7"/>
      <c r="G320" s="7"/>
      <c r="H320" s="7"/>
      <c r="I320" s="7"/>
      <c r="J320" s="7"/>
      <c r="K320" s="7"/>
      <c r="L320" s="7"/>
      <c r="M320" s="7"/>
      <c r="N320" s="7"/>
    </row>
    <row r="321" spans="1:14" ht="19.5" customHeight="1" x14ac:dyDescent="0.25">
      <c r="A321" s="7"/>
      <c r="B321" s="7"/>
      <c r="C321" s="13"/>
      <c r="D321" s="13"/>
      <c r="E321" s="7"/>
      <c r="F321" s="7"/>
      <c r="G321" s="7"/>
      <c r="H321" s="7"/>
      <c r="I321" s="7"/>
      <c r="J321" s="7"/>
      <c r="K321" s="7"/>
      <c r="L321" s="7"/>
      <c r="M321" s="7"/>
      <c r="N321" s="7"/>
    </row>
    <row r="322" spans="1:14" ht="19.5" customHeight="1" x14ac:dyDescent="0.25">
      <c r="A322" s="7"/>
      <c r="B322" s="7"/>
      <c r="C322" s="13"/>
      <c r="D322" s="13"/>
      <c r="E322" s="7"/>
      <c r="F322" s="7"/>
      <c r="G322" s="7"/>
      <c r="H322" s="7"/>
      <c r="I322" s="7"/>
      <c r="J322" s="7"/>
      <c r="K322" s="7"/>
      <c r="L322" s="7"/>
      <c r="M322" s="7"/>
      <c r="N322" s="7"/>
    </row>
    <row r="323" spans="1:14" ht="19.5" customHeight="1" x14ac:dyDescent="0.25">
      <c r="A323" s="7"/>
      <c r="B323" s="7"/>
      <c r="C323" s="13"/>
      <c r="D323" s="13"/>
      <c r="E323" s="7"/>
      <c r="F323" s="7"/>
      <c r="G323" s="7"/>
      <c r="H323" s="7"/>
      <c r="I323" s="7"/>
      <c r="J323" s="7"/>
      <c r="K323" s="7"/>
      <c r="L323" s="7"/>
      <c r="M323" s="7"/>
      <c r="N323" s="7"/>
    </row>
    <row r="324" spans="1:14" ht="19.5" customHeight="1" x14ac:dyDescent="0.25">
      <c r="A324" s="7"/>
      <c r="B324" s="7"/>
      <c r="C324" s="13"/>
      <c r="D324" s="13"/>
      <c r="E324" s="7"/>
      <c r="F324" s="7"/>
      <c r="G324" s="7"/>
      <c r="H324" s="7"/>
      <c r="I324" s="7"/>
      <c r="J324" s="7"/>
      <c r="K324" s="7"/>
      <c r="L324" s="7"/>
      <c r="M324" s="7"/>
      <c r="N324" s="7"/>
    </row>
    <row r="325" spans="1:14" ht="19.5" customHeight="1" x14ac:dyDescent="0.25">
      <c r="A325" s="7"/>
      <c r="B325" s="7"/>
      <c r="C325" s="13"/>
      <c r="D325" s="13"/>
      <c r="E325" s="7"/>
      <c r="F325" s="7"/>
      <c r="G325" s="7"/>
      <c r="H325" s="7"/>
      <c r="I325" s="7"/>
      <c r="J325" s="7"/>
      <c r="K325" s="7"/>
      <c r="L325" s="7"/>
      <c r="M325" s="7"/>
      <c r="N325" s="7"/>
    </row>
    <row r="326" spans="1:14" ht="19.5" customHeight="1" x14ac:dyDescent="0.25">
      <c r="A326" s="7"/>
      <c r="B326" s="7"/>
      <c r="C326" s="13"/>
      <c r="D326" s="13"/>
      <c r="E326" s="7"/>
      <c r="F326" s="7"/>
      <c r="G326" s="7"/>
      <c r="H326" s="7"/>
      <c r="I326" s="7"/>
      <c r="J326" s="7"/>
      <c r="K326" s="7"/>
      <c r="L326" s="7"/>
      <c r="M326" s="7"/>
      <c r="N326" s="7"/>
    </row>
    <row r="327" spans="1:14" ht="19.5" customHeight="1" x14ac:dyDescent="0.25">
      <c r="A327" s="7"/>
      <c r="B327" s="7"/>
      <c r="C327" s="13"/>
      <c r="D327" s="13"/>
      <c r="E327" s="7"/>
      <c r="F327" s="7"/>
      <c r="G327" s="7"/>
      <c r="H327" s="7"/>
      <c r="I327" s="7"/>
      <c r="J327" s="7"/>
      <c r="K327" s="7"/>
      <c r="L327" s="7"/>
      <c r="M327" s="7"/>
      <c r="N327" s="7"/>
    </row>
    <row r="328" spans="1:14" ht="19.5" customHeight="1" x14ac:dyDescent="0.25">
      <c r="A328" s="7"/>
      <c r="B328" s="7"/>
      <c r="C328" s="13"/>
      <c r="D328" s="13"/>
      <c r="E328" s="7"/>
      <c r="F328" s="7"/>
      <c r="G328" s="7"/>
      <c r="H328" s="7"/>
      <c r="I328" s="7"/>
      <c r="J328" s="7"/>
      <c r="K328" s="7"/>
      <c r="L328" s="7"/>
      <c r="M328" s="7"/>
      <c r="N328" s="7"/>
    </row>
    <row r="329" spans="1:14" ht="19.5" customHeight="1" x14ac:dyDescent="0.25">
      <c r="A329" s="7"/>
      <c r="B329" s="7"/>
      <c r="C329" s="13"/>
      <c r="D329" s="13"/>
      <c r="E329" s="7"/>
      <c r="F329" s="7"/>
      <c r="G329" s="7"/>
      <c r="H329" s="7"/>
      <c r="I329" s="7"/>
      <c r="J329" s="7"/>
      <c r="K329" s="7"/>
      <c r="L329" s="7"/>
      <c r="M329" s="7"/>
      <c r="N329" s="7"/>
    </row>
    <row r="330" spans="1:14" ht="19.5" customHeight="1" x14ac:dyDescent="0.25">
      <c r="A330" s="7"/>
      <c r="B330" s="7"/>
      <c r="C330" s="13"/>
      <c r="D330" s="13"/>
      <c r="E330" s="7"/>
      <c r="F330" s="7"/>
      <c r="G330" s="7"/>
      <c r="H330" s="7"/>
      <c r="I330" s="7"/>
      <c r="J330" s="7"/>
      <c r="K330" s="7"/>
      <c r="L330" s="7"/>
      <c r="M330" s="7"/>
      <c r="N330" s="7"/>
    </row>
    <row r="331" spans="1:14" ht="19.5" customHeight="1" x14ac:dyDescent="0.25">
      <c r="A331" s="7"/>
      <c r="B331" s="7"/>
      <c r="C331" s="13"/>
      <c r="D331" s="13"/>
      <c r="E331" s="7"/>
      <c r="F331" s="7"/>
      <c r="G331" s="7"/>
      <c r="H331" s="7"/>
      <c r="I331" s="7"/>
      <c r="J331" s="7"/>
      <c r="K331" s="7"/>
      <c r="L331" s="7"/>
      <c r="M331" s="7"/>
      <c r="N331" s="7"/>
    </row>
    <row r="332" spans="1:14" ht="19.5" customHeight="1" x14ac:dyDescent="0.25">
      <c r="A332" s="7"/>
      <c r="B332" s="7"/>
      <c r="C332" s="13"/>
      <c r="D332" s="13"/>
      <c r="E332" s="7"/>
      <c r="F332" s="7"/>
      <c r="G332" s="7"/>
      <c r="H332" s="7"/>
      <c r="I332" s="7"/>
      <c r="J332" s="7"/>
      <c r="K332" s="7"/>
      <c r="L332" s="7"/>
      <c r="M332" s="7"/>
      <c r="N332" s="7"/>
    </row>
    <row r="333" spans="1:14" ht="19.5" customHeight="1" x14ac:dyDescent="0.25">
      <c r="A333" s="7"/>
      <c r="B333" s="7"/>
      <c r="C333" s="13"/>
      <c r="D333" s="13"/>
      <c r="E333" s="7"/>
      <c r="F333" s="7"/>
      <c r="G333" s="7"/>
      <c r="H333" s="7"/>
      <c r="I333" s="7"/>
      <c r="J333" s="7"/>
      <c r="K333" s="7"/>
      <c r="L333" s="7"/>
      <c r="M333" s="7"/>
      <c r="N333" s="7"/>
    </row>
    <row r="334" spans="1:14" ht="19.5" customHeight="1" x14ac:dyDescent="0.25">
      <c r="A334" s="7"/>
      <c r="B334" s="7"/>
      <c r="C334" s="13"/>
      <c r="D334" s="13"/>
      <c r="E334" s="7"/>
      <c r="F334" s="7"/>
      <c r="G334" s="7"/>
      <c r="H334" s="7"/>
      <c r="I334" s="7"/>
      <c r="J334" s="7"/>
      <c r="K334" s="7"/>
      <c r="L334" s="7"/>
      <c r="M334" s="7"/>
      <c r="N334" s="7"/>
    </row>
    <row r="335" spans="1:14" ht="19.5" customHeight="1" x14ac:dyDescent="0.25">
      <c r="A335" s="7"/>
      <c r="B335" s="7"/>
      <c r="C335" s="13"/>
      <c r="D335" s="13"/>
      <c r="E335" s="7"/>
      <c r="F335" s="7"/>
      <c r="G335" s="7"/>
      <c r="H335" s="7"/>
      <c r="I335" s="7"/>
      <c r="J335" s="7"/>
      <c r="K335" s="7"/>
      <c r="L335" s="7"/>
      <c r="M335" s="7"/>
      <c r="N335" s="7"/>
    </row>
    <row r="336" spans="1:14" ht="19.5" customHeight="1" x14ac:dyDescent="0.25">
      <c r="A336" s="7"/>
      <c r="B336" s="7"/>
      <c r="C336" s="13"/>
      <c r="D336" s="13"/>
      <c r="E336" s="7"/>
      <c r="F336" s="7"/>
      <c r="G336" s="7"/>
      <c r="H336" s="7"/>
      <c r="I336" s="7"/>
      <c r="J336" s="7"/>
      <c r="K336" s="7"/>
      <c r="L336" s="7"/>
      <c r="M336" s="7"/>
      <c r="N336" s="7"/>
    </row>
    <row r="337" spans="1:14" ht="19.5" customHeight="1" x14ac:dyDescent="0.25">
      <c r="A337" s="7"/>
      <c r="B337" s="7"/>
      <c r="C337" s="13"/>
      <c r="D337" s="13"/>
      <c r="E337" s="7"/>
      <c r="F337" s="7"/>
      <c r="G337" s="7"/>
      <c r="H337" s="7"/>
      <c r="I337" s="7"/>
      <c r="J337" s="7"/>
      <c r="K337" s="7"/>
      <c r="L337" s="7"/>
      <c r="M337" s="7"/>
      <c r="N337" s="7"/>
    </row>
    <row r="338" spans="1:14" ht="19.5" customHeight="1" x14ac:dyDescent="0.25">
      <c r="A338" s="7"/>
      <c r="B338" s="7"/>
      <c r="C338" s="13"/>
      <c r="D338" s="13"/>
      <c r="E338" s="7"/>
      <c r="F338" s="7"/>
      <c r="G338" s="7"/>
      <c r="H338" s="7"/>
      <c r="I338" s="7"/>
      <c r="J338" s="7"/>
      <c r="K338" s="7"/>
      <c r="L338" s="7"/>
      <c r="M338" s="7"/>
      <c r="N338" s="7"/>
    </row>
    <row r="339" spans="1:14" ht="19.5" customHeight="1" x14ac:dyDescent="0.25">
      <c r="A339" s="7"/>
      <c r="B339" s="7"/>
      <c r="C339" s="13"/>
      <c r="D339" s="13"/>
      <c r="E339" s="7"/>
      <c r="F339" s="7"/>
      <c r="G339" s="7"/>
      <c r="H339" s="7"/>
      <c r="I339" s="7"/>
      <c r="J339" s="7"/>
      <c r="K339" s="7"/>
      <c r="L339" s="7"/>
      <c r="M339" s="7"/>
      <c r="N339" s="7"/>
    </row>
    <row r="340" spans="1:14" ht="19.5" customHeight="1" x14ac:dyDescent="0.25">
      <c r="A340" s="7"/>
      <c r="B340" s="7"/>
      <c r="C340" s="13"/>
      <c r="D340" s="13"/>
      <c r="E340" s="7"/>
      <c r="F340" s="7"/>
      <c r="G340" s="7"/>
      <c r="H340" s="7"/>
      <c r="I340" s="7"/>
      <c r="J340" s="7"/>
      <c r="K340" s="7"/>
      <c r="L340" s="7"/>
      <c r="M340" s="7"/>
      <c r="N340" s="7"/>
    </row>
    <row r="341" spans="1:14" ht="19.5" customHeight="1" x14ac:dyDescent="0.25">
      <c r="A341" s="7"/>
      <c r="B341" s="7"/>
      <c r="C341" s="13"/>
      <c r="D341" s="13"/>
      <c r="E341" s="7"/>
      <c r="F341" s="7"/>
      <c r="G341" s="7"/>
      <c r="H341" s="7"/>
      <c r="I341" s="7"/>
      <c r="J341" s="7"/>
      <c r="K341" s="7"/>
      <c r="L341" s="7"/>
      <c r="M341" s="7"/>
      <c r="N341" s="7"/>
    </row>
    <row r="342" spans="1:14" ht="19.5" customHeight="1" x14ac:dyDescent="0.25">
      <c r="A342" s="7"/>
      <c r="B342" s="7"/>
      <c r="C342" s="13"/>
      <c r="D342" s="13"/>
      <c r="E342" s="7"/>
      <c r="F342" s="7"/>
      <c r="G342" s="7"/>
      <c r="H342" s="7"/>
      <c r="I342" s="7"/>
      <c r="J342" s="7"/>
      <c r="K342" s="7"/>
      <c r="L342" s="7"/>
      <c r="M342" s="7"/>
      <c r="N342" s="7"/>
    </row>
    <row r="343" spans="1:14" ht="19.5" customHeight="1" x14ac:dyDescent="0.25">
      <c r="A343" s="7"/>
      <c r="B343" s="7"/>
      <c r="C343" s="13"/>
      <c r="D343" s="13"/>
      <c r="E343" s="7"/>
      <c r="F343" s="7"/>
      <c r="G343" s="7"/>
      <c r="H343" s="7"/>
      <c r="I343" s="7"/>
      <c r="J343" s="7"/>
      <c r="K343" s="7"/>
      <c r="L343" s="7"/>
      <c r="M343" s="7"/>
      <c r="N343" s="7"/>
    </row>
    <row r="344" spans="1:14" ht="19.5" customHeight="1" x14ac:dyDescent="0.25">
      <c r="A344" s="7"/>
      <c r="B344" s="7"/>
      <c r="C344" s="13"/>
      <c r="D344" s="13"/>
      <c r="E344" s="7"/>
      <c r="F344" s="7"/>
      <c r="G344" s="7"/>
      <c r="H344" s="7"/>
      <c r="I344" s="7"/>
      <c r="J344" s="7"/>
      <c r="K344" s="7"/>
      <c r="L344" s="7"/>
      <c r="M344" s="7"/>
      <c r="N344" s="7"/>
    </row>
    <row r="345" spans="1:14" ht="19.5" customHeight="1" x14ac:dyDescent="0.25">
      <c r="A345" s="7"/>
      <c r="B345" s="7"/>
      <c r="C345" s="13"/>
      <c r="D345" s="13"/>
      <c r="E345" s="7"/>
      <c r="F345" s="7"/>
      <c r="G345" s="7"/>
      <c r="H345" s="7"/>
      <c r="I345" s="7"/>
      <c r="J345" s="7"/>
      <c r="K345" s="7"/>
      <c r="L345" s="7"/>
      <c r="M345" s="7"/>
      <c r="N345" s="7"/>
    </row>
    <row r="346" spans="1:14" ht="19.5" customHeight="1" x14ac:dyDescent="0.25">
      <c r="A346" s="7"/>
      <c r="B346" s="7"/>
      <c r="C346" s="13"/>
      <c r="D346" s="13"/>
      <c r="E346" s="7"/>
      <c r="F346" s="7"/>
      <c r="G346" s="7"/>
      <c r="H346" s="7"/>
      <c r="I346" s="7"/>
      <c r="J346" s="7"/>
      <c r="K346" s="7"/>
      <c r="L346" s="7"/>
      <c r="M346" s="7"/>
      <c r="N346" s="7"/>
    </row>
    <row r="347" spans="1:14" ht="19.5" customHeight="1" x14ac:dyDescent="0.25">
      <c r="A347" s="7"/>
      <c r="B347" s="7"/>
      <c r="C347" s="13"/>
      <c r="D347" s="13"/>
      <c r="E347" s="7"/>
      <c r="F347" s="7"/>
      <c r="G347" s="7"/>
      <c r="H347" s="7"/>
      <c r="I347" s="7"/>
      <c r="J347" s="7"/>
      <c r="K347" s="7"/>
      <c r="L347" s="7"/>
      <c r="M347" s="7"/>
      <c r="N347" s="7"/>
    </row>
    <row r="348" spans="1:14" ht="19.5" customHeight="1" x14ac:dyDescent="0.25">
      <c r="A348" s="7"/>
      <c r="B348" s="7"/>
      <c r="C348" s="13"/>
      <c r="D348" s="13"/>
      <c r="E348" s="7"/>
      <c r="F348" s="7"/>
      <c r="G348" s="7"/>
      <c r="H348" s="7"/>
      <c r="I348" s="7"/>
      <c r="J348" s="7"/>
      <c r="K348" s="7"/>
      <c r="L348" s="7"/>
      <c r="M348" s="7"/>
      <c r="N348" s="7"/>
    </row>
    <row r="349" spans="1:14" ht="19.5" customHeight="1" x14ac:dyDescent="0.25">
      <c r="A349" s="7"/>
      <c r="B349" s="7"/>
      <c r="C349" s="13"/>
      <c r="D349" s="13"/>
      <c r="E349" s="7"/>
      <c r="F349" s="7"/>
      <c r="G349" s="7"/>
      <c r="H349" s="7"/>
      <c r="I349" s="7"/>
      <c r="J349" s="7"/>
      <c r="K349" s="7"/>
      <c r="L349" s="7"/>
      <c r="M349" s="7"/>
      <c r="N349" s="7"/>
    </row>
    <row r="350" spans="1:14" ht="19.5" customHeight="1" x14ac:dyDescent="0.25">
      <c r="A350" s="7"/>
      <c r="B350" s="7"/>
      <c r="C350" s="13"/>
      <c r="D350" s="13"/>
      <c r="E350" s="7"/>
      <c r="F350" s="7"/>
      <c r="G350" s="7"/>
      <c r="H350" s="7"/>
      <c r="I350" s="7"/>
      <c r="J350" s="7"/>
      <c r="K350" s="7"/>
      <c r="L350" s="7"/>
      <c r="M350" s="7"/>
      <c r="N350" s="7"/>
    </row>
    <row r="351" spans="1:14" ht="19.5" customHeight="1" x14ac:dyDescent="0.25">
      <c r="A351" s="7"/>
      <c r="B351" s="7"/>
      <c r="C351" s="13"/>
      <c r="D351" s="13"/>
      <c r="E351" s="7"/>
      <c r="F351" s="7"/>
      <c r="G351" s="7"/>
      <c r="H351" s="7"/>
      <c r="I351" s="7"/>
      <c r="J351" s="7"/>
      <c r="K351" s="7"/>
      <c r="L351" s="7"/>
      <c r="M351" s="7"/>
      <c r="N351" s="7"/>
    </row>
    <row r="352" spans="1:14" ht="19.5" customHeight="1" x14ac:dyDescent="0.25">
      <c r="A352" s="7"/>
      <c r="B352" s="7"/>
      <c r="C352" s="13"/>
      <c r="D352" s="13"/>
      <c r="E352" s="7"/>
      <c r="F352" s="7"/>
      <c r="G352" s="7"/>
      <c r="H352" s="7"/>
      <c r="I352" s="7"/>
      <c r="J352" s="7"/>
      <c r="K352" s="7"/>
      <c r="L352" s="7"/>
      <c r="M352" s="7"/>
      <c r="N352" s="7"/>
    </row>
    <row r="353" spans="1:14" ht="19.5" customHeight="1" x14ac:dyDescent="0.25">
      <c r="A353" s="7"/>
      <c r="B353" s="7"/>
      <c r="C353" s="13"/>
      <c r="D353" s="13"/>
      <c r="E353" s="7"/>
      <c r="F353" s="7"/>
      <c r="G353" s="7"/>
      <c r="H353" s="7"/>
      <c r="I353" s="7"/>
      <c r="J353" s="7"/>
      <c r="K353" s="7"/>
      <c r="L353" s="7"/>
      <c r="M353" s="7"/>
      <c r="N353" s="7"/>
    </row>
    <row r="354" spans="1:14" ht="19.5" customHeight="1" x14ac:dyDescent="0.25">
      <c r="A354" s="7"/>
      <c r="B354" s="7"/>
      <c r="C354" s="13"/>
      <c r="D354" s="13"/>
      <c r="E354" s="7"/>
      <c r="F354" s="7"/>
      <c r="G354" s="7"/>
      <c r="H354" s="7"/>
      <c r="I354" s="7"/>
      <c r="J354" s="7"/>
      <c r="K354" s="7"/>
      <c r="L354" s="7"/>
      <c r="M354" s="7"/>
      <c r="N354" s="7"/>
    </row>
    <row r="355" spans="1:14" ht="19.5" customHeight="1" x14ac:dyDescent="0.25">
      <c r="A355" s="7"/>
      <c r="B355" s="7"/>
      <c r="C355" s="13"/>
      <c r="D355" s="13"/>
      <c r="E355" s="7"/>
      <c r="F355" s="7"/>
      <c r="G355" s="7"/>
      <c r="H355" s="7"/>
      <c r="I355" s="7"/>
      <c r="J355" s="7"/>
      <c r="K355" s="7"/>
      <c r="L355" s="7"/>
      <c r="M355" s="7"/>
      <c r="N355" s="7"/>
    </row>
    <row r="356" spans="1:14" ht="19.5" customHeight="1" x14ac:dyDescent="0.25">
      <c r="A356" s="7"/>
      <c r="B356" s="7"/>
      <c r="C356" s="13"/>
      <c r="D356" s="13"/>
      <c r="E356" s="7"/>
      <c r="F356" s="7"/>
      <c r="G356" s="7"/>
      <c r="H356" s="7"/>
      <c r="I356" s="7"/>
      <c r="J356" s="7"/>
      <c r="K356" s="7"/>
      <c r="L356" s="7"/>
      <c r="M356" s="7"/>
      <c r="N356" s="7"/>
    </row>
    <row r="357" spans="1:14" ht="19.5" customHeight="1" x14ac:dyDescent="0.25">
      <c r="A357" s="7"/>
      <c r="B357" s="7"/>
      <c r="C357" s="13"/>
      <c r="D357" s="13"/>
      <c r="E357" s="7"/>
      <c r="F357" s="7"/>
      <c r="G357" s="7"/>
      <c r="H357" s="7"/>
      <c r="I357" s="7"/>
      <c r="J357" s="7"/>
      <c r="K357" s="7"/>
      <c r="L357" s="7"/>
      <c r="M357" s="7"/>
      <c r="N357" s="7"/>
    </row>
    <row r="358" spans="1:14" ht="19.5" customHeight="1" x14ac:dyDescent="0.25">
      <c r="A358" s="7"/>
      <c r="B358" s="7"/>
      <c r="C358" s="13"/>
      <c r="D358" s="13"/>
      <c r="E358" s="7"/>
      <c r="F358" s="7"/>
      <c r="G358" s="7"/>
      <c r="H358" s="7"/>
      <c r="I358" s="7"/>
      <c r="J358" s="7"/>
      <c r="K358" s="7"/>
      <c r="L358" s="7"/>
      <c r="M358" s="7"/>
      <c r="N358" s="7"/>
    </row>
    <row r="359" spans="1:14" ht="19.5" customHeight="1" x14ac:dyDescent="0.25">
      <c r="A359" s="7"/>
      <c r="B359" s="7"/>
      <c r="C359" s="13"/>
      <c r="D359" s="13"/>
      <c r="E359" s="7"/>
      <c r="F359" s="7"/>
      <c r="G359" s="7"/>
      <c r="H359" s="7"/>
      <c r="I359" s="7"/>
      <c r="J359" s="7"/>
      <c r="K359" s="7"/>
      <c r="L359" s="7"/>
      <c r="M359" s="7"/>
      <c r="N359" s="7"/>
    </row>
    <row r="360" spans="1:14" ht="19.5" customHeight="1" x14ac:dyDescent="0.25">
      <c r="A360" s="7"/>
      <c r="B360" s="7"/>
      <c r="C360" s="13"/>
      <c r="D360" s="13"/>
      <c r="E360" s="7"/>
      <c r="F360" s="7"/>
      <c r="G360" s="7"/>
      <c r="H360" s="7"/>
      <c r="I360" s="7"/>
      <c r="J360" s="7"/>
      <c r="K360" s="7"/>
      <c r="L360" s="7"/>
      <c r="M360" s="7"/>
      <c r="N360" s="7"/>
    </row>
    <row r="361" spans="1:14" ht="19.5" customHeight="1" x14ac:dyDescent="0.25">
      <c r="A361" s="7"/>
      <c r="B361" s="7"/>
      <c r="C361" s="13"/>
      <c r="D361" s="13"/>
      <c r="E361" s="7"/>
      <c r="F361" s="7"/>
      <c r="G361" s="7"/>
      <c r="H361" s="7"/>
      <c r="I361" s="7"/>
      <c r="J361" s="7"/>
      <c r="K361" s="7"/>
      <c r="L361" s="7"/>
      <c r="M361" s="7"/>
      <c r="N361" s="7"/>
    </row>
    <row r="362" spans="1:14" ht="19.5" customHeight="1" x14ac:dyDescent="0.25">
      <c r="A362" s="7"/>
      <c r="B362" s="7"/>
      <c r="C362" s="13"/>
      <c r="D362" s="13"/>
      <c r="E362" s="7"/>
      <c r="F362" s="7"/>
      <c r="G362" s="7"/>
      <c r="H362" s="7"/>
      <c r="I362" s="7"/>
      <c r="J362" s="7"/>
      <c r="K362" s="7"/>
      <c r="L362" s="7"/>
      <c r="M362" s="7"/>
      <c r="N362" s="7"/>
    </row>
    <row r="363" spans="1:14" ht="19.5" customHeight="1" x14ac:dyDescent="0.25">
      <c r="A363" s="7"/>
      <c r="B363" s="7"/>
      <c r="C363" s="13"/>
      <c r="D363" s="13"/>
      <c r="E363" s="7"/>
      <c r="F363" s="7"/>
      <c r="G363" s="7"/>
      <c r="H363" s="7"/>
      <c r="I363" s="7"/>
      <c r="J363" s="7"/>
      <c r="K363" s="7"/>
      <c r="L363" s="7"/>
      <c r="M363" s="7"/>
      <c r="N363" s="7"/>
    </row>
    <row r="364" spans="1:14" ht="19.5" customHeight="1" x14ac:dyDescent="0.25">
      <c r="A364" s="7"/>
      <c r="B364" s="7"/>
      <c r="C364" s="13"/>
      <c r="D364" s="13"/>
      <c r="E364" s="7"/>
      <c r="F364" s="7"/>
      <c r="G364" s="7"/>
      <c r="H364" s="7"/>
      <c r="I364" s="7"/>
      <c r="J364" s="7"/>
      <c r="K364" s="7"/>
      <c r="L364" s="7"/>
      <c r="M364" s="7"/>
      <c r="N364" s="7"/>
    </row>
    <row r="365" spans="1:14" ht="19.5" customHeight="1" x14ac:dyDescent="0.25">
      <c r="A365" s="7"/>
      <c r="B365" s="7"/>
      <c r="C365" s="13"/>
      <c r="D365" s="13"/>
      <c r="E365" s="7"/>
      <c r="F365" s="7"/>
      <c r="G365" s="7"/>
      <c r="H365" s="7"/>
      <c r="I365" s="7"/>
      <c r="J365" s="7"/>
      <c r="K365" s="7"/>
      <c r="L365" s="7"/>
      <c r="M365" s="7"/>
      <c r="N365" s="7"/>
    </row>
    <row r="366" spans="1:14" ht="19.5" customHeight="1" x14ac:dyDescent="0.25">
      <c r="A366" s="7"/>
      <c r="B366" s="7"/>
      <c r="C366" s="13"/>
      <c r="D366" s="13"/>
      <c r="E366" s="7"/>
      <c r="F366" s="7"/>
      <c r="G366" s="7"/>
      <c r="H366" s="7"/>
      <c r="I366" s="7"/>
      <c r="J366" s="7"/>
      <c r="K366" s="7"/>
      <c r="L366" s="7"/>
      <c r="M366" s="7"/>
      <c r="N366" s="7"/>
    </row>
    <row r="367" spans="1:14" ht="19.5" customHeight="1" x14ac:dyDescent="0.25">
      <c r="A367" s="7"/>
      <c r="B367" s="7"/>
      <c r="C367" s="13"/>
      <c r="D367" s="13"/>
      <c r="E367" s="7"/>
      <c r="F367" s="7"/>
      <c r="G367" s="7"/>
      <c r="H367" s="7"/>
      <c r="I367" s="7"/>
      <c r="J367" s="7"/>
      <c r="K367" s="7"/>
      <c r="L367" s="7"/>
      <c r="M367" s="7"/>
      <c r="N367" s="7"/>
    </row>
    <row r="368" spans="1:14" ht="19.5" customHeight="1" x14ac:dyDescent="0.25">
      <c r="A368" s="7"/>
      <c r="B368" s="7"/>
      <c r="C368" s="13"/>
      <c r="D368" s="13"/>
      <c r="E368" s="7"/>
      <c r="F368" s="7"/>
      <c r="G368" s="7"/>
      <c r="H368" s="7"/>
      <c r="I368" s="7"/>
      <c r="J368" s="7"/>
      <c r="K368" s="7"/>
      <c r="L368" s="7"/>
      <c r="M368" s="7"/>
      <c r="N368" s="7"/>
    </row>
    <row r="369" spans="1:14" ht="19.5" customHeight="1" x14ac:dyDescent="0.25">
      <c r="A369" s="7"/>
      <c r="B369" s="7"/>
      <c r="C369" s="13"/>
      <c r="D369" s="13"/>
      <c r="E369" s="7"/>
      <c r="F369" s="7"/>
      <c r="G369" s="7"/>
      <c r="H369" s="7"/>
      <c r="I369" s="7"/>
      <c r="J369" s="7"/>
      <c r="K369" s="7"/>
      <c r="L369" s="7"/>
      <c r="M369" s="7"/>
      <c r="N369" s="7"/>
    </row>
    <row r="370" spans="1:14" ht="19.5" customHeight="1" x14ac:dyDescent="0.25">
      <c r="A370" s="7"/>
      <c r="B370" s="7"/>
      <c r="C370" s="13"/>
      <c r="D370" s="13"/>
      <c r="E370" s="7"/>
      <c r="F370" s="7"/>
      <c r="G370" s="7"/>
      <c r="H370" s="7"/>
      <c r="I370" s="7"/>
      <c r="J370" s="7"/>
      <c r="K370" s="7"/>
      <c r="L370" s="7"/>
      <c r="M370" s="7"/>
      <c r="N370" s="7"/>
    </row>
    <row r="371" spans="1:14" ht="19.5" customHeight="1" x14ac:dyDescent="0.25">
      <c r="A371" s="7"/>
      <c r="B371" s="7"/>
      <c r="C371" s="13"/>
      <c r="D371" s="13"/>
      <c r="E371" s="7"/>
      <c r="F371" s="7"/>
      <c r="G371" s="7"/>
      <c r="H371" s="7"/>
      <c r="I371" s="7"/>
      <c r="J371" s="7"/>
      <c r="K371" s="7"/>
      <c r="L371" s="7"/>
      <c r="M371" s="7"/>
      <c r="N371" s="7"/>
    </row>
    <row r="372" spans="1:14" ht="19.5" customHeight="1" x14ac:dyDescent="0.25">
      <c r="A372" s="7"/>
      <c r="B372" s="7"/>
      <c r="C372" s="13"/>
      <c r="D372" s="13"/>
      <c r="E372" s="7"/>
      <c r="F372" s="7"/>
      <c r="G372" s="7"/>
      <c r="H372" s="7"/>
      <c r="I372" s="7"/>
      <c r="J372" s="7"/>
      <c r="K372" s="7"/>
      <c r="L372" s="7"/>
      <c r="M372" s="7"/>
      <c r="N372" s="7"/>
    </row>
    <row r="373" spans="1:14" ht="19.5" customHeight="1" x14ac:dyDescent="0.25">
      <c r="A373" s="7"/>
      <c r="B373" s="7"/>
      <c r="C373" s="13"/>
      <c r="D373" s="13"/>
      <c r="E373" s="7"/>
      <c r="F373" s="7"/>
      <c r="G373" s="7"/>
      <c r="H373" s="7"/>
      <c r="I373" s="7"/>
      <c r="J373" s="7"/>
      <c r="K373" s="7"/>
      <c r="L373" s="7"/>
      <c r="M373" s="7"/>
      <c r="N373" s="7"/>
    </row>
    <row r="374" spans="1:14" ht="19.5" customHeight="1" x14ac:dyDescent="0.25">
      <c r="A374" s="7"/>
      <c r="B374" s="7"/>
      <c r="C374" s="13"/>
      <c r="D374" s="13"/>
      <c r="E374" s="7"/>
      <c r="F374" s="7"/>
      <c r="G374" s="7"/>
      <c r="H374" s="7"/>
      <c r="I374" s="7"/>
      <c r="J374" s="7"/>
      <c r="K374" s="7"/>
      <c r="L374" s="7"/>
      <c r="M374" s="7"/>
      <c r="N374" s="7"/>
    </row>
    <row r="375" spans="1:14" ht="19.5" customHeight="1" x14ac:dyDescent="0.25">
      <c r="A375" s="7"/>
      <c r="B375" s="7"/>
      <c r="C375" s="13"/>
      <c r="D375" s="13"/>
      <c r="E375" s="7"/>
      <c r="F375" s="7"/>
      <c r="G375" s="7"/>
      <c r="H375" s="7"/>
      <c r="I375" s="7"/>
      <c r="J375" s="7"/>
      <c r="K375" s="7"/>
      <c r="L375" s="7"/>
      <c r="M375" s="7"/>
      <c r="N375" s="7"/>
    </row>
    <row r="376" spans="1:14" ht="19.5" customHeight="1" x14ac:dyDescent="0.25">
      <c r="A376" s="7"/>
      <c r="B376" s="7"/>
      <c r="C376" s="13"/>
      <c r="D376" s="13"/>
      <c r="E376" s="7"/>
      <c r="F376" s="7"/>
      <c r="G376" s="7"/>
      <c r="H376" s="7"/>
      <c r="I376" s="7"/>
      <c r="J376" s="7"/>
      <c r="K376" s="7"/>
      <c r="L376" s="7"/>
      <c r="M376" s="7"/>
      <c r="N376" s="7"/>
    </row>
    <row r="377" spans="1:14" ht="19.5" customHeight="1" x14ac:dyDescent="0.25">
      <c r="A377" s="7"/>
      <c r="B377" s="7"/>
      <c r="C377" s="13"/>
      <c r="D377" s="13"/>
      <c r="E377" s="7"/>
      <c r="F377" s="7"/>
      <c r="G377" s="7"/>
      <c r="H377" s="7"/>
      <c r="I377" s="7"/>
      <c r="J377" s="7"/>
      <c r="K377" s="7"/>
      <c r="L377" s="7"/>
      <c r="M377" s="7"/>
      <c r="N377" s="7"/>
    </row>
    <row r="378" spans="1:14" ht="19.5" customHeight="1" x14ac:dyDescent="0.25">
      <c r="A378" s="7"/>
      <c r="B378" s="7"/>
      <c r="C378" s="13"/>
      <c r="D378" s="13"/>
      <c r="E378" s="7"/>
      <c r="F378" s="7"/>
      <c r="G378" s="7"/>
      <c r="H378" s="7"/>
      <c r="I378" s="7"/>
      <c r="J378" s="7"/>
      <c r="K378" s="7"/>
      <c r="L378" s="7"/>
      <c r="M378" s="7"/>
      <c r="N378" s="7"/>
    </row>
    <row r="379" spans="1:14" ht="19.5" customHeight="1" x14ac:dyDescent="0.25">
      <c r="A379" s="7"/>
      <c r="B379" s="7"/>
      <c r="C379" s="13"/>
      <c r="D379" s="13"/>
      <c r="E379" s="7"/>
      <c r="F379" s="7"/>
      <c r="G379" s="7"/>
      <c r="H379" s="7"/>
      <c r="I379" s="7"/>
      <c r="J379" s="7"/>
      <c r="K379" s="7"/>
      <c r="L379" s="7"/>
      <c r="M379" s="7"/>
      <c r="N379" s="7"/>
    </row>
    <row r="380" spans="1:14" ht="19.5" customHeight="1" x14ac:dyDescent="0.25">
      <c r="A380" s="7"/>
      <c r="B380" s="7"/>
      <c r="C380" s="13"/>
      <c r="D380" s="13"/>
      <c r="E380" s="7"/>
      <c r="F380" s="7"/>
      <c r="G380" s="7"/>
      <c r="H380" s="7"/>
      <c r="I380" s="7"/>
      <c r="J380" s="7"/>
      <c r="K380" s="7"/>
      <c r="L380" s="7"/>
      <c r="M380" s="7"/>
      <c r="N380" s="7"/>
    </row>
    <row r="381" spans="1:14" ht="19.5" customHeight="1" x14ac:dyDescent="0.25">
      <c r="A381" s="7"/>
      <c r="B381" s="7"/>
      <c r="C381" s="13"/>
      <c r="D381" s="13"/>
      <c r="E381" s="7"/>
      <c r="F381" s="7"/>
      <c r="G381" s="7"/>
      <c r="H381" s="7"/>
      <c r="I381" s="7"/>
      <c r="J381" s="7"/>
      <c r="K381" s="7"/>
      <c r="L381" s="7"/>
      <c r="M381" s="7"/>
      <c r="N381" s="7"/>
    </row>
    <row r="382" spans="1:14" ht="19.5" customHeight="1" x14ac:dyDescent="0.25">
      <c r="A382" s="7"/>
      <c r="B382" s="7"/>
      <c r="C382" s="13"/>
      <c r="D382" s="13"/>
      <c r="E382" s="7"/>
      <c r="F382" s="7"/>
      <c r="G382" s="7"/>
      <c r="H382" s="7"/>
      <c r="I382" s="7"/>
      <c r="J382" s="7"/>
      <c r="K382" s="7"/>
      <c r="L382" s="7"/>
      <c r="M382" s="7"/>
      <c r="N382" s="7"/>
    </row>
    <row r="383" spans="1:14" ht="19.5" customHeight="1" x14ac:dyDescent="0.25">
      <c r="A383" s="7"/>
      <c r="B383" s="7"/>
      <c r="C383" s="13"/>
      <c r="D383" s="13"/>
      <c r="E383" s="7"/>
      <c r="F383" s="7"/>
      <c r="G383" s="7"/>
      <c r="H383" s="7"/>
      <c r="I383" s="7"/>
      <c r="J383" s="7"/>
      <c r="K383" s="7"/>
      <c r="L383" s="7"/>
      <c r="M383" s="7"/>
      <c r="N383" s="7"/>
    </row>
    <row r="384" spans="1:14" ht="19.5" customHeight="1" x14ac:dyDescent="0.25">
      <c r="A384" s="7"/>
      <c r="B384" s="7"/>
      <c r="C384" s="13"/>
      <c r="D384" s="13"/>
      <c r="E384" s="7"/>
      <c r="F384" s="7"/>
      <c r="G384" s="7"/>
      <c r="H384" s="7"/>
      <c r="I384" s="7"/>
      <c r="J384" s="7"/>
      <c r="K384" s="7"/>
      <c r="L384" s="7"/>
      <c r="M384" s="7"/>
      <c r="N384" s="7"/>
    </row>
    <row r="385" spans="1:14" ht="19.5" customHeight="1" x14ac:dyDescent="0.25">
      <c r="A385" s="7"/>
      <c r="B385" s="7"/>
      <c r="C385" s="13"/>
      <c r="D385" s="13"/>
      <c r="E385" s="7"/>
      <c r="F385" s="7"/>
      <c r="G385" s="7"/>
      <c r="H385" s="7"/>
      <c r="I385" s="7"/>
      <c r="J385" s="7"/>
      <c r="K385" s="7"/>
      <c r="L385" s="7"/>
      <c r="M385" s="7"/>
      <c r="N385" s="7"/>
    </row>
    <row r="386" spans="1:14" ht="19.5" customHeight="1" x14ac:dyDescent="0.25">
      <c r="A386" s="7"/>
      <c r="B386" s="7"/>
      <c r="C386" s="13"/>
      <c r="D386" s="13"/>
      <c r="E386" s="7"/>
      <c r="F386" s="7"/>
      <c r="G386" s="7"/>
      <c r="H386" s="7"/>
      <c r="I386" s="7"/>
      <c r="J386" s="7"/>
      <c r="K386" s="7"/>
      <c r="L386" s="7"/>
      <c r="M386" s="7"/>
      <c r="N386" s="7"/>
    </row>
    <row r="387" spans="1:14" ht="19.5" customHeight="1" x14ac:dyDescent="0.25">
      <c r="A387" s="7"/>
      <c r="B387" s="7"/>
      <c r="C387" s="13"/>
      <c r="D387" s="13"/>
      <c r="E387" s="7"/>
      <c r="F387" s="7"/>
      <c r="G387" s="7"/>
      <c r="H387" s="7"/>
      <c r="I387" s="7"/>
      <c r="J387" s="7"/>
      <c r="K387" s="7"/>
      <c r="L387" s="7"/>
      <c r="M387" s="7"/>
      <c r="N387" s="7"/>
    </row>
    <row r="388" spans="1:14" ht="19.5" customHeight="1" x14ac:dyDescent="0.25">
      <c r="A388" s="7"/>
      <c r="B388" s="7"/>
      <c r="C388" s="13"/>
      <c r="D388" s="13"/>
      <c r="E388" s="7"/>
      <c r="F388" s="7"/>
      <c r="G388" s="7"/>
      <c r="H388" s="7"/>
      <c r="I388" s="7"/>
      <c r="J388" s="7"/>
      <c r="K388" s="7"/>
      <c r="L388" s="7"/>
      <c r="M388" s="7"/>
      <c r="N388" s="7"/>
    </row>
    <row r="389" spans="1:14" ht="19.5" customHeight="1" x14ac:dyDescent="0.25">
      <c r="A389" s="7"/>
      <c r="B389" s="7"/>
      <c r="C389" s="13"/>
      <c r="D389" s="13"/>
      <c r="E389" s="7"/>
      <c r="F389" s="7"/>
      <c r="G389" s="7"/>
      <c r="H389" s="7"/>
      <c r="I389" s="7"/>
      <c r="J389" s="7"/>
      <c r="K389" s="7"/>
      <c r="L389" s="7"/>
      <c r="M389" s="7"/>
      <c r="N389" s="7"/>
    </row>
    <row r="390" spans="1:14" ht="19.5" customHeight="1" x14ac:dyDescent="0.25">
      <c r="A390" s="7"/>
      <c r="B390" s="7"/>
      <c r="C390" s="13"/>
      <c r="D390" s="13"/>
      <c r="E390" s="7"/>
      <c r="F390" s="7"/>
      <c r="G390" s="7"/>
      <c r="H390" s="7"/>
      <c r="I390" s="7"/>
      <c r="J390" s="7"/>
      <c r="K390" s="7"/>
      <c r="L390" s="7"/>
      <c r="M390" s="7"/>
      <c r="N390" s="7"/>
    </row>
    <row r="391" spans="1:14" ht="19.5" customHeight="1" x14ac:dyDescent="0.25">
      <c r="A391" s="7"/>
      <c r="B391" s="7"/>
      <c r="C391" s="13"/>
      <c r="D391" s="13"/>
      <c r="E391" s="7"/>
      <c r="F391" s="7"/>
      <c r="G391" s="7"/>
      <c r="H391" s="7"/>
      <c r="I391" s="7"/>
      <c r="J391" s="7"/>
      <c r="K391" s="7"/>
      <c r="L391" s="7"/>
      <c r="M391" s="7"/>
      <c r="N391" s="7"/>
    </row>
    <row r="392" spans="1:14" ht="19.5" customHeight="1" x14ac:dyDescent="0.25">
      <c r="A392" s="7"/>
      <c r="B392" s="7"/>
      <c r="C392" s="13"/>
      <c r="D392" s="13"/>
      <c r="E392" s="7"/>
      <c r="F392" s="7"/>
      <c r="G392" s="7"/>
      <c r="H392" s="7"/>
      <c r="I392" s="7"/>
      <c r="J392" s="7"/>
      <c r="K392" s="7"/>
      <c r="L392" s="7"/>
      <c r="M392" s="7"/>
      <c r="N392" s="7"/>
    </row>
    <row r="393" spans="1:14" ht="19.5" customHeight="1" x14ac:dyDescent="0.25">
      <c r="A393" s="7"/>
      <c r="B393" s="7"/>
      <c r="C393" s="13"/>
      <c r="D393" s="13"/>
      <c r="E393" s="7"/>
      <c r="F393" s="7"/>
      <c r="G393" s="7"/>
      <c r="H393" s="7"/>
      <c r="I393" s="7"/>
      <c r="J393" s="7"/>
      <c r="K393" s="7"/>
      <c r="L393" s="7"/>
      <c r="M393" s="7"/>
      <c r="N393" s="7"/>
    </row>
    <row r="394" spans="1:14" ht="19.5" customHeight="1" x14ac:dyDescent="0.25">
      <c r="A394" s="7"/>
      <c r="B394" s="7"/>
      <c r="C394" s="13"/>
      <c r="D394" s="13"/>
      <c r="E394" s="7"/>
      <c r="F394" s="7"/>
      <c r="G394" s="7"/>
      <c r="H394" s="7"/>
      <c r="I394" s="7"/>
      <c r="J394" s="7"/>
      <c r="K394" s="7"/>
      <c r="L394" s="7"/>
      <c r="M394" s="7"/>
      <c r="N394" s="7"/>
    </row>
    <row r="395" spans="1:14" ht="19.5" customHeight="1" x14ac:dyDescent="0.25">
      <c r="A395" s="7"/>
      <c r="B395" s="7"/>
      <c r="C395" s="13"/>
      <c r="D395" s="13"/>
      <c r="E395" s="7"/>
      <c r="F395" s="7"/>
      <c r="G395" s="7"/>
      <c r="H395" s="7"/>
      <c r="I395" s="7"/>
      <c r="J395" s="7"/>
      <c r="K395" s="7"/>
      <c r="L395" s="7"/>
      <c r="M395" s="7"/>
      <c r="N395" s="7"/>
    </row>
    <row r="396" spans="1:14" ht="19.5" customHeight="1" x14ac:dyDescent="0.25">
      <c r="A396" s="7"/>
      <c r="B396" s="7"/>
      <c r="C396" s="13"/>
      <c r="D396" s="13"/>
      <c r="E396" s="7"/>
      <c r="F396" s="7"/>
      <c r="G396" s="7"/>
      <c r="H396" s="7"/>
      <c r="I396" s="7"/>
      <c r="J396" s="7"/>
      <c r="K396" s="7"/>
      <c r="L396" s="7"/>
      <c r="M396" s="7"/>
      <c r="N396" s="7"/>
    </row>
    <row r="397" spans="1:14" ht="19.5" customHeight="1" x14ac:dyDescent="0.25">
      <c r="A397" s="7"/>
      <c r="B397" s="7"/>
      <c r="C397" s="13"/>
      <c r="D397" s="13"/>
      <c r="E397" s="7"/>
      <c r="F397" s="7"/>
      <c r="G397" s="7"/>
      <c r="H397" s="7"/>
      <c r="I397" s="7"/>
      <c r="J397" s="7"/>
      <c r="K397" s="7"/>
      <c r="L397" s="7"/>
      <c r="M397" s="7"/>
      <c r="N397" s="7"/>
    </row>
    <row r="398" spans="1:14" ht="19.5" customHeight="1" x14ac:dyDescent="0.25">
      <c r="A398" s="7"/>
      <c r="B398" s="7"/>
      <c r="C398" s="13"/>
      <c r="D398" s="13"/>
      <c r="E398" s="7"/>
      <c r="F398" s="7"/>
      <c r="G398" s="7"/>
      <c r="H398" s="7"/>
      <c r="I398" s="7"/>
      <c r="J398" s="7"/>
      <c r="K398" s="7"/>
      <c r="L398" s="7"/>
      <c r="M398" s="7"/>
      <c r="N398" s="7"/>
    </row>
    <row r="399" spans="1:14" ht="19.5" customHeight="1" x14ac:dyDescent="0.25">
      <c r="A399" s="7"/>
      <c r="B399" s="7"/>
      <c r="C399" s="13"/>
      <c r="D399" s="13"/>
      <c r="E399" s="7"/>
      <c r="F399" s="7"/>
      <c r="G399" s="7"/>
      <c r="H399" s="7"/>
      <c r="I399" s="7"/>
      <c r="J399" s="7"/>
      <c r="K399" s="7"/>
      <c r="L399" s="7"/>
      <c r="M399" s="7"/>
      <c r="N399" s="7"/>
    </row>
    <row r="400" spans="1:14" ht="19.5" customHeight="1" x14ac:dyDescent="0.25">
      <c r="A400" s="7"/>
      <c r="B400" s="7"/>
      <c r="C400" s="13"/>
      <c r="D400" s="13"/>
      <c r="E400" s="7"/>
      <c r="F400" s="7"/>
      <c r="G400" s="7"/>
      <c r="H400" s="7"/>
      <c r="I400" s="7"/>
      <c r="J400" s="7"/>
      <c r="K400" s="7"/>
      <c r="L400" s="7"/>
      <c r="M400" s="7"/>
      <c r="N400" s="7"/>
    </row>
    <row r="401" spans="1:14" ht="19.5" customHeight="1" x14ac:dyDescent="0.25">
      <c r="A401" s="7"/>
      <c r="B401" s="7"/>
      <c r="C401" s="13"/>
      <c r="D401" s="13"/>
      <c r="E401" s="7"/>
      <c r="F401" s="7"/>
      <c r="G401" s="7"/>
      <c r="H401" s="7"/>
      <c r="I401" s="7"/>
      <c r="J401" s="7"/>
      <c r="K401" s="7"/>
      <c r="L401" s="7"/>
      <c r="M401" s="7"/>
      <c r="N401" s="7"/>
    </row>
    <row r="402" spans="1:14" ht="19.5" customHeight="1" x14ac:dyDescent="0.25">
      <c r="A402" s="7"/>
      <c r="B402" s="7"/>
      <c r="C402" s="13"/>
      <c r="D402" s="13"/>
      <c r="E402" s="7"/>
      <c r="F402" s="7"/>
      <c r="G402" s="7"/>
      <c r="H402" s="7"/>
      <c r="I402" s="7"/>
      <c r="J402" s="7"/>
      <c r="K402" s="7"/>
      <c r="L402" s="7"/>
      <c r="M402" s="7"/>
      <c r="N402" s="7"/>
    </row>
    <row r="403" spans="1:14" ht="19.5" customHeight="1" x14ac:dyDescent="0.25">
      <c r="A403" s="7"/>
      <c r="B403" s="7"/>
      <c r="C403" s="13"/>
      <c r="D403" s="13"/>
      <c r="E403" s="7"/>
      <c r="F403" s="7"/>
      <c r="G403" s="7"/>
      <c r="H403" s="7"/>
      <c r="I403" s="7"/>
      <c r="J403" s="7"/>
      <c r="K403" s="7"/>
      <c r="L403" s="7"/>
      <c r="M403" s="7"/>
      <c r="N403" s="7"/>
    </row>
    <row r="404" spans="1:14" ht="19.5" customHeight="1" x14ac:dyDescent="0.25">
      <c r="A404" s="7"/>
      <c r="B404" s="7"/>
      <c r="C404" s="13"/>
      <c r="D404" s="13"/>
      <c r="E404" s="7"/>
      <c r="F404" s="7"/>
      <c r="G404" s="7"/>
      <c r="H404" s="7"/>
      <c r="I404" s="7"/>
      <c r="J404" s="7"/>
      <c r="K404" s="7"/>
      <c r="L404" s="7"/>
      <c r="M404" s="7"/>
      <c r="N404" s="7"/>
    </row>
    <row r="405" spans="1:14" ht="19.5" customHeight="1" x14ac:dyDescent="0.25">
      <c r="A405" s="7"/>
      <c r="B405" s="7"/>
      <c r="C405" s="13"/>
      <c r="D405" s="13"/>
      <c r="E405" s="7"/>
      <c r="F405" s="7"/>
      <c r="G405" s="7"/>
      <c r="H405" s="7"/>
      <c r="I405" s="7"/>
      <c r="J405" s="7"/>
      <c r="K405" s="7"/>
      <c r="L405" s="7"/>
      <c r="M405" s="7"/>
      <c r="N405" s="7"/>
    </row>
    <row r="406" spans="1:14" ht="19.5" customHeight="1" x14ac:dyDescent="0.25">
      <c r="A406" s="7"/>
      <c r="B406" s="7"/>
      <c r="C406" s="13"/>
      <c r="D406" s="13"/>
      <c r="E406" s="7"/>
      <c r="F406" s="7"/>
      <c r="G406" s="7"/>
      <c r="H406" s="7"/>
      <c r="I406" s="7"/>
      <c r="J406" s="7"/>
      <c r="K406" s="7"/>
      <c r="L406" s="7"/>
      <c r="M406" s="7"/>
      <c r="N406" s="7"/>
    </row>
    <row r="407" spans="1:14" ht="19.5" customHeight="1" x14ac:dyDescent="0.25">
      <c r="A407" s="7"/>
      <c r="B407" s="7"/>
      <c r="C407" s="13"/>
      <c r="D407" s="13"/>
      <c r="E407" s="7"/>
      <c r="F407" s="7"/>
      <c r="G407" s="7"/>
      <c r="H407" s="7"/>
      <c r="I407" s="7"/>
      <c r="J407" s="7"/>
      <c r="K407" s="7"/>
      <c r="L407" s="7"/>
      <c r="M407" s="7"/>
      <c r="N407" s="7"/>
    </row>
    <row r="408" spans="1:14" ht="19.5" customHeight="1" x14ac:dyDescent="0.25">
      <c r="A408" s="7"/>
      <c r="B408" s="7"/>
      <c r="C408" s="13"/>
      <c r="D408" s="13"/>
      <c r="E408" s="7"/>
      <c r="F408" s="7"/>
      <c r="G408" s="7"/>
      <c r="H408" s="7"/>
      <c r="I408" s="7"/>
      <c r="J408" s="7"/>
      <c r="K408" s="7"/>
      <c r="L408" s="7"/>
      <c r="M408" s="7"/>
      <c r="N408" s="7"/>
    </row>
    <row r="409" spans="1:14" ht="19.5" customHeight="1" x14ac:dyDescent="0.25">
      <c r="A409" s="7"/>
      <c r="B409" s="7"/>
      <c r="C409" s="13"/>
      <c r="D409" s="13"/>
      <c r="E409" s="7"/>
      <c r="F409" s="7"/>
      <c r="G409" s="7"/>
      <c r="H409" s="7"/>
      <c r="I409" s="7"/>
      <c r="J409" s="7"/>
      <c r="K409" s="7"/>
      <c r="L409" s="7"/>
      <c r="M409" s="7"/>
      <c r="N409" s="7"/>
    </row>
    <row r="410" spans="1:14" ht="19.5" customHeight="1" x14ac:dyDescent="0.25">
      <c r="A410" s="7"/>
      <c r="B410" s="7"/>
      <c r="C410" s="13"/>
      <c r="D410" s="13"/>
      <c r="E410" s="7"/>
      <c r="F410" s="7"/>
      <c r="G410" s="7"/>
      <c r="H410" s="7"/>
      <c r="I410" s="7"/>
      <c r="J410" s="7"/>
      <c r="K410" s="7"/>
      <c r="L410" s="7"/>
      <c r="M410" s="7"/>
      <c r="N410" s="7"/>
    </row>
    <row r="411" spans="1:14" ht="19.5" customHeight="1" x14ac:dyDescent="0.25">
      <c r="A411" s="7"/>
      <c r="B411" s="7"/>
      <c r="C411" s="13"/>
      <c r="D411" s="13"/>
      <c r="E411" s="7"/>
      <c r="F411" s="7"/>
      <c r="G411" s="7"/>
      <c r="H411" s="7"/>
      <c r="I411" s="7"/>
      <c r="J411" s="7"/>
      <c r="K411" s="7"/>
      <c r="L411" s="7"/>
      <c r="M411" s="7"/>
      <c r="N411" s="7"/>
    </row>
    <row r="412" spans="1:14" ht="19.5" customHeight="1" x14ac:dyDescent="0.25">
      <c r="A412" s="7"/>
      <c r="B412" s="7"/>
      <c r="C412" s="13"/>
      <c r="D412" s="13"/>
      <c r="E412" s="7"/>
      <c r="F412" s="7"/>
      <c r="G412" s="7"/>
      <c r="H412" s="7"/>
      <c r="I412" s="7"/>
      <c r="J412" s="7"/>
      <c r="K412" s="7"/>
      <c r="L412" s="7"/>
      <c r="M412" s="7"/>
      <c r="N412" s="7"/>
    </row>
    <row r="413" spans="1:14" ht="19.5" customHeight="1" x14ac:dyDescent="0.25">
      <c r="A413" s="7"/>
      <c r="B413" s="7"/>
      <c r="C413" s="13"/>
      <c r="D413" s="13"/>
      <c r="E413" s="7"/>
      <c r="F413" s="7"/>
      <c r="G413" s="7"/>
      <c r="H413" s="7"/>
      <c r="I413" s="7"/>
      <c r="J413" s="7"/>
      <c r="K413" s="7"/>
      <c r="L413" s="7"/>
      <c r="M413" s="7"/>
      <c r="N413" s="7"/>
    </row>
    <row r="414" spans="1:14" ht="19.5" customHeight="1" x14ac:dyDescent="0.25">
      <c r="A414" s="7"/>
      <c r="B414" s="7"/>
      <c r="C414" s="13"/>
      <c r="D414" s="13"/>
      <c r="E414" s="7"/>
      <c r="F414" s="7"/>
      <c r="G414" s="7"/>
      <c r="H414" s="7"/>
      <c r="I414" s="7"/>
      <c r="J414" s="7"/>
      <c r="K414" s="7"/>
      <c r="L414" s="7"/>
      <c r="M414" s="7"/>
      <c r="N414" s="7"/>
    </row>
    <row r="415" spans="1:14" ht="19.5" customHeight="1" x14ac:dyDescent="0.25">
      <c r="A415" s="7"/>
      <c r="B415" s="7"/>
      <c r="C415" s="13"/>
      <c r="D415" s="13"/>
      <c r="E415" s="7"/>
      <c r="F415" s="7"/>
      <c r="G415" s="7"/>
      <c r="H415" s="7"/>
      <c r="I415" s="7"/>
      <c r="J415" s="7"/>
      <c r="K415" s="7"/>
      <c r="L415" s="7"/>
      <c r="M415" s="7"/>
      <c r="N415" s="7"/>
    </row>
    <row r="416" spans="1:14" ht="19.5" customHeight="1" x14ac:dyDescent="0.25">
      <c r="A416" s="7"/>
      <c r="B416" s="7"/>
      <c r="C416" s="13"/>
      <c r="D416" s="13"/>
      <c r="E416" s="7"/>
      <c r="F416" s="7"/>
      <c r="G416" s="7"/>
      <c r="H416" s="7"/>
      <c r="I416" s="7"/>
      <c r="J416" s="7"/>
      <c r="K416" s="7"/>
      <c r="L416" s="7"/>
      <c r="M416" s="7"/>
      <c r="N416" s="7"/>
    </row>
    <row r="417" spans="1:14" ht="19.5" customHeight="1" x14ac:dyDescent="0.25">
      <c r="A417" s="7"/>
      <c r="B417" s="7"/>
      <c r="C417" s="13"/>
      <c r="D417" s="13"/>
      <c r="E417" s="7"/>
      <c r="F417" s="7"/>
      <c r="G417" s="7"/>
      <c r="H417" s="7"/>
      <c r="I417" s="7"/>
      <c r="J417" s="7"/>
      <c r="K417" s="7"/>
      <c r="L417" s="7"/>
      <c r="M417" s="7"/>
      <c r="N417" s="7"/>
    </row>
    <row r="418" spans="1:14" ht="19.5" customHeight="1" x14ac:dyDescent="0.25">
      <c r="A418" s="7"/>
      <c r="B418" s="7"/>
      <c r="C418" s="13"/>
      <c r="D418" s="13"/>
      <c r="E418" s="7"/>
      <c r="F418" s="7"/>
      <c r="G418" s="7"/>
      <c r="H418" s="7"/>
      <c r="I418" s="7"/>
      <c r="J418" s="7"/>
      <c r="K418" s="7"/>
      <c r="L418" s="7"/>
      <c r="M418" s="7"/>
      <c r="N418" s="7"/>
    </row>
    <row r="419" spans="1:14" ht="19.5" customHeight="1" x14ac:dyDescent="0.25">
      <c r="A419" s="7"/>
      <c r="B419" s="7"/>
      <c r="C419" s="13"/>
      <c r="D419" s="13"/>
      <c r="E419" s="7"/>
      <c r="F419" s="7"/>
      <c r="G419" s="7"/>
      <c r="H419" s="7"/>
      <c r="I419" s="7"/>
      <c r="J419" s="7"/>
      <c r="K419" s="7"/>
      <c r="L419" s="7"/>
      <c r="M419" s="7"/>
      <c r="N419" s="7"/>
    </row>
    <row r="420" spans="1:14" ht="19.5" customHeight="1" x14ac:dyDescent="0.25">
      <c r="A420" s="7"/>
      <c r="B420" s="7"/>
      <c r="C420" s="13"/>
      <c r="D420" s="13"/>
      <c r="E420" s="7"/>
      <c r="F420" s="7"/>
      <c r="G420" s="7"/>
      <c r="H420" s="7"/>
      <c r="I420" s="7"/>
      <c r="J420" s="7"/>
      <c r="K420" s="7"/>
      <c r="L420" s="7"/>
      <c r="M420" s="7"/>
      <c r="N420" s="7"/>
    </row>
    <row r="421" spans="1:14" ht="19.5" customHeight="1" x14ac:dyDescent="0.25">
      <c r="A421" s="7"/>
      <c r="B421" s="7"/>
      <c r="C421" s="13"/>
      <c r="D421" s="13"/>
      <c r="E421" s="7"/>
      <c r="F421" s="7"/>
      <c r="G421" s="7"/>
      <c r="H421" s="7"/>
      <c r="I421" s="7"/>
      <c r="J421" s="7"/>
      <c r="K421" s="7"/>
      <c r="L421" s="7"/>
      <c r="M421" s="7"/>
      <c r="N421" s="7"/>
    </row>
    <row r="422" spans="1:14" ht="19.5" customHeight="1" x14ac:dyDescent="0.25">
      <c r="A422" s="7"/>
      <c r="B422" s="7"/>
      <c r="C422" s="13"/>
      <c r="D422" s="13"/>
      <c r="E422" s="7"/>
      <c r="F422" s="7"/>
      <c r="G422" s="7"/>
      <c r="H422" s="7"/>
      <c r="I422" s="7"/>
      <c r="J422" s="7"/>
      <c r="K422" s="7"/>
      <c r="L422" s="7"/>
      <c r="M422" s="7"/>
      <c r="N422" s="7"/>
    </row>
    <row r="423" spans="1:14" ht="19.5" customHeight="1" x14ac:dyDescent="0.25">
      <c r="A423" s="7"/>
      <c r="B423" s="7"/>
      <c r="C423" s="13"/>
      <c r="D423" s="13"/>
      <c r="E423" s="7"/>
      <c r="F423" s="7"/>
      <c r="G423" s="7"/>
      <c r="H423" s="7"/>
      <c r="I423" s="7"/>
      <c r="J423" s="7"/>
      <c r="K423" s="7"/>
      <c r="L423" s="7"/>
      <c r="M423" s="7"/>
      <c r="N423" s="7"/>
    </row>
    <row r="424" spans="1:14" ht="19.5" customHeight="1" x14ac:dyDescent="0.25">
      <c r="A424" s="7"/>
      <c r="B424" s="7"/>
      <c r="C424" s="13"/>
      <c r="D424" s="13"/>
      <c r="E424" s="7"/>
      <c r="F424" s="7"/>
      <c r="G424" s="7"/>
      <c r="H424" s="7"/>
      <c r="I424" s="7"/>
      <c r="J424" s="7"/>
      <c r="K424" s="7"/>
      <c r="L424" s="7"/>
      <c r="M424" s="7"/>
      <c r="N424" s="7"/>
    </row>
    <row r="425" spans="1:14" ht="19.5" customHeight="1" x14ac:dyDescent="0.25">
      <c r="A425" s="7"/>
      <c r="B425" s="7"/>
      <c r="C425" s="13"/>
      <c r="D425" s="13"/>
      <c r="E425" s="7"/>
      <c r="F425" s="7"/>
      <c r="G425" s="7"/>
      <c r="H425" s="7"/>
      <c r="I425" s="7"/>
      <c r="J425" s="7"/>
      <c r="K425" s="7"/>
      <c r="L425" s="7"/>
      <c r="M425" s="7"/>
      <c r="N425" s="7"/>
    </row>
    <row r="426" spans="1:14" ht="19.5" customHeight="1" x14ac:dyDescent="0.25">
      <c r="A426" s="7"/>
      <c r="B426" s="7"/>
      <c r="C426" s="13"/>
      <c r="D426" s="13"/>
      <c r="E426" s="7"/>
      <c r="F426" s="7"/>
      <c r="G426" s="7"/>
      <c r="H426" s="7"/>
      <c r="I426" s="7"/>
      <c r="J426" s="7"/>
      <c r="K426" s="7"/>
      <c r="L426" s="7"/>
      <c r="M426" s="7"/>
      <c r="N426" s="7"/>
    </row>
    <row r="427" spans="1:14" ht="19.5" customHeight="1" x14ac:dyDescent="0.25">
      <c r="A427" s="7"/>
      <c r="B427" s="7"/>
      <c r="C427" s="13"/>
      <c r="D427" s="13"/>
      <c r="E427" s="7"/>
      <c r="F427" s="7"/>
      <c r="G427" s="7"/>
      <c r="H427" s="7"/>
      <c r="I427" s="7"/>
      <c r="J427" s="7"/>
      <c r="K427" s="7"/>
      <c r="L427" s="7"/>
      <c r="M427" s="7"/>
      <c r="N427" s="7"/>
    </row>
    <row r="428" spans="1:14" ht="19.5" customHeight="1" x14ac:dyDescent="0.25">
      <c r="A428" s="7"/>
      <c r="B428" s="7"/>
      <c r="C428" s="13"/>
      <c r="D428" s="13"/>
      <c r="E428" s="7"/>
      <c r="F428" s="7"/>
      <c r="G428" s="7"/>
      <c r="H428" s="7"/>
      <c r="I428" s="7"/>
      <c r="J428" s="7"/>
      <c r="K428" s="7"/>
      <c r="L428" s="7"/>
      <c r="M428" s="7"/>
      <c r="N428" s="7"/>
    </row>
    <row r="429" spans="1:14" ht="19.5" customHeight="1" x14ac:dyDescent="0.25">
      <c r="A429" s="7"/>
      <c r="B429" s="7"/>
      <c r="C429" s="13"/>
      <c r="D429" s="13"/>
      <c r="E429" s="7"/>
      <c r="F429" s="7"/>
      <c r="G429" s="7"/>
      <c r="H429" s="7"/>
      <c r="I429" s="7"/>
      <c r="J429" s="7"/>
      <c r="K429" s="7"/>
      <c r="L429" s="7"/>
      <c r="M429" s="7"/>
      <c r="N429" s="7"/>
    </row>
    <row r="430" spans="1:14" ht="19.5" customHeight="1" x14ac:dyDescent="0.25">
      <c r="A430" s="7"/>
      <c r="B430" s="7"/>
      <c r="C430" s="13"/>
      <c r="D430" s="13"/>
      <c r="E430" s="7"/>
      <c r="F430" s="7"/>
      <c r="G430" s="7"/>
      <c r="H430" s="7"/>
      <c r="I430" s="7"/>
      <c r="J430" s="7"/>
      <c r="K430" s="7"/>
      <c r="L430" s="7"/>
      <c r="M430" s="7"/>
      <c r="N430" s="7"/>
    </row>
    <row r="431" spans="1:14" ht="19.5" customHeight="1" x14ac:dyDescent="0.25">
      <c r="A431" s="7"/>
      <c r="B431" s="7"/>
      <c r="C431" s="13"/>
      <c r="D431" s="13"/>
      <c r="E431" s="7"/>
      <c r="F431" s="7"/>
      <c r="G431" s="7"/>
      <c r="H431" s="7"/>
      <c r="I431" s="7"/>
      <c r="J431" s="7"/>
      <c r="K431" s="7"/>
      <c r="L431" s="7"/>
      <c r="M431" s="7"/>
      <c r="N431" s="7"/>
    </row>
    <row r="432" spans="1:14" ht="19.5" customHeight="1" x14ac:dyDescent="0.25">
      <c r="A432" s="7"/>
      <c r="B432" s="7"/>
      <c r="C432" s="13"/>
      <c r="D432" s="13"/>
      <c r="E432" s="7"/>
      <c r="F432" s="7"/>
      <c r="G432" s="7"/>
      <c r="H432" s="7"/>
      <c r="I432" s="7"/>
      <c r="J432" s="7"/>
      <c r="K432" s="7"/>
      <c r="L432" s="7"/>
      <c r="M432" s="7"/>
      <c r="N432" s="7"/>
    </row>
    <row r="433" spans="1:14" ht="19.5" customHeight="1" x14ac:dyDescent="0.25">
      <c r="A433" s="7"/>
      <c r="B433" s="7"/>
      <c r="C433" s="13"/>
      <c r="D433" s="13"/>
      <c r="E433" s="7"/>
      <c r="F433" s="7"/>
      <c r="G433" s="7"/>
      <c r="H433" s="7"/>
      <c r="I433" s="7"/>
      <c r="J433" s="7"/>
      <c r="K433" s="7"/>
      <c r="L433" s="7"/>
      <c r="M433" s="7"/>
      <c r="N433" s="7"/>
    </row>
    <row r="434" spans="1:14" ht="19.5" customHeight="1" x14ac:dyDescent="0.25">
      <c r="A434" s="7"/>
      <c r="B434" s="7"/>
      <c r="C434" s="13"/>
      <c r="D434" s="13"/>
      <c r="E434" s="7"/>
      <c r="F434" s="7"/>
      <c r="G434" s="7"/>
      <c r="H434" s="7"/>
      <c r="I434" s="7"/>
      <c r="J434" s="7"/>
      <c r="K434" s="7"/>
      <c r="L434" s="7"/>
      <c r="M434" s="7"/>
      <c r="N434" s="7"/>
    </row>
    <row r="435" spans="1:14" ht="19.5" customHeight="1" x14ac:dyDescent="0.25">
      <c r="A435" s="7"/>
      <c r="B435" s="7"/>
      <c r="C435" s="13"/>
      <c r="D435" s="13"/>
      <c r="E435" s="7"/>
      <c r="F435" s="7"/>
      <c r="G435" s="7"/>
      <c r="H435" s="7"/>
      <c r="I435" s="7"/>
      <c r="J435" s="7"/>
      <c r="K435" s="7"/>
      <c r="L435" s="7"/>
      <c r="M435" s="7"/>
      <c r="N435" s="7"/>
    </row>
    <row r="436" spans="1:14" ht="19.5" customHeight="1" x14ac:dyDescent="0.25">
      <c r="A436" s="7"/>
      <c r="B436" s="7"/>
      <c r="C436" s="13"/>
      <c r="D436" s="13"/>
      <c r="E436" s="7"/>
      <c r="F436" s="7"/>
      <c r="G436" s="7"/>
      <c r="H436" s="7"/>
      <c r="I436" s="7"/>
      <c r="J436" s="7"/>
      <c r="K436" s="7"/>
      <c r="L436" s="7"/>
      <c r="M436" s="7"/>
      <c r="N436" s="7"/>
    </row>
    <row r="437" spans="1:14" ht="19.5" customHeight="1" x14ac:dyDescent="0.25">
      <c r="A437" s="7"/>
      <c r="B437" s="7"/>
      <c r="C437" s="13"/>
      <c r="D437" s="13"/>
      <c r="E437" s="7"/>
      <c r="F437" s="7"/>
      <c r="G437" s="7"/>
      <c r="H437" s="7"/>
      <c r="I437" s="7"/>
      <c r="J437" s="7"/>
      <c r="K437" s="7"/>
      <c r="L437" s="7"/>
      <c r="M437" s="7"/>
      <c r="N437" s="7"/>
    </row>
    <row r="438" spans="1:14" ht="19.5" customHeight="1" x14ac:dyDescent="0.25">
      <c r="A438" s="7"/>
      <c r="B438" s="7"/>
      <c r="C438" s="13"/>
      <c r="D438" s="13"/>
      <c r="E438" s="7"/>
      <c r="F438" s="7"/>
      <c r="G438" s="7"/>
      <c r="H438" s="7"/>
      <c r="I438" s="7"/>
      <c r="J438" s="7"/>
      <c r="K438" s="7"/>
      <c r="L438" s="7"/>
      <c r="M438" s="7"/>
      <c r="N438" s="7"/>
    </row>
    <row r="439" spans="1:14" ht="19.5" customHeight="1" x14ac:dyDescent="0.25">
      <c r="A439" s="7"/>
      <c r="B439" s="7"/>
      <c r="C439" s="13"/>
      <c r="D439" s="13"/>
      <c r="E439" s="7"/>
      <c r="F439" s="7"/>
      <c r="G439" s="7"/>
      <c r="H439" s="7"/>
      <c r="I439" s="7"/>
      <c r="J439" s="7"/>
      <c r="K439" s="7"/>
      <c r="L439" s="7"/>
      <c r="M439" s="7"/>
      <c r="N439" s="7"/>
    </row>
    <row r="440" spans="1:14" ht="19.5" customHeight="1" x14ac:dyDescent="0.25">
      <c r="A440" s="7"/>
      <c r="B440" s="7"/>
      <c r="C440" s="13"/>
      <c r="D440" s="13"/>
      <c r="E440" s="7"/>
      <c r="F440" s="7"/>
      <c r="G440" s="7"/>
      <c r="H440" s="7"/>
      <c r="I440" s="7"/>
      <c r="J440" s="7"/>
      <c r="K440" s="7"/>
      <c r="L440" s="7"/>
      <c r="M440" s="7"/>
      <c r="N440" s="7"/>
    </row>
    <row r="441" spans="1:14" ht="19.5" customHeight="1" x14ac:dyDescent="0.25">
      <c r="A441" s="7"/>
      <c r="B441" s="7"/>
      <c r="C441" s="13"/>
      <c r="D441" s="13"/>
      <c r="E441" s="7"/>
      <c r="F441" s="7"/>
      <c r="G441" s="7"/>
      <c r="H441" s="7"/>
      <c r="I441" s="7"/>
      <c r="J441" s="7"/>
      <c r="K441" s="7"/>
      <c r="L441" s="7"/>
      <c r="M441" s="7"/>
      <c r="N441" s="7"/>
    </row>
    <row r="442" spans="1:14" ht="19.5" customHeight="1" x14ac:dyDescent="0.25">
      <c r="A442" s="7"/>
      <c r="B442" s="7"/>
      <c r="C442" s="13"/>
      <c r="D442" s="13"/>
      <c r="E442" s="7"/>
      <c r="F442" s="7"/>
      <c r="G442" s="7"/>
      <c r="H442" s="7"/>
      <c r="I442" s="7"/>
      <c r="J442" s="7"/>
      <c r="K442" s="7"/>
      <c r="L442" s="7"/>
      <c r="M442" s="7"/>
      <c r="N442" s="7"/>
    </row>
    <row r="443" spans="1:14" ht="19.5" customHeight="1" x14ac:dyDescent="0.25">
      <c r="A443" s="7"/>
      <c r="B443" s="7"/>
      <c r="C443" s="13"/>
      <c r="D443" s="13"/>
      <c r="E443" s="7"/>
      <c r="F443" s="7"/>
      <c r="G443" s="7"/>
      <c r="H443" s="7"/>
      <c r="I443" s="7"/>
      <c r="J443" s="7"/>
      <c r="K443" s="7"/>
      <c r="L443" s="7"/>
      <c r="M443" s="7"/>
      <c r="N443" s="7"/>
    </row>
    <row r="444" spans="1:14" ht="19.5" customHeight="1" x14ac:dyDescent="0.25">
      <c r="A444" s="7"/>
      <c r="B444" s="7"/>
      <c r="C444" s="13"/>
      <c r="D444" s="13"/>
      <c r="E444" s="7"/>
      <c r="F444" s="7"/>
      <c r="G444" s="7"/>
      <c r="H444" s="7"/>
      <c r="I444" s="7"/>
      <c r="J444" s="7"/>
      <c r="K444" s="7"/>
      <c r="L444" s="7"/>
      <c r="M444" s="7"/>
      <c r="N444" s="7"/>
    </row>
    <row r="445" spans="1:14" ht="19.5" customHeight="1" x14ac:dyDescent="0.25">
      <c r="A445" s="7"/>
      <c r="B445" s="7"/>
      <c r="C445" s="13"/>
      <c r="D445" s="13"/>
      <c r="E445" s="7"/>
      <c r="F445" s="7"/>
      <c r="G445" s="7"/>
      <c r="H445" s="7"/>
      <c r="I445" s="7"/>
      <c r="J445" s="7"/>
      <c r="K445" s="7"/>
      <c r="L445" s="7"/>
      <c r="M445" s="7"/>
      <c r="N445" s="7"/>
    </row>
    <row r="446" spans="1:14" ht="19.5" customHeight="1" x14ac:dyDescent="0.25">
      <c r="A446" s="7"/>
      <c r="B446" s="7"/>
      <c r="C446" s="13"/>
      <c r="D446" s="13"/>
      <c r="E446" s="7"/>
      <c r="F446" s="7"/>
      <c r="G446" s="7"/>
      <c r="H446" s="7"/>
      <c r="I446" s="7"/>
      <c r="J446" s="7"/>
      <c r="K446" s="7"/>
      <c r="L446" s="7"/>
      <c r="M446" s="7"/>
      <c r="N446" s="7"/>
    </row>
    <row r="447" spans="1:14" ht="19.5" customHeight="1" x14ac:dyDescent="0.25">
      <c r="A447" s="7"/>
      <c r="B447" s="7"/>
      <c r="C447" s="13"/>
      <c r="D447" s="13"/>
      <c r="E447" s="7"/>
      <c r="F447" s="7"/>
      <c r="G447" s="7"/>
      <c r="H447" s="7"/>
      <c r="I447" s="7"/>
      <c r="J447" s="7"/>
      <c r="K447" s="7"/>
      <c r="L447" s="7"/>
      <c r="M447" s="7"/>
      <c r="N447" s="7"/>
    </row>
    <row r="448" spans="1:14" ht="19.5" customHeight="1" x14ac:dyDescent="0.25">
      <c r="A448" s="7"/>
      <c r="B448" s="7"/>
      <c r="C448" s="13"/>
      <c r="D448" s="13"/>
      <c r="E448" s="7"/>
      <c r="F448" s="7"/>
      <c r="G448" s="7"/>
      <c r="H448" s="7"/>
      <c r="I448" s="7"/>
      <c r="J448" s="7"/>
      <c r="K448" s="7"/>
      <c r="L448" s="7"/>
      <c r="M448" s="7"/>
      <c r="N448" s="7"/>
    </row>
    <row r="449" spans="1:14" ht="19.5" customHeight="1" x14ac:dyDescent="0.25">
      <c r="A449" s="7"/>
      <c r="B449" s="7"/>
      <c r="C449" s="13"/>
      <c r="D449" s="13"/>
      <c r="E449" s="7"/>
      <c r="F449" s="7"/>
      <c r="G449" s="7"/>
      <c r="H449" s="7"/>
      <c r="I449" s="7"/>
      <c r="J449" s="7"/>
      <c r="K449" s="7"/>
      <c r="L449" s="7"/>
      <c r="M449" s="7"/>
      <c r="N449" s="7"/>
    </row>
    <row r="450" spans="1:14" ht="19.5" customHeight="1" x14ac:dyDescent="0.25">
      <c r="A450" s="7"/>
      <c r="B450" s="7"/>
      <c r="C450" s="13"/>
      <c r="D450" s="13"/>
      <c r="E450" s="7"/>
      <c r="F450" s="7"/>
      <c r="G450" s="7"/>
      <c r="H450" s="7"/>
      <c r="I450" s="7"/>
      <c r="J450" s="7"/>
      <c r="K450" s="7"/>
      <c r="L450" s="7"/>
      <c r="M450" s="7"/>
      <c r="N450" s="7"/>
    </row>
    <row r="451" spans="1:14" ht="19.5" customHeight="1" x14ac:dyDescent="0.25">
      <c r="A451" s="7"/>
      <c r="B451" s="7"/>
      <c r="C451" s="13"/>
      <c r="D451" s="13"/>
      <c r="E451" s="7"/>
      <c r="F451" s="7"/>
      <c r="G451" s="7"/>
      <c r="H451" s="7"/>
      <c r="I451" s="7"/>
      <c r="J451" s="7"/>
      <c r="K451" s="7"/>
      <c r="L451" s="7"/>
      <c r="M451" s="7"/>
      <c r="N451" s="7"/>
    </row>
    <row r="452" spans="1:14" ht="19.5" customHeight="1" x14ac:dyDescent="0.25">
      <c r="A452" s="7"/>
      <c r="B452" s="7"/>
      <c r="C452" s="13"/>
      <c r="D452" s="13"/>
      <c r="E452" s="7"/>
      <c r="F452" s="7"/>
      <c r="G452" s="7"/>
      <c r="H452" s="7"/>
      <c r="I452" s="7"/>
      <c r="J452" s="7"/>
      <c r="K452" s="7"/>
      <c r="L452" s="7"/>
      <c r="M452" s="7"/>
      <c r="N452" s="7"/>
    </row>
    <row r="453" spans="1:14" ht="19.5" customHeight="1" x14ac:dyDescent="0.25">
      <c r="A453" s="7"/>
      <c r="B453" s="7"/>
      <c r="C453" s="13"/>
      <c r="D453" s="13"/>
      <c r="E453" s="7"/>
      <c r="F453" s="7"/>
      <c r="G453" s="7"/>
      <c r="H453" s="7"/>
      <c r="I453" s="7"/>
      <c r="J453" s="7"/>
      <c r="K453" s="7"/>
      <c r="L453" s="7"/>
      <c r="M453" s="7"/>
      <c r="N453" s="7"/>
    </row>
    <row r="454" spans="1:14" ht="19.5" customHeight="1" x14ac:dyDescent="0.25">
      <c r="A454" s="7"/>
      <c r="B454" s="7"/>
      <c r="C454" s="13"/>
      <c r="D454" s="13"/>
      <c r="E454" s="7"/>
      <c r="F454" s="7"/>
      <c r="G454" s="7"/>
      <c r="H454" s="7"/>
      <c r="I454" s="7"/>
      <c r="J454" s="7"/>
      <c r="K454" s="7"/>
      <c r="L454" s="7"/>
      <c r="M454" s="7"/>
      <c r="N454" s="7"/>
    </row>
    <row r="455" spans="1:14" ht="19.5" customHeight="1" x14ac:dyDescent="0.25">
      <c r="A455" s="7"/>
      <c r="B455" s="7"/>
      <c r="C455" s="13"/>
      <c r="D455" s="13"/>
      <c r="E455" s="7"/>
      <c r="F455" s="7"/>
      <c r="G455" s="7"/>
      <c r="H455" s="7"/>
      <c r="I455" s="7"/>
      <c r="J455" s="7"/>
      <c r="K455" s="7"/>
      <c r="L455" s="7"/>
      <c r="M455" s="7"/>
      <c r="N455" s="7"/>
    </row>
    <row r="456" spans="1:14" ht="19.5" customHeight="1" x14ac:dyDescent="0.25">
      <c r="A456" s="7"/>
      <c r="B456" s="7"/>
      <c r="C456" s="13"/>
      <c r="D456" s="13"/>
      <c r="E456" s="7"/>
      <c r="F456" s="7"/>
      <c r="G456" s="7"/>
      <c r="H456" s="7"/>
      <c r="I456" s="7"/>
      <c r="J456" s="7"/>
      <c r="K456" s="7"/>
      <c r="L456" s="7"/>
      <c r="M456" s="7"/>
      <c r="N456" s="7"/>
    </row>
    <row r="457" spans="1:14" ht="19.5" customHeight="1" x14ac:dyDescent="0.25">
      <c r="A457" s="7"/>
      <c r="B457" s="7"/>
      <c r="C457" s="13"/>
      <c r="D457" s="13"/>
      <c r="E457" s="7"/>
      <c r="F457" s="7"/>
      <c r="G457" s="7"/>
      <c r="H457" s="7"/>
      <c r="I457" s="7"/>
      <c r="J457" s="7"/>
      <c r="K457" s="7"/>
      <c r="L457" s="7"/>
      <c r="M457" s="7"/>
      <c r="N457" s="7"/>
    </row>
    <row r="458" spans="1:14" ht="19.5" customHeight="1" x14ac:dyDescent="0.25">
      <c r="A458" s="7"/>
      <c r="B458" s="7"/>
      <c r="C458" s="13"/>
      <c r="D458" s="13"/>
      <c r="E458" s="7"/>
      <c r="F458" s="7"/>
      <c r="G458" s="7"/>
      <c r="H458" s="7"/>
      <c r="I458" s="7"/>
      <c r="J458" s="7"/>
      <c r="K458" s="7"/>
      <c r="L458" s="7"/>
      <c r="M458" s="7"/>
      <c r="N458" s="7"/>
    </row>
    <row r="459" spans="1:14" ht="19.5" customHeight="1" x14ac:dyDescent="0.25">
      <c r="A459" s="7"/>
      <c r="B459" s="7"/>
      <c r="C459" s="13"/>
      <c r="D459" s="13"/>
      <c r="E459" s="7"/>
      <c r="F459" s="7"/>
      <c r="G459" s="7"/>
      <c r="H459" s="7"/>
      <c r="I459" s="7"/>
      <c r="J459" s="7"/>
      <c r="K459" s="7"/>
      <c r="L459" s="7"/>
      <c r="M459" s="7"/>
      <c r="N459" s="7"/>
    </row>
    <row r="460" spans="1:14" ht="19.5" customHeight="1" x14ac:dyDescent="0.25">
      <c r="A460" s="7"/>
      <c r="B460" s="7"/>
      <c r="C460" s="13"/>
      <c r="D460" s="13"/>
      <c r="E460" s="7"/>
      <c r="F460" s="7"/>
      <c r="G460" s="7"/>
      <c r="H460" s="7"/>
      <c r="I460" s="7"/>
      <c r="J460" s="7"/>
      <c r="K460" s="7"/>
      <c r="L460" s="7"/>
      <c r="M460" s="7"/>
      <c r="N460" s="7"/>
    </row>
    <row r="461" spans="1:14" ht="19.5" customHeight="1" x14ac:dyDescent="0.25">
      <c r="A461" s="7"/>
      <c r="B461" s="7"/>
      <c r="C461" s="13"/>
      <c r="D461" s="13"/>
      <c r="E461" s="7"/>
      <c r="F461" s="7"/>
      <c r="G461" s="7"/>
      <c r="H461" s="7"/>
      <c r="I461" s="7"/>
      <c r="J461" s="7"/>
      <c r="K461" s="7"/>
      <c r="L461" s="7"/>
      <c r="M461" s="7"/>
      <c r="N461" s="7"/>
    </row>
    <row r="462" spans="1:14" ht="19.5" customHeight="1" x14ac:dyDescent="0.25">
      <c r="A462" s="7"/>
      <c r="B462" s="7"/>
      <c r="C462" s="13"/>
      <c r="D462" s="13"/>
      <c r="E462" s="7"/>
      <c r="F462" s="7"/>
      <c r="G462" s="7"/>
      <c r="H462" s="7"/>
      <c r="I462" s="7"/>
      <c r="J462" s="7"/>
      <c r="K462" s="7"/>
      <c r="L462" s="7"/>
      <c r="M462" s="7"/>
      <c r="N462" s="7"/>
    </row>
    <row r="463" spans="1:14" ht="19.5" customHeight="1" x14ac:dyDescent="0.25">
      <c r="A463" s="7"/>
      <c r="B463" s="7"/>
      <c r="C463" s="13"/>
      <c r="D463" s="13"/>
      <c r="E463" s="7"/>
      <c r="F463" s="7"/>
      <c r="G463" s="7"/>
      <c r="H463" s="7"/>
      <c r="I463" s="7"/>
      <c r="J463" s="7"/>
      <c r="K463" s="7"/>
      <c r="L463" s="7"/>
      <c r="M463" s="7"/>
      <c r="N463" s="7"/>
    </row>
    <row r="464" spans="1:14" ht="19.5" customHeight="1" x14ac:dyDescent="0.25">
      <c r="A464" s="7"/>
      <c r="B464" s="7"/>
      <c r="C464" s="13"/>
      <c r="D464" s="13"/>
      <c r="E464" s="7"/>
      <c r="F464" s="7"/>
      <c r="G464" s="7"/>
      <c r="H464" s="7"/>
      <c r="I464" s="7"/>
      <c r="J464" s="7"/>
      <c r="K464" s="7"/>
      <c r="L464" s="7"/>
      <c r="M464" s="7"/>
      <c r="N464" s="7"/>
    </row>
    <row r="465" spans="1:14" ht="19.5" customHeight="1" x14ac:dyDescent="0.25">
      <c r="A465" s="7"/>
      <c r="B465" s="7"/>
      <c r="C465" s="13"/>
      <c r="D465" s="13"/>
      <c r="E465" s="7"/>
      <c r="F465" s="7"/>
      <c r="G465" s="7"/>
      <c r="H465" s="7"/>
      <c r="I465" s="7"/>
      <c r="J465" s="7"/>
      <c r="K465" s="7"/>
      <c r="L465" s="7"/>
      <c r="M465" s="7"/>
      <c r="N465" s="7"/>
    </row>
    <row r="466" spans="1:14" ht="19.5" customHeight="1" x14ac:dyDescent="0.25">
      <c r="A466" s="7"/>
      <c r="B466" s="7"/>
      <c r="C466" s="13"/>
      <c r="D466" s="13"/>
      <c r="E466" s="7"/>
      <c r="F466" s="7"/>
      <c r="G466" s="7"/>
      <c r="H466" s="7"/>
      <c r="I466" s="7"/>
      <c r="J466" s="7"/>
      <c r="K466" s="7"/>
      <c r="L466" s="7"/>
      <c r="M466" s="7"/>
      <c r="N466" s="7"/>
    </row>
    <row r="467" spans="1:14" ht="19.5" customHeight="1" x14ac:dyDescent="0.25">
      <c r="A467" s="7"/>
      <c r="B467" s="7"/>
      <c r="C467" s="13"/>
      <c r="D467" s="13"/>
      <c r="E467" s="7"/>
      <c r="F467" s="7"/>
      <c r="G467" s="7"/>
      <c r="H467" s="7"/>
      <c r="I467" s="7"/>
      <c r="J467" s="7"/>
      <c r="K467" s="7"/>
      <c r="L467" s="7"/>
      <c r="M467" s="7"/>
      <c r="N467" s="7"/>
    </row>
    <row r="468" spans="1:14" ht="19.5" customHeight="1" x14ac:dyDescent="0.25">
      <c r="A468" s="7"/>
      <c r="B468" s="7"/>
      <c r="C468" s="13"/>
      <c r="D468" s="13"/>
      <c r="E468" s="7"/>
      <c r="F468" s="7"/>
      <c r="G468" s="7"/>
      <c r="H468" s="7"/>
      <c r="I468" s="7"/>
      <c r="J468" s="7"/>
      <c r="K468" s="7"/>
      <c r="L468" s="7"/>
      <c r="M468" s="7"/>
      <c r="N468" s="7"/>
    </row>
    <row r="469" spans="1:14" ht="19.5" customHeight="1" x14ac:dyDescent="0.25">
      <c r="A469" s="7"/>
      <c r="B469" s="7"/>
      <c r="C469" s="13"/>
      <c r="D469" s="13"/>
      <c r="E469" s="7"/>
      <c r="F469" s="7"/>
      <c r="G469" s="7"/>
      <c r="H469" s="7"/>
      <c r="I469" s="7"/>
      <c r="J469" s="7"/>
      <c r="K469" s="7"/>
      <c r="L469" s="7"/>
      <c r="M469" s="7"/>
      <c r="N469" s="7"/>
    </row>
    <row r="470" spans="1:14" ht="19.5" customHeight="1" x14ac:dyDescent="0.25">
      <c r="A470" s="7"/>
      <c r="B470" s="7"/>
      <c r="C470" s="13"/>
      <c r="D470" s="13"/>
      <c r="E470" s="7"/>
      <c r="F470" s="7"/>
      <c r="G470" s="7"/>
      <c r="H470" s="7"/>
      <c r="I470" s="7"/>
      <c r="J470" s="7"/>
      <c r="K470" s="7"/>
      <c r="L470" s="7"/>
      <c r="M470" s="7"/>
      <c r="N470" s="7"/>
    </row>
    <row r="471" spans="1:14" ht="19.5" customHeight="1" x14ac:dyDescent="0.25">
      <c r="A471" s="7"/>
      <c r="B471" s="7"/>
      <c r="C471" s="13"/>
      <c r="D471" s="13"/>
      <c r="E471" s="7"/>
      <c r="F471" s="7"/>
      <c r="G471" s="7"/>
      <c r="H471" s="7"/>
      <c r="I471" s="7"/>
      <c r="J471" s="7"/>
      <c r="K471" s="7"/>
      <c r="L471" s="7"/>
      <c r="M471" s="7"/>
      <c r="N471" s="7"/>
    </row>
    <row r="472" spans="1:14" ht="19.5" customHeight="1" x14ac:dyDescent="0.25">
      <c r="A472" s="7"/>
      <c r="B472" s="7"/>
      <c r="C472" s="13"/>
      <c r="D472" s="13"/>
      <c r="E472" s="7"/>
      <c r="F472" s="7"/>
      <c r="G472" s="7"/>
      <c r="H472" s="7"/>
      <c r="I472" s="7"/>
      <c r="J472" s="7"/>
      <c r="K472" s="7"/>
      <c r="L472" s="7"/>
      <c r="M472" s="7"/>
      <c r="N472" s="7"/>
    </row>
    <row r="473" spans="1:14" ht="19.5" customHeight="1" x14ac:dyDescent="0.25">
      <c r="A473" s="7"/>
      <c r="B473" s="7"/>
      <c r="C473" s="13"/>
      <c r="D473" s="13"/>
      <c r="E473" s="7"/>
      <c r="F473" s="7"/>
      <c r="G473" s="7"/>
      <c r="H473" s="7"/>
      <c r="I473" s="7"/>
      <c r="J473" s="7"/>
      <c r="K473" s="7"/>
      <c r="L473" s="7"/>
      <c r="M473" s="7"/>
      <c r="N473" s="7"/>
    </row>
    <row r="474" spans="1:14" ht="19.5" customHeight="1" x14ac:dyDescent="0.25">
      <c r="A474" s="7"/>
      <c r="B474" s="7"/>
      <c r="C474" s="13"/>
      <c r="D474" s="13"/>
      <c r="E474" s="7"/>
      <c r="F474" s="7"/>
      <c r="G474" s="7"/>
      <c r="H474" s="7"/>
      <c r="I474" s="7"/>
      <c r="J474" s="7"/>
      <c r="K474" s="7"/>
      <c r="L474" s="7"/>
      <c r="M474" s="7"/>
      <c r="N474" s="7"/>
    </row>
    <row r="475" spans="1:14" ht="19.5" customHeight="1" x14ac:dyDescent="0.25">
      <c r="A475" s="7"/>
      <c r="B475" s="7"/>
      <c r="C475" s="13"/>
      <c r="D475" s="13"/>
      <c r="E475" s="7"/>
      <c r="F475" s="7"/>
      <c r="G475" s="7"/>
      <c r="H475" s="7"/>
      <c r="I475" s="7"/>
      <c r="J475" s="7"/>
      <c r="K475" s="7"/>
      <c r="L475" s="7"/>
      <c r="M475" s="7"/>
      <c r="N475" s="7"/>
    </row>
    <row r="476" spans="1:14" ht="19.5" customHeight="1" x14ac:dyDescent="0.25">
      <c r="A476" s="7"/>
      <c r="B476" s="7"/>
      <c r="C476" s="13"/>
      <c r="D476" s="13"/>
      <c r="E476" s="7"/>
      <c r="F476" s="7"/>
      <c r="G476" s="7"/>
      <c r="H476" s="7"/>
      <c r="I476" s="7"/>
      <c r="J476" s="7"/>
      <c r="K476" s="7"/>
      <c r="L476" s="7"/>
      <c r="M476" s="7"/>
      <c r="N476" s="7"/>
    </row>
    <row r="477" spans="1:14" ht="19.5" customHeight="1" x14ac:dyDescent="0.25">
      <c r="A477" s="7"/>
      <c r="B477" s="7"/>
      <c r="C477" s="13"/>
      <c r="D477" s="13"/>
      <c r="E477" s="7"/>
      <c r="F477" s="7"/>
      <c r="G477" s="7"/>
      <c r="H477" s="7"/>
      <c r="I477" s="7"/>
      <c r="J477" s="7"/>
      <c r="K477" s="7"/>
      <c r="L477" s="7"/>
      <c r="M477" s="7"/>
      <c r="N477" s="7"/>
    </row>
    <row r="478" spans="1:14" ht="19.5" customHeight="1" x14ac:dyDescent="0.25">
      <c r="A478" s="7"/>
      <c r="B478" s="7"/>
      <c r="C478" s="13"/>
      <c r="D478" s="13"/>
      <c r="E478" s="7"/>
      <c r="F478" s="7"/>
      <c r="G478" s="7"/>
      <c r="H478" s="7"/>
      <c r="I478" s="7"/>
      <c r="J478" s="7"/>
      <c r="K478" s="7"/>
      <c r="L478" s="7"/>
      <c r="M478" s="7"/>
      <c r="N478" s="7"/>
    </row>
    <row r="479" spans="1:14" ht="19.5" customHeight="1" x14ac:dyDescent="0.25">
      <c r="A479" s="7"/>
      <c r="B479" s="7"/>
      <c r="C479" s="13"/>
      <c r="D479" s="13"/>
      <c r="E479" s="7"/>
      <c r="F479" s="7"/>
      <c r="G479" s="7"/>
      <c r="H479" s="7"/>
      <c r="I479" s="7"/>
      <c r="J479" s="7"/>
      <c r="K479" s="7"/>
      <c r="L479" s="7"/>
      <c r="M479" s="7"/>
      <c r="N479" s="7"/>
    </row>
    <row r="480" spans="1:14" ht="19.5" customHeight="1" x14ac:dyDescent="0.25">
      <c r="A480" s="7"/>
      <c r="B480" s="7"/>
      <c r="C480" s="13"/>
      <c r="D480" s="13"/>
      <c r="E480" s="7"/>
      <c r="F480" s="7"/>
      <c r="G480" s="7"/>
      <c r="H480" s="7"/>
      <c r="I480" s="7"/>
      <c r="J480" s="7"/>
      <c r="K480" s="7"/>
      <c r="L480" s="7"/>
      <c r="M480" s="7"/>
      <c r="N480" s="7"/>
    </row>
    <row r="481" spans="1:14" ht="19.5" customHeight="1" x14ac:dyDescent="0.25">
      <c r="A481" s="7"/>
      <c r="B481" s="7"/>
      <c r="C481" s="13"/>
      <c r="D481" s="13"/>
      <c r="E481" s="7"/>
      <c r="F481" s="7"/>
      <c r="G481" s="7"/>
      <c r="H481" s="7"/>
      <c r="I481" s="7"/>
      <c r="J481" s="7"/>
      <c r="K481" s="7"/>
      <c r="L481" s="7"/>
      <c r="M481" s="7"/>
      <c r="N481" s="7"/>
    </row>
    <row r="482" spans="1:14" ht="19.5" customHeight="1" x14ac:dyDescent="0.25">
      <c r="A482" s="7"/>
      <c r="B482" s="7"/>
      <c r="C482" s="13"/>
      <c r="D482" s="13"/>
      <c r="E482" s="7"/>
      <c r="F482" s="7"/>
      <c r="G482" s="7"/>
      <c r="H482" s="7"/>
      <c r="I482" s="7"/>
      <c r="J482" s="7"/>
      <c r="K482" s="7"/>
      <c r="L482" s="7"/>
      <c r="M482" s="7"/>
      <c r="N482" s="7"/>
    </row>
    <row r="483" spans="1:14" ht="19.5" customHeight="1" x14ac:dyDescent="0.25">
      <c r="A483" s="7"/>
      <c r="B483" s="7"/>
      <c r="C483" s="13"/>
      <c r="D483" s="13"/>
      <c r="E483" s="7"/>
      <c r="F483" s="7"/>
      <c r="G483" s="7"/>
      <c r="H483" s="7"/>
      <c r="I483" s="7"/>
      <c r="J483" s="7"/>
      <c r="K483" s="7"/>
      <c r="L483" s="7"/>
      <c r="M483" s="7"/>
      <c r="N483" s="7"/>
    </row>
    <row r="484" spans="1:14" ht="19.5" customHeight="1" x14ac:dyDescent="0.25">
      <c r="A484" s="7"/>
      <c r="B484" s="7"/>
      <c r="C484" s="13"/>
      <c r="D484" s="13"/>
      <c r="E484" s="7"/>
      <c r="F484" s="7"/>
      <c r="G484" s="7"/>
      <c r="H484" s="7"/>
      <c r="I484" s="7"/>
      <c r="J484" s="7"/>
      <c r="K484" s="7"/>
      <c r="L484" s="7"/>
      <c r="M484" s="7"/>
      <c r="N484" s="7"/>
    </row>
    <row r="485" spans="1:14" ht="19.5" customHeight="1" x14ac:dyDescent="0.25">
      <c r="A485" s="7"/>
      <c r="B485" s="7"/>
      <c r="C485" s="13"/>
      <c r="D485" s="13"/>
      <c r="E485" s="7"/>
      <c r="F485" s="7"/>
      <c r="G485" s="7"/>
      <c r="H485" s="7"/>
      <c r="I485" s="7"/>
      <c r="J485" s="7"/>
      <c r="K485" s="7"/>
      <c r="L485" s="7"/>
      <c r="M485" s="7"/>
      <c r="N485" s="7"/>
    </row>
    <row r="486" spans="1:14" ht="19.5" customHeight="1" x14ac:dyDescent="0.25">
      <c r="A486" s="7"/>
      <c r="B486" s="7"/>
      <c r="C486" s="13"/>
      <c r="D486" s="13"/>
      <c r="E486" s="7"/>
      <c r="F486" s="7"/>
      <c r="G486" s="7"/>
      <c r="H486" s="7"/>
      <c r="I486" s="7"/>
      <c r="J486" s="7"/>
      <c r="K486" s="7"/>
      <c r="L486" s="7"/>
      <c r="M486" s="7"/>
      <c r="N486" s="7"/>
    </row>
    <row r="487" spans="1:14" ht="19.5" customHeight="1" x14ac:dyDescent="0.25">
      <c r="A487" s="7"/>
      <c r="B487" s="7"/>
      <c r="C487" s="13"/>
      <c r="D487" s="13"/>
      <c r="E487" s="7"/>
      <c r="F487" s="7"/>
      <c r="G487" s="7"/>
      <c r="H487" s="7"/>
      <c r="I487" s="7"/>
      <c r="J487" s="7"/>
      <c r="K487" s="7"/>
      <c r="L487" s="7"/>
      <c r="M487" s="7"/>
      <c r="N487" s="7"/>
    </row>
    <row r="488" spans="1:14" ht="19.5" customHeight="1" x14ac:dyDescent="0.25">
      <c r="A488" s="7"/>
      <c r="B488" s="7"/>
      <c r="C488" s="13"/>
      <c r="D488" s="13"/>
      <c r="E488" s="7"/>
      <c r="F488" s="7"/>
      <c r="G488" s="7"/>
      <c r="H488" s="7"/>
      <c r="I488" s="7"/>
      <c r="J488" s="7"/>
      <c r="K488" s="7"/>
      <c r="L488" s="7"/>
      <c r="M488" s="7"/>
      <c r="N488" s="7"/>
    </row>
    <row r="489" spans="1:14" ht="19.5" customHeight="1" x14ac:dyDescent="0.25">
      <c r="A489" s="7"/>
      <c r="B489" s="7"/>
      <c r="C489" s="13"/>
      <c r="D489" s="13"/>
      <c r="E489" s="7"/>
      <c r="F489" s="7"/>
      <c r="G489" s="7"/>
      <c r="H489" s="7"/>
      <c r="I489" s="7"/>
      <c r="J489" s="7"/>
      <c r="K489" s="7"/>
      <c r="L489" s="7"/>
      <c r="M489" s="7"/>
      <c r="N489" s="7"/>
    </row>
    <row r="490" spans="1:14" ht="19.5" customHeight="1" x14ac:dyDescent="0.25">
      <c r="A490" s="7"/>
      <c r="B490" s="7"/>
      <c r="C490" s="13"/>
      <c r="D490" s="13"/>
      <c r="E490" s="7"/>
      <c r="F490" s="7"/>
      <c r="G490" s="7"/>
      <c r="H490" s="7"/>
      <c r="I490" s="7"/>
      <c r="J490" s="7"/>
      <c r="K490" s="7"/>
      <c r="L490" s="7"/>
      <c r="M490" s="7"/>
      <c r="N490" s="7"/>
    </row>
    <row r="491" spans="1:14" ht="19.5" customHeight="1" x14ac:dyDescent="0.25">
      <c r="A491" s="7"/>
      <c r="B491" s="7"/>
      <c r="C491" s="13"/>
      <c r="D491" s="13"/>
      <c r="E491" s="7"/>
      <c r="F491" s="7"/>
      <c r="G491" s="7"/>
      <c r="H491" s="7"/>
      <c r="I491" s="7"/>
      <c r="J491" s="7"/>
      <c r="K491" s="7"/>
      <c r="L491" s="7"/>
      <c r="M491" s="7"/>
      <c r="N491" s="7"/>
    </row>
    <row r="492" spans="1:14" ht="19.5" customHeight="1" x14ac:dyDescent="0.25">
      <c r="A492" s="7"/>
      <c r="B492" s="7"/>
      <c r="C492" s="13"/>
      <c r="D492" s="13"/>
      <c r="E492" s="7"/>
      <c r="F492" s="7"/>
      <c r="G492" s="7"/>
      <c r="H492" s="7"/>
      <c r="I492" s="7"/>
      <c r="J492" s="7"/>
      <c r="K492" s="7"/>
      <c r="L492" s="7"/>
      <c r="M492" s="7"/>
      <c r="N492" s="7"/>
    </row>
    <row r="493" spans="1:14" ht="19.5" customHeight="1" x14ac:dyDescent="0.25">
      <c r="A493" s="7"/>
      <c r="B493" s="7"/>
      <c r="C493" s="13"/>
      <c r="D493" s="13"/>
      <c r="E493" s="7"/>
      <c r="F493" s="7"/>
      <c r="G493" s="7"/>
      <c r="H493" s="7"/>
      <c r="I493" s="7"/>
      <c r="J493" s="7"/>
      <c r="K493" s="7"/>
      <c r="L493" s="7"/>
      <c r="M493" s="7"/>
      <c r="N493" s="7"/>
    </row>
    <row r="494" spans="1:14" ht="19.5" customHeight="1" x14ac:dyDescent="0.25">
      <c r="A494" s="7"/>
      <c r="B494" s="7"/>
      <c r="C494" s="13"/>
      <c r="D494" s="13"/>
      <c r="E494" s="7"/>
      <c r="F494" s="7"/>
      <c r="G494" s="7"/>
      <c r="H494" s="7"/>
      <c r="I494" s="7"/>
      <c r="J494" s="7"/>
      <c r="K494" s="7"/>
      <c r="L494" s="7"/>
      <c r="M494" s="7"/>
      <c r="N494" s="7"/>
    </row>
    <row r="495" spans="1:14" ht="19.5" customHeight="1" x14ac:dyDescent="0.25">
      <c r="A495" s="7"/>
      <c r="B495" s="7"/>
      <c r="C495" s="13"/>
      <c r="D495" s="13"/>
      <c r="E495" s="7"/>
      <c r="F495" s="7"/>
      <c r="G495" s="7"/>
      <c r="H495" s="7"/>
      <c r="I495" s="7"/>
      <c r="J495" s="7"/>
      <c r="K495" s="7"/>
      <c r="L495" s="7"/>
      <c r="M495" s="7"/>
      <c r="N495" s="7"/>
    </row>
    <row r="496" spans="1:14" ht="19.5" customHeight="1" x14ac:dyDescent="0.25">
      <c r="A496" s="7"/>
      <c r="B496" s="7"/>
      <c r="C496" s="13"/>
      <c r="D496" s="13"/>
      <c r="E496" s="7"/>
      <c r="F496" s="7"/>
      <c r="G496" s="7"/>
      <c r="H496" s="7"/>
      <c r="I496" s="7"/>
      <c r="J496" s="7"/>
      <c r="K496" s="7"/>
      <c r="L496" s="7"/>
      <c r="M496" s="7"/>
      <c r="N496" s="7"/>
    </row>
    <row r="497" spans="1:14" ht="19.5" customHeight="1" x14ac:dyDescent="0.25">
      <c r="A497" s="7"/>
      <c r="B497" s="7"/>
      <c r="C497" s="13"/>
      <c r="D497" s="13"/>
      <c r="E497" s="7"/>
      <c r="F497" s="7"/>
      <c r="G497" s="7"/>
      <c r="H497" s="7"/>
      <c r="I497" s="7"/>
      <c r="J497" s="7"/>
      <c r="K497" s="7"/>
      <c r="L497" s="7"/>
      <c r="M497" s="7"/>
      <c r="N497" s="7"/>
    </row>
    <row r="498" spans="1:14" ht="19.5" customHeight="1" x14ac:dyDescent="0.25">
      <c r="A498" s="7"/>
      <c r="B498" s="7"/>
      <c r="C498" s="13"/>
      <c r="D498" s="13"/>
      <c r="E498" s="7"/>
      <c r="F498" s="7"/>
      <c r="G498" s="7"/>
      <c r="H498" s="7"/>
      <c r="I498" s="7"/>
      <c r="J498" s="7"/>
      <c r="K498" s="7"/>
      <c r="L498" s="7"/>
      <c r="M498" s="7"/>
      <c r="N498" s="7"/>
    </row>
    <row r="499" spans="1:14" ht="19.5" customHeight="1" x14ac:dyDescent="0.25">
      <c r="A499" s="7"/>
      <c r="B499" s="7"/>
      <c r="C499" s="13"/>
      <c r="D499" s="13"/>
      <c r="E499" s="7"/>
      <c r="F499" s="7"/>
      <c r="G499" s="7"/>
      <c r="H499" s="7"/>
      <c r="I499" s="7"/>
      <c r="J499" s="7"/>
      <c r="K499" s="7"/>
      <c r="L499" s="7"/>
      <c r="M499" s="7"/>
      <c r="N499" s="7"/>
    </row>
    <row r="500" spans="1:14" ht="19.5" customHeight="1" x14ac:dyDescent="0.25">
      <c r="A500" s="7"/>
      <c r="B500" s="7"/>
      <c r="C500" s="13"/>
      <c r="D500" s="13"/>
      <c r="E500" s="7"/>
      <c r="F500" s="7"/>
      <c r="G500" s="7"/>
      <c r="H500" s="7"/>
      <c r="I500" s="7"/>
      <c r="J500" s="7"/>
      <c r="K500" s="7"/>
      <c r="L500" s="7"/>
      <c r="M500" s="7"/>
      <c r="N500" s="7"/>
    </row>
    <row r="501" spans="1:14" ht="19.5" customHeight="1" x14ac:dyDescent="0.25">
      <c r="A501" s="7"/>
      <c r="B501" s="7"/>
      <c r="C501" s="13"/>
      <c r="D501" s="13"/>
      <c r="E501" s="7"/>
      <c r="F501" s="7"/>
      <c r="G501" s="7"/>
      <c r="H501" s="7"/>
      <c r="I501" s="7"/>
      <c r="J501" s="7"/>
      <c r="K501" s="7"/>
      <c r="L501" s="7"/>
      <c r="M501" s="7"/>
      <c r="N501" s="7"/>
    </row>
    <row r="502" spans="1:14" ht="19.5" customHeight="1" x14ac:dyDescent="0.25">
      <c r="A502" s="7"/>
      <c r="B502" s="7"/>
      <c r="C502" s="13"/>
      <c r="D502" s="13"/>
      <c r="E502" s="7"/>
      <c r="F502" s="7"/>
      <c r="G502" s="7"/>
      <c r="H502" s="7"/>
      <c r="I502" s="7"/>
      <c r="J502" s="7"/>
      <c r="K502" s="7"/>
      <c r="L502" s="7"/>
      <c r="M502" s="7"/>
      <c r="N502" s="7"/>
    </row>
    <row r="503" spans="1:14" ht="19.5" customHeight="1" x14ac:dyDescent="0.25">
      <c r="A503" s="7"/>
      <c r="B503" s="7"/>
      <c r="C503" s="13"/>
      <c r="D503" s="13"/>
      <c r="E503" s="7"/>
      <c r="F503" s="7"/>
      <c r="G503" s="7"/>
      <c r="H503" s="7"/>
      <c r="I503" s="7"/>
      <c r="J503" s="7"/>
      <c r="K503" s="7"/>
      <c r="L503" s="7"/>
      <c r="M503" s="7"/>
      <c r="N503" s="7"/>
    </row>
    <row r="504" spans="1:14" ht="19.5" customHeight="1" x14ac:dyDescent="0.25">
      <c r="A504" s="7"/>
      <c r="B504" s="7"/>
      <c r="C504" s="13"/>
      <c r="D504" s="13"/>
      <c r="E504" s="7"/>
      <c r="F504" s="7"/>
      <c r="G504" s="7"/>
      <c r="H504" s="7"/>
      <c r="I504" s="7"/>
      <c r="J504" s="7"/>
      <c r="K504" s="7"/>
      <c r="L504" s="7"/>
      <c r="M504" s="7"/>
      <c r="N504" s="7"/>
    </row>
    <row r="505" spans="1:14" ht="19.5" customHeight="1" x14ac:dyDescent="0.25">
      <c r="A505" s="7"/>
      <c r="B505" s="7"/>
      <c r="C505" s="13"/>
      <c r="D505" s="13"/>
      <c r="E505" s="7"/>
      <c r="F505" s="7"/>
      <c r="G505" s="7"/>
      <c r="H505" s="7"/>
      <c r="I505" s="7"/>
      <c r="J505" s="7"/>
      <c r="K505" s="7"/>
      <c r="L505" s="7"/>
      <c r="M505" s="7"/>
      <c r="N505" s="7"/>
    </row>
    <row r="506" spans="1:14" ht="19.5" customHeight="1" x14ac:dyDescent="0.25">
      <c r="A506" s="7"/>
      <c r="B506" s="7"/>
      <c r="C506" s="13"/>
      <c r="D506" s="13"/>
      <c r="E506" s="7"/>
      <c r="F506" s="7"/>
      <c r="G506" s="7"/>
      <c r="H506" s="7"/>
      <c r="I506" s="7"/>
      <c r="J506" s="7"/>
      <c r="K506" s="7"/>
      <c r="L506" s="7"/>
      <c r="M506" s="7"/>
      <c r="N506" s="7"/>
    </row>
    <row r="507" spans="1:14" ht="19.5" customHeight="1" x14ac:dyDescent="0.25">
      <c r="A507" s="7"/>
      <c r="B507" s="7"/>
      <c r="C507" s="13"/>
      <c r="D507" s="13"/>
      <c r="E507" s="7"/>
      <c r="F507" s="7"/>
      <c r="G507" s="7"/>
      <c r="H507" s="7"/>
      <c r="I507" s="7"/>
      <c r="J507" s="7"/>
      <c r="K507" s="7"/>
      <c r="L507" s="7"/>
      <c r="M507" s="7"/>
      <c r="N507" s="7"/>
    </row>
    <row r="508" spans="1:14" ht="19.5" customHeight="1" x14ac:dyDescent="0.25">
      <c r="A508" s="7"/>
      <c r="B508" s="7"/>
      <c r="C508" s="13"/>
      <c r="D508" s="13"/>
      <c r="E508" s="7"/>
      <c r="F508" s="7"/>
      <c r="G508" s="7"/>
      <c r="H508" s="7"/>
      <c r="I508" s="7"/>
      <c r="J508" s="7"/>
      <c r="K508" s="7"/>
      <c r="L508" s="7"/>
      <c r="M508" s="7"/>
      <c r="N508" s="7"/>
    </row>
    <row r="509" spans="1:14" ht="19.5" customHeight="1" x14ac:dyDescent="0.25">
      <c r="A509" s="7"/>
      <c r="B509" s="7"/>
      <c r="C509" s="13"/>
      <c r="D509" s="13"/>
      <c r="E509" s="7"/>
      <c r="F509" s="7"/>
      <c r="G509" s="7"/>
      <c r="H509" s="7"/>
      <c r="I509" s="7"/>
      <c r="J509" s="7"/>
      <c r="K509" s="7"/>
      <c r="L509" s="7"/>
      <c r="M509" s="7"/>
      <c r="N509" s="7"/>
    </row>
    <row r="510" spans="1:14" ht="19.5" customHeight="1" x14ac:dyDescent="0.25">
      <c r="A510" s="7"/>
      <c r="B510" s="7"/>
      <c r="C510" s="13"/>
      <c r="D510" s="13"/>
      <c r="E510" s="7"/>
      <c r="F510" s="7"/>
      <c r="G510" s="7"/>
      <c r="H510" s="7"/>
      <c r="I510" s="7"/>
      <c r="J510" s="7"/>
      <c r="K510" s="7"/>
      <c r="L510" s="7"/>
      <c r="M510" s="7"/>
      <c r="N510" s="7"/>
    </row>
    <row r="511" spans="1:14" ht="19.5" customHeight="1" x14ac:dyDescent="0.25">
      <c r="A511" s="7"/>
      <c r="B511" s="7"/>
      <c r="C511" s="13"/>
      <c r="D511" s="13"/>
      <c r="E511" s="7"/>
      <c r="F511" s="7"/>
      <c r="G511" s="7"/>
      <c r="H511" s="7"/>
      <c r="I511" s="7"/>
      <c r="J511" s="7"/>
      <c r="K511" s="7"/>
      <c r="L511" s="7"/>
      <c r="M511" s="7"/>
      <c r="N511" s="7"/>
    </row>
    <row r="512" spans="1:14" ht="19.5" customHeight="1" x14ac:dyDescent="0.25">
      <c r="A512" s="7"/>
      <c r="B512" s="7"/>
      <c r="C512" s="13"/>
      <c r="D512" s="13"/>
      <c r="E512" s="7"/>
      <c r="F512" s="7"/>
      <c r="G512" s="7"/>
      <c r="H512" s="7"/>
      <c r="I512" s="7"/>
      <c r="J512" s="7"/>
      <c r="K512" s="7"/>
      <c r="L512" s="7"/>
      <c r="M512" s="7"/>
      <c r="N512" s="7"/>
    </row>
    <row r="513" spans="1:14" ht="19.5" customHeight="1" x14ac:dyDescent="0.25">
      <c r="A513" s="7"/>
      <c r="B513" s="7"/>
      <c r="C513" s="13"/>
      <c r="D513" s="13"/>
      <c r="E513" s="7"/>
      <c r="F513" s="7"/>
      <c r="G513" s="7"/>
      <c r="H513" s="7"/>
      <c r="I513" s="7"/>
      <c r="J513" s="7"/>
      <c r="K513" s="7"/>
      <c r="L513" s="7"/>
      <c r="M513" s="7"/>
      <c r="N513" s="7"/>
    </row>
    <row r="514" spans="1:14" ht="19.5" customHeight="1" x14ac:dyDescent="0.25">
      <c r="A514" s="7"/>
      <c r="B514" s="7"/>
      <c r="C514" s="13"/>
      <c r="D514" s="13"/>
      <c r="E514" s="7"/>
      <c r="F514" s="7"/>
      <c r="G514" s="7"/>
      <c r="H514" s="7"/>
      <c r="I514" s="7"/>
      <c r="J514" s="7"/>
      <c r="K514" s="7"/>
      <c r="L514" s="7"/>
      <c r="M514" s="7"/>
      <c r="N514" s="7"/>
    </row>
    <row r="515" spans="1:14" ht="19.5" customHeight="1" x14ac:dyDescent="0.25">
      <c r="A515" s="7"/>
      <c r="B515" s="7"/>
      <c r="C515" s="13"/>
      <c r="D515" s="13"/>
      <c r="E515" s="7"/>
      <c r="F515" s="7"/>
      <c r="G515" s="7"/>
      <c r="H515" s="7"/>
      <c r="I515" s="7"/>
      <c r="J515" s="7"/>
      <c r="K515" s="7"/>
      <c r="L515" s="7"/>
      <c r="M515" s="7"/>
      <c r="N515" s="7"/>
    </row>
    <row r="516" spans="1:14" ht="19.5" customHeight="1" x14ac:dyDescent="0.25">
      <c r="A516" s="7"/>
      <c r="B516" s="7"/>
      <c r="C516" s="13"/>
      <c r="D516" s="13"/>
      <c r="E516" s="7"/>
      <c r="F516" s="7"/>
      <c r="G516" s="7"/>
      <c r="H516" s="7"/>
      <c r="I516" s="7"/>
      <c r="J516" s="7"/>
      <c r="K516" s="7"/>
      <c r="L516" s="7"/>
      <c r="M516" s="7"/>
      <c r="N516" s="7"/>
    </row>
    <row r="517" spans="1:14" ht="19.5" customHeight="1" x14ac:dyDescent="0.25">
      <c r="A517" s="7"/>
      <c r="B517" s="7"/>
      <c r="C517" s="13"/>
      <c r="D517" s="13"/>
      <c r="E517" s="7"/>
      <c r="F517" s="7"/>
      <c r="G517" s="7"/>
      <c r="H517" s="7"/>
      <c r="I517" s="7"/>
      <c r="J517" s="7"/>
      <c r="K517" s="7"/>
      <c r="L517" s="7"/>
      <c r="M517" s="7"/>
      <c r="N517" s="7"/>
    </row>
    <row r="518" spans="1:14" ht="19.5" customHeight="1" x14ac:dyDescent="0.25">
      <c r="A518" s="7"/>
      <c r="B518" s="7"/>
      <c r="C518" s="13"/>
      <c r="D518" s="13"/>
      <c r="E518" s="7"/>
      <c r="F518" s="7"/>
      <c r="G518" s="7"/>
      <c r="H518" s="7"/>
      <c r="I518" s="7"/>
      <c r="J518" s="7"/>
      <c r="K518" s="7"/>
      <c r="L518" s="7"/>
      <c r="M518" s="7"/>
      <c r="N518" s="7"/>
    </row>
    <row r="519" spans="1:14" ht="19.5" customHeight="1" x14ac:dyDescent="0.25">
      <c r="A519" s="7"/>
      <c r="B519" s="7"/>
      <c r="C519" s="13"/>
      <c r="D519" s="13"/>
      <c r="E519" s="7"/>
      <c r="F519" s="7"/>
      <c r="G519" s="7"/>
      <c r="H519" s="7"/>
      <c r="I519" s="7"/>
      <c r="J519" s="7"/>
      <c r="K519" s="7"/>
      <c r="L519" s="7"/>
      <c r="M519" s="7"/>
      <c r="N519" s="7"/>
    </row>
    <row r="520" spans="1:14" ht="19.5" customHeight="1" x14ac:dyDescent="0.25">
      <c r="A520" s="7"/>
      <c r="B520" s="7"/>
      <c r="C520" s="13"/>
      <c r="D520" s="13"/>
      <c r="E520" s="7"/>
      <c r="F520" s="7"/>
      <c r="G520" s="7"/>
      <c r="H520" s="7"/>
      <c r="I520" s="7"/>
      <c r="J520" s="7"/>
      <c r="K520" s="7"/>
      <c r="L520" s="7"/>
      <c r="M520" s="7"/>
      <c r="N520" s="7"/>
    </row>
    <row r="521" spans="1:14" ht="19.5" customHeight="1" x14ac:dyDescent="0.25">
      <c r="A521" s="7"/>
      <c r="B521" s="7"/>
      <c r="C521" s="13"/>
      <c r="D521" s="13"/>
      <c r="E521" s="7"/>
      <c r="F521" s="7"/>
      <c r="G521" s="7"/>
      <c r="H521" s="7"/>
      <c r="I521" s="7"/>
      <c r="J521" s="7"/>
      <c r="K521" s="7"/>
      <c r="L521" s="7"/>
      <c r="M521" s="7"/>
      <c r="N521" s="7"/>
    </row>
    <row r="522" spans="1:14" ht="19.5" customHeight="1" x14ac:dyDescent="0.25">
      <c r="A522" s="7"/>
      <c r="B522" s="7"/>
      <c r="C522" s="13"/>
      <c r="D522" s="13"/>
      <c r="E522" s="7"/>
      <c r="F522" s="7"/>
      <c r="G522" s="7"/>
      <c r="H522" s="7"/>
      <c r="I522" s="7"/>
      <c r="J522" s="7"/>
      <c r="K522" s="7"/>
      <c r="L522" s="7"/>
      <c r="M522" s="7"/>
      <c r="N522" s="7"/>
    </row>
    <row r="523" spans="1:14" ht="19.5" customHeight="1" x14ac:dyDescent="0.25">
      <c r="A523" s="7"/>
      <c r="B523" s="7"/>
      <c r="C523" s="13"/>
      <c r="D523" s="13"/>
      <c r="E523" s="7"/>
      <c r="F523" s="7"/>
      <c r="G523" s="7"/>
      <c r="H523" s="7"/>
      <c r="I523" s="7"/>
      <c r="J523" s="7"/>
      <c r="K523" s="7"/>
      <c r="L523" s="7"/>
      <c r="M523" s="7"/>
      <c r="N523" s="7"/>
    </row>
    <row r="524" spans="1:14" ht="19.5" customHeight="1" x14ac:dyDescent="0.25">
      <c r="A524" s="7"/>
      <c r="B524" s="7"/>
      <c r="C524" s="13"/>
      <c r="D524" s="13"/>
      <c r="E524" s="7"/>
      <c r="F524" s="7"/>
      <c r="G524" s="7"/>
      <c r="H524" s="7"/>
      <c r="I524" s="7"/>
      <c r="J524" s="7"/>
      <c r="K524" s="7"/>
      <c r="L524" s="7"/>
      <c r="M524" s="7"/>
      <c r="N524" s="7"/>
    </row>
    <row r="525" spans="1:14" ht="19.5" customHeight="1" x14ac:dyDescent="0.25">
      <c r="A525" s="7"/>
      <c r="B525" s="7"/>
      <c r="C525" s="13"/>
      <c r="D525" s="13"/>
      <c r="E525" s="7"/>
      <c r="F525" s="7"/>
      <c r="G525" s="7"/>
      <c r="H525" s="7"/>
      <c r="I525" s="7"/>
      <c r="J525" s="7"/>
      <c r="K525" s="7"/>
      <c r="L525" s="7"/>
      <c r="M525" s="7"/>
      <c r="N525" s="7"/>
    </row>
    <row r="526" spans="1:14" ht="19.5" customHeight="1" x14ac:dyDescent="0.25">
      <c r="A526" s="7"/>
      <c r="B526" s="7"/>
      <c r="C526" s="13"/>
      <c r="D526" s="13"/>
      <c r="E526" s="7"/>
      <c r="F526" s="7"/>
      <c r="G526" s="7"/>
      <c r="H526" s="7"/>
      <c r="I526" s="7"/>
      <c r="J526" s="7"/>
      <c r="K526" s="7"/>
      <c r="L526" s="7"/>
      <c r="M526" s="7"/>
      <c r="N526" s="7"/>
    </row>
    <row r="527" spans="1:14" ht="19.5" customHeight="1" x14ac:dyDescent="0.25">
      <c r="A527" s="7"/>
      <c r="B527" s="7"/>
      <c r="C527" s="13"/>
      <c r="D527" s="13"/>
      <c r="E527" s="7"/>
      <c r="F527" s="7"/>
      <c r="G527" s="7"/>
      <c r="H527" s="7"/>
      <c r="I527" s="7"/>
      <c r="J527" s="7"/>
      <c r="K527" s="7"/>
      <c r="L527" s="7"/>
      <c r="M527" s="7"/>
      <c r="N527" s="7"/>
    </row>
    <row r="528" spans="1:14" ht="19.5" customHeight="1" x14ac:dyDescent="0.25">
      <c r="A528" s="7"/>
      <c r="B528" s="7"/>
      <c r="C528" s="13"/>
      <c r="D528" s="13"/>
      <c r="E528" s="7"/>
      <c r="F528" s="7"/>
      <c r="G528" s="7"/>
      <c r="H528" s="7"/>
      <c r="I528" s="7"/>
      <c r="J528" s="7"/>
      <c r="K528" s="7"/>
      <c r="L528" s="7"/>
      <c r="M528" s="7"/>
      <c r="N528" s="7"/>
    </row>
    <row r="529" spans="1:14" ht="19.5" customHeight="1" x14ac:dyDescent="0.25">
      <c r="A529" s="7"/>
      <c r="B529" s="7"/>
      <c r="C529" s="13"/>
      <c r="D529" s="13"/>
      <c r="E529" s="7"/>
      <c r="F529" s="7"/>
      <c r="G529" s="7"/>
      <c r="H529" s="7"/>
      <c r="I529" s="7"/>
      <c r="J529" s="7"/>
      <c r="K529" s="7"/>
      <c r="L529" s="7"/>
      <c r="M529" s="7"/>
      <c r="N529" s="7"/>
    </row>
    <row r="530" spans="1:14" ht="19.5" customHeight="1" x14ac:dyDescent="0.25">
      <c r="A530" s="7"/>
      <c r="B530" s="7"/>
      <c r="C530" s="13"/>
      <c r="D530" s="13"/>
      <c r="E530" s="7"/>
      <c r="F530" s="7"/>
      <c r="G530" s="7"/>
      <c r="H530" s="7"/>
      <c r="I530" s="7"/>
      <c r="J530" s="7"/>
      <c r="K530" s="7"/>
      <c r="L530" s="7"/>
      <c r="M530" s="7"/>
      <c r="N530" s="7"/>
    </row>
    <row r="531" spans="1:14" ht="19.5" customHeight="1" x14ac:dyDescent="0.25">
      <c r="A531" s="7"/>
      <c r="B531" s="7"/>
      <c r="C531" s="13"/>
      <c r="D531" s="13"/>
      <c r="E531" s="7"/>
      <c r="F531" s="7"/>
      <c r="G531" s="7"/>
      <c r="H531" s="7"/>
      <c r="I531" s="7"/>
      <c r="J531" s="7"/>
      <c r="K531" s="7"/>
      <c r="L531" s="7"/>
      <c r="M531" s="7"/>
      <c r="N531" s="7"/>
    </row>
    <row r="532" spans="1:14" ht="19.5" customHeight="1" x14ac:dyDescent="0.25">
      <c r="A532" s="7"/>
      <c r="B532" s="7"/>
      <c r="C532" s="13"/>
      <c r="D532" s="13"/>
      <c r="E532" s="7"/>
      <c r="F532" s="7"/>
      <c r="G532" s="7"/>
      <c r="H532" s="7"/>
      <c r="I532" s="7"/>
      <c r="J532" s="7"/>
      <c r="K532" s="7"/>
      <c r="L532" s="7"/>
      <c r="M532" s="7"/>
      <c r="N532" s="7"/>
    </row>
    <row r="533" spans="1:14" ht="19.5" customHeight="1" x14ac:dyDescent="0.25">
      <c r="A533" s="7"/>
      <c r="B533" s="7"/>
      <c r="C533" s="13"/>
      <c r="D533" s="13"/>
      <c r="E533" s="7"/>
      <c r="F533" s="7"/>
      <c r="G533" s="7"/>
      <c r="H533" s="7"/>
      <c r="I533" s="7"/>
      <c r="J533" s="7"/>
      <c r="K533" s="7"/>
      <c r="L533" s="7"/>
      <c r="M533" s="7"/>
      <c r="N533" s="7"/>
    </row>
    <row r="534" spans="1:14" ht="19.5" customHeight="1" x14ac:dyDescent="0.25">
      <c r="A534" s="7"/>
      <c r="B534" s="7"/>
      <c r="C534" s="13"/>
      <c r="D534" s="13"/>
      <c r="E534" s="7"/>
      <c r="F534" s="7"/>
      <c r="G534" s="7"/>
      <c r="H534" s="7"/>
      <c r="I534" s="7"/>
      <c r="J534" s="7"/>
      <c r="K534" s="7"/>
      <c r="L534" s="7"/>
      <c r="M534" s="7"/>
      <c r="N534" s="7"/>
    </row>
    <row r="535" spans="1:14" ht="19.5" customHeight="1" x14ac:dyDescent="0.25">
      <c r="A535" s="7"/>
      <c r="B535" s="7"/>
      <c r="C535" s="13"/>
      <c r="D535" s="13"/>
      <c r="E535" s="7"/>
      <c r="F535" s="7"/>
      <c r="G535" s="7"/>
      <c r="H535" s="7"/>
      <c r="I535" s="7"/>
      <c r="J535" s="7"/>
      <c r="K535" s="7"/>
      <c r="L535" s="7"/>
      <c r="M535" s="7"/>
      <c r="N535" s="7"/>
    </row>
    <row r="536" spans="1:14" ht="19.5" customHeight="1" x14ac:dyDescent="0.25">
      <c r="A536" s="7"/>
      <c r="B536" s="7"/>
      <c r="C536" s="13"/>
      <c r="D536" s="13"/>
      <c r="E536" s="7"/>
      <c r="F536" s="7"/>
      <c r="G536" s="7"/>
      <c r="H536" s="7"/>
      <c r="I536" s="7"/>
      <c r="J536" s="7"/>
      <c r="K536" s="7"/>
      <c r="L536" s="7"/>
      <c r="M536" s="7"/>
      <c r="N536" s="7"/>
    </row>
    <row r="537" spans="1:14" ht="19.5" customHeight="1" x14ac:dyDescent="0.25">
      <c r="A537" s="7"/>
      <c r="B537" s="7"/>
      <c r="C537" s="13"/>
      <c r="D537" s="13"/>
      <c r="E537" s="7"/>
      <c r="F537" s="7"/>
      <c r="G537" s="7"/>
      <c r="H537" s="7"/>
      <c r="I537" s="7"/>
      <c r="J537" s="7"/>
      <c r="K537" s="7"/>
      <c r="L537" s="7"/>
      <c r="M537" s="7"/>
      <c r="N537" s="7"/>
    </row>
    <row r="538" spans="1:14" ht="19.5" customHeight="1" x14ac:dyDescent="0.25">
      <c r="A538" s="7"/>
      <c r="B538" s="7"/>
      <c r="C538" s="13"/>
      <c r="D538" s="13"/>
      <c r="E538" s="7"/>
      <c r="F538" s="7"/>
      <c r="G538" s="7"/>
      <c r="H538" s="7"/>
      <c r="I538" s="7"/>
      <c r="J538" s="7"/>
      <c r="K538" s="7"/>
      <c r="L538" s="7"/>
      <c r="M538" s="7"/>
      <c r="N538" s="7"/>
    </row>
    <row r="539" spans="1:14" ht="19.5" customHeight="1" x14ac:dyDescent="0.25">
      <c r="A539" s="7"/>
      <c r="B539" s="7"/>
      <c r="C539" s="13"/>
      <c r="D539" s="13"/>
      <c r="E539" s="7"/>
      <c r="F539" s="7"/>
      <c r="G539" s="7"/>
      <c r="H539" s="7"/>
      <c r="I539" s="7"/>
      <c r="J539" s="7"/>
      <c r="K539" s="7"/>
      <c r="L539" s="7"/>
      <c r="M539" s="7"/>
      <c r="N539" s="7"/>
    </row>
    <row r="540" spans="1:14" ht="19.5" customHeight="1" x14ac:dyDescent="0.25">
      <c r="A540" s="7"/>
      <c r="B540" s="7"/>
      <c r="C540" s="13"/>
      <c r="D540" s="13"/>
      <c r="E540" s="7"/>
      <c r="F540" s="7"/>
      <c r="G540" s="7"/>
      <c r="H540" s="7"/>
      <c r="I540" s="7"/>
      <c r="J540" s="7"/>
      <c r="K540" s="7"/>
      <c r="L540" s="7"/>
      <c r="M540" s="7"/>
      <c r="N540" s="7"/>
    </row>
    <row r="541" spans="1:14" ht="19.5" customHeight="1" x14ac:dyDescent="0.25">
      <c r="A541" s="7"/>
      <c r="B541" s="7"/>
      <c r="C541" s="13"/>
      <c r="D541" s="13"/>
      <c r="E541" s="7"/>
      <c r="F541" s="7"/>
      <c r="G541" s="7"/>
      <c r="H541" s="7"/>
      <c r="I541" s="7"/>
      <c r="J541" s="7"/>
      <c r="K541" s="7"/>
      <c r="L541" s="7"/>
      <c r="M541" s="7"/>
      <c r="N541" s="7"/>
    </row>
    <row r="542" spans="1:14" ht="19.5" customHeight="1" x14ac:dyDescent="0.25">
      <c r="A542" s="7"/>
      <c r="B542" s="7"/>
      <c r="C542" s="13"/>
      <c r="D542" s="13"/>
      <c r="E542" s="7"/>
      <c r="F542" s="7"/>
      <c r="G542" s="7"/>
      <c r="H542" s="7"/>
      <c r="I542" s="7"/>
      <c r="J542" s="7"/>
      <c r="K542" s="7"/>
      <c r="L542" s="7"/>
      <c r="M542" s="7"/>
      <c r="N542" s="7"/>
    </row>
    <row r="543" spans="1:14" ht="19.5" customHeight="1" x14ac:dyDescent="0.25">
      <c r="A543" s="7"/>
      <c r="B543" s="7"/>
      <c r="C543" s="13"/>
      <c r="D543" s="13"/>
      <c r="E543" s="7"/>
      <c r="F543" s="7"/>
      <c r="G543" s="7"/>
      <c r="H543" s="7"/>
      <c r="I543" s="7"/>
      <c r="J543" s="7"/>
      <c r="K543" s="7"/>
      <c r="L543" s="7"/>
      <c r="M543" s="7"/>
      <c r="N543" s="7"/>
    </row>
    <row r="544" spans="1:14" ht="19.5" customHeight="1" x14ac:dyDescent="0.25">
      <c r="A544" s="7"/>
      <c r="B544" s="7"/>
      <c r="C544" s="13"/>
      <c r="D544" s="13"/>
      <c r="E544" s="7"/>
      <c r="F544" s="7"/>
      <c r="G544" s="7"/>
      <c r="H544" s="7"/>
      <c r="I544" s="7"/>
      <c r="J544" s="7"/>
      <c r="K544" s="7"/>
      <c r="L544" s="7"/>
      <c r="M544" s="7"/>
      <c r="N544" s="7"/>
    </row>
    <row r="545" spans="1:14" ht="19.5" customHeight="1" x14ac:dyDescent="0.25">
      <c r="A545" s="7"/>
      <c r="B545" s="7"/>
      <c r="C545" s="13"/>
      <c r="D545" s="13"/>
      <c r="E545" s="7"/>
      <c r="F545" s="7"/>
      <c r="G545" s="7"/>
      <c r="H545" s="7"/>
      <c r="I545" s="7"/>
      <c r="J545" s="7"/>
      <c r="K545" s="7"/>
      <c r="L545" s="7"/>
      <c r="M545" s="7"/>
      <c r="N545" s="7"/>
    </row>
    <row r="546" spans="1:14" ht="19.5" customHeight="1" x14ac:dyDescent="0.25">
      <c r="A546" s="7"/>
      <c r="B546" s="7"/>
      <c r="C546" s="13"/>
      <c r="D546" s="13"/>
      <c r="E546" s="7"/>
      <c r="F546" s="7"/>
      <c r="G546" s="7"/>
      <c r="H546" s="7"/>
      <c r="I546" s="7"/>
      <c r="J546" s="7"/>
      <c r="K546" s="7"/>
      <c r="L546" s="7"/>
      <c r="M546" s="7"/>
      <c r="N546" s="7"/>
    </row>
    <row r="547" spans="1:14" ht="19.5" customHeight="1" x14ac:dyDescent="0.25">
      <c r="A547" s="7"/>
      <c r="B547" s="7"/>
      <c r="C547" s="13"/>
      <c r="D547" s="13"/>
      <c r="E547" s="7"/>
      <c r="F547" s="7"/>
      <c r="G547" s="7"/>
      <c r="H547" s="7"/>
      <c r="I547" s="7"/>
      <c r="J547" s="7"/>
      <c r="K547" s="7"/>
      <c r="L547" s="7"/>
      <c r="M547" s="7"/>
      <c r="N547" s="7"/>
    </row>
    <row r="548" spans="1:14" ht="19.5" customHeight="1" x14ac:dyDescent="0.25">
      <c r="A548" s="7"/>
      <c r="B548" s="7"/>
      <c r="C548" s="13"/>
      <c r="D548" s="13"/>
      <c r="E548" s="7"/>
      <c r="F548" s="7"/>
      <c r="G548" s="7"/>
      <c r="H548" s="7"/>
      <c r="I548" s="7"/>
      <c r="J548" s="7"/>
      <c r="K548" s="7"/>
      <c r="L548" s="7"/>
      <c r="M548" s="7"/>
      <c r="N548" s="7"/>
    </row>
    <row r="549" spans="1:14" ht="19.5" customHeight="1" x14ac:dyDescent="0.25">
      <c r="A549" s="7"/>
      <c r="B549" s="7"/>
      <c r="C549" s="13"/>
      <c r="D549" s="13"/>
      <c r="E549" s="7"/>
      <c r="F549" s="7"/>
      <c r="G549" s="7"/>
      <c r="H549" s="7"/>
      <c r="I549" s="7"/>
      <c r="J549" s="7"/>
      <c r="K549" s="7"/>
      <c r="L549" s="7"/>
      <c r="M549" s="7"/>
      <c r="N549" s="7"/>
    </row>
    <row r="550" spans="1:14" ht="19.5" customHeight="1" x14ac:dyDescent="0.25">
      <c r="A550" s="7"/>
      <c r="B550" s="7"/>
      <c r="C550" s="13"/>
      <c r="D550" s="13"/>
      <c r="E550" s="7"/>
      <c r="F550" s="7"/>
      <c r="G550" s="7"/>
      <c r="H550" s="7"/>
      <c r="I550" s="7"/>
      <c r="J550" s="7"/>
      <c r="K550" s="7"/>
      <c r="L550" s="7"/>
      <c r="M550" s="7"/>
      <c r="N550" s="7"/>
    </row>
    <row r="551" spans="1:14" ht="19.5" customHeight="1" x14ac:dyDescent="0.25">
      <c r="A551" s="7"/>
      <c r="B551" s="7"/>
      <c r="C551" s="13"/>
      <c r="D551" s="13"/>
      <c r="E551" s="7"/>
      <c r="F551" s="7"/>
      <c r="G551" s="7"/>
      <c r="H551" s="7"/>
      <c r="I551" s="7"/>
      <c r="J551" s="7"/>
      <c r="K551" s="7"/>
      <c r="L551" s="7"/>
      <c r="M551" s="7"/>
      <c r="N551" s="7"/>
    </row>
    <row r="552" spans="1:14" ht="19.5" customHeight="1" x14ac:dyDescent="0.25">
      <c r="A552" s="7"/>
      <c r="B552" s="7"/>
      <c r="C552" s="13"/>
      <c r="D552" s="13"/>
      <c r="E552" s="7"/>
      <c r="F552" s="7"/>
      <c r="G552" s="7"/>
      <c r="H552" s="7"/>
      <c r="I552" s="7"/>
      <c r="J552" s="7"/>
      <c r="K552" s="7"/>
      <c r="L552" s="7"/>
      <c r="M552" s="7"/>
      <c r="N552" s="7"/>
    </row>
    <row r="553" spans="1:14" ht="19.5" customHeight="1" x14ac:dyDescent="0.25">
      <c r="A553" s="7"/>
      <c r="B553" s="7"/>
      <c r="C553" s="13"/>
      <c r="D553" s="13"/>
      <c r="E553" s="7"/>
      <c r="F553" s="7"/>
      <c r="G553" s="7"/>
      <c r="H553" s="7"/>
      <c r="I553" s="7"/>
      <c r="J553" s="7"/>
      <c r="K553" s="7"/>
      <c r="L553" s="7"/>
      <c r="M553" s="7"/>
      <c r="N553" s="7"/>
    </row>
    <row r="554" spans="1:14" ht="19.5" customHeight="1" x14ac:dyDescent="0.25">
      <c r="A554" s="7"/>
      <c r="B554" s="7"/>
      <c r="C554" s="13"/>
      <c r="D554" s="13"/>
      <c r="E554" s="7"/>
      <c r="F554" s="7"/>
      <c r="G554" s="7"/>
      <c r="H554" s="7"/>
      <c r="I554" s="7"/>
      <c r="J554" s="7"/>
      <c r="K554" s="7"/>
      <c r="L554" s="7"/>
      <c r="M554" s="7"/>
      <c r="N554" s="7"/>
    </row>
    <row r="555" spans="1:14" ht="19.5" customHeight="1" x14ac:dyDescent="0.25">
      <c r="A555" s="7"/>
      <c r="B555" s="7"/>
      <c r="C555" s="13"/>
      <c r="D555" s="13"/>
      <c r="E555" s="7"/>
      <c r="F555" s="7"/>
      <c r="G555" s="7"/>
      <c r="H555" s="7"/>
      <c r="I555" s="7"/>
      <c r="J555" s="7"/>
      <c r="K555" s="7"/>
      <c r="L555" s="7"/>
      <c r="M555" s="7"/>
      <c r="N555" s="7"/>
    </row>
    <row r="556" spans="1:14" ht="19.5" customHeight="1" x14ac:dyDescent="0.25">
      <c r="A556" s="7"/>
      <c r="B556" s="7"/>
      <c r="C556" s="13"/>
      <c r="D556" s="13"/>
      <c r="E556" s="7"/>
      <c r="F556" s="7"/>
      <c r="G556" s="7"/>
      <c r="H556" s="7"/>
      <c r="I556" s="7"/>
      <c r="J556" s="7"/>
      <c r="K556" s="7"/>
      <c r="L556" s="7"/>
      <c r="M556" s="7"/>
      <c r="N556" s="7"/>
    </row>
    <row r="557" spans="1:14" ht="19.5" customHeight="1" x14ac:dyDescent="0.25">
      <c r="A557" s="7"/>
      <c r="B557" s="7"/>
      <c r="C557" s="13"/>
      <c r="D557" s="13"/>
      <c r="E557" s="7"/>
      <c r="F557" s="7"/>
      <c r="G557" s="7"/>
      <c r="H557" s="7"/>
      <c r="I557" s="7"/>
      <c r="J557" s="7"/>
      <c r="K557" s="7"/>
      <c r="L557" s="7"/>
      <c r="M557" s="7"/>
      <c r="N557" s="7"/>
    </row>
    <row r="558" spans="1:14" ht="19.5" customHeight="1" x14ac:dyDescent="0.25">
      <c r="A558" s="7"/>
      <c r="B558" s="7"/>
      <c r="C558" s="13"/>
      <c r="D558" s="13"/>
      <c r="E558" s="7"/>
      <c r="F558" s="7"/>
      <c r="G558" s="7"/>
      <c r="H558" s="7"/>
      <c r="I558" s="7"/>
      <c r="J558" s="7"/>
      <c r="K558" s="7"/>
      <c r="L558" s="7"/>
      <c r="M558" s="7"/>
      <c r="N558" s="7"/>
    </row>
    <row r="559" spans="1:14" ht="19.5" customHeight="1" x14ac:dyDescent="0.25">
      <c r="A559" s="7"/>
      <c r="B559" s="7"/>
      <c r="C559" s="13"/>
      <c r="D559" s="13"/>
      <c r="E559" s="7"/>
      <c r="F559" s="7"/>
      <c r="G559" s="7"/>
      <c r="H559" s="7"/>
      <c r="I559" s="7"/>
      <c r="J559" s="7"/>
      <c r="K559" s="7"/>
      <c r="L559" s="7"/>
      <c r="M559" s="7"/>
      <c r="N559" s="7"/>
    </row>
    <row r="560" spans="1:14" ht="19.5" customHeight="1" x14ac:dyDescent="0.25">
      <c r="A560" s="7"/>
      <c r="B560" s="7"/>
      <c r="C560" s="13"/>
      <c r="D560" s="13"/>
      <c r="E560" s="7"/>
      <c r="F560" s="7"/>
      <c r="G560" s="7"/>
      <c r="H560" s="7"/>
      <c r="I560" s="7"/>
      <c r="J560" s="7"/>
      <c r="K560" s="7"/>
      <c r="L560" s="7"/>
      <c r="M560" s="7"/>
      <c r="N560" s="7"/>
    </row>
    <row r="561" spans="1:14" ht="19.5" customHeight="1" x14ac:dyDescent="0.25">
      <c r="A561" s="7"/>
      <c r="B561" s="7"/>
      <c r="C561" s="13"/>
      <c r="D561" s="13"/>
      <c r="E561" s="7"/>
      <c r="F561" s="7"/>
      <c r="G561" s="7"/>
      <c r="H561" s="7"/>
      <c r="I561" s="7"/>
      <c r="J561" s="7"/>
      <c r="K561" s="7"/>
      <c r="L561" s="7"/>
      <c r="M561" s="7"/>
      <c r="N561" s="7"/>
    </row>
    <row r="562" spans="1:14" ht="19.5" customHeight="1" x14ac:dyDescent="0.25">
      <c r="A562" s="7"/>
      <c r="B562" s="7"/>
      <c r="C562" s="13"/>
      <c r="D562" s="13"/>
      <c r="E562" s="7"/>
      <c r="F562" s="7"/>
      <c r="G562" s="7"/>
      <c r="H562" s="7"/>
      <c r="I562" s="7"/>
      <c r="J562" s="7"/>
      <c r="K562" s="7"/>
      <c r="L562" s="7"/>
      <c r="M562" s="7"/>
      <c r="N562" s="7"/>
    </row>
    <row r="563" spans="1:14" ht="19.5" customHeight="1" x14ac:dyDescent="0.25">
      <c r="A563" s="7"/>
      <c r="B563" s="7"/>
      <c r="C563" s="13"/>
      <c r="D563" s="13"/>
      <c r="E563" s="7"/>
      <c r="F563" s="7"/>
      <c r="G563" s="7"/>
      <c r="H563" s="7"/>
      <c r="I563" s="7"/>
      <c r="J563" s="7"/>
      <c r="K563" s="7"/>
      <c r="L563" s="7"/>
      <c r="M563" s="7"/>
      <c r="N563" s="7"/>
    </row>
    <row r="564" spans="1:14" ht="19.5" customHeight="1" x14ac:dyDescent="0.25">
      <c r="A564" s="7"/>
      <c r="B564" s="7"/>
      <c r="C564" s="13"/>
      <c r="D564" s="13"/>
      <c r="E564" s="7"/>
      <c r="F564" s="7"/>
      <c r="G564" s="7"/>
      <c r="H564" s="7"/>
      <c r="I564" s="7"/>
      <c r="J564" s="7"/>
      <c r="K564" s="7"/>
      <c r="L564" s="7"/>
      <c r="M564" s="7"/>
      <c r="N564" s="7"/>
    </row>
    <row r="565" spans="1:14" ht="19.5" customHeight="1" x14ac:dyDescent="0.25">
      <c r="A565" s="7"/>
      <c r="B565" s="7"/>
      <c r="C565" s="13"/>
      <c r="D565" s="13"/>
      <c r="E565" s="7"/>
      <c r="F565" s="7"/>
      <c r="G565" s="7"/>
      <c r="H565" s="7"/>
      <c r="I565" s="7"/>
      <c r="J565" s="7"/>
      <c r="K565" s="7"/>
      <c r="L565" s="7"/>
      <c r="M565" s="7"/>
      <c r="N565" s="7"/>
    </row>
    <row r="566" spans="1:14" ht="19.5" customHeight="1" x14ac:dyDescent="0.25">
      <c r="A566" s="7"/>
      <c r="B566" s="7"/>
      <c r="C566" s="13"/>
      <c r="D566" s="13"/>
      <c r="E566" s="7"/>
      <c r="F566" s="7"/>
      <c r="G566" s="7"/>
      <c r="H566" s="7"/>
      <c r="I566" s="7"/>
      <c r="J566" s="7"/>
      <c r="K566" s="7"/>
      <c r="L566" s="7"/>
      <c r="M566" s="7"/>
      <c r="N566" s="7"/>
    </row>
    <row r="567" spans="1:14" ht="19.5" customHeight="1" x14ac:dyDescent="0.25">
      <c r="A567" s="7"/>
      <c r="B567" s="7"/>
      <c r="C567" s="13"/>
      <c r="D567" s="13"/>
      <c r="E567" s="7"/>
      <c r="F567" s="7"/>
      <c r="G567" s="7"/>
      <c r="H567" s="7"/>
      <c r="I567" s="7"/>
      <c r="J567" s="7"/>
      <c r="K567" s="7"/>
      <c r="L567" s="7"/>
      <c r="M567" s="7"/>
      <c r="N567" s="7"/>
    </row>
    <row r="568" spans="1:14" ht="19.5" customHeight="1" x14ac:dyDescent="0.25">
      <c r="A568" s="7"/>
      <c r="B568" s="7"/>
      <c r="C568" s="13"/>
      <c r="D568" s="13"/>
      <c r="E568" s="7"/>
      <c r="F568" s="7"/>
      <c r="G568" s="7"/>
      <c r="H568" s="7"/>
      <c r="I568" s="7"/>
      <c r="J568" s="7"/>
      <c r="K568" s="7"/>
      <c r="L568" s="7"/>
      <c r="M568" s="7"/>
      <c r="N568" s="7"/>
    </row>
    <row r="569" spans="1:14" ht="19.5" customHeight="1" x14ac:dyDescent="0.25">
      <c r="A569" s="7"/>
      <c r="B569" s="7"/>
      <c r="C569" s="13"/>
      <c r="D569" s="13"/>
      <c r="E569" s="7"/>
      <c r="F569" s="7"/>
      <c r="G569" s="7"/>
      <c r="H569" s="7"/>
      <c r="I569" s="7"/>
      <c r="J569" s="7"/>
      <c r="K569" s="7"/>
      <c r="L569" s="7"/>
      <c r="M569" s="7"/>
      <c r="N569" s="7"/>
    </row>
    <row r="570" spans="1:14" ht="19.5" customHeight="1" x14ac:dyDescent="0.25">
      <c r="A570" s="7"/>
      <c r="B570" s="7"/>
      <c r="C570" s="13"/>
      <c r="D570" s="13"/>
      <c r="E570" s="7"/>
      <c r="F570" s="7"/>
      <c r="G570" s="7"/>
      <c r="H570" s="7"/>
      <c r="I570" s="7"/>
      <c r="J570" s="7"/>
      <c r="K570" s="7"/>
      <c r="L570" s="7"/>
      <c r="M570" s="7"/>
      <c r="N570" s="7"/>
    </row>
    <row r="571" spans="1:14" ht="19.5" customHeight="1" x14ac:dyDescent="0.25">
      <c r="A571" s="7"/>
      <c r="B571" s="7"/>
      <c r="C571" s="13"/>
      <c r="D571" s="13"/>
      <c r="E571" s="7"/>
      <c r="F571" s="7"/>
      <c r="G571" s="7"/>
      <c r="H571" s="7"/>
      <c r="I571" s="7"/>
      <c r="J571" s="7"/>
      <c r="K571" s="7"/>
      <c r="L571" s="7"/>
      <c r="M571" s="7"/>
      <c r="N571" s="7"/>
    </row>
    <row r="572" spans="1:14" ht="19.5" customHeight="1" x14ac:dyDescent="0.25">
      <c r="A572" s="7"/>
      <c r="B572" s="7"/>
      <c r="C572" s="13"/>
      <c r="D572" s="13"/>
      <c r="E572" s="7"/>
      <c r="F572" s="7"/>
      <c r="G572" s="7"/>
      <c r="H572" s="7"/>
      <c r="I572" s="7"/>
      <c r="J572" s="7"/>
      <c r="K572" s="7"/>
      <c r="L572" s="7"/>
      <c r="M572" s="7"/>
      <c r="N572" s="7"/>
    </row>
    <row r="573" spans="1:14" ht="19.5" customHeight="1" x14ac:dyDescent="0.25">
      <c r="A573" s="7"/>
      <c r="B573" s="7"/>
      <c r="C573" s="13"/>
      <c r="D573" s="13"/>
      <c r="E573" s="7"/>
      <c r="F573" s="7"/>
      <c r="G573" s="7"/>
      <c r="H573" s="7"/>
      <c r="I573" s="7"/>
      <c r="J573" s="7"/>
      <c r="K573" s="7"/>
      <c r="L573" s="7"/>
      <c r="M573" s="7"/>
      <c r="N573" s="7"/>
    </row>
    <row r="574" spans="1:14" ht="19.5" customHeight="1" x14ac:dyDescent="0.25">
      <c r="A574" s="7"/>
      <c r="B574" s="7"/>
      <c r="C574" s="13"/>
      <c r="D574" s="13"/>
      <c r="E574" s="7"/>
      <c r="F574" s="7"/>
      <c r="G574" s="7"/>
      <c r="H574" s="7"/>
      <c r="I574" s="7"/>
      <c r="J574" s="7"/>
      <c r="K574" s="7"/>
      <c r="L574" s="7"/>
      <c r="M574" s="7"/>
      <c r="N574" s="7"/>
    </row>
    <row r="575" spans="1:14" ht="19.5" customHeight="1" x14ac:dyDescent="0.25">
      <c r="A575" s="7"/>
      <c r="B575" s="7"/>
      <c r="C575" s="13"/>
      <c r="D575" s="13"/>
      <c r="E575" s="7"/>
      <c r="F575" s="7"/>
      <c r="G575" s="7"/>
      <c r="H575" s="7"/>
      <c r="I575" s="7"/>
      <c r="J575" s="7"/>
      <c r="K575" s="7"/>
      <c r="L575" s="7"/>
      <c r="M575" s="7"/>
      <c r="N575" s="7"/>
    </row>
    <row r="576" spans="1:14" ht="19.5" customHeight="1" x14ac:dyDescent="0.25">
      <c r="A576" s="7"/>
      <c r="B576" s="7"/>
      <c r="C576" s="13"/>
      <c r="D576" s="13"/>
      <c r="E576" s="7"/>
      <c r="F576" s="7"/>
      <c r="G576" s="7"/>
      <c r="H576" s="7"/>
      <c r="I576" s="7"/>
      <c r="J576" s="7"/>
      <c r="K576" s="7"/>
      <c r="L576" s="7"/>
      <c r="M576" s="7"/>
      <c r="N576" s="7"/>
    </row>
    <row r="577" spans="1:14" ht="19.5" customHeight="1" x14ac:dyDescent="0.25">
      <c r="A577" s="7"/>
      <c r="B577" s="7"/>
      <c r="C577" s="13"/>
      <c r="D577" s="13"/>
      <c r="E577" s="7"/>
      <c r="F577" s="7"/>
      <c r="G577" s="7"/>
      <c r="H577" s="7"/>
      <c r="I577" s="7"/>
      <c r="J577" s="7"/>
      <c r="K577" s="7"/>
      <c r="L577" s="7"/>
      <c r="M577" s="7"/>
      <c r="N577" s="7"/>
    </row>
    <row r="578" spans="1:14" ht="19.5" customHeight="1" x14ac:dyDescent="0.25">
      <c r="A578" s="7"/>
      <c r="B578" s="7"/>
      <c r="C578" s="13"/>
      <c r="D578" s="13"/>
      <c r="E578" s="7"/>
      <c r="F578" s="7"/>
      <c r="G578" s="7"/>
      <c r="H578" s="7"/>
      <c r="I578" s="7"/>
      <c r="J578" s="7"/>
      <c r="K578" s="7"/>
      <c r="L578" s="7"/>
      <c r="M578" s="7"/>
      <c r="N578" s="7"/>
    </row>
    <row r="579" spans="1:14" ht="19.5" customHeight="1" x14ac:dyDescent="0.25">
      <c r="A579" s="7"/>
      <c r="B579" s="7"/>
      <c r="C579" s="13"/>
      <c r="D579" s="13"/>
      <c r="E579" s="7"/>
      <c r="F579" s="7"/>
      <c r="G579" s="7"/>
      <c r="H579" s="7"/>
      <c r="I579" s="7"/>
      <c r="J579" s="7"/>
      <c r="K579" s="7"/>
      <c r="L579" s="7"/>
      <c r="M579" s="7"/>
      <c r="N579" s="7"/>
    </row>
    <row r="580" spans="1:14" ht="19.5" customHeight="1" x14ac:dyDescent="0.25">
      <c r="A580" s="7"/>
      <c r="B580" s="7"/>
      <c r="C580" s="13"/>
      <c r="D580" s="13"/>
      <c r="E580" s="7"/>
      <c r="F580" s="7"/>
      <c r="G580" s="7"/>
      <c r="H580" s="7"/>
      <c r="I580" s="7"/>
      <c r="J580" s="7"/>
      <c r="K580" s="7"/>
      <c r="L580" s="7"/>
      <c r="M580" s="7"/>
      <c r="N580" s="7"/>
    </row>
    <row r="581" spans="1:14" ht="19.5" customHeight="1" x14ac:dyDescent="0.25">
      <c r="A581" s="7"/>
      <c r="B581" s="7"/>
      <c r="C581" s="13"/>
      <c r="D581" s="13"/>
      <c r="E581" s="7"/>
      <c r="F581" s="7"/>
      <c r="G581" s="7"/>
      <c r="H581" s="7"/>
      <c r="I581" s="7"/>
      <c r="J581" s="7"/>
      <c r="K581" s="7"/>
      <c r="L581" s="7"/>
      <c r="M581" s="7"/>
      <c r="N581" s="7"/>
    </row>
    <row r="582" spans="1:14" ht="19.5" customHeight="1" x14ac:dyDescent="0.25">
      <c r="A582" s="7"/>
      <c r="B582" s="7"/>
      <c r="C582" s="13"/>
      <c r="D582" s="13"/>
      <c r="E582" s="7"/>
      <c r="F582" s="7"/>
      <c r="G582" s="7"/>
      <c r="H582" s="7"/>
      <c r="I582" s="7"/>
      <c r="J582" s="7"/>
      <c r="K582" s="7"/>
      <c r="L582" s="7"/>
      <c r="M582" s="7"/>
      <c r="N582" s="7"/>
    </row>
    <row r="583" spans="1:14" ht="19.5" customHeight="1" x14ac:dyDescent="0.25">
      <c r="A583" s="7"/>
      <c r="B583" s="7"/>
      <c r="C583" s="13"/>
      <c r="D583" s="13"/>
      <c r="E583" s="7"/>
      <c r="F583" s="7"/>
      <c r="G583" s="7"/>
      <c r="H583" s="7"/>
      <c r="I583" s="7"/>
      <c r="J583" s="7"/>
      <c r="K583" s="7"/>
      <c r="L583" s="7"/>
      <c r="M583" s="7"/>
      <c r="N583" s="7"/>
    </row>
    <row r="584" spans="1:14" ht="19.5" customHeight="1" x14ac:dyDescent="0.25">
      <c r="A584" s="7"/>
      <c r="B584" s="7"/>
      <c r="C584" s="13"/>
      <c r="D584" s="13"/>
      <c r="E584" s="7"/>
      <c r="F584" s="7"/>
      <c r="G584" s="7"/>
      <c r="H584" s="7"/>
      <c r="I584" s="7"/>
      <c r="J584" s="7"/>
      <c r="K584" s="7"/>
      <c r="L584" s="7"/>
      <c r="M584" s="7"/>
      <c r="N584" s="7"/>
    </row>
    <row r="585" spans="1:14" ht="19.5" customHeight="1" x14ac:dyDescent="0.25">
      <c r="A585" s="7"/>
      <c r="B585" s="7"/>
      <c r="C585" s="13"/>
      <c r="D585" s="13"/>
      <c r="E585" s="7"/>
      <c r="F585" s="7"/>
      <c r="G585" s="7"/>
      <c r="H585" s="7"/>
      <c r="I585" s="7"/>
      <c r="J585" s="7"/>
      <c r="K585" s="7"/>
      <c r="L585" s="7"/>
      <c r="M585" s="7"/>
      <c r="N585" s="7"/>
    </row>
    <row r="586" spans="1:14" ht="19.5" customHeight="1" x14ac:dyDescent="0.25">
      <c r="A586" s="7"/>
      <c r="B586" s="7"/>
      <c r="C586" s="13"/>
      <c r="D586" s="13"/>
      <c r="E586" s="7"/>
      <c r="F586" s="7"/>
      <c r="G586" s="7"/>
      <c r="H586" s="7"/>
      <c r="I586" s="7"/>
      <c r="J586" s="7"/>
      <c r="K586" s="7"/>
      <c r="L586" s="7"/>
      <c r="M586" s="7"/>
      <c r="N586" s="7"/>
    </row>
    <row r="587" spans="1:14" ht="19.5" customHeight="1" x14ac:dyDescent="0.25">
      <c r="A587" s="7"/>
      <c r="B587" s="7"/>
      <c r="C587" s="13"/>
      <c r="D587" s="13"/>
      <c r="E587" s="7"/>
      <c r="F587" s="7"/>
      <c r="G587" s="7"/>
      <c r="H587" s="7"/>
      <c r="I587" s="7"/>
      <c r="J587" s="7"/>
      <c r="K587" s="7"/>
      <c r="L587" s="7"/>
      <c r="M587" s="7"/>
      <c r="N587" s="7"/>
    </row>
    <row r="588" spans="1:14" ht="19.5" customHeight="1" x14ac:dyDescent="0.25">
      <c r="A588" s="7"/>
      <c r="B588" s="7"/>
      <c r="C588" s="13"/>
      <c r="D588" s="13"/>
      <c r="E588" s="7"/>
      <c r="F588" s="7"/>
      <c r="G588" s="7"/>
      <c r="H588" s="7"/>
      <c r="I588" s="7"/>
      <c r="J588" s="7"/>
      <c r="K588" s="7"/>
      <c r="L588" s="7"/>
      <c r="M588" s="7"/>
      <c r="N588" s="7"/>
    </row>
    <row r="589" spans="1:14" ht="19.5" customHeight="1" x14ac:dyDescent="0.25">
      <c r="A589" s="7"/>
      <c r="B589" s="7"/>
      <c r="C589" s="13"/>
      <c r="D589" s="13"/>
      <c r="E589" s="7"/>
      <c r="F589" s="7"/>
      <c r="G589" s="7"/>
      <c r="H589" s="7"/>
      <c r="I589" s="7"/>
      <c r="J589" s="7"/>
      <c r="K589" s="7"/>
      <c r="L589" s="7"/>
      <c r="M589" s="7"/>
      <c r="N589" s="7"/>
    </row>
    <row r="590" spans="1:14" ht="19.5" customHeight="1" x14ac:dyDescent="0.25">
      <c r="A590" s="7"/>
      <c r="B590" s="7"/>
      <c r="C590" s="13"/>
      <c r="D590" s="13"/>
      <c r="E590" s="7"/>
      <c r="F590" s="7"/>
      <c r="G590" s="7"/>
      <c r="H590" s="7"/>
      <c r="I590" s="7"/>
      <c r="J590" s="7"/>
      <c r="K590" s="7"/>
      <c r="L590" s="7"/>
      <c r="M590" s="7"/>
      <c r="N590" s="7"/>
    </row>
    <row r="591" spans="1:14" ht="19.5" customHeight="1" x14ac:dyDescent="0.25">
      <c r="A591" s="7"/>
      <c r="B591" s="7"/>
      <c r="C591" s="13"/>
      <c r="D591" s="13"/>
      <c r="E591" s="7"/>
      <c r="F591" s="7"/>
      <c r="G591" s="7"/>
      <c r="H591" s="7"/>
      <c r="I591" s="7"/>
      <c r="J591" s="7"/>
      <c r="K591" s="7"/>
      <c r="L591" s="7"/>
      <c r="M591" s="7"/>
      <c r="N591" s="7"/>
    </row>
    <row r="592" spans="1:14" ht="19.5" customHeight="1" x14ac:dyDescent="0.25">
      <c r="A592" s="7"/>
      <c r="B592" s="7"/>
      <c r="C592" s="13"/>
      <c r="D592" s="13"/>
      <c r="E592" s="7"/>
      <c r="F592" s="7"/>
      <c r="G592" s="7"/>
      <c r="H592" s="7"/>
      <c r="I592" s="7"/>
      <c r="J592" s="7"/>
      <c r="K592" s="7"/>
      <c r="L592" s="7"/>
      <c r="M592" s="7"/>
      <c r="N592" s="7"/>
    </row>
    <row r="593" spans="1:14" ht="19.5" customHeight="1" x14ac:dyDescent="0.25">
      <c r="A593" s="7"/>
      <c r="B593" s="7"/>
      <c r="C593" s="13"/>
      <c r="D593" s="13"/>
      <c r="E593" s="7"/>
      <c r="F593" s="7"/>
      <c r="G593" s="7"/>
      <c r="H593" s="7"/>
      <c r="I593" s="7"/>
      <c r="J593" s="7"/>
      <c r="K593" s="7"/>
      <c r="L593" s="7"/>
      <c r="M593" s="7"/>
      <c r="N593" s="7"/>
    </row>
    <row r="594" spans="1:14" ht="19.5" customHeight="1" x14ac:dyDescent="0.25">
      <c r="A594" s="7"/>
      <c r="B594" s="7"/>
      <c r="C594" s="13"/>
      <c r="D594" s="13"/>
      <c r="E594" s="7"/>
      <c r="F594" s="7"/>
      <c r="G594" s="7"/>
      <c r="H594" s="7"/>
      <c r="I594" s="7"/>
      <c r="J594" s="7"/>
      <c r="K594" s="7"/>
      <c r="L594" s="7"/>
      <c r="M594" s="7"/>
      <c r="N594" s="7"/>
    </row>
    <row r="595" spans="1:14" ht="19.5" customHeight="1" x14ac:dyDescent="0.25">
      <c r="A595" s="7"/>
      <c r="B595" s="7"/>
      <c r="C595" s="13"/>
      <c r="D595" s="13"/>
      <c r="E595" s="7"/>
      <c r="F595" s="7"/>
      <c r="G595" s="7"/>
      <c r="H595" s="7"/>
      <c r="I595" s="7"/>
      <c r="J595" s="7"/>
      <c r="K595" s="7"/>
      <c r="L595" s="7"/>
      <c r="M595" s="7"/>
      <c r="N595" s="7"/>
    </row>
    <row r="596" spans="1:14" ht="19.5" customHeight="1" x14ac:dyDescent="0.25">
      <c r="A596" s="7"/>
      <c r="B596" s="7"/>
      <c r="C596" s="13"/>
      <c r="D596" s="13"/>
      <c r="E596" s="7"/>
      <c r="F596" s="7"/>
      <c r="G596" s="7"/>
      <c r="H596" s="7"/>
      <c r="I596" s="7"/>
      <c r="J596" s="7"/>
      <c r="K596" s="7"/>
      <c r="L596" s="7"/>
      <c r="M596" s="7"/>
      <c r="N596" s="7"/>
    </row>
    <row r="597" spans="1:14" ht="19.5" customHeight="1" x14ac:dyDescent="0.25">
      <c r="A597" s="7"/>
      <c r="B597" s="7"/>
      <c r="C597" s="13"/>
      <c r="D597" s="13"/>
      <c r="E597" s="7"/>
      <c r="F597" s="7"/>
      <c r="G597" s="7"/>
      <c r="H597" s="7"/>
      <c r="I597" s="7"/>
      <c r="J597" s="7"/>
      <c r="K597" s="7"/>
      <c r="L597" s="7"/>
      <c r="M597" s="7"/>
      <c r="N597" s="7"/>
    </row>
    <row r="598" spans="1:14" ht="19.5" customHeight="1" x14ac:dyDescent="0.25">
      <c r="A598" s="7"/>
      <c r="B598" s="7"/>
      <c r="C598" s="13"/>
      <c r="D598" s="13"/>
      <c r="E598" s="7"/>
      <c r="F598" s="7"/>
      <c r="G598" s="7"/>
      <c r="H598" s="7"/>
      <c r="I598" s="7"/>
      <c r="J598" s="7"/>
      <c r="K598" s="7"/>
      <c r="L598" s="7"/>
      <c r="M598" s="7"/>
      <c r="N598" s="7"/>
    </row>
    <row r="599" spans="1:14" ht="19.5" customHeight="1" x14ac:dyDescent="0.25">
      <c r="A599" s="7"/>
      <c r="B599" s="7"/>
      <c r="C599" s="13"/>
      <c r="D599" s="13"/>
      <c r="E599" s="7"/>
      <c r="F599" s="7"/>
      <c r="G599" s="7"/>
      <c r="H599" s="7"/>
      <c r="I599" s="7"/>
      <c r="J599" s="7"/>
      <c r="K599" s="7"/>
      <c r="L599" s="7"/>
      <c r="M599" s="7"/>
      <c r="N599" s="7"/>
    </row>
    <row r="600" spans="1:14" ht="19.5" customHeight="1" x14ac:dyDescent="0.25">
      <c r="A600" s="7"/>
      <c r="B600" s="7"/>
      <c r="C600" s="13"/>
      <c r="D600" s="13"/>
      <c r="E600" s="7"/>
      <c r="F600" s="7"/>
      <c r="G600" s="7"/>
      <c r="H600" s="7"/>
      <c r="I600" s="7"/>
      <c r="J600" s="7"/>
      <c r="K600" s="7"/>
      <c r="L600" s="7"/>
      <c r="M600" s="7"/>
      <c r="N600" s="7"/>
    </row>
    <row r="601" spans="1:14" ht="19.5" customHeight="1" x14ac:dyDescent="0.25">
      <c r="A601" s="7"/>
      <c r="B601" s="7"/>
      <c r="C601" s="13"/>
      <c r="D601" s="13"/>
      <c r="E601" s="7"/>
      <c r="F601" s="7"/>
      <c r="G601" s="7"/>
      <c r="H601" s="7"/>
      <c r="I601" s="7"/>
      <c r="J601" s="7"/>
      <c r="K601" s="7"/>
      <c r="L601" s="7"/>
      <c r="M601" s="7"/>
      <c r="N601" s="7"/>
    </row>
    <row r="602" spans="1:14" ht="19.5" customHeight="1" x14ac:dyDescent="0.25">
      <c r="A602" s="7"/>
      <c r="B602" s="7"/>
      <c r="C602" s="13"/>
      <c r="D602" s="13"/>
      <c r="E602" s="7"/>
      <c r="F602" s="7"/>
      <c r="G602" s="7"/>
      <c r="H602" s="7"/>
      <c r="I602" s="7"/>
      <c r="J602" s="7"/>
      <c r="K602" s="7"/>
      <c r="L602" s="7"/>
      <c r="M602" s="7"/>
      <c r="N602" s="7"/>
    </row>
    <row r="603" spans="1:14" ht="19.5" customHeight="1" x14ac:dyDescent="0.25">
      <c r="A603" s="7"/>
      <c r="B603" s="7"/>
      <c r="C603" s="13"/>
      <c r="D603" s="13"/>
      <c r="E603" s="7"/>
      <c r="F603" s="7"/>
      <c r="G603" s="7"/>
      <c r="H603" s="7"/>
      <c r="I603" s="7"/>
      <c r="J603" s="7"/>
      <c r="K603" s="7"/>
      <c r="L603" s="7"/>
      <c r="M603" s="7"/>
      <c r="N603" s="7"/>
    </row>
    <row r="604" spans="1:14" ht="19.5" customHeight="1" x14ac:dyDescent="0.25">
      <c r="A604" s="7"/>
      <c r="B604" s="7"/>
      <c r="C604" s="13"/>
      <c r="D604" s="13"/>
      <c r="E604" s="7"/>
      <c r="F604" s="7"/>
      <c r="G604" s="7"/>
      <c r="H604" s="7"/>
      <c r="I604" s="7"/>
      <c r="J604" s="7"/>
      <c r="K604" s="7"/>
      <c r="L604" s="7"/>
      <c r="M604" s="7"/>
      <c r="N604" s="7"/>
    </row>
    <row r="605" spans="1:14" ht="19.5" customHeight="1" x14ac:dyDescent="0.25">
      <c r="A605" s="7"/>
      <c r="B605" s="7"/>
      <c r="C605" s="13"/>
      <c r="D605" s="13"/>
      <c r="E605" s="7"/>
      <c r="F605" s="7"/>
      <c r="G605" s="7"/>
      <c r="H605" s="7"/>
      <c r="I605" s="7"/>
      <c r="J605" s="7"/>
      <c r="K605" s="7"/>
      <c r="L605" s="7"/>
      <c r="M605" s="7"/>
      <c r="N605" s="7"/>
    </row>
    <row r="606" spans="1:14" ht="19.5" customHeight="1" x14ac:dyDescent="0.25">
      <c r="A606" s="7"/>
      <c r="B606" s="7"/>
      <c r="C606" s="13"/>
      <c r="D606" s="13"/>
      <c r="E606" s="7"/>
      <c r="F606" s="7"/>
      <c r="G606" s="7"/>
      <c r="H606" s="7"/>
      <c r="I606" s="7"/>
      <c r="J606" s="7"/>
      <c r="K606" s="7"/>
      <c r="L606" s="7"/>
      <c r="M606" s="7"/>
      <c r="N606" s="7"/>
    </row>
    <row r="607" spans="1:14" ht="19.5" customHeight="1" x14ac:dyDescent="0.25">
      <c r="A607" s="7"/>
      <c r="B607" s="7"/>
      <c r="C607" s="13"/>
      <c r="D607" s="13"/>
      <c r="E607" s="7"/>
      <c r="F607" s="7"/>
      <c r="G607" s="7"/>
      <c r="H607" s="7"/>
      <c r="I607" s="7"/>
      <c r="J607" s="7"/>
      <c r="K607" s="7"/>
      <c r="L607" s="7"/>
      <c r="M607" s="7"/>
      <c r="N607" s="7"/>
    </row>
    <row r="608" spans="1:14" ht="19.5" customHeight="1" x14ac:dyDescent="0.25">
      <c r="A608" s="7"/>
      <c r="B608" s="7"/>
      <c r="C608" s="13"/>
      <c r="D608" s="13"/>
      <c r="E608" s="7"/>
      <c r="F608" s="7"/>
      <c r="G608" s="7"/>
      <c r="H608" s="7"/>
      <c r="I608" s="7"/>
      <c r="J608" s="7"/>
      <c r="K608" s="7"/>
      <c r="L608" s="7"/>
      <c r="M608" s="7"/>
      <c r="N608" s="7"/>
    </row>
    <row r="609" spans="1:14" ht="19.5" customHeight="1" x14ac:dyDescent="0.25">
      <c r="A609" s="7"/>
      <c r="B609" s="7"/>
      <c r="C609" s="13"/>
      <c r="D609" s="13"/>
      <c r="E609" s="7"/>
      <c r="F609" s="7"/>
      <c r="G609" s="7"/>
      <c r="H609" s="7"/>
      <c r="I609" s="7"/>
      <c r="J609" s="7"/>
      <c r="K609" s="7"/>
      <c r="L609" s="7"/>
      <c r="M609" s="7"/>
      <c r="N609" s="7"/>
    </row>
    <row r="610" spans="1:14" ht="19.5" customHeight="1" x14ac:dyDescent="0.25">
      <c r="A610" s="7"/>
      <c r="B610" s="7"/>
      <c r="C610" s="13"/>
      <c r="D610" s="13"/>
      <c r="E610" s="7"/>
      <c r="F610" s="7"/>
      <c r="G610" s="7"/>
      <c r="H610" s="7"/>
      <c r="I610" s="7"/>
      <c r="J610" s="7"/>
      <c r="K610" s="7"/>
      <c r="L610" s="7"/>
      <c r="M610" s="7"/>
      <c r="N610" s="7"/>
    </row>
    <row r="611" spans="1:14" ht="19.5" customHeight="1" x14ac:dyDescent="0.25">
      <c r="A611" s="7"/>
      <c r="B611" s="7"/>
      <c r="C611" s="13"/>
      <c r="D611" s="13"/>
      <c r="E611" s="7"/>
      <c r="F611" s="7"/>
      <c r="G611" s="7"/>
      <c r="H611" s="7"/>
      <c r="I611" s="7"/>
      <c r="J611" s="7"/>
      <c r="K611" s="7"/>
      <c r="L611" s="7"/>
      <c r="M611" s="7"/>
      <c r="N611" s="7"/>
    </row>
    <row r="612" spans="1:14" ht="19.5" customHeight="1" x14ac:dyDescent="0.25">
      <c r="A612" s="7"/>
      <c r="B612" s="7"/>
      <c r="C612" s="13"/>
      <c r="D612" s="13"/>
      <c r="E612" s="7"/>
      <c r="F612" s="7"/>
      <c r="G612" s="7"/>
      <c r="H612" s="7"/>
      <c r="I612" s="7"/>
      <c r="J612" s="7"/>
      <c r="K612" s="7"/>
      <c r="L612" s="7"/>
      <c r="M612" s="7"/>
      <c r="N612" s="7"/>
    </row>
    <row r="613" spans="1:14" ht="19.5" customHeight="1" x14ac:dyDescent="0.25">
      <c r="A613" s="7"/>
      <c r="B613" s="7"/>
      <c r="C613" s="13"/>
      <c r="D613" s="13"/>
      <c r="E613" s="7"/>
      <c r="F613" s="7"/>
      <c r="G613" s="7"/>
      <c r="H613" s="7"/>
      <c r="I613" s="7"/>
      <c r="J613" s="7"/>
      <c r="K613" s="7"/>
      <c r="L613" s="7"/>
      <c r="M613" s="7"/>
      <c r="N613" s="7"/>
    </row>
    <row r="614" spans="1:14" ht="19.5" customHeight="1" x14ac:dyDescent="0.25">
      <c r="A614" s="7"/>
      <c r="B614" s="7"/>
      <c r="C614" s="13"/>
      <c r="D614" s="13"/>
      <c r="E614" s="7"/>
      <c r="F614" s="7"/>
      <c r="G614" s="7"/>
      <c r="H614" s="7"/>
      <c r="I614" s="7"/>
      <c r="J614" s="7"/>
      <c r="K614" s="7"/>
      <c r="L614" s="7"/>
      <c r="M614" s="7"/>
      <c r="N614" s="7"/>
    </row>
    <row r="615" spans="1:14" ht="19.5" customHeight="1" x14ac:dyDescent="0.25">
      <c r="A615" s="7"/>
      <c r="B615" s="7"/>
      <c r="C615" s="13"/>
      <c r="D615" s="13"/>
      <c r="E615" s="7"/>
      <c r="F615" s="7"/>
      <c r="G615" s="7"/>
      <c r="H615" s="7"/>
      <c r="I615" s="7"/>
      <c r="J615" s="7"/>
      <c r="K615" s="7"/>
      <c r="L615" s="7"/>
      <c r="M615" s="7"/>
      <c r="N615" s="7"/>
    </row>
    <row r="616" spans="1:14" ht="19.5" customHeight="1" x14ac:dyDescent="0.25">
      <c r="A616" s="7"/>
      <c r="B616" s="7"/>
      <c r="C616" s="13"/>
      <c r="D616" s="13"/>
      <c r="E616" s="7"/>
      <c r="F616" s="7"/>
      <c r="G616" s="7"/>
      <c r="H616" s="7"/>
      <c r="I616" s="7"/>
      <c r="J616" s="7"/>
      <c r="K616" s="7"/>
      <c r="L616" s="7"/>
      <c r="M616" s="7"/>
      <c r="N616" s="7"/>
    </row>
    <row r="617" spans="1:14" ht="19.5" customHeight="1" x14ac:dyDescent="0.25">
      <c r="A617" s="7"/>
      <c r="B617" s="7"/>
      <c r="C617" s="13"/>
      <c r="D617" s="13"/>
      <c r="E617" s="7"/>
      <c r="F617" s="7"/>
      <c r="G617" s="7"/>
      <c r="H617" s="7"/>
      <c r="I617" s="7"/>
      <c r="J617" s="7"/>
      <c r="K617" s="7"/>
      <c r="L617" s="7"/>
      <c r="M617" s="7"/>
      <c r="N617" s="7"/>
    </row>
    <row r="618" spans="1:14" ht="19.5" customHeight="1" x14ac:dyDescent="0.25">
      <c r="A618" s="7"/>
      <c r="B618" s="7"/>
      <c r="C618" s="13"/>
      <c r="D618" s="13"/>
      <c r="E618" s="7"/>
      <c r="F618" s="7"/>
      <c r="G618" s="7"/>
      <c r="H618" s="7"/>
      <c r="I618" s="7"/>
      <c r="J618" s="7"/>
      <c r="K618" s="7"/>
      <c r="L618" s="7"/>
      <c r="M618" s="7"/>
      <c r="N618" s="7"/>
    </row>
    <row r="619" spans="1:14" ht="19.5" customHeight="1" x14ac:dyDescent="0.25">
      <c r="A619" s="7"/>
      <c r="B619" s="7"/>
      <c r="C619" s="13"/>
      <c r="D619" s="13"/>
      <c r="E619" s="7"/>
      <c r="F619" s="7"/>
      <c r="G619" s="7"/>
      <c r="H619" s="7"/>
      <c r="I619" s="7"/>
      <c r="J619" s="7"/>
      <c r="K619" s="7"/>
      <c r="L619" s="7"/>
      <c r="M619" s="7"/>
      <c r="N619" s="7"/>
    </row>
    <row r="620" spans="1:14" ht="19.5" customHeight="1" x14ac:dyDescent="0.25">
      <c r="A620" s="7"/>
      <c r="B620" s="7"/>
      <c r="C620" s="13"/>
      <c r="D620" s="13"/>
      <c r="E620" s="7"/>
      <c r="F620" s="7"/>
      <c r="G620" s="7"/>
      <c r="H620" s="7"/>
      <c r="I620" s="7"/>
      <c r="J620" s="7"/>
      <c r="K620" s="7"/>
      <c r="L620" s="7"/>
      <c r="M620" s="7"/>
      <c r="N620" s="7"/>
    </row>
    <row r="621" spans="1:14" ht="19.5" customHeight="1" x14ac:dyDescent="0.25">
      <c r="A621" s="7"/>
      <c r="B621" s="7"/>
      <c r="C621" s="13"/>
      <c r="D621" s="13"/>
      <c r="E621" s="7"/>
      <c r="F621" s="7"/>
      <c r="G621" s="7"/>
      <c r="H621" s="7"/>
      <c r="I621" s="7"/>
      <c r="J621" s="7"/>
      <c r="K621" s="7"/>
      <c r="L621" s="7"/>
      <c r="M621" s="7"/>
      <c r="N621" s="7"/>
    </row>
    <row r="622" spans="1:14" ht="19.5" customHeight="1" x14ac:dyDescent="0.25">
      <c r="A622" s="7"/>
      <c r="B622" s="7"/>
      <c r="C622" s="13"/>
      <c r="D622" s="13"/>
      <c r="E622" s="7"/>
      <c r="F622" s="7"/>
      <c r="G622" s="7"/>
      <c r="H622" s="7"/>
      <c r="I622" s="7"/>
      <c r="J622" s="7"/>
      <c r="K622" s="7"/>
      <c r="L622" s="7"/>
      <c r="M622" s="7"/>
      <c r="N622" s="7"/>
    </row>
    <row r="623" spans="1:14" ht="19.5" customHeight="1" x14ac:dyDescent="0.25">
      <c r="A623" s="7"/>
      <c r="B623" s="7"/>
      <c r="C623" s="13"/>
      <c r="D623" s="13"/>
      <c r="E623" s="7"/>
      <c r="F623" s="7"/>
      <c r="G623" s="7"/>
      <c r="H623" s="7"/>
      <c r="I623" s="7"/>
      <c r="J623" s="7"/>
      <c r="K623" s="7"/>
      <c r="L623" s="7"/>
      <c r="M623" s="7"/>
      <c r="N623" s="7"/>
    </row>
    <row r="624" spans="1:14" ht="19.5" customHeight="1" x14ac:dyDescent="0.25">
      <c r="A624" s="7"/>
      <c r="B624" s="7"/>
      <c r="C624" s="13"/>
      <c r="D624" s="13"/>
      <c r="E624" s="7"/>
      <c r="F624" s="7"/>
      <c r="G624" s="7"/>
      <c r="H624" s="7"/>
      <c r="I624" s="7"/>
      <c r="J624" s="7"/>
      <c r="K624" s="7"/>
      <c r="L624" s="7"/>
      <c r="M624" s="7"/>
      <c r="N624" s="7"/>
    </row>
    <row r="625" spans="1:14" ht="19.5" customHeight="1" x14ac:dyDescent="0.25">
      <c r="A625" s="7"/>
      <c r="B625" s="7"/>
      <c r="C625" s="13"/>
      <c r="D625" s="13"/>
      <c r="E625" s="7"/>
      <c r="F625" s="7"/>
      <c r="G625" s="7"/>
      <c r="H625" s="7"/>
      <c r="I625" s="7"/>
      <c r="J625" s="7"/>
      <c r="K625" s="7"/>
      <c r="L625" s="7"/>
      <c r="M625" s="7"/>
      <c r="N625" s="7"/>
    </row>
    <row r="626" spans="1:14" ht="19.5" customHeight="1" x14ac:dyDescent="0.25">
      <c r="A626" s="7"/>
      <c r="B626" s="7"/>
      <c r="C626" s="13"/>
      <c r="D626" s="13"/>
      <c r="E626" s="7"/>
      <c r="F626" s="7"/>
      <c r="G626" s="7"/>
      <c r="H626" s="7"/>
      <c r="I626" s="7"/>
      <c r="J626" s="7"/>
      <c r="K626" s="7"/>
      <c r="L626" s="7"/>
      <c r="M626" s="7"/>
      <c r="N626" s="7"/>
    </row>
    <row r="627" spans="1:14" ht="19.5" customHeight="1" x14ac:dyDescent="0.25">
      <c r="A627" s="7"/>
      <c r="B627" s="7"/>
      <c r="C627" s="13"/>
      <c r="D627" s="13"/>
      <c r="E627" s="7"/>
      <c r="F627" s="7"/>
      <c r="G627" s="7"/>
      <c r="H627" s="7"/>
      <c r="I627" s="7"/>
      <c r="J627" s="7"/>
      <c r="K627" s="7"/>
      <c r="L627" s="7"/>
      <c r="M627" s="7"/>
      <c r="N627" s="7"/>
    </row>
    <row r="628" spans="1:14" ht="19.5" customHeight="1" x14ac:dyDescent="0.25">
      <c r="A628" s="7"/>
      <c r="B628" s="7"/>
      <c r="C628" s="13"/>
      <c r="D628" s="13"/>
      <c r="E628" s="7"/>
      <c r="F628" s="7"/>
      <c r="G628" s="7"/>
      <c r="H628" s="7"/>
      <c r="I628" s="7"/>
      <c r="J628" s="7"/>
      <c r="K628" s="7"/>
      <c r="L628" s="7"/>
      <c r="M628" s="7"/>
      <c r="N628" s="7"/>
    </row>
    <row r="629" spans="1:14" ht="19.5" customHeight="1" x14ac:dyDescent="0.25">
      <c r="A629" s="7"/>
      <c r="B629" s="7"/>
      <c r="C629" s="13"/>
      <c r="D629" s="13"/>
      <c r="E629" s="7"/>
      <c r="F629" s="7"/>
      <c r="G629" s="7"/>
      <c r="H629" s="7"/>
      <c r="I629" s="7"/>
      <c r="J629" s="7"/>
      <c r="K629" s="7"/>
      <c r="L629" s="7"/>
      <c r="M629" s="7"/>
      <c r="N629" s="7"/>
    </row>
    <row r="630" spans="1:14" ht="19.5" customHeight="1" x14ac:dyDescent="0.25">
      <c r="A630" s="7"/>
      <c r="B630" s="7"/>
      <c r="C630" s="13"/>
      <c r="D630" s="13"/>
      <c r="E630" s="7"/>
      <c r="F630" s="7"/>
      <c r="G630" s="7"/>
      <c r="H630" s="7"/>
      <c r="I630" s="7"/>
      <c r="J630" s="7"/>
      <c r="K630" s="7"/>
      <c r="L630" s="7"/>
      <c r="M630" s="7"/>
      <c r="N630" s="7"/>
    </row>
    <row r="631" spans="1:14" ht="19.5" customHeight="1" x14ac:dyDescent="0.25">
      <c r="A631" s="7"/>
      <c r="B631" s="7"/>
      <c r="C631" s="13"/>
      <c r="D631" s="13"/>
      <c r="E631" s="7"/>
      <c r="F631" s="7"/>
      <c r="G631" s="7"/>
      <c r="H631" s="7"/>
      <c r="I631" s="7"/>
      <c r="J631" s="7"/>
      <c r="K631" s="7"/>
      <c r="L631" s="7"/>
      <c r="M631" s="7"/>
      <c r="N631" s="7"/>
    </row>
    <row r="632" spans="1:14" ht="19.5" customHeight="1" x14ac:dyDescent="0.25">
      <c r="A632" s="7"/>
      <c r="B632" s="7"/>
      <c r="C632" s="13"/>
      <c r="D632" s="13"/>
      <c r="E632" s="7"/>
      <c r="F632" s="7"/>
      <c r="G632" s="7"/>
      <c r="H632" s="7"/>
      <c r="I632" s="7"/>
      <c r="J632" s="7"/>
      <c r="K632" s="7"/>
      <c r="L632" s="7"/>
      <c r="M632" s="7"/>
      <c r="N632" s="7"/>
    </row>
    <row r="633" spans="1:14" ht="19.5" customHeight="1" x14ac:dyDescent="0.25">
      <c r="A633" s="7"/>
      <c r="B633" s="7"/>
      <c r="C633" s="13"/>
      <c r="D633" s="13"/>
      <c r="E633" s="7"/>
      <c r="F633" s="7"/>
      <c r="G633" s="7"/>
      <c r="H633" s="7"/>
      <c r="I633" s="7"/>
      <c r="J633" s="7"/>
      <c r="K633" s="7"/>
      <c r="L633" s="7"/>
      <c r="M633" s="7"/>
      <c r="N633" s="7"/>
    </row>
    <row r="634" spans="1:14" ht="19.5" customHeight="1" x14ac:dyDescent="0.25">
      <c r="A634" s="7"/>
      <c r="B634" s="7"/>
      <c r="C634" s="13"/>
      <c r="D634" s="13"/>
      <c r="E634" s="7"/>
      <c r="F634" s="7"/>
      <c r="G634" s="7"/>
      <c r="H634" s="7"/>
      <c r="I634" s="7"/>
      <c r="J634" s="7"/>
      <c r="K634" s="7"/>
      <c r="L634" s="7"/>
      <c r="M634" s="7"/>
      <c r="N634" s="7"/>
    </row>
    <row r="635" spans="1:14" ht="19.5" customHeight="1" x14ac:dyDescent="0.25">
      <c r="A635" s="7"/>
      <c r="B635" s="7"/>
      <c r="C635" s="13"/>
      <c r="D635" s="13"/>
      <c r="E635" s="7"/>
      <c r="F635" s="7"/>
      <c r="G635" s="7"/>
      <c r="H635" s="7"/>
      <c r="I635" s="7"/>
      <c r="J635" s="7"/>
      <c r="K635" s="7"/>
      <c r="L635" s="7"/>
      <c r="M635" s="7"/>
      <c r="N635" s="7"/>
    </row>
    <row r="636" spans="1:14" ht="19.5" customHeight="1" x14ac:dyDescent="0.25">
      <c r="A636" s="7"/>
      <c r="B636" s="7"/>
      <c r="C636" s="13"/>
      <c r="D636" s="13"/>
      <c r="E636" s="7"/>
      <c r="F636" s="7"/>
      <c r="G636" s="7"/>
      <c r="H636" s="7"/>
      <c r="I636" s="7"/>
      <c r="J636" s="7"/>
      <c r="K636" s="7"/>
      <c r="L636" s="7"/>
      <c r="M636" s="7"/>
      <c r="N636" s="7"/>
    </row>
    <row r="637" spans="1:14" ht="19.5" customHeight="1" x14ac:dyDescent="0.25">
      <c r="A637" s="7"/>
      <c r="B637" s="7"/>
      <c r="C637" s="13"/>
      <c r="D637" s="13"/>
      <c r="E637" s="7"/>
      <c r="F637" s="7"/>
      <c r="G637" s="7"/>
      <c r="H637" s="7"/>
      <c r="I637" s="7"/>
      <c r="J637" s="7"/>
      <c r="K637" s="7"/>
      <c r="L637" s="7"/>
      <c r="M637" s="7"/>
      <c r="N637" s="7"/>
    </row>
    <row r="638" spans="1:14" ht="19.5" customHeight="1" x14ac:dyDescent="0.25">
      <c r="A638" s="7"/>
      <c r="B638" s="7"/>
      <c r="C638" s="13"/>
      <c r="D638" s="13"/>
      <c r="E638" s="7"/>
      <c r="F638" s="7"/>
      <c r="G638" s="7"/>
      <c r="H638" s="7"/>
      <c r="I638" s="7"/>
      <c r="J638" s="7"/>
      <c r="K638" s="7"/>
      <c r="L638" s="7"/>
      <c r="M638" s="7"/>
      <c r="N638" s="7"/>
    </row>
    <row r="639" spans="1:14" ht="19.5" customHeight="1" x14ac:dyDescent="0.25">
      <c r="A639" s="7"/>
      <c r="B639" s="7"/>
      <c r="C639" s="13"/>
      <c r="D639" s="13"/>
      <c r="E639" s="7"/>
      <c r="F639" s="7"/>
      <c r="G639" s="7"/>
      <c r="H639" s="7"/>
      <c r="I639" s="7"/>
      <c r="J639" s="7"/>
      <c r="K639" s="7"/>
      <c r="L639" s="7"/>
      <c r="M639" s="7"/>
      <c r="N639" s="7"/>
    </row>
    <row r="640" spans="1:14" ht="19.5" customHeight="1" x14ac:dyDescent="0.25">
      <c r="A640" s="7"/>
      <c r="B640" s="7"/>
      <c r="C640" s="13"/>
      <c r="D640" s="13"/>
      <c r="E640" s="7"/>
      <c r="F640" s="7"/>
      <c r="G640" s="7"/>
      <c r="H640" s="7"/>
      <c r="I640" s="7"/>
      <c r="J640" s="7"/>
      <c r="K640" s="7"/>
      <c r="L640" s="7"/>
      <c r="M640" s="7"/>
      <c r="N640" s="7"/>
    </row>
    <row r="641" spans="1:14" ht="19.5" customHeight="1" x14ac:dyDescent="0.25">
      <c r="A641" s="7"/>
      <c r="B641" s="7"/>
      <c r="C641" s="13"/>
      <c r="D641" s="13"/>
      <c r="E641" s="7"/>
      <c r="F641" s="7"/>
      <c r="G641" s="7"/>
      <c r="H641" s="7"/>
      <c r="I641" s="7"/>
      <c r="J641" s="7"/>
      <c r="K641" s="7"/>
      <c r="L641" s="7"/>
      <c r="M641" s="7"/>
      <c r="N641" s="7"/>
    </row>
    <row r="642" spans="1:14" ht="19.5" customHeight="1" x14ac:dyDescent="0.25">
      <c r="A642" s="7"/>
      <c r="B642" s="7"/>
      <c r="C642" s="13"/>
      <c r="D642" s="13"/>
      <c r="E642" s="7"/>
      <c r="F642" s="7"/>
      <c r="G642" s="7"/>
      <c r="H642" s="7"/>
      <c r="I642" s="7"/>
      <c r="J642" s="7"/>
      <c r="K642" s="7"/>
      <c r="L642" s="7"/>
      <c r="M642" s="7"/>
      <c r="N642" s="7"/>
    </row>
    <row r="643" spans="1:14" ht="19.5" customHeight="1" x14ac:dyDescent="0.25">
      <c r="A643" s="7"/>
      <c r="B643" s="7"/>
      <c r="C643" s="13"/>
      <c r="D643" s="13"/>
      <c r="E643" s="7"/>
      <c r="F643" s="7"/>
      <c r="G643" s="7"/>
      <c r="H643" s="7"/>
      <c r="I643" s="7"/>
      <c r="J643" s="7"/>
      <c r="K643" s="7"/>
      <c r="L643" s="7"/>
      <c r="M643" s="7"/>
      <c r="N643" s="7"/>
    </row>
    <row r="644" spans="1:14" ht="19.5" customHeight="1" x14ac:dyDescent="0.25">
      <c r="A644" s="7"/>
      <c r="B644" s="7"/>
      <c r="C644" s="13"/>
      <c r="D644" s="13"/>
      <c r="E644" s="7"/>
      <c r="F644" s="7"/>
      <c r="G644" s="7"/>
      <c r="H644" s="7"/>
      <c r="I644" s="7"/>
      <c r="J644" s="7"/>
      <c r="K644" s="7"/>
      <c r="L644" s="7"/>
      <c r="M644" s="7"/>
      <c r="N644" s="7"/>
    </row>
    <row r="645" spans="1:14" ht="19.5" customHeight="1" x14ac:dyDescent="0.25">
      <c r="A645" s="7"/>
      <c r="B645" s="7"/>
      <c r="C645" s="13"/>
      <c r="D645" s="13"/>
      <c r="E645" s="7"/>
      <c r="F645" s="7"/>
      <c r="G645" s="7"/>
      <c r="H645" s="7"/>
      <c r="I645" s="7"/>
      <c r="J645" s="7"/>
      <c r="K645" s="7"/>
      <c r="L645" s="7"/>
      <c r="M645" s="7"/>
      <c r="N645" s="7"/>
    </row>
    <row r="646" spans="1:14" ht="19.5" customHeight="1" x14ac:dyDescent="0.25">
      <c r="A646" s="7"/>
      <c r="B646" s="7"/>
      <c r="C646" s="13"/>
      <c r="D646" s="13"/>
      <c r="E646" s="7"/>
      <c r="F646" s="7"/>
      <c r="G646" s="7"/>
      <c r="H646" s="7"/>
      <c r="I646" s="7"/>
      <c r="J646" s="7"/>
      <c r="K646" s="7"/>
      <c r="L646" s="7"/>
      <c r="M646" s="7"/>
      <c r="N646" s="7"/>
    </row>
    <row r="647" spans="1:14" ht="19.5" customHeight="1" x14ac:dyDescent="0.25">
      <c r="A647" s="7"/>
      <c r="B647" s="7"/>
      <c r="C647" s="13"/>
      <c r="D647" s="13"/>
      <c r="E647" s="7"/>
      <c r="F647" s="7"/>
      <c r="G647" s="7"/>
      <c r="H647" s="7"/>
      <c r="I647" s="7"/>
      <c r="J647" s="7"/>
      <c r="K647" s="7"/>
      <c r="L647" s="7"/>
      <c r="M647" s="7"/>
      <c r="N647" s="7"/>
    </row>
    <row r="648" spans="1:14" ht="19.5" customHeight="1" x14ac:dyDescent="0.25">
      <c r="A648" s="7"/>
      <c r="B648" s="7"/>
      <c r="C648" s="13"/>
      <c r="D648" s="13"/>
      <c r="E648" s="7"/>
      <c r="F648" s="7"/>
      <c r="G648" s="7"/>
      <c r="H648" s="7"/>
      <c r="I648" s="7"/>
      <c r="J648" s="7"/>
      <c r="K648" s="7"/>
      <c r="L648" s="7"/>
      <c r="M648" s="7"/>
      <c r="N648" s="7"/>
    </row>
    <row r="649" spans="1:14" ht="19.5" customHeight="1" x14ac:dyDescent="0.25">
      <c r="A649" s="7"/>
      <c r="B649" s="7"/>
      <c r="C649" s="13"/>
      <c r="D649" s="13"/>
      <c r="E649" s="7"/>
      <c r="F649" s="7"/>
      <c r="G649" s="7"/>
      <c r="H649" s="7"/>
      <c r="I649" s="7"/>
      <c r="J649" s="7"/>
      <c r="K649" s="7"/>
      <c r="L649" s="7"/>
      <c r="M649" s="7"/>
      <c r="N649" s="7"/>
    </row>
    <row r="650" spans="1:14" ht="19.5" customHeight="1" x14ac:dyDescent="0.25">
      <c r="A650" s="7"/>
      <c r="B650" s="7"/>
      <c r="C650" s="13"/>
      <c r="D650" s="13"/>
      <c r="E650" s="7"/>
      <c r="F650" s="7"/>
      <c r="G650" s="7"/>
      <c r="H650" s="7"/>
      <c r="I650" s="7"/>
      <c r="J650" s="7"/>
      <c r="K650" s="7"/>
      <c r="L650" s="7"/>
      <c r="M650" s="7"/>
      <c r="N650" s="7"/>
    </row>
    <row r="651" spans="1:14" ht="19.5" customHeight="1" x14ac:dyDescent="0.25">
      <c r="A651" s="7"/>
      <c r="B651" s="7"/>
      <c r="C651" s="13"/>
      <c r="D651" s="13"/>
      <c r="E651" s="7"/>
      <c r="F651" s="7"/>
      <c r="G651" s="7"/>
      <c r="H651" s="7"/>
      <c r="I651" s="7"/>
      <c r="J651" s="7"/>
      <c r="K651" s="7"/>
      <c r="L651" s="7"/>
      <c r="M651" s="7"/>
      <c r="N651" s="7"/>
    </row>
    <row r="652" spans="1:14" ht="19.5" customHeight="1" x14ac:dyDescent="0.25">
      <c r="A652" s="7"/>
      <c r="B652" s="7"/>
      <c r="C652" s="13"/>
      <c r="D652" s="13"/>
      <c r="E652" s="7"/>
      <c r="F652" s="7"/>
      <c r="G652" s="7"/>
      <c r="H652" s="7"/>
      <c r="I652" s="7"/>
      <c r="J652" s="7"/>
      <c r="K652" s="7"/>
      <c r="L652" s="7"/>
      <c r="M652" s="7"/>
      <c r="N652" s="7"/>
    </row>
    <row r="653" spans="1:14" ht="19.5" customHeight="1" x14ac:dyDescent="0.25">
      <c r="A653" s="7"/>
      <c r="B653" s="7"/>
      <c r="C653" s="13"/>
      <c r="D653" s="13"/>
      <c r="E653" s="7"/>
      <c r="F653" s="7"/>
      <c r="G653" s="7"/>
      <c r="H653" s="7"/>
      <c r="I653" s="7"/>
      <c r="J653" s="7"/>
      <c r="K653" s="7"/>
      <c r="L653" s="7"/>
      <c r="M653" s="7"/>
      <c r="N653" s="7"/>
    </row>
    <row r="654" spans="1:14" ht="19.5" customHeight="1" x14ac:dyDescent="0.25">
      <c r="A654" s="7"/>
      <c r="B654" s="7"/>
      <c r="C654" s="13"/>
      <c r="D654" s="13"/>
      <c r="E654" s="7"/>
      <c r="F654" s="7"/>
      <c r="G654" s="7"/>
      <c r="H654" s="7"/>
      <c r="I654" s="7"/>
      <c r="J654" s="7"/>
      <c r="K654" s="7"/>
      <c r="L654" s="7"/>
      <c r="M654" s="7"/>
      <c r="N654" s="7"/>
    </row>
    <row r="655" spans="1:14" ht="19.5" customHeight="1" x14ac:dyDescent="0.25">
      <c r="A655" s="7"/>
      <c r="B655" s="7"/>
      <c r="C655" s="13"/>
      <c r="D655" s="13"/>
      <c r="E655" s="7"/>
      <c r="F655" s="7"/>
      <c r="G655" s="7"/>
      <c r="H655" s="7"/>
      <c r="I655" s="7"/>
      <c r="J655" s="7"/>
      <c r="K655" s="7"/>
      <c r="L655" s="7"/>
      <c r="M655" s="7"/>
      <c r="N655" s="7"/>
    </row>
    <row r="656" spans="1:14" ht="19.5" customHeight="1" x14ac:dyDescent="0.25">
      <c r="A656" s="7"/>
      <c r="B656" s="7"/>
      <c r="C656" s="13"/>
      <c r="D656" s="13"/>
      <c r="E656" s="7"/>
      <c r="F656" s="7"/>
      <c r="G656" s="7"/>
      <c r="H656" s="7"/>
      <c r="I656" s="7"/>
      <c r="J656" s="7"/>
      <c r="K656" s="7"/>
      <c r="L656" s="7"/>
      <c r="M656" s="7"/>
      <c r="N656" s="7"/>
    </row>
    <row r="657" spans="1:14" ht="19.5" customHeight="1" x14ac:dyDescent="0.25">
      <c r="A657" s="7"/>
      <c r="B657" s="7"/>
      <c r="C657" s="13"/>
      <c r="D657" s="13"/>
      <c r="E657" s="7"/>
      <c r="F657" s="7"/>
      <c r="G657" s="7"/>
      <c r="H657" s="7"/>
      <c r="I657" s="7"/>
      <c r="J657" s="7"/>
      <c r="K657" s="7"/>
      <c r="L657" s="7"/>
      <c r="M657" s="7"/>
      <c r="N657" s="7"/>
    </row>
    <row r="658" spans="1:14" ht="19.5" customHeight="1" x14ac:dyDescent="0.25">
      <c r="A658" s="7"/>
      <c r="B658" s="7"/>
      <c r="C658" s="13"/>
      <c r="D658" s="13"/>
      <c r="E658" s="7"/>
      <c r="F658" s="7"/>
      <c r="G658" s="7"/>
      <c r="H658" s="7"/>
      <c r="I658" s="7"/>
      <c r="J658" s="7"/>
      <c r="K658" s="7"/>
      <c r="L658" s="7"/>
      <c r="M658" s="7"/>
      <c r="N658" s="7"/>
    </row>
    <row r="659" spans="1:14" ht="19.5" customHeight="1" x14ac:dyDescent="0.25">
      <c r="A659" s="7"/>
      <c r="B659" s="7"/>
      <c r="C659" s="13"/>
      <c r="D659" s="13"/>
      <c r="E659" s="7"/>
      <c r="F659" s="7"/>
      <c r="G659" s="7"/>
      <c r="H659" s="7"/>
      <c r="I659" s="7"/>
      <c r="J659" s="7"/>
      <c r="K659" s="7"/>
      <c r="L659" s="7"/>
      <c r="M659" s="7"/>
      <c r="N659" s="7"/>
    </row>
    <row r="660" spans="1:14" ht="19.5" customHeight="1" x14ac:dyDescent="0.25">
      <c r="A660" s="7"/>
      <c r="B660" s="7"/>
      <c r="C660" s="13"/>
      <c r="D660" s="13"/>
      <c r="E660" s="7"/>
      <c r="F660" s="7"/>
      <c r="G660" s="7"/>
      <c r="H660" s="7"/>
      <c r="I660" s="7"/>
      <c r="J660" s="7"/>
      <c r="K660" s="7"/>
      <c r="L660" s="7"/>
      <c r="M660" s="7"/>
      <c r="N660" s="7"/>
    </row>
    <row r="661" spans="1:14" ht="19.5" customHeight="1" x14ac:dyDescent="0.25">
      <c r="A661" s="7"/>
      <c r="B661" s="7"/>
      <c r="C661" s="13"/>
      <c r="D661" s="13"/>
      <c r="E661" s="7"/>
      <c r="F661" s="7"/>
      <c r="G661" s="7"/>
      <c r="H661" s="7"/>
      <c r="I661" s="7"/>
      <c r="J661" s="7"/>
      <c r="K661" s="7"/>
      <c r="L661" s="7"/>
      <c r="M661" s="7"/>
      <c r="N661" s="7"/>
    </row>
    <row r="662" spans="1:14" ht="19.5" customHeight="1" x14ac:dyDescent="0.25">
      <c r="A662" s="7"/>
      <c r="B662" s="7"/>
      <c r="C662" s="13"/>
      <c r="D662" s="13"/>
      <c r="E662" s="7"/>
      <c r="F662" s="7"/>
      <c r="G662" s="7"/>
      <c r="H662" s="7"/>
      <c r="I662" s="7"/>
      <c r="J662" s="7"/>
      <c r="K662" s="7"/>
      <c r="L662" s="7"/>
      <c r="M662" s="7"/>
      <c r="N662" s="7"/>
    </row>
    <row r="663" spans="1:14" ht="19.5" customHeight="1" x14ac:dyDescent="0.25">
      <c r="A663" s="7"/>
      <c r="B663" s="7"/>
      <c r="C663" s="13"/>
      <c r="D663" s="13"/>
      <c r="E663" s="7"/>
      <c r="F663" s="7"/>
      <c r="G663" s="7"/>
      <c r="H663" s="7"/>
      <c r="I663" s="7"/>
      <c r="J663" s="7"/>
      <c r="K663" s="7"/>
      <c r="L663" s="7"/>
      <c r="M663" s="7"/>
      <c r="N663" s="7"/>
    </row>
    <row r="664" spans="1:14" ht="19.5" customHeight="1" x14ac:dyDescent="0.25">
      <c r="A664" s="7"/>
      <c r="B664" s="7"/>
      <c r="C664" s="13"/>
      <c r="D664" s="13"/>
      <c r="E664" s="7"/>
      <c r="F664" s="7"/>
      <c r="G664" s="7"/>
      <c r="H664" s="7"/>
      <c r="I664" s="7"/>
      <c r="J664" s="7"/>
      <c r="K664" s="7"/>
      <c r="L664" s="7"/>
      <c r="M664" s="7"/>
      <c r="N664" s="7"/>
    </row>
    <row r="665" spans="1:14" ht="19.5" customHeight="1" x14ac:dyDescent="0.25">
      <c r="A665" s="7"/>
      <c r="B665" s="7"/>
      <c r="C665" s="13"/>
      <c r="D665" s="13"/>
      <c r="E665" s="7"/>
      <c r="F665" s="7"/>
      <c r="G665" s="7"/>
      <c r="H665" s="7"/>
      <c r="I665" s="7"/>
      <c r="J665" s="7"/>
      <c r="K665" s="7"/>
      <c r="L665" s="7"/>
      <c r="M665" s="7"/>
      <c r="N665" s="7"/>
    </row>
    <row r="666" spans="1:14" ht="19.5" customHeight="1" x14ac:dyDescent="0.25">
      <c r="A666" s="7"/>
      <c r="B666" s="7"/>
      <c r="C666" s="13"/>
      <c r="D666" s="13"/>
      <c r="E666" s="7"/>
      <c r="F666" s="7"/>
      <c r="G666" s="7"/>
      <c r="H666" s="7"/>
      <c r="I666" s="7"/>
      <c r="J666" s="7"/>
      <c r="K666" s="7"/>
      <c r="L666" s="7"/>
      <c r="M666" s="7"/>
      <c r="N666" s="7"/>
    </row>
    <row r="667" spans="1:14" ht="19.5" customHeight="1" x14ac:dyDescent="0.25">
      <c r="A667" s="7"/>
      <c r="B667" s="7"/>
      <c r="C667" s="13"/>
      <c r="D667" s="13"/>
      <c r="E667" s="7"/>
      <c r="F667" s="7"/>
      <c r="G667" s="7"/>
      <c r="H667" s="7"/>
      <c r="I667" s="7"/>
      <c r="J667" s="7"/>
      <c r="K667" s="7"/>
      <c r="L667" s="7"/>
      <c r="M667" s="7"/>
      <c r="N667" s="7"/>
    </row>
    <row r="668" spans="1:14" ht="19.5" customHeight="1" x14ac:dyDescent="0.25">
      <c r="A668" s="7"/>
      <c r="B668" s="7"/>
      <c r="C668" s="13"/>
      <c r="D668" s="13"/>
      <c r="E668" s="7"/>
      <c r="F668" s="7"/>
      <c r="G668" s="7"/>
      <c r="H668" s="7"/>
      <c r="I668" s="7"/>
      <c r="J668" s="7"/>
      <c r="K668" s="7"/>
      <c r="L668" s="7"/>
      <c r="M668" s="7"/>
      <c r="N668" s="7"/>
    </row>
    <row r="669" spans="1:14" ht="19.5" customHeight="1" x14ac:dyDescent="0.25">
      <c r="A669" s="7"/>
      <c r="B669" s="7"/>
      <c r="C669" s="13"/>
      <c r="D669" s="13"/>
      <c r="E669" s="7"/>
      <c r="F669" s="7"/>
      <c r="G669" s="7"/>
      <c r="H669" s="7"/>
      <c r="I669" s="7"/>
      <c r="J669" s="7"/>
      <c r="K669" s="7"/>
      <c r="L669" s="7"/>
      <c r="M669" s="7"/>
      <c r="N669" s="7"/>
    </row>
    <row r="670" spans="1:14" ht="19.5" customHeight="1" x14ac:dyDescent="0.25">
      <c r="A670" s="7"/>
      <c r="B670" s="7"/>
      <c r="C670" s="13"/>
      <c r="D670" s="13"/>
      <c r="E670" s="7"/>
      <c r="F670" s="7"/>
      <c r="G670" s="7"/>
      <c r="H670" s="7"/>
      <c r="I670" s="7"/>
      <c r="J670" s="7"/>
      <c r="K670" s="7"/>
      <c r="L670" s="7"/>
      <c r="M670" s="7"/>
      <c r="N670" s="7"/>
    </row>
    <row r="671" spans="1:14" ht="19.5" customHeight="1" x14ac:dyDescent="0.25">
      <c r="A671" s="7"/>
      <c r="B671" s="7"/>
      <c r="C671" s="13"/>
      <c r="D671" s="13"/>
      <c r="E671" s="7"/>
      <c r="F671" s="7"/>
      <c r="G671" s="7"/>
      <c r="H671" s="7"/>
      <c r="I671" s="7"/>
      <c r="J671" s="7"/>
      <c r="K671" s="7"/>
      <c r="L671" s="7"/>
      <c r="M671" s="7"/>
      <c r="N671" s="7"/>
    </row>
    <row r="672" spans="1:14" ht="19.5" customHeight="1" x14ac:dyDescent="0.25">
      <c r="A672" s="7"/>
      <c r="B672" s="7"/>
      <c r="C672" s="13"/>
      <c r="D672" s="13"/>
      <c r="E672" s="7"/>
      <c r="F672" s="7"/>
      <c r="G672" s="7"/>
      <c r="H672" s="7"/>
      <c r="I672" s="7"/>
      <c r="J672" s="7"/>
      <c r="K672" s="7"/>
      <c r="L672" s="7"/>
      <c r="M672" s="7"/>
      <c r="N672" s="7"/>
    </row>
    <row r="673" spans="1:14" ht="19.5" customHeight="1" x14ac:dyDescent="0.25">
      <c r="A673" s="7"/>
      <c r="B673" s="7"/>
      <c r="C673" s="13"/>
      <c r="D673" s="13"/>
      <c r="E673" s="7"/>
      <c r="F673" s="7"/>
      <c r="G673" s="7"/>
      <c r="H673" s="7"/>
      <c r="I673" s="7"/>
      <c r="J673" s="7"/>
      <c r="K673" s="7"/>
      <c r="L673" s="7"/>
      <c r="M673" s="7"/>
      <c r="N673" s="7"/>
    </row>
    <row r="674" spans="1:14" ht="19.5" customHeight="1" x14ac:dyDescent="0.25">
      <c r="A674" s="7"/>
      <c r="B674" s="7"/>
      <c r="C674" s="13"/>
      <c r="D674" s="13"/>
      <c r="E674" s="7"/>
      <c r="F674" s="7"/>
      <c r="G674" s="7"/>
      <c r="H674" s="7"/>
      <c r="I674" s="7"/>
      <c r="J674" s="7"/>
      <c r="K674" s="7"/>
      <c r="L674" s="7"/>
      <c r="M674" s="7"/>
      <c r="N674" s="7"/>
    </row>
    <row r="675" spans="1:14" ht="19.5" customHeight="1" x14ac:dyDescent="0.25">
      <c r="A675" s="7"/>
      <c r="B675" s="7"/>
      <c r="C675" s="13"/>
      <c r="D675" s="13"/>
      <c r="E675" s="7"/>
      <c r="F675" s="7"/>
      <c r="G675" s="7"/>
      <c r="H675" s="7"/>
      <c r="I675" s="7"/>
      <c r="J675" s="7"/>
      <c r="K675" s="7"/>
      <c r="L675" s="7"/>
      <c r="M675" s="7"/>
      <c r="N675" s="7"/>
    </row>
    <row r="676" spans="1:14" ht="19.5" customHeight="1" x14ac:dyDescent="0.25">
      <c r="A676" s="7"/>
      <c r="B676" s="7"/>
      <c r="C676" s="13"/>
      <c r="D676" s="13"/>
      <c r="E676" s="7"/>
      <c r="F676" s="7"/>
      <c r="G676" s="7"/>
      <c r="H676" s="7"/>
      <c r="I676" s="7"/>
      <c r="J676" s="7"/>
      <c r="K676" s="7"/>
      <c r="L676" s="7"/>
      <c r="M676" s="7"/>
      <c r="N676" s="7"/>
    </row>
    <row r="677" spans="1:14" ht="19.5" customHeight="1" x14ac:dyDescent="0.25">
      <c r="A677" s="7"/>
      <c r="B677" s="7"/>
      <c r="C677" s="13"/>
      <c r="D677" s="13"/>
      <c r="E677" s="7"/>
      <c r="F677" s="7"/>
      <c r="G677" s="7"/>
      <c r="H677" s="7"/>
      <c r="I677" s="7"/>
      <c r="J677" s="7"/>
      <c r="K677" s="7"/>
      <c r="L677" s="7"/>
      <c r="M677" s="7"/>
      <c r="N677" s="7"/>
    </row>
    <row r="678" spans="1:14" ht="19.5" customHeight="1" x14ac:dyDescent="0.25">
      <c r="A678" s="7"/>
      <c r="B678" s="7"/>
      <c r="C678" s="13"/>
      <c r="D678" s="13"/>
      <c r="E678" s="7"/>
      <c r="F678" s="7"/>
      <c r="G678" s="7"/>
      <c r="H678" s="7"/>
      <c r="I678" s="7"/>
      <c r="J678" s="7"/>
      <c r="K678" s="7"/>
      <c r="L678" s="7"/>
      <c r="M678" s="7"/>
      <c r="N678" s="7"/>
    </row>
    <row r="679" spans="1:14" ht="19.5" customHeight="1" x14ac:dyDescent="0.25">
      <c r="A679" s="7"/>
      <c r="B679" s="7"/>
      <c r="C679" s="13"/>
      <c r="D679" s="13"/>
      <c r="E679" s="7"/>
      <c r="F679" s="7"/>
      <c r="G679" s="7"/>
      <c r="H679" s="7"/>
      <c r="I679" s="7"/>
      <c r="J679" s="7"/>
      <c r="K679" s="7"/>
      <c r="L679" s="7"/>
      <c r="M679" s="7"/>
      <c r="N679" s="7"/>
    </row>
    <row r="680" spans="1:14" ht="19.5" customHeight="1" x14ac:dyDescent="0.25">
      <c r="A680" s="7"/>
      <c r="B680" s="7"/>
      <c r="C680" s="13"/>
      <c r="D680" s="13"/>
      <c r="E680" s="7"/>
      <c r="F680" s="7"/>
      <c r="G680" s="7"/>
      <c r="H680" s="7"/>
      <c r="I680" s="7"/>
      <c r="J680" s="7"/>
      <c r="K680" s="7"/>
      <c r="L680" s="7"/>
      <c r="M680" s="7"/>
      <c r="N680" s="7"/>
    </row>
    <row r="681" spans="1:14" ht="19.5" customHeight="1" x14ac:dyDescent="0.25">
      <c r="A681" s="7"/>
      <c r="B681" s="7"/>
      <c r="C681" s="13"/>
      <c r="D681" s="13"/>
      <c r="E681" s="7"/>
      <c r="F681" s="7"/>
      <c r="G681" s="7"/>
      <c r="H681" s="7"/>
      <c r="I681" s="7"/>
      <c r="J681" s="7"/>
      <c r="K681" s="7"/>
      <c r="L681" s="7"/>
      <c r="M681" s="7"/>
      <c r="N681" s="7"/>
    </row>
    <row r="682" spans="1:14" ht="19.5" customHeight="1" x14ac:dyDescent="0.25">
      <c r="A682" s="7"/>
      <c r="B682" s="7"/>
      <c r="C682" s="13"/>
      <c r="D682" s="13"/>
      <c r="E682" s="7"/>
      <c r="F682" s="7"/>
      <c r="G682" s="7"/>
      <c r="H682" s="7"/>
      <c r="I682" s="7"/>
      <c r="J682" s="7"/>
      <c r="K682" s="7"/>
      <c r="L682" s="7"/>
      <c r="M682" s="7"/>
      <c r="N682" s="7"/>
    </row>
    <row r="683" spans="1:14" ht="19.5" customHeight="1" x14ac:dyDescent="0.25">
      <c r="A683" s="7"/>
      <c r="B683" s="7"/>
      <c r="C683" s="13"/>
      <c r="D683" s="13"/>
      <c r="E683" s="7"/>
      <c r="F683" s="7"/>
      <c r="G683" s="7"/>
      <c r="H683" s="7"/>
      <c r="I683" s="7"/>
      <c r="J683" s="7"/>
      <c r="K683" s="7"/>
      <c r="L683" s="7"/>
      <c r="M683" s="7"/>
      <c r="N683" s="7"/>
    </row>
    <row r="684" spans="1:14" ht="19.5" customHeight="1" x14ac:dyDescent="0.25">
      <c r="A684" s="7"/>
      <c r="B684" s="7"/>
      <c r="C684" s="13"/>
      <c r="D684" s="13"/>
      <c r="E684" s="7"/>
      <c r="F684" s="7"/>
      <c r="G684" s="7"/>
      <c r="H684" s="7"/>
      <c r="I684" s="7"/>
      <c r="J684" s="7"/>
      <c r="K684" s="7"/>
      <c r="L684" s="7"/>
      <c r="M684" s="7"/>
      <c r="N684" s="7"/>
    </row>
    <row r="685" spans="1:14" ht="19.5" customHeight="1" x14ac:dyDescent="0.25">
      <c r="A685" s="7"/>
      <c r="B685" s="7"/>
      <c r="C685" s="13"/>
      <c r="D685" s="13"/>
      <c r="E685" s="7"/>
      <c r="F685" s="7"/>
      <c r="G685" s="7"/>
      <c r="H685" s="7"/>
      <c r="I685" s="7"/>
      <c r="J685" s="7"/>
      <c r="K685" s="7"/>
      <c r="L685" s="7"/>
      <c r="M685" s="7"/>
      <c r="N685" s="7"/>
    </row>
    <row r="686" spans="1:14" ht="19.5" customHeight="1" x14ac:dyDescent="0.25">
      <c r="A686" s="7"/>
      <c r="B686" s="7"/>
      <c r="C686" s="13"/>
      <c r="D686" s="13"/>
      <c r="E686" s="7"/>
      <c r="F686" s="7"/>
      <c r="G686" s="7"/>
      <c r="H686" s="7"/>
      <c r="I686" s="7"/>
      <c r="J686" s="7"/>
      <c r="K686" s="7"/>
      <c r="L686" s="7"/>
      <c r="M686" s="7"/>
      <c r="N686" s="7"/>
    </row>
    <row r="687" spans="1:14" ht="19.5" customHeight="1" x14ac:dyDescent="0.25">
      <c r="A687" s="7"/>
      <c r="B687" s="7"/>
      <c r="C687" s="13"/>
      <c r="D687" s="13"/>
      <c r="E687" s="7"/>
      <c r="F687" s="7"/>
      <c r="G687" s="7"/>
      <c r="H687" s="7"/>
      <c r="I687" s="7"/>
      <c r="J687" s="7"/>
      <c r="K687" s="7"/>
      <c r="L687" s="7"/>
      <c r="M687" s="7"/>
      <c r="N687" s="7"/>
    </row>
    <row r="688" spans="1:14" ht="19.5" customHeight="1" x14ac:dyDescent="0.25">
      <c r="A688" s="7"/>
      <c r="B688" s="7"/>
      <c r="C688" s="13"/>
      <c r="D688" s="13"/>
      <c r="E688" s="7"/>
      <c r="F688" s="7"/>
      <c r="G688" s="7"/>
      <c r="H688" s="7"/>
      <c r="I688" s="7"/>
      <c r="J688" s="7"/>
      <c r="K688" s="7"/>
      <c r="L688" s="7"/>
      <c r="M688" s="7"/>
      <c r="N688" s="7"/>
    </row>
    <row r="689" spans="1:14" ht="19.5" customHeight="1" x14ac:dyDescent="0.25">
      <c r="A689" s="7"/>
      <c r="B689" s="7"/>
      <c r="C689" s="13"/>
      <c r="D689" s="13"/>
      <c r="E689" s="7"/>
      <c r="F689" s="7"/>
      <c r="G689" s="7"/>
      <c r="H689" s="7"/>
      <c r="I689" s="7"/>
      <c r="J689" s="7"/>
      <c r="K689" s="7"/>
      <c r="L689" s="7"/>
      <c r="M689" s="7"/>
      <c r="N689" s="7"/>
    </row>
    <row r="690" spans="1:14" ht="19.5" customHeight="1" x14ac:dyDescent="0.25">
      <c r="A690" s="7"/>
      <c r="B690" s="7"/>
      <c r="C690" s="13"/>
      <c r="D690" s="13"/>
      <c r="E690" s="7"/>
      <c r="F690" s="7"/>
      <c r="G690" s="7"/>
      <c r="H690" s="7"/>
      <c r="I690" s="7"/>
      <c r="J690" s="7"/>
      <c r="K690" s="7"/>
      <c r="L690" s="7"/>
      <c r="M690" s="7"/>
      <c r="N690" s="7"/>
    </row>
    <row r="691" spans="1:14" ht="19.5" customHeight="1" x14ac:dyDescent="0.25">
      <c r="A691" s="7"/>
      <c r="B691" s="7"/>
      <c r="C691" s="13"/>
      <c r="D691" s="13"/>
      <c r="E691" s="7"/>
      <c r="F691" s="7"/>
      <c r="G691" s="7"/>
      <c r="H691" s="7"/>
      <c r="I691" s="7"/>
      <c r="J691" s="7"/>
      <c r="K691" s="7"/>
      <c r="L691" s="7"/>
      <c r="M691" s="7"/>
      <c r="N691" s="7"/>
    </row>
    <row r="692" spans="1:14" ht="19.5" customHeight="1" x14ac:dyDescent="0.25">
      <c r="A692" s="7"/>
      <c r="B692" s="7"/>
      <c r="C692" s="13"/>
      <c r="D692" s="13"/>
      <c r="E692" s="7"/>
      <c r="F692" s="7"/>
      <c r="G692" s="7"/>
      <c r="H692" s="7"/>
      <c r="I692" s="7"/>
      <c r="J692" s="7"/>
      <c r="K692" s="7"/>
      <c r="L692" s="7"/>
      <c r="M692" s="7"/>
      <c r="N692" s="7"/>
    </row>
    <row r="693" spans="1:14" ht="19.5" customHeight="1" x14ac:dyDescent="0.25">
      <c r="A693" s="7"/>
      <c r="B693" s="7"/>
      <c r="C693" s="13"/>
      <c r="D693" s="13"/>
      <c r="E693" s="7"/>
      <c r="F693" s="7"/>
      <c r="G693" s="7"/>
      <c r="H693" s="7"/>
      <c r="I693" s="7"/>
      <c r="J693" s="7"/>
      <c r="K693" s="7"/>
      <c r="L693" s="7"/>
      <c r="M693" s="7"/>
      <c r="N693" s="7"/>
    </row>
    <row r="694" spans="1:14" ht="19.5" customHeight="1" x14ac:dyDescent="0.25">
      <c r="A694" s="7"/>
      <c r="B694" s="7"/>
      <c r="C694" s="13"/>
      <c r="D694" s="13"/>
      <c r="E694" s="7"/>
      <c r="F694" s="7"/>
      <c r="G694" s="7"/>
      <c r="H694" s="7"/>
      <c r="I694" s="7"/>
      <c r="J694" s="7"/>
      <c r="K694" s="7"/>
      <c r="L694" s="7"/>
      <c r="M694" s="7"/>
      <c r="N694" s="7"/>
    </row>
    <row r="695" spans="1:14" ht="19.5" customHeight="1" x14ac:dyDescent="0.25">
      <c r="A695" s="7"/>
      <c r="B695" s="7"/>
      <c r="C695" s="13"/>
      <c r="D695" s="13"/>
      <c r="E695" s="7"/>
      <c r="F695" s="7"/>
      <c r="G695" s="7"/>
      <c r="H695" s="7"/>
      <c r="I695" s="7"/>
      <c r="J695" s="7"/>
      <c r="K695" s="7"/>
      <c r="L695" s="7"/>
      <c r="M695" s="7"/>
      <c r="N695" s="7"/>
    </row>
    <row r="696" spans="1:14" ht="19.5" customHeight="1" x14ac:dyDescent="0.25">
      <c r="A696" s="7"/>
      <c r="B696" s="7"/>
      <c r="C696" s="13"/>
      <c r="D696" s="13"/>
      <c r="E696" s="7"/>
      <c r="F696" s="7"/>
      <c r="G696" s="7"/>
      <c r="H696" s="7"/>
      <c r="I696" s="7"/>
      <c r="J696" s="7"/>
      <c r="K696" s="7"/>
      <c r="L696" s="7"/>
      <c r="M696" s="7"/>
      <c r="N696" s="7"/>
    </row>
    <row r="697" spans="1:14" ht="19.5" customHeight="1" x14ac:dyDescent="0.25">
      <c r="A697" s="7"/>
      <c r="B697" s="7"/>
      <c r="C697" s="13"/>
      <c r="D697" s="13"/>
      <c r="E697" s="7"/>
      <c r="F697" s="7"/>
      <c r="G697" s="7"/>
      <c r="H697" s="7"/>
      <c r="I697" s="7"/>
      <c r="J697" s="7"/>
      <c r="K697" s="7"/>
      <c r="L697" s="7"/>
      <c r="M697" s="7"/>
      <c r="N697" s="7"/>
    </row>
    <row r="698" spans="1:14" ht="19.5" customHeight="1" x14ac:dyDescent="0.25">
      <c r="A698" s="7"/>
      <c r="B698" s="7"/>
      <c r="C698" s="13"/>
      <c r="D698" s="13"/>
      <c r="E698" s="7"/>
      <c r="F698" s="7"/>
      <c r="G698" s="7"/>
      <c r="H698" s="7"/>
      <c r="I698" s="7"/>
      <c r="J698" s="7"/>
      <c r="K698" s="7"/>
      <c r="L698" s="7"/>
      <c r="M698" s="7"/>
      <c r="N698" s="7"/>
    </row>
    <row r="699" spans="1:14" ht="19.5" customHeight="1" x14ac:dyDescent="0.25">
      <c r="A699" s="7"/>
      <c r="B699" s="7"/>
      <c r="C699" s="13"/>
      <c r="D699" s="13"/>
      <c r="E699" s="7"/>
      <c r="F699" s="7"/>
      <c r="G699" s="7"/>
      <c r="H699" s="7"/>
      <c r="I699" s="7"/>
      <c r="J699" s="7"/>
      <c r="K699" s="7"/>
      <c r="L699" s="7"/>
      <c r="M699" s="7"/>
      <c r="N699" s="7"/>
    </row>
    <row r="700" spans="1:14" ht="19.5" customHeight="1" x14ac:dyDescent="0.25">
      <c r="A700" s="7"/>
      <c r="B700" s="7"/>
      <c r="C700" s="13"/>
      <c r="D700" s="13"/>
      <c r="E700" s="7"/>
      <c r="F700" s="7"/>
      <c r="G700" s="7"/>
      <c r="H700" s="7"/>
      <c r="I700" s="7"/>
      <c r="J700" s="7"/>
      <c r="K700" s="7"/>
      <c r="L700" s="7"/>
      <c r="M700" s="7"/>
      <c r="N700" s="7"/>
    </row>
    <row r="701" spans="1:14" ht="19.5" customHeight="1" x14ac:dyDescent="0.25">
      <c r="A701" s="7"/>
      <c r="B701" s="7"/>
      <c r="C701" s="13"/>
      <c r="D701" s="13"/>
      <c r="E701" s="7"/>
      <c r="F701" s="7"/>
      <c r="G701" s="7"/>
      <c r="H701" s="7"/>
      <c r="I701" s="7"/>
      <c r="J701" s="7"/>
      <c r="K701" s="7"/>
      <c r="L701" s="7"/>
      <c r="M701" s="7"/>
      <c r="N701" s="7"/>
    </row>
    <row r="702" spans="1:14" ht="19.5" customHeight="1" x14ac:dyDescent="0.25">
      <c r="A702" s="7"/>
      <c r="B702" s="7"/>
      <c r="C702" s="13"/>
      <c r="D702" s="13"/>
      <c r="E702" s="7"/>
      <c r="F702" s="7"/>
      <c r="G702" s="7"/>
      <c r="H702" s="7"/>
      <c r="I702" s="7"/>
      <c r="J702" s="7"/>
      <c r="K702" s="7"/>
      <c r="L702" s="7"/>
      <c r="M702" s="7"/>
      <c r="N702" s="7"/>
    </row>
    <row r="703" spans="1:14" ht="19.5" customHeight="1" x14ac:dyDescent="0.25">
      <c r="A703" s="7"/>
      <c r="B703" s="7"/>
      <c r="C703" s="13"/>
      <c r="D703" s="13"/>
      <c r="E703" s="7"/>
      <c r="F703" s="7"/>
      <c r="G703" s="7"/>
      <c r="H703" s="7"/>
      <c r="I703" s="7"/>
      <c r="J703" s="7"/>
      <c r="K703" s="7"/>
      <c r="L703" s="7"/>
      <c r="M703" s="7"/>
      <c r="N703" s="7"/>
    </row>
    <row r="704" spans="1:14" ht="19.5" customHeight="1" x14ac:dyDescent="0.25">
      <c r="A704" s="7"/>
      <c r="B704" s="7"/>
      <c r="C704" s="13"/>
      <c r="D704" s="13"/>
      <c r="E704" s="7"/>
      <c r="F704" s="7"/>
      <c r="G704" s="7"/>
      <c r="H704" s="7"/>
      <c r="I704" s="7"/>
      <c r="J704" s="7"/>
      <c r="K704" s="7"/>
      <c r="L704" s="7"/>
      <c r="M704" s="7"/>
      <c r="N704" s="7"/>
    </row>
    <row r="705" spans="1:14" ht="19.5" customHeight="1" x14ac:dyDescent="0.25">
      <c r="A705" s="7"/>
      <c r="B705" s="7"/>
      <c r="C705" s="13"/>
      <c r="D705" s="13"/>
      <c r="E705" s="7"/>
      <c r="F705" s="7"/>
      <c r="G705" s="7"/>
      <c r="H705" s="7"/>
      <c r="I705" s="7"/>
      <c r="J705" s="7"/>
      <c r="K705" s="7"/>
      <c r="L705" s="7"/>
      <c r="M705" s="7"/>
      <c r="N705" s="7"/>
    </row>
    <row r="706" spans="1:14" ht="19.5" customHeight="1" x14ac:dyDescent="0.25">
      <c r="A706" s="7"/>
      <c r="B706" s="7"/>
      <c r="C706" s="13"/>
      <c r="D706" s="13"/>
      <c r="E706" s="7"/>
      <c r="F706" s="7"/>
      <c r="G706" s="7"/>
      <c r="H706" s="7"/>
      <c r="I706" s="7"/>
      <c r="J706" s="7"/>
      <c r="K706" s="7"/>
      <c r="L706" s="7"/>
      <c r="M706" s="7"/>
      <c r="N706" s="7"/>
    </row>
    <row r="707" spans="1:14" ht="19.5" customHeight="1" x14ac:dyDescent="0.25">
      <c r="A707" s="7"/>
      <c r="B707" s="7"/>
      <c r="C707" s="13"/>
      <c r="D707" s="13"/>
      <c r="E707" s="7"/>
      <c r="F707" s="7"/>
      <c r="G707" s="7"/>
      <c r="H707" s="7"/>
      <c r="I707" s="7"/>
      <c r="J707" s="7"/>
      <c r="K707" s="7"/>
      <c r="L707" s="7"/>
      <c r="M707" s="7"/>
      <c r="N707" s="7"/>
    </row>
    <row r="708" spans="1:14" ht="19.5" customHeight="1" x14ac:dyDescent="0.25">
      <c r="A708" s="7"/>
      <c r="B708" s="7"/>
      <c r="C708" s="13"/>
      <c r="D708" s="13"/>
      <c r="E708" s="7"/>
      <c r="F708" s="7"/>
      <c r="G708" s="7"/>
      <c r="H708" s="7"/>
      <c r="I708" s="7"/>
      <c r="J708" s="7"/>
      <c r="K708" s="7"/>
      <c r="L708" s="7"/>
      <c r="M708" s="7"/>
      <c r="N708" s="7"/>
    </row>
    <row r="709" spans="1:14" ht="19.5" customHeight="1" x14ac:dyDescent="0.25">
      <c r="A709" s="7"/>
      <c r="B709" s="7"/>
      <c r="C709" s="13"/>
      <c r="D709" s="13"/>
      <c r="E709" s="7"/>
      <c r="F709" s="7"/>
      <c r="G709" s="7"/>
      <c r="H709" s="7"/>
      <c r="I709" s="7"/>
      <c r="J709" s="7"/>
      <c r="K709" s="7"/>
      <c r="L709" s="7"/>
      <c r="M709" s="7"/>
      <c r="N709" s="7"/>
    </row>
    <row r="710" spans="1:14" ht="19.5" customHeight="1" x14ac:dyDescent="0.25">
      <c r="A710" s="7"/>
      <c r="B710" s="7"/>
      <c r="C710" s="13"/>
      <c r="D710" s="13"/>
      <c r="E710" s="7"/>
      <c r="F710" s="7"/>
      <c r="G710" s="7"/>
      <c r="H710" s="7"/>
      <c r="I710" s="7"/>
      <c r="J710" s="7"/>
      <c r="K710" s="7"/>
      <c r="L710" s="7"/>
      <c r="M710" s="7"/>
      <c r="N710" s="7"/>
    </row>
    <row r="711" spans="1:14" ht="19.5" customHeight="1" x14ac:dyDescent="0.25">
      <c r="A711" s="7"/>
      <c r="B711" s="7"/>
      <c r="C711" s="13"/>
      <c r="D711" s="13"/>
      <c r="E711" s="7"/>
      <c r="F711" s="7"/>
      <c r="G711" s="7"/>
      <c r="H711" s="7"/>
      <c r="I711" s="7"/>
      <c r="J711" s="7"/>
      <c r="K711" s="7"/>
      <c r="L711" s="7"/>
      <c r="M711" s="7"/>
      <c r="N711" s="7"/>
    </row>
    <row r="712" spans="1:14" ht="19.5" customHeight="1" x14ac:dyDescent="0.25">
      <c r="A712" s="7"/>
      <c r="B712" s="7"/>
      <c r="C712" s="13"/>
      <c r="D712" s="13"/>
      <c r="E712" s="7"/>
      <c r="F712" s="7"/>
      <c r="G712" s="7"/>
      <c r="H712" s="7"/>
      <c r="I712" s="7"/>
      <c r="J712" s="7"/>
      <c r="K712" s="7"/>
      <c r="L712" s="7"/>
      <c r="M712" s="7"/>
      <c r="N712" s="7"/>
    </row>
    <row r="713" spans="1:14" ht="19.5" customHeight="1" x14ac:dyDescent="0.25">
      <c r="A713" s="7"/>
      <c r="B713" s="7"/>
      <c r="C713" s="13"/>
      <c r="D713" s="13"/>
      <c r="E713" s="7"/>
      <c r="F713" s="7"/>
      <c r="G713" s="7"/>
      <c r="H713" s="7"/>
      <c r="I713" s="7"/>
      <c r="J713" s="7"/>
      <c r="K713" s="7"/>
      <c r="L713" s="7"/>
      <c r="M713" s="7"/>
      <c r="N713" s="7"/>
    </row>
    <row r="714" spans="1:14" ht="19.5" customHeight="1" x14ac:dyDescent="0.25">
      <c r="A714" s="7"/>
      <c r="B714" s="7"/>
      <c r="C714" s="13"/>
      <c r="D714" s="13"/>
      <c r="E714" s="7"/>
      <c r="F714" s="7"/>
      <c r="G714" s="7"/>
      <c r="H714" s="7"/>
      <c r="I714" s="7"/>
      <c r="J714" s="7"/>
      <c r="K714" s="7"/>
      <c r="L714" s="7"/>
      <c r="M714" s="7"/>
      <c r="N714" s="7"/>
    </row>
    <row r="715" spans="1:14" ht="19.5" customHeight="1" x14ac:dyDescent="0.25">
      <c r="A715" s="7"/>
      <c r="B715" s="7"/>
      <c r="C715" s="13"/>
      <c r="D715" s="13"/>
      <c r="E715" s="7"/>
      <c r="F715" s="7"/>
      <c r="G715" s="7"/>
      <c r="H715" s="7"/>
      <c r="I715" s="7"/>
      <c r="J715" s="7"/>
      <c r="K715" s="7"/>
      <c r="L715" s="7"/>
      <c r="M715" s="7"/>
      <c r="N715" s="7"/>
    </row>
    <row r="716" spans="1:14" ht="19.5" customHeight="1" x14ac:dyDescent="0.25">
      <c r="A716" s="7"/>
      <c r="B716" s="7"/>
      <c r="C716" s="13"/>
      <c r="D716" s="13"/>
      <c r="E716" s="7"/>
      <c r="F716" s="7"/>
      <c r="G716" s="7"/>
      <c r="H716" s="7"/>
      <c r="I716" s="7"/>
      <c r="J716" s="7"/>
      <c r="K716" s="7"/>
      <c r="L716" s="7"/>
      <c r="M716" s="7"/>
      <c r="N716" s="7"/>
    </row>
    <row r="717" spans="1:14" ht="19.5" customHeight="1" x14ac:dyDescent="0.25">
      <c r="A717" s="7"/>
      <c r="B717" s="7"/>
      <c r="C717" s="13"/>
      <c r="D717" s="13"/>
      <c r="E717" s="7"/>
      <c r="F717" s="7"/>
      <c r="G717" s="7"/>
      <c r="H717" s="7"/>
      <c r="I717" s="7"/>
      <c r="J717" s="7"/>
      <c r="K717" s="7"/>
      <c r="L717" s="7"/>
      <c r="M717" s="7"/>
      <c r="N717" s="7"/>
    </row>
    <row r="718" spans="1:14" ht="19.5" customHeight="1" x14ac:dyDescent="0.25">
      <c r="A718" s="7"/>
      <c r="B718" s="7"/>
      <c r="C718" s="13"/>
      <c r="D718" s="13"/>
      <c r="E718" s="7"/>
      <c r="F718" s="7"/>
      <c r="G718" s="7"/>
      <c r="H718" s="7"/>
      <c r="I718" s="7"/>
      <c r="J718" s="7"/>
      <c r="K718" s="7"/>
      <c r="L718" s="7"/>
      <c r="M718" s="7"/>
      <c r="N718" s="7"/>
    </row>
    <row r="719" spans="1:14" ht="19.5" customHeight="1" x14ac:dyDescent="0.25">
      <c r="A719" s="7"/>
      <c r="B719" s="7"/>
      <c r="C719" s="13"/>
      <c r="D719" s="13"/>
      <c r="E719" s="7"/>
      <c r="F719" s="7"/>
      <c r="G719" s="7"/>
      <c r="H719" s="7"/>
      <c r="I719" s="7"/>
      <c r="J719" s="7"/>
      <c r="K719" s="7"/>
      <c r="L719" s="7"/>
      <c r="M719" s="7"/>
      <c r="N719" s="7"/>
    </row>
    <row r="720" spans="1:14" ht="19.5" customHeight="1" x14ac:dyDescent="0.25">
      <c r="A720" s="7"/>
      <c r="B720" s="7"/>
      <c r="C720" s="13"/>
      <c r="D720" s="13"/>
      <c r="E720" s="7"/>
      <c r="F720" s="7"/>
      <c r="G720" s="7"/>
      <c r="H720" s="7"/>
      <c r="I720" s="7"/>
      <c r="J720" s="7"/>
      <c r="K720" s="7"/>
      <c r="L720" s="7"/>
      <c r="M720" s="7"/>
      <c r="N720" s="7"/>
    </row>
    <row r="721" spans="1:14" ht="19.5" customHeight="1" x14ac:dyDescent="0.25">
      <c r="A721" s="7"/>
      <c r="B721" s="7"/>
      <c r="C721" s="13"/>
      <c r="D721" s="13"/>
      <c r="E721" s="7"/>
      <c r="F721" s="7"/>
      <c r="G721" s="7"/>
      <c r="H721" s="7"/>
      <c r="I721" s="7"/>
      <c r="J721" s="7"/>
      <c r="K721" s="7"/>
      <c r="L721" s="7"/>
      <c r="M721" s="7"/>
      <c r="N721" s="7"/>
    </row>
    <row r="722" spans="1:14" ht="19.5" customHeight="1" x14ac:dyDescent="0.25">
      <c r="A722" s="7"/>
      <c r="B722" s="7"/>
      <c r="C722" s="13"/>
      <c r="D722" s="13"/>
      <c r="E722" s="7"/>
      <c r="F722" s="7"/>
      <c r="G722" s="7"/>
      <c r="H722" s="7"/>
      <c r="I722" s="7"/>
      <c r="J722" s="7"/>
      <c r="K722" s="7"/>
      <c r="L722" s="7"/>
      <c r="M722" s="7"/>
      <c r="N722" s="7"/>
    </row>
    <row r="723" spans="1:14" ht="19.5" customHeight="1" x14ac:dyDescent="0.25">
      <c r="A723" s="7"/>
      <c r="B723" s="7"/>
      <c r="C723" s="13"/>
      <c r="D723" s="13"/>
      <c r="E723" s="7"/>
      <c r="F723" s="7"/>
      <c r="G723" s="7"/>
      <c r="H723" s="7"/>
      <c r="I723" s="7"/>
      <c r="J723" s="7"/>
      <c r="K723" s="7"/>
      <c r="L723" s="7"/>
      <c r="M723" s="7"/>
      <c r="N723" s="7"/>
    </row>
    <row r="724" spans="1:14" ht="19.5" customHeight="1" x14ac:dyDescent="0.25">
      <c r="A724" s="7"/>
      <c r="B724" s="7"/>
      <c r="C724" s="13"/>
      <c r="D724" s="13"/>
      <c r="E724" s="7"/>
      <c r="F724" s="7"/>
      <c r="G724" s="7"/>
      <c r="H724" s="7"/>
      <c r="I724" s="7"/>
      <c r="J724" s="7"/>
      <c r="K724" s="7"/>
      <c r="L724" s="7"/>
      <c r="M724" s="7"/>
      <c r="N724" s="7"/>
    </row>
    <row r="725" spans="1:14" ht="19.5" customHeight="1" x14ac:dyDescent="0.25">
      <c r="A725" s="7"/>
      <c r="B725" s="7"/>
      <c r="C725" s="13"/>
      <c r="D725" s="13"/>
      <c r="E725" s="7"/>
      <c r="F725" s="7"/>
      <c r="G725" s="7"/>
      <c r="H725" s="7"/>
      <c r="I725" s="7"/>
      <c r="J725" s="7"/>
      <c r="K725" s="7"/>
      <c r="L725" s="7"/>
      <c r="M725" s="7"/>
      <c r="N725" s="7"/>
    </row>
    <row r="726" spans="1:14" ht="19.5" customHeight="1" x14ac:dyDescent="0.25">
      <c r="A726" s="7"/>
      <c r="B726" s="7"/>
      <c r="C726" s="13"/>
      <c r="D726" s="13"/>
      <c r="E726" s="7"/>
      <c r="F726" s="7"/>
      <c r="G726" s="7"/>
      <c r="H726" s="7"/>
      <c r="I726" s="7"/>
      <c r="J726" s="7"/>
      <c r="K726" s="7"/>
      <c r="L726" s="7"/>
      <c r="M726" s="7"/>
      <c r="N726" s="7"/>
    </row>
    <row r="727" spans="1:14" ht="19.5" customHeight="1" x14ac:dyDescent="0.25">
      <c r="A727" s="7"/>
      <c r="B727" s="7"/>
      <c r="C727" s="13"/>
      <c r="D727" s="13"/>
      <c r="E727" s="7"/>
      <c r="F727" s="7"/>
      <c r="G727" s="7"/>
      <c r="H727" s="7"/>
      <c r="I727" s="7"/>
      <c r="J727" s="7"/>
      <c r="K727" s="7"/>
      <c r="L727" s="7"/>
      <c r="M727" s="7"/>
      <c r="N727" s="7"/>
    </row>
    <row r="728" spans="1:14" ht="19.5" customHeight="1" x14ac:dyDescent="0.25">
      <c r="A728" s="7"/>
      <c r="B728" s="7"/>
      <c r="C728" s="13"/>
      <c r="D728" s="13"/>
      <c r="E728" s="7"/>
      <c r="F728" s="7"/>
      <c r="G728" s="7"/>
      <c r="H728" s="7"/>
      <c r="I728" s="7"/>
      <c r="J728" s="7"/>
      <c r="K728" s="7"/>
      <c r="L728" s="7"/>
      <c r="M728" s="7"/>
      <c r="N728" s="7"/>
    </row>
    <row r="729" spans="1:14" ht="19.5" customHeight="1" x14ac:dyDescent="0.25">
      <c r="A729" s="7"/>
      <c r="B729" s="7"/>
      <c r="C729" s="13"/>
      <c r="D729" s="13"/>
      <c r="E729" s="7"/>
      <c r="F729" s="7"/>
      <c r="G729" s="7"/>
      <c r="H729" s="7"/>
      <c r="I729" s="7"/>
      <c r="J729" s="7"/>
      <c r="K729" s="7"/>
      <c r="L729" s="7"/>
      <c r="M729" s="7"/>
      <c r="N729" s="7"/>
    </row>
    <row r="730" spans="1:14" ht="19.5" customHeight="1" x14ac:dyDescent="0.25">
      <c r="A730" s="7"/>
      <c r="B730" s="7"/>
      <c r="C730" s="13"/>
      <c r="D730" s="13"/>
      <c r="E730" s="7"/>
      <c r="F730" s="7"/>
      <c r="G730" s="7"/>
      <c r="H730" s="7"/>
      <c r="I730" s="7"/>
      <c r="J730" s="7"/>
      <c r="K730" s="7"/>
      <c r="L730" s="7"/>
      <c r="M730" s="7"/>
      <c r="N730" s="7"/>
    </row>
    <row r="731" spans="1:14" ht="19.5" customHeight="1" x14ac:dyDescent="0.25">
      <c r="A731" s="7"/>
      <c r="B731" s="7"/>
      <c r="C731" s="13"/>
      <c r="D731" s="13"/>
      <c r="E731" s="7"/>
      <c r="F731" s="7"/>
      <c r="G731" s="7"/>
      <c r="H731" s="7"/>
      <c r="I731" s="7"/>
      <c r="J731" s="7"/>
      <c r="K731" s="7"/>
      <c r="L731" s="7"/>
      <c r="M731" s="7"/>
      <c r="N731" s="7"/>
    </row>
    <row r="732" spans="1:14" ht="19.5" customHeight="1" x14ac:dyDescent="0.25">
      <c r="A732" s="7"/>
      <c r="B732" s="7"/>
      <c r="C732" s="13"/>
      <c r="D732" s="13"/>
      <c r="E732" s="7"/>
      <c r="F732" s="7"/>
      <c r="G732" s="7"/>
      <c r="H732" s="7"/>
      <c r="I732" s="7"/>
      <c r="J732" s="7"/>
      <c r="K732" s="7"/>
      <c r="L732" s="7"/>
      <c r="M732" s="7"/>
      <c r="N732" s="7"/>
    </row>
    <row r="733" spans="1:14" ht="19.5" customHeight="1" x14ac:dyDescent="0.25">
      <c r="A733" s="7"/>
      <c r="B733" s="7"/>
      <c r="C733" s="13"/>
      <c r="D733" s="13"/>
      <c r="E733" s="7"/>
      <c r="F733" s="7"/>
      <c r="G733" s="7"/>
      <c r="H733" s="7"/>
      <c r="I733" s="7"/>
      <c r="J733" s="7"/>
      <c r="K733" s="7"/>
      <c r="L733" s="7"/>
      <c r="M733" s="7"/>
      <c r="N733" s="7"/>
    </row>
    <row r="734" spans="1:14" ht="19.5" customHeight="1" x14ac:dyDescent="0.25">
      <c r="A734" s="7"/>
      <c r="B734" s="7"/>
      <c r="C734" s="13"/>
      <c r="D734" s="13"/>
      <c r="E734" s="7"/>
      <c r="F734" s="7"/>
      <c r="G734" s="7"/>
      <c r="H734" s="7"/>
      <c r="I734" s="7"/>
      <c r="J734" s="7"/>
      <c r="K734" s="7"/>
      <c r="L734" s="7"/>
      <c r="M734" s="7"/>
      <c r="N734" s="7"/>
    </row>
    <row r="735" spans="1:14" ht="19.5" customHeight="1" x14ac:dyDescent="0.25">
      <c r="A735" s="7"/>
      <c r="B735" s="7"/>
      <c r="C735" s="13"/>
      <c r="D735" s="13"/>
      <c r="E735" s="7"/>
      <c r="F735" s="7"/>
      <c r="G735" s="7"/>
      <c r="H735" s="7"/>
      <c r="I735" s="7"/>
      <c r="J735" s="7"/>
      <c r="K735" s="7"/>
      <c r="L735" s="7"/>
      <c r="M735" s="7"/>
      <c r="N735" s="7"/>
    </row>
    <row r="736" spans="1:14" ht="19.5" customHeight="1" x14ac:dyDescent="0.25">
      <c r="A736" s="7"/>
      <c r="B736" s="7"/>
      <c r="C736" s="13"/>
      <c r="D736" s="13"/>
      <c r="E736" s="7"/>
      <c r="F736" s="7"/>
      <c r="G736" s="7"/>
      <c r="H736" s="7"/>
      <c r="I736" s="7"/>
      <c r="J736" s="7"/>
      <c r="K736" s="7"/>
      <c r="L736" s="7"/>
      <c r="M736" s="7"/>
      <c r="N736" s="7"/>
    </row>
    <row r="737" spans="1:14" ht="19.5" customHeight="1" x14ac:dyDescent="0.25">
      <c r="A737" s="7"/>
      <c r="B737" s="7"/>
      <c r="C737" s="13"/>
      <c r="D737" s="13"/>
      <c r="E737" s="7"/>
      <c r="F737" s="7"/>
      <c r="G737" s="7"/>
      <c r="H737" s="7"/>
      <c r="I737" s="7"/>
      <c r="J737" s="7"/>
      <c r="K737" s="7"/>
      <c r="L737" s="7"/>
      <c r="M737" s="7"/>
      <c r="N737" s="7"/>
    </row>
    <row r="738" spans="1:14" ht="19.5" customHeight="1" x14ac:dyDescent="0.25">
      <c r="A738" s="7"/>
      <c r="B738" s="7"/>
      <c r="C738" s="13"/>
      <c r="D738" s="13"/>
      <c r="E738" s="7"/>
      <c r="F738" s="7"/>
      <c r="G738" s="7"/>
      <c r="H738" s="7"/>
      <c r="I738" s="7"/>
      <c r="J738" s="7"/>
      <c r="K738" s="7"/>
      <c r="L738" s="7"/>
      <c r="M738" s="7"/>
      <c r="N738" s="7"/>
    </row>
    <row r="739" spans="1:14" ht="19.5" customHeight="1" x14ac:dyDescent="0.25">
      <c r="A739" s="7"/>
      <c r="B739" s="7"/>
      <c r="C739" s="13"/>
      <c r="D739" s="13"/>
      <c r="E739" s="7"/>
      <c r="F739" s="7"/>
      <c r="G739" s="7"/>
      <c r="H739" s="7"/>
      <c r="I739" s="7"/>
      <c r="J739" s="7"/>
      <c r="K739" s="7"/>
      <c r="L739" s="7"/>
      <c r="M739" s="7"/>
      <c r="N739" s="7"/>
    </row>
    <row r="740" spans="1:14" ht="19.5" customHeight="1" x14ac:dyDescent="0.25">
      <c r="A740" s="7"/>
      <c r="B740" s="7"/>
      <c r="C740" s="13"/>
      <c r="D740" s="13"/>
      <c r="E740" s="7"/>
      <c r="F740" s="7"/>
      <c r="G740" s="7"/>
      <c r="H740" s="7"/>
      <c r="I740" s="7"/>
      <c r="J740" s="7"/>
      <c r="K740" s="7"/>
      <c r="L740" s="7"/>
      <c r="M740" s="7"/>
      <c r="N740" s="7"/>
    </row>
    <row r="741" spans="1:14" ht="19.5" customHeight="1" x14ac:dyDescent="0.25">
      <c r="A741" s="7"/>
      <c r="B741" s="7"/>
      <c r="C741" s="13"/>
      <c r="D741" s="13"/>
      <c r="E741" s="7"/>
      <c r="F741" s="7"/>
      <c r="G741" s="7"/>
      <c r="H741" s="7"/>
      <c r="I741" s="7"/>
      <c r="J741" s="7"/>
      <c r="K741" s="7"/>
      <c r="L741" s="7"/>
      <c r="M741" s="7"/>
      <c r="N741" s="7"/>
    </row>
    <row r="742" spans="1:14" ht="19.5" customHeight="1" x14ac:dyDescent="0.25">
      <c r="A742" s="7"/>
      <c r="B742" s="7"/>
      <c r="C742" s="13"/>
      <c r="D742" s="13"/>
      <c r="E742" s="7"/>
      <c r="F742" s="7"/>
      <c r="G742" s="7"/>
      <c r="H742" s="7"/>
      <c r="I742" s="7"/>
      <c r="J742" s="7"/>
      <c r="K742" s="7"/>
      <c r="L742" s="7"/>
      <c r="M742" s="7"/>
      <c r="N742" s="7"/>
    </row>
    <row r="743" spans="1:14" ht="19.5" customHeight="1" x14ac:dyDescent="0.25">
      <c r="A743" s="7"/>
      <c r="B743" s="7"/>
      <c r="C743" s="13"/>
      <c r="D743" s="13"/>
      <c r="E743" s="7"/>
      <c r="F743" s="7"/>
      <c r="G743" s="7"/>
      <c r="H743" s="7"/>
      <c r="I743" s="7"/>
      <c r="J743" s="7"/>
      <c r="K743" s="7"/>
      <c r="L743" s="7"/>
      <c r="M743" s="7"/>
      <c r="N743" s="7"/>
    </row>
    <row r="744" spans="1:14" ht="19.5" customHeight="1" x14ac:dyDescent="0.25">
      <c r="A744" s="7"/>
      <c r="B744" s="7"/>
      <c r="C744" s="13"/>
      <c r="D744" s="13"/>
      <c r="E744" s="7"/>
      <c r="F744" s="7"/>
      <c r="G744" s="7"/>
      <c r="H744" s="7"/>
      <c r="I744" s="7"/>
      <c r="J744" s="7"/>
      <c r="K744" s="7"/>
      <c r="L744" s="7"/>
      <c r="M744" s="7"/>
      <c r="N744" s="7"/>
    </row>
    <row r="745" spans="1:14" ht="19.5" customHeight="1" x14ac:dyDescent="0.25">
      <c r="A745" s="7"/>
      <c r="B745" s="7"/>
      <c r="C745" s="13"/>
      <c r="D745" s="13"/>
      <c r="E745" s="7"/>
      <c r="F745" s="7"/>
      <c r="G745" s="7"/>
      <c r="H745" s="7"/>
      <c r="I745" s="7"/>
      <c r="J745" s="7"/>
      <c r="K745" s="7"/>
      <c r="L745" s="7"/>
      <c r="M745" s="7"/>
      <c r="N745" s="7"/>
    </row>
    <row r="746" spans="1:14" ht="19.5" customHeight="1" x14ac:dyDescent="0.25">
      <c r="A746" s="7"/>
      <c r="B746" s="7"/>
      <c r="C746" s="13"/>
      <c r="D746" s="13"/>
      <c r="E746" s="7"/>
      <c r="F746" s="7"/>
      <c r="G746" s="7"/>
      <c r="H746" s="7"/>
      <c r="I746" s="7"/>
      <c r="J746" s="7"/>
      <c r="K746" s="7"/>
      <c r="L746" s="7"/>
      <c r="M746" s="7"/>
      <c r="N746" s="7"/>
    </row>
    <row r="747" spans="1:14" ht="19.5" customHeight="1" x14ac:dyDescent="0.25">
      <c r="A747" s="7"/>
      <c r="B747" s="7"/>
      <c r="C747" s="13"/>
      <c r="D747" s="13"/>
      <c r="E747" s="7"/>
      <c r="F747" s="7"/>
      <c r="G747" s="7"/>
      <c r="H747" s="7"/>
      <c r="I747" s="7"/>
      <c r="J747" s="7"/>
      <c r="K747" s="7"/>
      <c r="L747" s="7"/>
      <c r="M747" s="7"/>
      <c r="N747" s="7"/>
    </row>
    <row r="748" spans="1:14" ht="19.5" customHeight="1" x14ac:dyDescent="0.25">
      <c r="A748" s="7"/>
      <c r="B748" s="7"/>
      <c r="C748" s="13"/>
      <c r="D748" s="13"/>
      <c r="E748" s="7"/>
      <c r="F748" s="7"/>
      <c r="G748" s="7"/>
      <c r="H748" s="7"/>
      <c r="I748" s="7"/>
      <c r="J748" s="7"/>
      <c r="K748" s="7"/>
      <c r="L748" s="7"/>
      <c r="M748" s="7"/>
      <c r="N748" s="7"/>
    </row>
    <row r="749" spans="1:14" ht="19.5" customHeight="1" x14ac:dyDescent="0.25">
      <c r="A749" s="7"/>
      <c r="B749" s="7"/>
      <c r="C749" s="13"/>
      <c r="D749" s="13"/>
      <c r="E749" s="7"/>
      <c r="F749" s="7"/>
      <c r="G749" s="7"/>
      <c r="H749" s="7"/>
      <c r="I749" s="7"/>
      <c r="J749" s="7"/>
      <c r="K749" s="7"/>
      <c r="L749" s="7"/>
      <c r="M749" s="7"/>
      <c r="N749" s="7"/>
    </row>
    <row r="750" spans="1:14" ht="19.5" customHeight="1" x14ac:dyDescent="0.25">
      <c r="A750" s="7"/>
      <c r="B750" s="7"/>
      <c r="C750" s="13"/>
      <c r="D750" s="13"/>
      <c r="E750" s="7"/>
      <c r="F750" s="7"/>
      <c r="G750" s="7"/>
      <c r="H750" s="7"/>
      <c r="I750" s="7"/>
      <c r="J750" s="7"/>
      <c r="K750" s="7"/>
      <c r="L750" s="7"/>
      <c r="M750" s="7"/>
      <c r="N750" s="7"/>
    </row>
    <row r="751" spans="1:14" ht="19.5" customHeight="1" x14ac:dyDescent="0.25">
      <c r="A751" s="7"/>
      <c r="B751" s="7"/>
      <c r="C751" s="13"/>
      <c r="D751" s="13"/>
      <c r="E751" s="7"/>
      <c r="F751" s="7"/>
      <c r="G751" s="7"/>
      <c r="H751" s="7"/>
      <c r="I751" s="7"/>
      <c r="J751" s="7"/>
      <c r="K751" s="7"/>
      <c r="L751" s="7"/>
      <c r="M751" s="7"/>
      <c r="N751" s="7"/>
    </row>
    <row r="752" spans="1:14" ht="19.5" customHeight="1" x14ac:dyDescent="0.25">
      <c r="A752" s="7"/>
      <c r="B752" s="7"/>
      <c r="C752" s="13"/>
      <c r="D752" s="13"/>
      <c r="E752" s="7"/>
      <c r="F752" s="7"/>
      <c r="G752" s="7"/>
      <c r="H752" s="7"/>
      <c r="I752" s="7"/>
      <c r="J752" s="7"/>
      <c r="K752" s="7"/>
      <c r="L752" s="7"/>
      <c r="M752" s="7"/>
      <c r="N752" s="7"/>
    </row>
    <row r="753" spans="1:14" ht="19.5" customHeight="1" x14ac:dyDescent="0.25">
      <c r="A753" s="7"/>
      <c r="B753" s="7"/>
      <c r="C753" s="13"/>
      <c r="D753" s="13"/>
      <c r="E753" s="7"/>
      <c r="F753" s="7"/>
      <c r="G753" s="7"/>
      <c r="H753" s="7"/>
      <c r="I753" s="7"/>
      <c r="J753" s="7"/>
      <c r="K753" s="7"/>
      <c r="L753" s="7"/>
      <c r="M753" s="7"/>
      <c r="N753" s="7"/>
    </row>
    <row r="754" spans="1:14" ht="19.5" customHeight="1" x14ac:dyDescent="0.25">
      <c r="A754" s="7"/>
      <c r="B754" s="7"/>
      <c r="C754" s="13"/>
      <c r="D754" s="13"/>
      <c r="E754" s="7"/>
      <c r="F754" s="7"/>
      <c r="G754" s="7"/>
      <c r="H754" s="7"/>
      <c r="I754" s="7"/>
      <c r="J754" s="7"/>
      <c r="K754" s="7"/>
      <c r="L754" s="7"/>
      <c r="M754" s="7"/>
      <c r="N754" s="7"/>
    </row>
    <row r="755" spans="1:14" ht="19.5" customHeight="1" x14ac:dyDescent="0.25">
      <c r="A755" s="7"/>
      <c r="B755" s="7"/>
      <c r="C755" s="13"/>
      <c r="D755" s="13"/>
      <c r="E755" s="7"/>
      <c r="F755" s="7"/>
      <c r="G755" s="7"/>
      <c r="H755" s="7"/>
      <c r="I755" s="7"/>
      <c r="J755" s="7"/>
      <c r="K755" s="7"/>
      <c r="L755" s="7"/>
      <c r="M755" s="7"/>
      <c r="N755" s="7"/>
    </row>
    <row r="756" spans="1:14" ht="19.5" customHeight="1" x14ac:dyDescent="0.25">
      <c r="A756" s="7"/>
      <c r="B756" s="7"/>
      <c r="C756" s="13"/>
      <c r="D756" s="13"/>
      <c r="E756" s="7"/>
      <c r="F756" s="7"/>
      <c r="G756" s="7"/>
      <c r="H756" s="7"/>
      <c r="I756" s="7"/>
      <c r="J756" s="7"/>
      <c r="K756" s="7"/>
      <c r="L756" s="7"/>
      <c r="M756" s="7"/>
      <c r="N756" s="7"/>
    </row>
    <row r="757" spans="1:14" ht="19.5" customHeight="1" x14ac:dyDescent="0.25">
      <c r="A757" s="7"/>
      <c r="B757" s="7"/>
      <c r="C757" s="13"/>
      <c r="D757" s="13"/>
      <c r="E757" s="7"/>
      <c r="F757" s="7"/>
      <c r="G757" s="7"/>
      <c r="H757" s="7"/>
      <c r="I757" s="7"/>
      <c r="J757" s="7"/>
      <c r="K757" s="7"/>
      <c r="L757" s="7"/>
      <c r="M757" s="7"/>
      <c r="N757" s="7"/>
    </row>
    <row r="758" spans="1:14" ht="19.5" customHeight="1" x14ac:dyDescent="0.25">
      <c r="A758" s="7"/>
      <c r="B758" s="7"/>
      <c r="C758" s="13"/>
      <c r="D758" s="13"/>
      <c r="E758" s="7"/>
      <c r="F758" s="7"/>
      <c r="G758" s="7"/>
      <c r="H758" s="7"/>
      <c r="I758" s="7"/>
      <c r="J758" s="7"/>
      <c r="K758" s="7"/>
      <c r="L758" s="7"/>
      <c r="M758" s="7"/>
      <c r="N758" s="7"/>
    </row>
    <row r="759" spans="1:14" ht="19.5" customHeight="1" x14ac:dyDescent="0.25">
      <c r="A759" s="7"/>
      <c r="B759" s="7"/>
      <c r="C759" s="13"/>
      <c r="D759" s="13"/>
      <c r="E759" s="7"/>
      <c r="F759" s="7"/>
      <c r="G759" s="7"/>
      <c r="H759" s="7"/>
      <c r="I759" s="7"/>
      <c r="J759" s="7"/>
      <c r="K759" s="7"/>
      <c r="L759" s="7"/>
      <c r="M759" s="7"/>
      <c r="N759" s="7"/>
    </row>
    <row r="760" spans="1:14" ht="19.5" customHeight="1" x14ac:dyDescent="0.25">
      <c r="A760" s="7"/>
      <c r="B760" s="7"/>
      <c r="C760" s="13"/>
      <c r="D760" s="13"/>
      <c r="E760" s="7"/>
      <c r="F760" s="7"/>
      <c r="G760" s="7"/>
      <c r="H760" s="7"/>
      <c r="I760" s="7"/>
      <c r="J760" s="7"/>
      <c r="K760" s="7"/>
      <c r="L760" s="7"/>
      <c r="M760" s="7"/>
      <c r="N760" s="7"/>
    </row>
    <row r="761" spans="1:14" ht="19.5" customHeight="1" x14ac:dyDescent="0.25">
      <c r="A761" s="7"/>
      <c r="B761" s="7"/>
      <c r="C761" s="13"/>
      <c r="D761" s="13"/>
      <c r="E761" s="7"/>
      <c r="F761" s="7"/>
      <c r="G761" s="7"/>
      <c r="H761" s="7"/>
      <c r="I761" s="7"/>
      <c r="J761" s="7"/>
      <c r="K761" s="7"/>
      <c r="L761" s="7"/>
      <c r="M761" s="7"/>
      <c r="N761" s="7"/>
    </row>
    <row r="762" spans="1:14" ht="19.5" customHeight="1" x14ac:dyDescent="0.25">
      <c r="A762" s="7"/>
      <c r="B762" s="7"/>
      <c r="C762" s="13"/>
      <c r="D762" s="13"/>
      <c r="E762" s="7"/>
      <c r="F762" s="7"/>
      <c r="G762" s="7"/>
      <c r="H762" s="7"/>
      <c r="I762" s="7"/>
      <c r="J762" s="7"/>
      <c r="K762" s="7"/>
      <c r="L762" s="7"/>
      <c r="M762" s="7"/>
      <c r="N762" s="7"/>
    </row>
    <row r="763" spans="1:14" ht="19.5" customHeight="1" x14ac:dyDescent="0.25">
      <c r="A763" s="7"/>
      <c r="B763" s="7"/>
      <c r="C763" s="13"/>
      <c r="D763" s="13"/>
      <c r="E763" s="7"/>
      <c r="F763" s="7"/>
      <c r="G763" s="7"/>
      <c r="H763" s="7"/>
      <c r="I763" s="7"/>
      <c r="J763" s="7"/>
      <c r="K763" s="7"/>
      <c r="L763" s="7"/>
      <c r="M763" s="7"/>
      <c r="N763" s="7"/>
    </row>
    <row r="764" spans="1:14" ht="19.5" customHeight="1" x14ac:dyDescent="0.25">
      <c r="A764" s="7"/>
      <c r="B764" s="7"/>
      <c r="C764" s="13"/>
      <c r="D764" s="13"/>
      <c r="E764" s="7"/>
      <c r="F764" s="7"/>
      <c r="G764" s="7"/>
      <c r="H764" s="7"/>
      <c r="I764" s="7"/>
      <c r="J764" s="7"/>
      <c r="K764" s="7"/>
      <c r="L764" s="7"/>
      <c r="M764" s="7"/>
      <c r="N764" s="7"/>
    </row>
    <row r="765" spans="1:14" ht="19.5" customHeight="1" x14ac:dyDescent="0.25">
      <c r="A765" s="7"/>
      <c r="B765" s="7"/>
      <c r="C765" s="13"/>
      <c r="D765" s="13"/>
      <c r="E765" s="7"/>
      <c r="F765" s="7"/>
      <c r="G765" s="7"/>
      <c r="H765" s="7"/>
      <c r="I765" s="7"/>
      <c r="J765" s="7"/>
      <c r="K765" s="7"/>
      <c r="L765" s="7"/>
      <c r="M765" s="7"/>
      <c r="N765" s="7"/>
    </row>
    <row r="766" spans="1:14" ht="19.5" customHeight="1" x14ac:dyDescent="0.25">
      <c r="A766" s="7"/>
      <c r="B766" s="7"/>
      <c r="C766" s="13"/>
      <c r="D766" s="13"/>
      <c r="E766" s="7"/>
      <c r="F766" s="7"/>
      <c r="G766" s="7"/>
      <c r="H766" s="7"/>
      <c r="I766" s="7"/>
      <c r="J766" s="7"/>
      <c r="K766" s="7"/>
      <c r="L766" s="7"/>
      <c r="M766" s="7"/>
      <c r="N766" s="7"/>
    </row>
    <row r="767" spans="1:14" ht="19.5" customHeight="1" x14ac:dyDescent="0.25">
      <c r="A767" s="7"/>
      <c r="B767" s="7"/>
      <c r="C767" s="13"/>
      <c r="D767" s="13"/>
      <c r="E767" s="7"/>
      <c r="F767" s="7"/>
      <c r="G767" s="7"/>
      <c r="H767" s="7"/>
      <c r="I767" s="7"/>
      <c r="J767" s="7"/>
      <c r="K767" s="7"/>
      <c r="L767" s="7"/>
      <c r="M767" s="7"/>
      <c r="N767" s="7"/>
    </row>
    <row r="768" spans="1:14" ht="19.5" customHeight="1" x14ac:dyDescent="0.25">
      <c r="A768" s="7"/>
      <c r="B768" s="7"/>
      <c r="C768" s="13"/>
      <c r="D768" s="13"/>
      <c r="E768" s="7"/>
      <c r="F768" s="7"/>
      <c r="G768" s="7"/>
      <c r="H768" s="7"/>
      <c r="I768" s="7"/>
      <c r="J768" s="7"/>
      <c r="K768" s="7"/>
      <c r="L768" s="7"/>
      <c r="M768" s="7"/>
      <c r="N768" s="7"/>
    </row>
    <row r="769" spans="1:14" ht="19.5" customHeight="1" x14ac:dyDescent="0.25">
      <c r="A769" s="7"/>
      <c r="B769" s="7"/>
      <c r="C769" s="13"/>
      <c r="D769" s="13"/>
      <c r="E769" s="7"/>
      <c r="F769" s="7"/>
      <c r="G769" s="7"/>
      <c r="H769" s="7"/>
      <c r="I769" s="7"/>
      <c r="J769" s="7"/>
      <c r="K769" s="7"/>
      <c r="L769" s="7"/>
      <c r="M769" s="7"/>
      <c r="N769" s="7"/>
    </row>
    <row r="770" spans="1:14" ht="19.5" customHeight="1" x14ac:dyDescent="0.25">
      <c r="A770" s="7"/>
      <c r="B770" s="7"/>
      <c r="C770" s="13"/>
      <c r="D770" s="13"/>
      <c r="E770" s="7"/>
      <c r="F770" s="7"/>
      <c r="G770" s="7"/>
      <c r="H770" s="7"/>
      <c r="I770" s="7"/>
      <c r="J770" s="7"/>
      <c r="K770" s="7"/>
      <c r="L770" s="7"/>
      <c r="M770" s="7"/>
      <c r="N770" s="7"/>
    </row>
    <row r="771" spans="1:14" ht="19.5" customHeight="1" x14ac:dyDescent="0.25">
      <c r="A771" s="7"/>
      <c r="B771" s="7"/>
      <c r="C771" s="13"/>
      <c r="D771" s="13"/>
      <c r="E771" s="7"/>
      <c r="F771" s="7"/>
      <c r="G771" s="7"/>
      <c r="H771" s="7"/>
      <c r="I771" s="7"/>
      <c r="J771" s="7"/>
      <c r="K771" s="7"/>
      <c r="L771" s="7"/>
      <c r="M771" s="7"/>
      <c r="N771" s="7"/>
    </row>
    <row r="772" spans="1:14" ht="19.5" customHeight="1" x14ac:dyDescent="0.25">
      <c r="A772" s="7"/>
      <c r="B772" s="7"/>
      <c r="C772" s="13"/>
      <c r="D772" s="13"/>
      <c r="E772" s="7"/>
      <c r="F772" s="7"/>
      <c r="G772" s="7"/>
      <c r="H772" s="7"/>
      <c r="I772" s="7"/>
      <c r="J772" s="7"/>
      <c r="K772" s="7"/>
      <c r="L772" s="7"/>
      <c r="M772" s="7"/>
      <c r="N772" s="7"/>
    </row>
    <row r="773" spans="1:14" ht="19.5" customHeight="1" x14ac:dyDescent="0.25">
      <c r="A773" s="7"/>
      <c r="B773" s="7"/>
      <c r="C773" s="13"/>
      <c r="D773" s="13"/>
      <c r="E773" s="7"/>
      <c r="F773" s="7"/>
      <c r="G773" s="7"/>
      <c r="H773" s="7"/>
      <c r="I773" s="7"/>
      <c r="J773" s="7"/>
      <c r="K773" s="7"/>
      <c r="L773" s="7"/>
      <c r="M773" s="7"/>
      <c r="N773" s="7"/>
    </row>
    <row r="774" spans="1:14" ht="19.5" customHeight="1" x14ac:dyDescent="0.25">
      <c r="A774" s="7"/>
      <c r="B774" s="7"/>
      <c r="C774" s="13"/>
      <c r="D774" s="13"/>
      <c r="E774" s="7"/>
      <c r="F774" s="7"/>
      <c r="G774" s="7"/>
      <c r="H774" s="7"/>
      <c r="I774" s="7"/>
      <c r="J774" s="7"/>
      <c r="K774" s="7"/>
      <c r="L774" s="7"/>
      <c r="M774" s="7"/>
      <c r="N774" s="7"/>
    </row>
    <row r="775" spans="1:14" ht="19.5" customHeight="1" x14ac:dyDescent="0.25">
      <c r="A775" s="7"/>
      <c r="B775" s="7"/>
      <c r="C775" s="13"/>
      <c r="D775" s="13"/>
      <c r="E775" s="7"/>
      <c r="F775" s="7"/>
      <c r="G775" s="7"/>
      <c r="H775" s="7"/>
      <c r="I775" s="7"/>
      <c r="J775" s="7"/>
      <c r="K775" s="7"/>
      <c r="L775" s="7"/>
      <c r="M775" s="7"/>
      <c r="N775" s="7"/>
    </row>
    <row r="776" spans="1:14" ht="19.5" customHeight="1" x14ac:dyDescent="0.25">
      <c r="A776" s="7"/>
      <c r="B776" s="7"/>
      <c r="C776" s="13"/>
      <c r="D776" s="13"/>
      <c r="E776" s="7"/>
      <c r="F776" s="7"/>
      <c r="G776" s="7"/>
      <c r="H776" s="7"/>
      <c r="I776" s="7"/>
      <c r="J776" s="7"/>
      <c r="K776" s="7"/>
      <c r="L776" s="7"/>
      <c r="M776" s="7"/>
      <c r="N776" s="7"/>
    </row>
    <row r="777" spans="1:14" ht="19.5" customHeight="1" x14ac:dyDescent="0.25">
      <c r="A777" s="7"/>
      <c r="B777" s="7"/>
      <c r="C777" s="13"/>
      <c r="D777" s="13"/>
      <c r="E777" s="7"/>
      <c r="F777" s="7"/>
      <c r="G777" s="7"/>
      <c r="H777" s="7"/>
      <c r="I777" s="7"/>
      <c r="J777" s="7"/>
      <c r="K777" s="7"/>
      <c r="L777" s="7"/>
      <c r="M777" s="7"/>
      <c r="N777" s="7"/>
    </row>
    <row r="778" spans="1:14" ht="19.5" customHeight="1" x14ac:dyDescent="0.25">
      <c r="A778" s="7"/>
      <c r="B778" s="7"/>
      <c r="C778" s="13"/>
      <c r="D778" s="13"/>
      <c r="E778" s="7"/>
      <c r="F778" s="7"/>
      <c r="G778" s="7"/>
      <c r="H778" s="7"/>
      <c r="I778" s="7"/>
      <c r="J778" s="7"/>
      <c r="K778" s="7"/>
      <c r="L778" s="7"/>
      <c r="M778" s="7"/>
      <c r="N778" s="7"/>
    </row>
    <row r="779" spans="1:14" ht="19.5" customHeight="1" x14ac:dyDescent="0.25">
      <c r="A779" s="7"/>
      <c r="B779" s="7"/>
      <c r="C779" s="13"/>
      <c r="D779" s="13"/>
      <c r="E779" s="7"/>
      <c r="F779" s="7"/>
      <c r="G779" s="7"/>
      <c r="H779" s="7"/>
      <c r="I779" s="7"/>
      <c r="J779" s="7"/>
      <c r="K779" s="7"/>
      <c r="L779" s="7"/>
      <c r="M779" s="7"/>
      <c r="N779" s="7"/>
    </row>
    <row r="780" spans="1:14" ht="19.5" customHeight="1" x14ac:dyDescent="0.25">
      <c r="A780" s="7"/>
      <c r="B780" s="7"/>
      <c r="C780" s="13"/>
      <c r="D780" s="13"/>
      <c r="E780" s="7"/>
      <c r="F780" s="7"/>
      <c r="G780" s="7"/>
      <c r="H780" s="7"/>
      <c r="I780" s="7"/>
      <c r="J780" s="7"/>
      <c r="K780" s="7"/>
      <c r="L780" s="7"/>
      <c r="M780" s="7"/>
      <c r="N780" s="7"/>
    </row>
    <row r="781" spans="1:14" ht="19.5" customHeight="1" x14ac:dyDescent="0.25">
      <c r="A781" s="7"/>
      <c r="B781" s="7"/>
      <c r="C781" s="13"/>
      <c r="D781" s="13"/>
      <c r="E781" s="7"/>
      <c r="F781" s="7"/>
      <c r="G781" s="7"/>
      <c r="H781" s="7"/>
      <c r="I781" s="7"/>
      <c r="J781" s="7"/>
      <c r="K781" s="7"/>
      <c r="L781" s="7"/>
      <c r="M781" s="7"/>
      <c r="N781" s="7"/>
    </row>
    <row r="782" spans="1:14" ht="19.5" customHeight="1" x14ac:dyDescent="0.25">
      <c r="A782" s="7"/>
      <c r="B782" s="7"/>
      <c r="C782" s="13"/>
      <c r="D782" s="13"/>
      <c r="E782" s="7"/>
      <c r="F782" s="7"/>
      <c r="G782" s="7"/>
      <c r="H782" s="7"/>
      <c r="I782" s="7"/>
      <c r="J782" s="7"/>
      <c r="K782" s="7"/>
      <c r="L782" s="7"/>
      <c r="M782" s="7"/>
      <c r="N782" s="7"/>
    </row>
    <row r="783" spans="1:14" ht="19.5" customHeight="1" x14ac:dyDescent="0.25">
      <c r="A783" s="7"/>
      <c r="B783" s="7"/>
      <c r="C783" s="13"/>
      <c r="D783" s="13"/>
      <c r="E783" s="7"/>
      <c r="F783" s="7"/>
      <c r="G783" s="7"/>
      <c r="H783" s="7"/>
      <c r="I783" s="7"/>
      <c r="J783" s="7"/>
      <c r="K783" s="7"/>
      <c r="L783" s="7"/>
      <c r="M783" s="7"/>
      <c r="N783" s="7"/>
    </row>
    <row r="784" spans="1:14" ht="19.5" customHeight="1" x14ac:dyDescent="0.25">
      <c r="A784" s="7"/>
      <c r="B784" s="7"/>
      <c r="C784" s="13"/>
      <c r="D784" s="13"/>
      <c r="E784" s="7"/>
      <c r="F784" s="7"/>
      <c r="G784" s="7"/>
      <c r="H784" s="7"/>
      <c r="I784" s="7"/>
      <c r="J784" s="7"/>
      <c r="K784" s="7"/>
      <c r="L784" s="7"/>
      <c r="M784" s="7"/>
      <c r="N784" s="7"/>
    </row>
    <row r="785" spans="1:14" ht="19.5" customHeight="1" x14ac:dyDescent="0.25">
      <c r="A785" s="7"/>
      <c r="B785" s="7"/>
      <c r="C785" s="13"/>
      <c r="D785" s="13"/>
      <c r="E785" s="7"/>
      <c r="F785" s="7"/>
      <c r="G785" s="7"/>
      <c r="H785" s="7"/>
      <c r="I785" s="7"/>
      <c r="J785" s="7"/>
      <c r="K785" s="7"/>
      <c r="L785" s="7"/>
      <c r="M785" s="7"/>
      <c r="N785" s="7"/>
    </row>
    <row r="786" spans="1:14" ht="19.5" customHeight="1" x14ac:dyDescent="0.25">
      <c r="A786" s="7"/>
      <c r="B786" s="7"/>
      <c r="C786" s="13"/>
      <c r="D786" s="13"/>
      <c r="E786" s="7"/>
      <c r="F786" s="7"/>
      <c r="G786" s="7"/>
      <c r="H786" s="7"/>
      <c r="I786" s="7"/>
      <c r="J786" s="7"/>
      <c r="K786" s="7"/>
      <c r="L786" s="7"/>
      <c r="M786" s="7"/>
      <c r="N786" s="7"/>
    </row>
    <row r="787" spans="1:14" ht="19.5" customHeight="1" x14ac:dyDescent="0.25">
      <c r="A787" s="7"/>
      <c r="B787" s="7"/>
      <c r="C787" s="13"/>
      <c r="D787" s="13"/>
      <c r="E787" s="7"/>
      <c r="F787" s="7"/>
      <c r="G787" s="7"/>
      <c r="H787" s="7"/>
      <c r="I787" s="7"/>
      <c r="J787" s="7"/>
      <c r="K787" s="7"/>
      <c r="L787" s="7"/>
      <c r="M787" s="7"/>
      <c r="N787" s="7"/>
    </row>
    <row r="788" spans="1:14" ht="19.5" customHeight="1" x14ac:dyDescent="0.25">
      <c r="A788" s="7"/>
      <c r="B788" s="7"/>
      <c r="C788" s="13"/>
      <c r="D788" s="13"/>
      <c r="E788" s="7"/>
      <c r="F788" s="7"/>
      <c r="G788" s="7"/>
      <c r="H788" s="7"/>
      <c r="I788" s="7"/>
      <c r="J788" s="7"/>
      <c r="K788" s="7"/>
      <c r="L788" s="7"/>
      <c r="M788" s="7"/>
      <c r="N788" s="7"/>
    </row>
    <row r="789" spans="1:14" ht="19.5" customHeight="1" x14ac:dyDescent="0.25">
      <c r="A789" s="7"/>
      <c r="B789" s="7"/>
      <c r="C789" s="13"/>
      <c r="D789" s="13"/>
      <c r="E789" s="7"/>
      <c r="F789" s="7"/>
      <c r="G789" s="7"/>
      <c r="H789" s="7"/>
      <c r="I789" s="7"/>
      <c r="J789" s="7"/>
      <c r="K789" s="7"/>
      <c r="L789" s="7"/>
      <c r="M789" s="7"/>
      <c r="N789" s="7"/>
    </row>
    <row r="790" spans="1:14" ht="19.5" customHeight="1" x14ac:dyDescent="0.25">
      <c r="A790" s="7"/>
      <c r="B790" s="7"/>
      <c r="C790" s="13"/>
      <c r="D790" s="13"/>
      <c r="E790" s="7"/>
      <c r="F790" s="7"/>
      <c r="G790" s="7"/>
      <c r="H790" s="7"/>
      <c r="I790" s="7"/>
      <c r="J790" s="7"/>
      <c r="K790" s="7"/>
      <c r="L790" s="7"/>
      <c r="M790" s="7"/>
      <c r="N790" s="7"/>
    </row>
    <row r="791" spans="1:14" ht="19.5" customHeight="1" x14ac:dyDescent="0.25">
      <c r="A791" s="7"/>
      <c r="B791" s="7"/>
      <c r="C791" s="13"/>
      <c r="D791" s="13"/>
      <c r="E791" s="7"/>
      <c r="F791" s="7"/>
      <c r="G791" s="7"/>
      <c r="H791" s="7"/>
      <c r="I791" s="7"/>
      <c r="J791" s="7"/>
      <c r="K791" s="7"/>
      <c r="L791" s="7"/>
      <c r="M791" s="7"/>
      <c r="N791" s="7"/>
    </row>
    <row r="792" spans="1:14" ht="19.5" customHeight="1" x14ac:dyDescent="0.25">
      <c r="A792" s="7"/>
      <c r="B792" s="7"/>
      <c r="C792" s="13"/>
      <c r="D792" s="13"/>
      <c r="E792" s="7"/>
      <c r="F792" s="7"/>
      <c r="G792" s="7"/>
      <c r="H792" s="7"/>
      <c r="I792" s="7"/>
      <c r="J792" s="7"/>
      <c r="K792" s="7"/>
      <c r="L792" s="7"/>
      <c r="M792" s="7"/>
      <c r="N792" s="7"/>
    </row>
    <row r="793" spans="1:14" ht="19.5" customHeight="1" x14ac:dyDescent="0.25">
      <c r="A793" s="7"/>
      <c r="B793" s="7"/>
      <c r="C793" s="13"/>
      <c r="D793" s="13"/>
      <c r="E793" s="7"/>
      <c r="F793" s="7"/>
      <c r="G793" s="7"/>
      <c r="H793" s="7"/>
      <c r="I793" s="7"/>
      <c r="J793" s="7"/>
      <c r="K793" s="7"/>
      <c r="L793" s="7"/>
      <c r="M793" s="7"/>
      <c r="N793" s="7"/>
    </row>
    <row r="794" spans="1:14" ht="19.5" customHeight="1" x14ac:dyDescent="0.25">
      <c r="A794" s="7"/>
      <c r="B794" s="7"/>
      <c r="C794" s="13"/>
      <c r="D794" s="13"/>
      <c r="E794" s="7"/>
      <c r="F794" s="7"/>
      <c r="G794" s="7"/>
      <c r="H794" s="7"/>
      <c r="I794" s="7"/>
      <c r="J794" s="7"/>
      <c r="K794" s="7"/>
      <c r="L794" s="7"/>
      <c r="M794" s="7"/>
      <c r="N794" s="7"/>
    </row>
    <row r="795" spans="1:14" ht="19.5" customHeight="1" x14ac:dyDescent="0.25">
      <c r="A795" s="7"/>
      <c r="B795" s="7"/>
      <c r="C795" s="13"/>
      <c r="D795" s="13"/>
      <c r="E795" s="7"/>
      <c r="F795" s="7"/>
      <c r="G795" s="7"/>
      <c r="H795" s="7"/>
      <c r="I795" s="7"/>
      <c r="J795" s="7"/>
      <c r="K795" s="7"/>
      <c r="L795" s="7"/>
      <c r="M795" s="7"/>
      <c r="N795" s="7"/>
    </row>
    <row r="796" spans="1:14" ht="19.5" customHeight="1" x14ac:dyDescent="0.25">
      <c r="A796" s="7"/>
      <c r="B796" s="7"/>
      <c r="C796" s="13"/>
      <c r="D796" s="13"/>
      <c r="E796" s="7"/>
      <c r="F796" s="7"/>
      <c r="G796" s="7"/>
      <c r="H796" s="7"/>
      <c r="I796" s="7"/>
      <c r="J796" s="7"/>
      <c r="K796" s="7"/>
      <c r="L796" s="7"/>
      <c r="M796" s="7"/>
      <c r="N796" s="7"/>
    </row>
    <row r="797" spans="1:14" ht="19.5" customHeight="1" x14ac:dyDescent="0.25">
      <c r="A797" s="7"/>
      <c r="B797" s="7"/>
      <c r="C797" s="13"/>
      <c r="D797" s="13"/>
      <c r="E797" s="7"/>
      <c r="F797" s="7"/>
      <c r="G797" s="7"/>
      <c r="H797" s="7"/>
      <c r="I797" s="7"/>
      <c r="J797" s="7"/>
      <c r="K797" s="7"/>
      <c r="L797" s="7"/>
      <c r="M797" s="7"/>
      <c r="N797" s="7"/>
    </row>
    <row r="798" spans="1:14" ht="19.5" customHeight="1" x14ac:dyDescent="0.25">
      <c r="A798" s="7"/>
      <c r="B798" s="7"/>
      <c r="C798" s="13"/>
      <c r="D798" s="13"/>
      <c r="E798" s="7"/>
      <c r="F798" s="7"/>
      <c r="G798" s="7"/>
      <c r="H798" s="7"/>
      <c r="I798" s="7"/>
      <c r="J798" s="7"/>
      <c r="K798" s="7"/>
      <c r="L798" s="7"/>
      <c r="M798" s="7"/>
      <c r="N798" s="7"/>
    </row>
    <row r="799" spans="1:14" ht="19.5" customHeight="1" x14ac:dyDescent="0.25">
      <c r="A799" s="7"/>
      <c r="B799" s="7"/>
      <c r="C799" s="13"/>
      <c r="D799" s="13"/>
      <c r="E799" s="7"/>
      <c r="F799" s="7"/>
      <c r="G799" s="7"/>
      <c r="H799" s="7"/>
      <c r="I799" s="7"/>
      <c r="J799" s="7"/>
      <c r="K799" s="7"/>
      <c r="L799" s="7"/>
      <c r="M799" s="7"/>
      <c r="N799" s="7"/>
    </row>
    <row r="800" spans="1:14" ht="19.5" customHeight="1" x14ac:dyDescent="0.25">
      <c r="A800" s="7"/>
      <c r="B800" s="7"/>
      <c r="C800" s="13"/>
      <c r="D800" s="13"/>
      <c r="E800" s="7"/>
      <c r="F800" s="7"/>
      <c r="G800" s="7"/>
      <c r="H800" s="7"/>
      <c r="I800" s="7"/>
      <c r="J800" s="7"/>
      <c r="K800" s="7"/>
      <c r="L800" s="7"/>
      <c r="M800" s="7"/>
      <c r="N800" s="7"/>
    </row>
    <row r="801" spans="1:14" ht="19.5" customHeight="1" x14ac:dyDescent="0.25">
      <c r="A801" s="7"/>
      <c r="B801" s="7"/>
      <c r="C801" s="13"/>
      <c r="D801" s="13"/>
      <c r="E801" s="7"/>
      <c r="F801" s="7"/>
      <c r="G801" s="7"/>
      <c r="H801" s="7"/>
      <c r="I801" s="7"/>
      <c r="J801" s="7"/>
      <c r="K801" s="7"/>
      <c r="L801" s="7"/>
      <c r="M801" s="7"/>
      <c r="N801" s="7"/>
    </row>
    <row r="802" spans="1:14" ht="19.5" customHeight="1" x14ac:dyDescent="0.25">
      <c r="A802" s="7"/>
      <c r="B802" s="7"/>
      <c r="C802" s="13"/>
      <c r="D802" s="13"/>
      <c r="E802" s="7"/>
      <c r="F802" s="7"/>
      <c r="G802" s="7"/>
      <c r="H802" s="7"/>
      <c r="I802" s="7"/>
      <c r="J802" s="7"/>
      <c r="K802" s="7"/>
      <c r="L802" s="7"/>
      <c r="M802" s="7"/>
      <c r="N802" s="7"/>
    </row>
    <row r="803" spans="1:14" ht="19.5" customHeight="1" x14ac:dyDescent="0.25">
      <c r="A803" s="7"/>
      <c r="B803" s="7"/>
      <c r="C803" s="13"/>
      <c r="D803" s="13"/>
      <c r="E803" s="7"/>
      <c r="F803" s="7"/>
      <c r="G803" s="7"/>
      <c r="H803" s="7"/>
      <c r="I803" s="7"/>
      <c r="J803" s="7"/>
      <c r="K803" s="7"/>
      <c r="L803" s="7"/>
      <c r="M803" s="7"/>
      <c r="N803" s="7"/>
    </row>
    <row r="804" spans="1:14" ht="19.5" customHeight="1" x14ac:dyDescent="0.25">
      <c r="A804" s="7"/>
      <c r="B804" s="7"/>
      <c r="C804" s="13"/>
      <c r="D804" s="13"/>
      <c r="E804" s="7"/>
      <c r="F804" s="7"/>
      <c r="G804" s="7"/>
      <c r="H804" s="7"/>
      <c r="I804" s="7"/>
      <c r="J804" s="7"/>
      <c r="K804" s="7"/>
      <c r="L804" s="7"/>
      <c r="M804" s="7"/>
      <c r="N804" s="7"/>
    </row>
    <row r="805" spans="1:14" ht="19.5" customHeight="1" x14ac:dyDescent="0.25">
      <c r="A805" s="7"/>
      <c r="B805" s="7"/>
      <c r="C805" s="13"/>
      <c r="D805" s="13"/>
      <c r="E805" s="7"/>
      <c r="F805" s="7"/>
      <c r="G805" s="7"/>
      <c r="H805" s="7"/>
      <c r="I805" s="7"/>
      <c r="J805" s="7"/>
      <c r="K805" s="7"/>
      <c r="L805" s="7"/>
      <c r="M805" s="7"/>
      <c r="N805" s="7"/>
    </row>
    <row r="806" spans="1:14" ht="19.5" customHeight="1" x14ac:dyDescent="0.25">
      <c r="A806" s="7"/>
      <c r="B806" s="7"/>
      <c r="C806" s="13"/>
      <c r="D806" s="13"/>
      <c r="E806" s="7"/>
      <c r="F806" s="7"/>
      <c r="G806" s="7"/>
      <c r="H806" s="7"/>
      <c r="I806" s="7"/>
      <c r="J806" s="7"/>
      <c r="K806" s="7"/>
      <c r="L806" s="7"/>
      <c r="M806" s="7"/>
      <c r="N806" s="7"/>
    </row>
    <row r="807" spans="1:14" ht="19.5" customHeight="1" x14ac:dyDescent="0.25">
      <c r="A807" s="7"/>
      <c r="B807" s="7"/>
      <c r="C807" s="13"/>
      <c r="D807" s="13"/>
      <c r="E807" s="7"/>
      <c r="F807" s="7"/>
      <c r="G807" s="7"/>
      <c r="H807" s="7"/>
      <c r="I807" s="7"/>
      <c r="J807" s="7"/>
      <c r="K807" s="7"/>
      <c r="L807" s="7"/>
      <c r="M807" s="7"/>
      <c r="N807" s="7"/>
    </row>
    <row r="808" spans="1:14" ht="19.5" customHeight="1" x14ac:dyDescent="0.25">
      <c r="A808" s="7"/>
      <c r="B808" s="7"/>
      <c r="C808" s="13"/>
      <c r="D808" s="13"/>
      <c r="E808" s="7"/>
      <c r="F808" s="7"/>
      <c r="G808" s="7"/>
      <c r="H808" s="7"/>
      <c r="I808" s="7"/>
      <c r="J808" s="7"/>
      <c r="K808" s="7"/>
      <c r="L808" s="7"/>
      <c r="M808" s="7"/>
      <c r="N808" s="7"/>
    </row>
    <row r="809" spans="1:14" ht="19.5" customHeight="1" x14ac:dyDescent="0.25">
      <c r="A809" s="7"/>
      <c r="B809" s="7"/>
      <c r="C809" s="13"/>
      <c r="D809" s="13"/>
      <c r="E809" s="7"/>
      <c r="F809" s="7"/>
      <c r="G809" s="7"/>
      <c r="H809" s="7"/>
      <c r="I809" s="7"/>
      <c r="J809" s="7"/>
      <c r="K809" s="7"/>
      <c r="L809" s="7"/>
      <c r="M809" s="7"/>
      <c r="N809" s="7"/>
    </row>
    <row r="810" spans="1:14" ht="19.5" customHeight="1" x14ac:dyDescent="0.25">
      <c r="A810" s="7"/>
      <c r="B810" s="7"/>
      <c r="C810" s="13"/>
      <c r="D810" s="13"/>
      <c r="E810" s="7"/>
      <c r="F810" s="7"/>
      <c r="G810" s="7"/>
      <c r="H810" s="7"/>
      <c r="I810" s="7"/>
      <c r="J810" s="7"/>
      <c r="K810" s="7"/>
      <c r="L810" s="7"/>
      <c r="M810" s="7"/>
      <c r="N810" s="7"/>
    </row>
    <row r="811" spans="1:14" ht="19.5" customHeight="1" x14ac:dyDescent="0.25">
      <c r="A811" s="7"/>
      <c r="B811" s="7"/>
      <c r="C811" s="13"/>
      <c r="D811" s="13"/>
      <c r="E811" s="7"/>
      <c r="F811" s="7"/>
      <c r="G811" s="7"/>
      <c r="H811" s="7"/>
      <c r="I811" s="7"/>
      <c r="J811" s="7"/>
      <c r="K811" s="7"/>
      <c r="L811" s="7"/>
      <c r="M811" s="7"/>
      <c r="N811" s="7"/>
    </row>
    <row r="812" spans="1:14" ht="19.5" customHeight="1" x14ac:dyDescent="0.25">
      <c r="A812" s="7"/>
      <c r="B812" s="7"/>
      <c r="C812" s="13"/>
      <c r="D812" s="13"/>
      <c r="E812" s="7"/>
      <c r="F812" s="7"/>
      <c r="G812" s="7"/>
      <c r="H812" s="7"/>
      <c r="I812" s="7"/>
      <c r="J812" s="7"/>
      <c r="K812" s="7"/>
      <c r="L812" s="7"/>
      <c r="M812" s="7"/>
      <c r="N812" s="7"/>
    </row>
    <row r="813" spans="1:14" ht="19.5" customHeight="1" x14ac:dyDescent="0.25">
      <c r="A813" s="7"/>
      <c r="B813" s="7"/>
      <c r="C813" s="13"/>
      <c r="D813" s="13"/>
      <c r="E813" s="7"/>
      <c r="F813" s="7"/>
      <c r="G813" s="7"/>
      <c r="H813" s="7"/>
      <c r="I813" s="7"/>
      <c r="J813" s="7"/>
      <c r="K813" s="7"/>
      <c r="L813" s="7"/>
      <c r="M813" s="7"/>
      <c r="N813" s="7"/>
    </row>
    <row r="814" spans="1:14" ht="19.5" customHeight="1" x14ac:dyDescent="0.25">
      <c r="A814" s="7"/>
      <c r="B814" s="7"/>
      <c r="C814" s="13"/>
      <c r="D814" s="13"/>
      <c r="E814" s="7"/>
      <c r="F814" s="7"/>
      <c r="G814" s="7"/>
      <c r="H814" s="7"/>
      <c r="I814" s="7"/>
      <c r="J814" s="7"/>
      <c r="K814" s="7"/>
      <c r="L814" s="7"/>
      <c r="M814" s="7"/>
      <c r="N814" s="7"/>
    </row>
    <row r="815" spans="1:14" ht="19.5" customHeight="1" x14ac:dyDescent="0.25">
      <c r="A815" s="7"/>
      <c r="B815" s="7"/>
      <c r="C815" s="13"/>
      <c r="D815" s="13"/>
      <c r="E815" s="7"/>
      <c r="F815" s="7"/>
      <c r="G815" s="7"/>
      <c r="H815" s="7"/>
      <c r="I815" s="7"/>
      <c r="J815" s="7"/>
      <c r="K815" s="7"/>
      <c r="L815" s="7"/>
      <c r="M815" s="7"/>
      <c r="N815" s="7"/>
    </row>
    <row r="816" spans="1:14" ht="19.5" customHeight="1" x14ac:dyDescent="0.25">
      <c r="A816" s="7"/>
      <c r="B816" s="7"/>
      <c r="C816" s="13"/>
      <c r="D816" s="13"/>
      <c r="E816" s="7"/>
      <c r="F816" s="7"/>
      <c r="G816" s="7"/>
      <c r="H816" s="7"/>
      <c r="I816" s="7"/>
      <c r="J816" s="7"/>
      <c r="K816" s="7"/>
      <c r="L816" s="7"/>
      <c r="M816" s="7"/>
      <c r="N816" s="7"/>
    </row>
    <row r="817" spans="1:14" ht="19.5" customHeight="1" x14ac:dyDescent="0.25">
      <c r="A817" s="7"/>
      <c r="B817" s="7"/>
      <c r="C817" s="13"/>
      <c r="D817" s="13"/>
      <c r="E817" s="7"/>
      <c r="F817" s="7"/>
      <c r="G817" s="7"/>
      <c r="H817" s="7"/>
      <c r="I817" s="7"/>
      <c r="J817" s="7"/>
      <c r="K817" s="7"/>
      <c r="L817" s="7"/>
      <c r="M817" s="7"/>
      <c r="N817" s="7"/>
    </row>
    <row r="818" spans="1:14" ht="19.5" customHeight="1" x14ac:dyDescent="0.25">
      <c r="A818" s="7"/>
      <c r="B818" s="7"/>
      <c r="C818" s="13"/>
      <c r="D818" s="13"/>
      <c r="E818" s="7"/>
      <c r="F818" s="7"/>
      <c r="G818" s="7"/>
      <c r="H818" s="7"/>
      <c r="I818" s="7"/>
      <c r="J818" s="7"/>
      <c r="K818" s="7"/>
      <c r="L818" s="7"/>
      <c r="M818" s="7"/>
      <c r="N818" s="7"/>
    </row>
    <row r="819" spans="1:14" ht="19.5" customHeight="1" x14ac:dyDescent="0.25">
      <c r="A819" s="7"/>
      <c r="B819" s="7"/>
      <c r="C819" s="13"/>
      <c r="D819" s="13"/>
      <c r="E819" s="7"/>
      <c r="F819" s="7"/>
      <c r="G819" s="7"/>
      <c r="H819" s="7"/>
      <c r="I819" s="7"/>
      <c r="J819" s="7"/>
      <c r="K819" s="7"/>
      <c r="L819" s="7"/>
      <c r="M819" s="7"/>
      <c r="N819" s="7"/>
    </row>
    <row r="820" spans="1:14" ht="19.5" customHeight="1" x14ac:dyDescent="0.25">
      <c r="A820" s="7"/>
      <c r="B820" s="7"/>
      <c r="C820" s="13"/>
      <c r="D820" s="13"/>
      <c r="E820" s="7"/>
      <c r="F820" s="7"/>
      <c r="G820" s="7"/>
      <c r="H820" s="7"/>
      <c r="I820" s="7"/>
      <c r="J820" s="7"/>
      <c r="K820" s="7"/>
      <c r="L820" s="7"/>
      <c r="M820" s="7"/>
      <c r="N820" s="7"/>
    </row>
    <row r="821" spans="1:14" ht="19.5" customHeight="1" x14ac:dyDescent="0.25">
      <c r="A821" s="7"/>
      <c r="B821" s="7"/>
      <c r="C821" s="13"/>
      <c r="D821" s="13"/>
      <c r="E821" s="7"/>
      <c r="F821" s="7"/>
      <c r="G821" s="7"/>
      <c r="H821" s="7"/>
      <c r="I821" s="7"/>
      <c r="J821" s="7"/>
      <c r="K821" s="7"/>
      <c r="L821" s="7"/>
      <c r="M821" s="7"/>
      <c r="N821" s="7"/>
    </row>
    <row r="822" spans="1:14" ht="19.5" customHeight="1" x14ac:dyDescent="0.25">
      <c r="A822" s="7"/>
      <c r="B822" s="7"/>
      <c r="C822" s="13"/>
      <c r="D822" s="13"/>
      <c r="E822" s="7"/>
      <c r="F822" s="7"/>
      <c r="G822" s="7"/>
      <c r="H822" s="7"/>
      <c r="I822" s="7"/>
      <c r="J822" s="7"/>
      <c r="K822" s="7"/>
      <c r="L822" s="7"/>
      <c r="M822" s="7"/>
      <c r="N822" s="7"/>
    </row>
    <row r="823" spans="1:14" ht="19.5" customHeight="1" x14ac:dyDescent="0.25">
      <c r="A823" s="7"/>
      <c r="B823" s="7"/>
      <c r="C823" s="13"/>
      <c r="D823" s="13"/>
      <c r="E823" s="7"/>
      <c r="F823" s="7"/>
      <c r="G823" s="7"/>
      <c r="H823" s="7"/>
      <c r="I823" s="7"/>
      <c r="J823" s="7"/>
      <c r="K823" s="7"/>
      <c r="L823" s="7"/>
      <c r="M823" s="7"/>
      <c r="N823" s="7"/>
    </row>
    <row r="824" spans="1:14" ht="19.5" customHeight="1" x14ac:dyDescent="0.25">
      <c r="A824" s="7"/>
      <c r="B824" s="7"/>
      <c r="C824" s="13"/>
      <c r="D824" s="13"/>
      <c r="E824" s="7"/>
      <c r="F824" s="7"/>
      <c r="G824" s="7"/>
      <c r="H824" s="7"/>
      <c r="I824" s="7"/>
      <c r="J824" s="7"/>
      <c r="K824" s="7"/>
      <c r="L824" s="7"/>
      <c r="M824" s="7"/>
      <c r="N824" s="7"/>
    </row>
    <row r="825" spans="1:14" ht="19.5" customHeight="1" x14ac:dyDescent="0.25">
      <c r="A825" s="7"/>
      <c r="B825" s="7"/>
      <c r="C825" s="13"/>
      <c r="D825" s="13"/>
      <c r="E825" s="7"/>
      <c r="F825" s="7"/>
      <c r="G825" s="7"/>
      <c r="H825" s="7"/>
      <c r="I825" s="7"/>
      <c r="J825" s="7"/>
      <c r="K825" s="7"/>
      <c r="L825" s="7"/>
      <c r="M825" s="7"/>
      <c r="N825" s="7"/>
    </row>
    <row r="826" spans="1:14" ht="19.5" customHeight="1" x14ac:dyDescent="0.25">
      <c r="A826" s="7"/>
      <c r="B826" s="7"/>
      <c r="C826" s="13"/>
      <c r="D826" s="13"/>
      <c r="E826" s="7"/>
      <c r="F826" s="7"/>
      <c r="G826" s="7"/>
      <c r="H826" s="7"/>
      <c r="I826" s="7"/>
      <c r="J826" s="7"/>
      <c r="K826" s="7"/>
      <c r="L826" s="7"/>
      <c r="M826" s="7"/>
      <c r="N826" s="7"/>
    </row>
    <row r="827" spans="1:14" ht="19.5" customHeight="1" x14ac:dyDescent="0.25">
      <c r="A827" s="7"/>
      <c r="B827" s="7"/>
      <c r="C827" s="13"/>
      <c r="D827" s="13"/>
      <c r="E827" s="7"/>
      <c r="F827" s="7"/>
      <c r="G827" s="7"/>
      <c r="H827" s="7"/>
      <c r="I827" s="7"/>
      <c r="J827" s="7"/>
      <c r="K827" s="7"/>
      <c r="L827" s="7"/>
      <c r="M827" s="7"/>
      <c r="N827" s="7"/>
    </row>
    <row r="828" spans="1:14" ht="19.5" customHeight="1" x14ac:dyDescent="0.25">
      <c r="A828" s="7"/>
      <c r="B828" s="7"/>
      <c r="C828" s="13"/>
      <c r="D828" s="13"/>
      <c r="E828" s="7"/>
      <c r="F828" s="7"/>
      <c r="G828" s="7"/>
      <c r="H828" s="7"/>
      <c r="I828" s="7"/>
      <c r="J828" s="7"/>
      <c r="K828" s="7"/>
      <c r="L828" s="7"/>
      <c r="M828" s="7"/>
      <c r="N828" s="7"/>
    </row>
    <row r="829" spans="1:14" ht="19.5" customHeight="1" x14ac:dyDescent="0.25">
      <c r="A829" s="7"/>
      <c r="B829" s="7"/>
      <c r="C829" s="13"/>
      <c r="D829" s="13"/>
      <c r="E829" s="7"/>
      <c r="F829" s="7"/>
      <c r="G829" s="7"/>
      <c r="H829" s="7"/>
      <c r="I829" s="7"/>
      <c r="J829" s="7"/>
      <c r="K829" s="7"/>
      <c r="L829" s="7"/>
      <c r="M829" s="7"/>
      <c r="N829" s="7"/>
    </row>
    <row r="830" spans="1:14" ht="19.5" customHeight="1" x14ac:dyDescent="0.25">
      <c r="A830" s="7"/>
      <c r="B830" s="7"/>
      <c r="C830" s="13"/>
      <c r="D830" s="13"/>
      <c r="E830" s="7"/>
      <c r="F830" s="7"/>
      <c r="G830" s="7"/>
      <c r="H830" s="7"/>
      <c r="I830" s="7"/>
      <c r="J830" s="7"/>
      <c r="K830" s="7"/>
      <c r="L830" s="7"/>
      <c r="M830" s="7"/>
      <c r="N830" s="7"/>
    </row>
    <row r="831" spans="1:14" ht="19.5" customHeight="1" x14ac:dyDescent="0.25">
      <c r="A831" s="7"/>
      <c r="B831" s="7"/>
      <c r="C831" s="13"/>
      <c r="D831" s="13"/>
      <c r="E831" s="7"/>
      <c r="F831" s="7"/>
      <c r="G831" s="7"/>
      <c r="H831" s="7"/>
      <c r="I831" s="7"/>
      <c r="J831" s="7"/>
      <c r="K831" s="7"/>
      <c r="L831" s="7"/>
      <c r="M831" s="7"/>
      <c r="N831" s="7"/>
    </row>
    <row r="832" spans="1:14" ht="19.5" customHeight="1" x14ac:dyDescent="0.25">
      <c r="A832" s="7"/>
      <c r="B832" s="7"/>
      <c r="C832" s="13"/>
      <c r="D832" s="13"/>
      <c r="E832" s="7"/>
      <c r="F832" s="7"/>
      <c r="G832" s="7"/>
      <c r="H832" s="7"/>
      <c r="I832" s="7"/>
      <c r="J832" s="7"/>
      <c r="K832" s="7"/>
      <c r="L832" s="7"/>
      <c r="M832" s="7"/>
      <c r="N832" s="7"/>
    </row>
    <row r="833" spans="1:14" ht="19.5" customHeight="1" x14ac:dyDescent="0.25">
      <c r="A833" s="7"/>
      <c r="B833" s="7"/>
      <c r="C833" s="13"/>
      <c r="D833" s="13"/>
      <c r="E833" s="7"/>
      <c r="F833" s="7"/>
      <c r="G833" s="7"/>
      <c r="H833" s="7"/>
      <c r="I833" s="7"/>
      <c r="J833" s="7"/>
      <c r="K833" s="7"/>
      <c r="L833" s="7"/>
      <c r="M833" s="7"/>
      <c r="N833" s="7"/>
    </row>
    <row r="834" spans="1:14" ht="19.5" customHeight="1" x14ac:dyDescent="0.25">
      <c r="A834" s="7"/>
      <c r="B834" s="7"/>
      <c r="C834" s="13"/>
      <c r="D834" s="13"/>
      <c r="E834" s="7"/>
      <c r="F834" s="7"/>
      <c r="G834" s="7"/>
      <c r="H834" s="7"/>
      <c r="I834" s="7"/>
      <c r="J834" s="7"/>
      <c r="K834" s="7"/>
      <c r="L834" s="7"/>
      <c r="M834" s="7"/>
      <c r="N834" s="7"/>
    </row>
    <row r="835" spans="1:14" ht="19.5" customHeight="1" x14ac:dyDescent="0.25">
      <c r="A835" s="7"/>
      <c r="B835" s="7"/>
      <c r="C835" s="13"/>
      <c r="D835" s="13"/>
      <c r="E835" s="7"/>
      <c r="F835" s="7"/>
      <c r="G835" s="7"/>
      <c r="H835" s="7"/>
      <c r="I835" s="7"/>
      <c r="J835" s="7"/>
      <c r="K835" s="7"/>
      <c r="L835" s="7"/>
      <c r="M835" s="7"/>
      <c r="N835" s="7"/>
    </row>
    <row r="836" spans="1:14" ht="19.5" customHeight="1" x14ac:dyDescent="0.25">
      <c r="A836" s="7"/>
      <c r="B836" s="7"/>
      <c r="C836" s="13"/>
      <c r="D836" s="13"/>
      <c r="E836" s="7"/>
      <c r="F836" s="7"/>
      <c r="G836" s="7"/>
      <c r="H836" s="7"/>
      <c r="I836" s="7"/>
      <c r="J836" s="7"/>
      <c r="K836" s="7"/>
      <c r="L836" s="7"/>
      <c r="M836" s="7"/>
      <c r="N836" s="7"/>
    </row>
    <row r="837" spans="1:14" ht="19.5" customHeight="1" x14ac:dyDescent="0.25">
      <c r="A837" s="7"/>
      <c r="B837" s="7"/>
      <c r="C837" s="13"/>
      <c r="D837" s="13"/>
      <c r="E837" s="7"/>
      <c r="F837" s="7"/>
      <c r="G837" s="7"/>
      <c r="H837" s="7"/>
      <c r="I837" s="7"/>
      <c r="J837" s="7"/>
      <c r="K837" s="7"/>
      <c r="L837" s="7"/>
      <c r="M837" s="7"/>
      <c r="N837" s="7"/>
    </row>
    <row r="838" spans="1:14" ht="19.5" customHeight="1" x14ac:dyDescent="0.25">
      <c r="A838" s="7"/>
      <c r="B838" s="7"/>
      <c r="C838" s="13"/>
      <c r="D838" s="13"/>
      <c r="E838" s="7"/>
      <c r="F838" s="7"/>
      <c r="G838" s="7"/>
      <c r="H838" s="7"/>
      <c r="I838" s="7"/>
      <c r="J838" s="7"/>
      <c r="K838" s="7"/>
      <c r="L838" s="7"/>
      <c r="M838" s="7"/>
      <c r="N838" s="7"/>
    </row>
    <row r="839" spans="1:14" ht="19.5" customHeight="1" x14ac:dyDescent="0.25">
      <c r="A839" s="7"/>
      <c r="B839" s="7"/>
      <c r="C839" s="13"/>
      <c r="D839" s="13"/>
      <c r="E839" s="7"/>
      <c r="F839" s="7"/>
      <c r="G839" s="7"/>
      <c r="H839" s="7"/>
      <c r="I839" s="7"/>
      <c r="J839" s="7"/>
      <c r="K839" s="7"/>
      <c r="L839" s="7"/>
      <c r="M839" s="7"/>
      <c r="N839" s="7"/>
    </row>
    <row r="840" spans="1:14" ht="19.5" customHeight="1" x14ac:dyDescent="0.25">
      <c r="A840" s="7"/>
      <c r="B840" s="7"/>
      <c r="C840" s="13"/>
      <c r="D840" s="13"/>
      <c r="E840" s="7"/>
      <c r="F840" s="7"/>
      <c r="G840" s="7"/>
      <c r="H840" s="7"/>
      <c r="I840" s="7"/>
      <c r="J840" s="7"/>
      <c r="K840" s="7"/>
      <c r="L840" s="7"/>
      <c r="M840" s="7"/>
      <c r="N840" s="7"/>
    </row>
    <row r="841" spans="1:14" ht="19.5" customHeight="1" x14ac:dyDescent="0.25">
      <c r="A841" s="7"/>
      <c r="B841" s="7"/>
      <c r="C841" s="13"/>
      <c r="D841" s="13"/>
      <c r="E841" s="7"/>
      <c r="F841" s="7"/>
      <c r="G841" s="7"/>
      <c r="H841" s="7"/>
      <c r="I841" s="7"/>
      <c r="J841" s="7"/>
      <c r="K841" s="7"/>
      <c r="L841" s="7"/>
      <c r="M841" s="7"/>
      <c r="N841" s="7"/>
    </row>
    <row r="842" spans="1:14" ht="19.5" customHeight="1" x14ac:dyDescent="0.25">
      <c r="A842" s="7"/>
      <c r="B842" s="7"/>
      <c r="C842" s="13"/>
      <c r="D842" s="13"/>
      <c r="E842" s="7"/>
      <c r="F842" s="7"/>
      <c r="G842" s="7"/>
      <c r="H842" s="7"/>
      <c r="I842" s="7"/>
      <c r="J842" s="7"/>
      <c r="K842" s="7"/>
      <c r="L842" s="7"/>
      <c r="M842" s="7"/>
      <c r="N842" s="7"/>
    </row>
    <row r="843" spans="1:14" ht="19.5" customHeight="1" x14ac:dyDescent="0.25">
      <c r="A843" s="7"/>
      <c r="B843" s="7"/>
      <c r="C843" s="13"/>
      <c r="D843" s="13"/>
      <c r="E843" s="7"/>
      <c r="F843" s="7"/>
      <c r="G843" s="7"/>
      <c r="H843" s="7"/>
      <c r="I843" s="7"/>
      <c r="J843" s="7"/>
      <c r="K843" s="7"/>
      <c r="L843" s="7"/>
      <c r="M843" s="7"/>
      <c r="N843" s="7"/>
    </row>
    <row r="844" spans="1:14" ht="19.5" customHeight="1" x14ac:dyDescent="0.25">
      <c r="A844" s="7"/>
      <c r="B844" s="7"/>
      <c r="C844" s="13"/>
      <c r="D844" s="13"/>
      <c r="E844" s="7"/>
      <c r="F844" s="7"/>
      <c r="G844" s="7"/>
      <c r="H844" s="7"/>
      <c r="I844" s="7"/>
      <c r="J844" s="7"/>
      <c r="K844" s="7"/>
      <c r="L844" s="7"/>
      <c r="M844" s="7"/>
      <c r="N844" s="7"/>
    </row>
    <row r="845" spans="1:14" ht="19.5" customHeight="1" x14ac:dyDescent="0.25">
      <c r="A845" s="7"/>
      <c r="B845" s="7"/>
      <c r="C845" s="13"/>
      <c r="D845" s="13"/>
      <c r="E845" s="7"/>
      <c r="F845" s="7"/>
      <c r="G845" s="7"/>
      <c r="H845" s="7"/>
      <c r="I845" s="7"/>
      <c r="J845" s="7"/>
      <c r="K845" s="7"/>
      <c r="L845" s="7"/>
      <c r="M845" s="7"/>
      <c r="N845" s="7"/>
    </row>
    <row r="846" spans="1:14" ht="19.5" customHeight="1" x14ac:dyDescent="0.25">
      <c r="A846" s="7"/>
      <c r="B846" s="7"/>
      <c r="C846" s="13"/>
      <c r="D846" s="13"/>
      <c r="E846" s="7"/>
      <c r="F846" s="7"/>
      <c r="G846" s="7"/>
      <c r="H846" s="7"/>
      <c r="I846" s="7"/>
      <c r="J846" s="7"/>
      <c r="K846" s="7"/>
      <c r="L846" s="7"/>
      <c r="M846" s="7"/>
      <c r="N846" s="7"/>
    </row>
    <row r="847" spans="1:14" ht="19.5" customHeight="1" x14ac:dyDescent="0.25">
      <c r="A847" s="7"/>
      <c r="B847" s="7"/>
      <c r="C847" s="13"/>
      <c r="D847" s="13"/>
      <c r="E847" s="7"/>
      <c r="F847" s="7"/>
      <c r="G847" s="7"/>
      <c r="H847" s="7"/>
      <c r="I847" s="7"/>
      <c r="J847" s="7"/>
      <c r="K847" s="7"/>
      <c r="L847" s="7"/>
      <c r="M847" s="7"/>
      <c r="N847" s="7"/>
    </row>
    <row r="848" spans="1:14" ht="19.5" customHeight="1" x14ac:dyDescent="0.25">
      <c r="A848" s="7"/>
      <c r="B848" s="7"/>
      <c r="C848" s="13"/>
      <c r="D848" s="13"/>
      <c r="E848" s="7"/>
      <c r="F848" s="7"/>
      <c r="G848" s="7"/>
      <c r="H848" s="7"/>
      <c r="I848" s="7"/>
      <c r="J848" s="7"/>
      <c r="K848" s="7"/>
      <c r="L848" s="7"/>
      <c r="M848" s="7"/>
      <c r="N848" s="7"/>
    </row>
    <row r="849" spans="1:14" ht="19.5" customHeight="1" x14ac:dyDescent="0.25">
      <c r="A849" s="7"/>
      <c r="B849" s="7"/>
      <c r="C849" s="13"/>
      <c r="D849" s="13"/>
      <c r="E849" s="7"/>
      <c r="F849" s="7"/>
      <c r="G849" s="7"/>
      <c r="H849" s="7"/>
      <c r="I849" s="7"/>
      <c r="J849" s="7"/>
      <c r="K849" s="7"/>
      <c r="L849" s="7"/>
      <c r="M849" s="7"/>
      <c r="N849" s="7"/>
    </row>
    <row r="850" spans="1:14" ht="19.5" customHeight="1" x14ac:dyDescent="0.25">
      <c r="A850" s="7"/>
      <c r="B850" s="7"/>
      <c r="C850" s="13"/>
      <c r="D850" s="13"/>
      <c r="E850" s="7"/>
      <c r="F850" s="7"/>
      <c r="G850" s="7"/>
      <c r="H850" s="7"/>
      <c r="I850" s="7"/>
      <c r="J850" s="7"/>
      <c r="K850" s="7"/>
      <c r="L850" s="7"/>
      <c r="M850" s="7"/>
      <c r="N850" s="7"/>
    </row>
    <row r="851" spans="1:14" ht="19.5" customHeight="1" x14ac:dyDescent="0.25">
      <c r="A851" s="7"/>
      <c r="B851" s="7"/>
      <c r="C851" s="13"/>
      <c r="D851" s="13"/>
      <c r="E851" s="7"/>
      <c r="F851" s="7"/>
      <c r="G851" s="7"/>
      <c r="H851" s="7"/>
      <c r="I851" s="7"/>
      <c r="J851" s="7"/>
      <c r="K851" s="7"/>
      <c r="L851" s="7"/>
      <c r="M851" s="7"/>
      <c r="N851" s="7"/>
    </row>
    <row r="852" spans="1:14" ht="19.5" customHeight="1" x14ac:dyDescent="0.25">
      <c r="A852" s="7"/>
      <c r="B852" s="7"/>
      <c r="C852" s="13"/>
      <c r="D852" s="13"/>
      <c r="E852" s="7"/>
      <c r="F852" s="7"/>
      <c r="G852" s="7"/>
      <c r="H852" s="7"/>
      <c r="I852" s="7"/>
      <c r="J852" s="7"/>
      <c r="K852" s="7"/>
      <c r="L852" s="7"/>
      <c r="M852" s="7"/>
      <c r="N852" s="7"/>
    </row>
    <row r="853" spans="1:14" ht="19.5" customHeight="1" x14ac:dyDescent="0.25">
      <c r="A853" s="7"/>
      <c r="B853" s="7"/>
      <c r="C853" s="13"/>
      <c r="D853" s="13"/>
      <c r="E853" s="7"/>
      <c r="F853" s="7"/>
      <c r="G853" s="7"/>
      <c r="H853" s="7"/>
      <c r="I853" s="7"/>
      <c r="J853" s="7"/>
      <c r="K853" s="7"/>
      <c r="L853" s="7"/>
      <c r="M853" s="7"/>
      <c r="N853" s="7"/>
    </row>
    <row r="854" spans="1:14" ht="19.5" customHeight="1" x14ac:dyDescent="0.25">
      <c r="A854" s="7"/>
      <c r="B854" s="7"/>
      <c r="C854" s="13"/>
      <c r="D854" s="13"/>
      <c r="E854" s="7"/>
      <c r="F854" s="7"/>
      <c r="G854" s="7"/>
      <c r="H854" s="7"/>
      <c r="I854" s="7"/>
      <c r="J854" s="7"/>
      <c r="K854" s="7"/>
      <c r="L854" s="7"/>
      <c r="M854" s="7"/>
      <c r="N854" s="7"/>
    </row>
    <row r="855" spans="1:14" ht="19.5" customHeight="1" x14ac:dyDescent="0.25">
      <c r="A855" s="7"/>
      <c r="B855" s="7"/>
      <c r="C855" s="13"/>
      <c r="D855" s="13"/>
      <c r="E855" s="7"/>
      <c r="F855" s="7"/>
      <c r="G855" s="7"/>
      <c r="H855" s="7"/>
      <c r="I855" s="7"/>
      <c r="J855" s="7"/>
      <c r="K855" s="7"/>
      <c r="L855" s="7"/>
      <c r="M855" s="7"/>
      <c r="N855" s="7"/>
    </row>
    <row r="856" spans="1:14" ht="19.5" customHeight="1" x14ac:dyDescent="0.25">
      <c r="A856" s="7"/>
      <c r="B856" s="7"/>
      <c r="C856" s="13"/>
      <c r="D856" s="13"/>
      <c r="E856" s="7"/>
      <c r="F856" s="7"/>
      <c r="G856" s="7"/>
      <c r="H856" s="7"/>
      <c r="I856" s="7"/>
      <c r="J856" s="7"/>
      <c r="K856" s="7"/>
      <c r="L856" s="7"/>
      <c r="M856" s="7"/>
      <c r="N856" s="7"/>
    </row>
    <row r="857" spans="1:14" ht="19.5" customHeight="1" x14ac:dyDescent="0.25">
      <c r="A857" s="7"/>
      <c r="B857" s="7"/>
      <c r="C857" s="13"/>
      <c r="D857" s="13"/>
      <c r="E857" s="7"/>
      <c r="F857" s="7"/>
      <c r="G857" s="7"/>
      <c r="H857" s="7"/>
      <c r="I857" s="7"/>
      <c r="J857" s="7"/>
      <c r="K857" s="7"/>
      <c r="L857" s="7"/>
      <c r="M857" s="7"/>
      <c r="N857" s="7"/>
    </row>
    <row r="858" spans="1:14" ht="19.5" customHeight="1" x14ac:dyDescent="0.25">
      <c r="A858" s="7"/>
      <c r="B858" s="7"/>
      <c r="C858" s="13"/>
      <c r="D858" s="13"/>
      <c r="E858" s="7"/>
      <c r="F858" s="7"/>
      <c r="G858" s="7"/>
      <c r="H858" s="7"/>
      <c r="I858" s="7"/>
      <c r="J858" s="7"/>
      <c r="K858" s="7"/>
      <c r="L858" s="7"/>
      <c r="M858" s="7"/>
      <c r="N858" s="7"/>
    </row>
    <row r="859" spans="1:14" ht="19.5" customHeight="1" x14ac:dyDescent="0.25">
      <c r="A859" s="7"/>
      <c r="B859" s="7"/>
      <c r="C859" s="13"/>
      <c r="D859" s="13"/>
      <c r="E859" s="7"/>
      <c r="F859" s="7"/>
      <c r="G859" s="7"/>
      <c r="H859" s="7"/>
      <c r="I859" s="7"/>
      <c r="J859" s="7"/>
      <c r="K859" s="7"/>
      <c r="L859" s="7"/>
      <c r="M859" s="7"/>
      <c r="N859" s="7"/>
    </row>
    <row r="860" spans="1:14" ht="19.5" customHeight="1" x14ac:dyDescent="0.25">
      <c r="A860" s="7"/>
      <c r="B860" s="7"/>
      <c r="C860" s="13"/>
      <c r="D860" s="13"/>
      <c r="E860" s="7"/>
      <c r="F860" s="7"/>
      <c r="G860" s="7"/>
      <c r="H860" s="7"/>
      <c r="I860" s="7"/>
      <c r="J860" s="7"/>
      <c r="K860" s="7"/>
      <c r="L860" s="7"/>
      <c r="M860" s="7"/>
      <c r="N860" s="7"/>
    </row>
    <row r="861" spans="1:14" ht="19.5" customHeight="1" x14ac:dyDescent="0.25">
      <c r="A861" s="7"/>
      <c r="B861" s="7"/>
      <c r="C861" s="13"/>
      <c r="D861" s="13"/>
      <c r="E861" s="7"/>
      <c r="F861" s="7"/>
      <c r="G861" s="7"/>
      <c r="H861" s="7"/>
      <c r="I861" s="7"/>
      <c r="J861" s="7"/>
      <c r="K861" s="7"/>
      <c r="L861" s="7"/>
      <c r="M861" s="7"/>
      <c r="N861" s="7"/>
    </row>
    <row r="862" spans="1:14" ht="19.5" customHeight="1" x14ac:dyDescent="0.25">
      <c r="A862" s="7"/>
      <c r="B862" s="7"/>
      <c r="C862" s="13"/>
      <c r="D862" s="13"/>
      <c r="E862" s="7"/>
      <c r="F862" s="7"/>
      <c r="G862" s="7"/>
      <c r="H862" s="7"/>
      <c r="I862" s="7"/>
      <c r="J862" s="7"/>
      <c r="K862" s="7"/>
      <c r="L862" s="7"/>
      <c r="M862" s="7"/>
      <c r="N862" s="7"/>
    </row>
    <row r="863" spans="1:14" ht="19.5" customHeight="1" x14ac:dyDescent="0.25">
      <c r="A863" s="7"/>
      <c r="B863" s="7"/>
      <c r="C863" s="13"/>
      <c r="D863" s="13"/>
      <c r="E863" s="7"/>
      <c r="F863" s="7"/>
      <c r="G863" s="7"/>
      <c r="H863" s="7"/>
      <c r="I863" s="7"/>
      <c r="J863" s="7"/>
      <c r="K863" s="7"/>
      <c r="L863" s="7"/>
      <c r="M863" s="7"/>
      <c r="N863" s="7"/>
    </row>
    <row r="864" spans="1:14" ht="19.5" customHeight="1" x14ac:dyDescent="0.25">
      <c r="A864" s="7"/>
      <c r="B864" s="7"/>
      <c r="C864" s="13"/>
      <c r="D864" s="13"/>
      <c r="E864" s="7"/>
      <c r="F864" s="7"/>
      <c r="G864" s="7"/>
      <c r="H864" s="7"/>
      <c r="I864" s="7"/>
      <c r="J864" s="7"/>
      <c r="K864" s="7"/>
      <c r="L864" s="7"/>
      <c r="M864" s="7"/>
      <c r="N864" s="7"/>
    </row>
    <row r="865" spans="1:14" ht="19.5" customHeight="1" x14ac:dyDescent="0.25">
      <c r="A865" s="7"/>
      <c r="B865" s="7"/>
      <c r="C865" s="13"/>
      <c r="D865" s="13"/>
      <c r="E865" s="7"/>
      <c r="F865" s="7"/>
      <c r="G865" s="7"/>
      <c r="H865" s="7"/>
      <c r="I865" s="7"/>
      <c r="J865" s="7"/>
      <c r="K865" s="7"/>
      <c r="L865" s="7"/>
      <c r="M865" s="7"/>
      <c r="N865" s="7"/>
    </row>
    <row r="866" spans="1:14" ht="19.5" customHeight="1" x14ac:dyDescent="0.25">
      <c r="A866" s="7"/>
      <c r="B866" s="7"/>
      <c r="C866" s="13"/>
      <c r="D866" s="13"/>
      <c r="E866" s="7"/>
      <c r="F866" s="7"/>
      <c r="G866" s="7"/>
      <c r="H866" s="7"/>
      <c r="I866" s="7"/>
      <c r="J866" s="7"/>
      <c r="K866" s="7"/>
      <c r="L866" s="7"/>
      <c r="M866" s="7"/>
      <c r="N866" s="7"/>
    </row>
    <row r="867" spans="1:14" ht="19.5" customHeight="1" x14ac:dyDescent="0.25">
      <c r="A867" s="7"/>
      <c r="B867" s="7"/>
      <c r="C867" s="13"/>
      <c r="D867" s="13"/>
      <c r="E867" s="7"/>
      <c r="F867" s="7"/>
      <c r="G867" s="7"/>
      <c r="H867" s="7"/>
      <c r="I867" s="7"/>
      <c r="J867" s="7"/>
      <c r="K867" s="7"/>
      <c r="L867" s="7"/>
      <c r="M867" s="7"/>
      <c r="N867" s="7"/>
    </row>
    <row r="868" spans="1:14" ht="19.5" customHeight="1" x14ac:dyDescent="0.25">
      <c r="A868" s="7"/>
      <c r="B868" s="7"/>
      <c r="C868" s="13"/>
      <c r="D868" s="13"/>
      <c r="E868" s="7"/>
      <c r="F868" s="7"/>
      <c r="G868" s="7"/>
      <c r="H868" s="7"/>
      <c r="I868" s="7"/>
      <c r="J868" s="7"/>
      <c r="K868" s="7"/>
      <c r="L868" s="7"/>
      <c r="M868" s="7"/>
      <c r="N868" s="7"/>
    </row>
    <row r="869" spans="1:14" ht="19.5" customHeight="1" x14ac:dyDescent="0.25">
      <c r="A869" s="7"/>
      <c r="B869" s="7"/>
      <c r="C869" s="13"/>
      <c r="D869" s="13"/>
      <c r="E869" s="7"/>
      <c r="F869" s="7"/>
      <c r="G869" s="7"/>
      <c r="H869" s="7"/>
      <c r="I869" s="7"/>
      <c r="J869" s="7"/>
      <c r="K869" s="7"/>
      <c r="L869" s="7"/>
      <c r="M869" s="7"/>
      <c r="N869" s="7"/>
    </row>
    <row r="870" spans="1:14" ht="19.5" customHeight="1" x14ac:dyDescent="0.25">
      <c r="A870" s="7"/>
      <c r="B870" s="7"/>
      <c r="C870" s="13"/>
      <c r="D870" s="13"/>
      <c r="E870" s="7"/>
      <c r="F870" s="7"/>
      <c r="G870" s="7"/>
      <c r="H870" s="7"/>
      <c r="I870" s="7"/>
      <c r="J870" s="7"/>
      <c r="K870" s="7"/>
      <c r="L870" s="7"/>
      <c r="M870" s="7"/>
      <c r="N870" s="7"/>
    </row>
    <row r="871" spans="1:14" ht="19.5" customHeight="1" x14ac:dyDescent="0.25">
      <c r="A871" s="7"/>
      <c r="B871" s="7"/>
      <c r="C871" s="13"/>
      <c r="D871" s="13"/>
      <c r="E871" s="7"/>
      <c r="F871" s="7"/>
      <c r="G871" s="7"/>
      <c r="H871" s="7"/>
      <c r="I871" s="7"/>
      <c r="J871" s="7"/>
      <c r="K871" s="7"/>
      <c r="L871" s="7"/>
      <c r="M871" s="7"/>
      <c r="N871" s="7"/>
    </row>
    <row r="872" spans="1:14" ht="19.5" customHeight="1" x14ac:dyDescent="0.25">
      <c r="A872" s="7"/>
      <c r="B872" s="7"/>
      <c r="C872" s="13"/>
      <c r="D872" s="13"/>
      <c r="E872" s="7"/>
      <c r="F872" s="7"/>
      <c r="G872" s="7"/>
      <c r="H872" s="7"/>
      <c r="I872" s="7"/>
      <c r="J872" s="7"/>
      <c r="K872" s="7"/>
      <c r="L872" s="7"/>
      <c r="M872" s="7"/>
      <c r="N872" s="7"/>
    </row>
    <row r="873" spans="1:14" ht="19.5" customHeight="1" x14ac:dyDescent="0.25">
      <c r="A873" s="7"/>
      <c r="B873" s="7"/>
      <c r="C873" s="13"/>
      <c r="D873" s="13"/>
      <c r="E873" s="7"/>
      <c r="F873" s="7"/>
      <c r="G873" s="7"/>
      <c r="H873" s="7"/>
      <c r="I873" s="7"/>
      <c r="J873" s="7"/>
      <c r="K873" s="7"/>
      <c r="L873" s="7"/>
      <c r="M873" s="7"/>
      <c r="N873" s="7"/>
    </row>
    <row r="874" spans="1:14" ht="19.5" customHeight="1" x14ac:dyDescent="0.25">
      <c r="A874" s="7"/>
      <c r="B874" s="7"/>
      <c r="C874" s="13"/>
      <c r="D874" s="13"/>
      <c r="E874" s="7"/>
      <c r="F874" s="7"/>
      <c r="G874" s="7"/>
      <c r="H874" s="7"/>
      <c r="I874" s="7"/>
      <c r="J874" s="7"/>
      <c r="K874" s="7"/>
      <c r="L874" s="7"/>
      <c r="M874" s="7"/>
      <c r="N874" s="7"/>
    </row>
    <row r="875" spans="1:14" ht="19.5" customHeight="1" x14ac:dyDescent="0.25">
      <c r="A875" s="7"/>
      <c r="B875" s="7"/>
      <c r="C875" s="13"/>
      <c r="D875" s="13"/>
      <c r="E875" s="7"/>
      <c r="F875" s="7"/>
      <c r="G875" s="7"/>
      <c r="H875" s="7"/>
      <c r="I875" s="7"/>
      <c r="J875" s="7"/>
      <c r="K875" s="7"/>
      <c r="L875" s="7"/>
      <c r="M875" s="7"/>
      <c r="N875" s="7"/>
    </row>
    <row r="876" spans="1:14" ht="19.5" customHeight="1" x14ac:dyDescent="0.25">
      <c r="A876" s="7"/>
      <c r="B876" s="7"/>
      <c r="C876" s="13"/>
      <c r="D876" s="13"/>
      <c r="E876" s="7"/>
      <c r="F876" s="7"/>
      <c r="G876" s="7"/>
      <c r="H876" s="7"/>
      <c r="I876" s="7"/>
      <c r="J876" s="7"/>
      <c r="K876" s="7"/>
      <c r="L876" s="7"/>
      <c r="M876" s="7"/>
      <c r="N876" s="7"/>
    </row>
    <row r="877" spans="1:14" ht="19.5" customHeight="1" x14ac:dyDescent="0.25">
      <c r="A877" s="7"/>
      <c r="B877" s="7"/>
      <c r="C877" s="13"/>
      <c r="D877" s="13"/>
      <c r="E877" s="7"/>
      <c r="F877" s="7"/>
      <c r="G877" s="7"/>
      <c r="H877" s="7"/>
      <c r="I877" s="7"/>
      <c r="J877" s="7"/>
      <c r="K877" s="7"/>
      <c r="L877" s="7"/>
      <c r="M877" s="7"/>
      <c r="N877" s="7"/>
    </row>
    <row r="878" spans="1:14" ht="19.5" customHeight="1" x14ac:dyDescent="0.25">
      <c r="A878" s="7"/>
      <c r="B878" s="7"/>
      <c r="C878" s="13"/>
      <c r="D878" s="13"/>
      <c r="E878" s="7"/>
      <c r="F878" s="7"/>
      <c r="G878" s="7"/>
      <c r="H878" s="7"/>
      <c r="I878" s="7"/>
      <c r="J878" s="7"/>
      <c r="K878" s="7"/>
      <c r="L878" s="7"/>
      <c r="M878" s="7"/>
      <c r="N878" s="7"/>
    </row>
    <row r="879" spans="1:14" ht="19.5" customHeight="1" x14ac:dyDescent="0.25">
      <c r="A879" s="7"/>
      <c r="B879" s="7"/>
      <c r="C879" s="13"/>
      <c r="D879" s="13"/>
      <c r="E879" s="7"/>
      <c r="F879" s="7"/>
      <c r="G879" s="7"/>
      <c r="H879" s="7"/>
      <c r="I879" s="7"/>
      <c r="J879" s="7"/>
      <c r="K879" s="7"/>
      <c r="L879" s="7"/>
      <c r="M879" s="7"/>
      <c r="N879" s="7"/>
    </row>
    <row r="880" spans="1:14" ht="19.5" customHeight="1" x14ac:dyDescent="0.25">
      <c r="A880" s="7"/>
      <c r="B880" s="7"/>
      <c r="C880" s="13"/>
      <c r="D880" s="13"/>
      <c r="E880" s="7"/>
      <c r="F880" s="7"/>
      <c r="G880" s="7"/>
      <c r="H880" s="7"/>
      <c r="I880" s="7"/>
      <c r="J880" s="7"/>
      <c r="K880" s="7"/>
      <c r="L880" s="7"/>
      <c r="M880" s="7"/>
      <c r="N880" s="7"/>
    </row>
    <row r="881" spans="1:14" ht="19.5" customHeight="1" x14ac:dyDescent="0.25">
      <c r="A881" s="7"/>
      <c r="B881" s="7"/>
      <c r="C881" s="13"/>
      <c r="D881" s="13"/>
      <c r="E881" s="7"/>
      <c r="F881" s="7"/>
      <c r="G881" s="7"/>
      <c r="H881" s="7"/>
      <c r="I881" s="7"/>
      <c r="J881" s="7"/>
      <c r="K881" s="7"/>
      <c r="L881" s="7"/>
      <c r="M881" s="7"/>
      <c r="N881" s="7"/>
    </row>
    <row r="882" spans="1:14" ht="19.5" customHeight="1" x14ac:dyDescent="0.25">
      <c r="A882" s="7"/>
      <c r="B882" s="7"/>
      <c r="C882" s="13"/>
      <c r="D882" s="13"/>
      <c r="E882" s="7"/>
      <c r="F882" s="7"/>
      <c r="G882" s="7"/>
      <c r="H882" s="7"/>
      <c r="I882" s="7"/>
      <c r="J882" s="7"/>
      <c r="K882" s="7"/>
      <c r="L882" s="7"/>
      <c r="M882" s="7"/>
      <c r="N882" s="7"/>
    </row>
    <row r="883" spans="1:14" ht="19.5" customHeight="1" x14ac:dyDescent="0.25">
      <c r="A883" s="7"/>
      <c r="B883" s="7"/>
      <c r="C883" s="13"/>
      <c r="D883" s="13"/>
      <c r="E883" s="7"/>
      <c r="F883" s="7"/>
      <c r="G883" s="7"/>
      <c r="H883" s="7"/>
      <c r="I883" s="7"/>
      <c r="J883" s="7"/>
      <c r="K883" s="7"/>
      <c r="L883" s="7"/>
      <c r="M883" s="7"/>
      <c r="N883" s="7"/>
    </row>
    <row r="884" spans="1:14" ht="19.5" customHeight="1" x14ac:dyDescent="0.25">
      <c r="A884" s="7"/>
      <c r="B884" s="7"/>
      <c r="C884" s="13"/>
      <c r="D884" s="13"/>
      <c r="E884" s="7"/>
      <c r="F884" s="7"/>
      <c r="G884" s="7"/>
      <c r="H884" s="7"/>
      <c r="I884" s="7"/>
      <c r="J884" s="7"/>
      <c r="K884" s="7"/>
      <c r="L884" s="7"/>
      <c r="M884" s="7"/>
      <c r="N884" s="7"/>
    </row>
    <row r="885" spans="1:14" ht="19.5" customHeight="1" x14ac:dyDescent="0.25">
      <c r="A885" s="7"/>
      <c r="B885" s="7"/>
      <c r="C885" s="13"/>
      <c r="D885" s="13"/>
      <c r="E885" s="7"/>
      <c r="F885" s="7"/>
      <c r="G885" s="7"/>
      <c r="H885" s="7"/>
      <c r="I885" s="7"/>
      <c r="J885" s="7"/>
      <c r="K885" s="7"/>
      <c r="L885" s="7"/>
      <c r="M885" s="7"/>
      <c r="N885" s="7"/>
    </row>
    <row r="886" spans="1:14" ht="19.5" customHeight="1" x14ac:dyDescent="0.25">
      <c r="A886" s="7"/>
      <c r="B886" s="7"/>
      <c r="C886" s="13"/>
      <c r="D886" s="13"/>
      <c r="E886" s="7"/>
      <c r="F886" s="7"/>
      <c r="G886" s="7"/>
      <c r="H886" s="7"/>
      <c r="I886" s="7"/>
      <c r="J886" s="7"/>
      <c r="K886" s="7"/>
      <c r="L886" s="7"/>
      <c r="M886" s="7"/>
      <c r="N886" s="7"/>
    </row>
    <row r="887" spans="1:14" ht="19.5" customHeight="1" x14ac:dyDescent="0.25">
      <c r="A887" s="7"/>
      <c r="B887" s="7"/>
      <c r="C887" s="13"/>
      <c r="D887" s="13"/>
      <c r="E887" s="7"/>
      <c r="F887" s="7"/>
      <c r="G887" s="7"/>
      <c r="H887" s="7"/>
      <c r="I887" s="7"/>
      <c r="J887" s="7"/>
      <c r="K887" s="7"/>
      <c r="L887" s="7"/>
      <c r="M887" s="7"/>
      <c r="N887" s="7"/>
    </row>
    <row r="888" spans="1:14" ht="19.5" customHeight="1" x14ac:dyDescent="0.25">
      <c r="A888" s="7"/>
      <c r="B888" s="7"/>
      <c r="C888" s="13"/>
      <c r="D888" s="13"/>
      <c r="E888" s="7"/>
      <c r="F888" s="7"/>
      <c r="G888" s="7"/>
      <c r="H888" s="7"/>
      <c r="I888" s="7"/>
      <c r="J888" s="7"/>
      <c r="K888" s="7"/>
      <c r="L888" s="7"/>
      <c r="M888" s="7"/>
      <c r="N888" s="7"/>
    </row>
    <row r="889" spans="1:14" ht="19.5" customHeight="1" x14ac:dyDescent="0.25">
      <c r="A889" s="7"/>
      <c r="B889" s="7"/>
      <c r="C889" s="13"/>
      <c r="D889" s="13"/>
      <c r="E889" s="7"/>
      <c r="F889" s="7"/>
      <c r="G889" s="7"/>
      <c r="H889" s="7"/>
      <c r="I889" s="7"/>
      <c r="J889" s="7"/>
      <c r="K889" s="7"/>
      <c r="L889" s="7"/>
      <c r="M889" s="7"/>
      <c r="N889" s="7"/>
    </row>
    <row r="890" spans="1:14" ht="19.5" customHeight="1" x14ac:dyDescent="0.25">
      <c r="A890" s="7"/>
      <c r="B890" s="7"/>
      <c r="C890" s="13"/>
      <c r="D890" s="13"/>
      <c r="E890" s="7"/>
      <c r="F890" s="7"/>
      <c r="G890" s="7"/>
      <c r="H890" s="7"/>
      <c r="I890" s="7"/>
      <c r="J890" s="7"/>
      <c r="K890" s="7"/>
      <c r="L890" s="7"/>
      <c r="M890" s="7"/>
      <c r="N890" s="7"/>
    </row>
    <row r="891" spans="1:14" ht="19.5" customHeight="1" x14ac:dyDescent="0.25">
      <c r="A891" s="7"/>
      <c r="B891" s="7"/>
      <c r="C891" s="13"/>
      <c r="D891" s="13"/>
      <c r="E891" s="7"/>
      <c r="F891" s="7"/>
      <c r="G891" s="7"/>
      <c r="H891" s="7"/>
      <c r="I891" s="7"/>
      <c r="J891" s="7"/>
      <c r="K891" s="7"/>
      <c r="L891" s="7"/>
      <c r="M891" s="7"/>
      <c r="N891" s="7"/>
    </row>
    <row r="892" spans="1:14" ht="19.5" customHeight="1" x14ac:dyDescent="0.25">
      <c r="A892" s="7"/>
      <c r="B892" s="7"/>
      <c r="C892" s="13"/>
      <c r="D892" s="13"/>
      <c r="E892" s="7"/>
      <c r="F892" s="7"/>
      <c r="G892" s="7"/>
      <c r="H892" s="7"/>
      <c r="I892" s="7"/>
      <c r="J892" s="7"/>
      <c r="K892" s="7"/>
      <c r="L892" s="7"/>
      <c r="M892" s="7"/>
      <c r="N892" s="7"/>
    </row>
    <row r="893" spans="1:14" ht="19.5" customHeight="1" x14ac:dyDescent="0.25">
      <c r="A893" s="7"/>
      <c r="B893" s="7"/>
      <c r="C893" s="13"/>
      <c r="D893" s="13"/>
      <c r="E893" s="7"/>
      <c r="F893" s="7"/>
      <c r="G893" s="7"/>
      <c r="H893" s="7"/>
      <c r="I893" s="7"/>
      <c r="J893" s="7"/>
      <c r="K893" s="7"/>
      <c r="L893" s="7"/>
      <c r="M893" s="7"/>
      <c r="N893" s="7"/>
    </row>
    <row r="894" spans="1:14" ht="19.5" customHeight="1" x14ac:dyDescent="0.25">
      <c r="A894" s="7"/>
      <c r="B894" s="7"/>
      <c r="C894" s="13"/>
      <c r="D894" s="13"/>
      <c r="E894" s="7"/>
      <c r="F894" s="7"/>
      <c r="G894" s="7"/>
      <c r="H894" s="7"/>
      <c r="I894" s="7"/>
      <c r="J894" s="7"/>
      <c r="K894" s="7"/>
      <c r="L894" s="7"/>
      <c r="M894" s="7"/>
      <c r="N894" s="7"/>
    </row>
    <row r="895" spans="1:14" ht="19.5" customHeight="1" x14ac:dyDescent="0.25">
      <c r="A895" s="7"/>
      <c r="B895" s="7"/>
      <c r="C895" s="13"/>
      <c r="D895" s="13"/>
      <c r="E895" s="7"/>
      <c r="F895" s="7"/>
      <c r="G895" s="7"/>
      <c r="H895" s="7"/>
      <c r="I895" s="7"/>
      <c r="J895" s="7"/>
      <c r="K895" s="7"/>
      <c r="L895" s="7"/>
      <c r="M895" s="7"/>
      <c r="N895" s="7"/>
    </row>
    <row r="896" spans="1:14" ht="19.5" customHeight="1" x14ac:dyDescent="0.25">
      <c r="A896" s="7"/>
      <c r="B896" s="7"/>
      <c r="C896" s="13"/>
      <c r="D896" s="13"/>
      <c r="E896" s="7"/>
      <c r="F896" s="7"/>
      <c r="G896" s="7"/>
      <c r="H896" s="7"/>
      <c r="I896" s="7"/>
      <c r="J896" s="7"/>
      <c r="K896" s="7"/>
      <c r="L896" s="7"/>
      <c r="M896" s="7"/>
      <c r="N896" s="7"/>
    </row>
    <row r="897" spans="1:14" ht="19.5" customHeight="1" x14ac:dyDescent="0.25">
      <c r="A897" s="7"/>
      <c r="B897" s="7"/>
      <c r="C897" s="13"/>
      <c r="D897" s="13"/>
      <c r="E897" s="7"/>
      <c r="F897" s="7"/>
      <c r="G897" s="7"/>
      <c r="H897" s="7"/>
      <c r="I897" s="7"/>
      <c r="J897" s="7"/>
      <c r="K897" s="7"/>
      <c r="L897" s="7"/>
      <c r="M897" s="7"/>
      <c r="N897" s="7"/>
    </row>
    <row r="898" spans="1:14" ht="19.5" customHeight="1" x14ac:dyDescent="0.25">
      <c r="A898" s="7"/>
      <c r="B898" s="7"/>
      <c r="C898" s="13"/>
      <c r="D898" s="13"/>
      <c r="E898" s="7"/>
      <c r="F898" s="7"/>
      <c r="G898" s="7"/>
      <c r="H898" s="7"/>
      <c r="I898" s="7"/>
      <c r="J898" s="7"/>
      <c r="K898" s="7"/>
      <c r="L898" s="7"/>
      <c r="M898" s="7"/>
      <c r="N898" s="7"/>
    </row>
    <row r="899" spans="1:14" ht="19.5" customHeight="1" x14ac:dyDescent="0.25">
      <c r="A899" s="7"/>
      <c r="B899" s="7"/>
      <c r="C899" s="13"/>
      <c r="D899" s="13"/>
      <c r="E899" s="7"/>
      <c r="F899" s="7"/>
      <c r="G899" s="7"/>
      <c r="H899" s="7"/>
      <c r="I899" s="7"/>
      <c r="J899" s="7"/>
      <c r="K899" s="7"/>
      <c r="L899" s="7"/>
      <c r="M899" s="7"/>
      <c r="N899" s="7"/>
    </row>
    <row r="900" spans="1:14" ht="19.5" customHeight="1" x14ac:dyDescent="0.25">
      <c r="A900" s="7"/>
      <c r="B900" s="7"/>
      <c r="C900" s="13"/>
      <c r="D900" s="13"/>
      <c r="E900" s="7"/>
      <c r="F900" s="7"/>
      <c r="G900" s="7"/>
      <c r="H900" s="7"/>
      <c r="I900" s="7"/>
      <c r="J900" s="7"/>
      <c r="K900" s="7"/>
      <c r="L900" s="7"/>
      <c r="M900" s="7"/>
      <c r="N900" s="7"/>
    </row>
    <row r="901" spans="1:14" ht="19.5" customHeight="1" x14ac:dyDescent="0.25">
      <c r="A901" s="7"/>
      <c r="B901" s="7"/>
      <c r="C901" s="13"/>
      <c r="D901" s="13"/>
      <c r="E901" s="7"/>
      <c r="F901" s="7"/>
      <c r="G901" s="7"/>
      <c r="H901" s="7"/>
      <c r="I901" s="7"/>
      <c r="J901" s="7"/>
      <c r="K901" s="7"/>
      <c r="L901" s="7"/>
      <c r="M901" s="7"/>
      <c r="N901" s="7"/>
    </row>
    <row r="902" spans="1:14" ht="19.5" customHeight="1" x14ac:dyDescent="0.25">
      <c r="A902" s="7"/>
      <c r="B902" s="7"/>
      <c r="C902" s="13"/>
      <c r="D902" s="13"/>
      <c r="E902" s="7"/>
      <c r="F902" s="7"/>
      <c r="G902" s="7"/>
      <c r="H902" s="7"/>
      <c r="I902" s="7"/>
      <c r="J902" s="7"/>
      <c r="K902" s="7"/>
      <c r="L902" s="7"/>
      <c r="M902" s="7"/>
      <c r="N902" s="7"/>
    </row>
    <row r="903" spans="1:14" ht="19.5" customHeight="1" x14ac:dyDescent="0.25">
      <c r="A903" s="7"/>
      <c r="B903" s="7"/>
      <c r="C903" s="13"/>
      <c r="D903" s="13"/>
      <c r="E903" s="7"/>
      <c r="F903" s="7"/>
      <c r="G903" s="7"/>
      <c r="H903" s="7"/>
      <c r="I903" s="7"/>
      <c r="J903" s="7"/>
      <c r="K903" s="7"/>
      <c r="L903" s="7"/>
      <c r="M903" s="7"/>
      <c r="N903" s="7"/>
    </row>
    <row r="904" spans="1:14" ht="19.5" customHeight="1" x14ac:dyDescent="0.25">
      <c r="A904" s="7"/>
      <c r="B904" s="7"/>
      <c r="C904" s="13"/>
      <c r="D904" s="13"/>
      <c r="E904" s="7"/>
      <c r="F904" s="7"/>
      <c r="G904" s="7"/>
      <c r="H904" s="7"/>
      <c r="I904" s="7"/>
      <c r="J904" s="7"/>
      <c r="K904" s="7"/>
      <c r="L904" s="7"/>
      <c r="M904" s="7"/>
      <c r="N904" s="7"/>
    </row>
    <row r="905" spans="1:14" ht="19.5" customHeight="1" x14ac:dyDescent="0.25">
      <c r="A905" s="7"/>
      <c r="B905" s="7"/>
      <c r="C905" s="13"/>
      <c r="D905" s="13"/>
      <c r="E905" s="7"/>
      <c r="F905" s="7"/>
      <c r="G905" s="7"/>
      <c r="H905" s="7"/>
      <c r="I905" s="7"/>
      <c r="J905" s="7"/>
      <c r="K905" s="7"/>
      <c r="L905" s="7"/>
      <c r="M905" s="7"/>
      <c r="N905" s="7"/>
    </row>
    <row r="906" spans="1:14" ht="19.5" customHeight="1" x14ac:dyDescent="0.25">
      <c r="A906" s="7"/>
      <c r="B906" s="7"/>
      <c r="C906" s="13"/>
      <c r="D906" s="13"/>
      <c r="E906" s="7"/>
      <c r="F906" s="7"/>
      <c r="G906" s="7"/>
      <c r="H906" s="7"/>
      <c r="I906" s="7"/>
      <c r="J906" s="7"/>
      <c r="K906" s="7"/>
      <c r="L906" s="7"/>
      <c r="M906" s="7"/>
      <c r="N906" s="7"/>
    </row>
    <row r="907" spans="1:14" ht="19.5" customHeight="1" x14ac:dyDescent="0.25">
      <c r="A907" s="7"/>
      <c r="B907" s="7"/>
      <c r="C907" s="13"/>
      <c r="D907" s="13"/>
      <c r="E907" s="7"/>
      <c r="F907" s="7"/>
      <c r="G907" s="7"/>
      <c r="H907" s="7"/>
      <c r="I907" s="7"/>
      <c r="J907" s="7"/>
      <c r="K907" s="7"/>
      <c r="L907" s="7"/>
      <c r="M907" s="7"/>
      <c r="N907" s="7"/>
    </row>
    <row r="908" spans="1:14" ht="19.5" customHeight="1" x14ac:dyDescent="0.25">
      <c r="A908" s="7"/>
      <c r="B908" s="7"/>
      <c r="C908" s="13"/>
      <c r="D908" s="13"/>
      <c r="E908" s="7"/>
      <c r="F908" s="7"/>
      <c r="G908" s="7"/>
      <c r="H908" s="7"/>
      <c r="I908" s="7"/>
      <c r="J908" s="7"/>
      <c r="K908" s="7"/>
      <c r="L908" s="7"/>
      <c r="M908" s="7"/>
      <c r="N908" s="7"/>
    </row>
    <row r="909" spans="1:14" ht="19.5" customHeight="1" x14ac:dyDescent="0.25">
      <c r="A909" s="7"/>
      <c r="B909" s="7"/>
      <c r="C909" s="13"/>
      <c r="D909" s="13"/>
      <c r="E909" s="7"/>
      <c r="F909" s="7"/>
      <c r="G909" s="7"/>
      <c r="H909" s="7"/>
      <c r="I909" s="7"/>
      <c r="J909" s="7"/>
      <c r="K909" s="7"/>
      <c r="L909" s="7"/>
      <c r="M909" s="7"/>
      <c r="N909" s="7"/>
    </row>
    <row r="910" spans="1:14" ht="19.5" customHeight="1" x14ac:dyDescent="0.25">
      <c r="A910" s="7"/>
      <c r="B910" s="7"/>
      <c r="C910" s="13"/>
      <c r="D910" s="13"/>
      <c r="E910" s="7"/>
      <c r="F910" s="7"/>
      <c r="G910" s="7"/>
      <c r="H910" s="7"/>
      <c r="I910" s="7"/>
      <c r="J910" s="7"/>
      <c r="K910" s="7"/>
      <c r="L910" s="7"/>
      <c r="M910" s="7"/>
      <c r="N910" s="7"/>
    </row>
    <row r="911" spans="1:14" ht="19.5" customHeight="1" x14ac:dyDescent="0.25">
      <c r="A911" s="7"/>
      <c r="B911" s="7"/>
      <c r="C911" s="13"/>
      <c r="D911" s="13"/>
      <c r="E911" s="7"/>
      <c r="F911" s="7"/>
      <c r="G911" s="7"/>
      <c r="H911" s="7"/>
      <c r="I911" s="7"/>
      <c r="J911" s="7"/>
      <c r="K911" s="7"/>
      <c r="L911" s="7"/>
      <c r="M911" s="7"/>
      <c r="N911" s="7"/>
    </row>
    <row r="912" spans="1:14" ht="19.5" customHeight="1" x14ac:dyDescent="0.25">
      <c r="A912" s="7"/>
      <c r="B912" s="7"/>
      <c r="C912" s="13"/>
      <c r="D912" s="13"/>
      <c r="E912" s="7"/>
      <c r="F912" s="7"/>
      <c r="G912" s="7"/>
      <c r="H912" s="7"/>
      <c r="I912" s="7"/>
      <c r="J912" s="7"/>
      <c r="K912" s="7"/>
      <c r="L912" s="7"/>
      <c r="M912" s="7"/>
      <c r="N912" s="7"/>
    </row>
    <row r="913" spans="1:14" ht="19.5" customHeight="1" x14ac:dyDescent="0.25">
      <c r="A913" s="7"/>
      <c r="B913" s="7"/>
      <c r="C913" s="13"/>
      <c r="D913" s="13"/>
      <c r="E913" s="7"/>
      <c r="F913" s="7"/>
      <c r="G913" s="7"/>
      <c r="H913" s="7"/>
      <c r="I913" s="7"/>
      <c r="J913" s="7"/>
      <c r="K913" s="7"/>
      <c r="L913" s="7"/>
      <c r="M913" s="7"/>
      <c r="N913" s="7"/>
    </row>
    <row r="914" spans="1:14" ht="19.5" customHeight="1" x14ac:dyDescent="0.25">
      <c r="A914" s="7"/>
      <c r="B914" s="7"/>
      <c r="C914" s="13"/>
      <c r="D914" s="13"/>
      <c r="E914" s="7"/>
      <c r="F914" s="7"/>
      <c r="G914" s="7"/>
      <c r="H914" s="7"/>
      <c r="I914" s="7"/>
      <c r="J914" s="7"/>
      <c r="K914" s="7"/>
      <c r="L914" s="7"/>
      <c r="M914" s="7"/>
      <c r="N914" s="7"/>
    </row>
    <row r="915" spans="1:14" ht="19.5" customHeight="1" x14ac:dyDescent="0.25">
      <c r="A915" s="7"/>
      <c r="B915" s="7"/>
      <c r="C915" s="13"/>
      <c r="D915" s="13"/>
      <c r="E915" s="7"/>
      <c r="F915" s="7"/>
      <c r="G915" s="7"/>
      <c r="H915" s="7"/>
      <c r="I915" s="7"/>
      <c r="J915" s="7"/>
      <c r="K915" s="7"/>
      <c r="L915" s="7"/>
      <c r="M915" s="7"/>
      <c r="N915" s="7"/>
    </row>
    <row r="916" spans="1:14" ht="19.5" customHeight="1" x14ac:dyDescent="0.25">
      <c r="A916" s="7"/>
      <c r="B916" s="7"/>
      <c r="C916" s="13"/>
      <c r="D916" s="13"/>
      <c r="E916" s="7"/>
      <c r="F916" s="7"/>
      <c r="G916" s="7"/>
      <c r="H916" s="7"/>
      <c r="I916" s="7"/>
      <c r="J916" s="7"/>
      <c r="K916" s="7"/>
      <c r="L916" s="7"/>
      <c r="M916" s="7"/>
      <c r="N916" s="7"/>
    </row>
    <row r="917" spans="1:14" ht="19.5" customHeight="1" x14ac:dyDescent="0.25">
      <c r="A917" s="7"/>
      <c r="B917" s="7"/>
      <c r="C917" s="13"/>
      <c r="D917" s="13"/>
      <c r="E917" s="7"/>
      <c r="F917" s="7"/>
      <c r="G917" s="7"/>
      <c r="H917" s="7"/>
      <c r="I917" s="7"/>
      <c r="J917" s="7"/>
      <c r="K917" s="7"/>
      <c r="L917" s="7"/>
      <c r="M917" s="7"/>
      <c r="N917" s="7"/>
    </row>
    <row r="918" spans="1:14" ht="19.5" customHeight="1" x14ac:dyDescent="0.25">
      <c r="A918" s="7"/>
      <c r="B918" s="7"/>
      <c r="C918" s="13"/>
      <c r="D918" s="13"/>
      <c r="E918" s="7"/>
      <c r="F918" s="7"/>
      <c r="G918" s="7"/>
      <c r="H918" s="7"/>
      <c r="I918" s="7"/>
      <c r="J918" s="7"/>
      <c r="K918" s="7"/>
      <c r="L918" s="7"/>
      <c r="M918" s="7"/>
      <c r="N918" s="7"/>
    </row>
    <row r="919" spans="1:14" ht="19.5" customHeight="1" x14ac:dyDescent="0.25">
      <c r="A919" s="7"/>
      <c r="B919" s="7"/>
      <c r="C919" s="13"/>
      <c r="D919" s="13"/>
      <c r="E919" s="7"/>
      <c r="F919" s="7"/>
      <c r="G919" s="7"/>
      <c r="H919" s="7"/>
      <c r="I919" s="7"/>
      <c r="J919" s="7"/>
      <c r="K919" s="7"/>
      <c r="L919" s="7"/>
      <c r="M919" s="7"/>
      <c r="N919" s="7"/>
    </row>
    <row r="920" spans="1:14" ht="19.5" customHeight="1" x14ac:dyDescent="0.25">
      <c r="A920" s="7"/>
      <c r="B920" s="7"/>
      <c r="C920" s="13"/>
      <c r="D920" s="13"/>
      <c r="E920" s="7"/>
      <c r="F920" s="7"/>
      <c r="G920" s="7"/>
      <c r="H920" s="7"/>
      <c r="I920" s="7"/>
      <c r="J920" s="7"/>
      <c r="K920" s="7"/>
      <c r="L920" s="7"/>
      <c r="M920" s="7"/>
      <c r="N920" s="7"/>
    </row>
    <row r="921" spans="1:14" ht="19.5" customHeight="1" x14ac:dyDescent="0.25">
      <c r="A921" s="7"/>
      <c r="B921" s="7"/>
      <c r="C921" s="13"/>
      <c r="D921" s="13"/>
      <c r="E921" s="7"/>
      <c r="F921" s="7"/>
      <c r="G921" s="7"/>
      <c r="H921" s="7"/>
      <c r="I921" s="7"/>
      <c r="J921" s="7"/>
      <c r="K921" s="7"/>
      <c r="L921" s="7"/>
      <c r="M921" s="7"/>
      <c r="N921" s="7"/>
    </row>
    <row r="922" spans="1:14" ht="19.5" customHeight="1" x14ac:dyDescent="0.25">
      <c r="A922" s="7"/>
      <c r="B922" s="7"/>
      <c r="C922" s="13"/>
      <c r="D922" s="13"/>
      <c r="E922" s="7"/>
      <c r="F922" s="7"/>
      <c r="G922" s="7"/>
      <c r="H922" s="7"/>
      <c r="I922" s="7"/>
      <c r="J922" s="7"/>
      <c r="K922" s="7"/>
      <c r="L922" s="7"/>
      <c r="M922" s="7"/>
      <c r="N922" s="7"/>
    </row>
    <row r="923" spans="1:14" ht="19.5" customHeight="1" x14ac:dyDescent="0.25">
      <c r="A923" s="7"/>
      <c r="B923" s="7"/>
      <c r="C923" s="13"/>
      <c r="D923" s="13"/>
      <c r="E923" s="7"/>
      <c r="F923" s="7"/>
      <c r="G923" s="7"/>
      <c r="H923" s="7"/>
      <c r="I923" s="7"/>
      <c r="J923" s="7"/>
      <c r="K923" s="7"/>
      <c r="L923" s="7"/>
      <c r="M923" s="7"/>
      <c r="N923" s="7"/>
    </row>
    <row r="924" spans="1:14" ht="19.5" customHeight="1" x14ac:dyDescent="0.25">
      <c r="A924" s="7"/>
      <c r="B924" s="7"/>
      <c r="C924" s="13"/>
      <c r="D924" s="13"/>
      <c r="E924" s="7"/>
      <c r="F924" s="7"/>
      <c r="G924" s="7"/>
      <c r="H924" s="7"/>
      <c r="I924" s="7"/>
      <c r="J924" s="7"/>
      <c r="K924" s="7"/>
      <c r="L924" s="7"/>
      <c r="M924" s="7"/>
      <c r="N924" s="7"/>
    </row>
    <row r="925" spans="1:14" ht="19.5" customHeight="1" x14ac:dyDescent="0.25">
      <c r="A925" s="7"/>
      <c r="B925" s="7"/>
      <c r="C925" s="13"/>
      <c r="D925" s="13"/>
      <c r="E925" s="7"/>
      <c r="F925" s="7"/>
      <c r="G925" s="7"/>
      <c r="H925" s="7"/>
      <c r="I925" s="7"/>
      <c r="J925" s="7"/>
      <c r="K925" s="7"/>
      <c r="L925" s="7"/>
      <c r="M925" s="7"/>
      <c r="N925" s="7"/>
    </row>
    <row r="926" spans="1:14" ht="19.5" customHeight="1" x14ac:dyDescent="0.25">
      <c r="A926" s="7"/>
      <c r="B926" s="7"/>
      <c r="C926" s="13"/>
      <c r="D926" s="13"/>
      <c r="E926" s="7"/>
      <c r="F926" s="7"/>
      <c r="G926" s="7"/>
      <c r="H926" s="7"/>
      <c r="I926" s="7"/>
      <c r="J926" s="7"/>
      <c r="K926" s="7"/>
      <c r="L926" s="7"/>
      <c r="M926" s="7"/>
      <c r="N926" s="7"/>
    </row>
    <row r="927" spans="1:14" ht="19.5" customHeight="1" x14ac:dyDescent="0.25">
      <c r="A927" s="7"/>
      <c r="B927" s="7"/>
      <c r="C927" s="13"/>
      <c r="D927" s="13"/>
      <c r="E927" s="7"/>
      <c r="F927" s="7"/>
      <c r="G927" s="7"/>
      <c r="H927" s="7"/>
      <c r="I927" s="7"/>
      <c r="J927" s="7"/>
      <c r="K927" s="7"/>
      <c r="L927" s="7"/>
      <c r="M927" s="7"/>
      <c r="N927" s="7"/>
    </row>
    <row r="928" spans="1:14" ht="19.5" customHeight="1" x14ac:dyDescent="0.25">
      <c r="A928" s="7"/>
      <c r="B928" s="7"/>
      <c r="C928" s="13"/>
      <c r="D928" s="13"/>
      <c r="E928" s="7"/>
      <c r="F928" s="7"/>
      <c r="G928" s="7"/>
      <c r="H928" s="7"/>
      <c r="I928" s="7"/>
      <c r="J928" s="7"/>
      <c r="K928" s="7"/>
      <c r="L928" s="7"/>
      <c r="M928" s="7"/>
      <c r="N928" s="7"/>
    </row>
    <row r="929" spans="1:14" ht="19.5" customHeight="1" x14ac:dyDescent="0.25">
      <c r="A929" s="7"/>
      <c r="B929" s="7"/>
      <c r="C929" s="13"/>
      <c r="D929" s="13"/>
      <c r="E929" s="7"/>
      <c r="F929" s="7"/>
      <c r="G929" s="7"/>
      <c r="H929" s="7"/>
      <c r="I929" s="7"/>
      <c r="J929" s="7"/>
      <c r="K929" s="7"/>
      <c r="L929" s="7"/>
      <c r="M929" s="7"/>
      <c r="N929" s="7"/>
    </row>
    <row r="930" spans="1:14" ht="19.5" customHeight="1" x14ac:dyDescent="0.25">
      <c r="A930" s="7"/>
      <c r="B930" s="7"/>
      <c r="C930" s="13"/>
      <c r="D930" s="13"/>
      <c r="E930" s="7"/>
      <c r="F930" s="7"/>
      <c r="G930" s="7"/>
      <c r="H930" s="7"/>
      <c r="I930" s="7"/>
      <c r="J930" s="7"/>
      <c r="K930" s="7"/>
      <c r="L930" s="7"/>
      <c r="M930" s="7"/>
      <c r="N930" s="7"/>
    </row>
    <row r="931" spans="1:14" ht="19.5" customHeight="1" x14ac:dyDescent="0.25">
      <c r="A931" s="7"/>
      <c r="B931" s="7"/>
      <c r="C931" s="13"/>
      <c r="D931" s="13"/>
      <c r="E931" s="7"/>
      <c r="F931" s="7"/>
      <c r="G931" s="7"/>
      <c r="H931" s="7"/>
      <c r="I931" s="7"/>
      <c r="J931" s="7"/>
      <c r="K931" s="7"/>
      <c r="L931" s="7"/>
      <c r="M931" s="7"/>
      <c r="N931" s="7"/>
    </row>
    <row r="932" spans="1:14" ht="19.5" customHeight="1" x14ac:dyDescent="0.25">
      <c r="A932" s="7"/>
      <c r="B932" s="7"/>
      <c r="C932" s="13"/>
      <c r="D932" s="13"/>
      <c r="E932" s="7"/>
      <c r="F932" s="7"/>
      <c r="G932" s="7"/>
      <c r="H932" s="7"/>
      <c r="I932" s="7"/>
      <c r="J932" s="7"/>
      <c r="K932" s="7"/>
      <c r="L932" s="7"/>
      <c r="M932" s="7"/>
      <c r="N932" s="7"/>
    </row>
    <row r="933" spans="1:14" ht="19.5" customHeight="1" x14ac:dyDescent="0.25">
      <c r="A933" s="7"/>
      <c r="B933" s="7"/>
      <c r="C933" s="13"/>
      <c r="D933" s="13"/>
      <c r="E933" s="7"/>
      <c r="F933" s="7"/>
      <c r="G933" s="7"/>
      <c r="H933" s="7"/>
      <c r="I933" s="7"/>
      <c r="J933" s="7"/>
      <c r="K933" s="7"/>
      <c r="L933" s="7"/>
      <c r="M933" s="7"/>
      <c r="N933" s="7"/>
    </row>
    <row r="934" spans="1:14" ht="19.5" customHeight="1" x14ac:dyDescent="0.25">
      <c r="A934" s="7"/>
      <c r="B934" s="7"/>
      <c r="C934" s="13"/>
      <c r="D934" s="13"/>
      <c r="E934" s="7"/>
      <c r="F934" s="7"/>
      <c r="G934" s="7"/>
      <c r="H934" s="7"/>
      <c r="I934" s="7"/>
      <c r="J934" s="7"/>
      <c r="K934" s="7"/>
      <c r="L934" s="7"/>
      <c r="M934" s="7"/>
      <c r="N934" s="7"/>
    </row>
    <row r="935" spans="1:14" ht="19.5" customHeight="1" x14ac:dyDescent="0.25">
      <c r="A935" s="7"/>
      <c r="B935" s="7"/>
      <c r="C935" s="13"/>
      <c r="D935" s="13"/>
      <c r="E935" s="7"/>
      <c r="F935" s="7"/>
      <c r="G935" s="7"/>
      <c r="H935" s="7"/>
      <c r="I935" s="7"/>
      <c r="J935" s="7"/>
      <c r="K935" s="7"/>
      <c r="L935" s="7"/>
      <c r="M935" s="7"/>
      <c r="N935" s="7"/>
    </row>
    <row r="936" spans="1:14" ht="19.5" customHeight="1" x14ac:dyDescent="0.25">
      <c r="A936" s="7"/>
      <c r="B936" s="7"/>
      <c r="C936" s="13"/>
      <c r="D936" s="13"/>
      <c r="E936" s="7"/>
      <c r="F936" s="7"/>
      <c r="G936" s="7"/>
      <c r="H936" s="7"/>
      <c r="I936" s="7"/>
      <c r="J936" s="7"/>
      <c r="K936" s="7"/>
      <c r="L936" s="7"/>
      <c r="M936" s="7"/>
      <c r="N936" s="7"/>
    </row>
    <row r="937" spans="1:14" ht="19.5" customHeight="1" x14ac:dyDescent="0.25">
      <c r="A937" s="7"/>
      <c r="B937" s="7"/>
      <c r="C937" s="13"/>
      <c r="D937" s="13"/>
      <c r="E937" s="7"/>
      <c r="F937" s="7"/>
      <c r="G937" s="7"/>
      <c r="H937" s="7"/>
      <c r="I937" s="7"/>
      <c r="J937" s="7"/>
      <c r="K937" s="7"/>
      <c r="L937" s="7"/>
      <c r="M937" s="7"/>
      <c r="N937" s="7"/>
    </row>
    <row r="938" spans="1:14" ht="19.5" customHeight="1" x14ac:dyDescent="0.25">
      <c r="A938" s="7"/>
      <c r="B938" s="7"/>
      <c r="C938" s="13"/>
      <c r="D938" s="13"/>
      <c r="E938" s="7"/>
      <c r="F938" s="7"/>
      <c r="G938" s="7"/>
      <c r="H938" s="7"/>
      <c r="I938" s="7"/>
      <c r="J938" s="7"/>
      <c r="K938" s="7"/>
      <c r="L938" s="7"/>
      <c r="M938" s="7"/>
      <c r="N938" s="7"/>
    </row>
    <row r="939" spans="1:14" ht="19.5" customHeight="1" x14ac:dyDescent="0.25">
      <c r="A939" s="7"/>
      <c r="B939" s="7"/>
      <c r="C939" s="13"/>
      <c r="D939" s="13"/>
      <c r="E939" s="7"/>
      <c r="F939" s="7"/>
      <c r="G939" s="7"/>
      <c r="H939" s="7"/>
      <c r="I939" s="7"/>
      <c r="J939" s="7"/>
      <c r="K939" s="7"/>
      <c r="L939" s="7"/>
      <c r="M939" s="7"/>
      <c r="N939" s="7"/>
    </row>
    <row r="940" spans="1:14" ht="19.5" customHeight="1" x14ac:dyDescent="0.25">
      <c r="A940" s="7"/>
      <c r="B940" s="7"/>
      <c r="C940" s="13"/>
      <c r="D940" s="13"/>
      <c r="E940" s="7"/>
      <c r="F940" s="7"/>
      <c r="G940" s="7"/>
      <c r="H940" s="7"/>
      <c r="I940" s="7"/>
      <c r="J940" s="7"/>
      <c r="K940" s="7"/>
      <c r="L940" s="7"/>
      <c r="M940" s="7"/>
      <c r="N940" s="7"/>
    </row>
    <row r="941" spans="1:14" ht="19.5" customHeight="1" x14ac:dyDescent="0.25">
      <c r="A941" s="7"/>
      <c r="B941" s="7"/>
      <c r="C941" s="13"/>
      <c r="D941" s="13"/>
      <c r="E941" s="7"/>
      <c r="F941" s="7"/>
      <c r="G941" s="7"/>
      <c r="H941" s="7"/>
      <c r="I941" s="7"/>
      <c r="J941" s="7"/>
      <c r="K941" s="7"/>
      <c r="L941" s="7"/>
      <c r="M941" s="7"/>
      <c r="N941" s="7"/>
    </row>
    <row r="942" spans="1:14" ht="19.5" customHeight="1" x14ac:dyDescent="0.25">
      <c r="A942" s="7"/>
      <c r="B942" s="7"/>
      <c r="C942" s="13"/>
      <c r="D942" s="13"/>
      <c r="E942" s="7"/>
      <c r="F942" s="7"/>
      <c r="G942" s="7"/>
      <c r="H942" s="7"/>
      <c r="I942" s="7"/>
      <c r="J942" s="7"/>
      <c r="K942" s="7"/>
      <c r="L942" s="7"/>
      <c r="M942" s="7"/>
      <c r="N942" s="7"/>
    </row>
    <row r="943" spans="1:14" ht="19.5" customHeight="1" x14ac:dyDescent="0.25">
      <c r="A943" s="7"/>
      <c r="B943" s="7"/>
      <c r="C943" s="13"/>
      <c r="D943" s="13"/>
      <c r="E943" s="7"/>
      <c r="F943" s="7"/>
      <c r="G943" s="7"/>
      <c r="H943" s="7"/>
      <c r="I943" s="7"/>
      <c r="J943" s="7"/>
      <c r="K943" s="7"/>
      <c r="L943" s="7"/>
      <c r="M943" s="7"/>
      <c r="N943" s="7"/>
    </row>
    <row r="944" spans="1:14" ht="19.5" customHeight="1" x14ac:dyDescent="0.25">
      <c r="A944" s="7"/>
      <c r="B944" s="7"/>
      <c r="C944" s="13"/>
      <c r="D944" s="13"/>
      <c r="E944" s="7"/>
      <c r="F944" s="7"/>
      <c r="G944" s="7"/>
      <c r="H944" s="7"/>
      <c r="I944" s="7"/>
      <c r="J944" s="7"/>
      <c r="K944" s="7"/>
      <c r="L944" s="7"/>
      <c r="M944" s="7"/>
      <c r="N944" s="7"/>
    </row>
    <row r="945" spans="1:14" ht="19.5" customHeight="1" x14ac:dyDescent="0.25">
      <c r="A945" s="7"/>
      <c r="B945" s="7"/>
      <c r="C945" s="13"/>
      <c r="D945" s="13"/>
      <c r="E945" s="7"/>
      <c r="F945" s="7"/>
      <c r="G945" s="7"/>
      <c r="H945" s="7"/>
      <c r="I945" s="7"/>
      <c r="J945" s="7"/>
      <c r="K945" s="7"/>
      <c r="L945" s="7"/>
      <c r="M945" s="7"/>
      <c r="N945" s="7"/>
    </row>
    <row r="946" spans="1:14" ht="19.5" customHeight="1" x14ac:dyDescent="0.25">
      <c r="A946" s="7"/>
      <c r="B946" s="7"/>
      <c r="C946" s="13"/>
      <c r="D946" s="13"/>
      <c r="E946" s="7"/>
      <c r="F946" s="7"/>
      <c r="G946" s="7"/>
      <c r="H946" s="7"/>
      <c r="I946" s="7"/>
      <c r="J946" s="7"/>
      <c r="K946" s="7"/>
      <c r="L946" s="7"/>
      <c r="M946" s="7"/>
      <c r="N946" s="7"/>
    </row>
    <row r="947" spans="1:14" ht="19.5" customHeight="1" x14ac:dyDescent="0.25">
      <c r="A947" s="7"/>
      <c r="B947" s="7"/>
      <c r="C947" s="13"/>
      <c r="D947" s="13"/>
      <c r="E947" s="7"/>
      <c r="F947" s="7"/>
      <c r="G947" s="7"/>
      <c r="H947" s="7"/>
      <c r="I947" s="7"/>
      <c r="J947" s="7"/>
      <c r="K947" s="7"/>
      <c r="L947" s="7"/>
      <c r="M947" s="7"/>
      <c r="N947" s="7"/>
    </row>
    <row r="948" spans="1:14" ht="19.5" customHeight="1" x14ac:dyDescent="0.25">
      <c r="A948" s="7"/>
      <c r="B948" s="7"/>
      <c r="C948" s="13"/>
      <c r="D948" s="13"/>
      <c r="E948" s="7"/>
      <c r="F948" s="7"/>
      <c r="G948" s="7"/>
      <c r="H948" s="7"/>
      <c r="I948" s="7"/>
      <c r="J948" s="7"/>
      <c r="K948" s="7"/>
      <c r="L948" s="7"/>
      <c r="M948" s="7"/>
      <c r="N948" s="7"/>
    </row>
    <row r="949" spans="1:14" ht="19.5" customHeight="1" x14ac:dyDescent="0.25">
      <c r="A949" s="7"/>
      <c r="B949" s="7"/>
      <c r="C949" s="13"/>
      <c r="D949" s="13"/>
      <c r="E949" s="7"/>
      <c r="F949" s="7"/>
      <c r="G949" s="7"/>
      <c r="H949" s="7"/>
      <c r="I949" s="7"/>
      <c r="J949" s="7"/>
      <c r="K949" s="7"/>
      <c r="L949" s="7"/>
      <c r="M949" s="7"/>
      <c r="N949" s="7"/>
    </row>
    <row r="950" spans="1:14" ht="19.5" customHeight="1" x14ac:dyDescent="0.25">
      <c r="A950" s="7"/>
      <c r="B950" s="7"/>
      <c r="C950" s="13"/>
      <c r="D950" s="13"/>
      <c r="E950" s="7"/>
      <c r="F950" s="7"/>
      <c r="G950" s="7"/>
      <c r="H950" s="7"/>
      <c r="I950" s="7"/>
      <c r="J950" s="7"/>
      <c r="K950" s="7"/>
      <c r="L950" s="7"/>
      <c r="M950" s="7"/>
      <c r="N950" s="7"/>
    </row>
    <row r="951" spans="1:14" ht="19.5" customHeight="1" x14ac:dyDescent="0.25">
      <c r="A951" s="7"/>
      <c r="B951" s="7"/>
      <c r="C951" s="13"/>
      <c r="D951" s="13"/>
      <c r="E951" s="7"/>
      <c r="F951" s="7"/>
      <c r="G951" s="7"/>
      <c r="H951" s="7"/>
      <c r="I951" s="7"/>
      <c r="J951" s="7"/>
      <c r="K951" s="7"/>
      <c r="L951" s="7"/>
      <c r="M951" s="7"/>
      <c r="N951" s="7"/>
    </row>
    <row r="952" spans="1:14" ht="19.5" customHeight="1" x14ac:dyDescent="0.25">
      <c r="A952" s="7"/>
      <c r="B952" s="7"/>
      <c r="C952" s="13"/>
      <c r="D952" s="13"/>
      <c r="E952" s="7"/>
      <c r="F952" s="7"/>
      <c r="G952" s="7"/>
      <c r="H952" s="7"/>
      <c r="I952" s="7"/>
      <c r="J952" s="7"/>
      <c r="K952" s="7"/>
      <c r="L952" s="7"/>
      <c r="M952" s="7"/>
      <c r="N952" s="7"/>
    </row>
    <row r="953" spans="1:14" ht="19.5" customHeight="1" x14ac:dyDescent="0.25">
      <c r="A953" s="7"/>
      <c r="B953" s="7"/>
      <c r="C953" s="13"/>
      <c r="D953" s="13"/>
      <c r="E953" s="7"/>
      <c r="F953" s="7"/>
      <c r="G953" s="7"/>
      <c r="H953" s="7"/>
      <c r="I953" s="7"/>
      <c r="J953" s="7"/>
      <c r="K953" s="7"/>
      <c r="L953" s="7"/>
      <c r="M953" s="7"/>
      <c r="N953" s="7"/>
    </row>
    <row r="954" spans="1:14" ht="19.5" customHeight="1" x14ac:dyDescent="0.25">
      <c r="A954" s="7"/>
      <c r="B954" s="7"/>
      <c r="C954" s="13"/>
      <c r="D954" s="13"/>
      <c r="E954" s="7"/>
      <c r="F954" s="7"/>
      <c r="G954" s="7"/>
      <c r="H954" s="7"/>
      <c r="I954" s="7"/>
      <c r="J954" s="7"/>
      <c r="K954" s="7"/>
      <c r="L954" s="7"/>
      <c r="M954" s="7"/>
      <c r="N954" s="7"/>
    </row>
    <row r="955" spans="1:14" ht="19.5" customHeight="1" x14ac:dyDescent="0.25">
      <c r="A955" s="7"/>
      <c r="B955" s="7"/>
      <c r="C955" s="13"/>
      <c r="D955" s="13"/>
      <c r="E955" s="7"/>
      <c r="F955" s="7"/>
      <c r="G955" s="7"/>
      <c r="H955" s="7"/>
      <c r="I955" s="7"/>
      <c r="J955" s="7"/>
      <c r="K955" s="7"/>
      <c r="L955" s="7"/>
      <c r="M955" s="7"/>
      <c r="N955" s="7"/>
    </row>
    <row r="956" spans="1:14" ht="19.5" customHeight="1" x14ac:dyDescent="0.25">
      <c r="A956" s="7"/>
      <c r="B956" s="7"/>
      <c r="C956" s="13"/>
      <c r="D956" s="13"/>
      <c r="E956" s="7"/>
      <c r="F956" s="7"/>
      <c r="G956" s="7"/>
      <c r="H956" s="7"/>
      <c r="I956" s="7"/>
      <c r="J956" s="7"/>
      <c r="K956" s="7"/>
      <c r="L956" s="7"/>
      <c r="M956" s="7"/>
      <c r="N956" s="7"/>
    </row>
    <row r="957" spans="1:14" ht="19.5" customHeight="1" x14ac:dyDescent="0.25">
      <c r="A957" s="7"/>
      <c r="B957" s="7"/>
      <c r="C957" s="13"/>
      <c r="D957" s="13"/>
      <c r="E957" s="7"/>
      <c r="F957" s="7"/>
      <c r="G957" s="7"/>
      <c r="H957" s="7"/>
      <c r="I957" s="7"/>
      <c r="J957" s="7"/>
      <c r="K957" s="7"/>
      <c r="L957" s="7"/>
      <c r="M957" s="7"/>
      <c r="N957" s="7"/>
    </row>
    <row r="958" spans="1:14" ht="19.5" customHeight="1" x14ac:dyDescent="0.25">
      <c r="A958" s="7"/>
      <c r="B958" s="7"/>
      <c r="C958" s="13"/>
      <c r="D958" s="13"/>
      <c r="E958" s="7"/>
      <c r="F958" s="7"/>
      <c r="G958" s="7"/>
      <c r="H958" s="7"/>
      <c r="I958" s="7"/>
      <c r="J958" s="7"/>
      <c r="K958" s="7"/>
      <c r="L958" s="7"/>
      <c r="M958" s="7"/>
      <c r="N958" s="7"/>
    </row>
    <row r="959" spans="1:14" ht="19.5" customHeight="1" x14ac:dyDescent="0.25">
      <c r="A959" s="7"/>
      <c r="B959" s="7"/>
      <c r="C959" s="13"/>
      <c r="D959" s="13"/>
      <c r="E959" s="7"/>
      <c r="F959" s="7"/>
      <c r="G959" s="7"/>
      <c r="H959" s="7"/>
      <c r="I959" s="7"/>
      <c r="J959" s="7"/>
      <c r="K959" s="7"/>
      <c r="L959" s="7"/>
      <c r="M959" s="7"/>
      <c r="N959" s="7"/>
    </row>
    <row r="960" spans="1:14" ht="19.5" customHeight="1" x14ac:dyDescent="0.25">
      <c r="A960" s="7"/>
      <c r="B960" s="7"/>
      <c r="C960" s="13"/>
      <c r="D960" s="13"/>
      <c r="E960" s="7"/>
      <c r="F960" s="7"/>
      <c r="G960" s="7"/>
      <c r="H960" s="7"/>
      <c r="I960" s="7"/>
      <c r="J960" s="7"/>
      <c r="K960" s="7"/>
      <c r="L960" s="7"/>
      <c r="M960" s="7"/>
      <c r="N960" s="7"/>
    </row>
    <row r="961" spans="1:14" ht="19.5" customHeight="1" x14ac:dyDescent="0.25">
      <c r="A961" s="7"/>
      <c r="B961" s="7"/>
      <c r="C961" s="13"/>
      <c r="D961" s="13"/>
      <c r="E961" s="7"/>
      <c r="F961" s="7"/>
      <c r="G961" s="7"/>
      <c r="H961" s="7"/>
      <c r="I961" s="7"/>
      <c r="J961" s="7"/>
      <c r="K961" s="7"/>
      <c r="L961" s="7"/>
      <c r="M961" s="7"/>
      <c r="N961" s="7"/>
    </row>
    <row r="962" spans="1:14" ht="19.5" customHeight="1" x14ac:dyDescent="0.25">
      <c r="A962" s="7"/>
      <c r="B962" s="7"/>
      <c r="C962" s="13"/>
      <c r="D962" s="13"/>
      <c r="E962" s="7"/>
      <c r="F962" s="7"/>
      <c r="G962" s="7"/>
      <c r="H962" s="7"/>
      <c r="I962" s="7"/>
      <c r="J962" s="7"/>
      <c r="K962" s="7"/>
      <c r="L962" s="7"/>
      <c r="M962" s="7"/>
      <c r="N962" s="7"/>
    </row>
    <row r="963" spans="1:14" ht="19.5" customHeight="1" x14ac:dyDescent="0.25">
      <c r="A963" s="7"/>
      <c r="B963" s="7"/>
      <c r="C963" s="13"/>
      <c r="D963" s="13"/>
      <c r="E963" s="7"/>
      <c r="F963" s="7"/>
      <c r="G963" s="7"/>
      <c r="H963" s="7"/>
      <c r="I963" s="7"/>
      <c r="J963" s="7"/>
      <c r="K963" s="7"/>
      <c r="L963" s="7"/>
      <c r="M963" s="7"/>
      <c r="N963" s="7"/>
    </row>
    <row r="964" spans="1:14" ht="19.5" customHeight="1" x14ac:dyDescent="0.25">
      <c r="A964" s="7"/>
      <c r="B964" s="7"/>
      <c r="C964" s="13"/>
      <c r="D964" s="13"/>
      <c r="E964" s="7"/>
      <c r="F964" s="7"/>
      <c r="G964" s="7"/>
      <c r="H964" s="7"/>
      <c r="I964" s="7"/>
      <c r="J964" s="7"/>
      <c r="K964" s="7"/>
      <c r="L964" s="7"/>
      <c r="M964" s="7"/>
      <c r="N964" s="7"/>
    </row>
    <row r="965" spans="1:14" ht="19.5" customHeight="1" x14ac:dyDescent="0.25">
      <c r="A965" s="7"/>
      <c r="B965" s="7"/>
      <c r="C965" s="13"/>
      <c r="D965" s="13"/>
      <c r="E965" s="7"/>
      <c r="F965" s="7"/>
      <c r="G965" s="7"/>
      <c r="H965" s="7"/>
      <c r="I965" s="7"/>
      <c r="J965" s="7"/>
      <c r="K965" s="7"/>
      <c r="L965" s="7"/>
      <c r="M965" s="7"/>
      <c r="N965" s="7"/>
    </row>
    <row r="966" spans="1:14" ht="19.5" customHeight="1" x14ac:dyDescent="0.25">
      <c r="A966" s="7"/>
      <c r="B966" s="7"/>
      <c r="C966" s="13"/>
      <c r="D966" s="13"/>
      <c r="E966" s="7"/>
      <c r="F966" s="7"/>
      <c r="G966" s="7"/>
      <c r="H966" s="7"/>
      <c r="I966" s="7"/>
      <c r="J966" s="7"/>
      <c r="K966" s="7"/>
      <c r="L966" s="7"/>
      <c r="M966" s="7"/>
      <c r="N966" s="7"/>
    </row>
    <row r="967" spans="1:14" ht="19.5" customHeight="1" x14ac:dyDescent="0.25">
      <c r="A967" s="7"/>
      <c r="B967" s="7"/>
      <c r="C967" s="13"/>
      <c r="D967" s="13"/>
      <c r="E967" s="7"/>
      <c r="F967" s="7"/>
      <c r="G967" s="7"/>
      <c r="H967" s="7"/>
      <c r="I967" s="7"/>
      <c r="J967" s="7"/>
      <c r="K967" s="7"/>
      <c r="L967" s="7"/>
      <c r="M967" s="7"/>
      <c r="N967" s="7"/>
    </row>
    <row r="968" spans="1:14" ht="19.5" customHeight="1" x14ac:dyDescent="0.25">
      <c r="A968" s="7"/>
      <c r="B968" s="7"/>
      <c r="C968" s="13"/>
      <c r="D968" s="13"/>
      <c r="E968" s="7"/>
      <c r="F968" s="7"/>
      <c r="G968" s="7"/>
      <c r="H968" s="7"/>
      <c r="I968" s="7"/>
      <c r="J968" s="7"/>
      <c r="K968" s="7"/>
      <c r="L968" s="7"/>
      <c r="M968" s="7"/>
      <c r="N968" s="7"/>
    </row>
    <row r="969" spans="1:14" ht="19.5" customHeight="1" x14ac:dyDescent="0.25">
      <c r="A969" s="7"/>
      <c r="B969" s="7"/>
      <c r="C969" s="13"/>
      <c r="D969" s="13"/>
      <c r="E969" s="7"/>
      <c r="F969" s="7"/>
      <c r="G969" s="7"/>
      <c r="H969" s="7"/>
      <c r="I969" s="7"/>
      <c r="J969" s="7"/>
      <c r="K969" s="7"/>
      <c r="L969" s="7"/>
      <c r="M969" s="7"/>
      <c r="N969" s="7"/>
    </row>
    <row r="970" spans="1:14" ht="19.5" customHeight="1" x14ac:dyDescent="0.25">
      <c r="A970" s="7"/>
      <c r="B970" s="7"/>
      <c r="C970" s="13"/>
      <c r="D970" s="13"/>
      <c r="E970" s="7"/>
      <c r="F970" s="7"/>
      <c r="G970" s="7"/>
      <c r="H970" s="7"/>
      <c r="I970" s="7"/>
      <c r="J970" s="7"/>
      <c r="K970" s="7"/>
      <c r="L970" s="7"/>
      <c r="M970" s="7"/>
      <c r="N970" s="7"/>
    </row>
    <row r="971" spans="1:14" ht="19.5" customHeight="1" x14ac:dyDescent="0.25">
      <c r="A971" s="7"/>
      <c r="B971" s="7"/>
      <c r="C971" s="13"/>
      <c r="D971" s="13"/>
      <c r="E971" s="7"/>
      <c r="F971" s="7"/>
      <c r="G971" s="7"/>
      <c r="H971" s="7"/>
      <c r="I971" s="7"/>
      <c r="J971" s="7"/>
      <c r="K971" s="7"/>
      <c r="L971" s="7"/>
      <c r="M971" s="7"/>
      <c r="N971" s="7"/>
    </row>
    <row r="972" spans="1:14" ht="19.5" customHeight="1" x14ac:dyDescent="0.25">
      <c r="A972" s="7"/>
      <c r="B972" s="7"/>
      <c r="C972" s="13"/>
      <c r="D972" s="13"/>
      <c r="E972" s="7"/>
      <c r="F972" s="7"/>
      <c r="G972" s="7"/>
      <c r="H972" s="7"/>
      <c r="I972" s="7"/>
      <c r="J972" s="7"/>
      <c r="K972" s="7"/>
      <c r="L972" s="7"/>
      <c r="M972" s="7"/>
      <c r="N972" s="7"/>
    </row>
    <row r="973" spans="1:14" ht="19.5" customHeight="1" x14ac:dyDescent="0.25">
      <c r="A973" s="7"/>
      <c r="B973" s="7"/>
      <c r="C973" s="13"/>
      <c r="D973" s="13"/>
      <c r="E973" s="7"/>
      <c r="F973" s="7"/>
      <c r="G973" s="7"/>
      <c r="H973" s="7"/>
      <c r="I973" s="7"/>
      <c r="J973" s="7"/>
      <c r="K973" s="7"/>
      <c r="L973" s="7"/>
      <c r="M973" s="7"/>
      <c r="N973" s="7"/>
    </row>
    <row r="974" spans="1:14" ht="19.5" customHeight="1" x14ac:dyDescent="0.25">
      <c r="A974" s="7"/>
      <c r="B974" s="7"/>
      <c r="C974" s="13"/>
      <c r="D974" s="13"/>
      <c r="E974" s="7"/>
      <c r="F974" s="7"/>
      <c r="G974" s="7"/>
      <c r="H974" s="7"/>
      <c r="I974" s="7"/>
      <c r="J974" s="7"/>
      <c r="K974" s="7"/>
      <c r="L974" s="7"/>
      <c r="M974" s="7"/>
      <c r="N974" s="7"/>
    </row>
    <row r="975" spans="1:14" ht="19.5" customHeight="1" x14ac:dyDescent="0.25">
      <c r="A975" s="7"/>
      <c r="B975" s="7"/>
      <c r="C975" s="13"/>
      <c r="D975" s="13"/>
      <c r="E975" s="7"/>
      <c r="F975" s="7"/>
      <c r="G975" s="7"/>
      <c r="H975" s="7"/>
      <c r="I975" s="7"/>
      <c r="J975" s="7"/>
      <c r="K975" s="7"/>
      <c r="L975" s="7"/>
      <c r="M975" s="7"/>
      <c r="N975" s="7"/>
    </row>
    <row r="976" spans="1:14" ht="19.5" customHeight="1" x14ac:dyDescent="0.25">
      <c r="A976" s="7"/>
      <c r="B976" s="7"/>
      <c r="C976" s="13"/>
      <c r="D976" s="13"/>
      <c r="E976" s="7"/>
      <c r="F976" s="7"/>
      <c r="G976" s="7"/>
      <c r="H976" s="7"/>
      <c r="I976" s="7"/>
      <c r="J976" s="7"/>
      <c r="K976" s="7"/>
      <c r="L976" s="7"/>
      <c r="M976" s="7"/>
      <c r="N976" s="7"/>
    </row>
    <row r="977" spans="1:14" ht="19.5" customHeight="1" x14ac:dyDescent="0.25">
      <c r="A977" s="7"/>
      <c r="B977" s="7"/>
      <c r="C977" s="13"/>
      <c r="D977" s="13"/>
      <c r="E977" s="7"/>
      <c r="F977" s="7"/>
      <c r="G977" s="7"/>
      <c r="H977" s="7"/>
      <c r="I977" s="7"/>
      <c r="J977" s="7"/>
      <c r="K977" s="7"/>
      <c r="L977" s="7"/>
      <c r="M977" s="7"/>
      <c r="N977" s="7"/>
    </row>
    <row r="978" spans="1:14" ht="19.5" customHeight="1" x14ac:dyDescent="0.25">
      <c r="A978" s="7"/>
      <c r="B978" s="7"/>
      <c r="C978" s="13"/>
      <c r="D978" s="13"/>
      <c r="E978" s="7"/>
      <c r="F978" s="7"/>
      <c r="G978" s="7"/>
      <c r="H978" s="7"/>
      <c r="I978" s="7"/>
      <c r="J978" s="7"/>
      <c r="K978" s="7"/>
      <c r="L978" s="7"/>
      <c r="M978" s="7"/>
      <c r="N978" s="7"/>
    </row>
    <row r="979" spans="1:14" ht="19.5" customHeight="1" x14ac:dyDescent="0.25">
      <c r="A979" s="7"/>
      <c r="B979" s="7"/>
      <c r="C979" s="13"/>
      <c r="D979" s="13"/>
      <c r="E979" s="7"/>
      <c r="F979" s="7"/>
      <c r="G979" s="7"/>
      <c r="H979" s="7"/>
      <c r="I979" s="7"/>
      <c r="J979" s="7"/>
      <c r="K979" s="7"/>
      <c r="L979" s="7"/>
      <c r="M979" s="7"/>
      <c r="N979" s="7"/>
    </row>
    <row r="980" spans="1:14" ht="19.5" customHeight="1" x14ac:dyDescent="0.25">
      <c r="A980" s="7"/>
      <c r="B980" s="7"/>
      <c r="C980" s="13"/>
      <c r="D980" s="13"/>
      <c r="E980" s="7"/>
      <c r="F980" s="7"/>
      <c r="G980" s="7"/>
      <c r="H980" s="7"/>
      <c r="I980" s="7"/>
      <c r="J980" s="7"/>
      <c r="K980" s="7"/>
      <c r="L980" s="7"/>
      <c r="M980" s="7"/>
      <c r="N980" s="7"/>
    </row>
    <row r="981" spans="1:14" ht="19.5" customHeight="1" x14ac:dyDescent="0.25">
      <c r="A981" s="7"/>
      <c r="B981" s="7"/>
      <c r="C981" s="13"/>
      <c r="D981" s="13"/>
      <c r="E981" s="7"/>
      <c r="F981" s="7"/>
      <c r="G981" s="7"/>
      <c r="H981" s="7"/>
      <c r="I981" s="7"/>
      <c r="J981" s="7"/>
      <c r="K981" s="7"/>
      <c r="L981" s="7"/>
      <c r="M981" s="7"/>
      <c r="N981" s="7"/>
    </row>
    <row r="982" spans="1:14" ht="19.5" customHeight="1" x14ac:dyDescent="0.25">
      <c r="A982" s="7"/>
      <c r="B982" s="7"/>
      <c r="C982" s="13"/>
      <c r="D982" s="13"/>
      <c r="E982" s="7"/>
      <c r="F982" s="7"/>
      <c r="G982" s="7"/>
      <c r="H982" s="7"/>
      <c r="I982" s="7"/>
      <c r="J982" s="7"/>
      <c r="K982" s="7"/>
      <c r="L982" s="7"/>
      <c r="M982" s="7"/>
      <c r="N982" s="7"/>
    </row>
    <row r="983" spans="1:14" ht="19.5" customHeight="1" x14ac:dyDescent="0.25">
      <c r="A983" s="7"/>
      <c r="B983" s="7"/>
      <c r="C983" s="13"/>
      <c r="D983" s="13"/>
      <c r="E983" s="7"/>
      <c r="F983" s="7"/>
      <c r="G983" s="7"/>
      <c r="H983" s="7"/>
      <c r="I983" s="7"/>
      <c r="J983" s="7"/>
      <c r="K983" s="7"/>
      <c r="L983" s="7"/>
      <c r="M983" s="7"/>
      <c r="N983" s="7"/>
    </row>
    <row r="984" spans="1:14" ht="19.5" customHeight="1" x14ac:dyDescent="0.25">
      <c r="A984" s="7"/>
      <c r="B984" s="7"/>
      <c r="C984" s="13"/>
      <c r="D984" s="13"/>
      <c r="E984" s="7"/>
      <c r="F984" s="7"/>
      <c r="G984" s="7"/>
      <c r="H984" s="7"/>
      <c r="I984" s="7"/>
      <c r="J984" s="7"/>
      <c r="K984" s="7"/>
      <c r="L984" s="7"/>
      <c r="M984" s="7"/>
      <c r="N984" s="7"/>
    </row>
    <row r="985" spans="1:14" ht="19.5" customHeight="1" x14ac:dyDescent="0.25">
      <c r="A985" s="7"/>
      <c r="B985" s="7"/>
      <c r="C985" s="13"/>
      <c r="D985" s="13"/>
      <c r="E985" s="7"/>
      <c r="F985" s="7"/>
      <c r="G985" s="7"/>
      <c r="H985" s="7"/>
      <c r="I985" s="7"/>
      <c r="J985" s="7"/>
      <c r="K985" s="7"/>
      <c r="L985" s="7"/>
      <c r="M985" s="7"/>
      <c r="N985" s="7"/>
    </row>
    <row r="986" spans="1:14" ht="19.5" customHeight="1" x14ac:dyDescent="0.25">
      <c r="A986" s="7"/>
      <c r="B986" s="7"/>
      <c r="C986" s="13"/>
      <c r="D986" s="13"/>
      <c r="E986" s="7"/>
      <c r="F986" s="7"/>
      <c r="G986" s="7"/>
      <c r="H986" s="7"/>
      <c r="I986" s="7"/>
      <c r="J986" s="7"/>
      <c r="K986" s="7"/>
      <c r="L986" s="7"/>
      <c r="M986" s="7"/>
      <c r="N986" s="7"/>
    </row>
    <row r="987" spans="1:14" ht="19.5" customHeight="1" x14ac:dyDescent="0.25">
      <c r="A987" s="7"/>
      <c r="B987" s="7"/>
      <c r="C987" s="13"/>
      <c r="D987" s="13"/>
      <c r="E987" s="7"/>
      <c r="F987" s="7"/>
      <c r="G987" s="7"/>
      <c r="H987" s="7"/>
      <c r="I987" s="7"/>
      <c r="J987" s="7"/>
      <c r="K987" s="7"/>
      <c r="L987" s="7"/>
      <c r="M987" s="7"/>
      <c r="N987" s="7"/>
    </row>
    <row r="988" spans="1:14" ht="19.5" customHeight="1" x14ac:dyDescent="0.25">
      <c r="A988" s="7"/>
      <c r="B988" s="7"/>
      <c r="C988" s="13"/>
      <c r="D988" s="13"/>
      <c r="E988" s="7"/>
      <c r="F988" s="7"/>
      <c r="G988" s="7"/>
      <c r="H988" s="7"/>
      <c r="I988" s="7"/>
      <c r="J988" s="7"/>
      <c r="K988" s="7"/>
      <c r="L988" s="7"/>
      <c r="M988" s="7"/>
      <c r="N988" s="7"/>
    </row>
    <row r="989" spans="1:14" ht="19.5" customHeight="1" x14ac:dyDescent="0.25">
      <c r="A989" s="7"/>
      <c r="B989" s="7"/>
      <c r="C989" s="13"/>
      <c r="D989" s="13"/>
      <c r="E989" s="7"/>
      <c r="F989" s="7"/>
      <c r="G989" s="7"/>
      <c r="H989" s="7"/>
      <c r="I989" s="7"/>
      <c r="J989" s="7"/>
      <c r="K989" s="7"/>
      <c r="L989" s="7"/>
      <c r="M989" s="7"/>
      <c r="N989" s="7"/>
    </row>
    <row r="990" spans="1:14" ht="19.5" customHeight="1" x14ac:dyDescent="0.25">
      <c r="A990" s="7"/>
      <c r="B990" s="7"/>
      <c r="C990" s="13"/>
      <c r="D990" s="13"/>
      <c r="E990" s="7"/>
      <c r="F990" s="7"/>
      <c r="G990" s="7"/>
      <c r="H990" s="7"/>
      <c r="I990" s="7"/>
      <c r="J990" s="7"/>
      <c r="K990" s="7"/>
      <c r="L990" s="7"/>
      <c r="M990" s="7"/>
      <c r="N990" s="7"/>
    </row>
    <row r="991" spans="1:14" ht="19.5" customHeight="1" x14ac:dyDescent="0.25">
      <c r="A991" s="7"/>
      <c r="B991" s="7"/>
      <c r="C991" s="13"/>
      <c r="D991" s="13"/>
      <c r="E991" s="7"/>
      <c r="F991" s="7"/>
      <c r="G991" s="7"/>
      <c r="H991" s="7"/>
      <c r="I991" s="7"/>
      <c r="J991" s="7"/>
      <c r="K991" s="7"/>
      <c r="L991" s="7"/>
      <c r="M991" s="7"/>
      <c r="N991" s="7"/>
    </row>
    <row r="992" spans="1:14" ht="19.5" customHeight="1" x14ac:dyDescent="0.25">
      <c r="A992" s="7"/>
      <c r="B992" s="7"/>
      <c r="C992" s="13"/>
      <c r="D992" s="13"/>
      <c r="E992" s="7"/>
      <c r="F992" s="7"/>
      <c r="G992" s="7"/>
      <c r="H992" s="7"/>
      <c r="I992" s="7"/>
      <c r="J992" s="7"/>
      <c r="K992" s="7"/>
      <c r="L992" s="7"/>
      <c r="M992" s="7"/>
      <c r="N992" s="7"/>
    </row>
    <row r="993" spans="1:14" ht="19.5" customHeight="1" x14ac:dyDescent="0.25">
      <c r="A993" s="7"/>
      <c r="B993" s="7"/>
      <c r="C993" s="13"/>
      <c r="D993" s="13"/>
      <c r="E993" s="7"/>
      <c r="F993" s="7"/>
      <c r="G993" s="7"/>
      <c r="H993" s="7"/>
      <c r="I993" s="7"/>
      <c r="J993" s="7"/>
      <c r="K993" s="7"/>
      <c r="L993" s="7"/>
      <c r="M993" s="7"/>
      <c r="N993" s="7"/>
    </row>
    <row r="994" spans="1:14" ht="19.5" customHeight="1" x14ac:dyDescent="0.25">
      <c r="A994" s="7"/>
      <c r="B994" s="7"/>
      <c r="C994" s="13"/>
      <c r="D994" s="13"/>
      <c r="E994" s="7"/>
      <c r="F994" s="7"/>
      <c r="G994" s="7"/>
      <c r="H994" s="7"/>
      <c r="I994" s="7"/>
      <c r="J994" s="7"/>
      <c r="K994" s="7"/>
      <c r="L994" s="7"/>
      <c r="M994" s="7"/>
      <c r="N994" s="7"/>
    </row>
    <row r="995" spans="1:14" ht="19.5" customHeight="1" x14ac:dyDescent="0.25">
      <c r="A995" s="7"/>
      <c r="B995" s="7"/>
      <c r="C995" s="13"/>
      <c r="D995" s="13"/>
      <c r="E995" s="7"/>
      <c r="F995" s="7"/>
      <c r="G995" s="7"/>
      <c r="H995" s="7"/>
      <c r="I995" s="7"/>
      <c r="J995" s="7"/>
      <c r="K995" s="7"/>
      <c r="L995" s="7"/>
      <c r="M995" s="7"/>
      <c r="N995" s="7"/>
    </row>
    <row r="996" spans="1:14" ht="19.5" customHeight="1" x14ac:dyDescent="0.25">
      <c r="A996" s="7"/>
      <c r="B996" s="7"/>
      <c r="C996" s="13"/>
      <c r="D996" s="13"/>
      <c r="E996" s="7"/>
      <c r="F996" s="7"/>
      <c r="G996" s="7"/>
      <c r="H996" s="7"/>
      <c r="I996" s="7"/>
      <c r="J996" s="7"/>
      <c r="K996" s="7"/>
      <c r="L996" s="7"/>
      <c r="M996" s="7"/>
      <c r="N996" s="7"/>
    </row>
    <row r="997" spans="1:14" ht="19.5" customHeight="1" x14ac:dyDescent="0.25">
      <c r="A997" s="7"/>
      <c r="B997" s="7"/>
      <c r="C997" s="13"/>
      <c r="D997" s="13"/>
      <c r="E997" s="7"/>
      <c r="F997" s="7"/>
      <c r="G997" s="7"/>
      <c r="H997" s="7"/>
      <c r="I997" s="7"/>
      <c r="J997" s="7"/>
      <c r="K997" s="7"/>
      <c r="L997" s="7"/>
      <c r="M997" s="7"/>
      <c r="N997" s="7"/>
    </row>
    <row r="998" spans="1:14" ht="19.5" customHeight="1" x14ac:dyDescent="0.25">
      <c r="A998" s="7"/>
      <c r="B998" s="7"/>
      <c r="C998" s="13"/>
      <c r="D998" s="13"/>
      <c r="E998" s="7"/>
      <c r="F998" s="7"/>
      <c r="G998" s="7"/>
      <c r="H998" s="7"/>
      <c r="I998" s="7"/>
      <c r="J998" s="7"/>
      <c r="K998" s="7"/>
      <c r="L998" s="7"/>
      <c r="M998" s="7"/>
      <c r="N998" s="7"/>
    </row>
    <row r="999" spans="1:14" ht="19.5" customHeight="1" x14ac:dyDescent="0.25">
      <c r="A999" s="7"/>
      <c r="B999" s="7"/>
      <c r="C999" s="13"/>
      <c r="D999" s="13"/>
      <c r="E999" s="7"/>
      <c r="F999" s="7"/>
      <c r="G999" s="7"/>
      <c r="H999" s="7"/>
      <c r="I999" s="7"/>
      <c r="J999" s="7"/>
      <c r="K999" s="7"/>
      <c r="L999" s="7"/>
      <c r="M999" s="7"/>
      <c r="N999" s="7"/>
    </row>
    <row r="1000" spans="1:14" ht="19.5" customHeight="1" x14ac:dyDescent="0.25">
      <c r="A1000" s="7"/>
      <c r="B1000" s="7"/>
      <c r="C1000" s="13"/>
      <c r="D1000" s="13"/>
      <c r="E1000" s="7"/>
      <c r="F1000" s="7"/>
      <c r="G1000" s="7"/>
      <c r="H1000" s="7"/>
      <c r="I1000" s="7"/>
      <c r="J1000" s="7"/>
      <c r="K1000" s="7"/>
      <c r="L1000" s="7"/>
      <c r="M1000" s="7"/>
      <c r="N1000" s="7"/>
    </row>
    <row r="1001" spans="1:14" ht="19.5" customHeight="1" x14ac:dyDescent="0.25">
      <c r="A1001" s="7"/>
      <c r="B1001" s="7"/>
      <c r="C1001" s="13"/>
      <c r="D1001" s="13"/>
      <c r="E1001" s="7"/>
      <c r="F1001" s="7"/>
      <c r="G1001" s="7"/>
      <c r="H1001" s="7"/>
      <c r="I1001" s="7"/>
      <c r="J1001" s="7"/>
      <c r="K1001" s="7"/>
      <c r="L1001" s="7"/>
      <c r="M1001" s="7"/>
      <c r="N1001" s="7"/>
    </row>
    <row r="1002" spans="1:14" ht="19.5" customHeight="1" x14ac:dyDescent="0.25">
      <c r="A1002" s="7"/>
      <c r="B1002" s="7"/>
      <c r="C1002" s="13"/>
      <c r="D1002" s="13"/>
      <c r="E1002" s="7"/>
      <c r="F1002" s="7"/>
      <c r="G1002" s="7"/>
      <c r="H1002" s="7"/>
      <c r="I1002" s="7"/>
      <c r="J1002" s="7"/>
      <c r="K1002" s="7"/>
      <c r="L1002" s="7"/>
      <c r="M1002" s="7"/>
      <c r="N1002" s="7"/>
    </row>
    <row r="1003" spans="1:14" ht="15" customHeight="1" x14ac:dyDescent="0.25">
      <c r="A1003" s="7"/>
      <c r="B1003" s="7"/>
      <c r="C1003" s="13"/>
      <c r="D1003" s="13"/>
      <c r="E1003" s="7"/>
    </row>
    <row r="1004" spans="1:14" ht="15" customHeight="1" x14ac:dyDescent="0.25">
      <c r="E1004" s="7"/>
    </row>
  </sheetData>
  <pageMargins left="0.511811024" right="0.511811024" top="0.78740157499999996" bottom="0.78740157499999996" header="0" footer="0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AE950"/>
  <sheetViews>
    <sheetView showGridLines="0" tabSelected="1" zoomScale="70" zoomScaleNormal="70" workbookViewId="0">
      <pane ySplit="2" topLeftCell="A3" activePane="bottomLeft" state="frozen"/>
      <selection activeCell="X36" sqref="X36:AD36"/>
      <selection pane="bottomLeft" activeCell="B19" sqref="B19"/>
    </sheetView>
  </sheetViews>
  <sheetFormatPr defaultColWidth="14.42578125" defaultRowHeight="15" customHeight="1" x14ac:dyDescent="0.25"/>
  <cols>
    <col min="1" max="1" width="48.28515625" customWidth="1"/>
    <col min="2" max="2" width="25.7109375" customWidth="1"/>
    <col min="3" max="3" width="16.85546875" customWidth="1"/>
    <col min="4" max="4" width="30.140625" style="38" customWidth="1"/>
    <col min="5" max="5" width="88.85546875" style="109" bestFit="1" customWidth="1"/>
    <col min="6" max="6" width="27.85546875" customWidth="1"/>
    <col min="7" max="7" width="29.28515625" customWidth="1"/>
    <col min="8" max="8" width="11.7109375" customWidth="1"/>
    <col min="9" max="11" width="9.140625" customWidth="1"/>
    <col min="12" max="12" width="10.85546875" customWidth="1"/>
    <col min="13" max="24" width="9.140625" customWidth="1"/>
  </cols>
  <sheetData>
    <row r="1" spans="1:27" ht="21.6" customHeight="1" x14ac:dyDescent="0.6">
      <c r="A1" s="171" t="s">
        <v>0</v>
      </c>
      <c r="B1" s="173" t="s">
        <v>128</v>
      </c>
      <c r="C1" s="174"/>
      <c r="D1" s="101" t="s">
        <v>103</v>
      </c>
      <c r="E1" s="175" t="s">
        <v>54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7" ht="22.15" customHeight="1" x14ac:dyDescent="0.6">
      <c r="A2" s="172"/>
      <c r="B2" s="46" t="s">
        <v>1</v>
      </c>
      <c r="C2" s="44" t="s">
        <v>2</v>
      </c>
      <c r="D2" s="102" t="s">
        <v>2</v>
      </c>
      <c r="E2" s="175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7" ht="19.5" customHeight="1" x14ac:dyDescent="0.25">
      <c r="A3" s="159" t="s">
        <v>17</v>
      </c>
      <c r="B3" s="53">
        <f ca="1">ORÇAMENTO_EXECUTIVO!B2</f>
        <v>3480224.2810878847</v>
      </c>
      <c r="C3" s="160">
        <f ca="1">B3/ORÇAMENTO_EXECUTIVO!$G$2</f>
        <v>503.85675770074931</v>
      </c>
      <c r="D3" s="161" t="str">
        <f>FIXED(CÁLCULO_MÉDIAS!P8,2,FALSE)&amp;" "&amp;"-"&amp;FIXED(CÁLCULO_MÉDIAS!Q8,2,FALSE)</f>
        <v>440,00 -560,00</v>
      </c>
      <c r="E3" s="104" t="s">
        <v>127</v>
      </c>
      <c r="F3" s="3" t="s">
        <v>121</v>
      </c>
      <c r="G3" s="3"/>
      <c r="H3" s="4"/>
      <c r="I3" s="5"/>
      <c r="J3" s="3"/>
      <c r="K3" s="4"/>
      <c r="L3" s="4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7" ht="19.5" customHeight="1" x14ac:dyDescent="0.25">
      <c r="A4" s="26" t="s">
        <v>3</v>
      </c>
      <c r="B4" s="52">
        <f ca="1">ORÇAMENTO_EXECUTIVO!B3</f>
        <v>360886.15250195883</v>
      </c>
      <c r="C4" s="17">
        <f ca="1">B4/ORÇAMENTO_EXECUTIVO!$G$2</f>
        <v>52.248048405057183</v>
      </c>
      <c r="D4" s="170" t="str">
        <f>FIXED(CÁLCULO_MÉDIAS!P9,2,FALSE)&amp;" "&amp;"-"&amp;FIXED(CÁLCULO_MÉDIAS!Q9,2,FALSE)</f>
        <v>16,00 -55,00</v>
      </c>
      <c r="E4" s="103" t="s">
        <v>131</v>
      </c>
      <c r="F4" s="3" t="s">
        <v>121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7" ht="19.5" customHeight="1" x14ac:dyDescent="0.25">
      <c r="A5" s="159" t="s">
        <v>129</v>
      </c>
      <c r="B5" s="53">
        <f ca="1">ORÇAMENTO_EXECUTIVO!B5+ORÇAMENTO_EXECUTIVO!B4</f>
        <v>3733471.971300845</v>
      </c>
      <c r="C5" s="160">
        <f ca="1">B5/ORÇAMENTO_EXECUTIVO!$G$2</f>
        <v>540.52122233864884</v>
      </c>
      <c r="D5" s="161" t="str">
        <f>FIXED(CÁLCULO_MÉDIAS!P10,2,FALSE)&amp;" "&amp;"-"&amp;FIXED(CÁLCULO_MÉDIAS!Q10,2,FALSE)</f>
        <v>320,00 -480,00</v>
      </c>
      <c r="E5" s="104" t="s">
        <v>132</v>
      </c>
      <c r="F5" s="167" t="s">
        <v>120</v>
      </c>
      <c r="G5" s="3"/>
      <c r="H5" s="4"/>
      <c r="I5" s="5"/>
      <c r="J5" s="3"/>
      <c r="K5" s="4"/>
      <c r="L5" s="4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7" ht="19.5" customHeight="1" x14ac:dyDescent="0.25">
      <c r="A6" s="26" t="s">
        <v>5</v>
      </c>
      <c r="B6" s="52">
        <f ca="1">ORÇAMENTO_EXECUTIVO!B6</f>
        <v>4630661.6661939044</v>
      </c>
      <c r="C6" s="17">
        <f ca="1">B6/ORÇAMENTO_EXECUTIVO!$G$2</f>
        <v>670.41373908473429</v>
      </c>
      <c r="D6" s="170" t="str">
        <f>FIXED(CÁLCULO_MÉDIAS!P11,2,FALSE)&amp;" "&amp;"-"&amp;FIXED(CÁLCULO_MÉDIAS!Q11,2,FALSE)</f>
        <v>580,00 -730,00</v>
      </c>
      <c r="E6" s="103"/>
      <c r="F6" s="3" t="s">
        <v>121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7" ht="19.5" customHeight="1" x14ac:dyDescent="0.25">
      <c r="A7" s="159" t="s">
        <v>6</v>
      </c>
      <c r="B7" s="53">
        <f ca="1">ORÇAMENTO_EXECUTIVO!B7</f>
        <v>1010165.4942642079</v>
      </c>
      <c r="C7" s="160">
        <f ca="1">B7/ORÇAMENTO_EXECUTIVO!$G$2</f>
        <v>146.24882466541405</v>
      </c>
      <c r="D7" s="161" t="str">
        <f>FIXED(CÁLCULO_MÉDIAS!P12,2,FALSE)&amp;" "&amp;"-"&amp;FIXED(CÁLCULO_MÉDIAS!Q12,2,FALSE)</f>
        <v>115,00 -160,00</v>
      </c>
      <c r="E7" s="104"/>
      <c r="F7" s="7" t="s">
        <v>121</v>
      </c>
      <c r="G7" s="3"/>
      <c r="H7" s="4"/>
      <c r="I7" s="5"/>
      <c r="J7" s="3"/>
      <c r="K7" s="4"/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7" ht="19.5" customHeight="1" x14ac:dyDescent="0.25">
      <c r="A8" s="26" t="s">
        <v>7</v>
      </c>
      <c r="B8" s="52">
        <f ca="1">ORÇAMENTO_EXECUTIVO!B9+ORÇAMENTO_EXECUTIVO!B17</f>
        <v>2483085.2228952381</v>
      </c>
      <c r="C8" s="17">
        <f ca="1">B8/ORÇAMENTO_EXECUTIVO!$G$2</f>
        <v>359.49386259426626</v>
      </c>
      <c r="D8" s="170" t="str">
        <f>FIXED(CÁLCULO_MÉDIAS!P13,2,FALSE)&amp;" "&amp;"-"&amp;FIXED(CÁLCULO_MÉDIAS!Q13,2,FALSE)</f>
        <v>240,00 -380,00</v>
      </c>
      <c r="E8" s="103"/>
      <c r="F8" s="3" t="s">
        <v>121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A8" t="s">
        <v>32</v>
      </c>
    </row>
    <row r="9" spans="1:27" ht="19.5" customHeight="1" x14ac:dyDescent="0.25">
      <c r="A9" s="159" t="s">
        <v>22</v>
      </c>
      <c r="B9" s="53">
        <f ca="1">ORÇAMENTO_EXECUTIVO!B10+ORÇAMENTO_EXECUTIVO!B11</f>
        <v>2209405.3395199999</v>
      </c>
      <c r="C9" s="160">
        <f ca="1">B9/ORÇAMENTO_EXECUTIVO!$G$2</f>
        <v>319.87128440736217</v>
      </c>
      <c r="D9" s="161" t="str">
        <f>FIXED(CÁLCULO_MÉDIAS!P14,2,FALSE)&amp;" "&amp;"-"&amp;FIXED(CÁLCULO_MÉDIAS!Q14,2,FALSE)</f>
        <v>180,00 -260,00</v>
      </c>
      <c r="E9" s="104" t="s">
        <v>122</v>
      </c>
      <c r="F9" s="167" t="s">
        <v>120</v>
      </c>
      <c r="G9" s="3"/>
      <c r="H9" s="4"/>
      <c r="I9" s="5"/>
      <c r="J9" s="3"/>
      <c r="K9" s="4"/>
      <c r="L9" s="4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A9" t="s">
        <v>33</v>
      </c>
    </row>
    <row r="10" spans="1:27" ht="19.5" customHeight="1" x14ac:dyDescent="0.25">
      <c r="A10" s="26" t="s">
        <v>8</v>
      </c>
      <c r="B10" s="52">
        <f ca="1">ORÇAMENTO_EXECUTIVO!B8</f>
        <v>628956.39540399995</v>
      </c>
      <c r="C10" s="17">
        <f ca="1">B10/ORÇAMENTO_EXECUTIVO!$G$2</f>
        <v>91.058479146162597</v>
      </c>
      <c r="D10" s="170" t="str">
        <f>FIXED(CÁLCULO_MÉDIAS!P15,2,FALSE)&amp;" "&amp;"-"&amp;FIXED(CÁLCULO_MÉDIAS!Q15,2,FALSE)</f>
        <v>45,00 -80,00</v>
      </c>
      <c r="E10" s="103" t="s">
        <v>123</v>
      </c>
      <c r="F10" s="168" t="s">
        <v>120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7" ht="19.5" customHeight="1" x14ac:dyDescent="0.25">
      <c r="A11" s="159" t="s">
        <v>18</v>
      </c>
      <c r="B11" s="53">
        <v>1264740.94</v>
      </c>
      <c r="C11" s="160">
        <f>B11/ORÇAMENTO_EXECUTIVO!$G$2</f>
        <v>183.10551788938162</v>
      </c>
      <c r="D11" s="161" t="str">
        <f>FIXED(CÁLCULO_MÉDIAS!P16,2,FALSE)&amp;" "&amp;"-"&amp;FIXED(CÁLCULO_MÉDIAS!Q16,2,FALSE)</f>
        <v>150,00 -190,00</v>
      </c>
      <c r="E11" s="104"/>
      <c r="F11" s="7" t="s">
        <v>121</v>
      </c>
      <c r="G11" s="3"/>
      <c r="H11" s="4"/>
      <c r="I11" s="5"/>
      <c r="J11" s="3"/>
      <c r="K11" s="4"/>
      <c r="L11" s="4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7" ht="19.5" customHeight="1" x14ac:dyDescent="0.25">
      <c r="A12" s="26" t="s">
        <v>19</v>
      </c>
      <c r="B12" s="52">
        <f ca="1">ORÇAMENTO_EXECUTIVO!B13</f>
        <v>614021.42093750008</v>
      </c>
      <c r="C12" s="17">
        <f ca="1">B12/ORÇAMENTO_EXECUTIVO!$G$2</f>
        <v>88.896236944725558</v>
      </c>
      <c r="D12" s="170" t="str">
        <f>FIXED(CÁLCULO_MÉDIAS!P17,2,FALSE)&amp;" "&amp;"-"&amp;FIXED(CÁLCULO_MÉDIAS!Q17,2,FALSE)</f>
        <v>75,00 -100,00</v>
      </c>
      <c r="E12" s="103"/>
      <c r="F12" s="7" t="s">
        <v>121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AA12" t="s">
        <v>32</v>
      </c>
    </row>
    <row r="13" spans="1:27" ht="19.5" customHeight="1" x14ac:dyDescent="0.25">
      <c r="A13" s="159" t="s">
        <v>9</v>
      </c>
      <c r="B13" s="53">
        <v>1543744.7</v>
      </c>
      <c r="C13" s="160">
        <f>B13/ORÇAMENTO_EXECUTIVO!$G$2</f>
        <v>223.49887146255267</v>
      </c>
      <c r="D13" s="161" t="str">
        <f>FIXED(CÁLCULO_MÉDIAS!P18,2,FALSE)&amp;" "&amp;"-"&amp;FIXED(CÁLCULO_MÉDIAS!Q18,2,FALSE)</f>
        <v>140,00 -225,00</v>
      </c>
      <c r="E13" s="104"/>
      <c r="F13" s="7" t="s">
        <v>121</v>
      </c>
      <c r="G13" s="3"/>
      <c r="H13" s="4"/>
      <c r="I13" s="5"/>
      <c r="J13" s="3"/>
      <c r="K13" s="4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AA13" t="s">
        <v>33</v>
      </c>
    </row>
    <row r="14" spans="1:27" ht="19.5" customHeight="1" x14ac:dyDescent="0.25">
      <c r="A14" s="26" t="s">
        <v>10</v>
      </c>
      <c r="B14" s="52">
        <f ca="1">ORÇAMENTO_EXECUTIVO!B15</f>
        <v>870504.57496326719</v>
      </c>
      <c r="C14" s="17">
        <f ca="1">B14/ORÇAMENTO_EXECUTIVO!$G$2</f>
        <v>126.0291226310149</v>
      </c>
      <c r="D14" s="170" t="str">
        <f>FIXED(CÁLCULO_MÉDIAS!P19,2,FALSE)&amp;" "&amp;"-"&amp;FIXED(CÁLCULO_MÉDIAS!Q19,2,FALSE)</f>
        <v>90,00 -160,00</v>
      </c>
      <c r="E14" s="103"/>
      <c r="F14" s="3" t="s">
        <v>121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7" ht="19.5" customHeight="1" x14ac:dyDescent="0.25">
      <c r="A15" s="159" t="s">
        <v>11</v>
      </c>
      <c r="B15" s="53">
        <f ca="1">ORÇAMENTO_EXECUTIVO!B16</f>
        <v>2592852.7899713786</v>
      </c>
      <c r="C15" s="160">
        <f ca="1">B15/ORÇAMENTO_EXECUTIVO!$G$2</f>
        <v>375.38569196521564</v>
      </c>
      <c r="D15" s="161" t="str">
        <f>FIXED(CÁLCULO_MÉDIAS!P20,2,FALSE)&amp;" "&amp;"-"&amp;FIXED(CÁLCULO_MÉDIAS!Q20,2,FALSE)</f>
        <v>280,00 -375,00</v>
      </c>
      <c r="E15" s="104" t="s">
        <v>124</v>
      </c>
      <c r="F15" s="168" t="s">
        <v>120</v>
      </c>
      <c r="G15" s="3"/>
      <c r="H15" s="4"/>
      <c r="I15" s="5"/>
      <c r="J15" s="3"/>
      <c r="K15" s="4"/>
      <c r="L15" s="4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7" ht="19.5" customHeight="1" x14ac:dyDescent="0.25">
      <c r="A16" s="26" t="s">
        <v>21</v>
      </c>
      <c r="B16" s="52">
        <f ca="1">ORÇAMENTO_EXECUTIVO!B18</f>
        <v>136876.19659692002</v>
      </c>
      <c r="C16" s="17">
        <f ca="1">B16/ORÇAMENTO_EXECUTIVO!$G$2</f>
        <v>19.816537973861948</v>
      </c>
      <c r="D16" s="170" t="str">
        <f>FIXED(CÁLCULO_MÉDIAS!P21,2,FALSE)&amp;" "&amp;"-"&amp;FIXED(CÁLCULO_MÉDIAS!Q21,2,FALSE)</f>
        <v>5,00 -15,00</v>
      </c>
      <c r="E16" s="103" t="s">
        <v>125</v>
      </c>
      <c r="F16" s="168" t="s">
        <v>120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19.5" customHeight="1" x14ac:dyDescent="0.25">
      <c r="A17" s="159" t="s">
        <v>12</v>
      </c>
      <c r="B17" s="53">
        <f ca="1">ORÇAMENTO_EXECUTIVO!B19</f>
        <v>731054.24577106663</v>
      </c>
      <c r="C17" s="160">
        <f ca="1">B17/ORÇAMENTO_EXECUTIVO!$G$2</f>
        <v>105.8399092205732</v>
      </c>
      <c r="D17" s="161" t="str">
        <f>FIXED(CÁLCULO_MÉDIAS!P22,2,FALSE)&amp;" "&amp;"-"&amp;FIXED(CÁLCULO_MÉDIAS!Q22,2,FALSE)</f>
        <v>90,00 -140,00</v>
      </c>
      <c r="E17" s="104" t="s">
        <v>130</v>
      </c>
      <c r="F17" s="7" t="s">
        <v>121</v>
      </c>
      <c r="G17" s="3"/>
      <c r="H17" s="4"/>
      <c r="I17" s="5"/>
      <c r="J17" s="3"/>
      <c r="K17" s="4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19.5" customHeight="1" x14ac:dyDescent="0.25">
      <c r="A18" s="26" t="s">
        <v>13</v>
      </c>
      <c r="B18" s="52">
        <f ca="1">ORÇAMENTO_EXECUTIVO!B20</f>
        <v>1787965.0052799992</v>
      </c>
      <c r="C18" s="17">
        <f ca="1">B18/ORÇAMENTO_EXECUTIVO!$G$2</f>
        <v>258.85637754391439</v>
      </c>
      <c r="D18" s="170" t="str">
        <f>FIXED(CÁLCULO_MÉDIAS!P23,2,FALSE)&amp;" "&amp;"-"&amp;FIXED(CÁLCULO_MÉDIAS!Q23,2,FALSE)</f>
        <v>100,00 -260,00</v>
      </c>
      <c r="E18" s="103" t="s">
        <v>126</v>
      </c>
      <c r="F18" s="168" t="s">
        <v>120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s="109" customFormat="1" ht="19.5" customHeight="1" thickBot="1" x14ac:dyDescent="0.3">
      <c r="A19" s="105" t="s">
        <v>14</v>
      </c>
      <c r="B19" s="106">
        <f ca="1">SUM(B3:B18)</f>
        <v>28078616.396688171</v>
      </c>
      <c r="C19" s="107">
        <f ca="1">SUM(C3:C18)</f>
        <v>4065.1404839736347</v>
      </c>
      <c r="D19" s="108" t="str">
        <f>FIXED(CÁLCULO_MÉDIAS!P24,2,FALSE)&amp;" "&amp;"-"&amp;FIXED(CÁLCULO_MÉDIAS!Q24,2,FALSE)</f>
        <v>2.866,00 -4.170,00</v>
      </c>
      <c r="E19" s="46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1.75" customHeight="1" x14ac:dyDescent="0.6">
      <c r="A20" s="1"/>
      <c r="B20" s="6"/>
      <c r="C20" s="1"/>
      <c r="D20" s="42"/>
      <c r="E20" s="3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21.75" customHeight="1" x14ac:dyDescent="0.6">
      <c r="A21" s="1"/>
      <c r="B21" s="6"/>
      <c r="C21" s="1"/>
      <c r="D21" s="42"/>
      <c r="E21" s="3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21.75" customHeight="1" x14ac:dyDescent="0.6">
      <c r="A22" s="1" t="s">
        <v>42</v>
      </c>
      <c r="B22" s="6"/>
      <c r="C22" s="58"/>
      <c r="D22" s="42"/>
      <c r="E22" s="126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21.75" customHeight="1" x14ac:dyDescent="0.6">
      <c r="A23" s="1" t="s">
        <v>43</v>
      </c>
      <c r="B23" s="6"/>
      <c r="C23" s="1"/>
      <c r="D23" s="42"/>
      <c r="E23" s="3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21.75" customHeight="1" x14ac:dyDescent="0.6">
      <c r="A24" s="1" t="s">
        <v>44</v>
      </c>
      <c r="B24" s="6"/>
      <c r="C24" s="58"/>
      <c r="D24" s="42"/>
      <c r="E24" s="126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21.75" customHeight="1" x14ac:dyDescent="0.6">
      <c r="A25" s="1"/>
      <c r="B25" s="6"/>
      <c r="C25" s="1"/>
      <c r="D25" s="42"/>
      <c r="E25" s="3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21.75" customHeight="1" x14ac:dyDescent="0.6">
      <c r="A26" s="1"/>
      <c r="B26" s="6"/>
      <c r="C26" s="1"/>
      <c r="D26" s="42"/>
      <c r="E26" s="3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21.75" customHeight="1" x14ac:dyDescent="0.6">
      <c r="A27" s="1"/>
      <c r="B27" s="6"/>
      <c r="C27" s="1"/>
      <c r="D27" s="42"/>
      <c r="E27" s="3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21.75" customHeight="1" x14ac:dyDescent="0.6">
      <c r="A28" s="1"/>
      <c r="B28" s="6"/>
      <c r="C28" s="1"/>
      <c r="D28" s="42"/>
      <c r="E28" s="3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21.75" customHeight="1" x14ac:dyDescent="0.6">
      <c r="A29" s="1"/>
      <c r="B29" s="6"/>
      <c r="C29" s="1"/>
      <c r="D29" s="42"/>
      <c r="E29" s="3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21.75" customHeight="1" x14ac:dyDescent="0.6">
      <c r="A30" s="1"/>
      <c r="B30" s="6"/>
      <c r="C30" s="1"/>
      <c r="D30" s="42"/>
      <c r="E30" s="3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21.75" customHeight="1" x14ac:dyDescent="0.6">
      <c r="A31" s="1"/>
      <c r="B31" s="6"/>
      <c r="C31" s="1"/>
      <c r="D31" s="42"/>
      <c r="E31" s="3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21.75" customHeight="1" x14ac:dyDescent="0.6">
      <c r="A32" s="1"/>
      <c r="B32" s="6"/>
      <c r="C32" s="1"/>
      <c r="D32" s="42"/>
      <c r="E32" s="3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21.75" customHeight="1" x14ac:dyDescent="0.6">
      <c r="A33" s="1"/>
      <c r="B33" s="6"/>
      <c r="C33" s="1"/>
      <c r="D33" s="42"/>
      <c r="E33" s="3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21.75" customHeight="1" x14ac:dyDescent="0.6">
      <c r="A34" s="1"/>
      <c r="B34" s="6"/>
      <c r="C34" s="1"/>
      <c r="D34" s="42"/>
      <c r="E34" s="3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21.75" customHeight="1" x14ac:dyDescent="0.6">
      <c r="A35" s="1"/>
      <c r="B35" s="6"/>
      <c r="C35" s="1"/>
      <c r="D35" s="42"/>
      <c r="E35" s="3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21.75" customHeight="1" x14ac:dyDescent="0.6">
      <c r="A36" s="1"/>
      <c r="B36" s="6"/>
      <c r="C36" s="1"/>
      <c r="D36" s="42"/>
      <c r="E36" s="3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21.75" customHeight="1" x14ac:dyDescent="0.6">
      <c r="A37" s="1"/>
      <c r="B37" s="6"/>
      <c r="C37" s="1"/>
      <c r="D37" s="42"/>
      <c r="E37" s="3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21.75" customHeight="1" x14ac:dyDescent="0.6">
      <c r="A38" s="1"/>
      <c r="B38" s="6"/>
      <c r="C38" s="1"/>
      <c r="D38" s="42"/>
      <c r="E38" s="3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21.75" customHeight="1" x14ac:dyDescent="0.6">
      <c r="A39" s="1"/>
      <c r="B39" s="6"/>
      <c r="C39" s="1"/>
      <c r="D39" s="42"/>
      <c r="E39" s="3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21.75" customHeight="1" x14ac:dyDescent="0.6">
      <c r="A40" s="1"/>
      <c r="B40" s="6"/>
      <c r="C40" s="1"/>
      <c r="D40" s="42"/>
      <c r="E40" s="3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21.75" customHeight="1" x14ac:dyDescent="0.6">
      <c r="A41" s="1"/>
      <c r="B41" s="6"/>
      <c r="C41" s="1"/>
      <c r="D41" s="42"/>
      <c r="E41" s="3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21.75" customHeight="1" x14ac:dyDescent="0.6">
      <c r="A42" s="1"/>
      <c r="B42" s="6"/>
      <c r="C42" s="1"/>
      <c r="D42" s="42"/>
      <c r="E42" s="3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21.75" customHeight="1" x14ac:dyDescent="0.6">
      <c r="A43" s="1"/>
      <c r="B43" s="6"/>
      <c r="C43" s="1"/>
      <c r="D43" s="42"/>
      <c r="E43" s="3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21.75" customHeight="1" x14ac:dyDescent="0.6">
      <c r="A44" s="1"/>
      <c r="B44" s="6"/>
      <c r="C44" s="1"/>
      <c r="D44" s="42"/>
      <c r="E44" s="3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21.75" customHeight="1" x14ac:dyDescent="0.6">
      <c r="A45" s="1"/>
      <c r="B45" s="6"/>
      <c r="C45" s="1"/>
      <c r="D45" s="42"/>
      <c r="E45" s="3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21.75" customHeight="1" x14ac:dyDescent="0.6">
      <c r="A46" s="1"/>
      <c r="B46" s="6"/>
      <c r="C46" s="1"/>
      <c r="D46" s="42"/>
      <c r="E46" s="3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21.75" customHeight="1" x14ac:dyDescent="0.6">
      <c r="A47" s="1"/>
      <c r="B47" s="6"/>
      <c r="C47" s="1"/>
      <c r="D47" s="42"/>
      <c r="E47" s="3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21.75" customHeight="1" x14ac:dyDescent="0.6">
      <c r="A48" s="1"/>
      <c r="B48" s="6"/>
      <c r="C48" s="1"/>
      <c r="D48" s="42"/>
      <c r="E48" s="3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21.75" customHeight="1" x14ac:dyDescent="0.6">
      <c r="A49" s="1"/>
      <c r="B49" s="6"/>
      <c r="C49" s="1"/>
      <c r="D49" s="42"/>
      <c r="E49" s="3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21.75" customHeight="1" x14ac:dyDescent="0.6">
      <c r="A50" s="1"/>
      <c r="B50" s="6"/>
      <c r="C50" s="1"/>
      <c r="D50" s="42"/>
      <c r="E50" s="3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21.75" customHeight="1" x14ac:dyDescent="0.6">
      <c r="A51" s="1"/>
      <c r="B51" s="6"/>
      <c r="C51" s="1"/>
      <c r="D51" s="42"/>
      <c r="E51" s="3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21.75" customHeight="1" x14ac:dyDescent="0.6">
      <c r="A52" s="1"/>
      <c r="B52" s="6"/>
      <c r="C52" s="1"/>
      <c r="D52" s="42"/>
      <c r="E52" s="3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21.75" customHeight="1" x14ac:dyDescent="0.6">
      <c r="A53" s="1"/>
      <c r="B53" s="6"/>
      <c r="C53" s="1"/>
      <c r="D53" s="42"/>
      <c r="E53" s="3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21.75" customHeight="1" x14ac:dyDescent="0.6">
      <c r="A54" s="1"/>
      <c r="B54" s="6"/>
      <c r="C54" s="1"/>
      <c r="D54" s="42"/>
      <c r="E54" s="3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21.75" customHeight="1" x14ac:dyDescent="0.6">
      <c r="A55" s="1"/>
      <c r="B55" s="6"/>
      <c r="C55" s="1"/>
      <c r="D55" s="42"/>
      <c r="E55" s="3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21.75" customHeight="1" x14ac:dyDescent="0.6">
      <c r="A56" s="1"/>
      <c r="B56" s="6"/>
      <c r="C56" s="1"/>
      <c r="D56" s="42"/>
      <c r="E56" s="3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21.75" customHeight="1" x14ac:dyDescent="0.6">
      <c r="A57" s="1"/>
      <c r="B57" s="6"/>
      <c r="C57" s="1"/>
      <c r="D57" s="42"/>
      <c r="E57" s="3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21.75" customHeight="1" x14ac:dyDescent="0.6">
      <c r="A58" s="1"/>
      <c r="B58" s="6"/>
      <c r="C58" s="1"/>
      <c r="D58" s="42"/>
      <c r="E58" s="3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21.75" customHeight="1" x14ac:dyDescent="0.6">
      <c r="A59" s="1"/>
      <c r="B59" s="6"/>
      <c r="C59" s="1"/>
      <c r="D59" s="42"/>
      <c r="E59" s="3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21.75" customHeight="1" x14ac:dyDescent="0.6">
      <c r="A60" s="1"/>
      <c r="B60" s="6"/>
      <c r="C60" s="1"/>
      <c r="D60" s="42"/>
      <c r="E60" s="3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21.75" customHeight="1" x14ac:dyDescent="0.6">
      <c r="A61" s="1"/>
      <c r="B61" s="6"/>
      <c r="C61" s="1"/>
      <c r="D61" s="42"/>
      <c r="E61" s="3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21.75" customHeight="1" x14ac:dyDescent="0.6">
      <c r="A62" s="1"/>
      <c r="B62" s="6"/>
      <c r="C62" s="1"/>
      <c r="D62" s="42"/>
      <c r="E62" s="3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21.75" customHeight="1" x14ac:dyDescent="0.6">
      <c r="A63" s="1"/>
      <c r="B63" s="6"/>
      <c r="C63" s="1"/>
      <c r="D63" s="42"/>
      <c r="E63" s="3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21.75" customHeight="1" x14ac:dyDescent="0.6">
      <c r="A64" s="1"/>
      <c r="B64" s="6"/>
      <c r="C64" s="1"/>
      <c r="D64" s="42"/>
      <c r="E64" s="3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21.75" customHeight="1" x14ac:dyDescent="0.6">
      <c r="A65" s="1"/>
      <c r="B65" s="6"/>
      <c r="C65" s="1"/>
      <c r="D65" s="42"/>
      <c r="E65" s="3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21.75" customHeight="1" x14ac:dyDescent="0.6">
      <c r="A66" s="1"/>
      <c r="B66" s="6"/>
      <c r="C66" s="1"/>
      <c r="D66" s="42"/>
      <c r="E66" s="3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21.75" customHeight="1" x14ac:dyDescent="0.6">
      <c r="A67" s="1"/>
      <c r="B67" s="6"/>
      <c r="C67" s="1"/>
      <c r="D67" s="42"/>
      <c r="E67" s="3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21.75" customHeight="1" x14ac:dyDescent="0.6">
      <c r="A68" s="1"/>
      <c r="B68" s="6"/>
      <c r="C68" s="1"/>
      <c r="D68" s="42"/>
      <c r="E68" s="3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21.75" customHeight="1" x14ac:dyDescent="0.6">
      <c r="A69" s="1"/>
      <c r="B69" s="6"/>
      <c r="C69" s="1"/>
      <c r="D69" s="42"/>
      <c r="E69" s="3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21.75" customHeight="1" x14ac:dyDescent="0.6">
      <c r="A70" s="1"/>
      <c r="B70" s="6"/>
      <c r="C70" s="1"/>
      <c r="D70" s="42"/>
      <c r="E70" s="3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21.75" customHeight="1" x14ac:dyDescent="0.6">
      <c r="A71" s="1"/>
      <c r="B71" s="6"/>
      <c r="C71" s="1"/>
      <c r="D71" s="42"/>
      <c r="E71" s="3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21.75" customHeight="1" x14ac:dyDescent="0.6">
      <c r="A72" s="1"/>
      <c r="B72" s="6"/>
      <c r="C72" s="1"/>
      <c r="D72" s="42"/>
      <c r="E72" s="3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21.75" customHeight="1" x14ac:dyDescent="0.6">
      <c r="A73" s="1"/>
      <c r="B73" s="6"/>
      <c r="C73" s="1"/>
      <c r="D73" s="42"/>
      <c r="E73" s="3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21.75" customHeight="1" x14ac:dyDescent="0.6">
      <c r="A74" s="1"/>
      <c r="B74" s="6"/>
      <c r="C74" s="1"/>
      <c r="D74" s="42"/>
      <c r="E74" s="3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21.75" customHeight="1" x14ac:dyDescent="0.6">
      <c r="A75" s="1"/>
      <c r="B75" s="6"/>
      <c r="C75" s="1"/>
      <c r="D75" s="42"/>
      <c r="E75" s="3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21.75" customHeight="1" x14ac:dyDescent="0.6">
      <c r="A76" s="1"/>
      <c r="B76" s="6"/>
      <c r="C76" s="1"/>
      <c r="D76" s="42"/>
      <c r="E76" s="3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21.75" customHeight="1" x14ac:dyDescent="0.6">
      <c r="A77" s="1"/>
      <c r="B77" s="6"/>
      <c r="C77" s="1"/>
      <c r="D77" s="42"/>
      <c r="E77" s="3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21.75" customHeight="1" x14ac:dyDescent="0.6">
      <c r="A78" s="1"/>
      <c r="B78" s="6"/>
      <c r="C78" s="1"/>
      <c r="D78" s="42"/>
      <c r="E78" s="3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21.75" customHeight="1" x14ac:dyDescent="0.6">
      <c r="A79" s="1"/>
      <c r="B79" s="6"/>
      <c r="C79" s="1"/>
      <c r="D79" s="42"/>
      <c r="E79" s="3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21.75" customHeight="1" x14ac:dyDescent="0.6">
      <c r="A80" s="1"/>
      <c r="B80" s="6"/>
      <c r="C80" s="1"/>
      <c r="D80" s="42"/>
      <c r="E80" s="3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21.75" customHeight="1" x14ac:dyDescent="0.6">
      <c r="A81" s="1"/>
      <c r="B81" s="6"/>
      <c r="C81" s="1"/>
      <c r="D81" s="42"/>
      <c r="E81" s="3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21.75" customHeight="1" x14ac:dyDescent="0.6">
      <c r="A82" s="1"/>
      <c r="B82" s="6"/>
      <c r="C82" s="1"/>
      <c r="D82" s="42"/>
      <c r="E82" s="3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21.75" customHeight="1" x14ac:dyDescent="0.6">
      <c r="A83" s="1"/>
      <c r="B83" s="6"/>
      <c r="C83" s="1"/>
      <c r="D83" s="42"/>
      <c r="E83" s="3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21.75" customHeight="1" x14ac:dyDescent="0.6">
      <c r="A84" s="1"/>
      <c r="B84" s="6"/>
      <c r="C84" s="1"/>
      <c r="D84" s="42"/>
      <c r="E84" s="3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21.75" customHeight="1" x14ac:dyDescent="0.6">
      <c r="A85" s="1"/>
      <c r="B85" s="6"/>
      <c r="C85" s="1"/>
      <c r="D85" s="42"/>
      <c r="E85" s="3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21.75" customHeight="1" x14ac:dyDescent="0.6">
      <c r="A86" s="1"/>
      <c r="B86" s="6"/>
      <c r="C86" s="1"/>
      <c r="D86" s="42"/>
      <c r="E86" s="3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21.75" customHeight="1" x14ac:dyDescent="0.6">
      <c r="A87" s="1"/>
      <c r="B87" s="6"/>
      <c r="C87" s="1"/>
      <c r="D87" s="42"/>
      <c r="E87" s="3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21.75" customHeight="1" x14ac:dyDescent="0.6">
      <c r="A88" s="1"/>
      <c r="B88" s="6"/>
      <c r="C88" s="1"/>
      <c r="D88" s="42"/>
      <c r="E88" s="3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21.75" customHeight="1" x14ac:dyDescent="0.6">
      <c r="A89" s="1"/>
      <c r="B89" s="6"/>
      <c r="C89" s="1"/>
      <c r="D89" s="42"/>
      <c r="E89" s="3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21.75" customHeight="1" x14ac:dyDescent="0.6">
      <c r="A90" s="1"/>
      <c r="B90" s="6"/>
      <c r="C90" s="1"/>
      <c r="D90" s="42"/>
      <c r="E90" s="3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21.75" customHeight="1" x14ac:dyDescent="0.6">
      <c r="A91" s="1"/>
      <c r="B91" s="6"/>
      <c r="C91" s="1"/>
      <c r="D91" s="42"/>
      <c r="E91" s="3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21.75" customHeight="1" x14ac:dyDescent="0.6">
      <c r="A92" s="1"/>
      <c r="B92" s="6"/>
      <c r="C92" s="1"/>
      <c r="D92" s="42"/>
      <c r="E92" s="3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21.75" customHeight="1" x14ac:dyDescent="0.6">
      <c r="A93" s="1"/>
      <c r="B93" s="6"/>
      <c r="C93" s="1"/>
      <c r="D93" s="42"/>
      <c r="E93" s="3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21.75" customHeight="1" x14ac:dyDescent="0.6">
      <c r="A94" s="1"/>
      <c r="B94" s="6"/>
      <c r="C94" s="1"/>
      <c r="D94" s="42"/>
      <c r="E94" s="3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21.75" customHeight="1" x14ac:dyDescent="0.6">
      <c r="A95" s="1"/>
      <c r="B95" s="6"/>
      <c r="C95" s="1"/>
      <c r="D95" s="42"/>
      <c r="E95" s="3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21.75" customHeight="1" x14ac:dyDescent="0.6">
      <c r="A96" s="1"/>
      <c r="B96" s="6"/>
      <c r="C96" s="1"/>
      <c r="D96" s="42"/>
      <c r="E96" s="3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21.75" customHeight="1" x14ac:dyDescent="0.6">
      <c r="A97" s="1"/>
      <c r="B97" s="6"/>
      <c r="C97" s="1"/>
      <c r="D97" s="42"/>
      <c r="E97" s="3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21.75" customHeight="1" x14ac:dyDescent="0.6">
      <c r="A98" s="1"/>
      <c r="B98" s="6"/>
      <c r="C98" s="1"/>
      <c r="D98" s="42"/>
      <c r="E98" s="3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21.75" customHeight="1" x14ac:dyDescent="0.6">
      <c r="A99" s="1"/>
      <c r="B99" s="6"/>
      <c r="C99" s="1"/>
      <c r="D99" s="42"/>
      <c r="E99" s="3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21.75" customHeight="1" x14ac:dyDescent="0.6">
      <c r="A100" s="1"/>
      <c r="B100" s="6"/>
      <c r="C100" s="1"/>
      <c r="D100" s="42"/>
      <c r="E100" s="3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21.75" customHeight="1" x14ac:dyDescent="0.6">
      <c r="A101" s="1"/>
      <c r="B101" s="6"/>
      <c r="C101" s="1"/>
      <c r="D101" s="42"/>
      <c r="E101" s="3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21.75" customHeight="1" x14ac:dyDescent="0.6">
      <c r="A102" s="1"/>
      <c r="B102" s="6"/>
      <c r="C102" s="1"/>
      <c r="D102" s="42"/>
      <c r="E102" s="3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21.75" customHeight="1" x14ac:dyDescent="0.6">
      <c r="A103" s="1"/>
      <c r="B103" s="6"/>
      <c r="C103" s="1"/>
      <c r="D103" s="42"/>
      <c r="E103" s="3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21.75" customHeight="1" x14ac:dyDescent="0.6">
      <c r="A104" s="1"/>
      <c r="B104" s="6"/>
      <c r="C104" s="1"/>
      <c r="D104" s="42"/>
      <c r="E104" s="3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21.75" customHeight="1" x14ac:dyDescent="0.6">
      <c r="A105" s="1"/>
      <c r="B105" s="6"/>
      <c r="C105" s="1"/>
      <c r="D105" s="42"/>
      <c r="E105" s="3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21.75" customHeight="1" x14ac:dyDescent="0.6">
      <c r="A106" s="1"/>
      <c r="B106" s="6"/>
      <c r="C106" s="1"/>
      <c r="D106" s="42"/>
      <c r="E106" s="3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21.75" customHeight="1" x14ac:dyDescent="0.6">
      <c r="A107" s="1"/>
      <c r="B107" s="6"/>
      <c r="C107" s="1"/>
      <c r="D107" s="42"/>
      <c r="E107" s="3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21.75" customHeight="1" x14ac:dyDescent="0.6">
      <c r="A108" s="1"/>
      <c r="B108" s="6"/>
      <c r="C108" s="1"/>
      <c r="D108" s="42"/>
      <c r="E108" s="3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21.75" customHeight="1" x14ac:dyDescent="0.6">
      <c r="A109" s="1"/>
      <c r="B109" s="6"/>
      <c r="C109" s="1"/>
      <c r="D109" s="42"/>
      <c r="E109" s="3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21.75" customHeight="1" x14ac:dyDescent="0.6">
      <c r="A110" s="1"/>
      <c r="B110" s="6"/>
      <c r="C110" s="1"/>
      <c r="D110" s="42"/>
      <c r="E110" s="3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21.75" customHeight="1" x14ac:dyDescent="0.6">
      <c r="A111" s="1"/>
      <c r="B111" s="6"/>
      <c r="C111" s="1"/>
      <c r="D111" s="42"/>
      <c r="E111" s="3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21.75" customHeight="1" x14ac:dyDescent="0.6">
      <c r="A112" s="1"/>
      <c r="B112" s="6"/>
      <c r="C112" s="1"/>
      <c r="D112" s="42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21.75" customHeight="1" x14ac:dyDescent="0.6">
      <c r="A113" s="1"/>
      <c r="B113" s="6"/>
      <c r="C113" s="1"/>
      <c r="D113" s="42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21.75" customHeight="1" x14ac:dyDescent="0.6">
      <c r="A114" s="1"/>
      <c r="B114" s="6"/>
      <c r="C114" s="1"/>
      <c r="D114" s="42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21.75" customHeight="1" x14ac:dyDescent="0.6">
      <c r="A115" s="1"/>
      <c r="B115" s="6"/>
      <c r="C115" s="1"/>
      <c r="D115" s="42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21.75" customHeight="1" x14ac:dyDescent="0.6">
      <c r="A116" s="1"/>
      <c r="B116" s="6"/>
      <c r="C116" s="1"/>
      <c r="D116" s="42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21.75" customHeight="1" x14ac:dyDescent="0.6">
      <c r="A117" s="1"/>
      <c r="B117" s="6"/>
      <c r="C117" s="1"/>
      <c r="D117" s="42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21.75" customHeight="1" x14ac:dyDescent="0.6">
      <c r="A118" s="1"/>
      <c r="B118" s="6"/>
      <c r="C118" s="1"/>
      <c r="D118" s="42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21.75" customHeight="1" x14ac:dyDescent="0.6">
      <c r="A119" s="1"/>
      <c r="B119" s="6"/>
      <c r="C119" s="1"/>
      <c r="D119" s="42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21.75" customHeight="1" x14ac:dyDescent="0.6">
      <c r="A120" s="1"/>
      <c r="B120" s="6"/>
      <c r="C120" s="1"/>
      <c r="D120" s="42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21.75" customHeight="1" x14ac:dyDescent="0.6">
      <c r="A121" s="1"/>
      <c r="B121" s="6"/>
      <c r="C121" s="1"/>
      <c r="D121" s="42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21.75" customHeight="1" x14ac:dyDescent="0.6">
      <c r="A122" s="1"/>
      <c r="B122" s="6"/>
      <c r="C122" s="1"/>
      <c r="D122" s="42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21.75" customHeight="1" x14ac:dyDescent="0.6">
      <c r="A123" s="1"/>
      <c r="B123" s="6"/>
      <c r="C123" s="1"/>
      <c r="D123" s="42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21.75" customHeight="1" x14ac:dyDescent="0.6">
      <c r="A124" s="1"/>
      <c r="B124" s="6"/>
      <c r="C124" s="1"/>
      <c r="D124" s="42"/>
      <c r="E124" s="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21.75" customHeight="1" x14ac:dyDescent="0.6">
      <c r="A125" s="1"/>
      <c r="B125" s="6"/>
      <c r="C125" s="1"/>
      <c r="D125" s="42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21.75" customHeight="1" x14ac:dyDescent="0.6">
      <c r="A126" s="1"/>
      <c r="B126" s="6"/>
      <c r="C126" s="1"/>
      <c r="D126" s="42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21.75" customHeight="1" x14ac:dyDescent="0.6">
      <c r="A127" s="1"/>
      <c r="B127" s="6"/>
      <c r="C127" s="1"/>
      <c r="D127" s="42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21.75" customHeight="1" x14ac:dyDescent="0.6">
      <c r="A128" s="1"/>
      <c r="B128" s="6"/>
      <c r="C128" s="1"/>
      <c r="D128" s="42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21.75" customHeight="1" x14ac:dyDescent="0.6">
      <c r="A129" s="1"/>
      <c r="B129" s="6"/>
      <c r="C129" s="1"/>
      <c r="D129" s="42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21.75" customHeight="1" x14ac:dyDescent="0.6">
      <c r="A130" s="1"/>
      <c r="B130" s="6"/>
      <c r="C130" s="1"/>
      <c r="D130" s="42"/>
      <c r="E130" s="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21.75" customHeight="1" x14ac:dyDescent="0.6">
      <c r="A131" s="1"/>
      <c r="B131" s="6"/>
      <c r="C131" s="1"/>
      <c r="D131" s="42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21.75" customHeight="1" x14ac:dyDescent="0.6">
      <c r="A132" s="1"/>
      <c r="B132" s="6"/>
      <c r="C132" s="1"/>
      <c r="D132" s="42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21.75" customHeight="1" x14ac:dyDescent="0.6">
      <c r="A133" s="1"/>
      <c r="B133" s="6"/>
      <c r="C133" s="1"/>
      <c r="D133" s="42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21.75" customHeight="1" x14ac:dyDescent="0.6">
      <c r="A134" s="1"/>
      <c r="B134" s="6"/>
      <c r="C134" s="1"/>
      <c r="D134" s="42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21.75" customHeight="1" x14ac:dyDescent="0.6">
      <c r="A135" s="1"/>
      <c r="B135" s="6"/>
      <c r="C135" s="1"/>
      <c r="D135" s="42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21.75" customHeight="1" x14ac:dyDescent="0.6">
      <c r="A136" s="1"/>
      <c r="B136" s="6"/>
      <c r="C136" s="1"/>
      <c r="D136" s="42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21.75" customHeight="1" x14ac:dyDescent="0.6">
      <c r="A137" s="1"/>
      <c r="B137" s="6"/>
      <c r="C137" s="1"/>
      <c r="D137" s="42"/>
      <c r="E137" s="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21.75" customHeight="1" x14ac:dyDescent="0.6">
      <c r="A138" s="1"/>
      <c r="B138" s="6"/>
      <c r="C138" s="1"/>
      <c r="D138" s="42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21.75" customHeight="1" x14ac:dyDescent="0.6">
      <c r="A139" s="1"/>
      <c r="B139" s="6"/>
      <c r="C139" s="1"/>
      <c r="D139" s="42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21.75" customHeight="1" x14ac:dyDescent="0.6">
      <c r="A140" s="1"/>
      <c r="B140" s="6"/>
      <c r="C140" s="1"/>
      <c r="D140" s="42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21.75" customHeight="1" x14ac:dyDescent="0.6">
      <c r="A141" s="1"/>
      <c r="B141" s="6"/>
      <c r="C141" s="1"/>
      <c r="D141" s="42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21.75" customHeight="1" x14ac:dyDescent="0.6">
      <c r="A142" s="1"/>
      <c r="B142" s="6"/>
      <c r="C142" s="1"/>
      <c r="D142" s="42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21.75" customHeight="1" x14ac:dyDescent="0.6">
      <c r="A143" s="1"/>
      <c r="B143" s="6"/>
      <c r="C143" s="1"/>
      <c r="D143" s="42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21.75" customHeight="1" x14ac:dyDescent="0.6">
      <c r="A144" s="1"/>
      <c r="B144" s="6"/>
      <c r="C144" s="1"/>
      <c r="D144" s="42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21.75" customHeight="1" x14ac:dyDescent="0.6">
      <c r="A145" s="1"/>
      <c r="B145" s="6"/>
      <c r="C145" s="1"/>
      <c r="D145" s="42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21.75" customHeight="1" x14ac:dyDescent="0.6">
      <c r="A146" s="1"/>
      <c r="B146" s="6"/>
      <c r="C146" s="1"/>
      <c r="D146" s="42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21.75" customHeight="1" x14ac:dyDescent="0.6">
      <c r="A147" s="1"/>
      <c r="B147" s="6"/>
      <c r="C147" s="1"/>
      <c r="D147" s="42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21.75" customHeight="1" x14ac:dyDescent="0.6">
      <c r="A148" s="1"/>
      <c r="B148" s="6"/>
      <c r="C148" s="1"/>
      <c r="D148" s="42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21.75" customHeight="1" x14ac:dyDescent="0.6">
      <c r="A149" s="1"/>
      <c r="B149" s="6"/>
      <c r="C149" s="1"/>
      <c r="D149" s="42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21.75" customHeight="1" x14ac:dyDescent="0.6">
      <c r="A150" s="1"/>
      <c r="B150" s="6"/>
      <c r="C150" s="1"/>
      <c r="D150" s="42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21.75" customHeight="1" x14ac:dyDescent="0.6">
      <c r="A151" s="1"/>
      <c r="B151" s="6"/>
      <c r="C151" s="1"/>
      <c r="D151" s="42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21.75" customHeight="1" x14ac:dyDescent="0.6">
      <c r="A152" s="1"/>
      <c r="B152" s="6"/>
      <c r="C152" s="1"/>
      <c r="D152" s="42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21.75" customHeight="1" x14ac:dyDescent="0.6">
      <c r="A153" s="1"/>
      <c r="B153" s="6"/>
      <c r="C153" s="1"/>
      <c r="D153" s="42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21.75" customHeight="1" x14ac:dyDescent="0.6">
      <c r="A154" s="1"/>
      <c r="B154" s="6"/>
      <c r="C154" s="1"/>
      <c r="D154" s="42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21.75" customHeight="1" x14ac:dyDescent="0.6">
      <c r="A155" s="1"/>
      <c r="B155" s="6"/>
      <c r="C155" s="1"/>
      <c r="D155" s="42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21.75" customHeight="1" x14ac:dyDescent="0.6">
      <c r="A156" s="1"/>
      <c r="B156" s="6"/>
      <c r="C156" s="1"/>
      <c r="D156" s="42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21.75" customHeight="1" x14ac:dyDescent="0.6">
      <c r="A157" s="1"/>
      <c r="B157" s="6"/>
      <c r="C157" s="1"/>
      <c r="D157" s="42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21.75" customHeight="1" x14ac:dyDescent="0.6">
      <c r="A158" s="1"/>
      <c r="B158" s="6"/>
      <c r="C158" s="1"/>
      <c r="D158" s="42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21.75" customHeight="1" x14ac:dyDescent="0.6">
      <c r="A159" s="1"/>
      <c r="B159" s="6"/>
      <c r="C159" s="1"/>
      <c r="D159" s="42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21.75" customHeight="1" x14ac:dyDescent="0.6">
      <c r="A160" s="1"/>
      <c r="B160" s="6"/>
      <c r="C160" s="1"/>
      <c r="D160" s="42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21.75" customHeight="1" x14ac:dyDescent="0.6">
      <c r="A161" s="1"/>
      <c r="B161" s="6"/>
      <c r="C161" s="1"/>
      <c r="D161" s="42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21.75" customHeight="1" x14ac:dyDescent="0.6">
      <c r="A162" s="1"/>
      <c r="B162" s="6"/>
      <c r="C162" s="1"/>
      <c r="D162" s="42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21.75" customHeight="1" x14ac:dyDescent="0.6">
      <c r="A163" s="1"/>
      <c r="B163" s="6"/>
      <c r="C163" s="1"/>
      <c r="D163" s="42"/>
      <c r="E163" s="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21.75" customHeight="1" x14ac:dyDescent="0.6">
      <c r="A164" s="1"/>
      <c r="B164" s="6"/>
      <c r="C164" s="1"/>
      <c r="D164" s="42"/>
      <c r="E164" s="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21.75" customHeight="1" x14ac:dyDescent="0.6">
      <c r="A165" s="1"/>
      <c r="B165" s="6"/>
      <c r="C165" s="1"/>
      <c r="D165" s="42"/>
      <c r="E165" s="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21.75" customHeight="1" x14ac:dyDescent="0.6">
      <c r="A166" s="1"/>
      <c r="B166" s="6"/>
      <c r="C166" s="1"/>
      <c r="D166" s="42"/>
      <c r="E166" s="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21.75" customHeight="1" x14ac:dyDescent="0.6">
      <c r="A167" s="1"/>
      <c r="B167" s="6"/>
      <c r="C167" s="1"/>
      <c r="D167" s="42"/>
      <c r="E167" s="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21.75" customHeight="1" x14ac:dyDescent="0.6">
      <c r="A168" s="1"/>
      <c r="B168" s="6"/>
      <c r="C168" s="1"/>
      <c r="D168" s="42"/>
      <c r="E168" s="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21.75" customHeight="1" x14ac:dyDescent="0.6">
      <c r="A169" s="1"/>
      <c r="B169" s="6"/>
      <c r="C169" s="1"/>
      <c r="D169" s="42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21.75" customHeight="1" x14ac:dyDescent="0.6">
      <c r="A170" s="1"/>
      <c r="B170" s="6"/>
      <c r="C170" s="1"/>
      <c r="D170" s="42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21.75" customHeight="1" x14ac:dyDescent="0.6">
      <c r="A171" s="1"/>
      <c r="B171" s="6"/>
      <c r="C171" s="1"/>
      <c r="D171" s="42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21.75" customHeight="1" x14ac:dyDescent="0.6">
      <c r="A172" s="1"/>
      <c r="B172" s="6"/>
      <c r="C172" s="1"/>
      <c r="D172" s="42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21.75" customHeight="1" x14ac:dyDescent="0.6">
      <c r="A173" s="1"/>
      <c r="B173" s="6"/>
      <c r="C173" s="1"/>
      <c r="D173" s="42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21.75" customHeight="1" x14ac:dyDescent="0.6">
      <c r="A174" s="1"/>
      <c r="B174" s="6"/>
      <c r="C174" s="1"/>
      <c r="D174" s="42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21.75" customHeight="1" x14ac:dyDescent="0.6">
      <c r="A175" s="1"/>
      <c r="B175" s="6"/>
      <c r="C175" s="1"/>
      <c r="D175" s="42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21.75" customHeight="1" x14ac:dyDescent="0.6">
      <c r="A176" s="1"/>
      <c r="B176" s="6"/>
      <c r="C176" s="1"/>
      <c r="D176" s="42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21.75" customHeight="1" x14ac:dyDescent="0.6">
      <c r="A177" s="1"/>
      <c r="B177" s="6"/>
      <c r="C177" s="1"/>
      <c r="D177" s="42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21.75" customHeight="1" x14ac:dyDescent="0.6">
      <c r="A178" s="1"/>
      <c r="B178" s="6"/>
      <c r="C178" s="1"/>
      <c r="D178" s="42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21.75" customHeight="1" x14ac:dyDescent="0.6">
      <c r="A179" s="1"/>
      <c r="B179" s="6"/>
      <c r="C179" s="1"/>
      <c r="D179" s="42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21.75" customHeight="1" x14ac:dyDescent="0.6">
      <c r="A180" s="1"/>
      <c r="B180" s="6"/>
      <c r="C180" s="1"/>
      <c r="D180" s="42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21.75" customHeight="1" x14ac:dyDescent="0.6">
      <c r="A181" s="1"/>
      <c r="B181" s="6"/>
      <c r="C181" s="1"/>
      <c r="D181" s="42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21.75" customHeight="1" x14ac:dyDescent="0.6">
      <c r="A182" s="1"/>
      <c r="B182" s="6"/>
      <c r="C182" s="1"/>
      <c r="D182" s="42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21.75" customHeight="1" x14ac:dyDescent="0.6">
      <c r="A183" s="1"/>
      <c r="B183" s="6"/>
      <c r="C183" s="1"/>
      <c r="D183" s="42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21.75" customHeight="1" x14ac:dyDescent="0.6">
      <c r="A184" s="1"/>
      <c r="B184" s="6"/>
      <c r="C184" s="1"/>
      <c r="D184" s="42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21.75" customHeight="1" x14ac:dyDescent="0.6">
      <c r="A185" s="1"/>
      <c r="B185" s="6"/>
      <c r="C185" s="1"/>
      <c r="D185" s="42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21.75" customHeight="1" x14ac:dyDescent="0.6">
      <c r="A186" s="1"/>
      <c r="B186" s="6"/>
      <c r="C186" s="1"/>
      <c r="D186" s="42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21.75" customHeight="1" x14ac:dyDescent="0.6">
      <c r="A187" s="1"/>
      <c r="B187" s="6"/>
      <c r="C187" s="1"/>
      <c r="D187" s="42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21.75" customHeight="1" x14ac:dyDescent="0.6">
      <c r="A188" s="1"/>
      <c r="B188" s="6"/>
      <c r="C188" s="1"/>
      <c r="D188" s="42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21.75" customHeight="1" x14ac:dyDescent="0.6">
      <c r="A189" s="1"/>
      <c r="B189" s="6"/>
      <c r="C189" s="1"/>
      <c r="D189" s="42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21.75" customHeight="1" x14ac:dyDescent="0.6">
      <c r="A190" s="1"/>
      <c r="B190" s="6"/>
      <c r="C190" s="1"/>
      <c r="D190" s="42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21.75" customHeight="1" x14ac:dyDescent="0.6">
      <c r="A191" s="1"/>
      <c r="B191" s="6"/>
      <c r="C191" s="1"/>
      <c r="D191" s="42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21.75" customHeight="1" x14ac:dyDescent="0.6">
      <c r="A192" s="1"/>
      <c r="B192" s="6"/>
      <c r="C192" s="1"/>
      <c r="D192" s="42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21.75" customHeight="1" x14ac:dyDescent="0.6">
      <c r="A193" s="1"/>
      <c r="B193" s="6"/>
      <c r="C193" s="1"/>
      <c r="D193" s="42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21.75" customHeight="1" x14ac:dyDescent="0.6">
      <c r="A194" s="1"/>
      <c r="B194" s="6"/>
      <c r="C194" s="1"/>
      <c r="D194" s="42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21.75" customHeight="1" x14ac:dyDescent="0.6">
      <c r="A195" s="1"/>
      <c r="B195" s="6"/>
      <c r="C195" s="1"/>
      <c r="D195" s="42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21.75" customHeight="1" x14ac:dyDescent="0.6">
      <c r="A196" s="1"/>
      <c r="B196" s="6"/>
      <c r="C196" s="1"/>
      <c r="D196" s="42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21.75" customHeight="1" x14ac:dyDescent="0.6">
      <c r="A197" s="1"/>
      <c r="B197" s="6"/>
      <c r="C197" s="1"/>
      <c r="D197" s="42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21.75" customHeight="1" x14ac:dyDescent="0.6">
      <c r="A198" s="1"/>
      <c r="B198" s="6"/>
      <c r="C198" s="1"/>
      <c r="D198" s="42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21.75" customHeight="1" x14ac:dyDescent="0.6">
      <c r="A199" s="1"/>
      <c r="B199" s="6"/>
      <c r="C199" s="1"/>
      <c r="D199" s="42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21.75" customHeight="1" x14ac:dyDescent="0.6">
      <c r="A200" s="1"/>
      <c r="B200" s="6"/>
      <c r="C200" s="1"/>
      <c r="D200" s="42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21.75" customHeight="1" x14ac:dyDescent="0.6">
      <c r="A201" s="1"/>
      <c r="B201" s="6"/>
      <c r="C201" s="1"/>
      <c r="D201" s="42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21.75" customHeight="1" x14ac:dyDescent="0.6">
      <c r="A202" s="1"/>
      <c r="B202" s="6"/>
      <c r="C202" s="1"/>
      <c r="D202" s="42"/>
      <c r="E202" s="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21.75" customHeight="1" x14ac:dyDescent="0.6">
      <c r="A203" s="1"/>
      <c r="B203" s="6"/>
      <c r="C203" s="1"/>
      <c r="D203" s="42"/>
      <c r="E203" s="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21.75" customHeight="1" x14ac:dyDescent="0.6">
      <c r="A204" s="1"/>
      <c r="B204" s="6"/>
      <c r="C204" s="1"/>
      <c r="D204" s="42"/>
      <c r="E204" s="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21.75" customHeight="1" x14ac:dyDescent="0.6">
      <c r="A205" s="1"/>
      <c r="B205" s="6"/>
      <c r="C205" s="1"/>
      <c r="D205" s="42"/>
      <c r="E205" s="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21.75" customHeight="1" x14ac:dyDescent="0.6">
      <c r="A206" s="1"/>
      <c r="B206" s="6"/>
      <c r="C206" s="1"/>
      <c r="D206" s="42"/>
      <c r="E206" s="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21.75" customHeight="1" x14ac:dyDescent="0.6">
      <c r="A207" s="1"/>
      <c r="B207" s="6"/>
      <c r="C207" s="1"/>
      <c r="D207" s="42"/>
      <c r="E207" s="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21.75" customHeight="1" x14ac:dyDescent="0.6">
      <c r="A208" s="1"/>
      <c r="B208" s="6"/>
      <c r="C208" s="1"/>
      <c r="D208" s="42"/>
      <c r="E208" s="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21.75" customHeight="1" x14ac:dyDescent="0.6">
      <c r="A209" s="1"/>
      <c r="B209" s="6"/>
      <c r="C209" s="1"/>
      <c r="D209" s="42"/>
      <c r="E209" s="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21.75" customHeight="1" x14ac:dyDescent="0.6">
      <c r="A210" s="1"/>
      <c r="B210" s="6"/>
      <c r="C210" s="1"/>
      <c r="D210" s="42"/>
      <c r="E210" s="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21.75" customHeight="1" x14ac:dyDescent="0.6">
      <c r="A211" s="1"/>
      <c r="B211" s="6"/>
      <c r="C211" s="1"/>
      <c r="D211" s="42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21.75" customHeight="1" x14ac:dyDescent="0.6">
      <c r="A212" s="1"/>
      <c r="B212" s="6"/>
      <c r="C212" s="1"/>
      <c r="D212" s="42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21.75" customHeight="1" x14ac:dyDescent="0.6">
      <c r="A213" s="1"/>
      <c r="B213" s="6"/>
      <c r="C213" s="1"/>
      <c r="D213" s="42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21.75" customHeight="1" x14ac:dyDescent="0.6">
      <c r="A214" s="1"/>
      <c r="B214" s="6"/>
      <c r="C214" s="1"/>
      <c r="D214" s="42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21.75" customHeight="1" x14ac:dyDescent="0.6">
      <c r="A215" s="1"/>
      <c r="B215" s="6"/>
      <c r="C215" s="1"/>
      <c r="D215" s="42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21.75" customHeight="1" x14ac:dyDescent="0.6">
      <c r="A216" s="1"/>
      <c r="B216" s="6"/>
      <c r="C216" s="1"/>
      <c r="D216" s="42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21.75" customHeight="1" x14ac:dyDescent="0.6">
      <c r="A217" s="1"/>
      <c r="B217" s="6"/>
      <c r="C217" s="1"/>
      <c r="D217" s="42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21.75" customHeight="1" x14ac:dyDescent="0.6">
      <c r="A218" s="1"/>
      <c r="B218" s="6"/>
      <c r="C218" s="1"/>
      <c r="D218" s="42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21.75" customHeight="1" x14ac:dyDescent="0.6">
      <c r="A219" s="1"/>
      <c r="B219" s="6"/>
      <c r="C219" s="1"/>
      <c r="D219" s="42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21.75" customHeight="1" x14ac:dyDescent="0.6">
      <c r="A220" s="1"/>
      <c r="B220" s="6"/>
      <c r="C220" s="1"/>
      <c r="D220" s="42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21.75" customHeight="1" x14ac:dyDescent="0.6">
      <c r="A221" s="1"/>
      <c r="B221" s="6"/>
      <c r="C221" s="1"/>
      <c r="D221" s="42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21.75" customHeight="1" x14ac:dyDescent="0.6">
      <c r="A222" s="1"/>
      <c r="B222" s="6"/>
      <c r="C222" s="1"/>
      <c r="D222" s="42"/>
      <c r="E222" s="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21.75" customHeight="1" x14ac:dyDescent="0.6">
      <c r="A223" s="1"/>
      <c r="B223" s="6"/>
      <c r="C223" s="1"/>
      <c r="D223" s="42"/>
      <c r="E223" s="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21.75" customHeight="1" x14ac:dyDescent="0.6">
      <c r="A224" s="1"/>
      <c r="B224" s="6"/>
      <c r="C224" s="1"/>
      <c r="D224" s="42"/>
      <c r="E224" s="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21.75" customHeight="1" x14ac:dyDescent="0.6">
      <c r="A225" s="1"/>
      <c r="B225" s="6"/>
      <c r="C225" s="1"/>
      <c r="D225" s="42"/>
      <c r="E225" s="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21.75" customHeight="1" x14ac:dyDescent="0.6">
      <c r="A226" s="1"/>
      <c r="B226" s="6"/>
      <c r="C226" s="1"/>
      <c r="D226" s="42"/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21.75" customHeight="1" x14ac:dyDescent="0.6">
      <c r="A227" s="1"/>
      <c r="B227" s="6"/>
      <c r="C227" s="1"/>
      <c r="D227" s="42"/>
      <c r="E227" s="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21.75" customHeight="1" x14ac:dyDescent="0.6">
      <c r="A228" s="1"/>
      <c r="B228" s="6"/>
      <c r="C228" s="1"/>
      <c r="D228" s="42"/>
      <c r="E228" s="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21.75" customHeight="1" x14ac:dyDescent="0.6">
      <c r="A229" s="1"/>
      <c r="B229" s="6"/>
      <c r="C229" s="1"/>
      <c r="D229" s="42"/>
      <c r="E229" s="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21.75" customHeight="1" x14ac:dyDescent="0.6">
      <c r="A230" s="1"/>
      <c r="B230" s="6"/>
      <c r="C230" s="1"/>
      <c r="D230" s="42"/>
      <c r="E230" s="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21.75" customHeight="1" x14ac:dyDescent="0.6">
      <c r="A231" s="1"/>
      <c r="B231" s="6"/>
      <c r="C231" s="1"/>
      <c r="D231" s="42"/>
      <c r="E231" s="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21.75" customHeight="1" x14ac:dyDescent="0.6">
      <c r="A232" s="1"/>
      <c r="B232" s="6"/>
      <c r="C232" s="1"/>
      <c r="D232" s="42"/>
      <c r="E232" s="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21.75" customHeight="1" x14ac:dyDescent="0.6">
      <c r="A233" s="1"/>
      <c r="B233" s="6"/>
      <c r="C233" s="1"/>
      <c r="D233" s="42"/>
      <c r="E233" s="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21.75" customHeight="1" x14ac:dyDescent="0.6">
      <c r="A234" s="1"/>
      <c r="B234" s="6"/>
      <c r="C234" s="1"/>
      <c r="D234" s="42"/>
      <c r="E234" s="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21.75" customHeight="1" x14ac:dyDescent="0.6">
      <c r="A235" s="1"/>
      <c r="B235" s="6"/>
      <c r="C235" s="1"/>
      <c r="D235" s="42"/>
      <c r="E235" s="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21.75" customHeight="1" x14ac:dyDescent="0.6">
      <c r="A236" s="1"/>
      <c r="B236" s="6"/>
      <c r="C236" s="1"/>
      <c r="D236" s="42"/>
      <c r="E236" s="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21.75" customHeight="1" x14ac:dyDescent="0.6">
      <c r="A237" s="1"/>
      <c r="B237" s="6"/>
      <c r="C237" s="1"/>
      <c r="D237" s="42"/>
      <c r="E237" s="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21.75" customHeight="1" x14ac:dyDescent="0.6">
      <c r="A238" s="1"/>
      <c r="B238" s="6"/>
      <c r="C238" s="1"/>
      <c r="D238" s="42"/>
      <c r="E238" s="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21.75" customHeight="1" x14ac:dyDescent="0.6">
      <c r="A239" s="1"/>
      <c r="B239" s="6"/>
      <c r="C239" s="1"/>
      <c r="D239" s="42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21.75" customHeight="1" x14ac:dyDescent="0.6">
      <c r="A240" s="1"/>
      <c r="B240" s="6"/>
      <c r="C240" s="1"/>
      <c r="D240" s="42"/>
      <c r="E240" s="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21.75" customHeight="1" x14ac:dyDescent="0.6">
      <c r="A241" s="1"/>
      <c r="B241" s="6"/>
      <c r="C241" s="1"/>
      <c r="D241" s="42"/>
      <c r="E241" s="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21.75" customHeight="1" x14ac:dyDescent="0.6">
      <c r="A242" s="1"/>
      <c r="B242" s="6"/>
      <c r="C242" s="1"/>
      <c r="D242" s="42"/>
      <c r="E242" s="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21.75" customHeight="1" x14ac:dyDescent="0.6">
      <c r="A243" s="1"/>
      <c r="B243" s="6"/>
      <c r="C243" s="1"/>
      <c r="D243" s="42"/>
      <c r="E243" s="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21.75" customHeight="1" x14ac:dyDescent="0.6">
      <c r="A244" s="1"/>
      <c r="B244" s="6"/>
      <c r="C244" s="1"/>
      <c r="D244" s="42"/>
      <c r="E244" s="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21.75" customHeight="1" x14ac:dyDescent="0.6">
      <c r="A245" s="1"/>
      <c r="B245" s="6"/>
      <c r="C245" s="1"/>
      <c r="D245" s="42"/>
      <c r="E245" s="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21.75" customHeight="1" x14ac:dyDescent="0.6">
      <c r="A246" s="1"/>
      <c r="B246" s="6"/>
      <c r="C246" s="1"/>
      <c r="D246" s="42"/>
      <c r="E246" s="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21.75" customHeight="1" x14ac:dyDescent="0.6">
      <c r="A247" s="1"/>
      <c r="B247" s="6"/>
      <c r="C247" s="1"/>
      <c r="D247" s="42"/>
      <c r="E247" s="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21.75" customHeight="1" x14ac:dyDescent="0.6">
      <c r="A248" s="1"/>
      <c r="B248" s="6"/>
      <c r="C248" s="1"/>
      <c r="D248" s="42"/>
      <c r="E248" s="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21.75" customHeight="1" x14ac:dyDescent="0.6">
      <c r="A249" s="1"/>
      <c r="B249" s="6"/>
      <c r="C249" s="1"/>
      <c r="D249" s="42"/>
      <c r="E249" s="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21.75" customHeight="1" x14ac:dyDescent="0.6">
      <c r="A250" s="1"/>
      <c r="B250" s="6"/>
      <c r="C250" s="1"/>
      <c r="D250" s="42"/>
      <c r="E250" s="3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21.75" customHeight="1" x14ac:dyDescent="0.6">
      <c r="A251" s="1"/>
      <c r="B251" s="6"/>
      <c r="C251" s="1"/>
      <c r="D251" s="42"/>
      <c r="E251" s="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21.75" customHeight="1" x14ac:dyDescent="0.6">
      <c r="A252" s="1"/>
      <c r="B252" s="6"/>
      <c r="C252" s="1"/>
      <c r="D252" s="42"/>
      <c r="E252" s="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21.75" customHeight="1" x14ac:dyDescent="0.6">
      <c r="A253" s="1"/>
      <c r="B253" s="6"/>
      <c r="C253" s="1"/>
      <c r="D253" s="42"/>
      <c r="E253" s="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21.75" customHeight="1" x14ac:dyDescent="0.6">
      <c r="A254" s="1"/>
      <c r="B254" s="6"/>
      <c r="C254" s="1"/>
      <c r="D254" s="42"/>
      <c r="E254" s="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21.75" customHeight="1" x14ac:dyDescent="0.6">
      <c r="A255" s="1"/>
      <c r="B255" s="6"/>
      <c r="C255" s="1"/>
      <c r="D255" s="42"/>
      <c r="E255" s="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21.75" customHeight="1" x14ac:dyDescent="0.6">
      <c r="A256" s="1"/>
      <c r="B256" s="6"/>
      <c r="C256" s="1"/>
      <c r="D256" s="42"/>
      <c r="E256" s="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21.75" customHeight="1" x14ac:dyDescent="0.6">
      <c r="A257" s="1"/>
      <c r="B257" s="6"/>
      <c r="C257" s="1"/>
      <c r="D257" s="42"/>
      <c r="E257" s="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21.75" customHeight="1" x14ac:dyDescent="0.6">
      <c r="A258" s="1"/>
      <c r="B258" s="6"/>
      <c r="C258" s="1"/>
      <c r="D258" s="42"/>
      <c r="E258" s="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21.75" customHeight="1" x14ac:dyDescent="0.6">
      <c r="A259" s="1"/>
      <c r="B259" s="6"/>
      <c r="C259" s="1"/>
      <c r="D259" s="42"/>
      <c r="E259" s="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21.75" customHeight="1" x14ac:dyDescent="0.6">
      <c r="A260" s="1"/>
      <c r="B260" s="6"/>
      <c r="C260" s="1"/>
      <c r="D260" s="42"/>
      <c r="E260" s="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21.75" customHeight="1" x14ac:dyDescent="0.6">
      <c r="A261" s="1"/>
      <c r="B261" s="6"/>
      <c r="C261" s="1"/>
      <c r="D261" s="42"/>
      <c r="E261" s="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21.75" customHeight="1" x14ac:dyDescent="0.6">
      <c r="A262" s="1"/>
      <c r="B262" s="6"/>
      <c r="C262" s="1"/>
      <c r="D262" s="42"/>
      <c r="E262" s="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21.75" customHeight="1" x14ac:dyDescent="0.6">
      <c r="A263" s="1"/>
      <c r="B263" s="6"/>
      <c r="C263" s="1"/>
      <c r="D263" s="42"/>
      <c r="E263" s="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21.75" customHeight="1" x14ac:dyDescent="0.6">
      <c r="A264" s="1"/>
      <c r="B264" s="6"/>
      <c r="C264" s="1"/>
      <c r="D264" s="42"/>
      <c r="E264" s="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21.75" customHeight="1" x14ac:dyDescent="0.6">
      <c r="A265" s="1"/>
      <c r="B265" s="6"/>
      <c r="C265" s="1"/>
      <c r="D265" s="42"/>
      <c r="E265" s="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21.75" customHeight="1" x14ac:dyDescent="0.6">
      <c r="A266" s="1"/>
      <c r="B266" s="6"/>
      <c r="C266" s="1"/>
      <c r="D266" s="42"/>
      <c r="E266" s="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21.75" customHeight="1" x14ac:dyDescent="0.6">
      <c r="A267" s="1"/>
      <c r="B267" s="6"/>
      <c r="C267" s="1"/>
      <c r="D267" s="42"/>
      <c r="E267" s="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21.75" customHeight="1" x14ac:dyDescent="0.6">
      <c r="A268" s="1"/>
      <c r="B268" s="6"/>
      <c r="C268" s="1"/>
      <c r="D268" s="42"/>
      <c r="E268" s="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21.75" customHeight="1" x14ac:dyDescent="0.6">
      <c r="A269" s="1"/>
      <c r="B269" s="6"/>
      <c r="C269" s="1"/>
      <c r="D269" s="42"/>
      <c r="E269" s="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21.75" customHeight="1" x14ac:dyDescent="0.6">
      <c r="A270" s="1"/>
      <c r="B270" s="6"/>
      <c r="C270" s="1"/>
      <c r="D270" s="42"/>
      <c r="E270" s="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21.75" customHeight="1" x14ac:dyDescent="0.6">
      <c r="A271" s="1"/>
      <c r="B271" s="6"/>
      <c r="C271" s="1"/>
      <c r="D271" s="42"/>
      <c r="E271" s="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21.75" customHeight="1" x14ac:dyDescent="0.6">
      <c r="A272" s="1"/>
      <c r="B272" s="6"/>
      <c r="C272" s="1"/>
      <c r="D272" s="42"/>
      <c r="E272" s="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21.75" customHeight="1" x14ac:dyDescent="0.6">
      <c r="A273" s="1"/>
      <c r="B273" s="6"/>
      <c r="C273" s="1"/>
      <c r="D273" s="42"/>
      <c r="E273" s="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21.75" customHeight="1" x14ac:dyDescent="0.6">
      <c r="A274" s="1"/>
      <c r="B274" s="6"/>
      <c r="C274" s="1"/>
      <c r="D274" s="42"/>
      <c r="E274" s="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21.75" customHeight="1" x14ac:dyDescent="0.6">
      <c r="A275" s="1"/>
      <c r="B275" s="6"/>
      <c r="C275" s="1"/>
      <c r="D275" s="42"/>
      <c r="E275" s="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21.75" customHeight="1" x14ac:dyDescent="0.6">
      <c r="A276" s="1"/>
      <c r="B276" s="6"/>
      <c r="C276" s="1"/>
      <c r="D276" s="42"/>
      <c r="E276" s="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21.75" customHeight="1" x14ac:dyDescent="0.6">
      <c r="A277" s="1"/>
      <c r="B277" s="6"/>
      <c r="C277" s="1"/>
      <c r="D277" s="42"/>
      <c r="E277" s="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21.75" customHeight="1" x14ac:dyDescent="0.6">
      <c r="A278" s="1"/>
      <c r="B278" s="6"/>
      <c r="C278" s="1"/>
      <c r="D278" s="42"/>
      <c r="E278" s="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21.75" customHeight="1" x14ac:dyDescent="0.6">
      <c r="A279" s="1"/>
      <c r="B279" s="6"/>
      <c r="C279" s="1"/>
      <c r="D279" s="42"/>
      <c r="E279" s="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21.75" customHeight="1" x14ac:dyDescent="0.6">
      <c r="A280" s="1"/>
      <c r="B280" s="6"/>
      <c r="C280" s="1"/>
      <c r="D280" s="42"/>
      <c r="E280" s="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21.75" customHeight="1" x14ac:dyDescent="0.6">
      <c r="A281" s="1"/>
      <c r="B281" s="6"/>
      <c r="C281" s="1"/>
      <c r="D281" s="42"/>
      <c r="E281" s="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21.75" customHeight="1" x14ac:dyDescent="0.6">
      <c r="A282" s="1"/>
      <c r="B282" s="6"/>
      <c r="C282" s="1"/>
      <c r="D282" s="42"/>
      <c r="E282" s="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21.75" customHeight="1" x14ac:dyDescent="0.6">
      <c r="A283" s="1"/>
      <c r="B283" s="6"/>
      <c r="C283" s="1"/>
      <c r="D283" s="42"/>
      <c r="E283" s="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21.75" customHeight="1" x14ac:dyDescent="0.6">
      <c r="A284" s="1"/>
      <c r="B284" s="6"/>
      <c r="C284" s="1"/>
      <c r="D284" s="42"/>
      <c r="E284" s="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21.75" customHeight="1" x14ac:dyDescent="0.6">
      <c r="A285" s="1"/>
      <c r="B285" s="6"/>
      <c r="C285" s="1"/>
      <c r="D285" s="42"/>
      <c r="E285" s="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21.75" customHeight="1" x14ac:dyDescent="0.6">
      <c r="A286" s="1"/>
      <c r="B286" s="6"/>
      <c r="C286" s="1"/>
      <c r="D286" s="42"/>
      <c r="E286" s="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21.75" customHeight="1" x14ac:dyDescent="0.6">
      <c r="A287" s="1"/>
      <c r="B287" s="6"/>
      <c r="C287" s="1"/>
      <c r="D287" s="42"/>
      <c r="E287" s="3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21.75" customHeight="1" x14ac:dyDescent="0.6">
      <c r="A288" s="1"/>
      <c r="B288" s="6"/>
      <c r="C288" s="1"/>
      <c r="D288" s="42"/>
      <c r="E288" s="3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21.75" customHeight="1" x14ac:dyDescent="0.6">
      <c r="A289" s="1"/>
      <c r="B289" s="6"/>
      <c r="C289" s="1"/>
      <c r="D289" s="42"/>
      <c r="E289" s="3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21.75" customHeight="1" x14ac:dyDescent="0.6">
      <c r="A290" s="1"/>
      <c r="B290" s="6"/>
      <c r="C290" s="1"/>
      <c r="D290" s="42"/>
      <c r="E290" s="3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21.75" customHeight="1" x14ac:dyDescent="0.6">
      <c r="A291" s="1"/>
      <c r="B291" s="6"/>
      <c r="C291" s="1"/>
      <c r="D291" s="42"/>
      <c r="E291" s="3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21.75" customHeight="1" x14ac:dyDescent="0.6">
      <c r="A292" s="1"/>
      <c r="B292" s="6"/>
      <c r="C292" s="1"/>
      <c r="D292" s="42"/>
      <c r="E292" s="3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21.75" customHeight="1" x14ac:dyDescent="0.6">
      <c r="A293" s="1"/>
      <c r="B293" s="6"/>
      <c r="C293" s="1"/>
      <c r="D293" s="42"/>
      <c r="E293" s="3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21.75" customHeight="1" x14ac:dyDescent="0.6">
      <c r="A294" s="1"/>
      <c r="B294" s="6"/>
      <c r="C294" s="1"/>
      <c r="D294" s="42"/>
      <c r="E294" s="3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21.75" customHeight="1" x14ac:dyDescent="0.6">
      <c r="A295" s="1"/>
      <c r="B295" s="6"/>
      <c r="C295" s="1"/>
      <c r="D295" s="42"/>
      <c r="E295" s="3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21.75" customHeight="1" x14ac:dyDescent="0.6">
      <c r="A296" s="1"/>
      <c r="B296" s="6"/>
      <c r="C296" s="1"/>
      <c r="D296" s="42"/>
      <c r="E296" s="3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21.75" customHeight="1" x14ac:dyDescent="0.6">
      <c r="A297" s="1"/>
      <c r="B297" s="6"/>
      <c r="C297" s="1"/>
      <c r="D297" s="42"/>
      <c r="E297" s="3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21.75" customHeight="1" x14ac:dyDescent="0.6">
      <c r="A298" s="1"/>
      <c r="B298" s="6"/>
      <c r="C298" s="1"/>
      <c r="D298" s="42"/>
      <c r="E298" s="3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21.75" customHeight="1" x14ac:dyDescent="0.6">
      <c r="A299" s="1"/>
      <c r="B299" s="6"/>
      <c r="C299" s="1"/>
      <c r="D299" s="42"/>
      <c r="E299" s="3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21.75" customHeight="1" x14ac:dyDescent="0.6">
      <c r="A300" s="1"/>
      <c r="B300" s="6"/>
      <c r="C300" s="1"/>
      <c r="D300" s="42"/>
      <c r="E300" s="3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21.75" customHeight="1" x14ac:dyDescent="0.6">
      <c r="A301" s="1"/>
      <c r="B301" s="6"/>
      <c r="C301" s="1"/>
      <c r="D301" s="42"/>
      <c r="E301" s="3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21.75" customHeight="1" x14ac:dyDescent="0.6">
      <c r="A302" s="1"/>
      <c r="B302" s="6"/>
      <c r="C302" s="1"/>
      <c r="D302" s="42"/>
      <c r="E302" s="3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21.75" customHeight="1" x14ac:dyDescent="0.6">
      <c r="A303" s="1"/>
      <c r="B303" s="6"/>
      <c r="C303" s="1"/>
      <c r="D303" s="42"/>
      <c r="E303" s="3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21.75" customHeight="1" x14ac:dyDescent="0.6">
      <c r="A304" s="1"/>
      <c r="B304" s="6"/>
      <c r="C304" s="1"/>
      <c r="D304" s="42"/>
      <c r="E304" s="3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21.75" customHeight="1" x14ac:dyDescent="0.6">
      <c r="A305" s="1"/>
      <c r="B305" s="6"/>
      <c r="C305" s="1"/>
      <c r="D305" s="42"/>
      <c r="E305" s="3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21.75" customHeight="1" x14ac:dyDescent="0.6">
      <c r="A306" s="1"/>
      <c r="B306" s="6"/>
      <c r="C306" s="1"/>
      <c r="D306" s="42"/>
      <c r="E306" s="3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21.75" customHeight="1" x14ac:dyDescent="0.6">
      <c r="A307" s="1"/>
      <c r="B307" s="6"/>
      <c r="C307" s="1"/>
      <c r="D307" s="42"/>
      <c r="E307" s="3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21.75" customHeight="1" x14ac:dyDescent="0.6">
      <c r="A308" s="1"/>
      <c r="B308" s="6"/>
      <c r="C308" s="1"/>
      <c r="D308" s="42"/>
      <c r="E308" s="3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21.75" customHeight="1" x14ac:dyDescent="0.6">
      <c r="A309" s="1"/>
      <c r="B309" s="6"/>
      <c r="C309" s="1"/>
      <c r="D309" s="42"/>
      <c r="E309" s="3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21.75" customHeight="1" x14ac:dyDescent="0.6">
      <c r="A310" s="1"/>
      <c r="B310" s="6"/>
      <c r="C310" s="1"/>
      <c r="D310" s="42"/>
      <c r="E310" s="3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21.75" customHeight="1" x14ac:dyDescent="0.6">
      <c r="A311" s="1"/>
      <c r="B311" s="6"/>
      <c r="C311" s="1"/>
      <c r="D311" s="42"/>
      <c r="E311" s="3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21.75" customHeight="1" x14ac:dyDescent="0.6">
      <c r="A312" s="1"/>
      <c r="B312" s="6"/>
      <c r="C312" s="1"/>
      <c r="D312" s="42"/>
      <c r="E312" s="3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21.75" customHeight="1" x14ac:dyDescent="0.6">
      <c r="A313" s="1"/>
      <c r="B313" s="6"/>
      <c r="C313" s="1"/>
      <c r="D313" s="42"/>
      <c r="E313" s="3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21.75" customHeight="1" x14ac:dyDescent="0.6">
      <c r="A314" s="1"/>
      <c r="B314" s="6"/>
      <c r="C314" s="1"/>
      <c r="D314" s="42"/>
      <c r="E314" s="3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21.75" customHeight="1" x14ac:dyDescent="0.6">
      <c r="A315" s="1"/>
      <c r="B315" s="6"/>
      <c r="C315" s="1"/>
      <c r="D315" s="42"/>
      <c r="E315" s="3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21.75" customHeight="1" x14ac:dyDescent="0.6">
      <c r="A316" s="1"/>
      <c r="B316" s="6"/>
      <c r="C316" s="1"/>
      <c r="D316" s="42"/>
      <c r="E316" s="3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21.75" customHeight="1" x14ac:dyDescent="0.6">
      <c r="A317" s="1"/>
      <c r="B317" s="6"/>
      <c r="C317" s="1"/>
      <c r="D317" s="42"/>
      <c r="E317" s="3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21.75" customHeight="1" x14ac:dyDescent="0.6">
      <c r="A318" s="1"/>
      <c r="B318" s="6"/>
      <c r="C318" s="1"/>
      <c r="D318" s="42"/>
      <c r="E318" s="3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21.75" customHeight="1" x14ac:dyDescent="0.6">
      <c r="A319" s="1"/>
      <c r="B319" s="6"/>
      <c r="C319" s="1"/>
      <c r="D319" s="42"/>
      <c r="E319" s="3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21.75" customHeight="1" x14ac:dyDescent="0.6">
      <c r="A320" s="1"/>
      <c r="B320" s="6"/>
      <c r="C320" s="1"/>
      <c r="D320" s="42"/>
      <c r="E320" s="3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21.75" customHeight="1" x14ac:dyDescent="0.6">
      <c r="A321" s="1"/>
      <c r="B321" s="6"/>
      <c r="C321" s="1"/>
      <c r="D321" s="42"/>
      <c r="E321" s="3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21.75" customHeight="1" x14ac:dyDescent="0.6">
      <c r="A322" s="1"/>
      <c r="B322" s="6"/>
      <c r="C322" s="1"/>
      <c r="D322" s="42"/>
      <c r="E322" s="3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21.75" customHeight="1" x14ac:dyDescent="0.6">
      <c r="A323" s="1"/>
      <c r="B323" s="6"/>
      <c r="C323" s="1"/>
      <c r="D323" s="42"/>
      <c r="E323" s="3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21.75" customHeight="1" x14ac:dyDescent="0.6">
      <c r="A324" s="1"/>
      <c r="B324" s="6"/>
      <c r="C324" s="1"/>
      <c r="D324" s="42"/>
      <c r="E324" s="3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21.75" customHeight="1" x14ac:dyDescent="0.6">
      <c r="A325" s="1"/>
      <c r="B325" s="6"/>
      <c r="C325" s="1"/>
      <c r="D325" s="42"/>
      <c r="E325" s="3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21.75" customHeight="1" x14ac:dyDescent="0.6">
      <c r="A326" s="1"/>
      <c r="B326" s="6"/>
      <c r="C326" s="1"/>
      <c r="D326" s="42"/>
      <c r="E326" s="3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21.75" customHeight="1" x14ac:dyDescent="0.6">
      <c r="A327" s="1"/>
      <c r="B327" s="6"/>
      <c r="C327" s="1"/>
      <c r="D327" s="42"/>
      <c r="E327" s="3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21.75" customHeight="1" x14ac:dyDescent="0.6">
      <c r="A328" s="1"/>
      <c r="B328" s="6"/>
      <c r="C328" s="1"/>
      <c r="D328" s="42"/>
      <c r="E328" s="3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21.75" customHeight="1" x14ac:dyDescent="0.6">
      <c r="A329" s="1"/>
      <c r="B329" s="6"/>
      <c r="C329" s="1"/>
      <c r="D329" s="42"/>
      <c r="E329" s="3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21.75" customHeight="1" x14ac:dyDescent="0.6">
      <c r="A330" s="1"/>
      <c r="B330" s="6"/>
      <c r="C330" s="1"/>
      <c r="D330" s="42"/>
      <c r="E330" s="3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21.75" customHeight="1" x14ac:dyDescent="0.6">
      <c r="A331" s="1"/>
      <c r="B331" s="6"/>
      <c r="C331" s="1"/>
      <c r="D331" s="42"/>
      <c r="E331" s="3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21.75" customHeight="1" x14ac:dyDescent="0.6">
      <c r="A332" s="1"/>
      <c r="B332" s="6"/>
      <c r="C332" s="1"/>
      <c r="D332" s="42"/>
      <c r="E332" s="3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21.75" customHeight="1" x14ac:dyDescent="0.6">
      <c r="A333" s="1"/>
      <c r="B333" s="6"/>
      <c r="C333" s="1"/>
      <c r="D333" s="42"/>
      <c r="E333" s="3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21.75" customHeight="1" x14ac:dyDescent="0.6">
      <c r="A334" s="1"/>
      <c r="B334" s="6"/>
      <c r="C334" s="1"/>
      <c r="D334" s="42"/>
      <c r="E334" s="3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21.75" customHeight="1" x14ac:dyDescent="0.6">
      <c r="A335" s="1"/>
      <c r="B335" s="6"/>
      <c r="C335" s="1"/>
      <c r="D335" s="42"/>
      <c r="E335" s="3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21.75" customHeight="1" x14ac:dyDescent="0.6">
      <c r="A336" s="1"/>
      <c r="B336" s="6"/>
      <c r="C336" s="1"/>
      <c r="D336" s="42"/>
      <c r="E336" s="3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21.75" customHeight="1" x14ac:dyDescent="0.6">
      <c r="A337" s="1"/>
      <c r="B337" s="6"/>
      <c r="C337" s="1"/>
      <c r="D337" s="42"/>
      <c r="E337" s="3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21.75" customHeight="1" x14ac:dyDescent="0.6">
      <c r="A338" s="1"/>
      <c r="B338" s="6"/>
      <c r="C338" s="1"/>
      <c r="D338" s="42"/>
      <c r="E338" s="3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21.75" customHeight="1" x14ac:dyDescent="0.6">
      <c r="A339" s="1"/>
      <c r="B339" s="6"/>
      <c r="C339" s="1"/>
      <c r="D339" s="42"/>
      <c r="E339" s="3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21.75" customHeight="1" x14ac:dyDescent="0.6">
      <c r="A340" s="1"/>
      <c r="B340" s="6"/>
      <c r="C340" s="1"/>
      <c r="D340" s="42"/>
      <c r="E340" s="3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21.75" customHeight="1" x14ac:dyDescent="0.6">
      <c r="A341" s="1"/>
      <c r="B341" s="6"/>
      <c r="C341" s="1"/>
      <c r="D341" s="42"/>
      <c r="E341" s="3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21.75" customHeight="1" x14ac:dyDescent="0.6">
      <c r="A342" s="1"/>
      <c r="B342" s="6"/>
      <c r="C342" s="1"/>
      <c r="D342" s="42"/>
      <c r="E342" s="3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21.75" customHeight="1" x14ac:dyDescent="0.6">
      <c r="A343" s="1"/>
      <c r="B343" s="6"/>
      <c r="C343" s="1"/>
      <c r="D343" s="42"/>
      <c r="E343" s="3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21.75" customHeight="1" x14ac:dyDescent="0.6">
      <c r="A344" s="1"/>
      <c r="B344" s="6"/>
      <c r="C344" s="1"/>
      <c r="D344" s="42"/>
      <c r="E344" s="3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21.75" customHeight="1" x14ac:dyDescent="0.6">
      <c r="A345" s="1"/>
      <c r="B345" s="6"/>
      <c r="C345" s="1"/>
      <c r="D345" s="42"/>
      <c r="E345" s="3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21.75" customHeight="1" x14ac:dyDescent="0.6">
      <c r="A346" s="1"/>
      <c r="B346" s="6"/>
      <c r="C346" s="1"/>
      <c r="D346" s="42"/>
      <c r="E346" s="3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21.75" customHeight="1" x14ac:dyDescent="0.6">
      <c r="A347" s="1"/>
      <c r="B347" s="6"/>
      <c r="C347" s="1"/>
      <c r="D347" s="42"/>
      <c r="E347" s="3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21.75" customHeight="1" x14ac:dyDescent="0.6">
      <c r="A348" s="1"/>
      <c r="B348" s="6"/>
      <c r="C348" s="1"/>
      <c r="D348" s="42"/>
      <c r="E348" s="3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21.75" customHeight="1" x14ac:dyDescent="0.6">
      <c r="A349" s="1"/>
      <c r="B349" s="6"/>
      <c r="C349" s="1"/>
      <c r="D349" s="42"/>
      <c r="E349" s="3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21.75" customHeight="1" x14ac:dyDescent="0.6">
      <c r="A350" s="1"/>
      <c r="B350" s="6"/>
      <c r="C350" s="1"/>
      <c r="D350" s="42"/>
      <c r="E350" s="3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21.75" customHeight="1" x14ac:dyDescent="0.6">
      <c r="A351" s="1"/>
      <c r="B351" s="6"/>
      <c r="C351" s="1"/>
      <c r="D351" s="42"/>
      <c r="E351" s="3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21.75" customHeight="1" x14ac:dyDescent="0.6">
      <c r="A352" s="1"/>
      <c r="B352" s="6"/>
      <c r="C352" s="1"/>
      <c r="D352" s="42"/>
      <c r="E352" s="3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21.75" customHeight="1" x14ac:dyDescent="0.6">
      <c r="A353" s="1"/>
      <c r="B353" s="6"/>
      <c r="C353" s="1"/>
      <c r="D353" s="42"/>
      <c r="E353" s="3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21.75" customHeight="1" x14ac:dyDescent="0.6">
      <c r="A354" s="1"/>
      <c r="B354" s="6"/>
      <c r="C354" s="1"/>
      <c r="D354" s="42"/>
      <c r="E354" s="3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21.75" customHeight="1" x14ac:dyDescent="0.6">
      <c r="A355" s="1"/>
      <c r="B355" s="6"/>
      <c r="C355" s="1"/>
      <c r="D355" s="42"/>
      <c r="E355" s="3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21.75" customHeight="1" x14ac:dyDescent="0.6">
      <c r="A356" s="1"/>
      <c r="B356" s="6"/>
      <c r="C356" s="1"/>
      <c r="D356" s="42"/>
      <c r="E356" s="3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21.75" customHeight="1" x14ac:dyDescent="0.6">
      <c r="A357" s="1"/>
      <c r="B357" s="6"/>
      <c r="C357" s="1"/>
      <c r="D357" s="42"/>
      <c r="E357" s="3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21.75" customHeight="1" x14ac:dyDescent="0.6">
      <c r="A358" s="1"/>
      <c r="B358" s="6"/>
      <c r="C358" s="1"/>
      <c r="D358" s="42"/>
      <c r="E358" s="3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21.75" customHeight="1" x14ac:dyDescent="0.6">
      <c r="A359" s="1"/>
      <c r="B359" s="6"/>
      <c r="C359" s="1"/>
      <c r="D359" s="42"/>
      <c r="E359" s="3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21.75" customHeight="1" x14ac:dyDescent="0.6">
      <c r="A360" s="1"/>
      <c r="B360" s="6"/>
      <c r="C360" s="1"/>
      <c r="D360" s="42"/>
      <c r="E360" s="3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21.75" customHeight="1" x14ac:dyDescent="0.6">
      <c r="A361" s="1"/>
      <c r="B361" s="6"/>
      <c r="C361" s="1"/>
      <c r="D361" s="42"/>
      <c r="E361" s="3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21.75" customHeight="1" x14ac:dyDescent="0.6">
      <c r="A362" s="1"/>
      <c r="B362" s="6"/>
      <c r="C362" s="1"/>
      <c r="D362" s="42"/>
      <c r="E362" s="3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21.75" customHeight="1" x14ac:dyDescent="0.6">
      <c r="A363" s="1"/>
      <c r="B363" s="6"/>
      <c r="C363" s="1"/>
      <c r="D363" s="42"/>
      <c r="E363" s="3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21.75" customHeight="1" x14ac:dyDescent="0.6">
      <c r="A364" s="1"/>
      <c r="B364" s="6"/>
      <c r="C364" s="1"/>
      <c r="D364" s="42"/>
      <c r="E364" s="3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21.75" customHeight="1" x14ac:dyDescent="0.6">
      <c r="A365" s="1"/>
      <c r="B365" s="6"/>
      <c r="C365" s="1"/>
      <c r="D365" s="42"/>
      <c r="E365" s="3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21.75" customHeight="1" x14ac:dyDescent="0.6">
      <c r="A366" s="1"/>
      <c r="B366" s="6"/>
      <c r="C366" s="1"/>
      <c r="D366" s="42"/>
      <c r="E366" s="3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21.75" customHeight="1" x14ac:dyDescent="0.6">
      <c r="A367" s="1"/>
      <c r="B367" s="6"/>
      <c r="C367" s="1"/>
      <c r="D367" s="42"/>
      <c r="E367" s="3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21.75" customHeight="1" x14ac:dyDescent="0.6">
      <c r="A368" s="1"/>
      <c r="B368" s="6"/>
      <c r="C368" s="1"/>
      <c r="D368" s="42"/>
      <c r="E368" s="3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21.75" customHeight="1" x14ac:dyDescent="0.6">
      <c r="A369" s="1"/>
      <c r="B369" s="6"/>
      <c r="C369" s="1"/>
      <c r="D369" s="42"/>
      <c r="E369" s="3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21.75" customHeight="1" x14ac:dyDescent="0.6">
      <c r="A370" s="1"/>
      <c r="B370" s="6"/>
      <c r="C370" s="1"/>
      <c r="D370" s="42"/>
      <c r="E370" s="3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21.75" customHeight="1" x14ac:dyDescent="0.6">
      <c r="A371" s="1"/>
      <c r="B371" s="6"/>
      <c r="C371" s="1"/>
      <c r="D371" s="42"/>
      <c r="E371" s="3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21.75" customHeight="1" x14ac:dyDescent="0.6">
      <c r="A372" s="1"/>
      <c r="B372" s="6"/>
      <c r="C372" s="1"/>
      <c r="D372" s="42"/>
      <c r="E372" s="3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21.75" customHeight="1" x14ac:dyDescent="0.6">
      <c r="A373" s="1"/>
      <c r="B373" s="6"/>
      <c r="C373" s="1"/>
      <c r="D373" s="42"/>
      <c r="E373" s="3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21.75" customHeight="1" x14ac:dyDescent="0.6">
      <c r="A374" s="1"/>
      <c r="B374" s="6"/>
      <c r="C374" s="1"/>
      <c r="D374" s="42"/>
      <c r="E374" s="3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21.75" customHeight="1" x14ac:dyDescent="0.6">
      <c r="A375" s="1"/>
      <c r="B375" s="6"/>
      <c r="C375" s="1"/>
      <c r="D375" s="42"/>
      <c r="E375" s="3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21.75" customHeight="1" x14ac:dyDescent="0.6">
      <c r="A376" s="1"/>
      <c r="B376" s="6"/>
      <c r="C376" s="1"/>
      <c r="D376" s="42"/>
      <c r="E376" s="3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21.75" customHeight="1" x14ac:dyDescent="0.6">
      <c r="A377" s="1"/>
      <c r="B377" s="6"/>
      <c r="C377" s="1"/>
      <c r="D377" s="42"/>
      <c r="E377" s="3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21.75" customHeight="1" x14ac:dyDescent="0.6">
      <c r="A378" s="1"/>
      <c r="B378" s="6"/>
      <c r="C378" s="1"/>
      <c r="D378" s="42"/>
      <c r="E378" s="3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21.75" customHeight="1" x14ac:dyDescent="0.6">
      <c r="A379" s="1"/>
      <c r="B379" s="6"/>
      <c r="C379" s="1"/>
      <c r="D379" s="42"/>
      <c r="E379" s="3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21.75" customHeight="1" x14ac:dyDescent="0.6">
      <c r="A380" s="1"/>
      <c r="B380" s="6"/>
      <c r="C380" s="1"/>
      <c r="D380" s="42"/>
      <c r="E380" s="3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21.75" customHeight="1" x14ac:dyDescent="0.6">
      <c r="A381" s="1"/>
      <c r="B381" s="6"/>
      <c r="C381" s="1"/>
      <c r="D381" s="42"/>
      <c r="E381" s="3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21.75" customHeight="1" x14ac:dyDescent="0.6">
      <c r="A382" s="1"/>
      <c r="B382" s="6"/>
      <c r="C382" s="1"/>
      <c r="D382" s="42"/>
      <c r="E382" s="3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21.75" customHeight="1" x14ac:dyDescent="0.6">
      <c r="A383" s="1"/>
      <c r="B383" s="6"/>
      <c r="C383" s="1"/>
      <c r="D383" s="42"/>
      <c r="E383" s="3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21.75" customHeight="1" x14ac:dyDescent="0.6">
      <c r="A384" s="1"/>
      <c r="B384" s="6"/>
      <c r="C384" s="1"/>
      <c r="D384" s="42"/>
      <c r="E384" s="3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21.75" customHeight="1" x14ac:dyDescent="0.6">
      <c r="A385" s="1"/>
      <c r="B385" s="6"/>
      <c r="C385" s="1"/>
      <c r="D385" s="42"/>
      <c r="E385" s="3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21.75" customHeight="1" x14ac:dyDescent="0.6">
      <c r="A386" s="1"/>
      <c r="B386" s="6"/>
      <c r="C386" s="1"/>
      <c r="D386" s="42"/>
      <c r="E386" s="3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21.75" customHeight="1" x14ac:dyDescent="0.6">
      <c r="A387" s="1"/>
      <c r="B387" s="6"/>
      <c r="C387" s="1"/>
      <c r="D387" s="42"/>
      <c r="E387" s="3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21.75" customHeight="1" x14ac:dyDescent="0.6">
      <c r="A388" s="1"/>
      <c r="B388" s="6"/>
      <c r="C388" s="1"/>
      <c r="D388" s="42"/>
      <c r="E388" s="3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21.75" customHeight="1" x14ac:dyDescent="0.6">
      <c r="A389" s="1"/>
      <c r="B389" s="6"/>
      <c r="C389" s="1"/>
      <c r="D389" s="42"/>
      <c r="E389" s="3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21.75" customHeight="1" x14ac:dyDescent="0.6">
      <c r="A390" s="1"/>
      <c r="B390" s="6"/>
      <c r="C390" s="1"/>
      <c r="D390" s="42"/>
      <c r="E390" s="3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21.75" customHeight="1" x14ac:dyDescent="0.6">
      <c r="A391" s="1"/>
      <c r="B391" s="6"/>
      <c r="C391" s="1"/>
      <c r="D391" s="42"/>
      <c r="E391" s="3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21.75" customHeight="1" x14ac:dyDescent="0.6">
      <c r="A392" s="1"/>
      <c r="B392" s="6"/>
      <c r="C392" s="1"/>
      <c r="D392" s="42"/>
      <c r="E392" s="3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21.75" customHeight="1" x14ac:dyDescent="0.6">
      <c r="A393" s="1"/>
      <c r="B393" s="6"/>
      <c r="C393" s="1"/>
      <c r="D393" s="42"/>
      <c r="E393" s="3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21.75" customHeight="1" x14ac:dyDescent="0.6">
      <c r="A394" s="1"/>
      <c r="B394" s="6"/>
      <c r="C394" s="1"/>
      <c r="D394" s="42"/>
      <c r="E394" s="3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21.75" customHeight="1" x14ac:dyDescent="0.6">
      <c r="A395" s="1"/>
      <c r="B395" s="6"/>
      <c r="C395" s="1"/>
      <c r="D395" s="42"/>
      <c r="E395" s="3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21.75" customHeight="1" x14ac:dyDescent="0.6">
      <c r="A396" s="1"/>
      <c r="B396" s="6"/>
      <c r="C396" s="1"/>
      <c r="D396" s="42"/>
      <c r="E396" s="3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21.75" customHeight="1" x14ac:dyDescent="0.6">
      <c r="A397" s="1"/>
      <c r="B397" s="6"/>
      <c r="C397" s="1"/>
      <c r="D397" s="42"/>
      <c r="E397" s="3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21.75" customHeight="1" x14ac:dyDescent="0.6">
      <c r="A398" s="1"/>
      <c r="B398" s="6"/>
      <c r="C398" s="1"/>
      <c r="D398" s="42"/>
      <c r="E398" s="3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21.75" customHeight="1" x14ac:dyDescent="0.6">
      <c r="A399" s="1"/>
      <c r="B399" s="6"/>
      <c r="C399" s="1"/>
      <c r="D399" s="42"/>
      <c r="E399" s="3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21.75" customHeight="1" x14ac:dyDescent="0.6">
      <c r="A400" s="1"/>
      <c r="B400" s="6"/>
      <c r="C400" s="1"/>
      <c r="D400" s="42"/>
      <c r="E400" s="3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21.75" customHeight="1" x14ac:dyDescent="0.6">
      <c r="A401" s="1"/>
      <c r="B401" s="6"/>
      <c r="C401" s="1"/>
      <c r="D401" s="42"/>
      <c r="E401" s="3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21.75" customHeight="1" x14ac:dyDescent="0.6">
      <c r="A402" s="1"/>
      <c r="B402" s="6"/>
      <c r="C402" s="1"/>
      <c r="D402" s="42"/>
      <c r="E402" s="3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21.75" customHeight="1" x14ac:dyDescent="0.6">
      <c r="A403" s="1"/>
      <c r="B403" s="6"/>
      <c r="C403" s="1"/>
      <c r="D403" s="42"/>
      <c r="E403" s="3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21.75" customHeight="1" x14ac:dyDescent="0.6">
      <c r="A404" s="1"/>
      <c r="B404" s="6"/>
      <c r="C404" s="1"/>
      <c r="D404" s="42"/>
      <c r="E404" s="3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21.75" customHeight="1" x14ac:dyDescent="0.6">
      <c r="A405" s="1"/>
      <c r="B405" s="6"/>
      <c r="C405" s="1"/>
      <c r="D405" s="42"/>
      <c r="E405" s="3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21.75" customHeight="1" x14ac:dyDescent="0.6">
      <c r="A406" s="1"/>
      <c r="B406" s="6"/>
      <c r="C406" s="1"/>
      <c r="D406" s="42"/>
      <c r="E406" s="3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21.75" customHeight="1" x14ac:dyDescent="0.6">
      <c r="A407" s="1"/>
      <c r="B407" s="6"/>
      <c r="C407" s="1"/>
      <c r="D407" s="42"/>
      <c r="E407" s="3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21.75" customHeight="1" x14ac:dyDescent="0.6">
      <c r="A408" s="1"/>
      <c r="B408" s="6"/>
      <c r="C408" s="1"/>
      <c r="D408" s="42"/>
      <c r="E408" s="3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21.75" customHeight="1" x14ac:dyDescent="0.6">
      <c r="A409" s="1"/>
      <c r="B409" s="6"/>
      <c r="C409" s="1"/>
      <c r="D409" s="42"/>
      <c r="E409" s="3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21.75" customHeight="1" x14ac:dyDescent="0.6">
      <c r="A410" s="1"/>
      <c r="B410" s="6"/>
      <c r="C410" s="1"/>
      <c r="D410" s="42"/>
      <c r="E410" s="3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21.75" customHeight="1" x14ac:dyDescent="0.6">
      <c r="A411" s="1"/>
      <c r="B411" s="6"/>
      <c r="C411" s="1"/>
      <c r="D411" s="42"/>
      <c r="E411" s="3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21.75" customHeight="1" x14ac:dyDescent="0.6">
      <c r="A412" s="1"/>
      <c r="B412" s="6"/>
      <c r="C412" s="1"/>
      <c r="D412" s="42"/>
      <c r="E412" s="3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21.75" customHeight="1" x14ac:dyDescent="0.6">
      <c r="A413" s="1"/>
      <c r="B413" s="6"/>
      <c r="C413" s="1"/>
      <c r="D413" s="42"/>
      <c r="E413" s="3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21.75" customHeight="1" x14ac:dyDescent="0.6">
      <c r="A414" s="1"/>
      <c r="B414" s="6"/>
      <c r="C414" s="1"/>
      <c r="D414" s="42"/>
      <c r="E414" s="3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21.75" customHeight="1" x14ac:dyDescent="0.6">
      <c r="A415" s="1"/>
      <c r="B415" s="6"/>
      <c r="C415" s="1"/>
      <c r="D415" s="42"/>
      <c r="E415" s="3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21.75" customHeight="1" x14ac:dyDescent="0.6">
      <c r="A416" s="1"/>
      <c r="B416" s="6"/>
      <c r="C416" s="1"/>
      <c r="D416" s="42"/>
      <c r="E416" s="3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21.75" customHeight="1" x14ac:dyDescent="0.6">
      <c r="A417" s="1"/>
      <c r="B417" s="6"/>
      <c r="C417" s="1"/>
      <c r="D417" s="42"/>
      <c r="E417" s="3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21.75" customHeight="1" x14ac:dyDescent="0.6">
      <c r="A418" s="1"/>
      <c r="B418" s="6"/>
      <c r="C418" s="1"/>
      <c r="D418" s="42"/>
      <c r="E418" s="3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21.75" customHeight="1" x14ac:dyDescent="0.6">
      <c r="A419" s="1"/>
      <c r="B419" s="6"/>
      <c r="C419" s="1"/>
      <c r="D419" s="42"/>
      <c r="E419" s="3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21.75" customHeight="1" x14ac:dyDescent="0.6">
      <c r="A420" s="1"/>
      <c r="B420" s="6"/>
      <c r="C420" s="1"/>
      <c r="D420" s="42"/>
      <c r="E420" s="3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21.75" customHeight="1" x14ac:dyDescent="0.6">
      <c r="A421" s="1"/>
      <c r="B421" s="6"/>
      <c r="C421" s="1"/>
      <c r="D421" s="42"/>
      <c r="E421" s="3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21.75" customHeight="1" x14ac:dyDescent="0.6">
      <c r="A422" s="1"/>
      <c r="B422" s="6"/>
      <c r="C422" s="1"/>
      <c r="D422" s="42"/>
      <c r="E422" s="3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21.75" customHeight="1" x14ac:dyDescent="0.6">
      <c r="A423" s="1"/>
      <c r="B423" s="6"/>
      <c r="C423" s="1"/>
      <c r="D423" s="42"/>
      <c r="E423" s="3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21.75" customHeight="1" x14ac:dyDescent="0.6">
      <c r="A424" s="1"/>
      <c r="B424" s="6"/>
      <c r="C424" s="1"/>
      <c r="D424" s="42"/>
      <c r="E424" s="3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21.75" customHeight="1" x14ac:dyDescent="0.6">
      <c r="A425" s="1"/>
      <c r="B425" s="6"/>
      <c r="C425" s="1"/>
      <c r="D425" s="42"/>
      <c r="E425" s="3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21.75" customHeight="1" x14ac:dyDescent="0.6">
      <c r="A426" s="1"/>
      <c r="B426" s="6"/>
      <c r="C426" s="1"/>
      <c r="D426" s="42"/>
      <c r="E426" s="3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21.75" customHeight="1" x14ac:dyDescent="0.6">
      <c r="A427" s="1"/>
      <c r="B427" s="6"/>
      <c r="C427" s="1"/>
      <c r="D427" s="42"/>
      <c r="E427" s="3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21.75" customHeight="1" x14ac:dyDescent="0.6">
      <c r="A428" s="1"/>
      <c r="B428" s="6"/>
      <c r="C428" s="1"/>
      <c r="D428" s="42"/>
      <c r="E428" s="3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21.75" customHeight="1" x14ac:dyDescent="0.6">
      <c r="A429" s="1"/>
      <c r="B429" s="6"/>
      <c r="C429" s="1"/>
      <c r="D429" s="42"/>
      <c r="E429" s="3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21.75" customHeight="1" x14ac:dyDescent="0.6">
      <c r="A430" s="1"/>
      <c r="B430" s="6"/>
      <c r="C430" s="1"/>
      <c r="D430" s="42"/>
      <c r="E430" s="3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21.75" customHeight="1" x14ac:dyDescent="0.6">
      <c r="A431" s="1"/>
      <c r="B431" s="6"/>
      <c r="C431" s="1"/>
      <c r="D431" s="42"/>
      <c r="E431" s="3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21.75" customHeight="1" x14ac:dyDescent="0.6">
      <c r="A432" s="1"/>
      <c r="B432" s="6"/>
      <c r="C432" s="1"/>
      <c r="D432" s="42"/>
      <c r="E432" s="3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21.75" customHeight="1" x14ac:dyDescent="0.6">
      <c r="A433" s="1"/>
      <c r="B433" s="6"/>
      <c r="C433" s="1"/>
      <c r="D433" s="42"/>
      <c r="E433" s="3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21.75" customHeight="1" x14ac:dyDescent="0.6">
      <c r="A434" s="1"/>
      <c r="B434" s="6"/>
      <c r="C434" s="1"/>
      <c r="D434" s="42"/>
      <c r="E434" s="3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21.75" customHeight="1" x14ac:dyDescent="0.6">
      <c r="A435" s="1"/>
      <c r="B435" s="6"/>
      <c r="C435" s="1"/>
      <c r="D435" s="42"/>
      <c r="E435" s="3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21.75" customHeight="1" x14ac:dyDescent="0.6">
      <c r="A436" s="1"/>
      <c r="B436" s="6"/>
      <c r="C436" s="1"/>
      <c r="D436" s="42"/>
      <c r="E436" s="3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21.75" customHeight="1" x14ac:dyDescent="0.6">
      <c r="A437" s="1"/>
      <c r="B437" s="6"/>
      <c r="C437" s="1"/>
      <c r="D437" s="42"/>
      <c r="E437" s="3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21.75" customHeight="1" x14ac:dyDescent="0.6">
      <c r="A438" s="1"/>
      <c r="B438" s="6"/>
      <c r="C438" s="1"/>
      <c r="D438" s="42"/>
      <c r="E438" s="3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21.75" customHeight="1" x14ac:dyDescent="0.6">
      <c r="A439" s="1"/>
      <c r="B439" s="6"/>
      <c r="C439" s="1"/>
      <c r="D439" s="42"/>
      <c r="E439" s="3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21.75" customHeight="1" x14ac:dyDescent="0.6">
      <c r="A440" s="1"/>
      <c r="B440" s="6"/>
      <c r="C440" s="1"/>
      <c r="D440" s="42"/>
      <c r="E440" s="3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21.75" customHeight="1" x14ac:dyDescent="0.6">
      <c r="A441" s="1"/>
      <c r="B441" s="6"/>
      <c r="C441" s="1"/>
      <c r="D441" s="42"/>
      <c r="E441" s="3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21.75" customHeight="1" x14ac:dyDescent="0.6">
      <c r="A442" s="1"/>
      <c r="B442" s="6"/>
      <c r="C442" s="1"/>
      <c r="D442" s="42"/>
      <c r="E442" s="3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21.75" customHeight="1" x14ac:dyDescent="0.6">
      <c r="A443" s="1"/>
      <c r="B443" s="6"/>
      <c r="C443" s="1"/>
      <c r="D443" s="42"/>
      <c r="E443" s="3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21.75" customHeight="1" x14ac:dyDescent="0.6">
      <c r="A444" s="1"/>
      <c r="B444" s="6"/>
      <c r="C444" s="1"/>
      <c r="D444" s="42"/>
      <c r="E444" s="3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21.75" customHeight="1" x14ac:dyDescent="0.6">
      <c r="A445" s="1"/>
      <c r="B445" s="6"/>
      <c r="C445" s="1"/>
      <c r="D445" s="42"/>
      <c r="E445" s="3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21.75" customHeight="1" x14ac:dyDescent="0.6">
      <c r="A446" s="1"/>
      <c r="B446" s="6"/>
      <c r="C446" s="1"/>
      <c r="D446" s="42"/>
      <c r="E446" s="3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21.75" customHeight="1" x14ac:dyDescent="0.6">
      <c r="A447" s="1"/>
      <c r="B447" s="6"/>
      <c r="C447" s="1"/>
      <c r="D447" s="42"/>
      <c r="E447" s="3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21.75" customHeight="1" x14ac:dyDescent="0.6">
      <c r="A448" s="1"/>
      <c r="B448" s="6"/>
      <c r="C448" s="1"/>
      <c r="D448" s="42"/>
      <c r="E448" s="3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21.75" customHeight="1" x14ac:dyDescent="0.6">
      <c r="A449" s="1"/>
      <c r="B449" s="6"/>
      <c r="C449" s="1"/>
      <c r="D449" s="42"/>
      <c r="E449" s="3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21.75" customHeight="1" x14ac:dyDescent="0.6">
      <c r="A450" s="1"/>
      <c r="B450" s="6"/>
      <c r="C450" s="1"/>
      <c r="D450" s="42"/>
      <c r="E450" s="3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21.75" customHeight="1" x14ac:dyDescent="0.6">
      <c r="A451" s="1"/>
      <c r="B451" s="6"/>
      <c r="C451" s="1"/>
      <c r="D451" s="42"/>
      <c r="E451" s="3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21.75" customHeight="1" x14ac:dyDescent="0.6">
      <c r="A452" s="1"/>
      <c r="B452" s="6"/>
      <c r="C452" s="1"/>
      <c r="D452" s="42"/>
      <c r="E452" s="3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21.75" customHeight="1" x14ac:dyDescent="0.6">
      <c r="A453" s="1"/>
      <c r="B453" s="6"/>
      <c r="C453" s="1"/>
      <c r="D453" s="42"/>
      <c r="E453" s="3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21.75" customHeight="1" x14ac:dyDescent="0.6">
      <c r="A454" s="1"/>
      <c r="B454" s="6"/>
      <c r="C454" s="1"/>
      <c r="D454" s="42"/>
      <c r="E454" s="3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21.75" customHeight="1" x14ac:dyDescent="0.6">
      <c r="A455" s="1"/>
      <c r="B455" s="6"/>
      <c r="C455" s="1"/>
      <c r="D455" s="42"/>
      <c r="E455" s="3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21.75" customHeight="1" x14ac:dyDescent="0.6">
      <c r="A456" s="1"/>
      <c r="B456" s="6"/>
      <c r="C456" s="1"/>
      <c r="D456" s="42"/>
      <c r="E456" s="3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21.75" customHeight="1" x14ac:dyDescent="0.6">
      <c r="A457" s="1"/>
      <c r="B457" s="6"/>
      <c r="C457" s="1"/>
      <c r="D457" s="42"/>
      <c r="E457" s="3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21.75" customHeight="1" x14ac:dyDescent="0.6">
      <c r="A458" s="1"/>
      <c r="B458" s="6"/>
      <c r="C458" s="1"/>
      <c r="D458" s="42"/>
      <c r="E458" s="3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21.75" customHeight="1" x14ac:dyDescent="0.6">
      <c r="A459" s="1"/>
      <c r="B459" s="6"/>
      <c r="C459" s="1"/>
      <c r="D459" s="42"/>
      <c r="E459" s="3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21.75" customHeight="1" x14ac:dyDescent="0.6">
      <c r="A460" s="1"/>
      <c r="B460" s="6"/>
      <c r="C460" s="1"/>
      <c r="D460" s="42"/>
      <c r="E460" s="3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21.75" customHeight="1" x14ac:dyDescent="0.6">
      <c r="A461" s="1"/>
      <c r="B461" s="6"/>
      <c r="C461" s="1"/>
      <c r="D461" s="42"/>
      <c r="E461" s="3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21.75" customHeight="1" x14ac:dyDescent="0.6">
      <c r="A462" s="1"/>
      <c r="B462" s="6"/>
      <c r="C462" s="1"/>
      <c r="D462" s="42"/>
      <c r="E462" s="3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21.75" customHeight="1" x14ac:dyDescent="0.6">
      <c r="A463" s="1"/>
      <c r="B463" s="6"/>
      <c r="C463" s="1"/>
      <c r="D463" s="42"/>
      <c r="E463" s="3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21.75" customHeight="1" x14ac:dyDescent="0.6">
      <c r="A464" s="1"/>
      <c r="B464" s="6"/>
      <c r="C464" s="1"/>
      <c r="D464" s="42"/>
      <c r="E464" s="3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21.75" customHeight="1" x14ac:dyDescent="0.6">
      <c r="A465" s="1"/>
      <c r="B465" s="6"/>
      <c r="C465" s="1"/>
      <c r="D465" s="42"/>
      <c r="E465" s="3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21.75" customHeight="1" x14ac:dyDescent="0.6">
      <c r="A466" s="1"/>
      <c r="B466" s="6"/>
      <c r="C466" s="1"/>
      <c r="D466" s="42"/>
      <c r="E466" s="3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21.75" customHeight="1" x14ac:dyDescent="0.6">
      <c r="A467" s="1"/>
      <c r="B467" s="6"/>
      <c r="C467" s="1"/>
      <c r="D467" s="42"/>
      <c r="E467" s="3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21.75" customHeight="1" x14ac:dyDescent="0.6">
      <c r="A468" s="1"/>
      <c r="B468" s="6"/>
      <c r="C468" s="1"/>
      <c r="D468" s="42"/>
      <c r="E468" s="3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21.75" customHeight="1" x14ac:dyDescent="0.6">
      <c r="A469" s="1"/>
      <c r="B469" s="6"/>
      <c r="C469" s="1"/>
      <c r="D469" s="42"/>
      <c r="E469" s="3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21.75" customHeight="1" x14ac:dyDescent="0.6">
      <c r="A470" s="1"/>
      <c r="B470" s="6"/>
      <c r="C470" s="1"/>
      <c r="D470" s="42"/>
      <c r="E470" s="3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21.75" customHeight="1" x14ac:dyDescent="0.6">
      <c r="A471" s="1"/>
      <c r="B471" s="6"/>
      <c r="C471" s="1"/>
      <c r="D471" s="42"/>
      <c r="E471" s="3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21.75" customHeight="1" x14ac:dyDescent="0.6">
      <c r="A472" s="1"/>
      <c r="B472" s="6"/>
      <c r="C472" s="1"/>
      <c r="D472" s="42"/>
      <c r="E472" s="3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21.75" customHeight="1" x14ac:dyDescent="0.6">
      <c r="A473" s="1"/>
      <c r="B473" s="6"/>
      <c r="C473" s="1"/>
      <c r="D473" s="42"/>
      <c r="E473" s="3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21.75" customHeight="1" x14ac:dyDescent="0.6">
      <c r="A474" s="1"/>
      <c r="B474" s="6"/>
      <c r="C474" s="1"/>
      <c r="D474" s="42"/>
      <c r="E474" s="3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21.75" customHeight="1" x14ac:dyDescent="0.6">
      <c r="A475" s="1"/>
      <c r="B475" s="6"/>
      <c r="C475" s="1"/>
      <c r="D475" s="42"/>
      <c r="E475" s="3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21.75" customHeight="1" x14ac:dyDescent="0.6">
      <c r="A476" s="1"/>
      <c r="B476" s="6"/>
      <c r="C476" s="1"/>
      <c r="D476" s="42"/>
      <c r="E476" s="3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21.75" customHeight="1" x14ac:dyDescent="0.6">
      <c r="A477" s="1"/>
      <c r="B477" s="6"/>
      <c r="C477" s="1"/>
      <c r="D477" s="42"/>
      <c r="E477" s="3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21.75" customHeight="1" x14ac:dyDescent="0.6">
      <c r="A478" s="1"/>
      <c r="B478" s="6"/>
      <c r="C478" s="1"/>
      <c r="D478" s="42"/>
      <c r="E478" s="3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21.75" customHeight="1" x14ac:dyDescent="0.6">
      <c r="A479" s="1"/>
      <c r="B479" s="6"/>
      <c r="C479" s="1"/>
      <c r="D479" s="42"/>
      <c r="E479" s="3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21.75" customHeight="1" x14ac:dyDescent="0.6">
      <c r="A480" s="1"/>
      <c r="B480" s="6"/>
      <c r="C480" s="1"/>
      <c r="D480" s="42"/>
      <c r="E480" s="3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21.75" customHeight="1" x14ac:dyDescent="0.6">
      <c r="A481" s="1"/>
      <c r="B481" s="6"/>
      <c r="C481" s="1"/>
      <c r="D481" s="42"/>
      <c r="E481" s="3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21.75" customHeight="1" x14ac:dyDescent="0.6">
      <c r="A482" s="1"/>
      <c r="B482" s="6"/>
      <c r="C482" s="1"/>
      <c r="D482" s="42"/>
      <c r="E482" s="3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21.75" customHeight="1" x14ac:dyDescent="0.6">
      <c r="A483" s="1"/>
      <c r="B483" s="6"/>
      <c r="C483" s="1"/>
      <c r="D483" s="42"/>
      <c r="E483" s="3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21.75" customHeight="1" x14ac:dyDescent="0.6">
      <c r="A484" s="1"/>
      <c r="B484" s="6"/>
      <c r="C484" s="1"/>
      <c r="D484" s="42"/>
      <c r="E484" s="3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21.75" customHeight="1" x14ac:dyDescent="0.6">
      <c r="A485" s="1"/>
      <c r="B485" s="6"/>
      <c r="C485" s="1"/>
      <c r="D485" s="42"/>
      <c r="E485" s="3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21.75" customHeight="1" x14ac:dyDescent="0.6">
      <c r="A486" s="1"/>
      <c r="B486" s="6"/>
      <c r="C486" s="1"/>
      <c r="D486" s="42"/>
      <c r="E486" s="3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21.75" customHeight="1" x14ac:dyDescent="0.6">
      <c r="A487" s="1"/>
      <c r="B487" s="6"/>
      <c r="C487" s="1"/>
      <c r="D487" s="42"/>
      <c r="E487" s="3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21.75" customHeight="1" x14ac:dyDescent="0.6">
      <c r="A488" s="1"/>
      <c r="B488" s="6"/>
      <c r="C488" s="1"/>
      <c r="D488" s="42"/>
      <c r="E488" s="3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21.75" customHeight="1" x14ac:dyDescent="0.6">
      <c r="A489" s="1"/>
      <c r="B489" s="6"/>
      <c r="C489" s="1"/>
      <c r="D489" s="42"/>
      <c r="E489" s="3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21.75" customHeight="1" x14ac:dyDescent="0.6">
      <c r="A490" s="1"/>
      <c r="B490" s="6"/>
      <c r="C490" s="1"/>
      <c r="D490" s="42"/>
      <c r="E490" s="3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21.75" customHeight="1" x14ac:dyDescent="0.6">
      <c r="A491" s="1"/>
      <c r="B491" s="6"/>
      <c r="C491" s="1"/>
      <c r="D491" s="42"/>
      <c r="E491" s="3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21.75" customHeight="1" x14ac:dyDescent="0.6">
      <c r="A492" s="1"/>
      <c r="B492" s="6"/>
      <c r="C492" s="1"/>
      <c r="D492" s="42"/>
      <c r="E492" s="3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21.75" customHeight="1" x14ac:dyDescent="0.6">
      <c r="A493" s="1"/>
      <c r="B493" s="6"/>
      <c r="C493" s="1"/>
      <c r="D493" s="42"/>
      <c r="E493" s="3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21.75" customHeight="1" x14ac:dyDescent="0.6">
      <c r="A494" s="1"/>
      <c r="B494" s="6"/>
      <c r="C494" s="1"/>
      <c r="D494" s="42"/>
      <c r="E494" s="3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21.75" customHeight="1" x14ac:dyDescent="0.6">
      <c r="A495" s="1"/>
      <c r="B495" s="6"/>
      <c r="C495" s="1"/>
      <c r="D495" s="42"/>
      <c r="E495" s="3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21.75" customHeight="1" x14ac:dyDescent="0.6">
      <c r="A496" s="1"/>
      <c r="B496" s="6"/>
      <c r="C496" s="1"/>
      <c r="D496" s="42"/>
      <c r="E496" s="3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31" ht="21.75" customHeight="1" x14ac:dyDescent="0.6">
      <c r="A497" s="1"/>
      <c r="B497" s="6"/>
      <c r="C497" s="1"/>
      <c r="D497" s="42"/>
      <c r="E497" s="3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31" ht="21.75" customHeight="1" x14ac:dyDescent="0.6">
      <c r="A498" s="1"/>
      <c r="B498" s="6"/>
      <c r="C498" s="1"/>
      <c r="D498" s="42"/>
      <c r="E498" s="3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31" ht="21.75" customHeight="1" x14ac:dyDescent="0.6">
      <c r="A499" s="1"/>
      <c r="B499" s="6"/>
      <c r="C499" s="1"/>
      <c r="D499" s="42"/>
      <c r="E499" s="3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31" ht="21.75" customHeight="1" x14ac:dyDescent="0.6">
      <c r="A500" s="1"/>
      <c r="B500" s="6"/>
      <c r="C500" s="1"/>
      <c r="D500" s="42"/>
      <c r="E500" s="3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31" ht="21.75" customHeight="1" x14ac:dyDescent="0.6">
      <c r="A501" s="1"/>
      <c r="B501" s="6"/>
      <c r="C501" s="1"/>
      <c r="D501" s="42"/>
      <c r="E501" s="3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31" ht="21.75" customHeight="1" x14ac:dyDescent="0.6">
      <c r="A502" s="1"/>
      <c r="B502" s="6"/>
      <c r="C502" s="1"/>
      <c r="D502" s="42"/>
      <c r="E502" s="3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AE502">
        <f>25/3</f>
        <v>8.3333333333333339</v>
      </c>
    </row>
    <row r="503" spans="1:31" ht="21.75" customHeight="1" x14ac:dyDescent="0.6">
      <c r="A503" s="1"/>
      <c r="B503" s="6"/>
      <c r="C503" s="1"/>
      <c r="D503" s="42"/>
      <c r="E503" s="3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31" ht="21.75" customHeight="1" x14ac:dyDescent="0.6">
      <c r="A504" s="1"/>
      <c r="B504" s="6"/>
      <c r="C504" s="1"/>
      <c r="D504" s="42"/>
      <c r="E504" s="3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31" ht="21.75" customHeight="1" x14ac:dyDescent="0.6">
      <c r="A505" s="1"/>
      <c r="B505" s="6"/>
      <c r="C505" s="1"/>
      <c r="D505" s="42"/>
      <c r="E505" s="3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31" ht="21.75" customHeight="1" x14ac:dyDescent="0.6">
      <c r="A506" s="1"/>
      <c r="B506" s="6"/>
      <c r="C506" s="1"/>
      <c r="D506" s="42"/>
      <c r="E506" s="3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31" ht="21.75" customHeight="1" x14ac:dyDescent="0.6">
      <c r="A507" s="1"/>
      <c r="B507" s="6"/>
      <c r="C507" s="1"/>
      <c r="D507" s="42"/>
      <c r="E507" s="3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31" ht="21.75" customHeight="1" x14ac:dyDescent="0.6">
      <c r="A508" s="1"/>
      <c r="B508" s="6"/>
      <c r="C508" s="1"/>
      <c r="D508" s="42"/>
      <c r="E508" s="3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31" ht="21.75" customHeight="1" x14ac:dyDescent="0.6">
      <c r="A509" s="1"/>
      <c r="B509" s="6"/>
      <c r="C509" s="1"/>
      <c r="D509" s="42"/>
      <c r="E509" s="3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31" ht="21.75" customHeight="1" x14ac:dyDescent="0.6">
      <c r="A510" s="1"/>
      <c r="B510" s="6"/>
      <c r="C510" s="1"/>
      <c r="D510" s="42"/>
      <c r="E510" s="3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31" ht="21.75" customHeight="1" x14ac:dyDescent="0.6">
      <c r="A511" s="1"/>
      <c r="B511" s="6"/>
      <c r="C511" s="1"/>
      <c r="D511" s="42"/>
      <c r="E511" s="3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31" ht="21.75" customHeight="1" x14ac:dyDescent="0.6">
      <c r="A512" s="1"/>
      <c r="B512" s="6"/>
      <c r="C512" s="1"/>
      <c r="D512" s="42"/>
      <c r="E512" s="3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21.75" customHeight="1" x14ac:dyDescent="0.6">
      <c r="A513" s="1"/>
      <c r="B513" s="6"/>
      <c r="C513" s="1"/>
      <c r="D513" s="42"/>
      <c r="E513" s="3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21.75" customHeight="1" x14ac:dyDescent="0.6">
      <c r="A514" s="1"/>
      <c r="B514" s="6"/>
      <c r="C514" s="1"/>
      <c r="D514" s="42"/>
      <c r="E514" s="3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21.75" customHeight="1" x14ac:dyDescent="0.6">
      <c r="A515" s="1"/>
      <c r="B515" s="6"/>
      <c r="C515" s="1"/>
      <c r="D515" s="42"/>
      <c r="E515" s="3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21.75" customHeight="1" x14ac:dyDescent="0.6">
      <c r="A516" s="1"/>
      <c r="B516" s="6"/>
      <c r="C516" s="1"/>
      <c r="D516" s="42"/>
      <c r="E516" s="3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21.75" customHeight="1" x14ac:dyDescent="0.6">
      <c r="A517" s="1"/>
      <c r="B517" s="6"/>
      <c r="C517" s="1"/>
      <c r="D517" s="42"/>
      <c r="E517" s="3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21.75" customHeight="1" x14ac:dyDescent="0.6">
      <c r="A518" s="1"/>
      <c r="B518" s="6"/>
      <c r="C518" s="1"/>
      <c r="D518" s="42"/>
      <c r="E518" s="3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21.75" customHeight="1" x14ac:dyDescent="0.6">
      <c r="A519" s="1"/>
      <c r="B519" s="6"/>
      <c r="C519" s="1"/>
      <c r="D519" s="42"/>
      <c r="E519" s="3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21.75" customHeight="1" x14ac:dyDescent="0.6">
      <c r="A520" s="1"/>
      <c r="B520" s="6"/>
      <c r="C520" s="1"/>
      <c r="D520" s="42"/>
      <c r="E520" s="3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21.75" customHeight="1" x14ac:dyDescent="0.6">
      <c r="A521" s="1"/>
      <c r="B521" s="6"/>
      <c r="C521" s="1"/>
      <c r="D521" s="42"/>
      <c r="E521" s="3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21.75" customHeight="1" x14ac:dyDescent="0.6">
      <c r="A522" s="1"/>
      <c r="B522" s="6"/>
      <c r="C522" s="1"/>
      <c r="D522" s="42"/>
      <c r="E522" s="3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21.75" customHeight="1" x14ac:dyDescent="0.6">
      <c r="A523" s="1"/>
      <c r="B523" s="6"/>
      <c r="C523" s="1"/>
      <c r="D523" s="42"/>
      <c r="E523" s="3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21.75" customHeight="1" x14ac:dyDescent="0.6">
      <c r="A524" s="1"/>
      <c r="B524" s="6"/>
      <c r="C524" s="1"/>
      <c r="D524" s="42"/>
      <c r="E524" s="3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21.75" customHeight="1" x14ac:dyDescent="0.6">
      <c r="A525" s="1"/>
      <c r="B525" s="6"/>
      <c r="C525" s="1"/>
      <c r="D525" s="42"/>
      <c r="E525" s="3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21.75" customHeight="1" x14ac:dyDescent="0.6">
      <c r="A526" s="1"/>
      <c r="B526" s="6"/>
      <c r="C526" s="1"/>
      <c r="D526" s="42"/>
      <c r="E526" s="3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21.75" customHeight="1" x14ac:dyDescent="0.6">
      <c r="A527" s="1"/>
      <c r="B527" s="6"/>
      <c r="C527" s="1"/>
      <c r="D527" s="42"/>
      <c r="E527" s="3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21.75" customHeight="1" x14ac:dyDescent="0.6">
      <c r="A528" s="1"/>
      <c r="B528" s="6"/>
      <c r="C528" s="1"/>
      <c r="D528" s="42"/>
      <c r="E528" s="3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21.75" customHeight="1" x14ac:dyDescent="0.6">
      <c r="A529" s="1"/>
      <c r="B529" s="6"/>
      <c r="C529" s="1"/>
      <c r="D529" s="42"/>
      <c r="E529" s="3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21.75" customHeight="1" x14ac:dyDescent="0.6">
      <c r="A530" s="1"/>
      <c r="B530" s="6"/>
      <c r="C530" s="1"/>
      <c r="D530" s="42"/>
      <c r="E530" s="3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21.75" customHeight="1" x14ac:dyDescent="0.6">
      <c r="A531" s="1"/>
      <c r="B531" s="6"/>
      <c r="C531" s="1"/>
      <c r="D531" s="42"/>
      <c r="E531" s="3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21.75" customHeight="1" x14ac:dyDescent="0.6">
      <c r="A532" s="1"/>
      <c r="B532" s="6"/>
      <c r="C532" s="1"/>
      <c r="D532" s="42"/>
      <c r="E532" s="3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21.75" customHeight="1" x14ac:dyDescent="0.6">
      <c r="A533" s="1"/>
      <c r="B533" s="6"/>
      <c r="C533" s="1"/>
      <c r="D533" s="42"/>
      <c r="E533" s="3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21.75" customHeight="1" x14ac:dyDescent="0.6">
      <c r="A534" s="1"/>
      <c r="B534" s="6"/>
      <c r="C534" s="1"/>
      <c r="D534" s="42"/>
      <c r="E534" s="3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21.75" customHeight="1" x14ac:dyDescent="0.6">
      <c r="A535" s="1"/>
      <c r="B535" s="6"/>
      <c r="C535" s="1"/>
      <c r="D535" s="42"/>
      <c r="E535" s="3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21.75" customHeight="1" x14ac:dyDescent="0.6">
      <c r="A536" s="1"/>
      <c r="B536" s="6"/>
      <c r="C536" s="1"/>
      <c r="D536" s="42"/>
      <c r="E536" s="3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21.75" customHeight="1" x14ac:dyDescent="0.6">
      <c r="A537" s="1"/>
      <c r="B537" s="6"/>
      <c r="C537" s="1"/>
      <c r="D537" s="42"/>
      <c r="E537" s="3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21.75" customHeight="1" x14ac:dyDescent="0.6">
      <c r="A538" s="1"/>
      <c r="B538" s="6"/>
      <c r="C538" s="1"/>
      <c r="D538" s="42"/>
      <c r="E538" s="3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21.75" customHeight="1" x14ac:dyDescent="0.6">
      <c r="A539" s="1"/>
      <c r="B539" s="6"/>
      <c r="C539" s="1"/>
      <c r="D539" s="42"/>
      <c r="E539" s="3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21.75" customHeight="1" x14ac:dyDescent="0.6">
      <c r="A540" s="1"/>
      <c r="B540" s="6"/>
      <c r="C540" s="1"/>
      <c r="D540" s="42"/>
      <c r="E540" s="3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21.75" customHeight="1" x14ac:dyDescent="0.6">
      <c r="A541" s="1"/>
      <c r="B541" s="6"/>
      <c r="C541" s="1"/>
      <c r="D541" s="42"/>
      <c r="E541" s="3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21.75" customHeight="1" x14ac:dyDescent="0.6">
      <c r="A542" s="1"/>
      <c r="B542" s="6"/>
      <c r="C542" s="1"/>
      <c r="D542" s="42"/>
      <c r="E542" s="3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21.75" customHeight="1" x14ac:dyDescent="0.6">
      <c r="A543" s="1"/>
      <c r="B543" s="6"/>
      <c r="C543" s="1"/>
      <c r="D543" s="42"/>
      <c r="E543" s="3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21.75" customHeight="1" x14ac:dyDescent="0.6">
      <c r="A544" s="1"/>
      <c r="B544" s="6"/>
      <c r="C544" s="1"/>
      <c r="D544" s="42"/>
      <c r="E544" s="3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21.75" customHeight="1" x14ac:dyDescent="0.6">
      <c r="A545" s="1"/>
      <c r="B545" s="6"/>
      <c r="C545" s="1"/>
      <c r="D545" s="42"/>
      <c r="E545" s="3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21.75" customHeight="1" x14ac:dyDescent="0.6">
      <c r="A546" s="1"/>
      <c r="B546" s="6"/>
      <c r="C546" s="1"/>
      <c r="D546" s="42"/>
      <c r="E546" s="3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21.75" customHeight="1" x14ac:dyDescent="0.6">
      <c r="A547" s="1"/>
      <c r="B547" s="6"/>
      <c r="C547" s="1"/>
      <c r="D547" s="42"/>
      <c r="E547" s="3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21.75" customHeight="1" x14ac:dyDescent="0.6">
      <c r="A548" s="1"/>
      <c r="B548" s="6"/>
      <c r="C548" s="1"/>
      <c r="D548" s="42"/>
      <c r="E548" s="3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21.75" customHeight="1" x14ac:dyDescent="0.6">
      <c r="A549" s="1"/>
      <c r="B549" s="6"/>
      <c r="C549" s="1"/>
      <c r="D549" s="42"/>
      <c r="E549" s="3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21.75" customHeight="1" x14ac:dyDescent="0.6">
      <c r="A550" s="1"/>
      <c r="B550" s="6"/>
      <c r="C550" s="1"/>
      <c r="D550" s="42"/>
      <c r="E550" s="3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21.75" customHeight="1" x14ac:dyDescent="0.6">
      <c r="A551" s="1"/>
      <c r="B551" s="6"/>
      <c r="C551" s="1"/>
      <c r="D551" s="42"/>
      <c r="E551" s="3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21.75" customHeight="1" x14ac:dyDescent="0.6">
      <c r="A552" s="1"/>
      <c r="B552" s="6"/>
      <c r="C552" s="1"/>
      <c r="D552" s="42"/>
      <c r="E552" s="3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21.75" customHeight="1" x14ac:dyDescent="0.6">
      <c r="A553" s="1"/>
      <c r="B553" s="6"/>
      <c r="C553" s="1"/>
      <c r="D553" s="42"/>
      <c r="E553" s="3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21.75" customHeight="1" x14ac:dyDescent="0.6">
      <c r="A554" s="1"/>
      <c r="B554" s="6"/>
      <c r="C554" s="1"/>
      <c r="D554" s="42"/>
      <c r="E554" s="3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21.75" customHeight="1" x14ac:dyDescent="0.6">
      <c r="A555" s="1"/>
      <c r="B555" s="6"/>
      <c r="C555" s="1"/>
      <c r="D555" s="42"/>
      <c r="E555" s="3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21.75" customHeight="1" x14ac:dyDescent="0.6">
      <c r="A556" s="1"/>
      <c r="B556" s="6"/>
      <c r="C556" s="1"/>
      <c r="D556" s="42"/>
      <c r="E556" s="3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21.75" customHeight="1" x14ac:dyDescent="0.6">
      <c r="A557" s="1"/>
      <c r="B557" s="6"/>
      <c r="C557" s="1"/>
      <c r="D557" s="42"/>
      <c r="E557" s="3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21.75" customHeight="1" x14ac:dyDescent="0.6">
      <c r="A558" s="1"/>
      <c r="B558" s="6"/>
      <c r="C558" s="1"/>
      <c r="D558" s="42"/>
      <c r="E558" s="3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21.75" customHeight="1" x14ac:dyDescent="0.6">
      <c r="A559" s="1"/>
      <c r="B559" s="6"/>
      <c r="C559" s="1"/>
      <c r="D559" s="42"/>
      <c r="E559" s="3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21.75" customHeight="1" x14ac:dyDescent="0.6">
      <c r="A560" s="1"/>
      <c r="B560" s="6"/>
      <c r="C560" s="1"/>
      <c r="D560" s="42"/>
      <c r="E560" s="3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21.75" customHeight="1" x14ac:dyDescent="0.6">
      <c r="A561" s="1"/>
      <c r="B561" s="6"/>
      <c r="C561" s="1"/>
      <c r="D561" s="42"/>
      <c r="E561" s="3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21.75" customHeight="1" x14ac:dyDescent="0.6">
      <c r="A562" s="1"/>
      <c r="B562" s="6"/>
      <c r="C562" s="1"/>
      <c r="D562" s="42"/>
      <c r="E562" s="3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21.75" customHeight="1" x14ac:dyDescent="0.6">
      <c r="A563" s="1"/>
      <c r="B563" s="6"/>
      <c r="C563" s="1"/>
      <c r="D563" s="42"/>
      <c r="E563" s="3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21.75" customHeight="1" x14ac:dyDescent="0.6">
      <c r="A564" s="1"/>
      <c r="B564" s="6"/>
      <c r="C564" s="1"/>
      <c r="D564" s="42"/>
      <c r="E564" s="3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21.75" customHeight="1" x14ac:dyDescent="0.6">
      <c r="A565" s="1"/>
      <c r="B565" s="6"/>
      <c r="C565" s="1"/>
      <c r="D565" s="42"/>
      <c r="E565" s="3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21.75" customHeight="1" x14ac:dyDescent="0.6">
      <c r="A566" s="1"/>
      <c r="B566" s="6"/>
      <c r="C566" s="1"/>
      <c r="D566" s="42"/>
      <c r="E566" s="3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21.75" customHeight="1" x14ac:dyDescent="0.6">
      <c r="A567" s="1"/>
      <c r="B567" s="6"/>
      <c r="C567" s="1"/>
      <c r="D567" s="42"/>
      <c r="E567" s="3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21.75" customHeight="1" x14ac:dyDescent="0.6">
      <c r="A568" s="1"/>
      <c r="B568" s="6"/>
      <c r="C568" s="1"/>
      <c r="D568" s="42"/>
      <c r="E568" s="3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21.75" customHeight="1" x14ac:dyDescent="0.6">
      <c r="A569" s="1"/>
      <c r="B569" s="6"/>
      <c r="C569" s="1"/>
      <c r="D569" s="42"/>
      <c r="E569" s="3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21.75" customHeight="1" x14ac:dyDescent="0.6">
      <c r="A570" s="1"/>
      <c r="B570" s="6"/>
      <c r="C570" s="1"/>
      <c r="D570" s="42"/>
      <c r="E570" s="3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21.75" customHeight="1" x14ac:dyDescent="0.6">
      <c r="A571" s="1"/>
      <c r="B571" s="6"/>
      <c r="C571" s="1"/>
      <c r="D571" s="42"/>
      <c r="E571" s="3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21.75" customHeight="1" x14ac:dyDescent="0.6">
      <c r="A572" s="1"/>
      <c r="B572" s="6"/>
      <c r="C572" s="1"/>
      <c r="D572" s="42"/>
      <c r="E572" s="3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21.75" customHeight="1" x14ac:dyDescent="0.6">
      <c r="A573" s="1"/>
      <c r="B573" s="6"/>
      <c r="C573" s="1"/>
      <c r="D573" s="42"/>
      <c r="E573" s="3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21.75" customHeight="1" x14ac:dyDescent="0.6">
      <c r="A574" s="1"/>
      <c r="B574" s="6"/>
      <c r="C574" s="1"/>
      <c r="D574" s="42"/>
      <c r="E574" s="3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21.75" customHeight="1" x14ac:dyDescent="0.6">
      <c r="A575" s="1"/>
      <c r="B575" s="6"/>
      <c r="C575" s="1"/>
      <c r="D575" s="42"/>
      <c r="E575" s="3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21.75" customHeight="1" x14ac:dyDescent="0.6">
      <c r="A576" s="1"/>
      <c r="B576" s="6"/>
      <c r="C576" s="1"/>
      <c r="D576" s="42"/>
      <c r="E576" s="3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21.75" customHeight="1" x14ac:dyDescent="0.6">
      <c r="A577" s="1"/>
      <c r="B577" s="6"/>
      <c r="C577" s="1"/>
      <c r="D577" s="42"/>
      <c r="E577" s="3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21.75" customHeight="1" x14ac:dyDescent="0.6">
      <c r="A578" s="1"/>
      <c r="B578" s="6"/>
      <c r="C578" s="1"/>
      <c r="D578" s="42"/>
      <c r="E578" s="3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21.75" customHeight="1" x14ac:dyDescent="0.6">
      <c r="A579" s="1"/>
      <c r="B579" s="6"/>
      <c r="C579" s="1"/>
      <c r="D579" s="42"/>
      <c r="E579" s="3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21.75" customHeight="1" x14ac:dyDescent="0.6">
      <c r="A580" s="1"/>
      <c r="B580" s="6"/>
      <c r="C580" s="1"/>
      <c r="D580" s="42"/>
      <c r="E580" s="3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21.75" customHeight="1" x14ac:dyDescent="0.6">
      <c r="A581" s="1"/>
      <c r="B581" s="6"/>
      <c r="C581" s="1"/>
      <c r="D581" s="42"/>
      <c r="E581" s="3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21.75" customHeight="1" x14ac:dyDescent="0.6">
      <c r="A582" s="1"/>
      <c r="B582" s="6"/>
      <c r="C582" s="1"/>
      <c r="D582" s="42"/>
      <c r="E582" s="3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21.75" customHeight="1" x14ac:dyDescent="0.6">
      <c r="A583" s="1"/>
      <c r="B583" s="6"/>
      <c r="C583" s="1"/>
      <c r="D583" s="42"/>
      <c r="E583" s="3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21.75" customHeight="1" x14ac:dyDescent="0.6">
      <c r="A584" s="1"/>
      <c r="B584" s="6"/>
      <c r="C584" s="1"/>
      <c r="D584" s="42"/>
      <c r="E584" s="3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21.75" customHeight="1" x14ac:dyDescent="0.6">
      <c r="A585" s="1"/>
      <c r="B585" s="6"/>
      <c r="C585" s="1"/>
      <c r="D585" s="42"/>
      <c r="E585" s="3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21.75" customHeight="1" x14ac:dyDescent="0.6">
      <c r="A586" s="1"/>
      <c r="B586" s="6"/>
      <c r="C586" s="1"/>
      <c r="D586" s="42"/>
      <c r="E586" s="3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21.75" customHeight="1" x14ac:dyDescent="0.6">
      <c r="A587" s="1"/>
      <c r="B587" s="6"/>
      <c r="C587" s="1"/>
      <c r="D587" s="42"/>
      <c r="E587" s="3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21.75" customHeight="1" x14ac:dyDescent="0.6">
      <c r="A588" s="1"/>
      <c r="B588" s="6"/>
      <c r="C588" s="1"/>
      <c r="D588" s="42"/>
      <c r="E588" s="3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21.75" customHeight="1" x14ac:dyDescent="0.6">
      <c r="A589" s="1"/>
      <c r="B589" s="6"/>
      <c r="C589" s="1"/>
      <c r="D589" s="42"/>
      <c r="E589" s="3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21.75" customHeight="1" x14ac:dyDescent="0.6">
      <c r="A590" s="1"/>
      <c r="B590" s="6"/>
      <c r="C590" s="1"/>
      <c r="D590" s="42"/>
      <c r="E590" s="3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21.75" customHeight="1" x14ac:dyDescent="0.6">
      <c r="A591" s="1"/>
      <c r="B591" s="6"/>
      <c r="C591" s="1"/>
      <c r="D591" s="42"/>
      <c r="E591" s="3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21.75" customHeight="1" x14ac:dyDescent="0.6">
      <c r="A592" s="1"/>
      <c r="B592" s="6"/>
      <c r="C592" s="1"/>
      <c r="D592" s="42"/>
      <c r="E592" s="3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21.75" customHeight="1" x14ac:dyDescent="0.6">
      <c r="A593" s="1"/>
      <c r="B593" s="6"/>
      <c r="C593" s="1"/>
      <c r="D593" s="42"/>
      <c r="E593" s="3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21.75" customHeight="1" x14ac:dyDescent="0.6">
      <c r="A594" s="1"/>
      <c r="B594" s="6"/>
      <c r="C594" s="1"/>
      <c r="D594" s="42"/>
      <c r="E594" s="3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21.75" customHeight="1" x14ac:dyDescent="0.6">
      <c r="A595" s="1"/>
      <c r="B595" s="6"/>
      <c r="C595" s="1"/>
      <c r="D595" s="42"/>
      <c r="E595" s="3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21.75" customHeight="1" x14ac:dyDescent="0.6">
      <c r="A596" s="1"/>
      <c r="B596" s="6"/>
      <c r="C596" s="1"/>
      <c r="D596" s="42"/>
      <c r="E596" s="3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21.75" customHeight="1" x14ac:dyDescent="0.6">
      <c r="A597" s="1"/>
      <c r="B597" s="6"/>
      <c r="C597" s="1"/>
      <c r="D597" s="42"/>
      <c r="E597" s="3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21.75" customHeight="1" x14ac:dyDescent="0.6">
      <c r="A598" s="1"/>
      <c r="B598" s="6"/>
      <c r="C598" s="1"/>
      <c r="D598" s="42"/>
      <c r="E598" s="3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21.75" customHeight="1" x14ac:dyDescent="0.6">
      <c r="A599" s="1"/>
      <c r="B599" s="6"/>
      <c r="C599" s="1"/>
      <c r="D599" s="42"/>
      <c r="E599" s="3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21.75" customHeight="1" x14ac:dyDescent="0.6">
      <c r="A600" s="1"/>
      <c r="B600" s="6"/>
      <c r="C600" s="1"/>
      <c r="D600" s="42"/>
      <c r="E600" s="3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21.75" customHeight="1" x14ac:dyDescent="0.6">
      <c r="A601" s="1"/>
      <c r="B601" s="6"/>
      <c r="C601" s="1"/>
      <c r="D601" s="42"/>
      <c r="E601" s="3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21.75" customHeight="1" x14ac:dyDescent="0.6">
      <c r="A602" s="1"/>
      <c r="B602" s="6"/>
      <c r="C602" s="1"/>
      <c r="D602" s="42"/>
      <c r="E602" s="3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21.75" customHeight="1" x14ac:dyDescent="0.6">
      <c r="A603" s="1"/>
      <c r="B603" s="6"/>
      <c r="C603" s="1"/>
      <c r="D603" s="42"/>
      <c r="E603" s="3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21.75" customHeight="1" x14ac:dyDescent="0.6">
      <c r="A604" s="1"/>
      <c r="B604" s="6"/>
      <c r="C604" s="1"/>
      <c r="D604" s="42"/>
      <c r="E604" s="3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21.75" customHeight="1" x14ac:dyDescent="0.6">
      <c r="A605" s="1"/>
      <c r="B605" s="6"/>
      <c r="C605" s="1"/>
      <c r="D605" s="42"/>
      <c r="E605" s="3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21.75" customHeight="1" x14ac:dyDescent="0.6">
      <c r="A606" s="1"/>
      <c r="B606" s="6"/>
      <c r="C606" s="1"/>
      <c r="D606" s="42"/>
      <c r="E606" s="3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21.75" customHeight="1" x14ac:dyDescent="0.6">
      <c r="A607" s="1"/>
      <c r="B607" s="6"/>
      <c r="C607" s="1"/>
      <c r="D607" s="42"/>
      <c r="E607" s="3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21.75" customHeight="1" x14ac:dyDescent="0.6">
      <c r="A608" s="1"/>
      <c r="B608" s="6"/>
      <c r="C608" s="1"/>
      <c r="D608" s="42"/>
      <c r="E608" s="3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21.75" customHeight="1" x14ac:dyDescent="0.6">
      <c r="A609" s="1"/>
      <c r="B609" s="6"/>
      <c r="C609" s="1"/>
      <c r="D609" s="42"/>
      <c r="E609" s="3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21.75" customHeight="1" x14ac:dyDescent="0.6">
      <c r="A610" s="1"/>
      <c r="B610" s="6"/>
      <c r="C610" s="1"/>
      <c r="D610" s="42"/>
      <c r="E610" s="3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21.75" customHeight="1" x14ac:dyDescent="0.6">
      <c r="A611" s="1"/>
      <c r="B611" s="6"/>
      <c r="C611" s="1"/>
      <c r="D611" s="42"/>
      <c r="E611" s="3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21.75" customHeight="1" x14ac:dyDescent="0.6">
      <c r="A612" s="1"/>
      <c r="B612" s="6"/>
      <c r="C612" s="1"/>
      <c r="D612" s="42"/>
      <c r="E612" s="3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21.75" customHeight="1" x14ac:dyDescent="0.6">
      <c r="A613" s="1"/>
      <c r="B613" s="6"/>
      <c r="C613" s="1"/>
      <c r="D613" s="42"/>
      <c r="E613" s="3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21.75" customHeight="1" x14ac:dyDescent="0.6">
      <c r="A614" s="1"/>
      <c r="B614" s="6"/>
      <c r="C614" s="1"/>
      <c r="D614" s="42"/>
      <c r="E614" s="3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21.75" customHeight="1" x14ac:dyDescent="0.6">
      <c r="A615" s="1"/>
      <c r="B615" s="6"/>
      <c r="C615" s="1"/>
      <c r="D615" s="42"/>
      <c r="E615" s="3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21.75" customHeight="1" x14ac:dyDescent="0.6">
      <c r="A616" s="1"/>
      <c r="B616" s="6"/>
      <c r="C616" s="1"/>
      <c r="D616" s="42"/>
      <c r="E616" s="3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21.75" customHeight="1" x14ac:dyDescent="0.6">
      <c r="A617" s="1"/>
      <c r="B617" s="6"/>
      <c r="C617" s="1"/>
      <c r="D617" s="42"/>
      <c r="E617" s="3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21.75" customHeight="1" x14ac:dyDescent="0.6">
      <c r="A618" s="1"/>
      <c r="B618" s="6"/>
      <c r="C618" s="1"/>
      <c r="D618" s="42"/>
      <c r="E618" s="3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21.75" customHeight="1" x14ac:dyDescent="0.6">
      <c r="A619" s="1"/>
      <c r="B619" s="6"/>
      <c r="C619" s="1"/>
      <c r="D619" s="42"/>
      <c r="E619" s="3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21.75" customHeight="1" x14ac:dyDescent="0.6">
      <c r="A620" s="1"/>
      <c r="B620" s="6"/>
      <c r="C620" s="1"/>
      <c r="D620" s="42"/>
      <c r="E620" s="3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21.75" customHeight="1" x14ac:dyDescent="0.6">
      <c r="A621" s="1"/>
      <c r="B621" s="6"/>
      <c r="C621" s="1"/>
      <c r="D621" s="42"/>
      <c r="E621" s="3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21.75" customHeight="1" x14ac:dyDescent="0.6">
      <c r="A622" s="1"/>
      <c r="B622" s="6"/>
      <c r="C622" s="1"/>
      <c r="D622" s="42"/>
      <c r="E622" s="3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21.75" customHeight="1" x14ac:dyDescent="0.6">
      <c r="A623" s="1"/>
      <c r="B623" s="6"/>
      <c r="C623" s="1"/>
      <c r="D623" s="42"/>
      <c r="E623" s="3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21.75" customHeight="1" x14ac:dyDescent="0.6">
      <c r="A624" s="1"/>
      <c r="B624" s="6"/>
      <c r="C624" s="1"/>
      <c r="D624" s="42"/>
      <c r="E624" s="3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21.75" customHeight="1" x14ac:dyDescent="0.6">
      <c r="A625" s="1"/>
      <c r="B625" s="6"/>
      <c r="C625" s="1"/>
      <c r="D625" s="42"/>
      <c r="E625" s="3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21.75" customHeight="1" x14ac:dyDescent="0.6">
      <c r="A626" s="1"/>
      <c r="B626" s="6"/>
      <c r="C626" s="1"/>
      <c r="D626" s="42"/>
      <c r="E626" s="3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21.75" customHeight="1" x14ac:dyDescent="0.6">
      <c r="A627" s="1"/>
      <c r="B627" s="6"/>
      <c r="C627" s="1"/>
      <c r="D627" s="42"/>
      <c r="E627" s="3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21.75" customHeight="1" x14ac:dyDescent="0.6">
      <c r="A628" s="1"/>
      <c r="B628" s="6"/>
      <c r="C628" s="1"/>
      <c r="D628" s="42"/>
      <c r="E628" s="3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21.75" customHeight="1" x14ac:dyDescent="0.6">
      <c r="A629" s="1"/>
      <c r="B629" s="6"/>
      <c r="C629" s="1"/>
      <c r="D629" s="42"/>
      <c r="E629" s="3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21.75" customHeight="1" x14ac:dyDescent="0.6">
      <c r="A630" s="1"/>
      <c r="B630" s="6"/>
      <c r="C630" s="1"/>
      <c r="D630" s="42"/>
      <c r="E630" s="3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21.75" customHeight="1" x14ac:dyDescent="0.6">
      <c r="A631" s="1"/>
      <c r="B631" s="6"/>
      <c r="C631" s="1"/>
      <c r="D631" s="42"/>
      <c r="E631" s="3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21.75" customHeight="1" x14ac:dyDescent="0.6">
      <c r="A632" s="1"/>
      <c r="B632" s="6"/>
      <c r="C632" s="1"/>
      <c r="D632" s="42"/>
      <c r="E632" s="3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21.75" customHeight="1" x14ac:dyDescent="0.6">
      <c r="A633" s="1"/>
      <c r="B633" s="6"/>
      <c r="C633" s="1"/>
      <c r="D633" s="42"/>
      <c r="E633" s="3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21.75" customHeight="1" x14ac:dyDescent="0.6">
      <c r="A634" s="1"/>
      <c r="B634" s="6"/>
      <c r="C634" s="1"/>
      <c r="D634" s="42"/>
      <c r="E634" s="3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21.75" customHeight="1" x14ac:dyDescent="0.6">
      <c r="A635" s="1"/>
      <c r="B635" s="6"/>
      <c r="C635" s="1"/>
      <c r="D635" s="42"/>
      <c r="E635" s="3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21.75" customHeight="1" x14ac:dyDescent="0.6">
      <c r="A636" s="1"/>
      <c r="B636" s="6"/>
      <c r="C636" s="1"/>
      <c r="D636" s="42"/>
      <c r="E636" s="3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21.75" customHeight="1" x14ac:dyDescent="0.6">
      <c r="A637" s="1"/>
      <c r="B637" s="6"/>
      <c r="C637" s="1"/>
      <c r="D637" s="42"/>
      <c r="E637" s="3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21.75" customHeight="1" x14ac:dyDescent="0.6">
      <c r="A638" s="1"/>
      <c r="B638" s="6"/>
      <c r="C638" s="1"/>
      <c r="D638" s="42"/>
      <c r="E638" s="3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21.75" customHeight="1" x14ac:dyDescent="0.6">
      <c r="A639" s="1"/>
      <c r="B639" s="6"/>
      <c r="C639" s="1"/>
      <c r="D639" s="42"/>
      <c r="E639" s="3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21.75" customHeight="1" x14ac:dyDescent="0.6">
      <c r="A640" s="1"/>
      <c r="B640" s="6"/>
      <c r="C640" s="1"/>
      <c r="D640" s="42"/>
      <c r="E640" s="3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21.75" customHeight="1" x14ac:dyDescent="0.6">
      <c r="A641" s="1"/>
      <c r="B641" s="6"/>
      <c r="C641" s="1"/>
      <c r="D641" s="42"/>
      <c r="E641" s="3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21.75" customHeight="1" x14ac:dyDescent="0.6">
      <c r="A642" s="1"/>
      <c r="B642" s="6"/>
      <c r="C642" s="1"/>
      <c r="D642" s="42"/>
      <c r="E642" s="3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21.75" customHeight="1" x14ac:dyDescent="0.6">
      <c r="A643" s="1"/>
      <c r="B643" s="6"/>
      <c r="C643" s="1"/>
      <c r="D643" s="42"/>
      <c r="E643" s="3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21.75" customHeight="1" x14ac:dyDescent="0.6">
      <c r="A644" s="1"/>
      <c r="B644" s="6"/>
      <c r="C644" s="1"/>
      <c r="D644" s="42"/>
      <c r="E644" s="3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21.75" customHeight="1" x14ac:dyDescent="0.6">
      <c r="A645" s="1"/>
      <c r="B645" s="6"/>
      <c r="C645" s="1"/>
      <c r="D645" s="42"/>
      <c r="E645" s="3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21.75" customHeight="1" x14ac:dyDescent="0.6">
      <c r="A646" s="1"/>
      <c r="B646" s="6"/>
      <c r="C646" s="1"/>
      <c r="D646" s="42"/>
      <c r="E646" s="3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21.75" customHeight="1" x14ac:dyDescent="0.6">
      <c r="A647" s="1"/>
      <c r="B647" s="6"/>
      <c r="C647" s="1"/>
      <c r="D647" s="42"/>
      <c r="E647" s="3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21.75" customHeight="1" x14ac:dyDescent="0.6">
      <c r="A648" s="1"/>
      <c r="B648" s="6"/>
      <c r="C648" s="1"/>
      <c r="D648" s="42"/>
      <c r="E648" s="3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21.75" customHeight="1" x14ac:dyDescent="0.6">
      <c r="A649" s="1"/>
      <c r="B649" s="6"/>
      <c r="C649" s="1"/>
      <c r="D649" s="42"/>
      <c r="E649" s="3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21.75" customHeight="1" x14ac:dyDescent="0.6">
      <c r="A650" s="1"/>
      <c r="B650" s="6"/>
      <c r="C650" s="1"/>
      <c r="D650" s="42"/>
      <c r="E650" s="3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21.75" customHeight="1" x14ac:dyDescent="0.6">
      <c r="A651" s="1"/>
      <c r="B651" s="6"/>
      <c r="C651" s="1"/>
      <c r="D651" s="42"/>
      <c r="E651" s="3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21.75" customHeight="1" x14ac:dyDescent="0.6">
      <c r="A652" s="1"/>
      <c r="B652" s="6"/>
      <c r="C652" s="1"/>
      <c r="D652" s="42"/>
      <c r="E652" s="3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21.75" customHeight="1" x14ac:dyDescent="0.6">
      <c r="A653" s="1"/>
      <c r="B653" s="6"/>
      <c r="C653" s="1"/>
      <c r="D653" s="42"/>
      <c r="E653" s="3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21.75" customHeight="1" x14ac:dyDescent="0.6">
      <c r="A654" s="1"/>
      <c r="B654" s="6"/>
      <c r="C654" s="1"/>
      <c r="D654" s="42"/>
      <c r="E654" s="3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21.75" customHeight="1" x14ac:dyDescent="0.6">
      <c r="A655" s="1"/>
      <c r="B655" s="6"/>
      <c r="C655" s="1"/>
      <c r="D655" s="42"/>
      <c r="E655" s="3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21.75" customHeight="1" x14ac:dyDescent="0.6">
      <c r="A656" s="1"/>
      <c r="B656" s="6"/>
      <c r="C656" s="1"/>
      <c r="D656" s="42"/>
      <c r="E656" s="3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21.75" customHeight="1" x14ac:dyDescent="0.6">
      <c r="A657" s="1"/>
      <c r="B657" s="6"/>
      <c r="C657" s="1"/>
      <c r="D657" s="42"/>
      <c r="E657" s="3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21.75" customHeight="1" x14ac:dyDescent="0.6">
      <c r="A658" s="1"/>
      <c r="B658" s="6"/>
      <c r="C658" s="1"/>
      <c r="D658" s="42"/>
      <c r="E658" s="3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21.75" customHeight="1" x14ac:dyDescent="0.6">
      <c r="A659" s="1"/>
      <c r="B659" s="6"/>
      <c r="C659" s="1"/>
      <c r="D659" s="42"/>
      <c r="E659" s="3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21.75" customHeight="1" x14ac:dyDescent="0.6">
      <c r="A660" s="1"/>
      <c r="B660" s="6"/>
      <c r="C660" s="1"/>
      <c r="D660" s="42"/>
      <c r="E660" s="3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21.75" customHeight="1" x14ac:dyDescent="0.6">
      <c r="A661" s="1"/>
      <c r="B661" s="6"/>
      <c r="C661" s="1"/>
      <c r="D661" s="42"/>
      <c r="E661" s="3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21.75" customHeight="1" x14ac:dyDescent="0.6">
      <c r="A662" s="1"/>
      <c r="B662" s="6"/>
      <c r="C662" s="1"/>
      <c r="D662" s="42"/>
      <c r="E662" s="3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21.75" customHeight="1" x14ac:dyDescent="0.6">
      <c r="A663" s="1"/>
      <c r="B663" s="6"/>
      <c r="C663" s="1"/>
      <c r="D663" s="42"/>
      <c r="E663" s="3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21.75" customHeight="1" x14ac:dyDescent="0.6">
      <c r="A664" s="1"/>
      <c r="B664" s="6"/>
      <c r="C664" s="1"/>
      <c r="D664" s="42"/>
      <c r="E664" s="3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21.75" customHeight="1" x14ac:dyDescent="0.6">
      <c r="A665" s="1"/>
      <c r="B665" s="6"/>
      <c r="C665" s="1"/>
      <c r="D665" s="42"/>
      <c r="E665" s="3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21.75" customHeight="1" x14ac:dyDescent="0.6">
      <c r="A666" s="1"/>
      <c r="B666" s="6"/>
      <c r="C666" s="1"/>
      <c r="D666" s="42"/>
      <c r="E666" s="3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21.75" customHeight="1" x14ac:dyDescent="0.6">
      <c r="A667" s="1"/>
      <c r="B667" s="6"/>
      <c r="C667" s="1"/>
      <c r="D667" s="42"/>
      <c r="E667" s="3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21.75" customHeight="1" x14ac:dyDescent="0.6">
      <c r="A668" s="1"/>
      <c r="B668" s="6"/>
      <c r="C668" s="1"/>
      <c r="D668" s="42"/>
      <c r="E668" s="3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21.75" customHeight="1" x14ac:dyDescent="0.6">
      <c r="A669" s="1"/>
      <c r="B669" s="6"/>
      <c r="C669" s="1"/>
      <c r="D669" s="42"/>
      <c r="E669" s="3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21.75" customHeight="1" x14ac:dyDescent="0.6">
      <c r="A670" s="1"/>
      <c r="B670" s="6"/>
      <c r="C670" s="1"/>
      <c r="D670" s="42"/>
      <c r="E670" s="3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21.75" customHeight="1" x14ac:dyDescent="0.6">
      <c r="A671" s="1"/>
      <c r="B671" s="6"/>
      <c r="C671" s="1"/>
      <c r="D671" s="42"/>
      <c r="E671" s="3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21.75" customHeight="1" x14ac:dyDescent="0.6">
      <c r="A672" s="1"/>
      <c r="B672" s="6"/>
      <c r="C672" s="1"/>
      <c r="D672" s="42"/>
      <c r="E672" s="3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21.75" customHeight="1" x14ac:dyDescent="0.6">
      <c r="A673" s="1"/>
      <c r="B673" s="6"/>
      <c r="C673" s="1"/>
      <c r="D673" s="42"/>
      <c r="E673" s="3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21.75" customHeight="1" x14ac:dyDescent="0.6">
      <c r="A674" s="1"/>
      <c r="B674" s="6"/>
      <c r="C674" s="1"/>
      <c r="D674" s="42"/>
      <c r="E674" s="3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21.75" customHeight="1" x14ac:dyDescent="0.6">
      <c r="A675" s="1"/>
      <c r="B675" s="6"/>
      <c r="C675" s="1"/>
      <c r="D675" s="42"/>
      <c r="E675" s="3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21.75" customHeight="1" x14ac:dyDescent="0.6">
      <c r="A676" s="1"/>
      <c r="B676" s="6"/>
      <c r="C676" s="1"/>
      <c r="D676" s="42"/>
      <c r="E676" s="3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21.75" customHeight="1" x14ac:dyDescent="0.6">
      <c r="A677" s="1"/>
      <c r="B677" s="6"/>
      <c r="C677" s="1"/>
      <c r="D677" s="42"/>
      <c r="E677" s="3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21.75" customHeight="1" x14ac:dyDescent="0.6">
      <c r="A678" s="1"/>
      <c r="B678" s="6"/>
      <c r="C678" s="1"/>
      <c r="D678" s="42"/>
      <c r="E678" s="3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21.75" customHeight="1" x14ac:dyDescent="0.6">
      <c r="A679" s="1"/>
      <c r="B679" s="6"/>
      <c r="C679" s="1"/>
      <c r="D679" s="42"/>
      <c r="E679" s="3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21.75" customHeight="1" x14ac:dyDescent="0.6">
      <c r="A680" s="1"/>
      <c r="B680" s="6"/>
      <c r="C680" s="1"/>
      <c r="D680" s="42"/>
      <c r="E680" s="3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21.75" customHeight="1" x14ac:dyDescent="0.6">
      <c r="A681" s="1"/>
      <c r="B681" s="6"/>
      <c r="C681" s="1"/>
      <c r="D681" s="42"/>
      <c r="E681" s="3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21.75" customHeight="1" x14ac:dyDescent="0.6">
      <c r="A682" s="1"/>
      <c r="B682" s="6"/>
      <c r="C682" s="1"/>
      <c r="D682" s="42"/>
      <c r="E682" s="3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21.75" customHeight="1" x14ac:dyDescent="0.6">
      <c r="A683" s="1"/>
      <c r="B683" s="6"/>
      <c r="C683" s="1"/>
      <c r="D683" s="42"/>
      <c r="E683" s="3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21.75" customHeight="1" x14ac:dyDescent="0.6">
      <c r="A684" s="1"/>
      <c r="B684" s="6"/>
      <c r="C684" s="1"/>
      <c r="D684" s="42"/>
      <c r="E684" s="3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21.75" customHeight="1" x14ac:dyDescent="0.6">
      <c r="A685" s="1"/>
      <c r="B685" s="6"/>
      <c r="C685" s="1"/>
      <c r="D685" s="42"/>
      <c r="E685" s="3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21.75" customHeight="1" x14ac:dyDescent="0.6">
      <c r="A686" s="1"/>
      <c r="B686" s="6"/>
      <c r="C686" s="1"/>
      <c r="D686" s="42"/>
      <c r="E686" s="3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21.75" customHeight="1" x14ac:dyDescent="0.6">
      <c r="A687" s="1"/>
      <c r="B687" s="6"/>
      <c r="C687" s="1"/>
      <c r="D687" s="42"/>
      <c r="E687" s="3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21.75" customHeight="1" x14ac:dyDescent="0.6">
      <c r="A688" s="1"/>
      <c r="B688" s="6"/>
      <c r="C688" s="1"/>
      <c r="D688" s="42"/>
      <c r="E688" s="3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21.75" customHeight="1" x14ac:dyDescent="0.6">
      <c r="A689" s="1"/>
      <c r="B689" s="6"/>
      <c r="C689" s="1"/>
      <c r="D689" s="42"/>
      <c r="E689" s="3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21.75" customHeight="1" x14ac:dyDescent="0.6">
      <c r="A690" s="1"/>
      <c r="B690" s="6"/>
      <c r="C690" s="1"/>
      <c r="D690" s="42"/>
      <c r="E690" s="3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21.75" customHeight="1" x14ac:dyDescent="0.6">
      <c r="A691" s="1"/>
      <c r="B691" s="6"/>
      <c r="C691" s="1"/>
      <c r="D691" s="42"/>
      <c r="E691" s="3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21.75" customHeight="1" x14ac:dyDescent="0.6">
      <c r="A692" s="1"/>
      <c r="B692" s="6"/>
      <c r="C692" s="1"/>
      <c r="D692" s="42"/>
      <c r="E692" s="3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21.75" customHeight="1" x14ac:dyDescent="0.6">
      <c r="A693" s="1"/>
      <c r="B693" s="6"/>
      <c r="C693" s="1"/>
      <c r="D693" s="42"/>
      <c r="E693" s="3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21.75" customHeight="1" x14ac:dyDescent="0.6">
      <c r="A694" s="1"/>
      <c r="B694" s="6"/>
      <c r="C694" s="1"/>
      <c r="D694" s="42"/>
      <c r="E694" s="3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21.75" customHeight="1" x14ac:dyDescent="0.6">
      <c r="A695" s="1"/>
      <c r="B695" s="6"/>
      <c r="C695" s="1"/>
      <c r="D695" s="42"/>
      <c r="E695" s="3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21.75" customHeight="1" x14ac:dyDescent="0.6">
      <c r="A696" s="1"/>
      <c r="B696" s="6"/>
      <c r="C696" s="1"/>
      <c r="D696" s="42"/>
      <c r="E696" s="3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21.75" customHeight="1" x14ac:dyDescent="0.6">
      <c r="A697" s="1"/>
      <c r="B697" s="6"/>
      <c r="C697" s="1"/>
      <c r="D697" s="42"/>
      <c r="E697" s="3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21.75" customHeight="1" x14ac:dyDescent="0.6">
      <c r="A698" s="1"/>
      <c r="B698" s="6"/>
      <c r="C698" s="1"/>
      <c r="D698" s="42"/>
      <c r="E698" s="3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21.75" customHeight="1" x14ac:dyDescent="0.6">
      <c r="A699" s="1"/>
      <c r="B699" s="6"/>
      <c r="C699" s="1"/>
      <c r="D699" s="42"/>
      <c r="E699" s="3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21.75" customHeight="1" x14ac:dyDescent="0.6">
      <c r="A700" s="1"/>
      <c r="B700" s="6"/>
      <c r="C700" s="1"/>
      <c r="D700" s="42"/>
      <c r="E700" s="3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21.75" customHeight="1" x14ac:dyDescent="0.6">
      <c r="A701" s="1"/>
      <c r="B701" s="6"/>
      <c r="C701" s="1"/>
      <c r="D701" s="42"/>
      <c r="E701" s="3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21.75" customHeight="1" x14ac:dyDescent="0.6">
      <c r="A702" s="1"/>
      <c r="B702" s="6"/>
      <c r="C702" s="1"/>
      <c r="D702" s="42"/>
      <c r="E702" s="3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21.75" customHeight="1" x14ac:dyDescent="0.6">
      <c r="A703" s="1"/>
      <c r="B703" s="6"/>
      <c r="C703" s="1"/>
      <c r="D703" s="42"/>
      <c r="E703" s="3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21.75" customHeight="1" x14ac:dyDescent="0.6">
      <c r="A704" s="1"/>
      <c r="B704" s="6"/>
      <c r="C704" s="1"/>
      <c r="D704" s="42"/>
      <c r="E704" s="3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21.75" customHeight="1" x14ac:dyDescent="0.6">
      <c r="A705" s="1"/>
      <c r="B705" s="6"/>
      <c r="C705" s="1"/>
      <c r="D705" s="42"/>
      <c r="E705" s="3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21.75" customHeight="1" x14ac:dyDescent="0.6">
      <c r="A706" s="1"/>
      <c r="B706" s="6"/>
      <c r="C706" s="1"/>
      <c r="D706" s="42"/>
      <c r="E706" s="3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21.75" customHeight="1" x14ac:dyDescent="0.6">
      <c r="A707" s="1"/>
      <c r="B707" s="6"/>
      <c r="C707" s="1"/>
      <c r="D707" s="42"/>
      <c r="E707" s="3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21.75" customHeight="1" x14ac:dyDescent="0.6">
      <c r="A708" s="1"/>
      <c r="B708" s="6"/>
      <c r="C708" s="1"/>
      <c r="D708" s="42"/>
      <c r="E708" s="3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21.75" customHeight="1" x14ac:dyDescent="0.6">
      <c r="A709" s="1"/>
      <c r="B709" s="6"/>
      <c r="C709" s="1"/>
      <c r="D709" s="42"/>
      <c r="E709" s="3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21.75" customHeight="1" x14ac:dyDescent="0.6">
      <c r="A710" s="1"/>
      <c r="B710" s="6"/>
      <c r="C710" s="1"/>
      <c r="D710" s="42"/>
      <c r="E710" s="3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21.75" customHeight="1" x14ac:dyDescent="0.6">
      <c r="A711" s="1"/>
      <c r="B711" s="6"/>
      <c r="C711" s="1"/>
      <c r="D711" s="42"/>
      <c r="E711" s="3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21.75" customHeight="1" x14ac:dyDescent="0.6">
      <c r="A712" s="1"/>
      <c r="B712" s="6"/>
      <c r="C712" s="1"/>
      <c r="D712" s="42"/>
      <c r="E712" s="3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21.75" customHeight="1" x14ac:dyDescent="0.6">
      <c r="A713" s="1"/>
      <c r="B713" s="6"/>
      <c r="C713" s="1"/>
      <c r="D713" s="42"/>
      <c r="E713" s="3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21.75" customHeight="1" x14ac:dyDescent="0.6">
      <c r="A714" s="1"/>
      <c r="B714" s="6"/>
      <c r="C714" s="1"/>
      <c r="D714" s="42"/>
      <c r="E714" s="3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21.75" customHeight="1" x14ac:dyDescent="0.6">
      <c r="A715" s="1"/>
      <c r="B715" s="6"/>
      <c r="C715" s="1"/>
      <c r="D715" s="42"/>
      <c r="E715" s="3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21.75" customHeight="1" x14ac:dyDescent="0.6">
      <c r="A716" s="1"/>
      <c r="B716" s="6"/>
      <c r="C716" s="1"/>
      <c r="D716" s="42"/>
      <c r="E716" s="3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21.75" customHeight="1" x14ac:dyDescent="0.6">
      <c r="A717" s="1"/>
      <c r="B717" s="6"/>
      <c r="C717" s="1"/>
      <c r="D717" s="42"/>
      <c r="E717" s="3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21.75" customHeight="1" x14ac:dyDescent="0.6">
      <c r="A718" s="1"/>
      <c r="B718" s="6"/>
      <c r="C718" s="1"/>
      <c r="D718" s="42"/>
      <c r="E718" s="3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21.75" customHeight="1" x14ac:dyDescent="0.6">
      <c r="A719" s="1"/>
      <c r="B719" s="6"/>
      <c r="C719" s="1"/>
      <c r="D719" s="42"/>
      <c r="E719" s="3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21.75" customHeight="1" x14ac:dyDescent="0.6">
      <c r="A720" s="1"/>
      <c r="B720" s="6"/>
      <c r="C720" s="1"/>
      <c r="D720" s="42"/>
      <c r="E720" s="3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21.75" customHeight="1" x14ac:dyDescent="0.6">
      <c r="A721" s="1"/>
      <c r="B721" s="6"/>
      <c r="C721" s="1"/>
      <c r="D721" s="42"/>
      <c r="E721" s="3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21.75" customHeight="1" x14ac:dyDescent="0.6">
      <c r="A722" s="1"/>
      <c r="B722" s="6"/>
      <c r="C722" s="1"/>
      <c r="D722" s="42"/>
      <c r="E722" s="3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21.75" customHeight="1" x14ac:dyDescent="0.6">
      <c r="A723" s="1"/>
      <c r="B723" s="6"/>
      <c r="C723" s="1"/>
      <c r="D723" s="42"/>
      <c r="E723" s="3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21.75" customHeight="1" x14ac:dyDescent="0.6">
      <c r="A724" s="1"/>
      <c r="B724" s="6"/>
      <c r="C724" s="1"/>
      <c r="D724" s="42"/>
      <c r="E724" s="3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21.75" customHeight="1" x14ac:dyDescent="0.6">
      <c r="A725" s="1"/>
      <c r="B725" s="6"/>
      <c r="C725" s="1"/>
      <c r="D725" s="42"/>
      <c r="E725" s="3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21.75" customHeight="1" x14ac:dyDescent="0.6">
      <c r="A726" s="1"/>
      <c r="B726" s="6"/>
      <c r="C726" s="1"/>
      <c r="D726" s="42"/>
      <c r="E726" s="3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21.75" customHeight="1" x14ac:dyDescent="0.6">
      <c r="A727" s="1"/>
      <c r="B727" s="6"/>
      <c r="C727" s="1"/>
      <c r="D727" s="42"/>
      <c r="E727" s="3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21.75" customHeight="1" x14ac:dyDescent="0.6">
      <c r="A728" s="1"/>
      <c r="B728" s="6"/>
      <c r="C728" s="1"/>
      <c r="D728" s="42"/>
      <c r="E728" s="3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21.75" customHeight="1" x14ac:dyDescent="0.6">
      <c r="A729" s="1"/>
      <c r="B729" s="6"/>
      <c r="C729" s="1"/>
      <c r="D729" s="42"/>
      <c r="E729" s="3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21.75" customHeight="1" x14ac:dyDescent="0.6">
      <c r="A730" s="1"/>
      <c r="B730" s="6"/>
      <c r="C730" s="1"/>
      <c r="D730" s="42"/>
      <c r="E730" s="3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21.75" customHeight="1" x14ac:dyDescent="0.6">
      <c r="A731" s="1"/>
      <c r="B731" s="6"/>
      <c r="C731" s="1"/>
      <c r="D731" s="42"/>
      <c r="E731" s="3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21.75" customHeight="1" x14ac:dyDescent="0.6">
      <c r="A732" s="1"/>
      <c r="B732" s="6"/>
      <c r="C732" s="1"/>
      <c r="D732" s="42"/>
      <c r="E732" s="3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21.75" customHeight="1" x14ac:dyDescent="0.6">
      <c r="A733" s="1"/>
      <c r="B733" s="6"/>
      <c r="C733" s="1"/>
      <c r="D733" s="42"/>
      <c r="E733" s="3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21.75" customHeight="1" x14ac:dyDescent="0.6">
      <c r="A734" s="1"/>
      <c r="B734" s="6"/>
      <c r="C734" s="1"/>
      <c r="D734" s="42"/>
      <c r="E734" s="3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21.75" customHeight="1" x14ac:dyDescent="0.6">
      <c r="A735" s="1"/>
      <c r="B735" s="6"/>
      <c r="C735" s="1"/>
      <c r="D735" s="42"/>
      <c r="E735" s="3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21.75" customHeight="1" x14ac:dyDescent="0.6">
      <c r="A736" s="1"/>
      <c r="B736" s="6"/>
      <c r="C736" s="1"/>
      <c r="D736" s="42"/>
      <c r="E736" s="3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21.75" customHeight="1" x14ac:dyDescent="0.6">
      <c r="A737" s="1"/>
      <c r="B737" s="6"/>
      <c r="C737" s="1"/>
      <c r="D737" s="42"/>
      <c r="E737" s="3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21.75" customHeight="1" x14ac:dyDescent="0.6">
      <c r="A738" s="1"/>
      <c r="B738" s="6"/>
      <c r="C738" s="1"/>
      <c r="D738" s="42"/>
      <c r="E738" s="3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21.75" customHeight="1" x14ac:dyDescent="0.6">
      <c r="A739" s="1"/>
      <c r="B739" s="6"/>
      <c r="C739" s="1"/>
      <c r="D739" s="42"/>
      <c r="E739" s="3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21.75" customHeight="1" x14ac:dyDescent="0.6">
      <c r="A740" s="1"/>
      <c r="B740" s="6"/>
      <c r="C740" s="1"/>
      <c r="D740" s="42"/>
      <c r="E740" s="3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21.75" customHeight="1" x14ac:dyDescent="0.6">
      <c r="A741" s="1"/>
      <c r="B741" s="6"/>
      <c r="C741" s="1"/>
      <c r="D741" s="42"/>
      <c r="E741" s="3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21.75" customHeight="1" x14ac:dyDescent="0.6">
      <c r="A742" s="1"/>
      <c r="B742" s="6"/>
      <c r="C742" s="1"/>
      <c r="D742" s="42"/>
      <c r="E742" s="3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21.75" customHeight="1" x14ac:dyDescent="0.6">
      <c r="A743" s="1"/>
      <c r="B743" s="6"/>
      <c r="C743" s="1"/>
      <c r="D743" s="42"/>
      <c r="E743" s="3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21.75" customHeight="1" x14ac:dyDescent="0.6">
      <c r="A744" s="1"/>
      <c r="B744" s="6"/>
      <c r="C744" s="1"/>
      <c r="D744" s="42"/>
      <c r="E744" s="3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21.75" customHeight="1" x14ac:dyDescent="0.6">
      <c r="A745" s="1"/>
      <c r="B745" s="6"/>
      <c r="C745" s="1"/>
      <c r="D745" s="42"/>
      <c r="E745" s="3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21.75" customHeight="1" x14ac:dyDescent="0.6">
      <c r="A746" s="1"/>
      <c r="B746" s="6"/>
      <c r="C746" s="1"/>
      <c r="D746" s="42"/>
      <c r="E746" s="3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21.75" customHeight="1" x14ac:dyDescent="0.6">
      <c r="A747" s="1"/>
      <c r="B747" s="6"/>
      <c r="C747" s="1"/>
      <c r="D747" s="42"/>
      <c r="E747" s="3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21.75" customHeight="1" x14ac:dyDescent="0.6">
      <c r="A748" s="1"/>
      <c r="B748" s="6"/>
      <c r="C748" s="1"/>
      <c r="D748" s="42"/>
      <c r="E748" s="3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21.75" customHeight="1" x14ac:dyDescent="0.6">
      <c r="A749" s="1"/>
      <c r="B749" s="6"/>
      <c r="C749" s="1"/>
      <c r="D749" s="42"/>
      <c r="E749" s="3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21.75" customHeight="1" x14ac:dyDescent="0.6">
      <c r="A750" s="1"/>
      <c r="B750" s="6"/>
      <c r="C750" s="1"/>
      <c r="D750" s="42"/>
      <c r="E750" s="3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21.75" customHeight="1" x14ac:dyDescent="0.6">
      <c r="A751" s="1"/>
      <c r="B751" s="6"/>
      <c r="C751" s="1"/>
      <c r="D751" s="42"/>
      <c r="E751" s="3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21.75" customHeight="1" x14ac:dyDescent="0.6">
      <c r="A752" s="1"/>
      <c r="B752" s="6"/>
      <c r="C752" s="1"/>
      <c r="D752" s="42"/>
      <c r="E752" s="3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21.75" customHeight="1" x14ac:dyDescent="0.6">
      <c r="A753" s="1"/>
      <c r="B753" s="6"/>
      <c r="C753" s="1"/>
      <c r="D753" s="42"/>
      <c r="E753" s="3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21.75" customHeight="1" x14ac:dyDescent="0.6">
      <c r="A754" s="1"/>
      <c r="B754" s="6"/>
      <c r="C754" s="1"/>
      <c r="D754" s="42"/>
      <c r="E754" s="3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21.75" customHeight="1" x14ac:dyDescent="0.6">
      <c r="A755" s="1"/>
      <c r="B755" s="6"/>
      <c r="C755" s="1"/>
      <c r="D755" s="42"/>
      <c r="E755" s="3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21.75" customHeight="1" x14ac:dyDescent="0.6">
      <c r="A756" s="1"/>
      <c r="B756" s="6"/>
      <c r="C756" s="1"/>
      <c r="D756" s="42"/>
      <c r="E756" s="3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21.75" customHeight="1" x14ac:dyDescent="0.6">
      <c r="A757" s="1"/>
      <c r="B757" s="6"/>
      <c r="C757" s="1"/>
      <c r="D757" s="42"/>
      <c r="E757" s="3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21.75" customHeight="1" x14ac:dyDescent="0.6">
      <c r="A758" s="1"/>
      <c r="B758" s="6"/>
      <c r="C758" s="1"/>
      <c r="D758" s="42"/>
      <c r="E758" s="3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21.75" customHeight="1" x14ac:dyDescent="0.6">
      <c r="A759" s="1"/>
      <c r="B759" s="6"/>
      <c r="C759" s="1"/>
      <c r="D759" s="42"/>
      <c r="E759" s="3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21.75" customHeight="1" x14ac:dyDescent="0.6">
      <c r="A760" s="1"/>
      <c r="B760" s="6"/>
      <c r="C760" s="1"/>
      <c r="D760" s="42"/>
      <c r="E760" s="3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21.75" customHeight="1" x14ac:dyDescent="0.6">
      <c r="A761" s="1"/>
      <c r="B761" s="6"/>
      <c r="C761" s="1"/>
      <c r="D761" s="42"/>
      <c r="E761" s="3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21.75" customHeight="1" x14ac:dyDescent="0.6">
      <c r="A762" s="1"/>
      <c r="B762" s="6"/>
      <c r="C762" s="1"/>
      <c r="D762" s="42"/>
      <c r="E762" s="3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21.75" customHeight="1" x14ac:dyDescent="0.6">
      <c r="A763" s="1"/>
      <c r="B763" s="6"/>
      <c r="C763" s="1"/>
      <c r="D763" s="42"/>
      <c r="E763" s="3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21.75" customHeight="1" x14ac:dyDescent="0.6">
      <c r="A764" s="1"/>
      <c r="B764" s="6"/>
      <c r="C764" s="1"/>
      <c r="D764" s="42"/>
      <c r="E764" s="3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21.75" customHeight="1" x14ac:dyDescent="0.6">
      <c r="A765" s="1"/>
      <c r="B765" s="6"/>
      <c r="C765" s="1"/>
      <c r="D765" s="42"/>
      <c r="E765" s="3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21.75" customHeight="1" x14ac:dyDescent="0.6">
      <c r="A766" s="1"/>
      <c r="B766" s="6"/>
      <c r="C766" s="1"/>
      <c r="D766" s="42"/>
      <c r="E766" s="3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21.75" customHeight="1" x14ac:dyDescent="0.6">
      <c r="A767" s="1"/>
      <c r="B767" s="6"/>
      <c r="C767" s="1"/>
      <c r="D767" s="42"/>
      <c r="E767" s="3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21.75" customHeight="1" x14ac:dyDescent="0.6">
      <c r="A768" s="1"/>
      <c r="B768" s="6"/>
      <c r="C768" s="1"/>
      <c r="D768" s="42"/>
      <c r="E768" s="3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21.75" customHeight="1" x14ac:dyDescent="0.6">
      <c r="A769" s="1"/>
      <c r="B769" s="6"/>
      <c r="C769" s="1"/>
      <c r="D769" s="42"/>
      <c r="E769" s="3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21.75" customHeight="1" x14ac:dyDescent="0.6">
      <c r="A770" s="1"/>
      <c r="B770" s="6"/>
      <c r="C770" s="1"/>
      <c r="D770" s="42"/>
      <c r="E770" s="3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21.75" customHeight="1" x14ac:dyDescent="0.6">
      <c r="A771" s="1"/>
      <c r="B771" s="6"/>
      <c r="C771" s="1"/>
      <c r="D771" s="42"/>
      <c r="E771" s="3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21.75" customHeight="1" x14ac:dyDescent="0.6">
      <c r="A772" s="1"/>
      <c r="B772" s="6"/>
      <c r="C772" s="1"/>
      <c r="D772" s="42"/>
      <c r="E772" s="3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21.75" customHeight="1" x14ac:dyDescent="0.6">
      <c r="A773" s="1"/>
      <c r="B773" s="6"/>
      <c r="C773" s="1"/>
      <c r="D773" s="42"/>
      <c r="E773" s="3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21.75" customHeight="1" x14ac:dyDescent="0.6">
      <c r="A774" s="1"/>
      <c r="B774" s="6"/>
      <c r="C774" s="1"/>
      <c r="D774" s="42"/>
      <c r="E774" s="3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21.75" customHeight="1" x14ac:dyDescent="0.6">
      <c r="A775" s="1"/>
      <c r="B775" s="6"/>
      <c r="C775" s="1"/>
      <c r="D775" s="42"/>
      <c r="E775" s="3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21.75" customHeight="1" x14ac:dyDescent="0.6">
      <c r="A776" s="1"/>
      <c r="B776" s="6"/>
      <c r="C776" s="1"/>
      <c r="D776" s="42"/>
      <c r="E776" s="3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21.75" customHeight="1" x14ac:dyDescent="0.6">
      <c r="A777" s="1"/>
      <c r="B777" s="6"/>
      <c r="C777" s="1"/>
      <c r="D777" s="42"/>
      <c r="E777" s="3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21.75" customHeight="1" x14ac:dyDescent="0.6">
      <c r="A778" s="1"/>
      <c r="B778" s="6"/>
      <c r="C778" s="1"/>
      <c r="D778" s="42"/>
      <c r="E778" s="3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21.75" customHeight="1" x14ac:dyDescent="0.6">
      <c r="A779" s="1"/>
      <c r="B779" s="6"/>
      <c r="C779" s="1"/>
      <c r="D779" s="42"/>
      <c r="E779" s="3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21.75" customHeight="1" x14ac:dyDescent="0.6">
      <c r="A780" s="1"/>
      <c r="B780" s="6"/>
      <c r="C780" s="1"/>
      <c r="D780" s="42"/>
      <c r="E780" s="3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21.75" customHeight="1" x14ac:dyDescent="0.6">
      <c r="A781" s="1"/>
      <c r="B781" s="6"/>
      <c r="C781" s="1"/>
      <c r="D781" s="42"/>
      <c r="E781" s="3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21.75" customHeight="1" x14ac:dyDescent="0.6">
      <c r="A782" s="1"/>
      <c r="B782" s="6"/>
      <c r="C782" s="1"/>
      <c r="D782" s="42"/>
      <c r="E782" s="3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21.75" customHeight="1" x14ac:dyDescent="0.6">
      <c r="A783" s="1"/>
      <c r="B783" s="6"/>
      <c r="C783" s="1"/>
      <c r="D783" s="42"/>
      <c r="E783" s="3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21.75" customHeight="1" x14ac:dyDescent="0.6">
      <c r="A784" s="1"/>
      <c r="B784" s="6"/>
      <c r="C784" s="1"/>
      <c r="D784" s="42"/>
      <c r="E784" s="3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21.75" customHeight="1" x14ac:dyDescent="0.6">
      <c r="A785" s="1"/>
      <c r="B785" s="6"/>
      <c r="C785" s="1"/>
      <c r="D785" s="42"/>
      <c r="E785" s="3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21.75" customHeight="1" x14ac:dyDescent="0.6">
      <c r="A786" s="1"/>
      <c r="B786" s="6"/>
      <c r="C786" s="1"/>
      <c r="D786" s="42"/>
      <c r="E786" s="3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21.75" customHeight="1" x14ac:dyDescent="0.6">
      <c r="A787" s="1"/>
      <c r="B787" s="6"/>
      <c r="C787" s="1"/>
      <c r="D787" s="42"/>
      <c r="E787" s="3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21.75" customHeight="1" x14ac:dyDescent="0.6">
      <c r="A788" s="1"/>
      <c r="B788" s="6"/>
      <c r="C788" s="1"/>
      <c r="D788" s="42"/>
      <c r="E788" s="3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21.75" customHeight="1" x14ac:dyDescent="0.6">
      <c r="A789" s="1"/>
      <c r="B789" s="6"/>
      <c r="C789" s="1"/>
      <c r="D789" s="42"/>
      <c r="E789" s="3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21.75" customHeight="1" x14ac:dyDescent="0.6">
      <c r="A790" s="1"/>
      <c r="B790" s="6"/>
      <c r="C790" s="1"/>
      <c r="D790" s="42"/>
      <c r="E790" s="3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21.75" customHeight="1" x14ac:dyDescent="0.6">
      <c r="A791" s="1"/>
      <c r="B791" s="6"/>
      <c r="C791" s="1"/>
      <c r="D791" s="42"/>
      <c r="E791" s="3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21.75" customHeight="1" x14ac:dyDescent="0.6">
      <c r="A792" s="1"/>
      <c r="B792" s="6"/>
      <c r="C792" s="1"/>
      <c r="D792" s="42"/>
      <c r="E792" s="3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21.75" customHeight="1" x14ac:dyDescent="0.6">
      <c r="A793" s="1"/>
      <c r="B793" s="6"/>
      <c r="C793" s="1"/>
      <c r="D793" s="42"/>
      <c r="E793" s="3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21.75" customHeight="1" x14ac:dyDescent="0.6">
      <c r="A794" s="1"/>
      <c r="B794" s="6"/>
      <c r="C794" s="1"/>
      <c r="D794" s="42"/>
      <c r="E794" s="3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21.75" customHeight="1" x14ac:dyDescent="0.6">
      <c r="A795" s="1"/>
      <c r="B795" s="6"/>
      <c r="C795" s="1"/>
      <c r="D795" s="42"/>
      <c r="E795" s="3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21.75" customHeight="1" x14ac:dyDescent="0.6">
      <c r="A796" s="1"/>
      <c r="B796" s="6"/>
      <c r="C796" s="1"/>
      <c r="D796" s="42"/>
      <c r="E796" s="3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21.75" customHeight="1" x14ac:dyDescent="0.6">
      <c r="A797" s="1"/>
      <c r="B797" s="6"/>
      <c r="C797" s="1"/>
      <c r="D797" s="42"/>
      <c r="E797" s="3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21.75" customHeight="1" x14ac:dyDescent="0.6">
      <c r="A798" s="1"/>
      <c r="B798" s="6"/>
      <c r="C798" s="1"/>
      <c r="D798" s="42"/>
      <c r="E798" s="3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21.75" customHeight="1" x14ac:dyDescent="0.6">
      <c r="A799" s="1"/>
      <c r="B799" s="6"/>
      <c r="C799" s="1"/>
      <c r="D799" s="42"/>
      <c r="E799" s="3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21.75" customHeight="1" x14ac:dyDescent="0.6">
      <c r="A800" s="1"/>
      <c r="B800" s="6"/>
      <c r="C800" s="1"/>
      <c r="D800" s="42"/>
      <c r="E800" s="3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21.75" customHeight="1" x14ac:dyDescent="0.6">
      <c r="A801" s="1"/>
      <c r="B801" s="6"/>
      <c r="C801" s="1"/>
      <c r="D801" s="42"/>
      <c r="E801" s="3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21.75" customHeight="1" x14ac:dyDescent="0.6">
      <c r="A802" s="1"/>
      <c r="B802" s="6"/>
      <c r="C802" s="1"/>
      <c r="D802" s="42"/>
      <c r="E802" s="3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21.75" customHeight="1" x14ac:dyDescent="0.6">
      <c r="A803" s="1"/>
      <c r="B803" s="6"/>
      <c r="C803" s="1"/>
      <c r="D803" s="42"/>
      <c r="E803" s="3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21.75" customHeight="1" x14ac:dyDescent="0.6">
      <c r="A804" s="1"/>
      <c r="B804" s="6"/>
      <c r="C804" s="1"/>
      <c r="D804" s="42"/>
      <c r="E804" s="3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21.75" customHeight="1" x14ac:dyDescent="0.6">
      <c r="A805" s="1"/>
      <c r="B805" s="6"/>
      <c r="C805" s="1"/>
      <c r="D805" s="42"/>
      <c r="E805" s="3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21.75" customHeight="1" x14ac:dyDescent="0.6">
      <c r="A806" s="1"/>
      <c r="B806" s="6"/>
      <c r="C806" s="1"/>
      <c r="D806" s="42"/>
      <c r="E806" s="3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21.75" customHeight="1" x14ac:dyDescent="0.6">
      <c r="A807" s="1"/>
      <c r="B807" s="6"/>
      <c r="C807" s="1"/>
      <c r="D807" s="42"/>
      <c r="E807" s="3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21.75" customHeight="1" x14ac:dyDescent="0.6">
      <c r="A808" s="1"/>
      <c r="B808" s="6"/>
      <c r="C808" s="1"/>
      <c r="D808" s="42"/>
      <c r="E808" s="3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21.75" customHeight="1" x14ac:dyDescent="0.6">
      <c r="A809" s="1"/>
      <c r="B809" s="6"/>
      <c r="C809" s="1"/>
      <c r="D809" s="42"/>
      <c r="E809" s="3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21.75" customHeight="1" x14ac:dyDescent="0.6">
      <c r="A810" s="1"/>
      <c r="B810" s="6"/>
      <c r="C810" s="1"/>
      <c r="D810" s="42"/>
      <c r="E810" s="3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21.75" customHeight="1" x14ac:dyDescent="0.6">
      <c r="A811" s="1"/>
      <c r="B811" s="6"/>
      <c r="C811" s="1"/>
      <c r="D811" s="42"/>
      <c r="E811" s="3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21.75" customHeight="1" x14ac:dyDescent="0.6">
      <c r="A812" s="1"/>
      <c r="B812" s="6"/>
      <c r="C812" s="1"/>
      <c r="D812" s="42"/>
      <c r="E812" s="3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21.75" customHeight="1" x14ac:dyDescent="0.6">
      <c r="A813" s="1"/>
      <c r="B813" s="6"/>
      <c r="C813" s="1"/>
      <c r="D813" s="42"/>
      <c r="E813" s="3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21.75" customHeight="1" x14ac:dyDescent="0.6">
      <c r="A814" s="1"/>
      <c r="B814" s="6"/>
      <c r="C814" s="1"/>
      <c r="D814" s="42"/>
      <c r="E814" s="3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21.75" customHeight="1" x14ac:dyDescent="0.6">
      <c r="A815" s="1"/>
      <c r="B815" s="6"/>
      <c r="C815" s="1"/>
      <c r="D815" s="42"/>
      <c r="E815" s="3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21.75" customHeight="1" x14ac:dyDescent="0.6">
      <c r="A816" s="1"/>
      <c r="B816" s="6"/>
      <c r="C816" s="1"/>
      <c r="D816" s="42"/>
      <c r="E816" s="3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21.75" customHeight="1" x14ac:dyDescent="0.6">
      <c r="A817" s="1"/>
      <c r="B817" s="6"/>
      <c r="C817" s="1"/>
      <c r="D817" s="42"/>
      <c r="E817" s="3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21.75" customHeight="1" x14ac:dyDescent="0.6">
      <c r="A818" s="1"/>
      <c r="B818" s="6"/>
      <c r="C818" s="1"/>
      <c r="D818" s="42"/>
      <c r="E818" s="3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21.75" customHeight="1" x14ac:dyDescent="0.6">
      <c r="A819" s="1"/>
      <c r="B819" s="6"/>
      <c r="C819" s="1"/>
      <c r="D819" s="42"/>
      <c r="E819" s="3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21.75" customHeight="1" x14ac:dyDescent="0.6">
      <c r="A820" s="1"/>
      <c r="B820" s="6"/>
      <c r="C820" s="1"/>
      <c r="D820" s="42"/>
      <c r="E820" s="3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21.75" customHeight="1" x14ac:dyDescent="0.6">
      <c r="A821" s="1"/>
      <c r="B821" s="6"/>
      <c r="C821" s="1"/>
      <c r="D821" s="42"/>
      <c r="E821" s="3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21.75" customHeight="1" x14ac:dyDescent="0.6">
      <c r="A822" s="1"/>
      <c r="B822" s="6"/>
      <c r="C822" s="1"/>
      <c r="D822" s="42"/>
      <c r="E822" s="3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21.75" customHeight="1" x14ac:dyDescent="0.6">
      <c r="A823" s="1"/>
      <c r="B823" s="6"/>
      <c r="C823" s="1"/>
      <c r="D823" s="42"/>
      <c r="E823" s="3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21.75" customHeight="1" x14ac:dyDescent="0.6">
      <c r="A824" s="1"/>
      <c r="B824" s="6"/>
      <c r="C824" s="1"/>
      <c r="D824" s="42"/>
      <c r="E824" s="3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21.75" customHeight="1" x14ac:dyDescent="0.6">
      <c r="A825" s="1"/>
      <c r="B825" s="6"/>
      <c r="C825" s="1"/>
      <c r="D825" s="42"/>
      <c r="E825" s="3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21.75" customHeight="1" x14ac:dyDescent="0.6">
      <c r="A826" s="1"/>
      <c r="B826" s="6"/>
      <c r="C826" s="1"/>
      <c r="D826" s="42"/>
      <c r="E826" s="3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21.75" customHeight="1" x14ac:dyDescent="0.6">
      <c r="A827" s="1"/>
      <c r="B827" s="6"/>
      <c r="C827" s="1"/>
      <c r="D827" s="42"/>
      <c r="E827" s="3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21.75" customHeight="1" x14ac:dyDescent="0.6">
      <c r="A828" s="1"/>
      <c r="B828" s="6"/>
      <c r="C828" s="1"/>
      <c r="D828" s="42"/>
      <c r="E828" s="3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21.75" customHeight="1" x14ac:dyDescent="0.6">
      <c r="A829" s="1"/>
      <c r="B829" s="6"/>
      <c r="C829" s="1"/>
      <c r="D829" s="42"/>
      <c r="E829" s="3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21.75" customHeight="1" x14ac:dyDescent="0.6">
      <c r="A830" s="1"/>
      <c r="B830" s="6"/>
      <c r="C830" s="1"/>
      <c r="D830" s="42"/>
      <c r="E830" s="3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21.75" customHeight="1" x14ac:dyDescent="0.6">
      <c r="A831" s="1"/>
      <c r="B831" s="6"/>
      <c r="C831" s="1"/>
      <c r="D831" s="42"/>
      <c r="E831" s="3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21.75" customHeight="1" x14ac:dyDescent="0.6">
      <c r="A832" s="1"/>
      <c r="B832" s="6"/>
      <c r="C832" s="1"/>
      <c r="D832" s="42"/>
      <c r="E832" s="3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21.75" customHeight="1" x14ac:dyDescent="0.6">
      <c r="A833" s="1"/>
      <c r="B833" s="6"/>
      <c r="C833" s="1"/>
      <c r="D833" s="42"/>
      <c r="E833" s="3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21.75" customHeight="1" x14ac:dyDescent="0.6">
      <c r="A834" s="1"/>
      <c r="B834" s="6"/>
      <c r="C834" s="1"/>
      <c r="D834" s="42"/>
      <c r="E834" s="3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21.75" customHeight="1" x14ac:dyDescent="0.6">
      <c r="A835" s="1"/>
      <c r="B835" s="6"/>
      <c r="C835" s="1"/>
      <c r="D835" s="42"/>
      <c r="E835" s="3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21.75" customHeight="1" x14ac:dyDescent="0.6">
      <c r="A836" s="1"/>
      <c r="B836" s="6"/>
      <c r="C836" s="1"/>
      <c r="D836" s="42"/>
      <c r="E836" s="3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21.75" customHeight="1" x14ac:dyDescent="0.6">
      <c r="A837" s="1"/>
      <c r="B837" s="6"/>
      <c r="C837" s="1"/>
      <c r="D837" s="42"/>
      <c r="E837" s="3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21.75" customHeight="1" x14ac:dyDescent="0.6">
      <c r="A838" s="1"/>
      <c r="B838" s="6"/>
      <c r="C838" s="1"/>
      <c r="D838" s="42"/>
      <c r="E838" s="3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21.75" customHeight="1" x14ac:dyDescent="0.6">
      <c r="A839" s="1"/>
      <c r="B839" s="6"/>
      <c r="C839" s="1"/>
      <c r="D839" s="42"/>
      <c r="E839" s="3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21.75" customHeight="1" x14ac:dyDescent="0.6">
      <c r="A840" s="1"/>
      <c r="B840" s="6"/>
      <c r="C840" s="1"/>
      <c r="D840" s="42"/>
      <c r="E840" s="3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21.75" customHeight="1" x14ac:dyDescent="0.6">
      <c r="A841" s="1"/>
      <c r="B841" s="6"/>
      <c r="C841" s="1"/>
      <c r="D841" s="42"/>
      <c r="E841" s="3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21.75" customHeight="1" x14ac:dyDescent="0.6">
      <c r="A842" s="1"/>
      <c r="B842" s="6"/>
      <c r="C842" s="1"/>
      <c r="D842" s="42"/>
      <c r="E842" s="3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21.75" customHeight="1" x14ac:dyDescent="0.6">
      <c r="A843" s="1"/>
      <c r="B843" s="6"/>
      <c r="C843" s="1"/>
      <c r="D843" s="42"/>
      <c r="E843" s="3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21.75" customHeight="1" x14ac:dyDescent="0.6">
      <c r="A844" s="1"/>
      <c r="B844" s="6"/>
      <c r="C844" s="1"/>
      <c r="D844" s="42"/>
      <c r="E844" s="3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21.75" customHeight="1" x14ac:dyDescent="0.6">
      <c r="A845" s="1"/>
      <c r="B845" s="6"/>
      <c r="C845" s="1"/>
      <c r="D845" s="42"/>
      <c r="E845" s="3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21.75" customHeight="1" x14ac:dyDescent="0.6">
      <c r="A846" s="1"/>
      <c r="B846" s="6"/>
      <c r="C846" s="1"/>
      <c r="D846" s="42"/>
      <c r="E846" s="3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21.75" customHeight="1" x14ac:dyDescent="0.6">
      <c r="A847" s="1"/>
      <c r="B847" s="6"/>
      <c r="C847" s="1"/>
      <c r="D847" s="42"/>
      <c r="E847" s="3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21.75" customHeight="1" x14ac:dyDescent="0.6">
      <c r="A848" s="1"/>
      <c r="B848" s="6"/>
      <c r="C848" s="1"/>
      <c r="D848" s="42"/>
      <c r="E848" s="3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21.75" customHeight="1" x14ac:dyDescent="0.6">
      <c r="A849" s="1"/>
      <c r="B849" s="6"/>
      <c r="C849" s="1"/>
      <c r="D849" s="42"/>
      <c r="E849" s="3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21.75" customHeight="1" x14ac:dyDescent="0.6">
      <c r="A850" s="1"/>
      <c r="B850" s="6"/>
      <c r="C850" s="1"/>
      <c r="D850" s="42"/>
      <c r="E850" s="3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21.75" customHeight="1" x14ac:dyDescent="0.6">
      <c r="A851" s="1"/>
      <c r="B851" s="6"/>
      <c r="C851" s="1"/>
      <c r="D851" s="42"/>
      <c r="E851" s="3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21.75" customHeight="1" x14ac:dyDescent="0.6">
      <c r="A852" s="1"/>
      <c r="B852" s="6"/>
      <c r="C852" s="1"/>
      <c r="D852" s="42"/>
      <c r="E852" s="3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21.75" customHeight="1" x14ac:dyDescent="0.6">
      <c r="A853" s="1"/>
      <c r="B853" s="6"/>
      <c r="C853" s="1"/>
      <c r="D853" s="42"/>
      <c r="E853" s="3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21.75" customHeight="1" x14ac:dyDescent="0.6">
      <c r="A854" s="1"/>
      <c r="B854" s="6"/>
      <c r="C854" s="1"/>
      <c r="D854" s="42"/>
      <c r="E854" s="3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21.75" customHeight="1" x14ac:dyDescent="0.6">
      <c r="A855" s="1"/>
      <c r="B855" s="6"/>
      <c r="C855" s="1"/>
      <c r="D855" s="42"/>
      <c r="E855" s="3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21.75" customHeight="1" x14ac:dyDescent="0.6">
      <c r="A856" s="1"/>
      <c r="B856" s="6"/>
      <c r="C856" s="1"/>
      <c r="D856" s="42"/>
      <c r="E856" s="3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21.75" customHeight="1" x14ac:dyDescent="0.6">
      <c r="A857" s="1"/>
      <c r="B857" s="6"/>
      <c r="C857" s="1"/>
      <c r="D857" s="42"/>
      <c r="E857" s="3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21.75" customHeight="1" x14ac:dyDescent="0.6">
      <c r="A858" s="1"/>
      <c r="B858" s="6"/>
      <c r="C858" s="1"/>
      <c r="D858" s="42"/>
      <c r="E858" s="3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21.75" customHeight="1" x14ac:dyDescent="0.6">
      <c r="A859" s="1"/>
      <c r="B859" s="6"/>
      <c r="C859" s="1"/>
      <c r="D859" s="42"/>
      <c r="E859" s="3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21.75" customHeight="1" x14ac:dyDescent="0.6">
      <c r="A860" s="1"/>
      <c r="B860" s="6"/>
      <c r="C860" s="1"/>
      <c r="D860" s="42"/>
      <c r="E860" s="3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21.75" customHeight="1" x14ac:dyDescent="0.6">
      <c r="A861" s="1"/>
      <c r="B861" s="6"/>
      <c r="C861" s="1"/>
      <c r="D861" s="42"/>
      <c r="E861" s="3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21.75" customHeight="1" x14ac:dyDescent="0.6">
      <c r="A862" s="1"/>
      <c r="B862" s="6"/>
      <c r="C862" s="1"/>
      <c r="D862" s="42"/>
      <c r="E862" s="3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21.75" customHeight="1" x14ac:dyDescent="0.6">
      <c r="A863" s="1"/>
      <c r="B863" s="6"/>
      <c r="C863" s="1"/>
      <c r="D863" s="42"/>
      <c r="E863" s="3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21.75" customHeight="1" x14ac:dyDescent="0.6">
      <c r="A864" s="1"/>
      <c r="B864" s="6"/>
      <c r="C864" s="1"/>
      <c r="D864" s="42"/>
      <c r="E864" s="3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21.75" customHeight="1" x14ac:dyDescent="0.6">
      <c r="A865" s="1"/>
      <c r="B865" s="6"/>
      <c r="C865" s="1"/>
      <c r="D865" s="42"/>
      <c r="E865" s="3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21.75" customHeight="1" x14ac:dyDescent="0.6">
      <c r="A866" s="1"/>
      <c r="B866" s="6"/>
      <c r="C866" s="1"/>
      <c r="D866" s="42"/>
      <c r="E866" s="3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21.75" customHeight="1" x14ac:dyDescent="0.6">
      <c r="A867" s="1"/>
      <c r="B867" s="6"/>
      <c r="C867" s="1"/>
      <c r="D867" s="42"/>
      <c r="E867" s="3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21.75" customHeight="1" x14ac:dyDescent="0.6">
      <c r="A868" s="1"/>
      <c r="B868" s="6"/>
      <c r="C868" s="1"/>
      <c r="D868" s="42"/>
      <c r="E868" s="3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21.75" customHeight="1" x14ac:dyDescent="0.6">
      <c r="A869" s="1"/>
      <c r="B869" s="6"/>
      <c r="C869" s="1"/>
      <c r="D869" s="42"/>
      <c r="E869" s="3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21.75" customHeight="1" x14ac:dyDescent="0.6">
      <c r="A870" s="1"/>
      <c r="B870" s="6"/>
      <c r="C870" s="1"/>
      <c r="D870" s="42"/>
      <c r="E870" s="3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21.75" customHeight="1" x14ac:dyDescent="0.6">
      <c r="A871" s="1"/>
      <c r="B871" s="6"/>
      <c r="C871" s="1"/>
      <c r="D871" s="42"/>
      <c r="E871" s="3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21.75" customHeight="1" x14ac:dyDescent="0.6">
      <c r="A872" s="1"/>
      <c r="B872" s="6"/>
      <c r="C872" s="1"/>
      <c r="D872" s="42"/>
      <c r="E872" s="3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21.75" customHeight="1" x14ac:dyDescent="0.6">
      <c r="A873" s="1"/>
      <c r="B873" s="6"/>
      <c r="C873" s="1"/>
      <c r="D873" s="42"/>
      <c r="E873" s="3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21.75" customHeight="1" x14ac:dyDescent="0.6">
      <c r="A874" s="1"/>
      <c r="B874" s="6"/>
      <c r="C874" s="1"/>
      <c r="D874" s="42"/>
      <c r="E874" s="3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21.75" customHeight="1" x14ac:dyDescent="0.6">
      <c r="A875" s="1"/>
      <c r="B875" s="6"/>
      <c r="C875" s="1"/>
      <c r="D875" s="42"/>
      <c r="E875" s="3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21.75" customHeight="1" x14ac:dyDescent="0.6">
      <c r="A876" s="1"/>
      <c r="B876" s="6"/>
      <c r="C876" s="1"/>
      <c r="D876" s="42"/>
      <c r="E876" s="3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21.75" customHeight="1" x14ac:dyDescent="0.6">
      <c r="A877" s="1"/>
      <c r="B877" s="6"/>
      <c r="C877" s="1"/>
      <c r="D877" s="42"/>
      <c r="E877" s="3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21.75" customHeight="1" x14ac:dyDescent="0.6">
      <c r="A878" s="1"/>
      <c r="B878" s="6"/>
      <c r="C878" s="1"/>
      <c r="D878" s="42"/>
      <c r="E878" s="3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21.75" customHeight="1" x14ac:dyDescent="0.6">
      <c r="A879" s="1"/>
      <c r="B879" s="6"/>
      <c r="C879" s="1"/>
      <c r="D879" s="42"/>
      <c r="E879" s="3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21.75" customHeight="1" x14ac:dyDescent="0.6">
      <c r="A880" s="1"/>
      <c r="B880" s="6"/>
      <c r="C880" s="1"/>
      <c r="D880" s="42"/>
      <c r="E880" s="3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21.75" customHeight="1" x14ac:dyDescent="0.6">
      <c r="A881" s="1"/>
      <c r="B881" s="6"/>
      <c r="C881" s="1"/>
      <c r="D881" s="42"/>
      <c r="E881" s="3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21.75" customHeight="1" x14ac:dyDescent="0.6">
      <c r="A882" s="1"/>
      <c r="B882" s="6"/>
      <c r="C882" s="1"/>
      <c r="D882" s="42"/>
      <c r="E882" s="3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21.75" customHeight="1" x14ac:dyDescent="0.6">
      <c r="A883" s="1"/>
      <c r="B883" s="6"/>
      <c r="C883" s="1"/>
      <c r="D883" s="42"/>
      <c r="E883" s="3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21.75" customHeight="1" x14ac:dyDescent="0.6">
      <c r="A884" s="1"/>
      <c r="B884" s="6"/>
      <c r="C884" s="1"/>
      <c r="D884" s="42"/>
      <c r="E884" s="3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21.75" customHeight="1" x14ac:dyDescent="0.6">
      <c r="A885" s="1"/>
      <c r="B885" s="6"/>
      <c r="C885" s="1"/>
      <c r="D885" s="42"/>
      <c r="E885" s="3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21.75" customHeight="1" x14ac:dyDescent="0.6">
      <c r="A886" s="1"/>
      <c r="B886" s="6"/>
      <c r="C886" s="1"/>
      <c r="D886" s="42"/>
      <c r="E886" s="3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21.75" customHeight="1" x14ac:dyDescent="0.6">
      <c r="A887" s="1"/>
      <c r="B887" s="6"/>
      <c r="C887" s="1"/>
      <c r="D887" s="42"/>
      <c r="E887" s="3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21.75" customHeight="1" x14ac:dyDescent="0.6">
      <c r="A888" s="1"/>
      <c r="B888" s="6"/>
      <c r="C888" s="1"/>
      <c r="D888" s="42"/>
      <c r="E888" s="3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21.75" customHeight="1" x14ac:dyDescent="0.6">
      <c r="A889" s="1"/>
      <c r="B889" s="6"/>
      <c r="C889" s="1"/>
      <c r="D889" s="42"/>
      <c r="E889" s="3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21.75" customHeight="1" x14ac:dyDescent="0.6">
      <c r="A890" s="1"/>
      <c r="B890" s="6"/>
      <c r="C890" s="1"/>
      <c r="D890" s="42"/>
      <c r="E890" s="3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21.75" customHeight="1" x14ac:dyDescent="0.6">
      <c r="A891" s="1"/>
      <c r="B891" s="6"/>
      <c r="C891" s="1"/>
      <c r="D891" s="42"/>
      <c r="E891" s="3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21.75" customHeight="1" x14ac:dyDescent="0.6">
      <c r="A892" s="1"/>
      <c r="B892" s="6"/>
      <c r="C892" s="1"/>
      <c r="D892" s="42"/>
      <c r="E892" s="3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21.75" customHeight="1" x14ac:dyDescent="0.6">
      <c r="A893" s="1"/>
      <c r="B893" s="6"/>
      <c r="C893" s="1"/>
      <c r="D893" s="42"/>
      <c r="E893" s="3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21.75" customHeight="1" x14ac:dyDescent="0.6">
      <c r="A894" s="1"/>
      <c r="B894" s="6"/>
      <c r="C894" s="1"/>
      <c r="D894" s="42"/>
      <c r="E894" s="3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21.75" customHeight="1" x14ac:dyDescent="0.6">
      <c r="A895" s="1"/>
      <c r="B895" s="6"/>
      <c r="C895" s="1"/>
      <c r="D895" s="42"/>
      <c r="E895" s="3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21.75" customHeight="1" x14ac:dyDescent="0.6">
      <c r="A896" s="1"/>
      <c r="B896" s="6"/>
      <c r="C896" s="1"/>
      <c r="D896" s="42"/>
      <c r="E896" s="3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21.75" customHeight="1" x14ac:dyDescent="0.6">
      <c r="A897" s="1"/>
      <c r="B897" s="6"/>
      <c r="C897" s="1"/>
      <c r="D897" s="42"/>
      <c r="E897" s="3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21.75" customHeight="1" x14ac:dyDescent="0.6">
      <c r="A898" s="1"/>
      <c r="B898" s="6"/>
      <c r="C898" s="1"/>
      <c r="D898" s="42"/>
      <c r="E898" s="3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21.75" customHeight="1" x14ac:dyDescent="0.6">
      <c r="A899" s="1"/>
      <c r="B899" s="6"/>
      <c r="C899" s="1"/>
      <c r="D899" s="42"/>
      <c r="E899" s="3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21.75" customHeight="1" x14ac:dyDescent="0.6">
      <c r="A900" s="1"/>
      <c r="B900" s="6"/>
      <c r="C900" s="1"/>
      <c r="D900" s="42"/>
      <c r="E900" s="3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21.75" customHeight="1" x14ac:dyDescent="0.6">
      <c r="A901" s="1"/>
      <c r="B901" s="6"/>
      <c r="C901" s="1"/>
      <c r="D901" s="42"/>
      <c r="E901" s="3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21.75" customHeight="1" x14ac:dyDescent="0.6">
      <c r="A902" s="1"/>
      <c r="B902" s="6"/>
      <c r="C902" s="1"/>
      <c r="D902" s="42"/>
      <c r="E902" s="3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21.75" customHeight="1" x14ac:dyDescent="0.6">
      <c r="A903" s="1"/>
      <c r="B903" s="6"/>
      <c r="C903" s="1"/>
      <c r="D903" s="42"/>
      <c r="E903" s="3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21.75" customHeight="1" x14ac:dyDescent="0.6">
      <c r="A904" s="1"/>
      <c r="B904" s="6"/>
      <c r="C904" s="1"/>
      <c r="D904" s="42"/>
      <c r="E904" s="3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21.75" customHeight="1" x14ac:dyDescent="0.6">
      <c r="A905" s="1"/>
      <c r="B905" s="6"/>
      <c r="C905" s="1"/>
      <c r="D905" s="42"/>
      <c r="E905" s="3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21.75" customHeight="1" x14ac:dyDescent="0.6">
      <c r="A906" s="1"/>
      <c r="B906" s="6"/>
      <c r="C906" s="1"/>
      <c r="D906" s="42"/>
      <c r="E906" s="3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21.75" customHeight="1" x14ac:dyDescent="0.6">
      <c r="A907" s="1"/>
      <c r="B907" s="6"/>
      <c r="C907" s="1"/>
      <c r="D907" s="42"/>
      <c r="E907" s="3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21.75" customHeight="1" x14ac:dyDescent="0.6">
      <c r="A908" s="1"/>
      <c r="B908" s="6"/>
      <c r="C908" s="1"/>
      <c r="D908" s="42"/>
      <c r="E908" s="3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21.75" customHeight="1" x14ac:dyDescent="0.6">
      <c r="A909" s="1"/>
      <c r="B909" s="6"/>
      <c r="C909" s="1"/>
      <c r="D909" s="42"/>
      <c r="E909" s="3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21.75" customHeight="1" x14ac:dyDescent="0.6">
      <c r="A910" s="1"/>
      <c r="B910" s="6"/>
      <c r="C910" s="1"/>
      <c r="D910" s="42"/>
      <c r="E910" s="3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21.75" customHeight="1" x14ac:dyDescent="0.6">
      <c r="A911" s="1"/>
      <c r="B911" s="6"/>
      <c r="C911" s="1"/>
      <c r="D911" s="42"/>
      <c r="E911" s="3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21.75" customHeight="1" x14ac:dyDescent="0.6">
      <c r="A912" s="1"/>
      <c r="B912" s="6"/>
      <c r="C912" s="1"/>
      <c r="D912" s="42"/>
      <c r="E912" s="3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21.75" customHeight="1" x14ac:dyDescent="0.6">
      <c r="A913" s="1"/>
      <c r="B913" s="6"/>
      <c r="C913" s="1"/>
      <c r="D913" s="42"/>
      <c r="E913" s="3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21.75" customHeight="1" x14ac:dyDescent="0.6">
      <c r="A914" s="1"/>
      <c r="B914" s="6"/>
      <c r="C914" s="1"/>
      <c r="D914" s="42"/>
      <c r="E914" s="3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21.75" customHeight="1" x14ac:dyDescent="0.6">
      <c r="A915" s="1"/>
      <c r="B915" s="6"/>
      <c r="C915" s="1"/>
      <c r="D915" s="42"/>
      <c r="E915" s="3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21.75" customHeight="1" x14ac:dyDescent="0.6">
      <c r="A916" s="1"/>
      <c r="B916" s="6"/>
      <c r="C916" s="1"/>
      <c r="D916" s="42"/>
      <c r="E916" s="3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21.75" customHeight="1" x14ac:dyDescent="0.6">
      <c r="A917" s="1"/>
      <c r="B917" s="6"/>
      <c r="C917" s="1"/>
      <c r="D917" s="42"/>
      <c r="E917" s="3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21.75" customHeight="1" x14ac:dyDescent="0.6">
      <c r="A918" s="1"/>
      <c r="B918" s="6"/>
      <c r="C918" s="1"/>
      <c r="D918" s="42"/>
      <c r="E918" s="3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21.75" customHeight="1" x14ac:dyDescent="0.6">
      <c r="A919" s="1"/>
      <c r="B919" s="6"/>
      <c r="C919" s="1"/>
      <c r="D919" s="42"/>
      <c r="E919" s="3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21.75" customHeight="1" x14ac:dyDescent="0.6">
      <c r="A920" s="1"/>
      <c r="B920" s="6"/>
      <c r="C920" s="1"/>
      <c r="D920" s="42"/>
      <c r="E920" s="3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21.75" customHeight="1" x14ac:dyDescent="0.6">
      <c r="A921" s="1"/>
      <c r="B921" s="6"/>
      <c r="C921" s="1"/>
      <c r="D921" s="42"/>
      <c r="E921" s="3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21.75" customHeight="1" x14ac:dyDescent="0.6">
      <c r="A922" s="1"/>
      <c r="B922" s="6"/>
      <c r="C922" s="1"/>
      <c r="D922" s="42"/>
      <c r="E922" s="3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21.75" customHeight="1" x14ac:dyDescent="0.6">
      <c r="A923" s="1"/>
      <c r="B923" s="6"/>
      <c r="C923" s="1"/>
      <c r="D923" s="42"/>
      <c r="E923" s="3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21.75" customHeight="1" x14ac:dyDescent="0.6">
      <c r="A924" s="1"/>
      <c r="B924" s="6"/>
      <c r="C924" s="1"/>
      <c r="D924" s="42"/>
      <c r="E924" s="3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21.75" customHeight="1" x14ac:dyDescent="0.6">
      <c r="A925" s="1"/>
      <c r="B925" s="6"/>
      <c r="C925" s="1"/>
      <c r="D925" s="42"/>
      <c r="E925" s="3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21.75" customHeight="1" x14ac:dyDescent="0.6">
      <c r="A926" s="1"/>
      <c r="B926" s="6"/>
      <c r="C926" s="1"/>
      <c r="D926" s="42"/>
      <c r="E926" s="3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21.75" customHeight="1" x14ac:dyDescent="0.6">
      <c r="A927" s="1"/>
      <c r="B927" s="6"/>
      <c r="C927" s="1"/>
      <c r="D927" s="42"/>
      <c r="E927" s="3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21.75" customHeight="1" x14ac:dyDescent="0.6">
      <c r="A928" s="1"/>
      <c r="B928" s="6"/>
      <c r="C928" s="1"/>
      <c r="D928" s="42"/>
      <c r="E928" s="3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21.75" customHeight="1" x14ac:dyDescent="0.6">
      <c r="A929" s="1"/>
      <c r="B929" s="6"/>
      <c r="C929" s="1"/>
      <c r="D929" s="42"/>
      <c r="E929" s="3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21.75" customHeight="1" x14ac:dyDescent="0.6">
      <c r="A930" s="1"/>
      <c r="B930" s="6"/>
      <c r="C930" s="1"/>
      <c r="D930" s="42"/>
      <c r="E930" s="3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21.75" customHeight="1" x14ac:dyDescent="0.6">
      <c r="A931" s="1"/>
      <c r="B931" s="6"/>
      <c r="C931" s="1"/>
      <c r="D931" s="42"/>
      <c r="E931" s="3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21.75" customHeight="1" x14ac:dyDescent="0.6">
      <c r="A932" s="1"/>
      <c r="B932" s="6"/>
      <c r="C932" s="1"/>
      <c r="D932" s="42"/>
      <c r="E932" s="3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21.75" customHeight="1" x14ac:dyDescent="0.6">
      <c r="A933" s="1"/>
      <c r="B933" s="6"/>
      <c r="C933" s="1"/>
      <c r="D933" s="42"/>
      <c r="E933" s="3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21.75" customHeight="1" x14ac:dyDescent="0.6">
      <c r="A934" s="1"/>
      <c r="B934" s="6"/>
      <c r="C934" s="1"/>
      <c r="D934" s="42"/>
      <c r="E934" s="3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21.75" customHeight="1" x14ac:dyDescent="0.6">
      <c r="A935" s="1"/>
      <c r="B935" s="6"/>
      <c r="C935" s="1"/>
      <c r="D935" s="42"/>
      <c r="E935" s="3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21.75" customHeight="1" x14ac:dyDescent="0.6">
      <c r="A936" s="1"/>
      <c r="B936" s="6"/>
      <c r="C936" s="1"/>
      <c r="D936" s="42"/>
      <c r="E936" s="3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21.75" customHeight="1" x14ac:dyDescent="0.6">
      <c r="A937" s="1"/>
      <c r="B937" s="6"/>
      <c r="C937" s="1"/>
      <c r="D937" s="42"/>
      <c r="E937" s="3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21.75" customHeight="1" x14ac:dyDescent="0.6">
      <c r="A938" s="1"/>
      <c r="B938" s="6"/>
      <c r="C938" s="1"/>
      <c r="D938" s="42"/>
      <c r="E938" s="3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21.75" customHeight="1" x14ac:dyDescent="0.6">
      <c r="A939" s="1"/>
      <c r="B939" s="6"/>
      <c r="C939" s="1"/>
      <c r="D939" s="42"/>
      <c r="E939" s="3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21.75" customHeight="1" x14ac:dyDescent="0.6">
      <c r="A940" s="1"/>
      <c r="B940" s="6"/>
      <c r="C940" s="1"/>
      <c r="D940" s="42"/>
      <c r="E940" s="3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21.75" customHeight="1" x14ac:dyDescent="0.6">
      <c r="A941" s="1"/>
      <c r="B941" s="6"/>
      <c r="C941" s="1"/>
      <c r="D941" s="42"/>
      <c r="E941" s="3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21.75" customHeight="1" x14ac:dyDescent="0.6">
      <c r="A942" s="1"/>
      <c r="B942" s="6"/>
      <c r="C942" s="1"/>
      <c r="D942" s="42"/>
      <c r="E942" s="3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21.75" customHeight="1" x14ac:dyDescent="0.6">
      <c r="A943" s="1"/>
      <c r="B943" s="6"/>
      <c r="C943" s="1"/>
      <c r="D943" s="42"/>
      <c r="E943" s="3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21.75" customHeight="1" x14ac:dyDescent="0.6">
      <c r="A944" s="1"/>
      <c r="B944" s="6"/>
      <c r="C944" s="1"/>
      <c r="D944" s="42"/>
      <c r="E944" s="3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21.75" customHeight="1" x14ac:dyDescent="0.6">
      <c r="A945" s="1"/>
      <c r="B945" s="6"/>
      <c r="C945" s="1"/>
      <c r="D945" s="42"/>
      <c r="E945" s="3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21.75" customHeight="1" x14ac:dyDescent="0.6">
      <c r="A946" s="1"/>
      <c r="B946" s="6"/>
      <c r="C946" s="1"/>
      <c r="D946" s="42"/>
      <c r="E946" s="3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21.75" customHeight="1" x14ac:dyDescent="0.6">
      <c r="A947" s="1"/>
      <c r="B947" s="6"/>
      <c r="C947" s="1"/>
      <c r="D947" s="42"/>
      <c r="E947" s="3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21.75" customHeight="1" x14ac:dyDescent="0.6">
      <c r="A948" s="1"/>
      <c r="B948" s="6"/>
      <c r="C948" s="1"/>
      <c r="D948" s="42"/>
      <c r="E948" s="3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21.75" customHeight="1" x14ac:dyDescent="0.6">
      <c r="A949" s="1"/>
      <c r="B949" s="6"/>
      <c r="C949" s="1"/>
      <c r="D949" s="42"/>
      <c r="E949" s="3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21.75" customHeight="1" x14ac:dyDescent="0.6">
      <c r="A950" s="1"/>
      <c r="B950" s="6"/>
      <c r="C950" s="1"/>
      <c r="D950" s="42"/>
      <c r="E950" s="3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</sheetData>
  <mergeCells count="3">
    <mergeCell ref="A1:A2"/>
    <mergeCell ref="B1:C1"/>
    <mergeCell ref="E1:E2"/>
  </mergeCells>
  <pageMargins left="0.511811024" right="0.511811024" top="0.78740157499999996" bottom="0.78740157499999996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G29"/>
  <sheetViews>
    <sheetView showGridLines="0" zoomScale="70" zoomScaleNormal="70" workbookViewId="0">
      <pane xSplit="2" topLeftCell="C1" activePane="topRight" state="frozen"/>
      <selection pane="topRight" activeCell="Q23" sqref="Q23"/>
    </sheetView>
  </sheetViews>
  <sheetFormatPr defaultRowHeight="15" x14ac:dyDescent="0.25"/>
  <cols>
    <col min="2" max="2" width="62.85546875" customWidth="1"/>
    <col min="3" max="3" width="22.140625" customWidth="1"/>
    <col min="4" max="4" width="21" customWidth="1"/>
    <col min="5" max="5" width="19.7109375" customWidth="1"/>
    <col min="6" max="6" width="22.85546875" customWidth="1"/>
    <col min="7" max="7" width="18.85546875" customWidth="1"/>
    <col min="8" max="8" width="17.5703125" customWidth="1"/>
    <col min="9" max="9" width="18.85546875" customWidth="1"/>
    <col min="10" max="10" width="17.5703125" customWidth="1"/>
    <col min="11" max="11" width="18.85546875" customWidth="1"/>
    <col min="12" max="14" width="17.5703125" customWidth="1"/>
    <col min="15" max="15" width="18.85546875" customWidth="1"/>
    <col min="16" max="16" width="20.28515625" customWidth="1"/>
    <col min="17" max="17" width="18.85546875" customWidth="1"/>
    <col min="18" max="18" width="20.28515625" bestFit="1" customWidth="1"/>
    <col min="19" max="19" width="19" customWidth="1"/>
    <col min="20" max="20" width="21.28515625" bestFit="1" customWidth="1"/>
    <col min="21" max="24" width="21.28515625" customWidth="1"/>
    <col min="25" max="25" width="17" bestFit="1" customWidth="1"/>
    <col min="26" max="26" width="21.28515625" bestFit="1" customWidth="1"/>
    <col min="27" max="27" width="13.42578125" customWidth="1"/>
    <col min="28" max="29" width="17" style="38" customWidth="1"/>
    <col min="30" max="31" width="14.28515625" customWidth="1"/>
    <col min="32" max="32" width="17.28515625" customWidth="1"/>
  </cols>
  <sheetData>
    <row r="1" spans="2:33" ht="13.9" customHeight="1" thickBot="1" x14ac:dyDescent="0.3"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38"/>
    </row>
    <row r="2" spans="2:33" ht="13.9" customHeight="1" thickBot="1" x14ac:dyDescent="0.3">
      <c r="C2" s="36" t="s">
        <v>48</v>
      </c>
      <c r="D2" s="24">
        <v>5439</v>
      </c>
      <c r="E2" s="36" t="s">
        <v>48</v>
      </c>
      <c r="F2" s="24">
        <v>6348.51</v>
      </c>
      <c r="G2" s="36" t="s">
        <v>48</v>
      </c>
      <c r="H2" s="24"/>
      <c r="I2" s="36" t="s">
        <v>48</v>
      </c>
      <c r="J2" s="24"/>
      <c r="K2" s="36" t="s">
        <v>48</v>
      </c>
      <c r="L2" s="24"/>
      <c r="M2" s="36" t="s">
        <v>48</v>
      </c>
      <c r="N2" s="24"/>
      <c r="U2" s="69" t="s">
        <v>48</v>
      </c>
      <c r="V2" s="70"/>
      <c r="W2" s="69" t="s">
        <v>48</v>
      </c>
      <c r="X2" s="70"/>
      <c r="Y2" s="69" t="s">
        <v>48</v>
      </c>
      <c r="Z2" s="70"/>
      <c r="AA2" s="69" t="s">
        <v>48</v>
      </c>
      <c r="AB2" s="70"/>
      <c r="AC2" s="69" t="s">
        <v>48</v>
      </c>
      <c r="AD2" s="70"/>
      <c r="AE2" s="68"/>
      <c r="AF2" s="68"/>
      <c r="AG2" s="38"/>
    </row>
    <row r="3" spans="2:33" ht="13.9" customHeight="1" x14ac:dyDescent="0.25">
      <c r="C3" s="36" t="s">
        <v>23</v>
      </c>
      <c r="D3" s="51">
        <v>44942</v>
      </c>
      <c r="E3" s="36" t="s">
        <v>23</v>
      </c>
      <c r="F3" s="51">
        <v>45170</v>
      </c>
      <c r="G3" s="36" t="s">
        <v>23</v>
      </c>
      <c r="H3" s="51">
        <v>45627</v>
      </c>
      <c r="I3" s="36" t="s">
        <v>23</v>
      </c>
      <c r="J3" s="51">
        <v>45139</v>
      </c>
      <c r="K3" s="36" t="s">
        <v>23</v>
      </c>
      <c r="L3" s="166">
        <v>45108</v>
      </c>
      <c r="M3" s="36" t="s">
        <v>23</v>
      </c>
      <c r="N3" s="51">
        <v>45017</v>
      </c>
      <c r="U3" s="69" t="s">
        <v>23</v>
      </c>
      <c r="V3" s="71">
        <v>44866</v>
      </c>
      <c r="W3" s="69" t="s">
        <v>23</v>
      </c>
      <c r="X3" s="71">
        <v>44256</v>
      </c>
      <c r="Y3" s="69" t="s">
        <v>23</v>
      </c>
      <c r="Z3" s="71">
        <v>44958</v>
      </c>
      <c r="AA3" s="69" t="s">
        <v>23</v>
      </c>
      <c r="AB3" s="72">
        <v>45047</v>
      </c>
      <c r="AC3" s="69" t="s">
        <v>23</v>
      </c>
      <c r="AD3" s="72">
        <v>45261</v>
      </c>
      <c r="AE3" s="69" t="s">
        <v>23</v>
      </c>
      <c r="AF3" s="71">
        <v>44774</v>
      </c>
      <c r="AG3" s="38"/>
    </row>
    <row r="4" spans="2:33" ht="13.9" customHeight="1" thickBot="1" x14ac:dyDescent="0.3">
      <c r="C4" s="37" t="s">
        <v>26</v>
      </c>
      <c r="D4" s="32">
        <v>2912</v>
      </c>
      <c r="E4" s="37" t="s">
        <v>26</v>
      </c>
      <c r="F4" s="32">
        <v>2841.51</v>
      </c>
      <c r="G4" s="37" t="s">
        <v>26</v>
      </c>
      <c r="H4" s="32">
        <v>2868.56</v>
      </c>
      <c r="I4" s="37" t="s">
        <v>26</v>
      </c>
      <c r="J4" s="32">
        <v>2750.52</v>
      </c>
      <c r="K4" s="37" t="s">
        <v>26</v>
      </c>
      <c r="L4" s="32">
        <v>2747.9</v>
      </c>
      <c r="M4" s="37" t="s">
        <v>26</v>
      </c>
      <c r="N4" s="32">
        <v>2680.84</v>
      </c>
      <c r="O4" t="e">
        <f>170/J2</f>
        <v>#DIV/0!</v>
      </c>
      <c r="U4" s="73" t="s">
        <v>26</v>
      </c>
      <c r="V4" s="74">
        <v>2633.22</v>
      </c>
      <c r="W4" s="73" t="s">
        <v>26</v>
      </c>
      <c r="X4" s="74">
        <v>2140.56</v>
      </c>
      <c r="Y4" s="73" t="s">
        <v>26</v>
      </c>
      <c r="Z4" s="74">
        <v>2662.47</v>
      </c>
      <c r="AA4" s="73" t="s">
        <v>26</v>
      </c>
      <c r="AB4" s="74">
        <v>2688.94</v>
      </c>
      <c r="AC4" s="73" t="s">
        <v>26</v>
      </c>
      <c r="AD4" s="74">
        <v>2752.67</v>
      </c>
      <c r="AE4" s="73" t="s">
        <v>26</v>
      </c>
      <c r="AF4" s="74">
        <v>2572.5500000000002</v>
      </c>
    </row>
    <row r="5" spans="2:33" ht="13.9" customHeight="1" thickBot="1" x14ac:dyDescent="0.3">
      <c r="F5" s="127"/>
      <c r="P5" s="38"/>
      <c r="Q5" s="3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</row>
    <row r="6" spans="2:33" ht="19.149999999999999" customHeight="1" thickBot="1" x14ac:dyDescent="0.3">
      <c r="C6" s="176" t="s">
        <v>112</v>
      </c>
      <c r="D6" s="177"/>
      <c r="E6" s="176" t="s">
        <v>114</v>
      </c>
      <c r="F6" s="177"/>
      <c r="G6" s="176" t="s">
        <v>115</v>
      </c>
      <c r="H6" s="181"/>
      <c r="I6" s="176" t="s">
        <v>117</v>
      </c>
      <c r="J6" s="181"/>
      <c r="K6" s="176" t="s">
        <v>118</v>
      </c>
      <c r="L6" s="181"/>
      <c r="M6" s="176" t="s">
        <v>119</v>
      </c>
      <c r="N6" s="177"/>
      <c r="P6" s="67" t="s">
        <v>29</v>
      </c>
      <c r="Q6" s="67"/>
      <c r="U6" s="178" t="s">
        <v>35</v>
      </c>
      <c r="V6" s="179"/>
      <c r="W6" s="178" t="s">
        <v>36</v>
      </c>
      <c r="X6" s="180"/>
      <c r="Y6" s="75" t="s">
        <v>39</v>
      </c>
      <c r="Z6" s="77"/>
      <c r="AA6" s="75" t="s">
        <v>40</v>
      </c>
      <c r="AB6" s="77"/>
      <c r="AC6" s="76" t="s">
        <v>41</v>
      </c>
      <c r="AD6" s="77"/>
      <c r="AE6" s="75" t="s">
        <v>34</v>
      </c>
      <c r="AF6" s="77"/>
    </row>
    <row r="7" spans="2:33" ht="19.149999999999999" customHeight="1" thickBot="1" x14ac:dyDescent="0.3">
      <c r="B7" s="18"/>
      <c r="C7" s="35" t="s">
        <v>27</v>
      </c>
      <c r="D7" s="35" t="s">
        <v>28</v>
      </c>
      <c r="E7" s="35" t="s">
        <v>27</v>
      </c>
      <c r="F7" s="35" t="s">
        <v>28</v>
      </c>
      <c r="G7" s="35" t="s">
        <v>27</v>
      </c>
      <c r="H7" s="35" t="s">
        <v>28</v>
      </c>
      <c r="I7" s="35" t="s">
        <v>27</v>
      </c>
      <c r="J7" s="35" t="s">
        <v>28</v>
      </c>
      <c r="K7" s="35"/>
      <c r="L7" s="35"/>
      <c r="M7" s="152" t="s">
        <v>27</v>
      </c>
      <c r="N7" s="153" t="s">
        <v>28</v>
      </c>
      <c r="P7" s="39" t="s">
        <v>30</v>
      </c>
      <c r="Q7" s="39" t="s">
        <v>31</v>
      </c>
      <c r="U7" s="78" t="s">
        <v>27</v>
      </c>
      <c r="V7" s="78" t="s">
        <v>28</v>
      </c>
      <c r="W7" s="79" t="s">
        <v>27</v>
      </c>
      <c r="X7" s="80" t="s">
        <v>28</v>
      </c>
      <c r="Y7" s="78" t="s">
        <v>27</v>
      </c>
      <c r="Z7" s="78" t="s">
        <v>28</v>
      </c>
      <c r="AA7" s="79" t="s">
        <v>27</v>
      </c>
      <c r="AB7" s="80" t="s">
        <v>28</v>
      </c>
      <c r="AC7" s="78" t="s">
        <v>27</v>
      </c>
      <c r="AD7" s="78" t="s">
        <v>28</v>
      </c>
      <c r="AE7" s="78" t="s">
        <v>27</v>
      </c>
      <c r="AF7" s="78" t="s">
        <v>28</v>
      </c>
    </row>
    <row r="8" spans="2:33" ht="19.149999999999999" customHeight="1" x14ac:dyDescent="0.25">
      <c r="B8" s="27" t="s">
        <v>17</v>
      </c>
      <c r="C8" s="30">
        <v>487.93</v>
      </c>
      <c r="D8" s="48">
        <f>(ORÇAMENTO_EXECUTIVO!$B$23/CÁLCULO_MÉDIAS!D$4)*C8</f>
        <v>487.23463272664833</v>
      </c>
      <c r="E8" s="31">
        <v>423.47</v>
      </c>
      <c r="F8" s="48">
        <f>(ORÇAMENTO_EXECUTIVO!$B$23/CÁLCULO_MÉDIAS!F$4)*E8</f>
        <v>433.3566447065117</v>
      </c>
      <c r="G8" s="165">
        <v>552.82000000000005</v>
      </c>
      <c r="H8" s="48">
        <f>(ORÇAMENTO_EXECUTIVO!$B$23/CÁLCULO_MÉDIAS!H$4)*G8</f>
        <v>560.39184712887311</v>
      </c>
      <c r="I8" s="165">
        <v>521.71</v>
      </c>
      <c r="J8" s="48">
        <f>(ORÇAMENTO_EXECUTIVO!$B$23/CÁLCULO_MÉDIAS!J$4)*I8</f>
        <v>551.55186055727643</v>
      </c>
      <c r="K8" s="165">
        <v>419.37</v>
      </c>
      <c r="L8" s="48">
        <f>(ORÇAMENTO_EXECUTIVO!$B$23/CÁLCULO_MÉDIAS!L$4)*K8</f>
        <v>443.78072509916655</v>
      </c>
      <c r="M8" s="154">
        <v>442.77550191717933</v>
      </c>
      <c r="N8" s="155">
        <f>([3]ORÇAMENTO_EXECUTIVO!$B$19/[3]CÁLCULO_MÉDIAS!N$4)*M8</f>
        <v>455.02068466293798</v>
      </c>
      <c r="P8" s="40">
        <v>440</v>
      </c>
      <c r="Q8" s="40">
        <v>560</v>
      </c>
      <c r="R8" s="162">
        <f ca="1">ANÁLISE_CUSTOS!C3</f>
        <v>503.85675770074931</v>
      </c>
      <c r="U8" s="81">
        <v>330.18696215430151</v>
      </c>
      <c r="V8" s="82" t="e">
        <f>(ORÇAMENTO_EXECUTIVO!#REF!/CÁLCULO_MÉDIAS!V$4)*U8</f>
        <v>#REF!</v>
      </c>
      <c r="W8" s="81">
        <f>53.76+152.58</f>
        <v>206.34</v>
      </c>
      <c r="X8" s="83" t="e">
        <f>(ORÇAMENTO_EXECUTIVO!#REF!/CÁLCULO_MÉDIAS!X$4)*W8</f>
        <v>#REF!</v>
      </c>
      <c r="Y8" s="81">
        <v>425.96973518284994</v>
      </c>
      <c r="Z8" s="83" t="e">
        <f>(ORÇAMENTO_EXECUTIVO!#REF!/CÁLCULO_MÉDIAS!Z$4)*Y8</f>
        <v>#REF!</v>
      </c>
      <c r="AA8" s="84">
        <f>306.853550565509+12.39</f>
        <v>319.243550565509</v>
      </c>
      <c r="AB8" s="83" t="e">
        <f>(ORÇAMENTO_EXECUTIVO!#REF!/CÁLCULO_MÉDIAS!AB$4)*AA8</f>
        <v>#REF!</v>
      </c>
      <c r="AC8" s="85">
        <v>393.04915498123785</v>
      </c>
      <c r="AD8" s="83" t="e">
        <f>(ORÇAMENTO_EXECUTIVO!#REF!/CÁLCULO_MÉDIAS!AD$4)*AC8</f>
        <v>#REF!</v>
      </c>
      <c r="AE8" s="81">
        <v>307.8011910864052</v>
      </c>
      <c r="AF8" s="82" t="e">
        <f>(ORÇAMENTO_EXECUTIVO!#REF!/CÁLCULO_MÉDIAS!AF$4)*AE8</f>
        <v>#REF!</v>
      </c>
    </row>
    <row r="9" spans="2:33" ht="19.149999999999999" customHeight="1" x14ac:dyDescent="0.25">
      <c r="B9" s="28" t="s">
        <v>3</v>
      </c>
      <c r="C9" s="30">
        <v>12.08</v>
      </c>
      <c r="D9" s="48">
        <f>(ORÇAMENTO_EXECUTIVO!$B$23/CÁLCULO_MÉDIAS!D$4)*C9</f>
        <v>12.06278434065934</v>
      </c>
      <c r="E9" s="31">
        <v>22.65</v>
      </c>
      <c r="F9" s="48">
        <f>(ORÇAMENTO_EXECUTIVO!$B$23/CÁLCULO_MÉDIAS!F$4)*E9</f>
        <v>23.178803699441492</v>
      </c>
      <c r="G9" s="165">
        <v>41.97</v>
      </c>
      <c r="H9" s="48">
        <f>(ORÇAMENTO_EXECUTIVO!$B$23/CÁLCULO_MÉDIAS!H$4)*G9</f>
        <v>42.544853341049169</v>
      </c>
      <c r="I9" s="165">
        <v>16.84</v>
      </c>
      <c r="J9" s="48">
        <f>(ORÇAMENTO_EXECUTIVO!$B$23/CÁLCULO_MÉDIAS!J$4)*I9</f>
        <v>17.803249567354534</v>
      </c>
      <c r="K9" s="165">
        <v>7.37</v>
      </c>
      <c r="L9" s="48">
        <f>(ORÇAMENTO_EXECUTIVO!$B$23/CÁLCULO_MÉDIAS!L$4)*K9</f>
        <v>7.7989935951089908</v>
      </c>
      <c r="M9" s="154">
        <v>8.7629938231271254</v>
      </c>
      <c r="N9" s="155">
        <f>([3]ORÇAMENTO_EXECUTIVO!$B$19/[3]CÁLCULO_MÉDIAS!N$4)*M9</f>
        <v>9.0053388948384718</v>
      </c>
      <c r="P9" s="169">
        <v>16</v>
      </c>
      <c r="Q9" s="169">
        <v>55</v>
      </c>
      <c r="R9" s="162">
        <f ca="1">ANÁLISE_CUSTOS!C4</f>
        <v>52.248048405057183</v>
      </c>
      <c r="U9" s="81">
        <v>0</v>
      </c>
      <c r="V9" s="82" t="e">
        <f>(ORÇAMENTO_EXECUTIVO!#REF!/CÁLCULO_MÉDIAS!V$4)*U9</f>
        <v>#REF!</v>
      </c>
      <c r="W9" s="81">
        <v>0</v>
      </c>
      <c r="X9" s="83" t="e">
        <f>(ORÇAMENTO_EXECUTIVO!#REF!/CÁLCULO_MÉDIAS!X$4)*W9</f>
        <v>#REF!</v>
      </c>
      <c r="Y9" s="81">
        <v>19.587790125287146</v>
      </c>
      <c r="Z9" s="83" t="e">
        <f>(ORÇAMENTO_EXECUTIVO!#REF!/CÁLCULO_MÉDIAS!Z$4)*Y9</f>
        <v>#REF!</v>
      </c>
      <c r="AA9" s="84">
        <v>26.515284956661631</v>
      </c>
      <c r="AB9" s="83" t="e">
        <f>(ORÇAMENTO_EXECUTIVO!#REF!/CÁLCULO_MÉDIAS!AB$4)*AA9</f>
        <v>#REF!</v>
      </c>
      <c r="AC9" s="86">
        <v>17.922886030292219</v>
      </c>
      <c r="AD9" s="83" t="e">
        <f>(ORÇAMENTO_EXECUTIVO!#REF!/CÁLCULO_MÉDIAS!AD$4)*AC9</f>
        <v>#REF!</v>
      </c>
      <c r="AE9" s="81">
        <v>0</v>
      </c>
      <c r="AF9" s="82" t="e">
        <f>(ORÇAMENTO_EXECUTIVO!#REF!/CÁLCULO_MÉDIAS!AF$4)*AE9</f>
        <v>#REF!</v>
      </c>
    </row>
    <row r="10" spans="2:33" ht="19.149999999999999" customHeight="1" x14ac:dyDescent="0.25">
      <c r="B10" s="29" t="s">
        <v>129</v>
      </c>
      <c r="C10" s="30">
        <v>157.75</v>
      </c>
      <c r="D10" s="48">
        <f>(ORÇAMENTO_EXECUTIVO!$B$23/CÁLCULO_MÉDIAS!D$4)*C10</f>
        <v>157.52518458104396</v>
      </c>
      <c r="E10" s="31">
        <v>208.83</v>
      </c>
      <c r="F10" s="48">
        <f>(ORÇAMENTO_EXECUTIVO!$B$23/CÁLCULO_MÉDIAS!F$4)*E10</f>
        <v>213.7055000686255</v>
      </c>
      <c r="G10" s="31">
        <v>258.58999999999997</v>
      </c>
      <c r="H10" s="48">
        <f>(ORÇAMENTO_EXECUTIVO!$B$23/CÁLCULO_MÉDIAS!H$4)*G10</f>
        <v>262.13184716373371</v>
      </c>
      <c r="I10" s="165">
        <v>343.98</v>
      </c>
      <c r="J10" s="48">
        <f>(ORÇAMENTO_EXECUTIVO!$B$23/CÁLCULO_MÉDIAS!J$4)*I10</f>
        <v>363.65568801535704</v>
      </c>
      <c r="K10" s="165">
        <v>183.12</v>
      </c>
      <c r="L10" s="48">
        <f>(ORÇAMENTO_EXECUTIVO!$B$23/CÁLCULO_MÉDIAS!L$4)*K10</f>
        <v>193.77906474034714</v>
      </c>
      <c r="M10" s="156">
        <v>208.18333767919924</v>
      </c>
      <c r="N10" s="155">
        <f>([3]ORÇAMENTO_EXECUTIVO!$B$19/[3]CÁLCULO_MÉDIAS!N$4)*M10</f>
        <v>213.9407542559199</v>
      </c>
      <c r="P10" s="169">
        <v>320</v>
      </c>
      <c r="Q10" s="169">
        <v>480</v>
      </c>
      <c r="R10" s="162">
        <f ca="1">ANÁLISE_CUSTOS!C5</f>
        <v>540.52122233864884</v>
      </c>
      <c r="U10" s="81">
        <v>138.77425406952631</v>
      </c>
      <c r="V10" s="82" t="e">
        <f>(ORÇAMENTO_EXECUTIVO!#REF!/CÁLCULO_MÉDIAS!V$4)*U10</f>
        <v>#REF!</v>
      </c>
      <c r="W10" s="81">
        <v>203.75</v>
      </c>
      <c r="X10" s="83" t="e">
        <f>(ORÇAMENTO_EXECUTIVO!#REF!/CÁLCULO_MÉDIAS!X$4)*W10</f>
        <v>#REF!</v>
      </c>
      <c r="Y10" s="87">
        <v>195.59039548493175</v>
      </c>
      <c r="Z10" s="83" t="e">
        <f>(ORÇAMENTO_EXECUTIVO!#REF!/CÁLCULO_MÉDIAS!Z$4)*Y10</f>
        <v>#REF!</v>
      </c>
      <c r="AA10" s="87">
        <f>268.371509227372+41.56</f>
        <v>309.93150922737198</v>
      </c>
      <c r="AB10" s="83" t="e">
        <f>(ORÇAMENTO_EXECUTIVO!#REF!/CÁLCULO_MÉDIAS!AB$4)*AA10</f>
        <v>#REF!</v>
      </c>
      <c r="AC10" s="86">
        <v>227.462505499282</v>
      </c>
      <c r="AD10" s="83" t="e">
        <f>(ORÇAMENTO_EXECUTIVO!#REF!/CÁLCULO_MÉDIAS!AD$4)*AC10</f>
        <v>#REF!</v>
      </c>
      <c r="AE10" s="88">
        <v>145.26</v>
      </c>
      <c r="AF10" s="82" t="e">
        <f>(ORÇAMENTO_EXECUTIVO!#REF!/CÁLCULO_MÉDIAS!AF$4)*AE10</f>
        <v>#REF!</v>
      </c>
    </row>
    <row r="11" spans="2:33" ht="19.149999999999999" customHeight="1" x14ac:dyDescent="0.25">
      <c r="B11" s="28" t="s">
        <v>5</v>
      </c>
      <c r="C11" s="30">
        <v>578.45000000000005</v>
      </c>
      <c r="D11" s="48">
        <f>(ORÇAMENTO_EXECUTIVO!$B$23/CÁLCULO_MÉDIAS!D$4)*C11</f>
        <v>577.6256292925824</v>
      </c>
      <c r="E11" s="31">
        <v>753.01</v>
      </c>
      <c r="F11" s="48">
        <f>(ORÇAMENTO_EXECUTIVO!$B$23/CÁLCULO_MÉDIAS!F$4)*E11</f>
        <v>770.59032996540566</v>
      </c>
      <c r="G11" s="31">
        <v>625.12</v>
      </c>
      <c r="H11" s="48">
        <f>(ORÇAMENTO_EXECUTIVO!$B$23/CÁLCULO_MÉDIAS!H$4)*G11</f>
        <v>633.68212343475477</v>
      </c>
      <c r="I11" s="165">
        <v>475.74</v>
      </c>
      <c r="J11" s="48">
        <f>(ORÇAMENTO_EXECUTIVO!$B$23/CÁLCULO_MÉDIAS!J$4)*I11</f>
        <v>502.95237227869632</v>
      </c>
      <c r="K11" s="165">
        <v>683.36</v>
      </c>
      <c r="L11" s="48">
        <f>(ORÇAMENTO_EXECUTIVO!$B$23/CÁLCULO_MÉDIAS!L$4)*K11</f>
        <v>723.13707776847764</v>
      </c>
      <c r="M11" s="156">
        <v>711.62605855617983</v>
      </c>
      <c r="N11" s="155">
        <f>([3]ORÇAMENTO_EXECUTIVO!$B$19/[3]CÁLCULO_MÉDIAS!N$4)*M11</f>
        <v>731.30644081746925</v>
      </c>
      <c r="P11" s="40">
        <v>580</v>
      </c>
      <c r="Q11" s="40">
        <v>730</v>
      </c>
      <c r="R11" s="162">
        <f ca="1">ANÁLISE_CUSTOS!C6</f>
        <v>670.41373908473429</v>
      </c>
      <c r="U11" s="81">
        <v>138.77425406952631</v>
      </c>
      <c r="V11" s="82" t="e">
        <f>(ORÇAMENTO_EXECUTIVO!#REF!/CÁLCULO_MÉDIAS!V$4)*U11</f>
        <v>#REF!</v>
      </c>
      <c r="W11" s="81">
        <v>203.75</v>
      </c>
      <c r="X11" s="83" t="e">
        <f>(ORÇAMENTO_EXECUTIVO!#REF!/CÁLCULO_MÉDIAS!X$4)*W11</f>
        <v>#REF!</v>
      </c>
      <c r="Y11" s="87">
        <v>195.59039548493175</v>
      </c>
      <c r="Z11" s="83" t="e">
        <f>(ORÇAMENTO_EXECUTIVO!#REF!/CÁLCULO_MÉDIAS!Z$4)*Y11</f>
        <v>#REF!</v>
      </c>
      <c r="AA11" s="87">
        <f>268.371509227372+41.56</f>
        <v>309.93150922737198</v>
      </c>
      <c r="AB11" s="83" t="e">
        <f>(ORÇAMENTO_EXECUTIVO!#REF!/CÁLCULO_MÉDIAS!AB$4)*AA11</f>
        <v>#REF!</v>
      </c>
      <c r="AC11" s="86">
        <v>227.462505499282</v>
      </c>
      <c r="AD11" s="83" t="e">
        <f>(ORÇAMENTO_EXECUTIVO!#REF!/CÁLCULO_MÉDIAS!AD$4)*AC11</f>
        <v>#REF!</v>
      </c>
      <c r="AE11" s="88">
        <v>145.26</v>
      </c>
      <c r="AF11" s="82" t="e">
        <f>(ORÇAMENTO_EXECUTIVO!#REF!/CÁLCULO_MÉDIAS!AF$4)*AE11</f>
        <v>#REF!</v>
      </c>
    </row>
    <row r="12" spans="2:33" ht="19.149999999999999" customHeight="1" x14ac:dyDescent="0.25">
      <c r="B12" s="29" t="s">
        <v>6</v>
      </c>
      <c r="C12" s="30">
        <v>112.59</v>
      </c>
      <c r="D12" s="48">
        <f>(ORÇAMENTO_EXECUTIVO!$B$23/CÁLCULO_MÉDIAS!D$4)*C12</f>
        <v>112.42954378434067</v>
      </c>
      <c r="E12" s="31">
        <v>134.08000000000001</v>
      </c>
      <c r="F12" s="48">
        <f>(ORÇAMENTO_EXECUTIVO!$B$23/CÁLCULO_MÉDIAS!F$4)*E12</f>
        <v>137.21033112676008</v>
      </c>
      <c r="G12" s="31">
        <v>123.09</v>
      </c>
      <c r="H12" s="48">
        <f>(ORÇAMENTO_EXECUTIVO!$B$23/CÁLCULO_MÉDIAS!H$4)*G12</f>
        <v>124.7759351381878</v>
      </c>
      <c r="I12" s="165">
        <v>115.25</v>
      </c>
      <c r="J12" s="48">
        <f>(ORÇAMENTO_EXECUTIVO!$B$23/CÁLCULO_MÉDIAS!J$4)*I12</f>
        <v>121.84231072669894</v>
      </c>
      <c r="K12" s="165">
        <v>122.17</v>
      </c>
      <c r="L12" s="48">
        <f>(ORÇAMENTO_EXECUTIVO!$B$23/CÁLCULO_MÉDIAS!L$4)*K12</f>
        <v>129.28128188798718</v>
      </c>
      <c r="M12" s="156">
        <v>157.31379763156266</v>
      </c>
      <c r="N12" s="155">
        <f>([3]ORÇAMENTO_EXECUTIVO!$B$19/[3]CÁLCULO_MÉDIAS!N$4)*M12</f>
        <v>161.66439108600383</v>
      </c>
      <c r="P12" s="40">
        <v>115</v>
      </c>
      <c r="Q12" s="40">
        <v>160</v>
      </c>
      <c r="R12" s="162">
        <f ca="1">ANÁLISE_CUSTOS!C7</f>
        <v>146.24882466541405</v>
      </c>
      <c r="U12" s="81">
        <v>440.21002903329872</v>
      </c>
      <c r="V12" s="82" t="e">
        <f>(ORÇAMENTO_EXECUTIVO!#REF!/CÁLCULO_MÉDIAS!V$4)*U12</f>
        <v>#REF!</v>
      </c>
      <c r="W12" s="81">
        <v>516.11</v>
      </c>
      <c r="X12" s="83" t="e">
        <f>(ORÇAMENTO_EXECUTIVO!#REF!/CÁLCULO_MÉDIAS!X$4)*W12</f>
        <v>#REF!</v>
      </c>
      <c r="Y12" s="87">
        <v>730.88828937483026</v>
      </c>
      <c r="Z12" s="83" t="e">
        <f>(ORÇAMENTO_EXECUTIVO!#REF!/CÁLCULO_MÉDIAS!Z$4)*Y12</f>
        <v>#REF!</v>
      </c>
      <c r="AA12" s="87">
        <f>424.075395917568+352.64</f>
        <v>776.715395917568</v>
      </c>
      <c r="AB12" s="83" t="e">
        <f>(ORÇAMENTO_EXECUTIVO!#REF!/CÁLCULO_MÉDIAS!AB$4)*AA12</f>
        <v>#REF!</v>
      </c>
      <c r="AC12" s="86">
        <v>753.33240754557448</v>
      </c>
      <c r="AD12" s="83" t="e">
        <f>(ORÇAMENTO_EXECUTIVO!#REF!/CÁLCULO_MÉDIAS!AD$4)*AC12</f>
        <v>#REF!</v>
      </c>
      <c r="AE12" s="88">
        <v>684.09</v>
      </c>
      <c r="AF12" s="82" t="e">
        <f>(ORÇAMENTO_EXECUTIVO!#REF!/CÁLCULO_MÉDIAS!AF$4)*AE12</f>
        <v>#REF!</v>
      </c>
    </row>
    <row r="13" spans="2:33" ht="19.149999999999999" customHeight="1" x14ac:dyDescent="0.25">
      <c r="B13" s="28" t="s">
        <v>7</v>
      </c>
      <c r="C13" s="30">
        <v>240.74</v>
      </c>
      <c r="D13" s="48">
        <f>(ORÇAMENTO_EXECUTIVO!$B$23/CÁLCULO_MÉDIAS!D$4)*C13</f>
        <v>240.3969124313187</v>
      </c>
      <c r="E13" s="31">
        <v>379.84</v>
      </c>
      <c r="F13" s="48">
        <f>(ORÇAMENTO_EXECUTIVO!$B$23/CÁLCULO_MÉDIAS!F$4)*E13</f>
        <v>388.70802636626297</v>
      </c>
      <c r="G13" s="31">
        <v>370.77</v>
      </c>
      <c r="H13" s="48">
        <f>(ORÇAMENTO_EXECUTIVO!$B$23/CÁLCULO_MÉDIAS!H$4)*G13</f>
        <v>375.8483505661377</v>
      </c>
      <c r="I13" s="165">
        <v>302.35000000000002</v>
      </c>
      <c r="J13" s="48">
        <f>(ORÇAMENTO_EXECUTIVO!$B$23/CÁLCULO_MÉDIAS!J$4)*I13</f>
        <v>319.64444814071521</v>
      </c>
      <c r="K13" s="165">
        <v>330.16</v>
      </c>
      <c r="L13" s="48">
        <f>(ORÇAMENTO_EXECUTIVO!$B$23/CÁLCULO_MÉDIAS!L$4)*K13</f>
        <v>349.37798173150401</v>
      </c>
      <c r="M13" s="156">
        <v>316.91945992831359</v>
      </c>
      <c r="N13" s="155">
        <f>([3]ORÇAMENTO_EXECUTIVO!$B$19/[3]CÁLCULO_MÉDIAS!N$4)*M13</f>
        <v>325.68402952556113</v>
      </c>
      <c r="P13" s="40">
        <v>240</v>
      </c>
      <c r="Q13" s="40">
        <v>380</v>
      </c>
      <c r="R13" s="162">
        <f ca="1">ANÁLISE_CUSTOS!C8</f>
        <v>359.49386259426626</v>
      </c>
      <c r="U13" s="81">
        <v>119.63618870107992</v>
      </c>
      <c r="V13" s="82" t="e">
        <f>(ORÇAMENTO_EXECUTIVO!#REF!/CÁLCULO_MÉDIAS!V$4)*U13</f>
        <v>#REF!</v>
      </c>
      <c r="W13" s="81">
        <v>87.63</v>
      </c>
      <c r="X13" s="83" t="e">
        <f>(ORÇAMENTO_EXECUTIVO!#REF!/CÁLCULO_MÉDIAS!X$4)*W13</f>
        <v>#REF!</v>
      </c>
      <c r="Y13" s="87">
        <v>119.11837394906888</v>
      </c>
      <c r="Z13" s="83" t="e">
        <f>(ORÇAMENTO_EXECUTIVO!#REF!/CÁLCULO_MÉDIAS!Z$4)*Y13</f>
        <v>#REF!</v>
      </c>
      <c r="AA13" s="87">
        <f>45.9182137373762+52.78</f>
        <v>98.698213737376193</v>
      </c>
      <c r="AB13" s="83" t="e">
        <f>(ORÇAMENTO_EXECUTIVO!#REF!/CÁLCULO_MÉDIAS!AB$4)*AA13</f>
        <v>#REF!</v>
      </c>
      <c r="AC13" s="86">
        <v>120.12284291214054</v>
      </c>
      <c r="AD13" s="83" t="e">
        <f>(ORÇAMENTO_EXECUTIVO!#REF!/CÁLCULO_MÉDIAS!AD$4)*AC13</f>
        <v>#REF!</v>
      </c>
      <c r="AE13" s="88">
        <v>102.26703338940926</v>
      </c>
      <c r="AF13" s="82" t="e">
        <f>(ORÇAMENTO_EXECUTIVO!#REF!/CÁLCULO_MÉDIAS!AF$4)*AE13</f>
        <v>#REF!</v>
      </c>
    </row>
    <row r="14" spans="2:33" ht="19.149999999999999" customHeight="1" x14ac:dyDescent="0.25">
      <c r="B14" s="29" t="s">
        <v>22</v>
      </c>
      <c r="C14" s="30">
        <v>244.08</v>
      </c>
      <c r="D14" s="48">
        <f>(ORÇAMENTO_EXECUTIVO!$B$23/CÁLCULO_MÉDIAS!D$4)*C14</f>
        <v>243.73215247252747</v>
      </c>
      <c r="E14" s="31">
        <v>170.87</v>
      </c>
      <c r="F14" s="48">
        <f>(ORÇAMENTO_EXECUTIVO!$B$23/CÁLCULO_MÉDIAS!F$4)*E14</f>
        <v>174.85925775379991</v>
      </c>
      <c r="G14" s="31">
        <v>154.29</v>
      </c>
      <c r="H14" s="48">
        <f>(ORÇAMENTO_EXECUTIVO!$B$23/CÁLCULO_MÉDIAS!H$4)*G14</f>
        <v>156.40327429093344</v>
      </c>
      <c r="I14" s="165">
        <v>169.4</v>
      </c>
      <c r="J14" s="48">
        <f>(ORÇAMENTO_EXECUTIVO!$B$23/CÁLCULO_MÉDIAS!J$4)*I14</f>
        <v>179.08969576661866</v>
      </c>
      <c r="K14" s="165">
        <v>147.26</v>
      </c>
      <c r="L14" s="48">
        <f>(ORÇAMENTO_EXECUTIVO!$B$23/CÁLCULO_MÉDIAS!L$4)*K14</f>
        <v>155.83172277011533</v>
      </c>
      <c r="M14" s="156">
        <v>199.01666021800719</v>
      </c>
      <c r="N14" s="155">
        <f>([3]ORÇAMENTO_EXECUTIVO!$B$19/[3]CÁLCULO_MÉDIAS!N$4)*M14</f>
        <v>204.52056764573993</v>
      </c>
      <c r="P14" s="40">
        <v>180</v>
      </c>
      <c r="Q14" s="40">
        <v>260</v>
      </c>
      <c r="R14" s="162">
        <f ca="1">ANÁLISE_CUSTOS!C9</f>
        <v>319.87128440736217</v>
      </c>
      <c r="U14" s="81">
        <v>440.21002903329872</v>
      </c>
      <c r="V14" s="82" t="e">
        <f>(ORÇAMENTO_EXECUTIVO!#REF!/CÁLCULO_MÉDIAS!V$4)*U14</f>
        <v>#REF!</v>
      </c>
      <c r="W14" s="81">
        <v>516.11</v>
      </c>
      <c r="X14" s="83" t="e">
        <f>(ORÇAMENTO_EXECUTIVO!#REF!/CÁLCULO_MÉDIAS!X$4)*W14</f>
        <v>#REF!</v>
      </c>
      <c r="Y14" s="87">
        <v>730.88828937483026</v>
      </c>
      <c r="Z14" s="83" t="e">
        <f>(ORÇAMENTO_EXECUTIVO!#REF!/CÁLCULO_MÉDIAS!Z$4)*Y14</f>
        <v>#REF!</v>
      </c>
      <c r="AA14" s="87">
        <f>424.075395917568+352.64</f>
        <v>776.715395917568</v>
      </c>
      <c r="AB14" s="83" t="e">
        <f>(ORÇAMENTO_EXECUTIVO!#REF!/CÁLCULO_MÉDIAS!AB$4)*AA14</f>
        <v>#REF!</v>
      </c>
      <c r="AC14" s="86">
        <v>753.33240754557448</v>
      </c>
      <c r="AD14" s="83" t="e">
        <f>(ORÇAMENTO_EXECUTIVO!#REF!/CÁLCULO_MÉDIAS!AD$4)*AC14</f>
        <v>#REF!</v>
      </c>
      <c r="AE14" s="88">
        <v>684.09</v>
      </c>
      <c r="AF14" s="82" t="e">
        <f>(ORÇAMENTO_EXECUTIVO!#REF!/CÁLCULO_MÉDIAS!AF$4)*AE14</f>
        <v>#REF!</v>
      </c>
    </row>
    <row r="15" spans="2:33" ht="19.149999999999999" customHeight="1" x14ac:dyDescent="0.25">
      <c r="B15" s="28" t="s">
        <v>8</v>
      </c>
      <c r="C15" s="30">
        <v>45.58</v>
      </c>
      <c r="D15" s="48">
        <f>(ORÇAMENTO_EXECUTIVO!$B$23/CÁLCULO_MÉDIAS!D$4)*C15</f>
        <v>45.515042239010988</v>
      </c>
      <c r="E15" s="31">
        <v>44.86</v>
      </c>
      <c r="F15" s="48">
        <f>(ORÇAMENTO_EXECUTIVO!$B$23/CÁLCULO_MÉDIAS!F$4)*E15</f>
        <v>45.907334832536222</v>
      </c>
      <c r="G15" s="31">
        <v>33.6</v>
      </c>
      <c r="H15" s="48">
        <f>(ORÇAMENTO_EXECUTIVO!$B$23/CÁLCULO_MÉDIAS!H$4)*G15</f>
        <v>34.060211395264524</v>
      </c>
      <c r="I15" s="165">
        <v>65.36</v>
      </c>
      <c r="J15" s="48">
        <f>(ORÇAMENTO_EXECUTIVO!$B$23/CÁLCULO_MÉDIAS!J$4)*I15</f>
        <v>69.098598083271511</v>
      </c>
      <c r="K15" s="165">
        <v>73.239999999999995</v>
      </c>
      <c r="L15" s="48">
        <f>(ORÇAMENTO_EXECUTIVO!$B$23/CÁLCULO_MÉDIAS!L$4)*K15</f>
        <v>77.503160231449456</v>
      </c>
      <c r="M15" s="156">
        <v>47.432901860615416</v>
      </c>
      <c r="N15" s="155">
        <f>([3]ORÇAMENTO_EXECUTIVO!$B$19/[3]CÁLCULO_MÉDIAS!N$4)*M15</f>
        <v>48.744682997850767</v>
      </c>
      <c r="P15" s="40">
        <v>45</v>
      </c>
      <c r="Q15" s="40">
        <v>80</v>
      </c>
      <c r="R15" s="162">
        <f ca="1">ANÁLISE_CUSTOS!C10</f>
        <v>91.058479146162597</v>
      </c>
      <c r="U15" s="81">
        <v>119.63618870107992</v>
      </c>
      <c r="V15" s="82" t="e">
        <f>(ORÇAMENTO_EXECUTIVO!#REF!/CÁLCULO_MÉDIAS!V$4)*U15</f>
        <v>#REF!</v>
      </c>
      <c r="W15" s="81">
        <v>87.63</v>
      </c>
      <c r="X15" s="83" t="e">
        <f>(ORÇAMENTO_EXECUTIVO!#REF!/CÁLCULO_MÉDIAS!X$4)*W15</f>
        <v>#REF!</v>
      </c>
      <c r="Y15" s="87">
        <v>119.11837394906888</v>
      </c>
      <c r="Z15" s="83" t="e">
        <f>(ORÇAMENTO_EXECUTIVO!#REF!/CÁLCULO_MÉDIAS!Z$4)*Y15</f>
        <v>#REF!</v>
      </c>
      <c r="AA15" s="87">
        <f>45.9182137373762+52.78</f>
        <v>98.698213737376193</v>
      </c>
      <c r="AB15" s="83" t="e">
        <f>(ORÇAMENTO_EXECUTIVO!#REF!/CÁLCULO_MÉDIAS!AB$4)*AA15</f>
        <v>#REF!</v>
      </c>
      <c r="AC15" s="86">
        <v>120.12284291214054</v>
      </c>
      <c r="AD15" s="83" t="e">
        <f>(ORÇAMENTO_EXECUTIVO!#REF!/CÁLCULO_MÉDIAS!AD$4)*AC15</f>
        <v>#REF!</v>
      </c>
      <c r="AE15" s="88">
        <v>102.26703338940926</v>
      </c>
      <c r="AF15" s="82" t="e">
        <f>(ORÇAMENTO_EXECUTIVO!#REF!/CÁLCULO_MÉDIAS!AF$4)*AE15</f>
        <v>#REF!</v>
      </c>
    </row>
    <row r="16" spans="2:33" ht="19.149999999999999" customHeight="1" x14ac:dyDescent="0.25">
      <c r="B16" s="29" t="s">
        <v>18</v>
      </c>
      <c r="C16" s="30">
        <v>177.79</v>
      </c>
      <c r="D16" s="48">
        <f>(ORÇAMENTO_EXECUTIVO!$B$23/CÁLCULO_MÉDIAS!D$4)*C16</f>
        <v>177.53662482829668</v>
      </c>
      <c r="E16" s="31" t="s">
        <v>116</v>
      </c>
      <c r="F16" s="48" t="e">
        <f>(ORÇAMENTO_EXECUTIVO!$B$23/CÁLCULO_MÉDIAS!F$4)*E16</f>
        <v>#VALUE!</v>
      </c>
      <c r="G16" s="31">
        <v>157.41999999999999</v>
      </c>
      <c r="H16" s="48">
        <f>(ORÇAMENTO_EXECUTIVO!$B$23/CÁLCULO_MÉDIAS!H$4)*G16</f>
        <v>159.57614517388515</v>
      </c>
      <c r="I16" s="165">
        <v>160.87</v>
      </c>
      <c r="J16" s="48">
        <f>(ORÇAMENTO_EXECUTIVO!$B$23/CÁLCULO_MÉDIAS!J$4)*I16</f>
        <v>170.07177897270333</v>
      </c>
      <c r="K16" s="165">
        <v>163.65</v>
      </c>
      <c r="L16" s="48">
        <f>(ORÇAMENTO_EXECUTIVO!$B$23/CÁLCULO_MÉDIAS!L$4)*K16</f>
        <v>173.17575330252191</v>
      </c>
      <c r="M16" s="156">
        <v>177.88132680225402</v>
      </c>
      <c r="N16" s="155">
        <f>([3]ORÇAMENTO_EXECUTIVO!$B$19/[3]CÁLCULO_MÉDIAS!N$4)*M16</f>
        <v>182.80072578507998</v>
      </c>
      <c r="P16" s="40">
        <v>150</v>
      </c>
      <c r="Q16" s="40">
        <v>190</v>
      </c>
      <c r="R16" s="162">
        <f>ANÁLISE_CUSTOS!C11</f>
        <v>183.10551788938162</v>
      </c>
      <c r="U16" s="81">
        <v>241.53844940678877</v>
      </c>
      <c r="V16" s="82" t="e">
        <f>(ORÇAMENTO_EXECUTIVO!#REF!/CÁLCULO_MÉDIAS!V$4)*U16</f>
        <v>#REF!</v>
      </c>
      <c r="W16" s="81">
        <f>115.12+96.69+17.4</f>
        <v>229.21</v>
      </c>
      <c r="X16" s="83" t="e">
        <f>(ORÇAMENTO_EXECUTIVO!#REF!/CÁLCULO_MÉDIAS!X$4)*W16</f>
        <v>#REF!</v>
      </c>
      <c r="Y16" s="88">
        <v>311.09536882330696</v>
      </c>
      <c r="Z16" s="83" t="e">
        <f>(ORÇAMENTO_EXECUTIVO!#REF!/CÁLCULO_MÉDIAS!Z$4)*Y16</f>
        <v>#REF!</v>
      </c>
      <c r="AA16" s="87">
        <f>133.232025739994+119</f>
        <v>252.23202573999399</v>
      </c>
      <c r="AB16" s="83" t="e">
        <f>(ORÇAMENTO_EXECUTIVO!#REF!/CÁLCULO_MÉDIAS!AB$4)*AA16</f>
        <v>#REF!</v>
      </c>
      <c r="AC16" s="86">
        <v>343.65137637821664</v>
      </c>
      <c r="AD16" s="83" t="e">
        <f>(ORÇAMENTO_EXECUTIVO!#REF!/CÁLCULO_MÉDIAS!AD$4)*AC16</f>
        <v>#REF!</v>
      </c>
      <c r="AE16" s="88">
        <v>395.64890080797699</v>
      </c>
      <c r="AF16" s="82" t="e">
        <f>(ORÇAMENTO_EXECUTIVO!#REF!/CÁLCULO_MÉDIAS!AF$4)*AE16</f>
        <v>#REF!</v>
      </c>
    </row>
    <row r="17" spans="2:32" ht="18.75" customHeight="1" x14ac:dyDescent="0.25">
      <c r="B17" s="28" t="s">
        <v>19</v>
      </c>
      <c r="C17" s="30">
        <v>48.61</v>
      </c>
      <c r="D17" s="48">
        <f>(ORÇAMENTO_EXECUTIVO!$B$23/CÁLCULO_MÉDIAS!D$4)*C17</f>
        <v>48.540724072802199</v>
      </c>
      <c r="E17" s="31">
        <v>27.17</v>
      </c>
      <c r="F17" s="48">
        <f>(ORÇAMENTO_EXECUTIVO!$B$23/CÁLCULO_MÉDIAS!F$4)*E17</f>
        <v>27.804330971912822</v>
      </c>
      <c r="G17" s="31">
        <v>40.89</v>
      </c>
      <c r="H17" s="48">
        <f>(ORÇAMENTO_EXECUTIVO!$B$23/CÁLCULO_MÉDIAS!H$4)*G17</f>
        <v>41.450060831915671</v>
      </c>
      <c r="I17" s="165">
        <v>41.38</v>
      </c>
      <c r="J17" s="48">
        <f>(ORÇAMENTO_EXECUTIVO!$B$23/CÁLCULO_MÉDIAS!J$4)*I17</f>
        <v>43.746939851373554</v>
      </c>
      <c r="K17" s="165">
        <v>53.76</v>
      </c>
      <c r="L17" s="48">
        <f>(ORÇAMENTO_EXECUTIVO!$B$23/CÁLCULO_MÉDIAS!L$4)*K17</f>
        <v>56.889266712762463</v>
      </c>
      <c r="M17" s="156">
        <v>56.083913552049175</v>
      </c>
      <c r="N17" s="155">
        <f>([3]ORÇAMENTO_EXECUTIVO!$B$19/[3]CÁLCULO_MÉDIAS!N$4)*M17</f>
        <v>57.634942837925585</v>
      </c>
      <c r="P17" s="40">
        <v>75</v>
      </c>
      <c r="Q17" s="40">
        <v>100</v>
      </c>
      <c r="R17" s="162">
        <f ca="1">ANÁLISE_CUSTOS!C12</f>
        <v>88.896236944725558</v>
      </c>
      <c r="U17" s="81">
        <v>125.58391647422079</v>
      </c>
      <c r="V17" s="82" t="e">
        <f>(ORÇAMENTO_EXECUTIVO!#REF!/CÁLCULO_MÉDIAS!V$4)*U17</f>
        <v>#REF!</v>
      </c>
      <c r="W17" s="81">
        <f>126.98+36.9</f>
        <v>163.88</v>
      </c>
      <c r="X17" s="83" t="e">
        <f>(ORÇAMENTO_EXECUTIVO!#REF!/CÁLCULO_MÉDIAS!X$4)*W17</f>
        <v>#REF!</v>
      </c>
      <c r="Y17" s="88">
        <v>234.95756961924101</v>
      </c>
      <c r="Z17" s="83" t="e">
        <f>(ORÇAMENTO_EXECUTIVO!#REF!/CÁLCULO_MÉDIAS!Z$4)*Y17</f>
        <v>#REF!</v>
      </c>
      <c r="AA17" s="87">
        <v>247.28447097827882</v>
      </c>
      <c r="AB17" s="83" t="e">
        <f>(ORÇAMENTO_EXECUTIVO!#REF!/CÁLCULO_MÉDIAS!AB$4)*AA17</f>
        <v>#REF!</v>
      </c>
      <c r="AC17" s="89">
        <v>183.52384796344097</v>
      </c>
      <c r="AD17" s="83" t="e">
        <f>(ORÇAMENTO_EXECUTIVO!#REF!/CÁLCULO_MÉDIAS!AD$4)*AC17</f>
        <v>#REF!</v>
      </c>
      <c r="AE17" s="88">
        <v>151.23889129945096</v>
      </c>
      <c r="AF17" s="82" t="e">
        <f>(ORÇAMENTO_EXECUTIVO!#REF!/CÁLCULO_MÉDIAS!AF$4)*AE17</f>
        <v>#REF!</v>
      </c>
    </row>
    <row r="18" spans="2:32" ht="18.75" customHeight="1" x14ac:dyDescent="0.25">
      <c r="B18" s="29" t="s">
        <v>9</v>
      </c>
      <c r="C18" s="30">
        <v>198.16</v>
      </c>
      <c r="D18" s="48">
        <f>(ORÇAMENTO_EXECUTIVO!$B$23/CÁLCULO_MÉDIAS!D$4)*C18</f>
        <v>197.87759478021977</v>
      </c>
      <c r="E18" s="31">
        <v>220.14</v>
      </c>
      <c r="F18" s="48">
        <f>(ORÇAMENTO_EXECUTIVO!$B$23/CÁLCULO_MÉDIAS!F$4)*E18</f>
        <v>225.27955171722076</v>
      </c>
      <c r="G18" s="31">
        <v>208.37</v>
      </c>
      <c r="H18" s="48">
        <f>(ORÇAMENTO_EXECUTIVO!$B$23/CÁLCULO_MÉDIAS!H$4)*G18</f>
        <v>211.22399548902587</v>
      </c>
      <c r="I18" s="165">
        <v>139.86000000000001</v>
      </c>
      <c r="J18" s="48">
        <f>(ORÇAMENTO_EXECUTIVO!$B$23/CÁLCULO_MÉDIAS!J$4)*I18</f>
        <v>147.86000501723311</v>
      </c>
      <c r="K18" s="165">
        <v>189.08</v>
      </c>
      <c r="L18" s="48">
        <f>(ORÇAMENTO_EXECUTIVO!$B$23/CÁLCULO_MÉDIAS!L$4)*K18</f>
        <v>200.08598493394953</v>
      </c>
      <c r="M18" s="156">
        <v>199.03994755225895</v>
      </c>
      <c r="N18" s="155">
        <f>([3]ORÇAMENTO_EXECUTIVO!$B$19/[3]CÁLCULO_MÉDIAS!N$4)*M18</f>
        <v>204.54449900311931</v>
      </c>
      <c r="P18" s="40">
        <v>140</v>
      </c>
      <c r="Q18" s="40">
        <v>225</v>
      </c>
      <c r="R18" s="162">
        <f>ANÁLISE_CUSTOS!C13</f>
        <v>223.49887146255267</v>
      </c>
      <c r="U18" s="81">
        <v>28.961629961135319</v>
      </c>
      <c r="V18" s="82" t="e">
        <f>(ORÇAMENTO_EXECUTIVO!#REF!/CÁLCULO_MÉDIAS!V$4)*U18</f>
        <v>#REF!</v>
      </c>
      <c r="W18" s="81">
        <v>46.01</v>
      </c>
      <c r="X18" s="83" t="e">
        <f>(ORÇAMENTO_EXECUTIVO!#REF!/CÁLCULO_MÉDIAS!X$4)*W18</f>
        <v>#REF!</v>
      </c>
      <c r="Y18" s="88">
        <v>40.385539920806394</v>
      </c>
      <c r="Z18" s="83" t="e">
        <f>(ORÇAMENTO_EXECUTIVO!#REF!/CÁLCULO_MÉDIAS!Z$4)*Y18</f>
        <v>#REF!</v>
      </c>
      <c r="AA18" s="87">
        <f>21.1585217854063+29.7</f>
        <v>50.858521785406296</v>
      </c>
      <c r="AB18" s="83" t="e">
        <f>(ORÇAMENTO_EXECUTIVO!#REF!/CÁLCULO_MÉDIAS!AB$4)*AA18</f>
        <v>#REF!</v>
      </c>
      <c r="AC18" s="86">
        <v>53.975619931386198</v>
      </c>
      <c r="AD18" s="83" t="e">
        <f>(ORÇAMENTO_EXECUTIVO!#REF!/CÁLCULO_MÉDIAS!AD$4)*AC18</f>
        <v>#REF!</v>
      </c>
      <c r="AE18" s="88">
        <v>26.84</v>
      </c>
      <c r="AF18" s="82" t="e">
        <f>(ORÇAMENTO_EXECUTIVO!#REF!/CÁLCULO_MÉDIAS!AF$4)*AE18</f>
        <v>#REF!</v>
      </c>
    </row>
    <row r="19" spans="2:32" ht="19.149999999999999" customHeight="1" x14ac:dyDescent="0.25">
      <c r="B19" s="28" t="s">
        <v>10</v>
      </c>
      <c r="C19" s="30">
        <v>90.17</v>
      </c>
      <c r="D19" s="48">
        <f>(ORÇAMENTO_EXECUTIVO!$B$23/CÁLCULO_MÉDIAS!D$4)*C19</f>
        <v>90.041495364010984</v>
      </c>
      <c r="E19" s="31">
        <v>137.01</v>
      </c>
      <c r="F19" s="48">
        <f>(ORÇAMENTO_EXECUTIVO!$B$23/CÁLCULO_MÉDIAS!F$4)*E19</f>
        <v>140.20873707993283</v>
      </c>
      <c r="G19" s="31">
        <v>127.29</v>
      </c>
      <c r="H19" s="48">
        <f>(ORÇAMENTO_EXECUTIVO!$B$23/CÁLCULO_MÉDIAS!H$4)*G19</f>
        <v>129.03346156259587</v>
      </c>
      <c r="I19" s="165">
        <v>140.5</v>
      </c>
      <c r="J19" s="48">
        <f>(ORÇAMENTO_EXECUTIVO!$B$23/CÁLCULO_MÉDIAS!J$4)*I19</f>
        <v>148.53661307679999</v>
      </c>
      <c r="K19" s="165">
        <v>134.66</v>
      </c>
      <c r="L19" s="48">
        <f>(ORÇAMENTO_EXECUTIVO!$B$23/CÁLCULO_MÉDIAS!L$4)*K19</f>
        <v>142.49830088431162</v>
      </c>
      <c r="M19" s="156">
        <v>153.47431809706407</v>
      </c>
      <c r="N19" s="155">
        <f>([3]ORÇAMENTO_EXECUTIVO!$B$19/[3]CÁLCULO_MÉDIAS!N$4)*M19</f>
        <v>157.71872878316108</v>
      </c>
      <c r="P19" s="40">
        <v>90</v>
      </c>
      <c r="Q19" s="40">
        <v>160</v>
      </c>
      <c r="R19" s="162">
        <f ca="1">ANÁLISE_CUSTOS!C14</f>
        <v>126.0291226310149</v>
      </c>
      <c r="U19" s="81">
        <v>234.72587240710115</v>
      </c>
      <c r="V19" s="82" t="e">
        <f>(ORÇAMENTO_EXECUTIVO!#REF!/CÁLCULO_MÉDIAS!V$4)*U19</f>
        <v>#REF!</v>
      </c>
      <c r="W19" s="81">
        <v>107.18</v>
      </c>
      <c r="X19" s="83" t="e">
        <f>(ORÇAMENTO_EXECUTIVO!#REF!/CÁLCULO_MÉDIAS!X$4)*W19</f>
        <v>#REF!</v>
      </c>
      <c r="Y19" s="88">
        <v>171.46501171912092</v>
      </c>
      <c r="Z19" s="83" t="e">
        <f>(ORÇAMENTO_EXECUTIVO!#REF!/CÁLCULO_MÉDIAS!Z$4)*Y19</f>
        <v>#REF!</v>
      </c>
      <c r="AA19" s="87">
        <f>61.5070901205645+125.46</f>
        <v>186.96709012056448</v>
      </c>
      <c r="AB19" s="83" t="e">
        <f>(ORÇAMENTO_EXECUTIVO!#REF!/CÁLCULO_MÉDIAS!AB$4)*AA19</f>
        <v>#REF!</v>
      </c>
      <c r="AC19" s="86">
        <v>181.93321537315026</v>
      </c>
      <c r="AD19" s="83" t="e">
        <f>(ORÇAMENTO_EXECUTIVO!#REF!/CÁLCULO_MÉDIAS!AD$4)*AC19</f>
        <v>#REF!</v>
      </c>
      <c r="AE19" s="88">
        <v>143.04</v>
      </c>
      <c r="AF19" s="82" t="e">
        <f>(ORÇAMENTO_EXECUTIVO!#REF!/CÁLCULO_MÉDIAS!AF$4)*AE19</f>
        <v>#REF!</v>
      </c>
    </row>
    <row r="20" spans="2:32" ht="19.149999999999999" customHeight="1" x14ac:dyDescent="0.25">
      <c r="B20" s="29" t="s">
        <v>11</v>
      </c>
      <c r="C20" s="30">
        <v>281.04000000000002</v>
      </c>
      <c r="D20" s="48">
        <f>(ORÇAMENTO_EXECUTIVO!$B$23/CÁLCULO_MÉDIAS!D$4)*C20</f>
        <v>280.63947939560438</v>
      </c>
      <c r="E20" s="31">
        <v>364.62</v>
      </c>
      <c r="F20" s="48">
        <f>(ORÇAMENTO_EXECUTIVO!$B$23/CÁLCULO_MÉDIAS!F$4)*E20</f>
        <v>373.13268895763167</v>
      </c>
      <c r="G20" s="31">
        <v>216.29</v>
      </c>
      <c r="H20" s="48">
        <f>(ORÇAMENTO_EXECUTIVO!$B$23/CÁLCULO_MÉDIAS!H$4)*G20</f>
        <v>219.25247388933821</v>
      </c>
      <c r="I20" s="165">
        <v>233.91</v>
      </c>
      <c r="J20" s="48">
        <f>(ORÇAMENTO_EXECUTIVO!$B$23/CÁLCULO_MÉDIAS!J$4)*I20</f>
        <v>247.28967377077785</v>
      </c>
      <c r="K20" s="165">
        <v>246.45</v>
      </c>
      <c r="L20" s="48">
        <f>(ORÇAMENTO_EXECUTIVO!$B$23/CÁLCULO_MÉDIAS!L$4)*K20</f>
        <v>260.79538283780334</v>
      </c>
      <c r="M20" s="156">
        <v>286.10435060217839</v>
      </c>
      <c r="N20" s="155">
        <f>([3]ORÇAMENTO_EXECUTIVO!$B$19/[3]CÁLCULO_MÉDIAS!N$4)*M20</f>
        <v>294.01671260574648</v>
      </c>
      <c r="P20" s="40">
        <v>280</v>
      </c>
      <c r="Q20" s="40">
        <v>375</v>
      </c>
      <c r="R20" s="162">
        <f ca="1">ANÁLISE_CUSTOS!C15</f>
        <v>375.38569196521564</v>
      </c>
      <c r="U20" s="81">
        <v>55.038679317743082</v>
      </c>
      <c r="V20" s="82" t="e">
        <f>(ORÇAMENTO_EXECUTIVO!#REF!/CÁLCULO_MÉDIAS!V$4)*U20</f>
        <v>#REF!</v>
      </c>
      <c r="W20" s="81">
        <v>37.840000000000003</v>
      </c>
      <c r="X20" s="83" t="e">
        <f>(ORÇAMENTO_EXECUTIVO!#REF!/CÁLCULO_MÉDIAS!X$4)*W20</f>
        <v>#REF!</v>
      </c>
      <c r="Y20" s="88">
        <v>82.252956433522513</v>
      </c>
      <c r="Z20" s="83" t="e">
        <f>(ORÇAMENTO_EXECUTIVO!#REF!/CÁLCULO_MÉDIAS!Z$4)*Y20</f>
        <v>#REF!</v>
      </c>
      <c r="AA20" s="87">
        <f>54.2873850783883+15.35</f>
        <v>69.637385078388292</v>
      </c>
      <c r="AB20" s="83" t="e">
        <f>(ORÇAMENTO_EXECUTIVO!#REF!/CÁLCULO_MÉDIAS!AB$4)*AA20</f>
        <v>#REF!</v>
      </c>
      <c r="AC20" s="86">
        <v>55.010608568330511</v>
      </c>
      <c r="AD20" s="83" t="e">
        <f>(ORÇAMENTO_EXECUTIVO!#REF!/CÁLCULO_MÉDIAS!AD$4)*AC20</f>
        <v>#REF!</v>
      </c>
      <c r="AE20" s="88">
        <v>70.155611705948473</v>
      </c>
      <c r="AF20" s="82" t="e">
        <f>(ORÇAMENTO_EXECUTIVO!#REF!/CÁLCULO_MÉDIAS!AF$4)*AE20</f>
        <v>#REF!</v>
      </c>
    </row>
    <row r="21" spans="2:32" ht="19.149999999999999" customHeight="1" x14ac:dyDescent="0.25">
      <c r="B21" s="28" t="s">
        <v>21</v>
      </c>
      <c r="C21" s="30">
        <v>3.83</v>
      </c>
      <c r="D21" s="48">
        <f>(ORÇAMENTO_EXECUTIVO!$B$23/CÁLCULO_MÉDIAS!D$4)*C21</f>
        <v>3.824541723901099</v>
      </c>
      <c r="E21" s="31"/>
      <c r="F21" s="48">
        <f>(ORÇAMENTO_EXECUTIVO!$B$23/CÁLCULO_MÉDIAS!F$4)*E21</f>
        <v>0</v>
      </c>
      <c r="G21" s="31">
        <v>13.53</v>
      </c>
      <c r="H21" s="48">
        <f>(ORÇAMENTO_EXECUTIVO!$B$23/CÁLCULO_MÉDIAS!H$4)*G21</f>
        <v>13.715317267200268</v>
      </c>
      <c r="I21" s="165">
        <v>14.78</v>
      </c>
      <c r="J21" s="48">
        <f>(ORÇAMENTO_EXECUTIVO!$B$23/CÁLCULO_MÉDIAS!J$4)*I21</f>
        <v>15.625417375623515</v>
      </c>
      <c r="K21" s="165">
        <v>14.67</v>
      </c>
      <c r="L21" s="48">
        <f>(ORÇAMENTO_EXECUTIVO!$B$23/CÁLCULO_MÉDIAS!L$4)*K21</f>
        <v>15.523912624185739</v>
      </c>
      <c r="M21" s="156">
        <v>13.848669364899166</v>
      </c>
      <c r="N21" s="155">
        <f>([3]ORÇAMENTO_EXECUTIVO!$B$19/[3]CÁLCULO_MÉDIAS!N$4)*M21</f>
        <v>14.231661392291187</v>
      </c>
      <c r="P21" s="40">
        <v>5</v>
      </c>
      <c r="Q21" s="40">
        <v>15</v>
      </c>
      <c r="R21" s="162">
        <f ca="1">ANÁLISE_CUSTOS!C16</f>
        <v>19.816537973861948</v>
      </c>
      <c r="U21" s="81">
        <v>165.18748649465164</v>
      </c>
      <c r="V21" s="82" t="e">
        <f>(ORÇAMENTO_EXECUTIVO!#REF!/CÁLCULO_MÉDIAS!V$4)*U21</f>
        <v>#REF!</v>
      </c>
      <c r="W21" s="81">
        <v>111.36</v>
      </c>
      <c r="X21" s="83" t="e">
        <f>(ORÇAMENTO_EXECUTIVO!#REF!/CÁLCULO_MÉDIAS!X$4)*W21</f>
        <v>#REF!</v>
      </c>
      <c r="Y21" s="88">
        <v>171.08275181950387</v>
      </c>
      <c r="Z21" s="83" t="e">
        <f>(ORÇAMENTO_EXECUTIVO!#REF!/CÁLCULO_MÉDIAS!Z$4)*Y21</f>
        <v>#REF!</v>
      </c>
      <c r="AA21" s="87">
        <f>128.113840140444+57.38</f>
        <v>185.49384014044401</v>
      </c>
      <c r="AB21" s="83" t="e">
        <f>(ORÇAMENTO_EXECUTIVO!#REF!/CÁLCULO_MÉDIAS!AB$4)*AA21</f>
        <v>#REF!</v>
      </c>
      <c r="AC21" s="86">
        <v>148.70478618145466</v>
      </c>
      <c r="AD21" s="83" t="e">
        <f>(ORÇAMENTO_EXECUTIVO!#REF!/CÁLCULO_MÉDIAS!AD$4)*AC21</f>
        <v>#REF!</v>
      </c>
      <c r="AE21" s="88">
        <v>167.78667972935523</v>
      </c>
      <c r="AF21" s="82" t="e">
        <f>(ORÇAMENTO_EXECUTIVO!#REF!/CÁLCULO_MÉDIAS!AF$4)*AE21</f>
        <v>#REF!</v>
      </c>
    </row>
    <row r="22" spans="2:32" ht="19.149999999999999" customHeight="1" x14ac:dyDescent="0.25">
      <c r="B22" s="29" t="s">
        <v>12</v>
      </c>
      <c r="C22" s="19">
        <v>91.54</v>
      </c>
      <c r="D22" s="48">
        <f>(ORÇAMENTO_EXECUTIVO!$B$23/CÁLCULO_MÉDIAS!D$4)*C22</f>
        <v>91.409542925824184</v>
      </c>
      <c r="E22" s="31">
        <v>94.14</v>
      </c>
      <c r="F22" s="48">
        <f>(ORÇAMENTO_EXECUTIVO!$B$23/CÁLCULO_MÉDIAS!F$4)*E22</f>
        <v>96.337862263374049</v>
      </c>
      <c r="G22" s="31">
        <v>122.53</v>
      </c>
      <c r="H22" s="48">
        <f>(ORÇAMENTO_EXECUTIVO!$B$23/CÁLCULO_MÉDIAS!H$4)*G22</f>
        <v>124.20826494826673</v>
      </c>
      <c r="I22" s="165">
        <v>121.66</v>
      </c>
      <c r="J22" s="48">
        <f>(ORÇAMENTO_EXECUTIVO!$B$23/CÁLCULO_MÉDIAS!J$4)*I22</f>
        <v>128.61896332329886</v>
      </c>
      <c r="K22" s="165">
        <v>132.68</v>
      </c>
      <c r="L22" s="48">
        <f>(ORÇAMENTO_EXECUTIVO!$B$23/CÁLCULO_MÉDIAS!L$4)*K22</f>
        <v>140.40304887368535</v>
      </c>
      <c r="M22" s="156">
        <v>179.74184776132313</v>
      </c>
      <c r="N22" s="155">
        <f>([3]ORÇAMENTO_EXECUTIVO!$B$19/[3]CÁLCULO_MÉDIAS!N$4)*M22</f>
        <v>184.71270040192252</v>
      </c>
      <c r="P22" s="40">
        <v>90</v>
      </c>
      <c r="Q22" s="40">
        <v>140</v>
      </c>
      <c r="R22" s="162">
        <f ca="1">ANÁLISE_CUSTOS!C17</f>
        <v>105.8399092205732</v>
      </c>
      <c r="U22" s="81">
        <v>110.39978903493726</v>
      </c>
      <c r="V22" s="82" t="e">
        <f>(ORÇAMENTO_EXECUTIVO!#REF!/CÁLCULO_MÉDIAS!V$4)*U22</f>
        <v>#REF!</v>
      </c>
      <c r="W22" s="81">
        <v>83.06</v>
      </c>
      <c r="X22" s="83" t="e">
        <f>(ORÇAMENTO_EXECUTIVO!#REF!/CÁLCULO_MÉDIAS!X$4)*W22</f>
        <v>#REF!</v>
      </c>
      <c r="Y22" s="88">
        <v>131.71984554415201</v>
      </c>
      <c r="Z22" s="83" t="e">
        <f>(ORÇAMENTO_EXECUTIVO!#REF!/CÁLCULO_MÉDIAS!Z$4)*Y22</f>
        <v>#REF!</v>
      </c>
      <c r="AA22" s="87">
        <f>35.9030401086365+97.72</f>
        <v>133.6230401086365</v>
      </c>
      <c r="AB22" s="83" t="e">
        <f>(ORÇAMENTO_EXECUTIVO!#REF!/CÁLCULO_MÉDIAS!AB$4)*AA22</f>
        <v>#REF!</v>
      </c>
      <c r="AC22" s="86">
        <v>173.39863257808926</v>
      </c>
      <c r="AD22" s="83" t="e">
        <f>(ORÇAMENTO_EXECUTIVO!#REF!/CÁLCULO_MÉDIAS!AD$4)*AC22</f>
        <v>#REF!</v>
      </c>
      <c r="AE22" s="88">
        <v>81.300167528398092</v>
      </c>
      <c r="AF22" s="82" t="e">
        <f>(ORÇAMENTO_EXECUTIVO!#REF!/CÁLCULO_MÉDIAS!AF$4)*AE22</f>
        <v>#REF!</v>
      </c>
    </row>
    <row r="23" spans="2:32" ht="19.149999999999999" customHeight="1" thickBot="1" x14ac:dyDescent="0.3">
      <c r="B23" s="28" t="s">
        <v>13</v>
      </c>
      <c r="C23" s="19">
        <v>102.52</v>
      </c>
      <c r="D23" s="48">
        <f>(ORÇAMENTO_EXECUTIVO!$B$23/CÁLCULO_MÉDIAS!D$4)*C23</f>
        <v>102.3738949175824</v>
      </c>
      <c r="E23" s="31">
        <v>195.12</v>
      </c>
      <c r="F23" s="48">
        <f>(ORÇAMENTO_EXECUTIVO!$B$23/CÁLCULO_MÉDIAS!F$4)*E23</f>
        <v>199.67541623995692</v>
      </c>
      <c r="G23" s="31">
        <v>248.76</v>
      </c>
      <c r="H23" s="48">
        <f>(ORÇAMENTO_EXECUTIVO!$B$23/CÁLCULO_MÉDIAS!H$4)*G23</f>
        <v>252.16720793708342</v>
      </c>
      <c r="I23" s="165">
        <v>241.25</v>
      </c>
      <c r="J23" s="48">
        <f>(ORÇAMENTO_EXECUTIVO!$B$23/CÁLCULO_MÉDIAS!J$4)*I23</f>
        <v>255.04952245393596</v>
      </c>
      <c r="K23" s="165">
        <v>123.28</v>
      </c>
      <c r="L23" s="48">
        <f>(ORÇAMENTO_EXECUTIVO!$B$23/CÁLCULO_MÉDIAS!L$4)*K23</f>
        <v>130.45589286364131</v>
      </c>
      <c r="M23" s="156">
        <v>247.42958673305242</v>
      </c>
      <c r="N23" s="155">
        <f>([3]ORÇAMENTO_EXECUTIVO!$B$19/[3]CÁLCULO_MÉDIAS!N$4)*M23</f>
        <v>254.27237838059142</v>
      </c>
      <c r="P23" s="164">
        <v>100</v>
      </c>
      <c r="Q23" s="164">
        <v>260</v>
      </c>
      <c r="R23" s="162">
        <f ca="1">ANÁLISE_CUSTOS!C18</f>
        <v>258.85637754391439</v>
      </c>
      <c r="U23" s="81">
        <v>147.28733031905907</v>
      </c>
      <c r="V23" s="82" t="e">
        <f>(ORÇAMENTO_EXECUTIVO!#REF!/CÁLCULO_MÉDIAS!V$4)*U23</f>
        <v>#REF!</v>
      </c>
      <c r="W23" s="81">
        <v>186.71</v>
      </c>
      <c r="X23" s="83" t="e">
        <f>(ORÇAMENTO_EXECUTIVO!#REF!/CÁLCULO_MÉDIAS!X$4)*W23</f>
        <v>#REF!</v>
      </c>
      <c r="Y23" s="88">
        <v>323.47431538511512</v>
      </c>
      <c r="Z23" s="83" t="e">
        <f>(ORÇAMENTO_EXECUTIVO!#REF!/CÁLCULO_MÉDIAS!Z$4)*Y23</f>
        <v>#REF!</v>
      </c>
      <c r="AA23" s="87">
        <f>250.558807445514+9.23</f>
        <v>259.78880744551401</v>
      </c>
      <c r="AB23" s="83" t="e">
        <f>(ORÇAMENTO_EXECUTIVO!#REF!/CÁLCULO_MÉDIAS!AB$4)*AA23</f>
        <v>#REF!</v>
      </c>
      <c r="AC23" s="90">
        <v>208.12265790695531</v>
      </c>
      <c r="AD23" s="83" t="e">
        <f>(ORÇAMENTO_EXECUTIVO!#REF!/CÁLCULO_MÉDIAS!AD$4)*AC23</f>
        <v>#REF!</v>
      </c>
      <c r="AE23" s="88">
        <v>186.45529550301794</v>
      </c>
      <c r="AF23" s="82" t="e">
        <f>(ORÇAMENTO_EXECUTIVO!#REF!/CÁLCULO_MÉDIAS!AF$4)*AE23</f>
        <v>#REF!</v>
      </c>
    </row>
    <row r="24" spans="2:32" ht="19.149999999999999" customHeight="1" thickBot="1" x14ac:dyDescent="0.3">
      <c r="B24" s="33" t="s">
        <v>14</v>
      </c>
      <c r="C24" s="34">
        <f t="shared" ref="C24:N24" si="0">SUM(C8:C23)</f>
        <v>2872.8599999999997</v>
      </c>
      <c r="D24" s="49">
        <f t="shared" si="0"/>
        <v>2868.765779876373</v>
      </c>
      <c r="E24" s="34">
        <f t="shared" si="0"/>
        <v>3175.81</v>
      </c>
      <c r="F24" s="49" t="e">
        <f t="shared" si="0"/>
        <v>#VALUE!</v>
      </c>
      <c r="G24" s="34">
        <f t="shared" si="0"/>
        <v>3295.33</v>
      </c>
      <c r="H24" s="49">
        <f t="shared" si="0"/>
        <v>3340.4653695582451</v>
      </c>
      <c r="I24" s="34">
        <f t="shared" si="0"/>
        <v>3104.84</v>
      </c>
      <c r="J24" s="49">
        <f t="shared" si="0"/>
        <v>3282.437136977735</v>
      </c>
      <c r="K24" s="34">
        <f t="shared" si="0"/>
        <v>3024.28</v>
      </c>
      <c r="L24" s="49">
        <f t="shared" si="0"/>
        <v>3200.3175508570171</v>
      </c>
      <c r="M24" s="34">
        <f t="shared" si="0"/>
        <v>3405.6346720792644</v>
      </c>
      <c r="N24" s="49">
        <f t="shared" si="0"/>
        <v>3499.8192390761587</v>
      </c>
      <c r="P24" s="41">
        <f>SUM(P8:P23)</f>
        <v>2866</v>
      </c>
      <c r="Q24" s="41">
        <f>SUM(Q8:Q23)</f>
        <v>4170</v>
      </c>
      <c r="U24" s="91">
        <f t="shared" ref="U24:AF24" si="1">SUM(U8:U23)</f>
        <v>2836.1510591777483</v>
      </c>
      <c r="V24" s="91" t="e">
        <f t="shared" si="1"/>
        <v>#REF!</v>
      </c>
      <c r="W24" s="91">
        <f t="shared" si="1"/>
        <v>2786.5700000000006</v>
      </c>
      <c r="X24" s="91" t="e">
        <f t="shared" si="1"/>
        <v>#REF!</v>
      </c>
      <c r="Y24" s="91">
        <f t="shared" si="1"/>
        <v>4003.1850021905675</v>
      </c>
      <c r="Z24" s="91" t="e">
        <f t="shared" si="1"/>
        <v>#REF!</v>
      </c>
      <c r="AA24" s="91">
        <f t="shared" si="1"/>
        <v>4102.3342546840286</v>
      </c>
      <c r="AB24" s="92" t="e">
        <f t="shared" si="1"/>
        <v>#REF!</v>
      </c>
      <c r="AC24" s="91">
        <f t="shared" si="1"/>
        <v>3961.1282978065478</v>
      </c>
      <c r="AD24" s="91" t="e">
        <f t="shared" si="1"/>
        <v>#REF!</v>
      </c>
      <c r="AE24" s="91">
        <f t="shared" si="1"/>
        <v>3393.5008044393726</v>
      </c>
      <c r="AF24" s="91" t="e">
        <f t="shared" si="1"/>
        <v>#REF!</v>
      </c>
    </row>
    <row r="25" spans="2:32" x14ac:dyDescent="0.25"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</row>
    <row r="26" spans="2:32" x14ac:dyDescent="0.25">
      <c r="B26" s="20"/>
      <c r="C26" s="21"/>
      <c r="E26" s="21"/>
      <c r="G26" s="20"/>
      <c r="H26" s="21"/>
      <c r="I26" s="20"/>
      <c r="J26" s="21"/>
      <c r="K26" s="20"/>
      <c r="L26" s="21"/>
      <c r="M26" s="21"/>
      <c r="N26" s="21"/>
      <c r="O26" s="20"/>
      <c r="P26" s="21"/>
      <c r="R26" s="38"/>
      <c r="S26" s="38"/>
      <c r="U26" s="93"/>
      <c r="V26" s="94"/>
      <c r="W26" s="95">
        <f>W24/X4</f>
        <v>1.3017948574204885</v>
      </c>
      <c r="X26" s="68"/>
      <c r="Y26" s="68"/>
      <c r="Z26" s="68"/>
      <c r="AA26" s="68"/>
      <c r="AB26" s="68"/>
      <c r="AC26" s="93"/>
      <c r="AD26" s="94"/>
      <c r="AE26" s="68"/>
      <c r="AF26" s="68"/>
    </row>
    <row r="27" spans="2:32" x14ac:dyDescent="0.25">
      <c r="C27" s="21"/>
      <c r="E27" s="21"/>
      <c r="H27" s="21"/>
      <c r="J27" s="21"/>
      <c r="L27" s="21"/>
      <c r="M27" s="21"/>
      <c r="N27" s="21"/>
      <c r="P27" s="21"/>
      <c r="R27" s="38"/>
      <c r="S27" s="38"/>
      <c r="U27" s="68"/>
      <c r="V27" s="94"/>
      <c r="W27" s="68"/>
      <c r="X27" s="68"/>
      <c r="Y27" s="68"/>
      <c r="Z27" s="68"/>
      <c r="AA27" s="68"/>
      <c r="AB27" s="68"/>
      <c r="AC27" s="68"/>
      <c r="AD27" s="94"/>
      <c r="AE27" s="68"/>
      <c r="AF27" s="68"/>
    </row>
    <row r="28" spans="2:32" x14ac:dyDescent="0.25">
      <c r="R28" s="38"/>
      <c r="S28" s="3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</row>
    <row r="29" spans="2:32" x14ac:dyDescent="0.25">
      <c r="R29" s="38"/>
      <c r="S29" s="38"/>
    </row>
  </sheetData>
  <mergeCells count="8">
    <mergeCell ref="C6:D6"/>
    <mergeCell ref="U6:V6"/>
    <mergeCell ref="W6:X6"/>
    <mergeCell ref="G6:H6"/>
    <mergeCell ref="E6:F6"/>
    <mergeCell ref="I6:J6"/>
    <mergeCell ref="K6:L6"/>
    <mergeCell ref="M6:N6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93"/>
  <sheetViews>
    <sheetView showGridLines="0" zoomScale="70" zoomScaleNormal="70" workbookViewId="0">
      <selection activeCell="D4" sqref="D4"/>
    </sheetView>
  </sheetViews>
  <sheetFormatPr defaultColWidth="14.42578125" defaultRowHeight="15" customHeight="1" x14ac:dyDescent="0.25"/>
  <cols>
    <col min="1" max="1" width="59.140625" bestFit="1" customWidth="1"/>
    <col min="2" max="2" width="21.7109375" customWidth="1"/>
    <col min="3" max="3" width="18.42578125" style="22" bestFit="1" customWidth="1"/>
    <col min="4" max="4" width="21.7109375" style="22" customWidth="1"/>
    <col min="5" max="6" width="17.7109375" customWidth="1"/>
    <col min="7" max="7" width="29.7109375" customWidth="1"/>
    <col min="8" max="8" width="9.28515625" customWidth="1"/>
    <col min="9" max="10" width="19.28515625" customWidth="1"/>
    <col min="11" max="18" width="9.140625" customWidth="1"/>
  </cols>
  <sheetData>
    <row r="1" spans="1:19" ht="22.5" customHeight="1" thickBot="1" x14ac:dyDescent="0.3">
      <c r="A1" s="7"/>
      <c r="B1" s="7"/>
      <c r="C1" s="13"/>
      <c r="D1" s="13"/>
      <c r="E1" s="7"/>
      <c r="F1" s="12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1:19" ht="22.5" customHeight="1" x14ac:dyDescent="0.25">
      <c r="A2" s="43" t="s">
        <v>38</v>
      </c>
      <c r="B2" s="96" t="s">
        <v>45</v>
      </c>
      <c r="C2" s="44" t="s">
        <v>93</v>
      </c>
      <c r="D2" s="97" t="s">
        <v>46</v>
      </c>
      <c r="E2" s="13"/>
      <c r="F2" s="7"/>
      <c r="G2" s="59" t="s">
        <v>38</v>
      </c>
      <c r="H2" s="128" t="s">
        <v>45</v>
      </c>
      <c r="I2" s="60" t="s">
        <v>93</v>
      </c>
      <c r="J2" s="132" t="s">
        <v>46</v>
      </c>
      <c r="K2" s="13"/>
      <c r="L2" s="7"/>
      <c r="M2" s="7"/>
      <c r="N2" s="7"/>
      <c r="O2" s="7"/>
      <c r="P2" s="7"/>
      <c r="Q2" s="7"/>
      <c r="R2" s="7"/>
      <c r="S2" s="7"/>
    </row>
    <row r="3" spans="1:19" ht="19.149999999999999" customHeight="1" x14ac:dyDescent="0.25">
      <c r="A3" s="148" t="s">
        <v>47</v>
      </c>
      <c r="B3" s="149">
        <f>SUMPRODUCT(B4:B21,C4:C21)</f>
        <v>18462.8</v>
      </c>
      <c r="C3" s="150"/>
      <c r="D3" s="151">
        <f ca="1">ORÇAMENTO_EXECUTIVO!B22/AREAS_PRIVATIVAS!B3</f>
        <v>1537.5974531492775</v>
      </c>
      <c r="E3" s="13"/>
      <c r="F3" s="7"/>
      <c r="G3" s="61" t="s">
        <v>47</v>
      </c>
      <c r="H3" s="129">
        <f>SUM(H4:H9)*13+SUM(K4:K9)</f>
        <v>9052.02</v>
      </c>
      <c r="I3" s="134"/>
      <c r="J3" s="133" t="e">
        <f>ORÇAMENTO_EXECUTIVO!#REF!/AREAS_PRIVATIVAS!H3</f>
        <v>#REF!</v>
      </c>
      <c r="K3" s="13"/>
      <c r="L3" s="7"/>
      <c r="M3" s="7"/>
      <c r="N3" s="7"/>
      <c r="O3" s="7"/>
      <c r="P3" s="7"/>
      <c r="Q3" s="7"/>
      <c r="R3" s="7"/>
      <c r="S3" s="7"/>
    </row>
    <row r="4" spans="1:19" ht="19.5" customHeight="1" x14ac:dyDescent="0.25">
      <c r="A4" s="141">
        <v>601</v>
      </c>
      <c r="B4" s="135">
        <v>227.35</v>
      </c>
      <c r="C4" s="135">
        <v>1</v>
      </c>
      <c r="D4" s="142">
        <f ca="1">B4*$D$3</f>
        <v>349572.78097348823</v>
      </c>
      <c r="E4" s="13">
        <v>98.78</v>
      </c>
      <c r="F4" s="14"/>
      <c r="G4" s="26" t="s">
        <v>87</v>
      </c>
      <c r="H4" s="130">
        <v>72.290000000000006</v>
      </c>
      <c r="I4" s="135">
        <v>6</v>
      </c>
      <c r="J4" s="62">
        <f ca="1">H4*$D$3</f>
        <v>111152.91988816128</v>
      </c>
      <c r="K4" s="13">
        <v>86.29</v>
      </c>
      <c r="L4" s="14"/>
      <c r="M4" s="7"/>
      <c r="N4" s="7"/>
      <c r="O4" s="7"/>
      <c r="P4" s="7"/>
      <c r="Q4" s="7"/>
      <c r="R4" s="7"/>
      <c r="S4" s="7"/>
    </row>
    <row r="5" spans="1:19" ht="19.5" customHeight="1" x14ac:dyDescent="0.45">
      <c r="A5" s="140">
        <v>602</v>
      </c>
      <c r="B5" s="134">
        <v>235.9</v>
      </c>
      <c r="C5" s="134">
        <v>1</v>
      </c>
      <c r="D5" s="143">
        <f ca="1">B5*$D$3</f>
        <v>362719.23919791455</v>
      </c>
      <c r="E5" s="13">
        <v>78.650000000000006</v>
      </c>
      <c r="F5" s="15"/>
      <c r="G5" s="61" t="s">
        <v>88</v>
      </c>
      <c r="H5" s="129">
        <v>87.86</v>
      </c>
      <c r="I5" s="134">
        <f>6+6</f>
        <v>12</v>
      </c>
      <c r="J5" s="63">
        <f ca="1">H5*$D$3</f>
        <v>135093.31223369553</v>
      </c>
      <c r="K5" s="13">
        <v>99.74</v>
      </c>
      <c r="L5" s="15"/>
      <c r="M5" s="7"/>
      <c r="N5" s="7"/>
      <c r="O5" s="7"/>
      <c r="P5" s="7"/>
      <c r="Q5" s="7"/>
      <c r="R5" s="7"/>
      <c r="S5" s="7"/>
    </row>
    <row r="6" spans="1:19" ht="19.5" customHeight="1" x14ac:dyDescent="0.25">
      <c r="A6" s="141">
        <v>603</v>
      </c>
      <c r="B6" s="135">
        <v>145.05000000000001</v>
      </c>
      <c r="C6" s="135">
        <v>1</v>
      </c>
      <c r="D6" s="142">
        <f t="shared" ref="D6:D20" ca="1" si="0">B6*$D$3</f>
        <v>223028.51057930273</v>
      </c>
      <c r="E6" s="13">
        <v>87.5</v>
      </c>
      <c r="F6" s="16"/>
      <c r="G6" s="26" t="s">
        <v>89</v>
      </c>
      <c r="H6" s="130">
        <v>96.26</v>
      </c>
      <c r="I6" s="135">
        <v>5</v>
      </c>
      <c r="J6" s="62">
        <f t="shared" ref="J6:J9" ca="1" si="1">H6*$D$3</f>
        <v>148009.13084014945</v>
      </c>
      <c r="K6" s="13">
        <v>116.13</v>
      </c>
      <c r="L6" s="16"/>
      <c r="M6" s="7"/>
      <c r="N6" s="7"/>
      <c r="O6" s="7"/>
      <c r="P6" s="7"/>
      <c r="Q6" s="7"/>
      <c r="R6" s="7"/>
      <c r="S6" s="7"/>
    </row>
    <row r="7" spans="1:19" ht="19.5" customHeight="1" x14ac:dyDescent="0.45">
      <c r="A7" s="140">
        <v>604</v>
      </c>
      <c r="B7" s="134">
        <v>144.5</v>
      </c>
      <c r="C7" s="134">
        <v>1</v>
      </c>
      <c r="D7" s="143">
        <f t="shared" ca="1" si="0"/>
        <v>222182.83198007059</v>
      </c>
      <c r="E7" s="13">
        <v>92.95</v>
      </c>
      <c r="F7" s="66">
        <f>B3/ORÇAMENTO_EXECUTIVO!G2</f>
        <v>2.672990530130285</v>
      </c>
      <c r="G7" s="61" t="s">
        <v>90</v>
      </c>
      <c r="H7" s="129">
        <v>113.26</v>
      </c>
      <c r="I7" s="134">
        <v>4</v>
      </c>
      <c r="J7" s="63">
        <f t="shared" ca="1" si="1"/>
        <v>174148.28754368718</v>
      </c>
      <c r="K7" s="13">
        <v>102.55</v>
      </c>
      <c r="L7" s="66" t="e">
        <f>H3/ORÇAMENTO_EXECUTIVO!L2</f>
        <v>#DIV/0!</v>
      </c>
      <c r="M7" s="7"/>
      <c r="N7" s="7"/>
      <c r="O7" s="7"/>
      <c r="P7" s="7"/>
      <c r="Q7" s="7"/>
      <c r="R7" s="7"/>
      <c r="S7" s="7"/>
    </row>
    <row r="8" spans="1:19" ht="19.5" customHeight="1" x14ac:dyDescent="0.25">
      <c r="A8" s="141">
        <v>605</v>
      </c>
      <c r="B8" s="135">
        <v>108.25</v>
      </c>
      <c r="C8" s="135">
        <v>1</v>
      </c>
      <c r="D8" s="142">
        <f t="shared" ca="1" si="0"/>
        <v>166444.92430340929</v>
      </c>
      <c r="E8" s="13">
        <v>115.03</v>
      </c>
      <c r="F8" s="16"/>
      <c r="G8" s="26" t="s">
        <v>91</v>
      </c>
      <c r="H8" s="130">
        <v>46.51</v>
      </c>
      <c r="I8" s="135">
        <v>6</v>
      </c>
      <c r="J8" s="62">
        <f t="shared" ca="1" si="1"/>
        <v>71513.657545972892</v>
      </c>
      <c r="K8" s="13">
        <v>123.34</v>
      </c>
      <c r="L8" s="16"/>
      <c r="M8" s="7"/>
      <c r="N8" s="7"/>
      <c r="O8" s="7"/>
      <c r="P8" s="7"/>
      <c r="Q8" s="7"/>
      <c r="R8" s="7"/>
      <c r="S8" s="7"/>
    </row>
    <row r="9" spans="1:19" ht="19.5" customHeight="1" thickBot="1" x14ac:dyDescent="0.5">
      <c r="A9" s="140">
        <v>606</v>
      </c>
      <c r="B9" s="134">
        <v>185.85</v>
      </c>
      <c r="C9" s="134">
        <v>1</v>
      </c>
      <c r="D9" s="143">
        <f t="shared" ca="1" si="0"/>
        <v>285762.48666779319</v>
      </c>
      <c r="E9" s="13">
        <v>113.21</v>
      </c>
      <c r="F9" s="15"/>
      <c r="G9" s="64" t="s">
        <v>92</v>
      </c>
      <c r="H9" s="131">
        <v>239.51</v>
      </c>
      <c r="I9" s="137">
        <v>1</v>
      </c>
      <c r="J9" s="65">
        <f t="shared" ca="1" si="1"/>
        <v>368269.96600378345</v>
      </c>
      <c r="K9" s="13"/>
      <c r="L9" s="15"/>
      <c r="M9" s="7"/>
      <c r="N9" s="7"/>
      <c r="O9" s="7"/>
      <c r="P9" s="7"/>
      <c r="Q9" s="7"/>
      <c r="R9" s="7"/>
      <c r="S9" s="7"/>
    </row>
    <row r="10" spans="1:19" ht="19.5" customHeight="1" x14ac:dyDescent="0.45">
      <c r="A10" s="141">
        <v>607</v>
      </c>
      <c r="B10" s="135">
        <v>201.9</v>
      </c>
      <c r="C10" s="135">
        <v>1</v>
      </c>
      <c r="D10" s="142">
        <f t="shared" ca="1" si="0"/>
        <v>310440.92579083913</v>
      </c>
      <c r="E10" s="13"/>
      <c r="F10" s="15"/>
      <c r="G10" s="7"/>
      <c r="H10" s="7"/>
      <c r="I10" s="7"/>
      <c r="J10" s="13"/>
      <c r="K10" s="13"/>
      <c r="L10" s="15"/>
      <c r="M10" s="7"/>
      <c r="N10" s="7"/>
      <c r="O10" s="7"/>
      <c r="P10" s="7"/>
      <c r="Q10" s="7"/>
      <c r="R10" s="7"/>
      <c r="S10" s="7"/>
    </row>
    <row r="11" spans="1:19" ht="19.5" customHeight="1" x14ac:dyDescent="0.45">
      <c r="A11" s="140">
        <v>608</v>
      </c>
      <c r="B11" s="134">
        <v>127.4</v>
      </c>
      <c r="C11" s="134">
        <v>1</v>
      </c>
      <c r="D11" s="143">
        <f t="shared" ca="1" si="0"/>
        <v>195889.91553121796</v>
      </c>
      <c r="E11" s="13"/>
      <c r="F11" s="15"/>
      <c r="G11" s="7"/>
      <c r="H11" s="7"/>
      <c r="I11" s="7"/>
      <c r="J11" s="13"/>
      <c r="K11" s="13"/>
      <c r="L11" s="15"/>
      <c r="M11" s="7"/>
      <c r="N11" s="7"/>
      <c r="O11" s="7"/>
      <c r="P11" s="7"/>
      <c r="Q11" s="7"/>
      <c r="R11" s="7"/>
      <c r="S11" s="7"/>
    </row>
    <row r="12" spans="1:19" ht="19.5" customHeight="1" x14ac:dyDescent="0.45">
      <c r="A12" s="141" t="s">
        <v>94</v>
      </c>
      <c r="B12" s="135">
        <v>164.7</v>
      </c>
      <c r="C12" s="135">
        <v>2</v>
      </c>
      <c r="D12" s="142">
        <f t="shared" ca="1" si="0"/>
        <v>253242.30053368598</v>
      </c>
      <c r="E12" s="13"/>
      <c r="F12" s="15"/>
      <c r="G12" s="7"/>
      <c r="H12" s="7"/>
      <c r="I12" s="7"/>
      <c r="J12" s="13"/>
      <c r="K12" s="13"/>
      <c r="L12" s="15"/>
      <c r="M12" s="7"/>
      <c r="N12" s="7"/>
      <c r="O12" s="7"/>
      <c r="P12" s="7"/>
      <c r="Q12" s="7"/>
      <c r="R12" s="7"/>
      <c r="S12" s="7"/>
    </row>
    <row r="13" spans="1:19" ht="19.5" customHeight="1" x14ac:dyDescent="0.45">
      <c r="A13" s="140" t="s">
        <v>95</v>
      </c>
      <c r="B13" s="134">
        <v>155.9</v>
      </c>
      <c r="C13" s="134">
        <v>13</v>
      </c>
      <c r="D13" s="143">
        <f t="shared" ca="1" si="0"/>
        <v>239711.44294597238</v>
      </c>
      <c r="E13" s="13"/>
      <c r="F13" s="15"/>
      <c r="G13" s="7"/>
      <c r="H13" s="7"/>
      <c r="I13" s="7"/>
      <c r="J13" s="13"/>
      <c r="K13" s="13"/>
      <c r="L13" s="15"/>
      <c r="M13" s="7"/>
      <c r="N13" s="7"/>
      <c r="O13" s="7"/>
      <c r="P13" s="7"/>
      <c r="Q13" s="7"/>
      <c r="R13" s="7"/>
      <c r="S13" s="7"/>
    </row>
    <row r="14" spans="1:19" ht="19.5" customHeight="1" x14ac:dyDescent="0.45">
      <c r="A14" s="141" t="s">
        <v>98</v>
      </c>
      <c r="B14" s="135">
        <v>175.7</v>
      </c>
      <c r="C14" s="135">
        <v>13</v>
      </c>
      <c r="D14" s="142">
        <f t="shared" ca="1" si="0"/>
        <v>270155.87251832802</v>
      </c>
      <c r="E14" s="13"/>
      <c r="F14" s="15"/>
      <c r="G14" s="7"/>
      <c r="H14" s="7"/>
      <c r="I14" s="7"/>
      <c r="J14" s="7"/>
      <c r="K14" s="13"/>
      <c r="L14" s="15"/>
      <c r="M14" s="7"/>
      <c r="N14" s="7"/>
      <c r="O14" s="7"/>
      <c r="P14" s="7"/>
      <c r="Q14" s="7"/>
      <c r="R14" s="7"/>
      <c r="S14" s="7"/>
    </row>
    <row r="15" spans="1:19" ht="19.5" customHeight="1" x14ac:dyDescent="0.45">
      <c r="A15" s="140" t="s">
        <v>96</v>
      </c>
      <c r="B15" s="134">
        <v>114.7</v>
      </c>
      <c r="C15" s="134">
        <v>52</v>
      </c>
      <c r="D15" s="143">
        <f t="shared" ca="1" si="0"/>
        <v>176362.42787622212</v>
      </c>
      <c r="E15" s="13"/>
      <c r="F15" s="15"/>
      <c r="G15" s="7"/>
      <c r="H15" s="7"/>
      <c r="I15" s="7"/>
      <c r="J15" s="7"/>
      <c r="K15" s="13"/>
      <c r="L15" s="15"/>
      <c r="M15" s="7"/>
      <c r="N15" s="7"/>
      <c r="O15" s="7"/>
      <c r="P15" s="7"/>
      <c r="Q15" s="7"/>
      <c r="R15" s="7"/>
      <c r="S15" s="7"/>
    </row>
    <row r="16" spans="1:19" ht="19.5" customHeight="1" x14ac:dyDescent="0.45">
      <c r="A16" s="141" t="s">
        <v>97</v>
      </c>
      <c r="B16" s="135">
        <v>91.5</v>
      </c>
      <c r="C16" s="135">
        <v>13</v>
      </c>
      <c r="D16" s="142">
        <f t="shared" ca="1" si="0"/>
        <v>140690.1669631589</v>
      </c>
      <c r="E16" s="13"/>
      <c r="F16" s="15"/>
      <c r="G16" s="7"/>
      <c r="H16" s="7"/>
      <c r="I16" s="7"/>
      <c r="J16" s="7"/>
      <c r="K16" s="13"/>
      <c r="L16" s="15"/>
      <c r="M16" s="7"/>
      <c r="N16" s="7"/>
      <c r="O16" s="7"/>
      <c r="P16" s="7"/>
      <c r="Q16" s="7"/>
      <c r="R16" s="7"/>
      <c r="S16" s="7"/>
    </row>
    <row r="17" spans="1:19" ht="19.5" customHeight="1" x14ac:dyDescent="0.45">
      <c r="A17" s="140" t="s">
        <v>99</v>
      </c>
      <c r="B17" s="134">
        <v>137.1</v>
      </c>
      <c r="C17" s="134">
        <v>13</v>
      </c>
      <c r="D17" s="143">
        <f t="shared" ca="1" si="0"/>
        <v>210804.61082676594</v>
      </c>
      <c r="E17" s="13"/>
      <c r="F17" s="15"/>
      <c r="G17" s="7"/>
      <c r="H17" s="7"/>
      <c r="I17" s="7"/>
      <c r="J17" s="7"/>
      <c r="K17" s="13"/>
      <c r="L17" s="15"/>
      <c r="M17" s="7"/>
      <c r="N17" s="7"/>
      <c r="O17" s="7"/>
      <c r="P17" s="7"/>
      <c r="Q17" s="7"/>
      <c r="R17" s="7"/>
      <c r="S17" s="7"/>
    </row>
    <row r="18" spans="1:19" ht="19.5" customHeight="1" x14ac:dyDescent="0.45">
      <c r="A18" s="141" t="s">
        <v>100</v>
      </c>
      <c r="B18" s="135">
        <v>136.5</v>
      </c>
      <c r="C18" s="135">
        <v>13</v>
      </c>
      <c r="D18" s="142">
        <f t="shared" ca="1" si="0"/>
        <v>209882.05235487639</v>
      </c>
      <c r="E18" s="13"/>
      <c r="F18" s="15"/>
      <c r="G18" s="7"/>
      <c r="H18" s="7"/>
      <c r="I18" s="7"/>
      <c r="J18" s="7"/>
      <c r="K18" s="13"/>
      <c r="L18" s="15"/>
      <c r="M18" s="7"/>
      <c r="N18" s="7"/>
      <c r="O18" s="7"/>
      <c r="P18" s="7"/>
      <c r="Q18" s="7"/>
      <c r="R18" s="7"/>
      <c r="S18" s="7"/>
    </row>
    <row r="19" spans="1:19" ht="19.5" customHeight="1" x14ac:dyDescent="0.45">
      <c r="A19" s="140" t="s">
        <v>101</v>
      </c>
      <c r="B19" s="134">
        <v>90.75</v>
      </c>
      <c r="C19" s="134">
        <v>13</v>
      </c>
      <c r="D19" s="143">
        <f t="shared" ca="1" si="0"/>
        <v>139536.96887329692</v>
      </c>
      <c r="E19" s="13"/>
      <c r="F19" s="15"/>
      <c r="G19" s="7"/>
      <c r="H19" s="7"/>
      <c r="I19" s="7"/>
      <c r="J19" s="7"/>
      <c r="K19" s="13"/>
      <c r="L19" s="15"/>
      <c r="M19" s="7"/>
      <c r="N19" s="7"/>
      <c r="O19" s="7"/>
      <c r="P19" s="7"/>
      <c r="Q19" s="7"/>
      <c r="R19" s="7"/>
      <c r="S19" s="7"/>
    </row>
    <row r="20" spans="1:19" ht="19.5" customHeight="1" x14ac:dyDescent="0.25">
      <c r="A20" s="141">
        <v>2001</v>
      </c>
      <c r="B20" s="135">
        <v>280.89999999999998</v>
      </c>
      <c r="C20" s="135">
        <v>1</v>
      </c>
      <c r="D20" s="142">
        <f t="shared" ca="1" si="0"/>
        <v>431911.12458963203</v>
      </c>
      <c r="E20" s="13">
        <v>45.73</v>
      </c>
      <c r="F20" s="7"/>
      <c r="G20" s="7"/>
      <c r="H20" s="7"/>
      <c r="I20" s="138"/>
      <c r="J20" s="7"/>
      <c r="K20" s="7"/>
      <c r="L20" s="7"/>
      <c r="M20" s="7"/>
      <c r="N20" s="7"/>
      <c r="O20" s="7"/>
      <c r="P20" s="7"/>
      <c r="Q20" s="7"/>
      <c r="R20" s="7"/>
      <c r="S20" s="7"/>
    </row>
    <row r="21" spans="1:19" ht="19.5" customHeight="1" x14ac:dyDescent="0.25">
      <c r="A21" s="144">
        <v>2002</v>
      </c>
      <c r="B21" s="136">
        <v>275.05</v>
      </c>
      <c r="C21" s="136">
        <v>1</v>
      </c>
      <c r="D21" s="145">
        <f ca="1">B21*D3</f>
        <v>422916.17948870879</v>
      </c>
      <c r="E21" s="13">
        <v>122.55</v>
      </c>
      <c r="F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spans="1:19" ht="19.5" customHeight="1" x14ac:dyDescent="0.25">
      <c r="A22" s="7"/>
      <c r="B22" s="7"/>
      <c r="C22" s="7"/>
      <c r="D22" s="13"/>
      <c r="E22" s="13"/>
      <c r="F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 spans="1:19" ht="19.5" customHeight="1" thickBot="1" x14ac:dyDescent="0.3">
      <c r="A23" s="7"/>
      <c r="B23" s="7"/>
      <c r="C23" s="13"/>
      <c r="D23" s="13"/>
      <c r="E23" s="7"/>
      <c r="I23" s="7"/>
      <c r="J23" s="7"/>
      <c r="K23" s="7"/>
      <c r="L23" s="7"/>
      <c r="M23" s="7"/>
      <c r="N23" s="7"/>
      <c r="O23" s="7"/>
      <c r="P23" s="7"/>
      <c r="Q23" s="7"/>
      <c r="R23" s="7"/>
    </row>
    <row r="24" spans="1:19" ht="19.5" customHeight="1" x14ac:dyDescent="0.25">
      <c r="A24" s="59" t="s">
        <v>49</v>
      </c>
      <c r="B24" s="60">
        <v>640.39</v>
      </c>
      <c r="C24" s="146"/>
      <c r="D24" s="13"/>
      <c r="E24" s="7"/>
      <c r="I24" s="7"/>
      <c r="J24" s="7"/>
      <c r="K24" s="7"/>
      <c r="L24" s="7"/>
      <c r="M24" s="7"/>
      <c r="N24" s="7"/>
      <c r="O24" s="7"/>
      <c r="P24" s="7"/>
      <c r="Q24" s="7"/>
      <c r="R24" s="7"/>
    </row>
    <row r="25" spans="1:19" ht="19.5" customHeight="1" x14ac:dyDescent="0.25">
      <c r="A25" s="7"/>
      <c r="B25" s="7"/>
      <c r="C25" s="13"/>
      <c r="D25" s="13"/>
      <c r="E25" s="7"/>
      <c r="I25" s="7"/>
      <c r="J25" s="7"/>
      <c r="K25" s="7"/>
      <c r="L25" s="7"/>
      <c r="M25" s="7"/>
      <c r="N25" s="7"/>
      <c r="O25" s="7"/>
      <c r="P25" s="7"/>
      <c r="Q25" s="7"/>
      <c r="R25" s="7"/>
    </row>
    <row r="26" spans="1:19" ht="19.5" customHeight="1" x14ac:dyDescent="0.25">
      <c r="A26" s="7"/>
      <c r="B26" s="7"/>
      <c r="C26" s="13"/>
      <c r="D26" s="13"/>
      <c r="E26" s="7"/>
      <c r="I26" s="7"/>
      <c r="J26" s="7"/>
      <c r="K26" s="7"/>
      <c r="L26" s="7"/>
      <c r="M26" s="7"/>
      <c r="N26" s="7"/>
      <c r="O26" s="7"/>
      <c r="P26" s="7"/>
      <c r="Q26" s="7"/>
      <c r="R26" s="7"/>
    </row>
    <row r="27" spans="1:19" ht="19.5" customHeight="1" x14ac:dyDescent="0.25">
      <c r="A27" s="7"/>
      <c r="B27" s="7"/>
      <c r="C27" s="13"/>
      <c r="D27" s="13"/>
      <c r="E27" s="7"/>
      <c r="F27" s="139"/>
      <c r="G27" s="138"/>
      <c r="H27" s="138"/>
      <c r="I27" s="7"/>
      <c r="J27" s="7"/>
      <c r="K27" s="7"/>
      <c r="L27" s="7"/>
      <c r="M27" s="7"/>
      <c r="N27" s="7"/>
      <c r="O27" s="7"/>
      <c r="P27" s="7"/>
      <c r="Q27" s="7"/>
      <c r="R27" s="7"/>
    </row>
    <row r="28" spans="1:19" ht="19.5" customHeight="1" x14ac:dyDescent="0.25">
      <c r="A28" s="7"/>
      <c r="B28" s="7"/>
      <c r="C28" s="13"/>
      <c r="D28" s="13"/>
      <c r="E28" s="7"/>
      <c r="F28" s="139"/>
      <c r="G28" s="138"/>
      <c r="H28" s="138"/>
      <c r="I28" s="7"/>
      <c r="J28" s="7"/>
      <c r="K28" s="7"/>
      <c r="L28" s="7"/>
      <c r="M28" s="7"/>
      <c r="N28" s="7"/>
      <c r="O28" s="7"/>
      <c r="P28" s="7"/>
      <c r="Q28" s="7"/>
      <c r="R28" s="7"/>
    </row>
    <row r="29" spans="1:19" ht="19.5" customHeight="1" x14ac:dyDescent="0.25">
      <c r="A29" s="7"/>
      <c r="B29" s="7"/>
      <c r="C29" s="13"/>
      <c r="D29" s="13"/>
      <c r="E29" s="7"/>
      <c r="F29" s="139"/>
      <c r="G29" s="138"/>
      <c r="H29" s="138"/>
      <c r="I29" s="7"/>
      <c r="J29" s="7"/>
      <c r="K29" s="7"/>
      <c r="L29" s="7"/>
      <c r="M29" s="7"/>
      <c r="N29" s="7"/>
      <c r="O29" s="7"/>
      <c r="P29" s="7"/>
      <c r="Q29" s="7"/>
      <c r="R29" s="7"/>
    </row>
    <row r="30" spans="1:19" ht="19.5" customHeight="1" x14ac:dyDescent="0.25">
      <c r="A30" s="7"/>
      <c r="B30" s="7"/>
      <c r="C30" s="13"/>
      <c r="D30" s="13"/>
      <c r="E30" s="7"/>
      <c r="F30" s="139"/>
      <c r="G30" s="138"/>
      <c r="H30" s="138"/>
      <c r="I30" s="7"/>
      <c r="J30" s="7"/>
      <c r="K30" s="7"/>
      <c r="L30" s="7"/>
      <c r="M30" s="7"/>
      <c r="N30" s="7"/>
      <c r="O30" s="7"/>
      <c r="P30" s="7"/>
      <c r="Q30" s="7"/>
      <c r="R30" s="7"/>
    </row>
    <row r="31" spans="1:19" ht="19.5" customHeight="1" x14ac:dyDescent="0.25">
      <c r="A31" s="7"/>
      <c r="B31" s="7"/>
      <c r="C31" s="13"/>
      <c r="D31" s="13"/>
      <c r="E31" s="7"/>
      <c r="F31" s="139"/>
      <c r="G31" s="138"/>
      <c r="H31" s="138"/>
      <c r="I31" s="7"/>
      <c r="J31" s="7"/>
      <c r="K31" s="7"/>
      <c r="L31" s="7"/>
      <c r="M31" s="7"/>
      <c r="N31" s="7"/>
      <c r="O31" s="7"/>
      <c r="P31" s="7"/>
      <c r="Q31" s="7"/>
      <c r="R31" s="7"/>
    </row>
    <row r="32" spans="1:19" ht="19.5" customHeight="1" x14ac:dyDescent="0.25">
      <c r="A32" s="7"/>
      <c r="B32" s="7"/>
      <c r="C32" s="13"/>
      <c r="D32" s="13"/>
      <c r="E32" s="7"/>
      <c r="F32" s="139"/>
      <c r="G32" s="138"/>
      <c r="H32" s="138"/>
      <c r="I32" s="7"/>
      <c r="J32" s="7"/>
      <c r="K32" s="7"/>
      <c r="L32" s="7"/>
      <c r="M32" s="7"/>
      <c r="N32" s="7"/>
      <c r="O32" s="7"/>
      <c r="P32" s="7"/>
      <c r="Q32" s="7"/>
      <c r="R32" s="7"/>
    </row>
    <row r="33" spans="1:18" ht="19.5" customHeight="1" x14ac:dyDescent="0.25">
      <c r="A33" s="7"/>
      <c r="B33" s="7"/>
      <c r="C33" s="13"/>
      <c r="D33" s="13"/>
      <c r="E33" s="7"/>
      <c r="F33" s="139"/>
      <c r="G33" s="138"/>
      <c r="H33" s="138"/>
      <c r="I33" s="7"/>
      <c r="J33" s="7"/>
      <c r="K33" s="7"/>
      <c r="L33" s="7"/>
      <c r="M33" s="7"/>
      <c r="N33" s="7"/>
      <c r="O33" s="7"/>
      <c r="P33" s="7"/>
      <c r="Q33" s="7"/>
      <c r="R33" s="7"/>
    </row>
    <row r="34" spans="1:18" ht="19.5" customHeight="1" x14ac:dyDescent="0.25">
      <c r="A34" s="7"/>
      <c r="B34" s="7"/>
      <c r="C34" s="13"/>
      <c r="D34" s="13"/>
      <c r="E34" s="7"/>
      <c r="F34" s="139"/>
      <c r="G34" s="138"/>
      <c r="H34" s="138"/>
      <c r="I34" s="7"/>
      <c r="J34" s="7"/>
      <c r="K34" s="7"/>
      <c r="L34" s="7"/>
      <c r="M34" s="7"/>
      <c r="N34" s="7"/>
      <c r="O34" s="7"/>
      <c r="P34" s="7"/>
      <c r="Q34" s="7"/>
      <c r="R34" s="7"/>
    </row>
    <row r="35" spans="1:18" ht="19.5" customHeight="1" x14ac:dyDescent="0.25">
      <c r="A35" s="7"/>
      <c r="B35" s="7"/>
      <c r="C35" s="13"/>
      <c r="D35" s="13"/>
      <c r="E35" s="7"/>
      <c r="F35" s="139"/>
      <c r="G35" s="138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</row>
    <row r="36" spans="1:18" ht="19.5" customHeight="1" x14ac:dyDescent="0.25">
      <c r="A36" s="7"/>
      <c r="B36" s="7"/>
      <c r="C36" s="13"/>
      <c r="D36" s="13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</row>
    <row r="37" spans="1:18" ht="19.5" customHeight="1" x14ac:dyDescent="0.25">
      <c r="A37" s="7"/>
      <c r="B37" s="7"/>
      <c r="C37" s="13"/>
      <c r="D37" s="13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</row>
    <row r="38" spans="1:18" ht="19.5" customHeight="1" x14ac:dyDescent="0.25">
      <c r="A38" s="7"/>
      <c r="B38" s="7"/>
      <c r="C38" s="13"/>
      <c r="D38" s="13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</row>
    <row r="39" spans="1:18" ht="19.5" customHeight="1" x14ac:dyDescent="0.25">
      <c r="A39" s="7"/>
      <c r="B39" s="7"/>
      <c r="C39" s="13"/>
      <c r="D39" s="13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</row>
    <row r="40" spans="1:18" ht="19.5" customHeight="1" x14ac:dyDescent="0.25">
      <c r="A40" s="7"/>
      <c r="B40" s="7"/>
      <c r="C40" s="13"/>
      <c r="D40" s="13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</row>
    <row r="41" spans="1:18" ht="19.5" customHeight="1" x14ac:dyDescent="0.25">
      <c r="A41" s="7"/>
      <c r="B41" s="7"/>
      <c r="C41" s="13"/>
      <c r="D41" s="13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</row>
    <row r="42" spans="1:18" ht="19.5" customHeight="1" x14ac:dyDescent="0.25">
      <c r="A42" s="7"/>
      <c r="B42" s="7"/>
      <c r="C42" s="13"/>
      <c r="D42" s="13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</row>
    <row r="43" spans="1:18" ht="19.5" customHeight="1" x14ac:dyDescent="0.25">
      <c r="A43" s="7"/>
      <c r="B43" s="7"/>
      <c r="C43" s="13"/>
      <c r="D43" s="13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</row>
    <row r="44" spans="1:18" ht="19.5" customHeight="1" x14ac:dyDescent="0.25">
      <c r="A44" s="7"/>
      <c r="B44" s="7"/>
      <c r="C44" s="13"/>
      <c r="D44" s="13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</row>
    <row r="45" spans="1:18" ht="19.5" customHeight="1" x14ac:dyDescent="0.25">
      <c r="A45" s="7"/>
      <c r="B45" s="7"/>
      <c r="C45" s="13"/>
      <c r="D45" s="13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</row>
    <row r="46" spans="1:18" ht="19.5" customHeight="1" x14ac:dyDescent="0.25">
      <c r="A46" s="7"/>
      <c r="B46" s="7"/>
      <c r="C46" s="13"/>
      <c r="D46" s="13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</row>
    <row r="47" spans="1:18" ht="19.5" customHeight="1" x14ac:dyDescent="0.25">
      <c r="A47" s="7"/>
      <c r="B47" s="7"/>
      <c r="C47" s="13"/>
      <c r="D47" s="13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</row>
    <row r="48" spans="1:18" ht="19.5" customHeight="1" x14ac:dyDescent="0.25">
      <c r="A48" s="7"/>
      <c r="B48" s="7"/>
      <c r="C48" s="13"/>
      <c r="D48" s="13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</row>
    <row r="49" spans="1:18" ht="19.5" customHeight="1" x14ac:dyDescent="0.25">
      <c r="A49" s="7"/>
      <c r="B49" s="7"/>
      <c r="C49" s="13"/>
      <c r="D49" s="13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</row>
    <row r="50" spans="1:18" ht="19.5" customHeight="1" x14ac:dyDescent="0.25">
      <c r="A50" s="7"/>
      <c r="B50" s="7"/>
      <c r="C50" s="13"/>
      <c r="D50" s="13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</row>
    <row r="51" spans="1:18" ht="19.5" customHeight="1" x14ac:dyDescent="0.25">
      <c r="A51" s="7"/>
      <c r="B51" s="7"/>
      <c r="C51" s="13"/>
      <c r="D51" s="13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</row>
    <row r="52" spans="1:18" ht="19.5" customHeight="1" x14ac:dyDescent="0.25">
      <c r="A52" s="7"/>
      <c r="B52" s="7"/>
      <c r="C52" s="13"/>
      <c r="D52" s="13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</row>
    <row r="53" spans="1:18" ht="19.5" customHeight="1" x14ac:dyDescent="0.25">
      <c r="A53" s="7"/>
      <c r="B53" s="7"/>
      <c r="C53" s="13"/>
      <c r="D53" s="13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</row>
    <row r="54" spans="1:18" ht="19.5" customHeight="1" x14ac:dyDescent="0.25">
      <c r="A54" s="7"/>
      <c r="B54" s="7"/>
      <c r="C54" s="13"/>
      <c r="D54" s="13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</row>
    <row r="55" spans="1:18" ht="19.5" customHeight="1" x14ac:dyDescent="0.25">
      <c r="A55" s="7"/>
      <c r="B55" s="7"/>
      <c r="C55" s="13"/>
      <c r="D55" s="13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</row>
    <row r="56" spans="1:18" ht="19.5" customHeight="1" x14ac:dyDescent="0.25">
      <c r="A56" s="7"/>
      <c r="B56" s="7"/>
      <c r="C56" s="13"/>
      <c r="D56" s="13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</row>
    <row r="57" spans="1:18" ht="19.5" customHeight="1" x14ac:dyDescent="0.25">
      <c r="A57" s="7"/>
      <c r="B57" s="7"/>
      <c r="C57" s="13"/>
      <c r="D57" s="13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</row>
    <row r="58" spans="1:18" ht="19.5" customHeight="1" x14ac:dyDescent="0.25">
      <c r="A58" s="7"/>
      <c r="B58" s="7"/>
      <c r="C58" s="13"/>
      <c r="D58" s="13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</row>
    <row r="59" spans="1:18" ht="19.5" customHeight="1" x14ac:dyDescent="0.25">
      <c r="A59" s="7"/>
      <c r="B59" s="7"/>
      <c r="C59" s="13"/>
      <c r="D59" s="13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</row>
    <row r="60" spans="1:18" ht="19.5" customHeight="1" x14ac:dyDescent="0.25">
      <c r="A60" s="7"/>
      <c r="B60" s="7"/>
      <c r="C60" s="13"/>
      <c r="D60" s="13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</row>
    <row r="61" spans="1:18" ht="19.5" customHeight="1" x14ac:dyDescent="0.25">
      <c r="A61" s="7"/>
      <c r="B61" s="7"/>
      <c r="C61" s="13"/>
      <c r="D61" s="13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</row>
    <row r="62" spans="1:18" ht="19.5" customHeight="1" x14ac:dyDescent="0.25">
      <c r="A62" s="7"/>
      <c r="B62" s="7"/>
      <c r="C62" s="13"/>
      <c r="D62" s="13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</row>
    <row r="63" spans="1:18" ht="19.5" customHeight="1" x14ac:dyDescent="0.25">
      <c r="A63" s="7"/>
      <c r="B63" s="7"/>
      <c r="C63" s="13"/>
      <c r="D63" s="13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</row>
    <row r="64" spans="1:18" ht="19.5" customHeight="1" x14ac:dyDescent="0.25">
      <c r="A64" s="7"/>
      <c r="B64" s="7"/>
      <c r="C64" s="13"/>
      <c r="D64" s="13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</row>
    <row r="65" spans="1:18" ht="19.5" customHeight="1" x14ac:dyDescent="0.25">
      <c r="A65" s="7"/>
      <c r="B65" s="7"/>
      <c r="C65" s="13"/>
      <c r="D65" s="13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</row>
    <row r="66" spans="1:18" ht="19.5" customHeight="1" x14ac:dyDescent="0.25">
      <c r="A66" s="7"/>
      <c r="B66" s="7"/>
      <c r="C66" s="13"/>
      <c r="D66" s="13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</row>
    <row r="67" spans="1:18" ht="19.5" customHeight="1" x14ac:dyDescent="0.25">
      <c r="A67" s="7"/>
      <c r="B67" s="7"/>
      <c r="C67" s="13"/>
      <c r="D67" s="13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</row>
    <row r="68" spans="1:18" ht="19.5" customHeight="1" x14ac:dyDescent="0.25">
      <c r="A68" s="7"/>
      <c r="B68" s="7"/>
      <c r="C68" s="13"/>
      <c r="D68" s="13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</row>
    <row r="69" spans="1:18" ht="19.5" customHeight="1" x14ac:dyDescent="0.25">
      <c r="A69" s="7"/>
      <c r="B69" s="7"/>
      <c r="C69" s="13"/>
      <c r="D69" s="13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</row>
    <row r="70" spans="1:18" ht="19.5" customHeight="1" x14ac:dyDescent="0.25">
      <c r="A70" s="7"/>
      <c r="B70" s="7"/>
      <c r="C70" s="13"/>
      <c r="D70" s="13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</row>
    <row r="71" spans="1:18" ht="19.5" customHeight="1" x14ac:dyDescent="0.25">
      <c r="A71" s="7"/>
      <c r="B71" s="7"/>
      <c r="C71" s="13"/>
      <c r="D71" s="13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</row>
    <row r="72" spans="1:18" ht="19.5" customHeight="1" x14ac:dyDescent="0.25">
      <c r="A72" s="7"/>
      <c r="B72" s="7"/>
      <c r="C72" s="13"/>
      <c r="D72" s="13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</row>
    <row r="73" spans="1:18" ht="19.5" customHeight="1" x14ac:dyDescent="0.25">
      <c r="A73" s="7"/>
      <c r="B73" s="7"/>
      <c r="C73" s="13"/>
      <c r="D73" s="13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</row>
    <row r="74" spans="1:18" ht="19.5" customHeight="1" x14ac:dyDescent="0.25">
      <c r="A74" s="7"/>
      <c r="B74" s="7"/>
      <c r="C74" s="13"/>
      <c r="D74" s="13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</row>
    <row r="75" spans="1:18" ht="19.5" customHeight="1" x14ac:dyDescent="0.25">
      <c r="A75" s="7"/>
      <c r="B75" s="7"/>
      <c r="C75" s="13"/>
      <c r="D75" s="13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</row>
    <row r="76" spans="1:18" ht="19.5" customHeight="1" x14ac:dyDescent="0.25">
      <c r="A76" s="7"/>
      <c r="B76" s="7"/>
      <c r="C76" s="13"/>
      <c r="D76" s="13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</row>
    <row r="77" spans="1:18" ht="19.5" customHeight="1" x14ac:dyDescent="0.25">
      <c r="A77" s="7"/>
      <c r="B77" s="7"/>
      <c r="C77" s="13"/>
      <c r="D77" s="13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</row>
    <row r="78" spans="1:18" ht="19.5" customHeight="1" x14ac:dyDescent="0.25">
      <c r="A78" s="7"/>
      <c r="B78" s="7"/>
      <c r="C78" s="13"/>
      <c r="D78" s="13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</row>
    <row r="79" spans="1:18" ht="19.5" customHeight="1" x14ac:dyDescent="0.25">
      <c r="A79" s="7"/>
      <c r="B79" s="7"/>
      <c r="C79" s="13"/>
      <c r="D79" s="13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</row>
    <row r="80" spans="1:18" ht="19.5" customHeight="1" x14ac:dyDescent="0.25">
      <c r="A80" s="7"/>
      <c r="B80" s="7"/>
      <c r="C80" s="13"/>
      <c r="D80" s="13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</row>
    <row r="81" spans="1:18" ht="19.5" customHeight="1" x14ac:dyDescent="0.25">
      <c r="A81" s="7"/>
      <c r="B81" s="7"/>
      <c r="C81" s="13"/>
      <c r="D81" s="13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</row>
    <row r="82" spans="1:18" ht="19.5" customHeight="1" x14ac:dyDescent="0.25">
      <c r="A82" s="7"/>
      <c r="B82" s="7"/>
      <c r="C82" s="13"/>
      <c r="D82" s="13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</row>
    <row r="83" spans="1:18" ht="19.5" customHeight="1" x14ac:dyDescent="0.25">
      <c r="A83" s="7"/>
      <c r="B83" s="7"/>
      <c r="C83" s="13"/>
      <c r="D83" s="13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</row>
    <row r="84" spans="1:18" ht="19.5" customHeight="1" x14ac:dyDescent="0.25">
      <c r="A84" s="7"/>
      <c r="B84" s="7"/>
      <c r="C84" s="13"/>
      <c r="D84" s="13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</row>
    <row r="85" spans="1:18" ht="19.5" customHeight="1" x14ac:dyDescent="0.25">
      <c r="A85" s="7"/>
      <c r="B85" s="7"/>
      <c r="C85" s="13"/>
      <c r="D85" s="13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</row>
    <row r="86" spans="1:18" ht="19.5" customHeight="1" x14ac:dyDescent="0.25">
      <c r="A86" s="7"/>
      <c r="B86" s="7"/>
      <c r="C86" s="13"/>
      <c r="D86" s="13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</row>
    <row r="87" spans="1:18" ht="19.5" customHeight="1" x14ac:dyDescent="0.25">
      <c r="A87" s="7"/>
      <c r="B87" s="7"/>
      <c r="C87" s="13"/>
      <c r="D87" s="13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</row>
    <row r="88" spans="1:18" ht="19.5" customHeight="1" x14ac:dyDescent="0.25">
      <c r="A88" s="7"/>
      <c r="B88" s="7"/>
      <c r="C88" s="13"/>
      <c r="D88" s="13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</row>
    <row r="89" spans="1:18" ht="19.5" customHeight="1" x14ac:dyDescent="0.25">
      <c r="A89" s="7"/>
      <c r="B89" s="7"/>
      <c r="C89" s="13"/>
      <c r="D89" s="13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</row>
    <row r="90" spans="1:18" ht="19.5" customHeight="1" x14ac:dyDescent="0.25">
      <c r="A90" s="7"/>
      <c r="B90" s="7"/>
      <c r="C90" s="13"/>
      <c r="D90" s="13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</row>
    <row r="91" spans="1:18" ht="19.5" customHeight="1" x14ac:dyDescent="0.25">
      <c r="A91" s="7"/>
      <c r="B91" s="7"/>
      <c r="C91" s="13"/>
      <c r="D91" s="13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</row>
    <row r="92" spans="1:18" ht="19.5" customHeight="1" x14ac:dyDescent="0.25">
      <c r="A92" s="7"/>
      <c r="B92" s="7"/>
      <c r="C92" s="13"/>
      <c r="D92" s="13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</row>
    <row r="93" spans="1:18" ht="19.5" customHeight="1" x14ac:dyDescent="0.25">
      <c r="A93" s="7"/>
      <c r="B93" s="7"/>
      <c r="C93" s="13"/>
      <c r="D93" s="13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</row>
    <row r="94" spans="1:18" ht="19.5" customHeight="1" x14ac:dyDescent="0.25">
      <c r="A94" s="7"/>
      <c r="B94" s="7"/>
      <c r="C94" s="13"/>
      <c r="D94" s="13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</row>
    <row r="95" spans="1:18" ht="19.5" customHeight="1" x14ac:dyDescent="0.25">
      <c r="A95" s="7"/>
      <c r="B95" s="7"/>
      <c r="C95" s="13"/>
      <c r="D95" s="13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</row>
    <row r="96" spans="1:18" ht="19.5" customHeight="1" x14ac:dyDescent="0.25">
      <c r="A96" s="7"/>
      <c r="B96" s="7"/>
      <c r="C96" s="13"/>
      <c r="D96" s="13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</row>
    <row r="97" spans="1:18" ht="19.5" customHeight="1" x14ac:dyDescent="0.25">
      <c r="A97" s="7"/>
      <c r="B97" s="7"/>
      <c r="C97" s="13"/>
      <c r="D97" s="13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</row>
    <row r="98" spans="1:18" ht="19.5" customHeight="1" x14ac:dyDescent="0.25">
      <c r="A98" s="7"/>
      <c r="B98" s="7"/>
      <c r="C98" s="13"/>
      <c r="D98" s="13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</row>
    <row r="99" spans="1:18" ht="19.5" customHeight="1" x14ac:dyDescent="0.25">
      <c r="A99" s="7"/>
      <c r="B99" s="7"/>
      <c r="C99" s="13"/>
      <c r="D99" s="13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</row>
    <row r="100" spans="1:18" ht="19.5" customHeight="1" x14ac:dyDescent="0.25">
      <c r="A100" s="7"/>
      <c r="B100" s="7"/>
      <c r="C100" s="13"/>
      <c r="D100" s="13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</row>
    <row r="101" spans="1:18" ht="19.5" customHeight="1" x14ac:dyDescent="0.25">
      <c r="A101" s="7"/>
      <c r="B101" s="7"/>
      <c r="C101" s="13"/>
      <c r="D101" s="13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</row>
    <row r="102" spans="1:18" ht="19.5" customHeight="1" x14ac:dyDescent="0.25">
      <c r="A102" s="7"/>
      <c r="B102" s="7"/>
      <c r="C102" s="13"/>
      <c r="D102" s="13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</row>
    <row r="103" spans="1:18" ht="19.5" customHeight="1" x14ac:dyDescent="0.25">
      <c r="A103" s="7"/>
      <c r="B103" s="7"/>
      <c r="C103" s="13"/>
      <c r="D103" s="13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</row>
    <row r="104" spans="1:18" ht="19.5" customHeight="1" x14ac:dyDescent="0.25">
      <c r="A104" s="7"/>
      <c r="B104" s="7"/>
      <c r="C104" s="13"/>
      <c r="D104" s="13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</row>
    <row r="105" spans="1:18" ht="19.5" customHeight="1" x14ac:dyDescent="0.25">
      <c r="A105" s="7"/>
      <c r="B105" s="7"/>
      <c r="C105" s="13"/>
      <c r="D105" s="13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</row>
    <row r="106" spans="1:18" ht="19.5" customHeight="1" x14ac:dyDescent="0.25">
      <c r="A106" s="7"/>
      <c r="B106" s="7"/>
      <c r="C106" s="13"/>
      <c r="D106" s="13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</row>
    <row r="107" spans="1:18" ht="19.5" customHeight="1" x14ac:dyDescent="0.25">
      <c r="A107" s="7"/>
      <c r="B107" s="7"/>
      <c r="C107" s="13"/>
      <c r="D107" s="13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</row>
    <row r="108" spans="1:18" ht="19.5" customHeight="1" x14ac:dyDescent="0.25">
      <c r="A108" s="7"/>
      <c r="B108" s="7"/>
      <c r="C108" s="13"/>
      <c r="D108" s="13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</row>
    <row r="109" spans="1:18" ht="19.5" customHeight="1" x14ac:dyDescent="0.25">
      <c r="A109" s="7"/>
      <c r="B109" s="7"/>
      <c r="C109" s="13"/>
      <c r="D109" s="13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</row>
    <row r="110" spans="1:18" ht="19.5" customHeight="1" x14ac:dyDescent="0.25">
      <c r="A110" s="7"/>
      <c r="B110" s="7"/>
      <c r="C110" s="13"/>
      <c r="D110" s="13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</row>
    <row r="111" spans="1:18" ht="19.5" customHeight="1" x14ac:dyDescent="0.25">
      <c r="A111" s="7"/>
      <c r="B111" s="7"/>
      <c r="C111" s="13"/>
      <c r="D111" s="13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</row>
    <row r="112" spans="1:18" ht="19.5" customHeight="1" x14ac:dyDescent="0.25">
      <c r="A112" s="7"/>
      <c r="B112" s="7"/>
      <c r="C112" s="13"/>
      <c r="D112" s="13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</row>
    <row r="113" spans="1:18" ht="19.5" customHeight="1" x14ac:dyDescent="0.25">
      <c r="A113" s="7"/>
      <c r="B113" s="7"/>
      <c r="C113" s="13"/>
      <c r="D113" s="13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</row>
    <row r="114" spans="1:18" ht="19.5" customHeight="1" x14ac:dyDescent="0.25">
      <c r="A114" s="7"/>
      <c r="B114" s="7"/>
      <c r="C114" s="13"/>
      <c r="D114" s="13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</row>
    <row r="115" spans="1:18" ht="19.5" customHeight="1" x14ac:dyDescent="0.25">
      <c r="A115" s="7"/>
      <c r="B115" s="7"/>
      <c r="C115" s="13"/>
      <c r="D115" s="13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</row>
    <row r="116" spans="1:18" ht="19.5" customHeight="1" x14ac:dyDescent="0.25">
      <c r="A116" s="7"/>
      <c r="B116" s="7"/>
      <c r="C116" s="13"/>
      <c r="D116" s="13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</row>
    <row r="117" spans="1:18" ht="19.5" customHeight="1" x14ac:dyDescent="0.25">
      <c r="A117" s="7"/>
      <c r="B117" s="7"/>
      <c r="C117" s="13"/>
      <c r="D117" s="13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</row>
    <row r="118" spans="1:18" ht="19.5" customHeight="1" x14ac:dyDescent="0.25">
      <c r="A118" s="7"/>
      <c r="B118" s="7"/>
      <c r="C118" s="13"/>
      <c r="D118" s="13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</row>
    <row r="119" spans="1:18" ht="19.5" customHeight="1" x14ac:dyDescent="0.25">
      <c r="A119" s="7"/>
      <c r="B119" s="7"/>
      <c r="C119" s="13"/>
      <c r="D119" s="13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</row>
    <row r="120" spans="1:18" ht="19.5" customHeight="1" x14ac:dyDescent="0.25">
      <c r="A120" s="7"/>
      <c r="B120" s="7"/>
      <c r="C120" s="13"/>
      <c r="D120" s="13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</row>
    <row r="121" spans="1:18" ht="19.5" customHeight="1" x14ac:dyDescent="0.25">
      <c r="A121" s="7"/>
      <c r="B121" s="7"/>
      <c r="C121" s="13"/>
      <c r="D121" s="13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</row>
    <row r="122" spans="1:18" ht="19.5" customHeight="1" x14ac:dyDescent="0.25">
      <c r="A122" s="7"/>
      <c r="B122" s="7"/>
      <c r="C122" s="13"/>
      <c r="D122" s="13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</row>
    <row r="123" spans="1:18" ht="19.5" customHeight="1" x14ac:dyDescent="0.25">
      <c r="A123" s="7"/>
      <c r="B123" s="7"/>
      <c r="C123" s="13"/>
      <c r="D123" s="13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</row>
    <row r="124" spans="1:18" ht="19.5" customHeight="1" x14ac:dyDescent="0.25">
      <c r="A124" s="7"/>
      <c r="B124" s="7"/>
      <c r="C124" s="13"/>
      <c r="D124" s="13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</row>
    <row r="125" spans="1:18" ht="19.5" customHeight="1" x14ac:dyDescent="0.25">
      <c r="A125" s="7"/>
      <c r="B125" s="7"/>
      <c r="C125" s="13"/>
      <c r="D125" s="13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</row>
    <row r="126" spans="1:18" ht="19.5" customHeight="1" x14ac:dyDescent="0.25">
      <c r="A126" s="7"/>
      <c r="B126" s="7"/>
      <c r="C126" s="13"/>
      <c r="D126" s="13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</row>
    <row r="127" spans="1:18" ht="19.5" customHeight="1" x14ac:dyDescent="0.25">
      <c r="A127" s="7"/>
      <c r="B127" s="7"/>
      <c r="C127" s="13"/>
      <c r="D127" s="13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</row>
    <row r="128" spans="1:18" ht="19.5" customHeight="1" x14ac:dyDescent="0.25">
      <c r="A128" s="7"/>
      <c r="B128" s="7"/>
      <c r="C128" s="13"/>
      <c r="D128" s="13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</row>
    <row r="129" spans="1:18" ht="19.5" customHeight="1" x14ac:dyDescent="0.25">
      <c r="A129" s="7"/>
      <c r="B129" s="7"/>
      <c r="C129" s="13"/>
      <c r="D129" s="13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</row>
    <row r="130" spans="1:18" ht="19.5" customHeight="1" x14ac:dyDescent="0.25">
      <c r="A130" s="7"/>
      <c r="B130" s="7"/>
      <c r="C130" s="13"/>
      <c r="D130" s="13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</row>
    <row r="131" spans="1:18" ht="19.5" customHeight="1" x14ac:dyDescent="0.25">
      <c r="A131" s="7"/>
      <c r="B131" s="7"/>
      <c r="C131" s="13"/>
      <c r="D131" s="13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</row>
    <row r="132" spans="1:18" ht="19.5" customHeight="1" x14ac:dyDescent="0.25">
      <c r="A132" s="7"/>
      <c r="B132" s="7"/>
      <c r="C132" s="13"/>
      <c r="D132" s="13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</row>
    <row r="133" spans="1:18" ht="19.5" customHeight="1" x14ac:dyDescent="0.25">
      <c r="A133" s="7"/>
      <c r="B133" s="7"/>
      <c r="C133" s="13"/>
      <c r="D133" s="13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</row>
    <row r="134" spans="1:18" ht="19.5" customHeight="1" x14ac:dyDescent="0.25">
      <c r="A134" s="7"/>
      <c r="B134" s="7"/>
      <c r="C134" s="13"/>
      <c r="D134" s="13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</row>
    <row r="135" spans="1:18" ht="19.5" customHeight="1" x14ac:dyDescent="0.25">
      <c r="A135" s="7"/>
      <c r="B135" s="7"/>
      <c r="C135" s="13"/>
      <c r="D135" s="13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</row>
    <row r="136" spans="1:18" ht="19.5" customHeight="1" x14ac:dyDescent="0.25">
      <c r="A136" s="7"/>
      <c r="B136" s="7"/>
      <c r="C136" s="13"/>
      <c r="D136" s="13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</row>
    <row r="137" spans="1:18" ht="19.5" customHeight="1" x14ac:dyDescent="0.25">
      <c r="A137" s="7"/>
      <c r="B137" s="7"/>
      <c r="C137" s="13"/>
      <c r="D137" s="13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</row>
    <row r="138" spans="1:18" ht="19.5" customHeight="1" x14ac:dyDescent="0.25">
      <c r="A138" s="7"/>
      <c r="B138" s="7"/>
      <c r="C138" s="13"/>
      <c r="D138" s="13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</row>
    <row r="139" spans="1:18" ht="19.5" customHeight="1" x14ac:dyDescent="0.25">
      <c r="A139" s="7"/>
      <c r="B139" s="7"/>
      <c r="C139" s="13"/>
      <c r="D139" s="13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</row>
    <row r="140" spans="1:18" ht="19.5" customHeight="1" x14ac:dyDescent="0.25">
      <c r="A140" s="7"/>
      <c r="B140" s="7"/>
      <c r="C140" s="13"/>
      <c r="D140" s="13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</row>
    <row r="141" spans="1:18" ht="19.5" customHeight="1" x14ac:dyDescent="0.25">
      <c r="A141" s="7"/>
      <c r="B141" s="7"/>
      <c r="C141" s="13"/>
      <c r="D141" s="13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</row>
    <row r="142" spans="1:18" ht="19.5" customHeight="1" x14ac:dyDescent="0.25">
      <c r="A142" s="7"/>
      <c r="B142" s="7"/>
      <c r="C142" s="13"/>
      <c r="D142" s="13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</row>
    <row r="143" spans="1:18" ht="19.5" customHeight="1" x14ac:dyDescent="0.25">
      <c r="A143" s="7"/>
      <c r="B143" s="7"/>
      <c r="C143" s="13"/>
      <c r="D143" s="13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</row>
    <row r="144" spans="1:18" ht="19.5" customHeight="1" x14ac:dyDescent="0.25">
      <c r="A144" s="7"/>
      <c r="B144" s="7"/>
      <c r="C144" s="13"/>
      <c r="D144" s="13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</row>
    <row r="145" spans="1:18" ht="19.5" customHeight="1" x14ac:dyDescent="0.25">
      <c r="A145" s="7"/>
      <c r="B145" s="7"/>
      <c r="C145" s="13"/>
      <c r="D145" s="13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</row>
    <row r="146" spans="1:18" ht="19.5" customHeight="1" x14ac:dyDescent="0.25">
      <c r="A146" s="7"/>
      <c r="B146" s="7"/>
      <c r="C146" s="13"/>
      <c r="D146" s="13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</row>
    <row r="147" spans="1:18" ht="19.5" customHeight="1" x14ac:dyDescent="0.25">
      <c r="A147" s="7"/>
      <c r="B147" s="7"/>
      <c r="C147" s="13"/>
      <c r="D147" s="13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</row>
    <row r="148" spans="1:18" ht="19.5" customHeight="1" x14ac:dyDescent="0.25">
      <c r="A148" s="7"/>
      <c r="B148" s="7"/>
      <c r="C148" s="13"/>
      <c r="D148" s="13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</row>
    <row r="149" spans="1:18" ht="19.5" customHeight="1" x14ac:dyDescent="0.25">
      <c r="A149" s="7"/>
      <c r="B149" s="7"/>
      <c r="C149" s="13"/>
      <c r="D149" s="13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</row>
    <row r="150" spans="1:18" ht="19.5" customHeight="1" x14ac:dyDescent="0.25">
      <c r="A150" s="7"/>
      <c r="B150" s="7"/>
      <c r="C150" s="13"/>
      <c r="D150" s="13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</row>
    <row r="151" spans="1:18" ht="19.5" customHeight="1" x14ac:dyDescent="0.25">
      <c r="A151" s="7"/>
      <c r="B151" s="7"/>
      <c r="C151" s="13"/>
      <c r="D151" s="13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</row>
    <row r="152" spans="1:18" ht="19.5" customHeight="1" x14ac:dyDescent="0.25">
      <c r="A152" s="7"/>
      <c r="B152" s="7"/>
      <c r="C152" s="13"/>
      <c r="D152" s="13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</row>
    <row r="153" spans="1:18" ht="19.5" customHeight="1" x14ac:dyDescent="0.25">
      <c r="A153" s="7"/>
      <c r="B153" s="7"/>
      <c r="C153" s="13"/>
      <c r="D153" s="13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</row>
    <row r="154" spans="1:18" ht="19.5" customHeight="1" x14ac:dyDescent="0.25">
      <c r="A154" s="7"/>
      <c r="B154" s="7"/>
      <c r="C154" s="13"/>
      <c r="D154" s="13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</row>
    <row r="155" spans="1:18" ht="19.5" customHeight="1" x14ac:dyDescent="0.25">
      <c r="A155" s="7"/>
      <c r="B155" s="7"/>
      <c r="C155" s="13"/>
      <c r="D155" s="13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</row>
    <row r="156" spans="1:18" ht="19.5" customHeight="1" x14ac:dyDescent="0.25">
      <c r="A156" s="7"/>
      <c r="B156" s="7"/>
      <c r="C156" s="13"/>
      <c r="D156" s="13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</row>
    <row r="157" spans="1:18" ht="19.5" customHeight="1" x14ac:dyDescent="0.25">
      <c r="A157" s="7"/>
      <c r="B157" s="7"/>
      <c r="C157" s="13"/>
      <c r="D157" s="13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</row>
    <row r="158" spans="1:18" ht="19.5" customHeight="1" x14ac:dyDescent="0.25">
      <c r="A158" s="7"/>
      <c r="B158" s="7"/>
      <c r="C158" s="13"/>
      <c r="D158" s="13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</row>
    <row r="159" spans="1:18" ht="19.5" customHeight="1" x14ac:dyDescent="0.25">
      <c r="A159" s="7"/>
      <c r="B159" s="7"/>
      <c r="C159" s="13"/>
      <c r="D159" s="13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</row>
    <row r="160" spans="1:18" ht="19.5" customHeight="1" x14ac:dyDescent="0.25">
      <c r="A160" s="7"/>
      <c r="B160" s="7"/>
      <c r="C160" s="13"/>
      <c r="D160" s="13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</row>
    <row r="161" spans="1:18" ht="19.5" customHeight="1" x14ac:dyDescent="0.25">
      <c r="A161" s="7"/>
      <c r="B161" s="7"/>
      <c r="C161" s="13"/>
      <c r="D161" s="13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</row>
    <row r="162" spans="1:18" ht="19.5" customHeight="1" x14ac:dyDescent="0.25">
      <c r="A162" s="7"/>
      <c r="B162" s="7"/>
      <c r="C162" s="13"/>
      <c r="D162" s="13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</row>
    <row r="163" spans="1:18" ht="19.5" customHeight="1" x14ac:dyDescent="0.25">
      <c r="A163" s="7"/>
      <c r="B163" s="7"/>
      <c r="C163" s="13"/>
      <c r="D163" s="13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</row>
    <row r="164" spans="1:18" ht="19.5" customHeight="1" x14ac:dyDescent="0.25">
      <c r="A164" s="7"/>
      <c r="B164" s="7"/>
      <c r="C164" s="13"/>
      <c r="D164" s="13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</row>
    <row r="165" spans="1:18" ht="19.5" customHeight="1" x14ac:dyDescent="0.25">
      <c r="A165" s="7"/>
      <c r="B165" s="7"/>
      <c r="C165" s="13"/>
      <c r="D165" s="13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</row>
    <row r="166" spans="1:18" ht="19.5" customHeight="1" x14ac:dyDescent="0.25">
      <c r="A166" s="7"/>
      <c r="B166" s="7"/>
      <c r="C166" s="13"/>
      <c r="D166" s="13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</row>
    <row r="167" spans="1:18" ht="19.5" customHeight="1" x14ac:dyDescent="0.25">
      <c r="A167" s="7"/>
      <c r="B167" s="7"/>
      <c r="C167" s="13"/>
      <c r="D167" s="13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</row>
    <row r="168" spans="1:18" ht="19.5" customHeight="1" x14ac:dyDescent="0.25">
      <c r="A168" s="7"/>
      <c r="B168" s="7"/>
      <c r="C168" s="13"/>
      <c r="D168" s="13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</row>
    <row r="169" spans="1:18" ht="19.5" customHeight="1" x14ac:dyDescent="0.25">
      <c r="A169" s="7"/>
      <c r="B169" s="7"/>
      <c r="C169" s="13"/>
      <c r="D169" s="13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</row>
    <row r="170" spans="1:18" ht="19.5" customHeight="1" x14ac:dyDescent="0.25">
      <c r="A170" s="7"/>
      <c r="B170" s="7"/>
      <c r="C170" s="13"/>
      <c r="D170" s="13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</row>
    <row r="171" spans="1:18" ht="19.5" customHeight="1" x14ac:dyDescent="0.25">
      <c r="A171" s="7"/>
      <c r="B171" s="7"/>
      <c r="C171" s="13"/>
      <c r="D171" s="13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</row>
    <row r="172" spans="1:18" ht="19.5" customHeight="1" x14ac:dyDescent="0.25">
      <c r="A172" s="7"/>
      <c r="B172" s="7"/>
      <c r="C172" s="13"/>
      <c r="D172" s="13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</row>
    <row r="173" spans="1:18" ht="19.5" customHeight="1" x14ac:dyDescent="0.25">
      <c r="A173" s="7"/>
      <c r="B173" s="7"/>
      <c r="C173" s="13"/>
      <c r="D173" s="13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</row>
    <row r="174" spans="1:18" ht="19.5" customHeight="1" x14ac:dyDescent="0.25">
      <c r="A174" s="7"/>
      <c r="B174" s="7"/>
      <c r="C174" s="13"/>
      <c r="D174" s="13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</row>
    <row r="175" spans="1:18" ht="19.5" customHeight="1" x14ac:dyDescent="0.25">
      <c r="A175" s="7"/>
      <c r="B175" s="7"/>
      <c r="C175" s="13"/>
      <c r="D175" s="13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</row>
    <row r="176" spans="1:18" ht="19.5" customHeight="1" x14ac:dyDescent="0.25">
      <c r="A176" s="7"/>
      <c r="B176" s="7"/>
      <c r="C176" s="13"/>
      <c r="D176" s="13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</row>
    <row r="177" spans="1:18" ht="19.5" customHeight="1" x14ac:dyDescent="0.25">
      <c r="A177" s="7"/>
      <c r="B177" s="7"/>
      <c r="C177" s="13"/>
      <c r="D177" s="13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</row>
    <row r="178" spans="1:18" ht="19.5" customHeight="1" x14ac:dyDescent="0.25">
      <c r="A178" s="7"/>
      <c r="B178" s="7"/>
      <c r="C178" s="13"/>
      <c r="D178" s="13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</row>
    <row r="179" spans="1:18" ht="19.5" customHeight="1" x14ac:dyDescent="0.25">
      <c r="A179" s="7"/>
      <c r="B179" s="7"/>
      <c r="C179" s="13"/>
      <c r="D179" s="13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</row>
    <row r="180" spans="1:18" ht="19.5" customHeight="1" x14ac:dyDescent="0.25">
      <c r="A180" s="7"/>
      <c r="B180" s="7"/>
      <c r="C180" s="13"/>
      <c r="D180" s="13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</row>
    <row r="181" spans="1:18" ht="19.5" customHeight="1" x14ac:dyDescent="0.25">
      <c r="A181" s="7"/>
      <c r="B181" s="7"/>
      <c r="C181" s="13"/>
      <c r="D181" s="13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</row>
    <row r="182" spans="1:18" ht="19.5" customHeight="1" x14ac:dyDescent="0.25">
      <c r="A182" s="7"/>
      <c r="B182" s="7"/>
      <c r="C182" s="13"/>
      <c r="D182" s="13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</row>
    <row r="183" spans="1:18" ht="19.5" customHeight="1" x14ac:dyDescent="0.25">
      <c r="A183" s="7"/>
      <c r="B183" s="7"/>
      <c r="C183" s="13"/>
      <c r="D183" s="13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</row>
    <row r="184" spans="1:18" ht="19.5" customHeight="1" x14ac:dyDescent="0.25">
      <c r="A184" s="7"/>
      <c r="B184" s="7"/>
      <c r="C184" s="13"/>
      <c r="D184" s="13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</row>
    <row r="185" spans="1:18" ht="19.5" customHeight="1" x14ac:dyDescent="0.25">
      <c r="A185" s="7"/>
      <c r="B185" s="7"/>
      <c r="C185" s="13"/>
      <c r="D185" s="13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</row>
    <row r="186" spans="1:18" ht="19.5" customHeight="1" x14ac:dyDescent="0.25">
      <c r="A186" s="7"/>
      <c r="B186" s="7"/>
      <c r="C186" s="13"/>
      <c r="D186" s="13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</row>
    <row r="187" spans="1:18" ht="19.5" customHeight="1" x14ac:dyDescent="0.25">
      <c r="A187" s="7"/>
      <c r="B187" s="7"/>
      <c r="C187" s="13"/>
      <c r="D187" s="13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</row>
    <row r="188" spans="1:18" ht="19.5" customHeight="1" x14ac:dyDescent="0.25">
      <c r="A188" s="7"/>
      <c r="B188" s="7"/>
      <c r="C188" s="13"/>
      <c r="D188" s="13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</row>
    <row r="189" spans="1:18" ht="19.5" customHeight="1" x14ac:dyDescent="0.25">
      <c r="A189" s="7"/>
      <c r="B189" s="7"/>
      <c r="C189" s="13"/>
      <c r="D189" s="13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</row>
    <row r="190" spans="1:18" ht="19.5" customHeight="1" x14ac:dyDescent="0.25">
      <c r="A190" s="7"/>
      <c r="B190" s="7"/>
      <c r="C190" s="13"/>
      <c r="D190" s="13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</row>
    <row r="191" spans="1:18" ht="19.5" customHeight="1" x14ac:dyDescent="0.25">
      <c r="A191" s="7"/>
      <c r="B191" s="7"/>
      <c r="C191" s="13"/>
      <c r="D191" s="13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</row>
    <row r="192" spans="1:18" ht="19.5" customHeight="1" x14ac:dyDescent="0.25">
      <c r="A192" s="7"/>
      <c r="B192" s="7"/>
      <c r="C192" s="13"/>
      <c r="D192" s="13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</row>
    <row r="193" spans="1:18" ht="19.5" customHeight="1" x14ac:dyDescent="0.25">
      <c r="A193" s="7"/>
      <c r="B193" s="7"/>
      <c r="C193" s="13"/>
      <c r="D193" s="13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</row>
    <row r="194" spans="1:18" ht="19.5" customHeight="1" x14ac:dyDescent="0.25">
      <c r="A194" s="7"/>
      <c r="B194" s="7"/>
      <c r="C194" s="13"/>
      <c r="D194" s="13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</row>
    <row r="195" spans="1:18" ht="19.5" customHeight="1" x14ac:dyDescent="0.25">
      <c r="A195" s="7"/>
      <c r="B195" s="7"/>
      <c r="C195" s="13"/>
      <c r="D195" s="13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</row>
    <row r="196" spans="1:18" ht="19.5" customHeight="1" x14ac:dyDescent="0.25">
      <c r="A196" s="7"/>
      <c r="B196" s="7"/>
      <c r="C196" s="13"/>
      <c r="D196" s="13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</row>
    <row r="197" spans="1:18" ht="19.5" customHeight="1" x14ac:dyDescent="0.25">
      <c r="A197" s="7"/>
      <c r="B197" s="7"/>
      <c r="C197" s="13"/>
      <c r="D197" s="13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</row>
    <row r="198" spans="1:18" ht="19.5" customHeight="1" x14ac:dyDescent="0.25">
      <c r="A198" s="7"/>
      <c r="B198" s="7"/>
      <c r="C198" s="13"/>
      <c r="D198" s="13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</row>
    <row r="199" spans="1:18" ht="19.5" customHeight="1" x14ac:dyDescent="0.25">
      <c r="A199" s="7"/>
      <c r="B199" s="7"/>
      <c r="C199" s="13"/>
      <c r="D199" s="13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</row>
    <row r="200" spans="1:18" ht="19.5" customHeight="1" x14ac:dyDescent="0.25">
      <c r="A200" s="7"/>
      <c r="B200" s="7"/>
      <c r="C200" s="13"/>
      <c r="D200" s="13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</row>
    <row r="201" spans="1:18" ht="19.5" customHeight="1" x14ac:dyDescent="0.25">
      <c r="A201" s="7"/>
      <c r="B201" s="7"/>
      <c r="C201" s="13"/>
      <c r="D201" s="13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</row>
    <row r="202" spans="1:18" ht="19.5" customHeight="1" x14ac:dyDescent="0.25">
      <c r="A202" s="7"/>
      <c r="B202" s="7"/>
      <c r="C202" s="13"/>
      <c r="D202" s="13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</row>
    <row r="203" spans="1:18" ht="19.5" customHeight="1" x14ac:dyDescent="0.25">
      <c r="A203" s="7"/>
      <c r="B203" s="7"/>
      <c r="C203" s="13"/>
      <c r="D203" s="13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</row>
    <row r="204" spans="1:18" ht="19.5" customHeight="1" x14ac:dyDescent="0.25">
      <c r="A204" s="7"/>
      <c r="B204" s="7"/>
      <c r="C204" s="13"/>
      <c r="D204" s="13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</row>
    <row r="205" spans="1:18" ht="19.5" customHeight="1" x14ac:dyDescent="0.25">
      <c r="A205" s="7"/>
      <c r="B205" s="7"/>
      <c r="C205" s="13"/>
      <c r="D205" s="13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</row>
    <row r="206" spans="1:18" ht="19.5" customHeight="1" x14ac:dyDescent="0.25">
      <c r="A206" s="7"/>
      <c r="B206" s="7"/>
      <c r="C206" s="13"/>
      <c r="D206" s="13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</row>
    <row r="207" spans="1:18" ht="19.5" customHeight="1" x14ac:dyDescent="0.25">
      <c r="A207" s="7"/>
      <c r="B207" s="7"/>
      <c r="C207" s="13"/>
      <c r="D207" s="13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</row>
    <row r="208" spans="1:18" ht="19.5" customHeight="1" x14ac:dyDescent="0.25">
      <c r="A208" s="7"/>
      <c r="B208" s="7"/>
      <c r="C208" s="13"/>
      <c r="D208" s="13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</row>
    <row r="209" spans="1:18" ht="19.5" customHeight="1" x14ac:dyDescent="0.25">
      <c r="A209" s="7"/>
      <c r="B209" s="7"/>
      <c r="C209" s="13"/>
      <c r="D209" s="13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</row>
    <row r="210" spans="1:18" ht="19.5" customHeight="1" x14ac:dyDescent="0.25">
      <c r="A210" s="7"/>
      <c r="B210" s="7"/>
      <c r="C210" s="13"/>
      <c r="D210" s="13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</row>
    <row r="211" spans="1:18" ht="19.5" customHeight="1" x14ac:dyDescent="0.25">
      <c r="A211" s="7"/>
      <c r="B211" s="7"/>
      <c r="C211" s="13"/>
      <c r="D211" s="13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</row>
    <row r="212" spans="1:18" ht="19.5" customHeight="1" x14ac:dyDescent="0.25">
      <c r="A212" s="7"/>
      <c r="B212" s="7"/>
      <c r="C212" s="13"/>
      <c r="D212" s="13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</row>
    <row r="213" spans="1:18" ht="19.5" customHeight="1" x14ac:dyDescent="0.25">
      <c r="A213" s="7"/>
      <c r="B213" s="7"/>
      <c r="C213" s="13"/>
      <c r="D213" s="13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</row>
    <row r="214" spans="1:18" ht="19.5" customHeight="1" x14ac:dyDescent="0.25">
      <c r="A214" s="7"/>
      <c r="B214" s="7"/>
      <c r="C214" s="13"/>
      <c r="D214" s="13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</row>
    <row r="215" spans="1:18" ht="19.5" customHeight="1" x14ac:dyDescent="0.25">
      <c r="A215" s="7"/>
      <c r="B215" s="7"/>
      <c r="C215" s="13"/>
      <c r="D215" s="13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</row>
    <row r="216" spans="1:18" ht="19.5" customHeight="1" x14ac:dyDescent="0.25">
      <c r="A216" s="7"/>
      <c r="B216" s="7"/>
      <c r="C216" s="13"/>
      <c r="D216" s="13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</row>
    <row r="217" spans="1:18" ht="19.5" customHeight="1" x14ac:dyDescent="0.25">
      <c r="A217" s="7"/>
      <c r="B217" s="7"/>
      <c r="C217" s="13"/>
      <c r="D217" s="13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</row>
    <row r="218" spans="1:18" ht="19.5" customHeight="1" x14ac:dyDescent="0.25">
      <c r="A218" s="7"/>
      <c r="B218" s="7"/>
      <c r="C218" s="13"/>
      <c r="D218" s="13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</row>
    <row r="219" spans="1:18" ht="19.5" customHeight="1" x14ac:dyDescent="0.25">
      <c r="A219" s="7"/>
      <c r="B219" s="7"/>
      <c r="C219" s="13"/>
      <c r="D219" s="13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</row>
    <row r="220" spans="1:18" ht="19.5" customHeight="1" x14ac:dyDescent="0.25">
      <c r="A220" s="7"/>
      <c r="B220" s="7"/>
      <c r="C220" s="13"/>
      <c r="D220" s="13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</row>
    <row r="221" spans="1:18" ht="19.5" customHeight="1" x14ac:dyDescent="0.25">
      <c r="A221" s="7"/>
      <c r="B221" s="7"/>
      <c r="C221" s="13"/>
      <c r="D221" s="13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</row>
    <row r="222" spans="1:18" ht="19.5" customHeight="1" x14ac:dyDescent="0.25">
      <c r="A222" s="7"/>
      <c r="B222" s="7"/>
      <c r="C222" s="13"/>
      <c r="D222" s="13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</row>
    <row r="223" spans="1:18" ht="19.5" customHeight="1" x14ac:dyDescent="0.25">
      <c r="A223" s="7"/>
      <c r="B223" s="7"/>
      <c r="C223" s="13"/>
      <c r="D223" s="13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</row>
    <row r="224" spans="1:18" ht="19.5" customHeight="1" x14ac:dyDescent="0.25">
      <c r="A224" s="7"/>
      <c r="B224" s="7"/>
      <c r="C224" s="13"/>
      <c r="D224" s="13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</row>
    <row r="225" spans="1:18" ht="19.5" customHeight="1" x14ac:dyDescent="0.25">
      <c r="A225" s="7"/>
      <c r="B225" s="7"/>
      <c r="C225" s="13"/>
      <c r="D225" s="13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</row>
    <row r="226" spans="1:18" ht="19.5" customHeight="1" x14ac:dyDescent="0.25">
      <c r="A226" s="7"/>
      <c r="B226" s="7"/>
      <c r="C226" s="13"/>
      <c r="D226" s="13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</row>
    <row r="227" spans="1:18" ht="19.5" customHeight="1" x14ac:dyDescent="0.25">
      <c r="A227" s="7"/>
      <c r="B227" s="7"/>
      <c r="C227" s="13"/>
      <c r="D227" s="13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</row>
    <row r="228" spans="1:18" ht="19.5" customHeight="1" x14ac:dyDescent="0.25">
      <c r="A228" s="7"/>
      <c r="B228" s="7"/>
      <c r="C228" s="13"/>
      <c r="D228" s="13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</row>
    <row r="229" spans="1:18" ht="19.5" customHeight="1" x14ac:dyDescent="0.25">
      <c r="A229" s="7"/>
      <c r="B229" s="7"/>
      <c r="C229" s="13"/>
      <c r="D229" s="13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</row>
    <row r="230" spans="1:18" ht="19.5" customHeight="1" x14ac:dyDescent="0.25">
      <c r="A230" s="7"/>
      <c r="B230" s="7"/>
      <c r="C230" s="13"/>
      <c r="D230" s="13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</row>
    <row r="231" spans="1:18" ht="19.5" customHeight="1" x14ac:dyDescent="0.25">
      <c r="A231" s="7"/>
      <c r="B231" s="7"/>
      <c r="C231" s="13"/>
      <c r="D231" s="13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</row>
    <row r="232" spans="1:18" ht="19.5" customHeight="1" x14ac:dyDescent="0.25">
      <c r="A232" s="7"/>
      <c r="B232" s="7"/>
      <c r="C232" s="13"/>
      <c r="D232" s="13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</row>
    <row r="233" spans="1:18" ht="19.5" customHeight="1" x14ac:dyDescent="0.25">
      <c r="A233" s="7"/>
      <c r="B233" s="7"/>
      <c r="C233" s="13"/>
      <c r="D233" s="13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</row>
    <row r="234" spans="1:18" ht="19.5" customHeight="1" x14ac:dyDescent="0.25">
      <c r="A234" s="7"/>
      <c r="B234" s="7"/>
      <c r="C234" s="13"/>
      <c r="D234" s="13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</row>
    <row r="235" spans="1:18" ht="19.5" customHeight="1" x14ac:dyDescent="0.25">
      <c r="A235" s="7"/>
      <c r="B235" s="7"/>
      <c r="C235" s="13"/>
      <c r="D235" s="13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</row>
    <row r="236" spans="1:18" ht="19.5" customHeight="1" x14ac:dyDescent="0.25">
      <c r="A236" s="7"/>
      <c r="B236" s="7"/>
      <c r="C236" s="13"/>
      <c r="D236" s="13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</row>
    <row r="237" spans="1:18" ht="19.5" customHeight="1" x14ac:dyDescent="0.25">
      <c r="A237" s="7"/>
      <c r="B237" s="7"/>
      <c r="C237" s="13"/>
      <c r="D237" s="13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</row>
    <row r="238" spans="1:18" ht="19.5" customHeight="1" x14ac:dyDescent="0.25">
      <c r="A238" s="7"/>
      <c r="B238" s="7"/>
      <c r="C238" s="13"/>
      <c r="D238" s="13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</row>
    <row r="239" spans="1:18" ht="19.5" customHeight="1" x14ac:dyDescent="0.25">
      <c r="A239" s="7"/>
      <c r="B239" s="7"/>
      <c r="C239" s="13"/>
      <c r="D239" s="13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</row>
    <row r="240" spans="1:18" ht="19.5" customHeight="1" x14ac:dyDescent="0.25">
      <c r="A240" s="7"/>
      <c r="B240" s="7"/>
      <c r="C240" s="13"/>
      <c r="D240" s="13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</row>
    <row r="241" spans="1:18" ht="19.5" customHeight="1" x14ac:dyDescent="0.25">
      <c r="A241" s="7"/>
      <c r="B241" s="7"/>
      <c r="C241" s="13"/>
      <c r="D241" s="13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</row>
    <row r="242" spans="1:18" ht="19.5" customHeight="1" x14ac:dyDescent="0.25">
      <c r="A242" s="7"/>
      <c r="B242" s="7"/>
      <c r="C242" s="13"/>
      <c r="D242" s="13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</row>
    <row r="243" spans="1:18" ht="19.5" customHeight="1" x14ac:dyDescent="0.25">
      <c r="A243" s="7"/>
      <c r="B243" s="7"/>
      <c r="C243" s="13"/>
      <c r="D243" s="13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</row>
    <row r="244" spans="1:18" ht="19.5" customHeight="1" x14ac:dyDescent="0.25">
      <c r="A244" s="7"/>
      <c r="B244" s="7"/>
      <c r="C244" s="13"/>
      <c r="D244" s="13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</row>
    <row r="245" spans="1:18" ht="19.5" customHeight="1" x14ac:dyDescent="0.25">
      <c r="A245" s="7"/>
      <c r="B245" s="7"/>
      <c r="C245" s="13"/>
      <c r="D245" s="13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</row>
    <row r="246" spans="1:18" ht="19.5" customHeight="1" x14ac:dyDescent="0.25">
      <c r="A246" s="7"/>
      <c r="B246" s="7"/>
      <c r="C246" s="13"/>
      <c r="D246" s="13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</row>
    <row r="247" spans="1:18" ht="19.5" customHeight="1" x14ac:dyDescent="0.25">
      <c r="A247" s="7"/>
      <c r="B247" s="7"/>
      <c r="C247" s="13"/>
      <c r="D247" s="13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</row>
    <row r="248" spans="1:18" ht="19.5" customHeight="1" x14ac:dyDescent="0.25">
      <c r="A248" s="7"/>
      <c r="B248" s="7"/>
      <c r="C248" s="13"/>
      <c r="D248" s="13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</row>
    <row r="249" spans="1:18" ht="19.5" customHeight="1" x14ac:dyDescent="0.25">
      <c r="A249" s="7"/>
      <c r="B249" s="7"/>
      <c r="C249" s="13"/>
      <c r="D249" s="13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</row>
    <row r="250" spans="1:18" ht="19.5" customHeight="1" x14ac:dyDescent="0.25">
      <c r="A250" s="7"/>
      <c r="B250" s="7"/>
      <c r="C250" s="13"/>
      <c r="D250" s="13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</row>
    <row r="251" spans="1:18" ht="19.5" customHeight="1" x14ac:dyDescent="0.25">
      <c r="A251" s="7"/>
      <c r="B251" s="7"/>
      <c r="C251" s="13"/>
      <c r="D251" s="13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</row>
    <row r="252" spans="1:18" ht="19.5" customHeight="1" x14ac:dyDescent="0.25">
      <c r="A252" s="7"/>
      <c r="B252" s="7"/>
      <c r="C252" s="13"/>
      <c r="D252" s="13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</row>
    <row r="253" spans="1:18" ht="19.5" customHeight="1" x14ac:dyDescent="0.25">
      <c r="A253" s="7"/>
      <c r="B253" s="7"/>
      <c r="C253" s="13"/>
      <c r="D253" s="13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</row>
    <row r="254" spans="1:18" ht="19.5" customHeight="1" x14ac:dyDescent="0.25">
      <c r="A254" s="7"/>
      <c r="B254" s="7"/>
      <c r="C254" s="13"/>
      <c r="D254" s="13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</row>
    <row r="255" spans="1:18" ht="19.5" customHeight="1" x14ac:dyDescent="0.25">
      <c r="A255" s="7"/>
      <c r="B255" s="7"/>
      <c r="C255" s="13"/>
      <c r="D255" s="13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</row>
    <row r="256" spans="1:18" ht="19.5" customHeight="1" x14ac:dyDescent="0.25">
      <c r="A256" s="7"/>
      <c r="B256" s="7"/>
      <c r="C256" s="13"/>
      <c r="D256" s="13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</row>
    <row r="257" spans="1:18" ht="19.5" customHeight="1" x14ac:dyDescent="0.25">
      <c r="A257" s="7"/>
      <c r="B257" s="7"/>
      <c r="C257" s="13"/>
      <c r="D257" s="13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</row>
    <row r="258" spans="1:18" ht="19.5" customHeight="1" x14ac:dyDescent="0.25">
      <c r="A258" s="7"/>
      <c r="B258" s="7"/>
      <c r="C258" s="13"/>
      <c r="D258" s="13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</row>
    <row r="259" spans="1:18" ht="19.5" customHeight="1" x14ac:dyDescent="0.25">
      <c r="A259" s="7"/>
      <c r="B259" s="7"/>
      <c r="C259" s="13"/>
      <c r="D259" s="13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</row>
    <row r="260" spans="1:18" ht="19.5" customHeight="1" x14ac:dyDescent="0.25">
      <c r="A260" s="7"/>
      <c r="B260" s="7"/>
      <c r="C260" s="13"/>
      <c r="D260" s="13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</row>
    <row r="261" spans="1:18" ht="19.5" customHeight="1" x14ac:dyDescent="0.25">
      <c r="A261" s="7"/>
      <c r="B261" s="7"/>
      <c r="C261" s="13"/>
      <c r="D261" s="13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</row>
    <row r="262" spans="1:18" ht="19.5" customHeight="1" x14ac:dyDescent="0.25">
      <c r="A262" s="7"/>
      <c r="B262" s="7"/>
      <c r="C262" s="13"/>
      <c r="D262" s="13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</row>
    <row r="263" spans="1:18" ht="19.5" customHeight="1" x14ac:dyDescent="0.25">
      <c r="A263" s="7"/>
      <c r="B263" s="7"/>
      <c r="C263" s="13"/>
      <c r="D263" s="13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</row>
    <row r="264" spans="1:18" ht="19.5" customHeight="1" x14ac:dyDescent="0.25">
      <c r="A264" s="7"/>
      <c r="B264" s="7"/>
      <c r="C264" s="13"/>
      <c r="D264" s="13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</row>
    <row r="265" spans="1:18" ht="19.5" customHeight="1" x14ac:dyDescent="0.25">
      <c r="A265" s="7"/>
      <c r="B265" s="7"/>
      <c r="C265" s="13"/>
      <c r="D265" s="13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</row>
    <row r="266" spans="1:18" ht="19.5" customHeight="1" x14ac:dyDescent="0.25">
      <c r="A266" s="7"/>
      <c r="B266" s="7"/>
      <c r="C266" s="13"/>
      <c r="D266" s="13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</row>
    <row r="267" spans="1:18" ht="19.5" customHeight="1" x14ac:dyDescent="0.25">
      <c r="A267" s="7"/>
      <c r="B267" s="7"/>
      <c r="C267" s="13"/>
      <c r="D267" s="13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</row>
    <row r="268" spans="1:18" ht="19.5" customHeight="1" x14ac:dyDescent="0.25">
      <c r="A268" s="7"/>
      <c r="B268" s="7"/>
      <c r="C268" s="13"/>
      <c r="D268" s="13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</row>
    <row r="269" spans="1:18" ht="19.5" customHeight="1" x14ac:dyDescent="0.25">
      <c r="A269" s="7"/>
      <c r="B269" s="7"/>
      <c r="C269" s="13"/>
      <c r="D269" s="13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</row>
    <row r="270" spans="1:18" ht="19.5" customHeight="1" x14ac:dyDescent="0.25">
      <c r="A270" s="7"/>
      <c r="B270" s="7"/>
      <c r="C270" s="13"/>
      <c r="D270" s="13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</row>
    <row r="271" spans="1:18" ht="19.5" customHeight="1" x14ac:dyDescent="0.25">
      <c r="A271" s="7"/>
      <c r="B271" s="7"/>
      <c r="C271" s="13"/>
      <c r="D271" s="13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</row>
    <row r="272" spans="1:18" ht="19.5" customHeight="1" x14ac:dyDescent="0.25">
      <c r="A272" s="7"/>
      <c r="B272" s="7"/>
      <c r="C272" s="13"/>
      <c r="D272" s="13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</row>
    <row r="273" spans="1:18" ht="19.5" customHeight="1" x14ac:dyDescent="0.25">
      <c r="A273" s="7"/>
      <c r="B273" s="7"/>
      <c r="C273" s="13"/>
      <c r="D273" s="13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</row>
    <row r="274" spans="1:18" ht="19.5" customHeight="1" x14ac:dyDescent="0.25">
      <c r="A274" s="7"/>
      <c r="B274" s="7"/>
      <c r="C274" s="13"/>
      <c r="D274" s="13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</row>
    <row r="275" spans="1:18" ht="19.5" customHeight="1" x14ac:dyDescent="0.25">
      <c r="A275" s="7"/>
      <c r="B275" s="7"/>
      <c r="C275" s="13"/>
      <c r="D275" s="13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</row>
    <row r="276" spans="1:18" ht="19.5" customHeight="1" x14ac:dyDescent="0.25">
      <c r="A276" s="7"/>
      <c r="B276" s="7"/>
      <c r="C276" s="13"/>
      <c r="D276" s="13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</row>
    <row r="277" spans="1:18" ht="19.5" customHeight="1" x14ac:dyDescent="0.25">
      <c r="A277" s="7"/>
      <c r="B277" s="7"/>
      <c r="C277" s="13"/>
      <c r="D277" s="13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</row>
    <row r="278" spans="1:18" ht="19.5" customHeight="1" x14ac:dyDescent="0.25">
      <c r="A278" s="7"/>
      <c r="B278" s="7"/>
      <c r="C278" s="13"/>
      <c r="D278" s="13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</row>
    <row r="279" spans="1:18" ht="19.5" customHeight="1" x14ac:dyDescent="0.25">
      <c r="A279" s="7"/>
      <c r="B279" s="7"/>
      <c r="C279" s="13"/>
      <c r="D279" s="13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</row>
    <row r="280" spans="1:18" ht="19.5" customHeight="1" x14ac:dyDescent="0.25">
      <c r="A280" s="7"/>
      <c r="B280" s="7"/>
      <c r="C280" s="13"/>
      <c r="D280" s="13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</row>
    <row r="281" spans="1:18" ht="19.5" customHeight="1" x14ac:dyDescent="0.25">
      <c r="A281" s="7"/>
      <c r="B281" s="7"/>
      <c r="C281" s="13"/>
      <c r="D281" s="13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</row>
    <row r="282" spans="1:18" ht="19.5" customHeight="1" x14ac:dyDescent="0.25">
      <c r="A282" s="7"/>
      <c r="B282" s="7"/>
      <c r="C282" s="13"/>
      <c r="D282" s="13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</row>
    <row r="283" spans="1:18" ht="19.5" customHeight="1" x14ac:dyDescent="0.25">
      <c r="A283" s="7"/>
      <c r="B283" s="7"/>
      <c r="C283" s="13"/>
      <c r="D283" s="13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</row>
    <row r="284" spans="1:18" ht="19.5" customHeight="1" x14ac:dyDescent="0.25">
      <c r="A284" s="7"/>
      <c r="B284" s="7"/>
      <c r="C284" s="13"/>
      <c r="D284" s="13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</row>
    <row r="285" spans="1:18" ht="19.5" customHeight="1" x14ac:dyDescent="0.25">
      <c r="A285" s="7"/>
      <c r="B285" s="7"/>
      <c r="C285" s="13"/>
      <c r="D285" s="13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</row>
    <row r="286" spans="1:18" ht="19.5" customHeight="1" x14ac:dyDescent="0.25">
      <c r="A286" s="7"/>
      <c r="B286" s="7"/>
      <c r="C286" s="13"/>
      <c r="D286" s="13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</row>
    <row r="287" spans="1:18" ht="19.5" customHeight="1" x14ac:dyDescent="0.25">
      <c r="A287" s="7"/>
      <c r="B287" s="7"/>
      <c r="C287" s="13"/>
      <c r="D287" s="13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</row>
    <row r="288" spans="1:18" ht="19.5" customHeight="1" x14ac:dyDescent="0.25">
      <c r="A288" s="7"/>
      <c r="B288" s="7"/>
      <c r="C288" s="13"/>
      <c r="D288" s="13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</row>
    <row r="289" spans="1:18" ht="19.5" customHeight="1" x14ac:dyDescent="0.25">
      <c r="A289" s="7"/>
      <c r="B289" s="7"/>
      <c r="C289" s="13"/>
      <c r="D289" s="13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</row>
    <row r="290" spans="1:18" ht="19.5" customHeight="1" x14ac:dyDescent="0.25">
      <c r="A290" s="7"/>
      <c r="B290" s="7"/>
      <c r="C290" s="13"/>
      <c r="D290" s="13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</row>
    <row r="291" spans="1:18" ht="19.5" customHeight="1" x14ac:dyDescent="0.25">
      <c r="A291" s="7"/>
      <c r="B291" s="7"/>
      <c r="C291" s="13"/>
      <c r="D291" s="13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</row>
    <row r="292" spans="1:18" ht="19.5" customHeight="1" x14ac:dyDescent="0.25">
      <c r="A292" s="7"/>
      <c r="B292" s="7"/>
      <c r="C292" s="13"/>
      <c r="D292" s="13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</row>
    <row r="293" spans="1:18" ht="19.5" customHeight="1" x14ac:dyDescent="0.25">
      <c r="A293" s="7"/>
      <c r="B293" s="7"/>
      <c r="C293" s="13"/>
      <c r="D293" s="13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</row>
    <row r="294" spans="1:18" ht="19.5" customHeight="1" x14ac:dyDescent="0.25">
      <c r="A294" s="7"/>
      <c r="B294" s="7"/>
      <c r="C294" s="13"/>
      <c r="D294" s="13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</row>
    <row r="295" spans="1:18" ht="19.5" customHeight="1" x14ac:dyDescent="0.25">
      <c r="A295" s="7"/>
      <c r="B295" s="7"/>
      <c r="C295" s="13"/>
      <c r="D295" s="13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</row>
    <row r="296" spans="1:18" ht="19.5" customHeight="1" x14ac:dyDescent="0.25">
      <c r="A296" s="7"/>
      <c r="B296" s="7"/>
      <c r="C296" s="13"/>
      <c r="D296" s="13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</row>
    <row r="297" spans="1:18" ht="19.5" customHeight="1" x14ac:dyDescent="0.25">
      <c r="A297" s="7"/>
      <c r="B297" s="7"/>
      <c r="C297" s="13"/>
      <c r="D297" s="13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</row>
    <row r="298" spans="1:18" ht="19.5" customHeight="1" x14ac:dyDescent="0.25">
      <c r="A298" s="7"/>
      <c r="B298" s="7"/>
      <c r="C298" s="13"/>
      <c r="D298" s="13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</row>
    <row r="299" spans="1:18" ht="19.5" customHeight="1" x14ac:dyDescent="0.25">
      <c r="A299" s="7"/>
      <c r="B299" s="7"/>
      <c r="C299" s="13"/>
      <c r="D299" s="13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</row>
    <row r="300" spans="1:18" ht="19.5" customHeight="1" x14ac:dyDescent="0.25">
      <c r="A300" s="7"/>
      <c r="B300" s="7"/>
      <c r="C300" s="13"/>
      <c r="D300" s="13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</row>
    <row r="301" spans="1:18" ht="19.5" customHeight="1" x14ac:dyDescent="0.25">
      <c r="A301" s="7"/>
      <c r="B301" s="7"/>
      <c r="C301" s="13"/>
      <c r="D301" s="13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</row>
    <row r="302" spans="1:18" ht="19.5" customHeight="1" x14ac:dyDescent="0.25">
      <c r="A302" s="7"/>
      <c r="B302" s="7"/>
      <c r="C302" s="13"/>
      <c r="D302" s="13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</row>
    <row r="303" spans="1:18" ht="19.5" customHeight="1" x14ac:dyDescent="0.25">
      <c r="A303" s="7"/>
      <c r="B303" s="7"/>
      <c r="C303" s="13"/>
      <c r="D303" s="13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</row>
    <row r="304" spans="1:18" ht="19.5" customHeight="1" x14ac:dyDescent="0.25">
      <c r="A304" s="7"/>
      <c r="B304" s="7"/>
      <c r="C304" s="13"/>
      <c r="D304" s="13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</row>
    <row r="305" spans="1:18" ht="19.5" customHeight="1" x14ac:dyDescent="0.25">
      <c r="A305" s="7"/>
      <c r="B305" s="7"/>
      <c r="C305" s="13"/>
      <c r="D305" s="13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</row>
    <row r="306" spans="1:18" ht="19.5" customHeight="1" x14ac:dyDescent="0.25">
      <c r="A306" s="7"/>
      <c r="B306" s="7"/>
      <c r="C306" s="13"/>
      <c r="D306" s="13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</row>
    <row r="307" spans="1:18" ht="19.5" customHeight="1" x14ac:dyDescent="0.25">
      <c r="A307" s="7"/>
      <c r="B307" s="7"/>
      <c r="C307" s="13"/>
      <c r="D307" s="13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</row>
    <row r="308" spans="1:18" ht="19.5" customHeight="1" x14ac:dyDescent="0.25">
      <c r="A308" s="7"/>
      <c r="B308" s="7"/>
      <c r="C308" s="13"/>
      <c r="D308" s="13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</row>
    <row r="309" spans="1:18" ht="19.5" customHeight="1" x14ac:dyDescent="0.25">
      <c r="A309" s="7"/>
      <c r="B309" s="7"/>
      <c r="C309" s="13"/>
      <c r="D309" s="13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</row>
    <row r="310" spans="1:18" ht="19.5" customHeight="1" x14ac:dyDescent="0.25">
      <c r="A310" s="7"/>
      <c r="B310" s="7"/>
      <c r="C310" s="13"/>
      <c r="D310" s="13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</row>
    <row r="311" spans="1:18" ht="19.5" customHeight="1" x14ac:dyDescent="0.25">
      <c r="A311" s="7"/>
      <c r="B311" s="7"/>
      <c r="C311" s="13"/>
      <c r="D311" s="13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</row>
    <row r="312" spans="1:18" ht="19.5" customHeight="1" x14ac:dyDescent="0.25">
      <c r="A312" s="7"/>
      <c r="B312" s="7"/>
      <c r="C312" s="13"/>
      <c r="D312" s="13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</row>
    <row r="313" spans="1:18" ht="19.5" customHeight="1" x14ac:dyDescent="0.25">
      <c r="A313" s="7"/>
      <c r="B313" s="7"/>
      <c r="C313" s="13"/>
      <c r="D313" s="13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</row>
    <row r="314" spans="1:18" ht="19.5" customHeight="1" x14ac:dyDescent="0.25">
      <c r="A314" s="7"/>
      <c r="B314" s="7"/>
      <c r="C314" s="13"/>
      <c r="D314" s="13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</row>
    <row r="315" spans="1:18" ht="19.5" customHeight="1" x14ac:dyDescent="0.25">
      <c r="A315" s="7"/>
      <c r="B315" s="7"/>
      <c r="C315" s="13"/>
      <c r="D315" s="13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</row>
    <row r="316" spans="1:18" ht="19.5" customHeight="1" x14ac:dyDescent="0.25">
      <c r="A316" s="7"/>
      <c r="B316" s="7"/>
      <c r="C316" s="13"/>
      <c r="D316" s="13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</row>
    <row r="317" spans="1:18" ht="19.5" customHeight="1" x14ac:dyDescent="0.25">
      <c r="A317" s="7"/>
      <c r="B317" s="7"/>
      <c r="C317" s="13"/>
      <c r="D317" s="13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</row>
    <row r="318" spans="1:18" ht="19.5" customHeight="1" x14ac:dyDescent="0.25">
      <c r="A318" s="7"/>
      <c r="B318" s="7"/>
      <c r="C318" s="13"/>
      <c r="D318" s="13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</row>
    <row r="319" spans="1:18" ht="19.5" customHeight="1" x14ac:dyDescent="0.25">
      <c r="A319" s="7"/>
      <c r="B319" s="7"/>
      <c r="C319" s="13"/>
      <c r="D319" s="13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</row>
    <row r="320" spans="1:18" ht="19.5" customHeight="1" x14ac:dyDescent="0.25">
      <c r="A320" s="7"/>
      <c r="B320" s="7"/>
      <c r="C320" s="13"/>
      <c r="D320" s="13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</row>
    <row r="321" spans="1:18" ht="19.5" customHeight="1" x14ac:dyDescent="0.25">
      <c r="A321" s="7"/>
      <c r="B321" s="7"/>
      <c r="C321" s="13"/>
      <c r="D321" s="13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</row>
    <row r="322" spans="1:18" ht="19.5" customHeight="1" x14ac:dyDescent="0.25">
      <c r="A322" s="7"/>
      <c r="B322" s="7"/>
      <c r="C322" s="13"/>
      <c r="D322" s="13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</row>
    <row r="323" spans="1:18" ht="19.5" customHeight="1" x14ac:dyDescent="0.25">
      <c r="A323" s="7"/>
      <c r="B323" s="7"/>
      <c r="C323" s="13"/>
      <c r="D323" s="13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</row>
    <row r="324" spans="1:18" ht="19.5" customHeight="1" x14ac:dyDescent="0.25">
      <c r="A324" s="7"/>
      <c r="B324" s="7"/>
      <c r="C324" s="13"/>
      <c r="D324" s="13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</row>
    <row r="325" spans="1:18" ht="19.5" customHeight="1" x14ac:dyDescent="0.25">
      <c r="A325" s="7"/>
      <c r="B325" s="7"/>
      <c r="C325" s="13"/>
      <c r="D325" s="13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</row>
    <row r="326" spans="1:18" ht="19.5" customHeight="1" x14ac:dyDescent="0.25">
      <c r="A326" s="7"/>
      <c r="B326" s="7"/>
      <c r="C326" s="13"/>
      <c r="D326" s="13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</row>
    <row r="327" spans="1:18" ht="19.5" customHeight="1" x14ac:dyDescent="0.25">
      <c r="A327" s="7"/>
      <c r="B327" s="7"/>
      <c r="C327" s="13"/>
      <c r="D327" s="13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</row>
    <row r="328" spans="1:18" ht="19.5" customHeight="1" x14ac:dyDescent="0.25">
      <c r="A328" s="7"/>
      <c r="B328" s="7"/>
      <c r="C328" s="13"/>
      <c r="D328" s="13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</row>
    <row r="329" spans="1:18" ht="19.5" customHeight="1" x14ac:dyDescent="0.25">
      <c r="A329" s="7"/>
      <c r="B329" s="7"/>
      <c r="C329" s="13"/>
      <c r="D329" s="13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</row>
    <row r="330" spans="1:18" ht="19.5" customHeight="1" x14ac:dyDescent="0.25">
      <c r="A330" s="7"/>
      <c r="B330" s="7"/>
      <c r="C330" s="13"/>
      <c r="D330" s="13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</row>
    <row r="331" spans="1:18" ht="19.5" customHeight="1" x14ac:dyDescent="0.25">
      <c r="A331" s="7"/>
      <c r="B331" s="7"/>
      <c r="C331" s="13"/>
      <c r="D331" s="13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</row>
    <row r="332" spans="1:18" ht="19.5" customHeight="1" x14ac:dyDescent="0.25">
      <c r="A332" s="7"/>
      <c r="B332" s="7"/>
      <c r="C332" s="13"/>
      <c r="D332" s="13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</row>
    <row r="333" spans="1:18" ht="19.5" customHeight="1" x14ac:dyDescent="0.25">
      <c r="A333" s="7"/>
      <c r="B333" s="7"/>
      <c r="C333" s="13"/>
      <c r="D333" s="13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</row>
    <row r="334" spans="1:18" ht="19.5" customHeight="1" x14ac:dyDescent="0.25">
      <c r="A334" s="7"/>
      <c r="B334" s="7"/>
      <c r="C334" s="13"/>
      <c r="D334" s="13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</row>
    <row r="335" spans="1:18" ht="19.5" customHeight="1" x14ac:dyDescent="0.25">
      <c r="A335" s="7"/>
      <c r="B335" s="7"/>
      <c r="C335" s="13"/>
      <c r="D335" s="13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</row>
    <row r="336" spans="1:18" ht="19.5" customHeight="1" x14ac:dyDescent="0.25">
      <c r="A336" s="7"/>
      <c r="B336" s="7"/>
      <c r="C336" s="13"/>
      <c r="D336" s="13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</row>
    <row r="337" spans="1:18" ht="19.5" customHeight="1" x14ac:dyDescent="0.25">
      <c r="A337" s="7"/>
      <c r="B337" s="7"/>
      <c r="C337" s="13"/>
      <c r="D337" s="13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</row>
    <row r="338" spans="1:18" ht="19.5" customHeight="1" x14ac:dyDescent="0.25">
      <c r="A338" s="7"/>
      <c r="B338" s="7"/>
      <c r="C338" s="13"/>
      <c r="D338" s="13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</row>
    <row r="339" spans="1:18" ht="19.5" customHeight="1" x14ac:dyDescent="0.25">
      <c r="A339" s="7"/>
      <c r="B339" s="7"/>
      <c r="C339" s="13"/>
      <c r="D339" s="13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</row>
    <row r="340" spans="1:18" ht="19.5" customHeight="1" x14ac:dyDescent="0.25">
      <c r="A340" s="7"/>
      <c r="B340" s="7"/>
      <c r="C340" s="13"/>
      <c r="D340" s="13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</row>
    <row r="341" spans="1:18" ht="19.5" customHeight="1" x14ac:dyDescent="0.25">
      <c r="A341" s="7"/>
      <c r="B341" s="7"/>
      <c r="C341" s="13"/>
      <c r="D341" s="13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</row>
    <row r="342" spans="1:18" ht="19.5" customHeight="1" x14ac:dyDescent="0.25">
      <c r="A342" s="7"/>
      <c r="B342" s="7"/>
      <c r="C342" s="13"/>
      <c r="D342" s="13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</row>
    <row r="343" spans="1:18" ht="19.5" customHeight="1" x14ac:dyDescent="0.25">
      <c r="A343" s="7"/>
      <c r="B343" s="7"/>
      <c r="C343" s="13"/>
      <c r="D343" s="13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</row>
    <row r="344" spans="1:18" ht="19.5" customHeight="1" x14ac:dyDescent="0.25">
      <c r="A344" s="7"/>
      <c r="B344" s="7"/>
      <c r="C344" s="13"/>
      <c r="D344" s="13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</row>
    <row r="345" spans="1:18" ht="19.5" customHeight="1" x14ac:dyDescent="0.25">
      <c r="A345" s="7"/>
      <c r="B345" s="7"/>
      <c r="C345" s="13"/>
      <c r="D345" s="13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</row>
    <row r="346" spans="1:18" ht="19.5" customHeight="1" x14ac:dyDescent="0.25">
      <c r="A346" s="7"/>
      <c r="B346" s="7"/>
      <c r="C346" s="13"/>
      <c r="D346" s="13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</row>
    <row r="347" spans="1:18" ht="19.5" customHeight="1" x14ac:dyDescent="0.25">
      <c r="A347" s="7"/>
      <c r="B347" s="7"/>
      <c r="C347" s="13"/>
      <c r="D347" s="13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</row>
    <row r="348" spans="1:18" ht="19.5" customHeight="1" x14ac:dyDescent="0.25">
      <c r="A348" s="7"/>
      <c r="B348" s="7"/>
      <c r="C348" s="13"/>
      <c r="D348" s="13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</row>
    <row r="349" spans="1:18" ht="19.5" customHeight="1" x14ac:dyDescent="0.25">
      <c r="A349" s="7"/>
      <c r="B349" s="7"/>
      <c r="C349" s="13"/>
      <c r="D349" s="13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</row>
    <row r="350" spans="1:18" ht="19.5" customHeight="1" x14ac:dyDescent="0.25">
      <c r="A350" s="7"/>
      <c r="B350" s="7"/>
      <c r="C350" s="13"/>
      <c r="D350" s="13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</row>
    <row r="351" spans="1:18" ht="19.5" customHeight="1" x14ac:dyDescent="0.25">
      <c r="A351" s="7"/>
      <c r="B351" s="7"/>
      <c r="C351" s="13"/>
      <c r="D351" s="13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</row>
    <row r="352" spans="1:18" ht="19.5" customHeight="1" x14ac:dyDescent="0.25">
      <c r="A352" s="7"/>
      <c r="B352" s="7"/>
      <c r="C352" s="13"/>
      <c r="D352" s="13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</row>
    <row r="353" spans="1:18" ht="19.5" customHeight="1" x14ac:dyDescent="0.25">
      <c r="A353" s="7"/>
      <c r="B353" s="7"/>
      <c r="C353" s="13"/>
      <c r="D353" s="13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</row>
    <row r="354" spans="1:18" ht="19.5" customHeight="1" x14ac:dyDescent="0.25">
      <c r="A354" s="7"/>
      <c r="B354" s="7"/>
      <c r="C354" s="13"/>
      <c r="D354" s="13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</row>
    <row r="355" spans="1:18" ht="19.5" customHeight="1" x14ac:dyDescent="0.25">
      <c r="A355" s="7"/>
      <c r="B355" s="7"/>
      <c r="C355" s="13"/>
      <c r="D355" s="13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</row>
    <row r="356" spans="1:18" ht="19.5" customHeight="1" x14ac:dyDescent="0.25">
      <c r="A356" s="7"/>
      <c r="B356" s="7"/>
      <c r="C356" s="13"/>
      <c r="D356" s="13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</row>
    <row r="357" spans="1:18" ht="19.5" customHeight="1" x14ac:dyDescent="0.25">
      <c r="A357" s="7"/>
      <c r="B357" s="7"/>
      <c r="C357" s="13"/>
      <c r="D357" s="13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</row>
    <row r="358" spans="1:18" ht="19.5" customHeight="1" x14ac:dyDescent="0.25">
      <c r="A358" s="7"/>
      <c r="B358" s="7"/>
      <c r="C358" s="13"/>
      <c r="D358" s="13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</row>
    <row r="359" spans="1:18" ht="19.5" customHeight="1" x14ac:dyDescent="0.25">
      <c r="A359" s="7"/>
      <c r="B359" s="7"/>
      <c r="C359" s="13"/>
      <c r="D359" s="13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</row>
    <row r="360" spans="1:18" ht="19.5" customHeight="1" x14ac:dyDescent="0.25">
      <c r="A360" s="7"/>
      <c r="B360" s="7"/>
      <c r="C360" s="13"/>
      <c r="D360" s="13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</row>
    <row r="361" spans="1:18" ht="19.5" customHeight="1" x14ac:dyDescent="0.25">
      <c r="A361" s="7"/>
      <c r="B361" s="7"/>
      <c r="C361" s="13"/>
      <c r="D361" s="13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</row>
    <row r="362" spans="1:18" ht="19.5" customHeight="1" x14ac:dyDescent="0.25">
      <c r="A362" s="7"/>
      <c r="B362" s="7"/>
      <c r="C362" s="13"/>
      <c r="D362" s="13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</row>
    <row r="363" spans="1:18" ht="19.5" customHeight="1" x14ac:dyDescent="0.25">
      <c r="A363" s="7"/>
      <c r="B363" s="7"/>
      <c r="C363" s="13"/>
      <c r="D363" s="13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</row>
    <row r="364" spans="1:18" ht="19.5" customHeight="1" x14ac:dyDescent="0.25">
      <c r="A364" s="7"/>
      <c r="B364" s="7"/>
      <c r="C364" s="13"/>
      <c r="D364" s="13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</row>
    <row r="365" spans="1:18" ht="19.5" customHeight="1" x14ac:dyDescent="0.25">
      <c r="A365" s="7"/>
      <c r="B365" s="7"/>
      <c r="C365" s="13"/>
      <c r="D365" s="13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</row>
    <row r="366" spans="1:18" ht="19.5" customHeight="1" x14ac:dyDescent="0.25">
      <c r="A366" s="7"/>
      <c r="B366" s="7"/>
      <c r="C366" s="13"/>
      <c r="D366" s="13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</row>
    <row r="367" spans="1:18" ht="19.5" customHeight="1" x14ac:dyDescent="0.25">
      <c r="A367" s="7"/>
      <c r="B367" s="7"/>
      <c r="C367" s="13"/>
      <c r="D367" s="13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</row>
    <row r="368" spans="1:18" ht="19.5" customHeight="1" x14ac:dyDescent="0.25">
      <c r="A368" s="7"/>
      <c r="B368" s="7"/>
      <c r="C368" s="13"/>
      <c r="D368" s="13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</row>
    <row r="369" spans="1:18" ht="19.5" customHeight="1" x14ac:dyDescent="0.25">
      <c r="A369" s="7"/>
      <c r="B369" s="7"/>
      <c r="C369" s="13"/>
      <c r="D369" s="13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</row>
    <row r="370" spans="1:18" ht="19.5" customHeight="1" x14ac:dyDescent="0.25">
      <c r="A370" s="7"/>
      <c r="B370" s="7"/>
      <c r="C370" s="13"/>
      <c r="D370" s="13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</row>
    <row r="371" spans="1:18" ht="19.5" customHeight="1" x14ac:dyDescent="0.25">
      <c r="A371" s="7"/>
      <c r="B371" s="7"/>
      <c r="C371" s="13"/>
      <c r="D371" s="13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</row>
    <row r="372" spans="1:18" ht="19.5" customHeight="1" x14ac:dyDescent="0.25">
      <c r="A372" s="7"/>
      <c r="B372" s="7"/>
      <c r="C372" s="13"/>
      <c r="D372" s="13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</row>
    <row r="373" spans="1:18" ht="19.5" customHeight="1" x14ac:dyDescent="0.25">
      <c r="A373" s="7"/>
      <c r="B373" s="7"/>
      <c r="C373" s="13"/>
      <c r="D373" s="13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</row>
    <row r="374" spans="1:18" ht="19.5" customHeight="1" x14ac:dyDescent="0.25">
      <c r="A374" s="7"/>
      <c r="B374" s="7"/>
      <c r="C374" s="13"/>
      <c r="D374" s="13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</row>
    <row r="375" spans="1:18" ht="19.5" customHeight="1" x14ac:dyDescent="0.25">
      <c r="A375" s="7"/>
      <c r="B375" s="7"/>
      <c r="C375" s="13"/>
      <c r="D375" s="13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</row>
    <row r="376" spans="1:18" ht="19.5" customHeight="1" x14ac:dyDescent="0.25">
      <c r="A376" s="7"/>
      <c r="B376" s="7"/>
      <c r="C376" s="13"/>
      <c r="D376" s="13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</row>
    <row r="377" spans="1:18" ht="19.5" customHeight="1" x14ac:dyDescent="0.25">
      <c r="A377" s="7"/>
      <c r="B377" s="7"/>
      <c r="C377" s="13"/>
      <c r="D377" s="13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</row>
    <row r="378" spans="1:18" ht="19.5" customHeight="1" x14ac:dyDescent="0.25">
      <c r="A378" s="7"/>
      <c r="B378" s="7"/>
      <c r="C378" s="13"/>
      <c r="D378" s="13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</row>
    <row r="379" spans="1:18" ht="19.5" customHeight="1" x14ac:dyDescent="0.25">
      <c r="A379" s="7"/>
      <c r="B379" s="7"/>
      <c r="C379" s="13"/>
      <c r="D379" s="13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</row>
    <row r="380" spans="1:18" ht="19.5" customHeight="1" x14ac:dyDescent="0.25">
      <c r="A380" s="7"/>
      <c r="B380" s="7"/>
      <c r="C380" s="13"/>
      <c r="D380" s="13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</row>
    <row r="381" spans="1:18" ht="19.5" customHeight="1" x14ac:dyDescent="0.25">
      <c r="A381" s="7"/>
      <c r="B381" s="7"/>
      <c r="C381" s="13"/>
      <c r="D381" s="13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</row>
    <row r="382" spans="1:18" ht="19.5" customHeight="1" x14ac:dyDescent="0.25">
      <c r="A382" s="7"/>
      <c r="B382" s="7"/>
      <c r="C382" s="13"/>
      <c r="D382" s="13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</row>
    <row r="383" spans="1:18" ht="19.5" customHeight="1" x14ac:dyDescent="0.25">
      <c r="A383" s="7"/>
      <c r="B383" s="7"/>
      <c r="C383" s="13"/>
      <c r="D383" s="13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</row>
    <row r="384" spans="1:18" ht="19.5" customHeight="1" x14ac:dyDescent="0.25">
      <c r="A384" s="7"/>
      <c r="B384" s="7"/>
      <c r="C384" s="13"/>
      <c r="D384" s="13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</row>
    <row r="385" spans="1:18" ht="19.5" customHeight="1" x14ac:dyDescent="0.25">
      <c r="A385" s="7"/>
      <c r="B385" s="7"/>
      <c r="C385" s="13"/>
      <c r="D385" s="13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</row>
    <row r="386" spans="1:18" ht="19.5" customHeight="1" x14ac:dyDescent="0.25">
      <c r="A386" s="7"/>
      <c r="B386" s="7"/>
      <c r="C386" s="13"/>
      <c r="D386" s="13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</row>
    <row r="387" spans="1:18" ht="19.5" customHeight="1" x14ac:dyDescent="0.25">
      <c r="A387" s="7"/>
      <c r="B387" s="7"/>
      <c r="C387" s="13"/>
      <c r="D387" s="13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</row>
    <row r="388" spans="1:18" ht="19.5" customHeight="1" x14ac:dyDescent="0.25">
      <c r="A388" s="7"/>
      <c r="B388" s="7"/>
      <c r="C388" s="13"/>
      <c r="D388" s="13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</row>
    <row r="389" spans="1:18" ht="19.5" customHeight="1" x14ac:dyDescent="0.25">
      <c r="A389" s="7"/>
      <c r="B389" s="7"/>
      <c r="C389" s="13"/>
      <c r="D389" s="13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</row>
    <row r="390" spans="1:18" ht="19.5" customHeight="1" x14ac:dyDescent="0.25">
      <c r="A390" s="7"/>
      <c r="B390" s="7"/>
      <c r="C390" s="13"/>
      <c r="D390" s="13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</row>
    <row r="391" spans="1:18" ht="19.5" customHeight="1" x14ac:dyDescent="0.25">
      <c r="A391" s="7"/>
      <c r="B391" s="7"/>
      <c r="C391" s="13"/>
      <c r="D391" s="13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</row>
    <row r="392" spans="1:18" ht="19.5" customHeight="1" x14ac:dyDescent="0.25">
      <c r="A392" s="7"/>
      <c r="B392" s="7"/>
      <c r="C392" s="13"/>
      <c r="D392" s="13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</row>
    <row r="393" spans="1:18" ht="19.5" customHeight="1" x14ac:dyDescent="0.25">
      <c r="A393" s="7"/>
      <c r="B393" s="7"/>
      <c r="C393" s="13"/>
      <c r="D393" s="13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</row>
    <row r="394" spans="1:18" ht="19.5" customHeight="1" x14ac:dyDescent="0.25">
      <c r="A394" s="7"/>
      <c r="B394" s="7"/>
      <c r="C394" s="13"/>
      <c r="D394" s="13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</row>
    <row r="395" spans="1:18" ht="19.5" customHeight="1" x14ac:dyDescent="0.25">
      <c r="A395" s="7"/>
      <c r="B395" s="7"/>
      <c r="C395" s="13"/>
      <c r="D395" s="13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</row>
    <row r="396" spans="1:18" ht="19.5" customHeight="1" x14ac:dyDescent="0.25">
      <c r="A396" s="7"/>
      <c r="B396" s="7"/>
      <c r="C396" s="13"/>
      <c r="D396" s="13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</row>
    <row r="397" spans="1:18" ht="19.5" customHeight="1" x14ac:dyDescent="0.25">
      <c r="A397" s="7"/>
      <c r="B397" s="7"/>
      <c r="C397" s="13"/>
      <c r="D397" s="13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</row>
    <row r="398" spans="1:18" ht="19.5" customHeight="1" x14ac:dyDescent="0.25">
      <c r="A398" s="7"/>
      <c r="B398" s="7"/>
      <c r="C398" s="13"/>
      <c r="D398" s="13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</row>
    <row r="399" spans="1:18" ht="19.5" customHeight="1" x14ac:dyDescent="0.25">
      <c r="A399" s="7"/>
      <c r="B399" s="7"/>
      <c r="C399" s="13"/>
      <c r="D399" s="13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</row>
    <row r="400" spans="1:18" ht="19.5" customHeight="1" x14ac:dyDescent="0.25">
      <c r="A400" s="7"/>
      <c r="B400" s="7"/>
      <c r="C400" s="13"/>
      <c r="D400" s="13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</row>
    <row r="401" spans="1:18" ht="19.5" customHeight="1" x14ac:dyDescent="0.25">
      <c r="A401" s="7"/>
      <c r="B401" s="7"/>
      <c r="C401" s="13"/>
      <c r="D401" s="13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</row>
    <row r="402" spans="1:18" ht="19.5" customHeight="1" x14ac:dyDescent="0.25">
      <c r="A402" s="7"/>
      <c r="B402" s="7"/>
      <c r="C402" s="13"/>
      <c r="D402" s="13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</row>
    <row r="403" spans="1:18" ht="19.5" customHeight="1" x14ac:dyDescent="0.25">
      <c r="A403" s="7"/>
      <c r="B403" s="7"/>
      <c r="C403" s="13"/>
      <c r="D403" s="13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</row>
    <row r="404" spans="1:18" ht="19.5" customHeight="1" x14ac:dyDescent="0.25">
      <c r="A404" s="7"/>
      <c r="B404" s="7"/>
      <c r="C404" s="13"/>
      <c r="D404" s="13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</row>
    <row r="405" spans="1:18" ht="19.5" customHeight="1" x14ac:dyDescent="0.25">
      <c r="A405" s="7"/>
      <c r="B405" s="7"/>
      <c r="C405" s="13"/>
      <c r="D405" s="13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</row>
    <row r="406" spans="1:18" ht="19.5" customHeight="1" x14ac:dyDescent="0.25">
      <c r="A406" s="7"/>
      <c r="B406" s="7"/>
      <c r="C406" s="13"/>
      <c r="D406" s="13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</row>
    <row r="407" spans="1:18" ht="19.5" customHeight="1" x14ac:dyDescent="0.25">
      <c r="A407" s="7"/>
      <c r="B407" s="7"/>
      <c r="C407" s="13"/>
      <c r="D407" s="13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</row>
    <row r="408" spans="1:18" ht="19.5" customHeight="1" x14ac:dyDescent="0.25">
      <c r="A408" s="7"/>
      <c r="B408" s="7"/>
      <c r="C408" s="13"/>
      <c r="D408" s="13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</row>
    <row r="409" spans="1:18" ht="19.5" customHeight="1" x14ac:dyDescent="0.25">
      <c r="A409" s="7"/>
      <c r="B409" s="7"/>
      <c r="C409" s="13"/>
      <c r="D409" s="13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</row>
    <row r="410" spans="1:18" ht="19.5" customHeight="1" x14ac:dyDescent="0.25">
      <c r="A410" s="7"/>
      <c r="B410" s="7"/>
      <c r="C410" s="13"/>
      <c r="D410" s="13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</row>
    <row r="411" spans="1:18" ht="19.5" customHeight="1" x14ac:dyDescent="0.25">
      <c r="A411" s="7"/>
      <c r="B411" s="7"/>
      <c r="C411" s="13"/>
      <c r="D411" s="13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</row>
    <row r="412" spans="1:18" ht="19.5" customHeight="1" x14ac:dyDescent="0.25">
      <c r="A412" s="7"/>
      <c r="B412" s="7"/>
      <c r="C412" s="13"/>
      <c r="D412" s="13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</row>
    <row r="413" spans="1:18" ht="19.5" customHeight="1" x14ac:dyDescent="0.25">
      <c r="A413" s="7"/>
      <c r="B413" s="7"/>
      <c r="C413" s="13"/>
      <c r="D413" s="13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</row>
    <row r="414" spans="1:18" ht="19.5" customHeight="1" x14ac:dyDescent="0.25">
      <c r="A414" s="7"/>
      <c r="B414" s="7"/>
      <c r="C414" s="13"/>
      <c r="D414" s="13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</row>
    <row r="415" spans="1:18" ht="19.5" customHeight="1" x14ac:dyDescent="0.25">
      <c r="A415" s="7"/>
      <c r="B415" s="7"/>
      <c r="C415" s="13"/>
      <c r="D415" s="13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</row>
    <row r="416" spans="1:18" ht="19.5" customHeight="1" x14ac:dyDescent="0.25">
      <c r="A416" s="7"/>
      <c r="B416" s="7"/>
      <c r="C416" s="13"/>
      <c r="D416" s="13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</row>
    <row r="417" spans="1:18" ht="19.5" customHeight="1" x14ac:dyDescent="0.25">
      <c r="A417" s="7"/>
      <c r="B417" s="7"/>
      <c r="C417" s="13"/>
      <c r="D417" s="13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</row>
    <row r="418" spans="1:18" ht="19.5" customHeight="1" x14ac:dyDescent="0.25">
      <c r="A418" s="7"/>
      <c r="B418" s="7"/>
      <c r="C418" s="13"/>
      <c r="D418" s="13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</row>
    <row r="419" spans="1:18" ht="19.5" customHeight="1" x14ac:dyDescent="0.25">
      <c r="A419" s="7"/>
      <c r="B419" s="7"/>
      <c r="C419" s="13"/>
      <c r="D419" s="13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</row>
    <row r="420" spans="1:18" ht="19.5" customHeight="1" x14ac:dyDescent="0.25">
      <c r="A420" s="7"/>
      <c r="B420" s="7"/>
      <c r="C420" s="13"/>
      <c r="D420" s="13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</row>
    <row r="421" spans="1:18" ht="19.5" customHeight="1" x14ac:dyDescent="0.25">
      <c r="A421" s="7"/>
      <c r="B421" s="7"/>
      <c r="C421" s="13"/>
      <c r="D421" s="13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</row>
    <row r="422" spans="1:18" ht="19.5" customHeight="1" x14ac:dyDescent="0.25">
      <c r="A422" s="7"/>
      <c r="B422" s="7"/>
      <c r="C422" s="13"/>
      <c r="D422" s="13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</row>
    <row r="423" spans="1:18" ht="19.5" customHeight="1" x14ac:dyDescent="0.25">
      <c r="A423" s="7"/>
      <c r="B423" s="7"/>
      <c r="C423" s="13"/>
      <c r="D423" s="13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</row>
    <row r="424" spans="1:18" ht="19.5" customHeight="1" x14ac:dyDescent="0.25">
      <c r="A424" s="7"/>
      <c r="B424" s="7"/>
      <c r="C424" s="13"/>
      <c r="D424" s="13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</row>
    <row r="425" spans="1:18" ht="19.5" customHeight="1" x14ac:dyDescent="0.25">
      <c r="A425" s="7"/>
      <c r="B425" s="7"/>
      <c r="C425" s="13"/>
      <c r="D425" s="13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</row>
    <row r="426" spans="1:18" ht="19.5" customHeight="1" x14ac:dyDescent="0.25">
      <c r="A426" s="7"/>
      <c r="B426" s="7"/>
      <c r="C426" s="13"/>
      <c r="D426" s="13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</row>
    <row r="427" spans="1:18" ht="19.5" customHeight="1" x14ac:dyDescent="0.25">
      <c r="A427" s="7"/>
      <c r="B427" s="7"/>
      <c r="C427" s="13"/>
      <c r="D427" s="13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</row>
    <row r="428" spans="1:18" ht="19.5" customHeight="1" x14ac:dyDescent="0.25">
      <c r="A428" s="7"/>
      <c r="B428" s="7"/>
      <c r="C428" s="13"/>
      <c r="D428" s="13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</row>
    <row r="429" spans="1:18" ht="19.5" customHeight="1" x14ac:dyDescent="0.25">
      <c r="A429" s="7"/>
      <c r="B429" s="7"/>
      <c r="C429" s="13"/>
      <c r="D429" s="13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</row>
    <row r="430" spans="1:18" ht="19.5" customHeight="1" x14ac:dyDescent="0.25">
      <c r="A430" s="7"/>
      <c r="B430" s="7"/>
      <c r="C430" s="13"/>
      <c r="D430" s="13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</row>
    <row r="431" spans="1:18" ht="19.5" customHeight="1" x14ac:dyDescent="0.25">
      <c r="A431" s="7"/>
      <c r="B431" s="7"/>
      <c r="C431" s="13"/>
      <c r="D431" s="13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</row>
    <row r="432" spans="1:18" ht="19.5" customHeight="1" x14ac:dyDescent="0.25">
      <c r="A432" s="7"/>
      <c r="B432" s="7"/>
      <c r="C432" s="13"/>
      <c r="D432" s="13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</row>
    <row r="433" spans="1:18" ht="19.5" customHeight="1" x14ac:dyDescent="0.25">
      <c r="A433" s="7"/>
      <c r="B433" s="7"/>
      <c r="C433" s="13"/>
      <c r="D433" s="13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</row>
    <row r="434" spans="1:18" ht="19.5" customHeight="1" x14ac:dyDescent="0.25">
      <c r="A434" s="7"/>
      <c r="B434" s="7"/>
      <c r="C434" s="13"/>
      <c r="D434" s="13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</row>
    <row r="435" spans="1:18" ht="19.5" customHeight="1" x14ac:dyDescent="0.25">
      <c r="A435" s="7"/>
      <c r="B435" s="7"/>
      <c r="C435" s="13"/>
      <c r="D435" s="13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</row>
    <row r="436" spans="1:18" ht="19.5" customHeight="1" x14ac:dyDescent="0.25">
      <c r="A436" s="7"/>
      <c r="B436" s="7"/>
      <c r="C436" s="13"/>
      <c r="D436" s="13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</row>
    <row r="437" spans="1:18" ht="19.5" customHeight="1" x14ac:dyDescent="0.25">
      <c r="A437" s="7"/>
      <c r="B437" s="7"/>
      <c r="C437" s="13"/>
      <c r="D437" s="13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</row>
    <row r="438" spans="1:18" ht="19.5" customHeight="1" x14ac:dyDescent="0.25">
      <c r="A438" s="7"/>
      <c r="B438" s="7"/>
      <c r="C438" s="13"/>
      <c r="D438" s="13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</row>
    <row r="439" spans="1:18" ht="19.5" customHeight="1" x14ac:dyDescent="0.25">
      <c r="A439" s="7"/>
      <c r="B439" s="7"/>
      <c r="C439" s="13"/>
      <c r="D439" s="13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</row>
    <row r="440" spans="1:18" ht="19.5" customHeight="1" x14ac:dyDescent="0.25">
      <c r="A440" s="7"/>
      <c r="B440" s="7"/>
      <c r="C440" s="13"/>
      <c r="D440" s="13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</row>
    <row r="441" spans="1:18" ht="19.5" customHeight="1" x14ac:dyDescent="0.25">
      <c r="A441" s="7"/>
      <c r="B441" s="7"/>
      <c r="C441" s="13"/>
      <c r="D441" s="13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</row>
    <row r="442" spans="1:18" ht="19.5" customHeight="1" x14ac:dyDescent="0.25">
      <c r="A442" s="7"/>
      <c r="B442" s="7"/>
      <c r="C442" s="13"/>
      <c r="D442" s="13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</row>
    <row r="443" spans="1:18" ht="19.5" customHeight="1" x14ac:dyDescent="0.25">
      <c r="A443" s="7"/>
      <c r="B443" s="7"/>
      <c r="C443" s="13"/>
      <c r="D443" s="13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</row>
    <row r="444" spans="1:18" ht="19.5" customHeight="1" x14ac:dyDescent="0.25">
      <c r="A444" s="7"/>
      <c r="B444" s="7"/>
      <c r="C444" s="13"/>
      <c r="D444" s="13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</row>
    <row r="445" spans="1:18" ht="19.5" customHeight="1" x14ac:dyDescent="0.25">
      <c r="A445" s="7"/>
      <c r="B445" s="7"/>
      <c r="C445" s="13"/>
      <c r="D445" s="13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</row>
    <row r="446" spans="1:18" ht="19.5" customHeight="1" x14ac:dyDescent="0.25">
      <c r="A446" s="7"/>
      <c r="B446" s="7"/>
      <c r="C446" s="13"/>
      <c r="D446" s="13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</row>
    <row r="447" spans="1:18" ht="19.5" customHeight="1" x14ac:dyDescent="0.25">
      <c r="A447" s="7"/>
      <c r="B447" s="7"/>
      <c r="C447" s="13"/>
      <c r="D447" s="13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</row>
    <row r="448" spans="1:18" ht="19.5" customHeight="1" x14ac:dyDescent="0.25">
      <c r="A448" s="7"/>
      <c r="B448" s="7"/>
      <c r="C448" s="13"/>
      <c r="D448" s="13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</row>
    <row r="449" spans="1:18" ht="19.5" customHeight="1" x14ac:dyDescent="0.25">
      <c r="A449" s="7"/>
      <c r="B449" s="7"/>
      <c r="C449" s="13"/>
      <c r="D449" s="13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</row>
    <row r="450" spans="1:18" ht="19.5" customHeight="1" x14ac:dyDescent="0.25">
      <c r="A450" s="7"/>
      <c r="B450" s="7"/>
      <c r="C450" s="13"/>
      <c r="D450" s="13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</row>
    <row r="451" spans="1:18" ht="19.5" customHeight="1" x14ac:dyDescent="0.25">
      <c r="A451" s="7"/>
      <c r="B451" s="7"/>
      <c r="C451" s="13"/>
      <c r="D451" s="13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</row>
    <row r="452" spans="1:18" ht="19.5" customHeight="1" x14ac:dyDescent="0.25">
      <c r="A452" s="7"/>
      <c r="B452" s="7"/>
      <c r="C452" s="13"/>
      <c r="D452" s="13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</row>
    <row r="453" spans="1:18" ht="19.5" customHeight="1" x14ac:dyDescent="0.25">
      <c r="A453" s="7"/>
      <c r="B453" s="7"/>
      <c r="C453" s="13"/>
      <c r="D453" s="13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</row>
    <row r="454" spans="1:18" ht="19.5" customHeight="1" x14ac:dyDescent="0.25">
      <c r="A454" s="7"/>
      <c r="B454" s="7"/>
      <c r="C454" s="13"/>
      <c r="D454" s="13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</row>
    <row r="455" spans="1:18" ht="19.5" customHeight="1" x14ac:dyDescent="0.25">
      <c r="A455" s="7"/>
      <c r="B455" s="7"/>
      <c r="C455" s="13"/>
      <c r="D455" s="13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</row>
    <row r="456" spans="1:18" ht="19.5" customHeight="1" x14ac:dyDescent="0.25">
      <c r="A456" s="7"/>
      <c r="B456" s="7"/>
      <c r="C456" s="13"/>
      <c r="D456" s="13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</row>
    <row r="457" spans="1:18" ht="19.5" customHeight="1" x14ac:dyDescent="0.25">
      <c r="A457" s="7"/>
      <c r="B457" s="7"/>
      <c r="C457" s="13"/>
      <c r="D457" s="13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</row>
    <row r="458" spans="1:18" ht="19.5" customHeight="1" x14ac:dyDescent="0.25">
      <c r="A458" s="7"/>
      <c r="B458" s="7"/>
      <c r="C458" s="13"/>
      <c r="D458" s="13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</row>
    <row r="459" spans="1:18" ht="19.5" customHeight="1" x14ac:dyDescent="0.25">
      <c r="A459" s="7"/>
      <c r="B459" s="7"/>
      <c r="C459" s="13"/>
      <c r="D459" s="13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</row>
    <row r="460" spans="1:18" ht="19.5" customHeight="1" x14ac:dyDescent="0.25">
      <c r="A460" s="7"/>
      <c r="B460" s="7"/>
      <c r="C460" s="13"/>
      <c r="D460" s="13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</row>
    <row r="461" spans="1:18" ht="19.5" customHeight="1" x14ac:dyDescent="0.25">
      <c r="A461" s="7"/>
      <c r="B461" s="7"/>
      <c r="C461" s="13"/>
      <c r="D461" s="13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</row>
    <row r="462" spans="1:18" ht="19.5" customHeight="1" x14ac:dyDescent="0.25">
      <c r="A462" s="7"/>
      <c r="B462" s="7"/>
      <c r="C462" s="13"/>
      <c r="D462" s="13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</row>
    <row r="463" spans="1:18" ht="19.5" customHeight="1" x14ac:dyDescent="0.25">
      <c r="A463" s="7"/>
      <c r="B463" s="7"/>
      <c r="C463" s="13"/>
      <c r="D463" s="13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</row>
    <row r="464" spans="1:18" ht="19.5" customHeight="1" x14ac:dyDescent="0.25">
      <c r="A464" s="7"/>
      <c r="B464" s="7"/>
      <c r="C464" s="13"/>
      <c r="D464" s="13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</row>
    <row r="465" spans="1:18" ht="19.5" customHeight="1" x14ac:dyDescent="0.25">
      <c r="A465" s="7"/>
      <c r="B465" s="7"/>
      <c r="C465" s="13"/>
      <c r="D465" s="13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</row>
    <row r="466" spans="1:18" ht="19.5" customHeight="1" x14ac:dyDescent="0.25">
      <c r="A466" s="7"/>
      <c r="B466" s="7"/>
      <c r="C466" s="13"/>
      <c r="D466" s="13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</row>
    <row r="467" spans="1:18" ht="19.5" customHeight="1" x14ac:dyDescent="0.25">
      <c r="A467" s="7"/>
      <c r="B467" s="7"/>
      <c r="C467" s="13"/>
      <c r="D467" s="13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</row>
    <row r="468" spans="1:18" ht="19.5" customHeight="1" x14ac:dyDescent="0.25">
      <c r="A468" s="7"/>
      <c r="B468" s="7"/>
      <c r="C468" s="13"/>
      <c r="D468" s="13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</row>
    <row r="469" spans="1:18" ht="19.5" customHeight="1" x14ac:dyDescent="0.25">
      <c r="A469" s="7"/>
      <c r="B469" s="7"/>
      <c r="C469" s="13"/>
      <c r="D469" s="13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</row>
    <row r="470" spans="1:18" ht="19.5" customHeight="1" x14ac:dyDescent="0.25">
      <c r="A470" s="7"/>
      <c r="B470" s="7"/>
      <c r="C470" s="13"/>
      <c r="D470" s="13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</row>
    <row r="471" spans="1:18" ht="19.5" customHeight="1" x14ac:dyDescent="0.25">
      <c r="A471" s="7"/>
      <c r="B471" s="7"/>
      <c r="C471" s="13"/>
      <c r="D471" s="13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</row>
    <row r="472" spans="1:18" ht="19.5" customHeight="1" x14ac:dyDescent="0.25">
      <c r="A472" s="7"/>
      <c r="B472" s="7"/>
      <c r="C472" s="13"/>
      <c r="D472" s="13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</row>
    <row r="473" spans="1:18" ht="19.5" customHeight="1" x14ac:dyDescent="0.25">
      <c r="A473" s="7"/>
      <c r="B473" s="7"/>
      <c r="C473" s="13"/>
      <c r="D473" s="13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</row>
    <row r="474" spans="1:18" ht="19.5" customHeight="1" x14ac:dyDescent="0.25">
      <c r="A474" s="7"/>
      <c r="B474" s="7"/>
      <c r="C474" s="13"/>
      <c r="D474" s="13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</row>
    <row r="475" spans="1:18" ht="19.5" customHeight="1" x14ac:dyDescent="0.25">
      <c r="A475" s="7"/>
      <c r="B475" s="7"/>
      <c r="C475" s="13"/>
      <c r="D475" s="13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</row>
    <row r="476" spans="1:18" ht="19.5" customHeight="1" x14ac:dyDescent="0.25">
      <c r="A476" s="7"/>
      <c r="B476" s="7"/>
      <c r="C476" s="13"/>
      <c r="D476" s="13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</row>
    <row r="477" spans="1:18" ht="19.5" customHeight="1" x14ac:dyDescent="0.25">
      <c r="A477" s="7"/>
      <c r="B477" s="7"/>
      <c r="C477" s="13"/>
      <c r="D477" s="13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</row>
    <row r="478" spans="1:18" ht="19.5" customHeight="1" x14ac:dyDescent="0.25">
      <c r="A478" s="7"/>
      <c r="B478" s="7"/>
      <c r="C478" s="13"/>
      <c r="D478" s="13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</row>
    <row r="479" spans="1:18" ht="19.5" customHeight="1" x14ac:dyDescent="0.25">
      <c r="A479" s="7"/>
      <c r="B479" s="7"/>
      <c r="C479" s="13"/>
      <c r="D479" s="13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</row>
    <row r="480" spans="1:18" ht="19.5" customHeight="1" x14ac:dyDescent="0.25">
      <c r="A480" s="7"/>
      <c r="B480" s="7"/>
      <c r="C480" s="13"/>
      <c r="D480" s="13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</row>
    <row r="481" spans="1:18" ht="19.5" customHeight="1" x14ac:dyDescent="0.25">
      <c r="A481" s="7"/>
      <c r="B481" s="7"/>
      <c r="C481" s="13"/>
      <c r="D481" s="13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</row>
    <row r="482" spans="1:18" ht="19.5" customHeight="1" x14ac:dyDescent="0.25">
      <c r="A482" s="7"/>
      <c r="B482" s="7"/>
      <c r="C482" s="13"/>
      <c r="D482" s="13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</row>
    <row r="483" spans="1:18" ht="19.5" customHeight="1" x14ac:dyDescent="0.25">
      <c r="A483" s="7"/>
      <c r="B483" s="7"/>
      <c r="C483" s="13"/>
      <c r="D483" s="13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</row>
    <row r="484" spans="1:18" ht="19.5" customHeight="1" x14ac:dyDescent="0.25">
      <c r="A484" s="7"/>
      <c r="B484" s="7"/>
      <c r="C484" s="13"/>
      <c r="D484" s="13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</row>
    <row r="485" spans="1:18" ht="19.5" customHeight="1" x14ac:dyDescent="0.25">
      <c r="A485" s="7"/>
      <c r="B485" s="7"/>
      <c r="C485" s="13"/>
      <c r="D485" s="13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</row>
    <row r="486" spans="1:18" ht="19.5" customHeight="1" x14ac:dyDescent="0.25">
      <c r="A486" s="7"/>
      <c r="B486" s="7"/>
      <c r="C486" s="13"/>
      <c r="D486" s="13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</row>
    <row r="487" spans="1:18" ht="19.5" customHeight="1" x14ac:dyDescent="0.25">
      <c r="A487" s="7"/>
      <c r="B487" s="7"/>
      <c r="C487" s="13"/>
      <c r="D487" s="13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</row>
    <row r="488" spans="1:18" ht="19.5" customHeight="1" x14ac:dyDescent="0.25">
      <c r="A488" s="7"/>
      <c r="B488" s="7"/>
      <c r="C488" s="13"/>
      <c r="D488" s="13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</row>
    <row r="489" spans="1:18" ht="19.5" customHeight="1" x14ac:dyDescent="0.25">
      <c r="A489" s="7"/>
      <c r="B489" s="7"/>
      <c r="C489" s="13"/>
      <c r="D489" s="13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</row>
    <row r="490" spans="1:18" ht="19.5" customHeight="1" x14ac:dyDescent="0.25">
      <c r="A490" s="7"/>
      <c r="B490" s="7"/>
      <c r="C490" s="13"/>
      <c r="D490" s="13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</row>
    <row r="491" spans="1:18" ht="19.5" customHeight="1" x14ac:dyDescent="0.25">
      <c r="A491" s="7"/>
      <c r="B491" s="7"/>
      <c r="C491" s="13"/>
      <c r="D491" s="13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</row>
    <row r="492" spans="1:18" ht="19.5" customHeight="1" x14ac:dyDescent="0.25">
      <c r="A492" s="7"/>
      <c r="B492" s="7"/>
      <c r="C492" s="13"/>
      <c r="D492" s="13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</row>
    <row r="493" spans="1:18" ht="19.5" customHeight="1" x14ac:dyDescent="0.25">
      <c r="A493" s="7"/>
      <c r="B493" s="7"/>
      <c r="C493" s="13"/>
      <c r="D493" s="13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</row>
    <row r="494" spans="1:18" ht="19.5" customHeight="1" x14ac:dyDescent="0.25">
      <c r="A494" s="7"/>
      <c r="B494" s="7"/>
      <c r="C494" s="13"/>
      <c r="D494" s="13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</row>
    <row r="495" spans="1:18" ht="19.5" customHeight="1" x14ac:dyDescent="0.25">
      <c r="A495" s="7"/>
      <c r="B495" s="7"/>
      <c r="C495" s="13"/>
      <c r="D495" s="13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</row>
    <row r="496" spans="1:18" ht="19.5" customHeight="1" x14ac:dyDescent="0.25">
      <c r="A496" s="7"/>
      <c r="B496" s="7"/>
      <c r="C496" s="13"/>
      <c r="D496" s="13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</row>
    <row r="497" spans="1:18" ht="19.5" customHeight="1" x14ac:dyDescent="0.25">
      <c r="A497" s="7"/>
      <c r="B497" s="7"/>
      <c r="C497" s="13"/>
      <c r="D497" s="13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</row>
    <row r="498" spans="1:18" ht="19.5" customHeight="1" x14ac:dyDescent="0.25">
      <c r="A498" s="7"/>
      <c r="B498" s="7"/>
      <c r="C498" s="13"/>
      <c r="D498" s="13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</row>
    <row r="499" spans="1:18" ht="19.5" customHeight="1" x14ac:dyDescent="0.25">
      <c r="A499" s="7"/>
      <c r="B499" s="7"/>
      <c r="C499" s="13"/>
      <c r="D499" s="13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</row>
    <row r="500" spans="1:18" ht="19.5" customHeight="1" x14ac:dyDescent="0.25">
      <c r="A500" s="7"/>
      <c r="B500" s="7"/>
      <c r="C500" s="13"/>
      <c r="D500" s="13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</row>
    <row r="501" spans="1:18" ht="19.5" customHeight="1" x14ac:dyDescent="0.25">
      <c r="A501" s="7"/>
      <c r="B501" s="7"/>
      <c r="C501" s="13"/>
      <c r="D501" s="13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</row>
    <row r="502" spans="1:18" ht="19.5" customHeight="1" x14ac:dyDescent="0.25">
      <c r="A502" s="7"/>
      <c r="B502" s="7"/>
      <c r="C502" s="13"/>
      <c r="D502" s="13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</row>
    <row r="503" spans="1:18" ht="19.5" customHeight="1" x14ac:dyDescent="0.25">
      <c r="A503" s="7"/>
      <c r="B503" s="7"/>
      <c r="C503" s="13"/>
      <c r="D503" s="13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</row>
    <row r="504" spans="1:18" ht="19.5" customHeight="1" x14ac:dyDescent="0.25">
      <c r="A504" s="7"/>
      <c r="B504" s="7"/>
      <c r="C504" s="13"/>
      <c r="D504" s="13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</row>
    <row r="505" spans="1:18" ht="19.5" customHeight="1" x14ac:dyDescent="0.25">
      <c r="A505" s="7"/>
      <c r="B505" s="7"/>
      <c r="C505" s="13"/>
      <c r="D505" s="13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</row>
    <row r="506" spans="1:18" ht="19.5" customHeight="1" x14ac:dyDescent="0.25">
      <c r="A506" s="7"/>
      <c r="B506" s="7"/>
      <c r="C506" s="13"/>
      <c r="D506" s="13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</row>
    <row r="507" spans="1:18" ht="19.5" customHeight="1" x14ac:dyDescent="0.25">
      <c r="A507" s="7"/>
      <c r="B507" s="7"/>
      <c r="C507" s="13"/>
      <c r="D507" s="13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</row>
    <row r="508" spans="1:18" ht="19.5" customHeight="1" x14ac:dyDescent="0.25">
      <c r="A508" s="7"/>
      <c r="B508" s="7"/>
      <c r="C508" s="13"/>
      <c r="D508" s="13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</row>
    <row r="509" spans="1:18" ht="19.5" customHeight="1" x14ac:dyDescent="0.25">
      <c r="A509" s="7"/>
      <c r="B509" s="7"/>
      <c r="C509" s="13"/>
      <c r="D509" s="13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</row>
    <row r="510" spans="1:18" ht="19.5" customHeight="1" x14ac:dyDescent="0.25">
      <c r="A510" s="7"/>
      <c r="B510" s="7"/>
      <c r="C510" s="13"/>
      <c r="D510" s="13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</row>
    <row r="511" spans="1:18" ht="19.5" customHeight="1" x14ac:dyDescent="0.25">
      <c r="A511" s="7"/>
      <c r="B511" s="7"/>
      <c r="C511" s="13"/>
      <c r="D511" s="13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</row>
    <row r="512" spans="1:18" ht="19.5" customHeight="1" x14ac:dyDescent="0.25">
      <c r="A512" s="7"/>
      <c r="B512" s="7"/>
      <c r="C512" s="13"/>
      <c r="D512" s="13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</row>
    <row r="513" spans="1:18" ht="19.5" customHeight="1" x14ac:dyDescent="0.25">
      <c r="A513" s="7"/>
      <c r="B513" s="7"/>
      <c r="C513" s="13"/>
      <c r="D513" s="13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</row>
    <row r="514" spans="1:18" ht="19.5" customHeight="1" x14ac:dyDescent="0.25">
      <c r="A514" s="7"/>
      <c r="B514" s="7"/>
      <c r="C514" s="13"/>
      <c r="D514" s="13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</row>
    <row r="515" spans="1:18" ht="19.5" customHeight="1" x14ac:dyDescent="0.25">
      <c r="A515" s="7"/>
      <c r="B515" s="7"/>
      <c r="C515" s="13"/>
      <c r="D515" s="13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</row>
    <row r="516" spans="1:18" ht="19.5" customHeight="1" x14ac:dyDescent="0.25">
      <c r="A516" s="7"/>
      <c r="B516" s="7"/>
      <c r="C516" s="13"/>
      <c r="D516" s="13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</row>
    <row r="517" spans="1:18" ht="19.5" customHeight="1" x14ac:dyDescent="0.25">
      <c r="A517" s="7"/>
      <c r="B517" s="7"/>
      <c r="C517" s="13"/>
      <c r="D517" s="13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</row>
    <row r="518" spans="1:18" ht="19.5" customHeight="1" x14ac:dyDescent="0.25">
      <c r="A518" s="7"/>
      <c r="B518" s="7"/>
      <c r="C518" s="13"/>
      <c r="D518" s="13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</row>
    <row r="519" spans="1:18" ht="19.5" customHeight="1" x14ac:dyDescent="0.25">
      <c r="A519" s="7"/>
      <c r="B519" s="7"/>
      <c r="C519" s="13"/>
      <c r="D519" s="13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</row>
    <row r="520" spans="1:18" ht="19.5" customHeight="1" x14ac:dyDescent="0.25">
      <c r="A520" s="7"/>
      <c r="B520" s="7"/>
      <c r="C520" s="13"/>
      <c r="D520" s="13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</row>
    <row r="521" spans="1:18" ht="19.5" customHeight="1" x14ac:dyDescent="0.25">
      <c r="A521" s="7"/>
      <c r="B521" s="7"/>
      <c r="C521" s="13"/>
      <c r="D521" s="13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</row>
    <row r="522" spans="1:18" ht="19.5" customHeight="1" x14ac:dyDescent="0.25">
      <c r="A522" s="7"/>
      <c r="B522" s="7"/>
      <c r="C522" s="13"/>
      <c r="D522" s="13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</row>
    <row r="523" spans="1:18" ht="19.5" customHeight="1" x14ac:dyDescent="0.25">
      <c r="A523" s="7"/>
      <c r="B523" s="7"/>
      <c r="C523" s="13"/>
      <c r="D523" s="13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</row>
    <row r="524" spans="1:18" ht="19.5" customHeight="1" x14ac:dyDescent="0.25">
      <c r="A524" s="7"/>
      <c r="B524" s="7"/>
      <c r="C524" s="13"/>
      <c r="D524" s="13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</row>
    <row r="525" spans="1:18" ht="19.5" customHeight="1" x14ac:dyDescent="0.25">
      <c r="A525" s="7"/>
      <c r="B525" s="7"/>
      <c r="C525" s="13"/>
      <c r="D525" s="13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</row>
    <row r="526" spans="1:18" ht="19.5" customHeight="1" x14ac:dyDescent="0.25">
      <c r="A526" s="7"/>
      <c r="B526" s="7"/>
      <c r="C526" s="13"/>
      <c r="D526" s="13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</row>
    <row r="527" spans="1:18" ht="19.5" customHeight="1" x14ac:dyDescent="0.25">
      <c r="A527" s="7"/>
      <c r="B527" s="7"/>
      <c r="C527" s="13"/>
      <c r="D527" s="13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</row>
    <row r="528" spans="1:18" ht="19.5" customHeight="1" x14ac:dyDescent="0.25">
      <c r="A528" s="7"/>
      <c r="B528" s="7"/>
      <c r="C528" s="13"/>
      <c r="D528" s="13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</row>
    <row r="529" spans="1:18" ht="19.5" customHeight="1" x14ac:dyDescent="0.25">
      <c r="A529" s="7"/>
      <c r="B529" s="7"/>
      <c r="C529" s="13"/>
      <c r="D529" s="13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</row>
    <row r="530" spans="1:18" ht="19.5" customHeight="1" x14ac:dyDescent="0.25">
      <c r="A530" s="7"/>
      <c r="B530" s="7"/>
      <c r="C530" s="13"/>
      <c r="D530" s="13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</row>
    <row r="531" spans="1:18" ht="19.5" customHeight="1" x14ac:dyDescent="0.25">
      <c r="A531" s="7"/>
      <c r="B531" s="7"/>
      <c r="C531" s="13"/>
      <c r="D531" s="13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</row>
    <row r="532" spans="1:18" ht="19.5" customHeight="1" x14ac:dyDescent="0.25">
      <c r="A532" s="7"/>
      <c r="B532" s="7"/>
      <c r="C532" s="13"/>
      <c r="D532" s="13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</row>
    <row r="533" spans="1:18" ht="19.5" customHeight="1" x14ac:dyDescent="0.25">
      <c r="A533" s="7"/>
      <c r="B533" s="7"/>
      <c r="C533" s="13"/>
      <c r="D533" s="13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</row>
    <row r="534" spans="1:18" ht="19.5" customHeight="1" x14ac:dyDescent="0.25">
      <c r="A534" s="7"/>
      <c r="B534" s="7"/>
      <c r="C534" s="13"/>
      <c r="D534" s="13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</row>
    <row r="535" spans="1:18" ht="19.5" customHeight="1" x14ac:dyDescent="0.25">
      <c r="A535" s="7"/>
      <c r="B535" s="7"/>
      <c r="C535" s="13"/>
      <c r="D535" s="13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</row>
    <row r="536" spans="1:18" ht="19.5" customHeight="1" x14ac:dyDescent="0.25">
      <c r="A536" s="7"/>
      <c r="B536" s="7"/>
      <c r="C536" s="13"/>
      <c r="D536" s="13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</row>
    <row r="537" spans="1:18" ht="19.5" customHeight="1" x14ac:dyDescent="0.25">
      <c r="A537" s="7"/>
      <c r="B537" s="7"/>
      <c r="C537" s="13"/>
      <c r="D537" s="13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</row>
    <row r="538" spans="1:18" ht="19.5" customHeight="1" x14ac:dyDescent="0.25">
      <c r="A538" s="7"/>
      <c r="B538" s="7"/>
      <c r="C538" s="13"/>
      <c r="D538" s="13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</row>
    <row r="539" spans="1:18" ht="19.5" customHeight="1" x14ac:dyDescent="0.25">
      <c r="A539" s="7"/>
      <c r="B539" s="7"/>
      <c r="C539" s="13"/>
      <c r="D539" s="13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</row>
    <row r="540" spans="1:18" ht="19.5" customHeight="1" x14ac:dyDescent="0.25">
      <c r="A540" s="7"/>
      <c r="B540" s="7"/>
      <c r="C540" s="13"/>
      <c r="D540" s="13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</row>
    <row r="541" spans="1:18" ht="19.5" customHeight="1" x14ac:dyDescent="0.25">
      <c r="A541" s="7"/>
      <c r="B541" s="7"/>
      <c r="C541" s="13"/>
      <c r="D541" s="13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</row>
    <row r="542" spans="1:18" ht="19.5" customHeight="1" x14ac:dyDescent="0.25">
      <c r="A542" s="7"/>
      <c r="B542" s="7"/>
      <c r="C542" s="13"/>
      <c r="D542" s="13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</row>
    <row r="543" spans="1:18" ht="19.5" customHeight="1" x14ac:dyDescent="0.25">
      <c r="A543" s="7"/>
      <c r="B543" s="7"/>
      <c r="C543" s="13"/>
      <c r="D543" s="13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</row>
    <row r="544" spans="1:18" ht="19.5" customHeight="1" x14ac:dyDescent="0.25">
      <c r="A544" s="7"/>
      <c r="B544" s="7"/>
      <c r="C544" s="13"/>
      <c r="D544" s="13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</row>
    <row r="545" spans="1:18" ht="19.5" customHeight="1" x14ac:dyDescent="0.25">
      <c r="A545" s="7"/>
      <c r="B545" s="7"/>
      <c r="C545" s="13"/>
      <c r="D545" s="13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</row>
    <row r="546" spans="1:18" ht="19.5" customHeight="1" x14ac:dyDescent="0.25">
      <c r="A546" s="7"/>
      <c r="B546" s="7"/>
      <c r="C546" s="13"/>
      <c r="D546" s="13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</row>
    <row r="547" spans="1:18" ht="19.5" customHeight="1" x14ac:dyDescent="0.25">
      <c r="A547" s="7"/>
      <c r="B547" s="7"/>
      <c r="C547" s="13"/>
      <c r="D547" s="13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</row>
    <row r="548" spans="1:18" ht="19.5" customHeight="1" x14ac:dyDescent="0.25">
      <c r="A548" s="7"/>
      <c r="B548" s="7"/>
      <c r="C548" s="13"/>
      <c r="D548" s="13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</row>
    <row r="549" spans="1:18" ht="19.5" customHeight="1" x14ac:dyDescent="0.25">
      <c r="A549" s="7"/>
      <c r="B549" s="7"/>
      <c r="C549" s="13"/>
      <c r="D549" s="13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</row>
    <row r="550" spans="1:18" ht="19.5" customHeight="1" x14ac:dyDescent="0.25">
      <c r="A550" s="7"/>
      <c r="B550" s="7"/>
      <c r="C550" s="13"/>
      <c r="D550" s="13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</row>
    <row r="551" spans="1:18" ht="19.5" customHeight="1" x14ac:dyDescent="0.25">
      <c r="A551" s="7"/>
      <c r="B551" s="7"/>
      <c r="C551" s="13"/>
      <c r="D551" s="13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</row>
    <row r="552" spans="1:18" ht="19.5" customHeight="1" x14ac:dyDescent="0.25">
      <c r="A552" s="7"/>
      <c r="B552" s="7"/>
      <c r="C552" s="13"/>
      <c r="D552" s="13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</row>
    <row r="553" spans="1:18" ht="19.5" customHeight="1" x14ac:dyDescent="0.25">
      <c r="A553" s="7"/>
      <c r="B553" s="7"/>
      <c r="C553" s="13"/>
      <c r="D553" s="13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</row>
    <row r="554" spans="1:18" ht="19.5" customHeight="1" x14ac:dyDescent="0.25">
      <c r="A554" s="7"/>
      <c r="B554" s="7"/>
      <c r="C554" s="13"/>
      <c r="D554" s="13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</row>
    <row r="555" spans="1:18" ht="19.5" customHeight="1" x14ac:dyDescent="0.25">
      <c r="A555" s="7"/>
      <c r="B555" s="7"/>
      <c r="C555" s="13"/>
      <c r="D555" s="13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</row>
    <row r="556" spans="1:18" ht="19.5" customHeight="1" x14ac:dyDescent="0.25">
      <c r="A556" s="7"/>
      <c r="B556" s="7"/>
      <c r="C556" s="13"/>
      <c r="D556" s="13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</row>
    <row r="557" spans="1:18" ht="19.5" customHeight="1" x14ac:dyDescent="0.25">
      <c r="A557" s="7"/>
      <c r="B557" s="7"/>
      <c r="C557" s="13"/>
      <c r="D557" s="13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</row>
    <row r="558" spans="1:18" ht="19.5" customHeight="1" x14ac:dyDescent="0.25">
      <c r="A558" s="7"/>
      <c r="B558" s="7"/>
      <c r="C558" s="13"/>
      <c r="D558" s="13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</row>
    <row r="559" spans="1:18" ht="19.5" customHeight="1" x14ac:dyDescent="0.25">
      <c r="A559" s="7"/>
      <c r="B559" s="7"/>
      <c r="C559" s="13"/>
      <c r="D559" s="13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</row>
    <row r="560" spans="1:18" ht="19.5" customHeight="1" x14ac:dyDescent="0.25">
      <c r="A560" s="7"/>
      <c r="B560" s="7"/>
      <c r="C560" s="13"/>
      <c r="D560" s="13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</row>
    <row r="561" spans="1:18" ht="19.5" customHeight="1" x14ac:dyDescent="0.25">
      <c r="A561" s="7"/>
      <c r="B561" s="7"/>
      <c r="C561" s="13"/>
      <c r="D561" s="13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</row>
    <row r="562" spans="1:18" ht="19.5" customHeight="1" x14ac:dyDescent="0.25">
      <c r="A562" s="7"/>
      <c r="B562" s="7"/>
      <c r="C562" s="13"/>
      <c r="D562" s="13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</row>
    <row r="563" spans="1:18" ht="19.5" customHeight="1" x14ac:dyDescent="0.25">
      <c r="A563" s="7"/>
      <c r="B563" s="7"/>
      <c r="C563" s="13"/>
      <c r="D563" s="13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</row>
    <row r="564" spans="1:18" ht="19.5" customHeight="1" x14ac:dyDescent="0.25">
      <c r="A564" s="7"/>
      <c r="B564" s="7"/>
      <c r="C564" s="13"/>
      <c r="D564" s="13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</row>
    <row r="565" spans="1:18" ht="19.5" customHeight="1" x14ac:dyDescent="0.25">
      <c r="A565" s="7"/>
      <c r="B565" s="7"/>
      <c r="C565" s="13"/>
      <c r="D565" s="13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</row>
    <row r="566" spans="1:18" ht="19.5" customHeight="1" x14ac:dyDescent="0.25">
      <c r="A566" s="7"/>
      <c r="B566" s="7"/>
      <c r="C566" s="13"/>
      <c r="D566" s="13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</row>
    <row r="567" spans="1:18" ht="19.5" customHeight="1" x14ac:dyDescent="0.25">
      <c r="A567" s="7"/>
      <c r="B567" s="7"/>
      <c r="C567" s="13"/>
      <c r="D567" s="13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</row>
    <row r="568" spans="1:18" ht="19.5" customHeight="1" x14ac:dyDescent="0.25">
      <c r="A568" s="7"/>
      <c r="B568" s="7"/>
      <c r="C568" s="13"/>
      <c r="D568" s="13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</row>
    <row r="569" spans="1:18" ht="19.5" customHeight="1" x14ac:dyDescent="0.25">
      <c r="A569" s="7"/>
      <c r="B569" s="7"/>
      <c r="C569" s="13"/>
      <c r="D569" s="13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</row>
    <row r="570" spans="1:18" ht="19.5" customHeight="1" x14ac:dyDescent="0.25">
      <c r="A570" s="7"/>
      <c r="B570" s="7"/>
      <c r="C570" s="13"/>
      <c r="D570" s="13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</row>
    <row r="571" spans="1:18" ht="19.5" customHeight="1" x14ac:dyDescent="0.25">
      <c r="A571" s="7"/>
      <c r="B571" s="7"/>
      <c r="C571" s="13"/>
      <c r="D571" s="13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</row>
    <row r="572" spans="1:18" ht="19.5" customHeight="1" x14ac:dyDescent="0.25">
      <c r="A572" s="7"/>
      <c r="B572" s="7"/>
      <c r="C572" s="13"/>
      <c r="D572" s="13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</row>
    <row r="573" spans="1:18" ht="19.5" customHeight="1" x14ac:dyDescent="0.25">
      <c r="A573" s="7"/>
      <c r="B573" s="7"/>
      <c r="C573" s="13"/>
      <c r="D573" s="13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</row>
    <row r="574" spans="1:18" ht="19.5" customHeight="1" x14ac:dyDescent="0.25">
      <c r="A574" s="7"/>
      <c r="B574" s="7"/>
      <c r="C574" s="13"/>
      <c r="D574" s="13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</row>
    <row r="575" spans="1:18" ht="19.5" customHeight="1" x14ac:dyDescent="0.25">
      <c r="A575" s="7"/>
      <c r="B575" s="7"/>
      <c r="C575" s="13"/>
      <c r="D575" s="13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</row>
    <row r="576" spans="1:18" ht="19.5" customHeight="1" x14ac:dyDescent="0.25">
      <c r="A576" s="7"/>
      <c r="B576" s="7"/>
      <c r="C576" s="13"/>
      <c r="D576" s="13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</row>
    <row r="577" spans="1:18" ht="19.5" customHeight="1" x14ac:dyDescent="0.25">
      <c r="A577" s="7"/>
      <c r="B577" s="7"/>
      <c r="C577" s="13"/>
      <c r="D577" s="13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</row>
    <row r="578" spans="1:18" ht="19.5" customHeight="1" x14ac:dyDescent="0.25">
      <c r="A578" s="7"/>
      <c r="B578" s="7"/>
      <c r="C578" s="13"/>
      <c r="D578" s="13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</row>
    <row r="579" spans="1:18" ht="19.5" customHeight="1" x14ac:dyDescent="0.25">
      <c r="A579" s="7"/>
      <c r="B579" s="7"/>
      <c r="C579" s="13"/>
      <c r="D579" s="13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</row>
    <row r="580" spans="1:18" ht="19.5" customHeight="1" x14ac:dyDescent="0.25">
      <c r="A580" s="7"/>
      <c r="B580" s="7"/>
      <c r="C580" s="13"/>
      <c r="D580" s="13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</row>
    <row r="581" spans="1:18" ht="19.5" customHeight="1" x14ac:dyDescent="0.25">
      <c r="A581" s="7"/>
      <c r="B581" s="7"/>
      <c r="C581" s="13"/>
      <c r="D581" s="13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</row>
    <row r="582" spans="1:18" ht="19.5" customHeight="1" x14ac:dyDescent="0.25">
      <c r="A582" s="7"/>
      <c r="B582" s="7"/>
      <c r="C582" s="13"/>
      <c r="D582" s="13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</row>
    <row r="583" spans="1:18" ht="19.5" customHeight="1" x14ac:dyDescent="0.25">
      <c r="A583" s="7"/>
      <c r="B583" s="7"/>
      <c r="C583" s="13"/>
      <c r="D583" s="13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</row>
    <row r="584" spans="1:18" ht="19.5" customHeight="1" x14ac:dyDescent="0.25">
      <c r="A584" s="7"/>
      <c r="B584" s="7"/>
      <c r="C584" s="13"/>
      <c r="D584" s="13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</row>
    <row r="585" spans="1:18" ht="19.5" customHeight="1" x14ac:dyDescent="0.25">
      <c r="A585" s="7"/>
      <c r="B585" s="7"/>
      <c r="C585" s="13"/>
      <c r="D585" s="13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</row>
    <row r="586" spans="1:18" ht="19.5" customHeight="1" x14ac:dyDescent="0.25">
      <c r="A586" s="7"/>
      <c r="B586" s="7"/>
      <c r="C586" s="13"/>
      <c r="D586" s="13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</row>
    <row r="587" spans="1:18" ht="19.5" customHeight="1" x14ac:dyDescent="0.25">
      <c r="A587" s="7"/>
      <c r="B587" s="7"/>
      <c r="C587" s="13"/>
      <c r="D587" s="13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</row>
    <row r="588" spans="1:18" ht="19.5" customHeight="1" x14ac:dyDescent="0.25">
      <c r="A588" s="7"/>
      <c r="B588" s="7"/>
      <c r="C588" s="13"/>
      <c r="D588" s="13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</row>
    <row r="589" spans="1:18" ht="19.5" customHeight="1" x14ac:dyDescent="0.25">
      <c r="A589" s="7"/>
      <c r="B589" s="7"/>
      <c r="C589" s="13"/>
      <c r="D589" s="13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</row>
    <row r="590" spans="1:18" ht="19.5" customHeight="1" x14ac:dyDescent="0.25">
      <c r="A590" s="7"/>
      <c r="B590" s="7"/>
      <c r="C590" s="13"/>
      <c r="D590" s="13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</row>
    <row r="591" spans="1:18" ht="19.5" customHeight="1" x14ac:dyDescent="0.25">
      <c r="A591" s="7"/>
      <c r="B591" s="7"/>
      <c r="C591" s="13"/>
      <c r="D591" s="13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</row>
    <row r="592" spans="1:18" ht="19.5" customHeight="1" x14ac:dyDescent="0.25">
      <c r="A592" s="7"/>
      <c r="B592" s="7"/>
      <c r="C592" s="13"/>
      <c r="D592" s="13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</row>
    <row r="593" spans="1:18" ht="19.5" customHeight="1" x14ac:dyDescent="0.25">
      <c r="A593" s="7"/>
      <c r="B593" s="7"/>
      <c r="C593" s="13"/>
      <c r="D593" s="13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</row>
    <row r="594" spans="1:18" ht="19.5" customHeight="1" x14ac:dyDescent="0.25">
      <c r="A594" s="7"/>
      <c r="B594" s="7"/>
      <c r="C594" s="13"/>
      <c r="D594" s="13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</row>
    <row r="595" spans="1:18" ht="19.5" customHeight="1" x14ac:dyDescent="0.25">
      <c r="A595" s="7"/>
      <c r="B595" s="7"/>
      <c r="C595" s="13"/>
      <c r="D595" s="13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</row>
    <row r="596" spans="1:18" ht="19.5" customHeight="1" x14ac:dyDescent="0.25">
      <c r="A596" s="7"/>
      <c r="B596" s="7"/>
      <c r="C596" s="13"/>
      <c r="D596" s="13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</row>
    <row r="597" spans="1:18" ht="19.5" customHeight="1" x14ac:dyDescent="0.25">
      <c r="A597" s="7"/>
      <c r="B597" s="7"/>
      <c r="C597" s="13"/>
      <c r="D597" s="13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</row>
    <row r="598" spans="1:18" ht="19.5" customHeight="1" x14ac:dyDescent="0.25">
      <c r="A598" s="7"/>
      <c r="B598" s="7"/>
      <c r="C598" s="13"/>
      <c r="D598" s="13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</row>
    <row r="599" spans="1:18" ht="19.5" customHeight="1" x14ac:dyDescent="0.25">
      <c r="A599" s="7"/>
      <c r="B599" s="7"/>
      <c r="C599" s="13"/>
      <c r="D599" s="13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</row>
    <row r="600" spans="1:18" ht="19.5" customHeight="1" x14ac:dyDescent="0.25">
      <c r="A600" s="7"/>
      <c r="B600" s="7"/>
      <c r="C600" s="13"/>
      <c r="D600" s="13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</row>
    <row r="601" spans="1:18" ht="19.5" customHeight="1" x14ac:dyDescent="0.25">
      <c r="A601" s="7"/>
      <c r="B601" s="7"/>
      <c r="C601" s="13"/>
      <c r="D601" s="13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</row>
    <row r="602" spans="1:18" ht="19.5" customHeight="1" x14ac:dyDescent="0.25">
      <c r="A602" s="7"/>
      <c r="B602" s="7"/>
      <c r="C602" s="13"/>
      <c r="D602" s="13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</row>
    <row r="603" spans="1:18" ht="19.5" customHeight="1" x14ac:dyDescent="0.25">
      <c r="A603" s="7"/>
      <c r="B603" s="7"/>
      <c r="C603" s="13"/>
      <c r="D603" s="13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</row>
    <row r="604" spans="1:18" ht="19.5" customHeight="1" x14ac:dyDescent="0.25">
      <c r="A604" s="7"/>
      <c r="B604" s="7"/>
      <c r="C604" s="13"/>
      <c r="D604" s="13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</row>
    <row r="605" spans="1:18" ht="19.5" customHeight="1" x14ac:dyDescent="0.25">
      <c r="A605" s="7"/>
      <c r="B605" s="7"/>
      <c r="C605" s="13"/>
      <c r="D605" s="13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</row>
    <row r="606" spans="1:18" ht="19.5" customHeight="1" x14ac:dyDescent="0.25">
      <c r="A606" s="7"/>
      <c r="B606" s="7"/>
      <c r="C606" s="13"/>
      <c r="D606" s="13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</row>
    <row r="607" spans="1:18" ht="19.5" customHeight="1" x14ac:dyDescent="0.25">
      <c r="A607" s="7"/>
      <c r="B607" s="7"/>
      <c r="C607" s="13"/>
      <c r="D607" s="13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</row>
    <row r="608" spans="1:18" ht="19.5" customHeight="1" x14ac:dyDescent="0.25">
      <c r="A608" s="7"/>
      <c r="B608" s="7"/>
      <c r="C608" s="13"/>
      <c r="D608" s="13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</row>
    <row r="609" spans="1:18" ht="19.5" customHeight="1" x14ac:dyDescent="0.25">
      <c r="A609" s="7"/>
      <c r="B609" s="7"/>
      <c r="C609" s="13"/>
      <c r="D609" s="13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</row>
    <row r="610" spans="1:18" ht="19.5" customHeight="1" x14ac:dyDescent="0.25">
      <c r="A610" s="7"/>
      <c r="B610" s="7"/>
      <c r="C610" s="13"/>
      <c r="D610" s="13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</row>
    <row r="611" spans="1:18" ht="19.5" customHeight="1" x14ac:dyDescent="0.25">
      <c r="A611" s="7"/>
      <c r="B611" s="7"/>
      <c r="C611" s="13"/>
      <c r="D611" s="13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</row>
    <row r="612" spans="1:18" ht="19.5" customHeight="1" x14ac:dyDescent="0.25">
      <c r="A612" s="7"/>
      <c r="B612" s="7"/>
      <c r="C612" s="13"/>
      <c r="D612" s="13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</row>
    <row r="613" spans="1:18" ht="19.5" customHeight="1" x14ac:dyDescent="0.25">
      <c r="A613" s="7"/>
      <c r="B613" s="7"/>
      <c r="C613" s="13"/>
      <c r="D613" s="13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</row>
    <row r="614" spans="1:18" ht="19.5" customHeight="1" x14ac:dyDescent="0.25">
      <c r="A614" s="7"/>
      <c r="B614" s="7"/>
      <c r="C614" s="13"/>
      <c r="D614" s="13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</row>
    <row r="615" spans="1:18" ht="19.5" customHeight="1" x14ac:dyDescent="0.25">
      <c r="A615" s="7"/>
      <c r="B615" s="7"/>
      <c r="C615" s="13"/>
      <c r="D615" s="13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</row>
    <row r="616" spans="1:18" ht="19.5" customHeight="1" x14ac:dyDescent="0.25">
      <c r="A616" s="7"/>
      <c r="B616" s="7"/>
      <c r="C616" s="13"/>
      <c r="D616" s="13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</row>
    <row r="617" spans="1:18" ht="19.5" customHeight="1" x14ac:dyDescent="0.25">
      <c r="A617" s="7"/>
      <c r="B617" s="7"/>
      <c r="C617" s="13"/>
      <c r="D617" s="13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</row>
    <row r="618" spans="1:18" ht="19.5" customHeight="1" x14ac:dyDescent="0.25">
      <c r="A618" s="7"/>
      <c r="B618" s="7"/>
      <c r="C618" s="13"/>
      <c r="D618" s="13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</row>
    <row r="619" spans="1:18" ht="19.5" customHeight="1" x14ac:dyDescent="0.25">
      <c r="A619" s="7"/>
      <c r="B619" s="7"/>
      <c r="C619" s="13"/>
      <c r="D619" s="13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</row>
    <row r="620" spans="1:18" ht="19.5" customHeight="1" x14ac:dyDescent="0.25">
      <c r="A620" s="7"/>
      <c r="B620" s="7"/>
      <c r="C620" s="13"/>
      <c r="D620" s="13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</row>
    <row r="621" spans="1:18" ht="19.5" customHeight="1" x14ac:dyDescent="0.25">
      <c r="A621" s="7"/>
      <c r="B621" s="7"/>
      <c r="C621" s="13"/>
      <c r="D621" s="13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</row>
    <row r="622" spans="1:18" ht="19.5" customHeight="1" x14ac:dyDescent="0.25">
      <c r="A622" s="7"/>
      <c r="B622" s="7"/>
      <c r="C622" s="13"/>
      <c r="D622" s="13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</row>
    <row r="623" spans="1:18" ht="19.5" customHeight="1" x14ac:dyDescent="0.25">
      <c r="A623" s="7"/>
      <c r="B623" s="7"/>
      <c r="C623" s="13"/>
      <c r="D623" s="13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</row>
    <row r="624" spans="1:18" ht="19.5" customHeight="1" x14ac:dyDescent="0.25">
      <c r="A624" s="7"/>
      <c r="B624" s="7"/>
      <c r="C624" s="13"/>
      <c r="D624" s="13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</row>
    <row r="625" spans="1:18" ht="19.5" customHeight="1" x14ac:dyDescent="0.25">
      <c r="A625" s="7"/>
      <c r="B625" s="7"/>
      <c r="C625" s="13"/>
      <c r="D625" s="13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</row>
    <row r="626" spans="1:18" ht="19.5" customHeight="1" x14ac:dyDescent="0.25">
      <c r="A626" s="7"/>
      <c r="B626" s="7"/>
      <c r="C626" s="13"/>
      <c r="D626" s="13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</row>
    <row r="627" spans="1:18" ht="19.5" customHeight="1" x14ac:dyDescent="0.25">
      <c r="A627" s="7"/>
      <c r="B627" s="7"/>
      <c r="C627" s="13"/>
      <c r="D627" s="13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</row>
    <row r="628" spans="1:18" ht="19.5" customHeight="1" x14ac:dyDescent="0.25">
      <c r="A628" s="7"/>
      <c r="B628" s="7"/>
      <c r="C628" s="13"/>
      <c r="D628" s="13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</row>
    <row r="629" spans="1:18" ht="19.5" customHeight="1" x14ac:dyDescent="0.25">
      <c r="A629" s="7"/>
      <c r="B629" s="7"/>
      <c r="C629" s="13"/>
      <c r="D629" s="13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</row>
    <row r="630" spans="1:18" ht="19.5" customHeight="1" x14ac:dyDescent="0.25">
      <c r="A630" s="7"/>
      <c r="B630" s="7"/>
      <c r="C630" s="13"/>
      <c r="D630" s="13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</row>
    <row r="631" spans="1:18" ht="19.5" customHeight="1" x14ac:dyDescent="0.25">
      <c r="A631" s="7"/>
      <c r="B631" s="7"/>
      <c r="C631" s="13"/>
      <c r="D631" s="13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</row>
    <row r="632" spans="1:18" ht="19.5" customHeight="1" x14ac:dyDescent="0.25">
      <c r="A632" s="7"/>
      <c r="B632" s="7"/>
      <c r="C632" s="13"/>
      <c r="D632" s="13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</row>
    <row r="633" spans="1:18" ht="19.5" customHeight="1" x14ac:dyDescent="0.25">
      <c r="A633" s="7"/>
      <c r="B633" s="7"/>
      <c r="C633" s="13"/>
      <c r="D633" s="13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</row>
    <row r="634" spans="1:18" ht="19.5" customHeight="1" x14ac:dyDescent="0.25">
      <c r="A634" s="7"/>
      <c r="B634" s="7"/>
      <c r="C634" s="13"/>
      <c r="D634" s="13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</row>
    <row r="635" spans="1:18" ht="19.5" customHeight="1" x14ac:dyDescent="0.25">
      <c r="A635" s="7"/>
      <c r="B635" s="7"/>
      <c r="C635" s="13"/>
      <c r="D635" s="13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</row>
    <row r="636" spans="1:18" ht="19.5" customHeight="1" x14ac:dyDescent="0.25">
      <c r="A636" s="7"/>
      <c r="B636" s="7"/>
      <c r="C636" s="13"/>
      <c r="D636" s="13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</row>
    <row r="637" spans="1:18" ht="19.5" customHeight="1" x14ac:dyDescent="0.25">
      <c r="A637" s="7"/>
      <c r="B637" s="7"/>
      <c r="C637" s="13"/>
      <c r="D637" s="13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</row>
    <row r="638" spans="1:18" ht="19.5" customHeight="1" x14ac:dyDescent="0.25">
      <c r="A638" s="7"/>
      <c r="B638" s="7"/>
      <c r="C638" s="13"/>
      <c r="D638" s="13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</row>
    <row r="639" spans="1:18" ht="19.5" customHeight="1" x14ac:dyDescent="0.25">
      <c r="A639" s="7"/>
      <c r="B639" s="7"/>
      <c r="C639" s="13"/>
      <c r="D639" s="13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</row>
    <row r="640" spans="1:18" ht="19.5" customHeight="1" x14ac:dyDescent="0.25">
      <c r="A640" s="7"/>
      <c r="B640" s="7"/>
      <c r="C640" s="13"/>
      <c r="D640" s="13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</row>
    <row r="641" spans="1:18" ht="19.5" customHeight="1" x14ac:dyDescent="0.25">
      <c r="A641" s="7"/>
      <c r="B641" s="7"/>
      <c r="C641" s="13"/>
      <c r="D641" s="13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</row>
    <row r="642" spans="1:18" ht="19.5" customHeight="1" x14ac:dyDescent="0.25">
      <c r="A642" s="7"/>
      <c r="B642" s="7"/>
      <c r="C642" s="13"/>
      <c r="D642" s="13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</row>
    <row r="643" spans="1:18" ht="19.5" customHeight="1" x14ac:dyDescent="0.25">
      <c r="A643" s="7"/>
      <c r="B643" s="7"/>
      <c r="C643" s="13"/>
      <c r="D643" s="13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</row>
    <row r="644" spans="1:18" ht="19.5" customHeight="1" x14ac:dyDescent="0.25">
      <c r="A644" s="7"/>
      <c r="B644" s="7"/>
      <c r="C644" s="13"/>
      <c r="D644" s="13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</row>
    <row r="645" spans="1:18" ht="19.5" customHeight="1" x14ac:dyDescent="0.25">
      <c r="A645" s="7"/>
      <c r="B645" s="7"/>
      <c r="C645" s="13"/>
      <c r="D645" s="13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</row>
    <row r="646" spans="1:18" ht="19.5" customHeight="1" x14ac:dyDescent="0.25">
      <c r="A646" s="7"/>
      <c r="B646" s="7"/>
      <c r="C646" s="13"/>
      <c r="D646" s="13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</row>
    <row r="647" spans="1:18" ht="19.5" customHeight="1" x14ac:dyDescent="0.25">
      <c r="A647" s="7"/>
      <c r="B647" s="7"/>
      <c r="C647" s="13"/>
      <c r="D647" s="13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</row>
    <row r="648" spans="1:18" ht="19.5" customHeight="1" x14ac:dyDescent="0.25">
      <c r="A648" s="7"/>
      <c r="B648" s="7"/>
      <c r="C648" s="13"/>
      <c r="D648" s="13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</row>
    <row r="649" spans="1:18" ht="19.5" customHeight="1" x14ac:dyDescent="0.25">
      <c r="A649" s="7"/>
      <c r="B649" s="7"/>
      <c r="C649" s="13"/>
      <c r="D649" s="13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</row>
    <row r="650" spans="1:18" ht="19.5" customHeight="1" x14ac:dyDescent="0.25">
      <c r="A650" s="7"/>
      <c r="B650" s="7"/>
      <c r="C650" s="13"/>
      <c r="D650" s="13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</row>
    <row r="651" spans="1:18" ht="19.5" customHeight="1" x14ac:dyDescent="0.25">
      <c r="A651" s="7"/>
      <c r="B651" s="7"/>
      <c r="C651" s="13"/>
      <c r="D651" s="13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</row>
    <row r="652" spans="1:18" ht="19.5" customHeight="1" x14ac:dyDescent="0.25">
      <c r="A652" s="7"/>
      <c r="B652" s="7"/>
      <c r="C652" s="13"/>
      <c r="D652" s="13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</row>
    <row r="653" spans="1:18" ht="19.5" customHeight="1" x14ac:dyDescent="0.25">
      <c r="A653" s="7"/>
      <c r="B653" s="7"/>
      <c r="C653" s="13"/>
      <c r="D653" s="13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</row>
    <row r="654" spans="1:18" ht="19.5" customHeight="1" x14ac:dyDescent="0.25">
      <c r="A654" s="7"/>
      <c r="B654" s="7"/>
      <c r="C654" s="13"/>
      <c r="D654" s="13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</row>
    <row r="655" spans="1:18" ht="19.5" customHeight="1" x14ac:dyDescent="0.25">
      <c r="A655" s="7"/>
      <c r="B655" s="7"/>
      <c r="C655" s="13"/>
      <c r="D655" s="13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</row>
    <row r="656" spans="1:18" ht="19.5" customHeight="1" x14ac:dyDescent="0.25">
      <c r="A656" s="7"/>
      <c r="B656" s="7"/>
      <c r="C656" s="13"/>
      <c r="D656" s="13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</row>
    <row r="657" spans="1:18" ht="19.5" customHeight="1" x14ac:dyDescent="0.25">
      <c r="A657" s="7"/>
      <c r="B657" s="7"/>
      <c r="C657" s="13"/>
      <c r="D657" s="13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</row>
    <row r="658" spans="1:18" ht="19.5" customHeight="1" x14ac:dyDescent="0.25">
      <c r="A658" s="7"/>
      <c r="B658" s="7"/>
      <c r="C658" s="13"/>
      <c r="D658" s="13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</row>
    <row r="659" spans="1:18" ht="19.5" customHeight="1" x14ac:dyDescent="0.25">
      <c r="A659" s="7"/>
      <c r="B659" s="7"/>
      <c r="C659" s="13"/>
      <c r="D659" s="13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</row>
    <row r="660" spans="1:18" ht="19.5" customHeight="1" x14ac:dyDescent="0.25">
      <c r="A660" s="7"/>
      <c r="B660" s="7"/>
      <c r="C660" s="13"/>
      <c r="D660" s="13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</row>
    <row r="661" spans="1:18" ht="19.5" customHeight="1" x14ac:dyDescent="0.25">
      <c r="A661" s="7"/>
      <c r="B661" s="7"/>
      <c r="C661" s="13"/>
      <c r="D661" s="13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</row>
    <row r="662" spans="1:18" ht="19.5" customHeight="1" x14ac:dyDescent="0.25">
      <c r="A662" s="7"/>
      <c r="B662" s="7"/>
      <c r="C662" s="13"/>
      <c r="D662" s="13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</row>
    <row r="663" spans="1:18" ht="19.5" customHeight="1" x14ac:dyDescent="0.25">
      <c r="A663" s="7"/>
      <c r="B663" s="7"/>
      <c r="C663" s="13"/>
      <c r="D663" s="13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</row>
    <row r="664" spans="1:18" ht="19.5" customHeight="1" x14ac:dyDescent="0.25">
      <c r="A664" s="7"/>
      <c r="B664" s="7"/>
      <c r="C664" s="13"/>
      <c r="D664" s="13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</row>
    <row r="665" spans="1:18" ht="19.5" customHeight="1" x14ac:dyDescent="0.25">
      <c r="A665" s="7"/>
      <c r="B665" s="7"/>
      <c r="C665" s="13"/>
      <c r="D665" s="13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</row>
    <row r="666" spans="1:18" ht="19.5" customHeight="1" x14ac:dyDescent="0.25">
      <c r="A666" s="7"/>
      <c r="B666" s="7"/>
      <c r="C666" s="13"/>
      <c r="D666" s="13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</row>
    <row r="667" spans="1:18" ht="19.5" customHeight="1" x14ac:dyDescent="0.25">
      <c r="A667" s="7"/>
      <c r="B667" s="7"/>
      <c r="C667" s="13"/>
      <c r="D667" s="13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</row>
    <row r="668" spans="1:18" ht="19.5" customHeight="1" x14ac:dyDescent="0.25">
      <c r="A668" s="7"/>
      <c r="B668" s="7"/>
      <c r="C668" s="13"/>
      <c r="D668" s="13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</row>
    <row r="669" spans="1:18" ht="19.5" customHeight="1" x14ac:dyDescent="0.25">
      <c r="A669" s="7"/>
      <c r="B669" s="7"/>
      <c r="C669" s="13"/>
      <c r="D669" s="13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</row>
    <row r="670" spans="1:18" ht="19.5" customHeight="1" x14ac:dyDescent="0.25">
      <c r="A670" s="7"/>
      <c r="B670" s="7"/>
      <c r="C670" s="13"/>
      <c r="D670" s="13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</row>
    <row r="671" spans="1:18" ht="19.5" customHeight="1" x14ac:dyDescent="0.25">
      <c r="A671" s="7"/>
      <c r="B671" s="7"/>
      <c r="C671" s="13"/>
      <c r="D671" s="13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</row>
    <row r="672" spans="1:18" ht="19.5" customHeight="1" x14ac:dyDescent="0.25">
      <c r="A672" s="7"/>
      <c r="B672" s="7"/>
      <c r="C672" s="13"/>
      <c r="D672" s="13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</row>
    <row r="673" spans="1:18" ht="19.5" customHeight="1" x14ac:dyDescent="0.25">
      <c r="A673" s="7"/>
      <c r="B673" s="7"/>
      <c r="C673" s="13"/>
      <c r="D673" s="13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</row>
    <row r="674" spans="1:18" ht="19.5" customHeight="1" x14ac:dyDescent="0.25">
      <c r="A674" s="7"/>
      <c r="B674" s="7"/>
      <c r="C674" s="13"/>
      <c r="D674" s="13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</row>
    <row r="675" spans="1:18" ht="19.5" customHeight="1" x14ac:dyDescent="0.25">
      <c r="A675" s="7"/>
      <c r="B675" s="7"/>
      <c r="C675" s="13"/>
      <c r="D675" s="13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</row>
    <row r="676" spans="1:18" ht="19.5" customHeight="1" x14ac:dyDescent="0.25">
      <c r="A676" s="7"/>
      <c r="B676" s="7"/>
      <c r="C676" s="13"/>
      <c r="D676" s="13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</row>
    <row r="677" spans="1:18" ht="19.5" customHeight="1" x14ac:dyDescent="0.25">
      <c r="A677" s="7"/>
      <c r="B677" s="7"/>
      <c r="C677" s="13"/>
      <c r="D677" s="13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</row>
    <row r="678" spans="1:18" ht="19.5" customHeight="1" x14ac:dyDescent="0.25">
      <c r="A678" s="7"/>
      <c r="B678" s="7"/>
      <c r="C678" s="13"/>
      <c r="D678" s="13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</row>
    <row r="679" spans="1:18" ht="19.5" customHeight="1" x14ac:dyDescent="0.25">
      <c r="A679" s="7"/>
      <c r="B679" s="7"/>
      <c r="C679" s="13"/>
      <c r="D679" s="13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</row>
    <row r="680" spans="1:18" ht="19.5" customHeight="1" x14ac:dyDescent="0.25">
      <c r="A680" s="7"/>
      <c r="B680" s="7"/>
      <c r="C680" s="13"/>
      <c r="D680" s="13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</row>
    <row r="681" spans="1:18" ht="19.5" customHeight="1" x14ac:dyDescent="0.25">
      <c r="A681" s="7"/>
      <c r="B681" s="7"/>
      <c r="C681" s="13"/>
      <c r="D681" s="13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</row>
    <row r="682" spans="1:18" ht="19.5" customHeight="1" x14ac:dyDescent="0.25">
      <c r="A682" s="7"/>
      <c r="B682" s="7"/>
      <c r="C682" s="13"/>
      <c r="D682" s="13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</row>
    <row r="683" spans="1:18" ht="19.5" customHeight="1" x14ac:dyDescent="0.25">
      <c r="A683" s="7"/>
      <c r="B683" s="7"/>
      <c r="C683" s="13"/>
      <c r="D683" s="13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</row>
    <row r="684" spans="1:18" ht="19.5" customHeight="1" x14ac:dyDescent="0.25">
      <c r="A684" s="7"/>
      <c r="B684" s="7"/>
      <c r="C684" s="13"/>
      <c r="D684" s="13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</row>
    <row r="685" spans="1:18" ht="19.5" customHeight="1" x14ac:dyDescent="0.25">
      <c r="A685" s="7"/>
      <c r="B685" s="7"/>
      <c r="C685" s="13"/>
      <c r="D685" s="13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</row>
    <row r="686" spans="1:18" ht="19.5" customHeight="1" x14ac:dyDescent="0.25">
      <c r="A686" s="7"/>
      <c r="B686" s="7"/>
      <c r="C686" s="13"/>
      <c r="D686" s="13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</row>
    <row r="687" spans="1:18" ht="19.5" customHeight="1" x14ac:dyDescent="0.25">
      <c r="A687" s="7"/>
      <c r="B687" s="7"/>
      <c r="C687" s="13"/>
      <c r="D687" s="13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</row>
    <row r="688" spans="1:18" ht="19.5" customHeight="1" x14ac:dyDescent="0.25">
      <c r="A688" s="7"/>
      <c r="B688" s="7"/>
      <c r="C688" s="13"/>
      <c r="D688" s="13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</row>
    <row r="689" spans="1:18" ht="19.5" customHeight="1" x14ac:dyDescent="0.25">
      <c r="A689" s="7"/>
      <c r="B689" s="7"/>
      <c r="C689" s="13"/>
      <c r="D689" s="13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</row>
    <row r="690" spans="1:18" ht="19.5" customHeight="1" x14ac:dyDescent="0.25">
      <c r="A690" s="7"/>
      <c r="B690" s="7"/>
      <c r="C690" s="13"/>
      <c r="D690" s="13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</row>
    <row r="691" spans="1:18" ht="19.5" customHeight="1" x14ac:dyDescent="0.25">
      <c r="A691" s="7"/>
      <c r="B691" s="7"/>
      <c r="C691" s="13"/>
      <c r="D691" s="13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</row>
    <row r="692" spans="1:18" ht="19.5" customHeight="1" x14ac:dyDescent="0.25">
      <c r="A692" s="7"/>
      <c r="B692" s="7"/>
      <c r="C692" s="13"/>
      <c r="D692" s="13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</row>
    <row r="693" spans="1:18" ht="19.5" customHeight="1" x14ac:dyDescent="0.25">
      <c r="A693" s="7"/>
      <c r="B693" s="7"/>
      <c r="C693" s="13"/>
      <c r="D693" s="13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</row>
    <row r="694" spans="1:18" ht="19.5" customHeight="1" x14ac:dyDescent="0.25">
      <c r="A694" s="7"/>
      <c r="B694" s="7"/>
      <c r="C694" s="13"/>
      <c r="D694" s="13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</row>
    <row r="695" spans="1:18" ht="19.5" customHeight="1" x14ac:dyDescent="0.25">
      <c r="A695" s="7"/>
      <c r="B695" s="7"/>
      <c r="C695" s="13"/>
      <c r="D695" s="13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</row>
    <row r="696" spans="1:18" ht="19.5" customHeight="1" x14ac:dyDescent="0.25">
      <c r="A696" s="7"/>
      <c r="B696" s="7"/>
      <c r="C696" s="13"/>
      <c r="D696" s="13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</row>
    <row r="697" spans="1:18" ht="19.5" customHeight="1" x14ac:dyDescent="0.25">
      <c r="A697" s="7"/>
      <c r="B697" s="7"/>
      <c r="C697" s="13"/>
      <c r="D697" s="13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</row>
    <row r="698" spans="1:18" ht="19.5" customHeight="1" x14ac:dyDescent="0.25">
      <c r="A698" s="7"/>
      <c r="B698" s="7"/>
      <c r="C698" s="13"/>
      <c r="D698" s="13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</row>
    <row r="699" spans="1:18" ht="19.5" customHeight="1" x14ac:dyDescent="0.25">
      <c r="A699" s="7"/>
      <c r="B699" s="7"/>
      <c r="C699" s="13"/>
      <c r="D699" s="13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</row>
    <row r="700" spans="1:18" ht="19.5" customHeight="1" x14ac:dyDescent="0.25">
      <c r="A700" s="7"/>
      <c r="B700" s="7"/>
      <c r="C700" s="13"/>
      <c r="D700" s="13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</row>
    <row r="701" spans="1:18" ht="19.5" customHeight="1" x14ac:dyDescent="0.25">
      <c r="A701" s="7"/>
      <c r="B701" s="7"/>
      <c r="C701" s="13"/>
      <c r="D701" s="13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</row>
    <row r="702" spans="1:18" ht="19.5" customHeight="1" x14ac:dyDescent="0.25">
      <c r="A702" s="7"/>
      <c r="B702" s="7"/>
      <c r="C702" s="13"/>
      <c r="D702" s="13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</row>
    <row r="703" spans="1:18" ht="19.5" customHeight="1" x14ac:dyDescent="0.25">
      <c r="A703" s="7"/>
      <c r="B703" s="7"/>
      <c r="C703" s="13"/>
      <c r="D703" s="13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</row>
    <row r="704" spans="1:18" ht="19.5" customHeight="1" x14ac:dyDescent="0.25">
      <c r="A704" s="7"/>
      <c r="B704" s="7"/>
      <c r="C704" s="13"/>
      <c r="D704" s="13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</row>
    <row r="705" spans="1:18" ht="19.5" customHeight="1" x14ac:dyDescent="0.25">
      <c r="A705" s="7"/>
      <c r="B705" s="7"/>
      <c r="C705" s="13"/>
      <c r="D705" s="13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</row>
    <row r="706" spans="1:18" ht="19.5" customHeight="1" x14ac:dyDescent="0.25">
      <c r="A706" s="7"/>
      <c r="B706" s="7"/>
      <c r="C706" s="13"/>
      <c r="D706" s="13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</row>
    <row r="707" spans="1:18" ht="19.5" customHeight="1" x14ac:dyDescent="0.25">
      <c r="A707" s="7"/>
      <c r="B707" s="7"/>
      <c r="C707" s="13"/>
      <c r="D707" s="13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</row>
    <row r="708" spans="1:18" ht="19.5" customHeight="1" x14ac:dyDescent="0.25">
      <c r="A708" s="7"/>
      <c r="B708" s="7"/>
      <c r="C708" s="13"/>
      <c r="D708" s="13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</row>
    <row r="709" spans="1:18" ht="19.5" customHeight="1" x14ac:dyDescent="0.25">
      <c r="A709" s="7"/>
      <c r="B709" s="7"/>
      <c r="C709" s="13"/>
      <c r="D709" s="13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</row>
    <row r="710" spans="1:18" ht="19.5" customHeight="1" x14ac:dyDescent="0.25">
      <c r="A710" s="7"/>
      <c r="B710" s="7"/>
      <c r="C710" s="13"/>
      <c r="D710" s="13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</row>
    <row r="711" spans="1:18" ht="19.5" customHeight="1" x14ac:dyDescent="0.25">
      <c r="A711" s="7"/>
      <c r="B711" s="7"/>
      <c r="C711" s="13"/>
      <c r="D711" s="13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</row>
    <row r="712" spans="1:18" ht="19.5" customHeight="1" x14ac:dyDescent="0.25">
      <c r="A712" s="7"/>
      <c r="B712" s="7"/>
      <c r="C712" s="13"/>
      <c r="D712" s="13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</row>
    <row r="713" spans="1:18" ht="19.5" customHeight="1" x14ac:dyDescent="0.25">
      <c r="A713" s="7"/>
      <c r="B713" s="7"/>
      <c r="C713" s="13"/>
      <c r="D713" s="13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</row>
    <row r="714" spans="1:18" ht="19.5" customHeight="1" x14ac:dyDescent="0.25">
      <c r="A714" s="7"/>
      <c r="B714" s="7"/>
      <c r="C714" s="13"/>
      <c r="D714" s="13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</row>
    <row r="715" spans="1:18" ht="19.5" customHeight="1" x14ac:dyDescent="0.25">
      <c r="A715" s="7"/>
      <c r="B715" s="7"/>
      <c r="C715" s="13"/>
      <c r="D715" s="13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</row>
    <row r="716" spans="1:18" ht="19.5" customHeight="1" x14ac:dyDescent="0.25">
      <c r="A716" s="7"/>
      <c r="B716" s="7"/>
      <c r="C716" s="13"/>
      <c r="D716" s="13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</row>
    <row r="717" spans="1:18" ht="19.5" customHeight="1" x14ac:dyDescent="0.25">
      <c r="A717" s="7"/>
      <c r="B717" s="7"/>
      <c r="C717" s="13"/>
      <c r="D717" s="13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</row>
    <row r="718" spans="1:18" ht="19.5" customHeight="1" x14ac:dyDescent="0.25">
      <c r="A718" s="7"/>
      <c r="B718" s="7"/>
      <c r="C718" s="13"/>
      <c r="D718" s="13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</row>
    <row r="719" spans="1:18" ht="19.5" customHeight="1" x14ac:dyDescent="0.25">
      <c r="A719" s="7"/>
      <c r="B719" s="7"/>
      <c r="C719" s="13"/>
      <c r="D719" s="13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</row>
    <row r="720" spans="1:18" ht="19.5" customHeight="1" x14ac:dyDescent="0.25">
      <c r="A720" s="7"/>
      <c r="B720" s="7"/>
      <c r="C720" s="13"/>
      <c r="D720" s="13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</row>
    <row r="721" spans="1:18" ht="19.5" customHeight="1" x14ac:dyDescent="0.25">
      <c r="A721" s="7"/>
      <c r="B721" s="7"/>
      <c r="C721" s="13"/>
      <c r="D721" s="13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</row>
    <row r="722" spans="1:18" ht="19.5" customHeight="1" x14ac:dyDescent="0.25">
      <c r="A722" s="7"/>
      <c r="B722" s="7"/>
      <c r="C722" s="13"/>
      <c r="D722" s="13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</row>
    <row r="723" spans="1:18" ht="19.5" customHeight="1" x14ac:dyDescent="0.25">
      <c r="A723" s="7"/>
      <c r="B723" s="7"/>
      <c r="C723" s="13"/>
      <c r="D723" s="13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</row>
    <row r="724" spans="1:18" ht="19.5" customHeight="1" x14ac:dyDescent="0.25">
      <c r="A724" s="7"/>
      <c r="B724" s="7"/>
      <c r="C724" s="13"/>
      <c r="D724" s="13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</row>
    <row r="725" spans="1:18" ht="19.5" customHeight="1" x14ac:dyDescent="0.25">
      <c r="A725" s="7"/>
      <c r="B725" s="7"/>
      <c r="C725" s="13"/>
      <c r="D725" s="13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</row>
    <row r="726" spans="1:18" ht="19.5" customHeight="1" x14ac:dyDescent="0.25">
      <c r="A726" s="7"/>
      <c r="B726" s="7"/>
      <c r="C726" s="13"/>
      <c r="D726" s="13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</row>
    <row r="727" spans="1:18" ht="19.5" customHeight="1" x14ac:dyDescent="0.25">
      <c r="A727" s="7"/>
      <c r="B727" s="7"/>
      <c r="C727" s="13"/>
      <c r="D727" s="13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</row>
    <row r="728" spans="1:18" ht="19.5" customHeight="1" x14ac:dyDescent="0.25">
      <c r="A728" s="7"/>
      <c r="B728" s="7"/>
      <c r="C728" s="13"/>
      <c r="D728" s="13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</row>
    <row r="729" spans="1:18" ht="19.5" customHeight="1" x14ac:dyDescent="0.25">
      <c r="A729" s="7"/>
      <c r="B729" s="7"/>
      <c r="C729" s="13"/>
      <c r="D729" s="13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</row>
    <row r="730" spans="1:18" ht="19.5" customHeight="1" x14ac:dyDescent="0.25">
      <c r="A730" s="7"/>
      <c r="B730" s="7"/>
      <c r="C730" s="13"/>
      <c r="D730" s="13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</row>
    <row r="731" spans="1:18" ht="19.5" customHeight="1" x14ac:dyDescent="0.25">
      <c r="A731" s="7"/>
      <c r="B731" s="7"/>
      <c r="C731" s="13"/>
      <c r="D731" s="13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</row>
    <row r="732" spans="1:18" ht="19.5" customHeight="1" x14ac:dyDescent="0.25">
      <c r="A732" s="7"/>
      <c r="B732" s="7"/>
      <c r="C732" s="13"/>
      <c r="D732" s="13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</row>
    <row r="733" spans="1:18" ht="19.5" customHeight="1" x14ac:dyDescent="0.25">
      <c r="A733" s="7"/>
      <c r="B733" s="7"/>
      <c r="C733" s="13"/>
      <c r="D733" s="13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</row>
    <row r="734" spans="1:18" ht="19.5" customHeight="1" x14ac:dyDescent="0.25">
      <c r="A734" s="7"/>
      <c r="B734" s="7"/>
      <c r="C734" s="13"/>
      <c r="D734" s="13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</row>
    <row r="735" spans="1:18" ht="19.5" customHeight="1" x14ac:dyDescent="0.25">
      <c r="A735" s="7"/>
      <c r="B735" s="7"/>
      <c r="C735" s="13"/>
      <c r="D735" s="13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</row>
    <row r="736" spans="1:18" ht="19.5" customHeight="1" x14ac:dyDescent="0.25">
      <c r="A736" s="7"/>
      <c r="B736" s="7"/>
      <c r="C736" s="13"/>
      <c r="D736" s="13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</row>
    <row r="737" spans="1:18" ht="19.5" customHeight="1" x14ac:dyDescent="0.25">
      <c r="A737" s="7"/>
      <c r="B737" s="7"/>
      <c r="C737" s="13"/>
      <c r="D737" s="13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</row>
    <row r="738" spans="1:18" ht="19.5" customHeight="1" x14ac:dyDescent="0.25">
      <c r="A738" s="7"/>
      <c r="B738" s="7"/>
      <c r="C738" s="13"/>
      <c r="D738" s="13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</row>
    <row r="739" spans="1:18" ht="19.5" customHeight="1" x14ac:dyDescent="0.25">
      <c r="A739" s="7"/>
      <c r="B739" s="7"/>
      <c r="C739" s="13"/>
      <c r="D739" s="13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</row>
    <row r="740" spans="1:18" ht="19.5" customHeight="1" x14ac:dyDescent="0.25">
      <c r="A740" s="7"/>
      <c r="B740" s="7"/>
      <c r="C740" s="13"/>
      <c r="D740" s="13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</row>
    <row r="741" spans="1:18" ht="19.5" customHeight="1" x14ac:dyDescent="0.25">
      <c r="A741" s="7"/>
      <c r="B741" s="7"/>
      <c r="C741" s="13"/>
      <c r="D741" s="13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</row>
    <row r="742" spans="1:18" ht="19.5" customHeight="1" x14ac:dyDescent="0.25">
      <c r="A742" s="7"/>
      <c r="B742" s="7"/>
      <c r="C742" s="13"/>
      <c r="D742" s="13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</row>
    <row r="743" spans="1:18" ht="19.5" customHeight="1" x14ac:dyDescent="0.25">
      <c r="A743" s="7"/>
      <c r="B743" s="7"/>
      <c r="C743" s="13"/>
      <c r="D743" s="13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</row>
    <row r="744" spans="1:18" ht="19.5" customHeight="1" x14ac:dyDescent="0.25">
      <c r="A744" s="7"/>
      <c r="B744" s="7"/>
      <c r="C744" s="13"/>
      <c r="D744" s="13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</row>
    <row r="745" spans="1:18" ht="19.5" customHeight="1" x14ac:dyDescent="0.25">
      <c r="A745" s="7"/>
      <c r="B745" s="7"/>
      <c r="C745" s="13"/>
      <c r="D745" s="13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</row>
    <row r="746" spans="1:18" ht="19.5" customHeight="1" x14ac:dyDescent="0.25">
      <c r="A746" s="7"/>
      <c r="B746" s="7"/>
      <c r="C746" s="13"/>
      <c r="D746" s="13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</row>
    <row r="747" spans="1:18" ht="19.5" customHeight="1" x14ac:dyDescent="0.25">
      <c r="A747" s="7"/>
      <c r="B747" s="7"/>
      <c r="C747" s="13"/>
      <c r="D747" s="13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</row>
    <row r="748" spans="1:18" ht="19.5" customHeight="1" x14ac:dyDescent="0.25">
      <c r="A748" s="7"/>
      <c r="B748" s="7"/>
      <c r="C748" s="13"/>
      <c r="D748" s="13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</row>
    <row r="749" spans="1:18" ht="19.5" customHeight="1" x14ac:dyDescent="0.25">
      <c r="A749" s="7"/>
      <c r="B749" s="7"/>
      <c r="C749" s="13"/>
      <c r="D749" s="13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</row>
    <row r="750" spans="1:18" ht="19.5" customHeight="1" x14ac:dyDescent="0.25">
      <c r="A750" s="7"/>
      <c r="B750" s="7"/>
      <c r="C750" s="13"/>
      <c r="D750" s="13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</row>
    <row r="751" spans="1:18" ht="19.5" customHeight="1" x14ac:dyDescent="0.25">
      <c r="A751" s="7"/>
      <c r="B751" s="7"/>
      <c r="C751" s="13"/>
      <c r="D751" s="13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</row>
    <row r="752" spans="1:18" ht="19.5" customHeight="1" x14ac:dyDescent="0.25">
      <c r="A752" s="7"/>
      <c r="B752" s="7"/>
      <c r="C752" s="13"/>
      <c r="D752" s="13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</row>
    <row r="753" spans="1:18" ht="19.5" customHeight="1" x14ac:dyDescent="0.25">
      <c r="A753" s="7"/>
      <c r="B753" s="7"/>
      <c r="C753" s="13"/>
      <c r="D753" s="13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</row>
    <row r="754" spans="1:18" ht="19.5" customHeight="1" x14ac:dyDescent="0.25">
      <c r="A754" s="7"/>
      <c r="B754" s="7"/>
      <c r="C754" s="13"/>
      <c r="D754" s="13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</row>
    <row r="755" spans="1:18" ht="19.5" customHeight="1" x14ac:dyDescent="0.25">
      <c r="A755" s="7"/>
      <c r="B755" s="7"/>
      <c r="C755" s="13"/>
      <c r="D755" s="13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</row>
    <row r="756" spans="1:18" ht="19.5" customHeight="1" x14ac:dyDescent="0.25">
      <c r="A756" s="7"/>
      <c r="B756" s="7"/>
      <c r="C756" s="13"/>
      <c r="D756" s="13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</row>
    <row r="757" spans="1:18" ht="19.5" customHeight="1" x14ac:dyDescent="0.25">
      <c r="A757" s="7"/>
      <c r="B757" s="7"/>
      <c r="C757" s="13"/>
      <c r="D757" s="13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</row>
    <row r="758" spans="1:18" ht="19.5" customHeight="1" x14ac:dyDescent="0.25">
      <c r="A758" s="7"/>
      <c r="B758" s="7"/>
      <c r="C758" s="13"/>
      <c r="D758" s="13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</row>
    <row r="759" spans="1:18" ht="19.5" customHeight="1" x14ac:dyDescent="0.25">
      <c r="A759" s="7"/>
      <c r="B759" s="7"/>
      <c r="C759" s="13"/>
      <c r="D759" s="13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</row>
    <row r="760" spans="1:18" ht="19.5" customHeight="1" x14ac:dyDescent="0.25">
      <c r="A760" s="7"/>
      <c r="B760" s="7"/>
      <c r="C760" s="13"/>
      <c r="D760" s="13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</row>
    <row r="761" spans="1:18" ht="19.5" customHeight="1" x14ac:dyDescent="0.25">
      <c r="A761" s="7"/>
      <c r="B761" s="7"/>
      <c r="C761" s="13"/>
      <c r="D761" s="13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</row>
    <row r="762" spans="1:18" ht="19.5" customHeight="1" x14ac:dyDescent="0.25">
      <c r="A762" s="7"/>
      <c r="B762" s="7"/>
      <c r="C762" s="13"/>
      <c r="D762" s="13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</row>
    <row r="763" spans="1:18" ht="19.5" customHeight="1" x14ac:dyDescent="0.25">
      <c r="A763" s="7"/>
      <c r="B763" s="7"/>
      <c r="C763" s="13"/>
      <c r="D763" s="13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</row>
    <row r="764" spans="1:18" ht="19.5" customHeight="1" x14ac:dyDescent="0.25">
      <c r="A764" s="7"/>
      <c r="B764" s="7"/>
      <c r="C764" s="13"/>
      <c r="D764" s="13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</row>
    <row r="765" spans="1:18" ht="19.5" customHeight="1" x14ac:dyDescent="0.25">
      <c r="A765" s="7"/>
      <c r="B765" s="7"/>
      <c r="C765" s="13"/>
      <c r="D765" s="13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</row>
    <row r="766" spans="1:18" ht="19.5" customHeight="1" x14ac:dyDescent="0.25">
      <c r="A766" s="7"/>
      <c r="B766" s="7"/>
      <c r="C766" s="13"/>
      <c r="D766" s="13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</row>
    <row r="767" spans="1:18" ht="19.5" customHeight="1" x14ac:dyDescent="0.25">
      <c r="A767" s="7"/>
      <c r="B767" s="7"/>
      <c r="C767" s="13"/>
      <c r="D767" s="13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</row>
    <row r="768" spans="1:18" ht="19.5" customHeight="1" x14ac:dyDescent="0.25">
      <c r="A768" s="7"/>
      <c r="B768" s="7"/>
      <c r="C768" s="13"/>
      <c r="D768" s="13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</row>
    <row r="769" spans="1:18" ht="19.5" customHeight="1" x14ac:dyDescent="0.25">
      <c r="A769" s="7"/>
      <c r="B769" s="7"/>
      <c r="C769" s="13"/>
      <c r="D769" s="13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</row>
    <row r="770" spans="1:18" ht="19.5" customHeight="1" x14ac:dyDescent="0.25">
      <c r="A770" s="7"/>
      <c r="B770" s="7"/>
      <c r="C770" s="13"/>
      <c r="D770" s="13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</row>
    <row r="771" spans="1:18" ht="19.5" customHeight="1" x14ac:dyDescent="0.25">
      <c r="A771" s="7"/>
      <c r="B771" s="7"/>
      <c r="C771" s="13"/>
      <c r="D771" s="13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</row>
    <row r="772" spans="1:18" ht="19.5" customHeight="1" x14ac:dyDescent="0.25">
      <c r="A772" s="7"/>
      <c r="B772" s="7"/>
      <c r="C772" s="13"/>
      <c r="D772" s="13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</row>
    <row r="773" spans="1:18" ht="19.5" customHeight="1" x14ac:dyDescent="0.25">
      <c r="A773" s="7"/>
      <c r="B773" s="7"/>
      <c r="C773" s="13"/>
      <c r="D773" s="13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</row>
    <row r="774" spans="1:18" ht="19.5" customHeight="1" x14ac:dyDescent="0.25">
      <c r="A774" s="7"/>
      <c r="B774" s="7"/>
      <c r="C774" s="13"/>
      <c r="D774" s="13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</row>
    <row r="775" spans="1:18" ht="19.5" customHeight="1" x14ac:dyDescent="0.25">
      <c r="A775" s="7"/>
      <c r="B775" s="7"/>
      <c r="C775" s="13"/>
      <c r="D775" s="13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</row>
    <row r="776" spans="1:18" ht="19.5" customHeight="1" x14ac:dyDescent="0.25">
      <c r="A776" s="7"/>
      <c r="B776" s="7"/>
      <c r="C776" s="13"/>
      <c r="D776" s="13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</row>
    <row r="777" spans="1:18" ht="19.5" customHeight="1" x14ac:dyDescent="0.25">
      <c r="A777" s="7"/>
      <c r="B777" s="7"/>
      <c r="C777" s="13"/>
      <c r="D777" s="13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</row>
    <row r="778" spans="1:18" ht="19.5" customHeight="1" x14ac:dyDescent="0.25">
      <c r="A778" s="7"/>
      <c r="B778" s="7"/>
      <c r="C778" s="13"/>
      <c r="D778" s="13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</row>
    <row r="779" spans="1:18" ht="19.5" customHeight="1" x14ac:dyDescent="0.25">
      <c r="A779" s="7"/>
      <c r="B779" s="7"/>
      <c r="C779" s="13"/>
      <c r="D779" s="13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</row>
    <row r="780" spans="1:18" ht="19.5" customHeight="1" x14ac:dyDescent="0.25">
      <c r="A780" s="7"/>
      <c r="B780" s="7"/>
      <c r="C780" s="13"/>
      <c r="D780" s="13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</row>
    <row r="781" spans="1:18" ht="19.5" customHeight="1" x14ac:dyDescent="0.25">
      <c r="A781" s="7"/>
      <c r="B781" s="7"/>
      <c r="C781" s="13"/>
      <c r="D781" s="13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</row>
    <row r="782" spans="1:18" ht="19.5" customHeight="1" x14ac:dyDescent="0.25">
      <c r="A782" s="7"/>
      <c r="B782" s="7"/>
      <c r="C782" s="13"/>
      <c r="D782" s="13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</row>
    <row r="783" spans="1:18" ht="19.5" customHeight="1" x14ac:dyDescent="0.25">
      <c r="A783" s="7"/>
      <c r="B783" s="7"/>
      <c r="C783" s="13"/>
      <c r="D783" s="13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</row>
    <row r="784" spans="1:18" ht="19.5" customHeight="1" x14ac:dyDescent="0.25">
      <c r="A784" s="7"/>
      <c r="B784" s="7"/>
      <c r="C784" s="13"/>
      <c r="D784" s="13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</row>
    <row r="785" spans="1:18" ht="19.5" customHeight="1" x14ac:dyDescent="0.25">
      <c r="A785" s="7"/>
      <c r="B785" s="7"/>
      <c r="C785" s="13"/>
      <c r="D785" s="13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</row>
    <row r="786" spans="1:18" ht="19.5" customHeight="1" x14ac:dyDescent="0.25">
      <c r="A786" s="7"/>
      <c r="B786" s="7"/>
      <c r="C786" s="13"/>
      <c r="D786" s="13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</row>
    <row r="787" spans="1:18" ht="19.5" customHeight="1" x14ac:dyDescent="0.25">
      <c r="A787" s="7"/>
      <c r="B787" s="7"/>
      <c r="C787" s="13"/>
      <c r="D787" s="13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</row>
    <row r="788" spans="1:18" ht="19.5" customHeight="1" x14ac:dyDescent="0.25">
      <c r="A788" s="7"/>
      <c r="B788" s="7"/>
      <c r="C788" s="13"/>
      <c r="D788" s="13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</row>
    <row r="789" spans="1:18" ht="19.5" customHeight="1" x14ac:dyDescent="0.25">
      <c r="A789" s="7"/>
      <c r="B789" s="7"/>
      <c r="C789" s="13"/>
      <c r="D789" s="13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</row>
    <row r="790" spans="1:18" ht="19.5" customHeight="1" x14ac:dyDescent="0.25">
      <c r="A790" s="7"/>
      <c r="B790" s="7"/>
      <c r="C790" s="13"/>
      <c r="D790" s="13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</row>
    <row r="791" spans="1:18" ht="19.5" customHeight="1" x14ac:dyDescent="0.25">
      <c r="A791" s="7"/>
      <c r="B791" s="7"/>
      <c r="C791" s="13"/>
      <c r="D791" s="13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</row>
    <row r="792" spans="1:18" ht="19.5" customHeight="1" x14ac:dyDescent="0.25">
      <c r="A792" s="7"/>
      <c r="B792" s="7"/>
      <c r="C792" s="13"/>
      <c r="D792" s="13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</row>
    <row r="793" spans="1:18" ht="19.5" customHeight="1" x14ac:dyDescent="0.25">
      <c r="A793" s="7"/>
      <c r="B793" s="7"/>
      <c r="C793" s="13"/>
      <c r="D793" s="13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</row>
    <row r="794" spans="1:18" ht="19.5" customHeight="1" x14ac:dyDescent="0.25">
      <c r="A794" s="7"/>
      <c r="B794" s="7"/>
      <c r="C794" s="13"/>
      <c r="D794" s="13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</row>
    <row r="795" spans="1:18" ht="19.5" customHeight="1" x14ac:dyDescent="0.25">
      <c r="A795" s="7"/>
      <c r="B795" s="7"/>
      <c r="C795" s="13"/>
      <c r="D795" s="13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</row>
    <row r="796" spans="1:18" ht="19.5" customHeight="1" x14ac:dyDescent="0.25">
      <c r="A796" s="7"/>
      <c r="B796" s="7"/>
      <c r="C796" s="13"/>
      <c r="D796" s="13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</row>
    <row r="797" spans="1:18" ht="19.5" customHeight="1" x14ac:dyDescent="0.25">
      <c r="A797" s="7"/>
      <c r="B797" s="7"/>
      <c r="C797" s="13"/>
      <c r="D797" s="13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</row>
    <row r="798" spans="1:18" ht="19.5" customHeight="1" x14ac:dyDescent="0.25">
      <c r="A798" s="7"/>
      <c r="B798" s="7"/>
      <c r="C798" s="13"/>
      <c r="D798" s="13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</row>
    <row r="799" spans="1:18" ht="19.5" customHeight="1" x14ac:dyDescent="0.25">
      <c r="A799" s="7"/>
      <c r="B799" s="7"/>
      <c r="C799" s="13"/>
      <c r="D799" s="13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</row>
    <row r="800" spans="1:18" ht="19.5" customHeight="1" x14ac:dyDescent="0.25">
      <c r="A800" s="7"/>
      <c r="B800" s="7"/>
      <c r="C800" s="13"/>
      <c r="D800" s="13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</row>
    <row r="801" spans="1:18" ht="19.5" customHeight="1" x14ac:dyDescent="0.25">
      <c r="A801" s="7"/>
      <c r="B801" s="7"/>
      <c r="C801" s="13"/>
      <c r="D801" s="13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</row>
    <row r="802" spans="1:18" ht="19.5" customHeight="1" x14ac:dyDescent="0.25">
      <c r="A802" s="7"/>
      <c r="B802" s="7"/>
      <c r="C802" s="13"/>
      <c r="D802" s="13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</row>
    <row r="803" spans="1:18" ht="19.5" customHeight="1" x14ac:dyDescent="0.25">
      <c r="A803" s="7"/>
      <c r="B803" s="7"/>
      <c r="C803" s="13"/>
      <c r="D803" s="13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</row>
    <row r="804" spans="1:18" ht="19.5" customHeight="1" x14ac:dyDescent="0.25">
      <c r="A804" s="7"/>
      <c r="B804" s="7"/>
      <c r="C804" s="13"/>
      <c r="D804" s="13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</row>
    <row r="805" spans="1:18" ht="19.5" customHeight="1" x14ac:dyDescent="0.25">
      <c r="A805" s="7"/>
      <c r="B805" s="7"/>
      <c r="C805" s="13"/>
      <c r="D805" s="13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</row>
    <row r="806" spans="1:18" ht="19.5" customHeight="1" x14ac:dyDescent="0.25">
      <c r="A806" s="7"/>
      <c r="B806" s="7"/>
      <c r="C806" s="13"/>
      <c r="D806" s="13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</row>
    <row r="807" spans="1:18" ht="19.5" customHeight="1" x14ac:dyDescent="0.25">
      <c r="A807" s="7"/>
      <c r="B807" s="7"/>
      <c r="C807" s="13"/>
      <c r="D807" s="13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</row>
    <row r="808" spans="1:18" ht="19.5" customHeight="1" x14ac:dyDescent="0.25">
      <c r="A808" s="7"/>
      <c r="B808" s="7"/>
      <c r="C808" s="13"/>
      <c r="D808" s="13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</row>
    <row r="809" spans="1:18" ht="19.5" customHeight="1" x14ac:dyDescent="0.25">
      <c r="A809" s="7"/>
      <c r="B809" s="7"/>
      <c r="C809" s="13"/>
      <c r="D809" s="13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</row>
    <row r="810" spans="1:18" ht="19.5" customHeight="1" x14ac:dyDescent="0.25">
      <c r="A810" s="7"/>
      <c r="B810" s="7"/>
      <c r="C810" s="13"/>
      <c r="D810" s="13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</row>
    <row r="811" spans="1:18" ht="19.5" customHeight="1" x14ac:dyDescent="0.25">
      <c r="A811" s="7"/>
      <c r="B811" s="7"/>
      <c r="C811" s="13"/>
      <c r="D811" s="13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</row>
    <row r="812" spans="1:18" ht="19.5" customHeight="1" x14ac:dyDescent="0.25">
      <c r="A812" s="7"/>
      <c r="B812" s="7"/>
      <c r="C812" s="13"/>
      <c r="D812" s="13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</row>
    <row r="813" spans="1:18" ht="19.5" customHeight="1" x14ac:dyDescent="0.25">
      <c r="A813" s="7"/>
      <c r="B813" s="7"/>
      <c r="C813" s="13"/>
      <c r="D813" s="13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</row>
    <row r="814" spans="1:18" ht="19.5" customHeight="1" x14ac:dyDescent="0.25">
      <c r="A814" s="7"/>
      <c r="B814" s="7"/>
      <c r="C814" s="13"/>
      <c r="D814" s="13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</row>
    <row r="815" spans="1:18" ht="19.5" customHeight="1" x14ac:dyDescent="0.25">
      <c r="A815" s="7"/>
      <c r="B815" s="7"/>
      <c r="C815" s="13"/>
      <c r="D815" s="13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</row>
    <row r="816" spans="1:18" ht="19.5" customHeight="1" x14ac:dyDescent="0.25">
      <c r="A816" s="7"/>
      <c r="B816" s="7"/>
      <c r="C816" s="13"/>
      <c r="D816" s="13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</row>
    <row r="817" spans="1:18" ht="19.5" customHeight="1" x14ac:dyDescent="0.25">
      <c r="A817" s="7"/>
      <c r="B817" s="7"/>
      <c r="C817" s="13"/>
      <c r="D817" s="13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</row>
    <row r="818" spans="1:18" ht="19.5" customHeight="1" x14ac:dyDescent="0.25">
      <c r="A818" s="7"/>
      <c r="B818" s="7"/>
      <c r="C818" s="13"/>
      <c r="D818" s="13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</row>
    <row r="819" spans="1:18" ht="19.5" customHeight="1" x14ac:dyDescent="0.25">
      <c r="A819" s="7"/>
      <c r="B819" s="7"/>
      <c r="C819" s="13"/>
      <c r="D819" s="13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</row>
    <row r="820" spans="1:18" ht="19.5" customHeight="1" x14ac:dyDescent="0.25">
      <c r="A820" s="7"/>
      <c r="B820" s="7"/>
      <c r="C820" s="13"/>
      <c r="D820" s="13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</row>
    <row r="821" spans="1:18" ht="19.5" customHeight="1" x14ac:dyDescent="0.25">
      <c r="A821" s="7"/>
      <c r="B821" s="7"/>
      <c r="C821" s="13"/>
      <c r="D821" s="13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</row>
    <row r="822" spans="1:18" ht="19.5" customHeight="1" x14ac:dyDescent="0.25">
      <c r="A822" s="7"/>
      <c r="B822" s="7"/>
      <c r="C822" s="13"/>
      <c r="D822" s="13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</row>
    <row r="823" spans="1:18" ht="19.5" customHeight="1" x14ac:dyDescent="0.25">
      <c r="A823" s="7"/>
      <c r="B823" s="7"/>
      <c r="C823" s="13"/>
      <c r="D823" s="13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</row>
    <row r="824" spans="1:18" ht="19.5" customHeight="1" x14ac:dyDescent="0.25">
      <c r="A824" s="7"/>
      <c r="B824" s="7"/>
      <c r="C824" s="13"/>
      <c r="D824" s="13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</row>
    <row r="825" spans="1:18" ht="19.5" customHeight="1" x14ac:dyDescent="0.25">
      <c r="A825" s="7"/>
      <c r="B825" s="7"/>
      <c r="C825" s="13"/>
      <c r="D825" s="13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</row>
    <row r="826" spans="1:18" ht="19.5" customHeight="1" x14ac:dyDescent="0.25">
      <c r="A826" s="7"/>
      <c r="B826" s="7"/>
      <c r="C826" s="13"/>
      <c r="D826" s="13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</row>
    <row r="827" spans="1:18" ht="19.5" customHeight="1" x14ac:dyDescent="0.25">
      <c r="A827" s="7"/>
      <c r="B827" s="7"/>
      <c r="C827" s="13"/>
      <c r="D827" s="13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</row>
    <row r="828" spans="1:18" ht="19.5" customHeight="1" x14ac:dyDescent="0.25">
      <c r="A828" s="7"/>
      <c r="B828" s="7"/>
      <c r="C828" s="13"/>
      <c r="D828" s="13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</row>
    <row r="829" spans="1:18" ht="19.5" customHeight="1" x14ac:dyDescent="0.25">
      <c r="A829" s="7"/>
      <c r="B829" s="7"/>
      <c r="C829" s="13"/>
      <c r="D829" s="13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</row>
    <row r="830" spans="1:18" ht="19.5" customHeight="1" x14ac:dyDescent="0.25">
      <c r="A830" s="7"/>
      <c r="B830" s="7"/>
      <c r="C830" s="13"/>
      <c r="D830" s="13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</row>
    <row r="831" spans="1:18" ht="19.5" customHeight="1" x14ac:dyDescent="0.25">
      <c r="A831" s="7"/>
      <c r="B831" s="7"/>
      <c r="C831" s="13"/>
      <c r="D831" s="13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</row>
    <row r="832" spans="1:18" ht="19.5" customHeight="1" x14ac:dyDescent="0.25">
      <c r="A832" s="7"/>
      <c r="B832" s="7"/>
      <c r="C832" s="13"/>
      <c r="D832" s="13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</row>
    <row r="833" spans="1:18" ht="19.5" customHeight="1" x14ac:dyDescent="0.25">
      <c r="A833" s="7"/>
      <c r="B833" s="7"/>
      <c r="C833" s="13"/>
      <c r="D833" s="13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</row>
    <row r="834" spans="1:18" ht="19.5" customHeight="1" x14ac:dyDescent="0.25">
      <c r="A834" s="7"/>
      <c r="B834" s="7"/>
      <c r="C834" s="13"/>
      <c r="D834" s="13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</row>
    <row r="835" spans="1:18" ht="19.5" customHeight="1" x14ac:dyDescent="0.25">
      <c r="A835" s="7"/>
      <c r="B835" s="7"/>
      <c r="C835" s="13"/>
      <c r="D835" s="13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</row>
    <row r="836" spans="1:18" ht="19.5" customHeight="1" x14ac:dyDescent="0.25">
      <c r="A836" s="7"/>
      <c r="B836" s="7"/>
      <c r="C836" s="13"/>
      <c r="D836" s="13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</row>
    <row r="837" spans="1:18" ht="19.5" customHeight="1" x14ac:dyDescent="0.25">
      <c r="A837" s="7"/>
      <c r="B837" s="7"/>
      <c r="C837" s="13"/>
      <c r="D837" s="13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</row>
    <row r="838" spans="1:18" ht="19.5" customHeight="1" x14ac:dyDescent="0.25">
      <c r="A838" s="7"/>
      <c r="B838" s="7"/>
      <c r="C838" s="13"/>
      <c r="D838" s="13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</row>
    <row r="839" spans="1:18" ht="19.5" customHeight="1" x14ac:dyDescent="0.25">
      <c r="A839" s="7"/>
      <c r="B839" s="7"/>
      <c r="C839" s="13"/>
      <c r="D839" s="13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</row>
    <row r="840" spans="1:18" ht="19.5" customHeight="1" x14ac:dyDescent="0.25">
      <c r="A840" s="7"/>
      <c r="B840" s="7"/>
      <c r="C840" s="13"/>
      <c r="D840" s="13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</row>
    <row r="841" spans="1:18" ht="19.5" customHeight="1" x14ac:dyDescent="0.25">
      <c r="A841" s="7"/>
      <c r="B841" s="7"/>
      <c r="C841" s="13"/>
      <c r="D841" s="13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</row>
    <row r="842" spans="1:18" ht="19.5" customHeight="1" x14ac:dyDescent="0.25">
      <c r="A842" s="7"/>
      <c r="B842" s="7"/>
      <c r="C842" s="13"/>
      <c r="D842" s="13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</row>
    <row r="843" spans="1:18" ht="19.5" customHeight="1" x14ac:dyDescent="0.25">
      <c r="A843" s="7"/>
      <c r="B843" s="7"/>
      <c r="C843" s="13"/>
      <c r="D843" s="13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</row>
    <row r="844" spans="1:18" ht="19.5" customHeight="1" x14ac:dyDescent="0.25">
      <c r="A844" s="7"/>
      <c r="B844" s="7"/>
      <c r="C844" s="13"/>
      <c r="D844" s="13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</row>
    <row r="845" spans="1:18" ht="19.5" customHeight="1" x14ac:dyDescent="0.25">
      <c r="A845" s="7"/>
      <c r="B845" s="7"/>
      <c r="C845" s="13"/>
      <c r="D845" s="13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</row>
    <row r="846" spans="1:18" ht="19.5" customHeight="1" x14ac:dyDescent="0.25">
      <c r="A846" s="7"/>
      <c r="B846" s="7"/>
      <c r="C846" s="13"/>
      <c r="D846" s="13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</row>
    <row r="847" spans="1:18" ht="19.5" customHeight="1" x14ac:dyDescent="0.25">
      <c r="A847" s="7"/>
      <c r="B847" s="7"/>
      <c r="C847" s="13"/>
      <c r="D847" s="13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</row>
    <row r="848" spans="1:18" ht="19.5" customHeight="1" x14ac:dyDescent="0.25">
      <c r="A848" s="7"/>
      <c r="B848" s="7"/>
      <c r="C848" s="13"/>
      <c r="D848" s="13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</row>
    <row r="849" spans="1:18" ht="19.5" customHeight="1" x14ac:dyDescent="0.25">
      <c r="A849" s="7"/>
      <c r="B849" s="7"/>
      <c r="C849" s="13"/>
      <c r="D849" s="13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</row>
    <row r="850" spans="1:18" ht="19.5" customHeight="1" x14ac:dyDescent="0.25">
      <c r="A850" s="7"/>
      <c r="B850" s="7"/>
      <c r="C850" s="13"/>
      <c r="D850" s="13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</row>
    <row r="851" spans="1:18" ht="19.5" customHeight="1" x14ac:dyDescent="0.25">
      <c r="A851" s="7"/>
      <c r="B851" s="7"/>
      <c r="C851" s="13"/>
      <c r="D851" s="13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</row>
    <row r="852" spans="1:18" ht="19.5" customHeight="1" x14ac:dyDescent="0.25">
      <c r="A852" s="7"/>
      <c r="B852" s="7"/>
      <c r="C852" s="13"/>
      <c r="D852" s="13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</row>
    <row r="853" spans="1:18" ht="19.5" customHeight="1" x14ac:dyDescent="0.25">
      <c r="A853" s="7"/>
      <c r="B853" s="7"/>
      <c r="C853" s="13"/>
      <c r="D853" s="13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</row>
    <row r="854" spans="1:18" ht="19.5" customHeight="1" x14ac:dyDescent="0.25">
      <c r="A854" s="7"/>
      <c r="B854" s="7"/>
      <c r="C854" s="13"/>
      <c r="D854" s="13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</row>
    <row r="855" spans="1:18" ht="19.5" customHeight="1" x14ac:dyDescent="0.25">
      <c r="A855" s="7"/>
      <c r="B855" s="7"/>
      <c r="C855" s="13"/>
      <c r="D855" s="13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</row>
    <row r="856" spans="1:18" ht="19.5" customHeight="1" x14ac:dyDescent="0.25">
      <c r="A856" s="7"/>
      <c r="B856" s="7"/>
      <c r="C856" s="13"/>
      <c r="D856" s="13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</row>
    <row r="857" spans="1:18" ht="19.5" customHeight="1" x14ac:dyDescent="0.25">
      <c r="A857" s="7"/>
      <c r="B857" s="7"/>
      <c r="C857" s="13"/>
      <c r="D857" s="13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</row>
    <row r="858" spans="1:18" ht="19.5" customHeight="1" x14ac:dyDescent="0.25">
      <c r="A858" s="7"/>
      <c r="B858" s="7"/>
      <c r="C858" s="13"/>
      <c r="D858" s="13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</row>
    <row r="859" spans="1:18" ht="19.5" customHeight="1" x14ac:dyDescent="0.25">
      <c r="A859" s="7"/>
      <c r="B859" s="7"/>
      <c r="C859" s="13"/>
      <c r="D859" s="13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</row>
    <row r="860" spans="1:18" ht="19.5" customHeight="1" x14ac:dyDescent="0.25">
      <c r="A860" s="7"/>
      <c r="B860" s="7"/>
      <c r="C860" s="13"/>
      <c r="D860" s="13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</row>
    <row r="861" spans="1:18" ht="19.5" customHeight="1" x14ac:dyDescent="0.25">
      <c r="A861" s="7"/>
      <c r="B861" s="7"/>
      <c r="C861" s="13"/>
      <c r="D861" s="13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</row>
    <row r="862" spans="1:18" ht="19.5" customHeight="1" x14ac:dyDescent="0.25">
      <c r="A862" s="7"/>
      <c r="B862" s="7"/>
      <c r="C862" s="13"/>
      <c r="D862" s="13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</row>
    <row r="863" spans="1:18" ht="19.5" customHeight="1" x14ac:dyDescent="0.25">
      <c r="A863" s="7"/>
      <c r="B863" s="7"/>
      <c r="C863" s="13"/>
      <c r="D863" s="13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</row>
    <row r="864" spans="1:18" ht="19.5" customHeight="1" x14ac:dyDescent="0.25">
      <c r="A864" s="7"/>
      <c r="B864" s="7"/>
      <c r="C864" s="13"/>
      <c r="D864" s="13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</row>
    <row r="865" spans="1:18" ht="19.5" customHeight="1" x14ac:dyDescent="0.25">
      <c r="A865" s="7"/>
      <c r="B865" s="7"/>
      <c r="C865" s="13"/>
      <c r="D865" s="13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</row>
    <row r="866" spans="1:18" ht="19.5" customHeight="1" x14ac:dyDescent="0.25">
      <c r="A866" s="7"/>
      <c r="B866" s="7"/>
      <c r="C866" s="13"/>
      <c r="D866" s="13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</row>
    <row r="867" spans="1:18" ht="19.5" customHeight="1" x14ac:dyDescent="0.25">
      <c r="A867" s="7"/>
      <c r="B867" s="7"/>
      <c r="C867" s="13"/>
      <c r="D867" s="13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</row>
    <row r="868" spans="1:18" ht="19.5" customHeight="1" x14ac:dyDescent="0.25">
      <c r="A868" s="7"/>
      <c r="B868" s="7"/>
      <c r="C868" s="13"/>
      <c r="D868" s="13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</row>
    <row r="869" spans="1:18" ht="19.5" customHeight="1" x14ac:dyDescent="0.25">
      <c r="A869" s="7"/>
      <c r="B869" s="7"/>
      <c r="C869" s="13"/>
      <c r="D869" s="13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</row>
    <row r="870" spans="1:18" ht="19.5" customHeight="1" x14ac:dyDescent="0.25">
      <c r="A870" s="7"/>
      <c r="B870" s="7"/>
      <c r="C870" s="13"/>
      <c r="D870" s="13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</row>
    <row r="871" spans="1:18" ht="19.5" customHeight="1" x14ac:dyDescent="0.25">
      <c r="A871" s="7"/>
      <c r="B871" s="7"/>
      <c r="C871" s="13"/>
      <c r="D871" s="13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</row>
    <row r="872" spans="1:18" ht="19.5" customHeight="1" x14ac:dyDescent="0.25">
      <c r="A872" s="7"/>
      <c r="B872" s="7"/>
      <c r="C872" s="13"/>
      <c r="D872" s="13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</row>
    <row r="873" spans="1:18" ht="19.5" customHeight="1" x14ac:dyDescent="0.25">
      <c r="A873" s="7"/>
      <c r="B873" s="7"/>
      <c r="C873" s="13"/>
      <c r="D873" s="13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</row>
    <row r="874" spans="1:18" ht="19.5" customHeight="1" x14ac:dyDescent="0.25">
      <c r="A874" s="7"/>
      <c r="B874" s="7"/>
      <c r="C874" s="13"/>
      <c r="D874" s="13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</row>
    <row r="875" spans="1:18" ht="19.5" customHeight="1" x14ac:dyDescent="0.25">
      <c r="A875" s="7"/>
      <c r="B875" s="7"/>
      <c r="C875" s="13"/>
      <c r="D875" s="13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</row>
    <row r="876" spans="1:18" ht="19.5" customHeight="1" x14ac:dyDescent="0.25">
      <c r="A876" s="7"/>
      <c r="B876" s="7"/>
      <c r="C876" s="13"/>
      <c r="D876" s="13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</row>
    <row r="877" spans="1:18" ht="19.5" customHeight="1" x14ac:dyDescent="0.25">
      <c r="A877" s="7"/>
      <c r="B877" s="7"/>
      <c r="C877" s="13"/>
      <c r="D877" s="13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</row>
    <row r="878" spans="1:18" ht="19.5" customHeight="1" x14ac:dyDescent="0.25">
      <c r="A878" s="7"/>
      <c r="B878" s="7"/>
      <c r="C878" s="13"/>
      <c r="D878" s="13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</row>
    <row r="879" spans="1:18" ht="19.5" customHeight="1" x14ac:dyDescent="0.25">
      <c r="A879" s="7"/>
      <c r="B879" s="7"/>
      <c r="C879" s="13"/>
      <c r="D879" s="13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</row>
    <row r="880" spans="1:18" ht="19.5" customHeight="1" x14ac:dyDescent="0.25">
      <c r="A880" s="7"/>
      <c r="B880" s="7"/>
      <c r="C880" s="13"/>
      <c r="D880" s="13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</row>
    <row r="881" spans="1:18" ht="19.5" customHeight="1" x14ac:dyDescent="0.25">
      <c r="A881" s="7"/>
      <c r="B881" s="7"/>
      <c r="C881" s="13"/>
      <c r="D881" s="13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</row>
    <row r="882" spans="1:18" ht="19.5" customHeight="1" x14ac:dyDescent="0.25">
      <c r="A882" s="7"/>
      <c r="B882" s="7"/>
      <c r="C882" s="13"/>
      <c r="D882" s="13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</row>
    <row r="883" spans="1:18" ht="19.5" customHeight="1" x14ac:dyDescent="0.25">
      <c r="A883" s="7"/>
      <c r="B883" s="7"/>
      <c r="C883" s="13"/>
      <c r="D883" s="13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</row>
    <row r="884" spans="1:18" ht="19.5" customHeight="1" x14ac:dyDescent="0.25">
      <c r="A884" s="7"/>
      <c r="B884" s="7"/>
      <c r="C884" s="13"/>
      <c r="D884" s="13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</row>
    <row r="885" spans="1:18" ht="19.5" customHeight="1" x14ac:dyDescent="0.25">
      <c r="A885" s="7"/>
      <c r="B885" s="7"/>
      <c r="C885" s="13"/>
      <c r="D885" s="13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</row>
    <row r="886" spans="1:18" ht="19.5" customHeight="1" x14ac:dyDescent="0.25">
      <c r="A886" s="7"/>
      <c r="B886" s="7"/>
      <c r="C886" s="13"/>
      <c r="D886" s="13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</row>
    <row r="887" spans="1:18" ht="19.5" customHeight="1" x14ac:dyDescent="0.25">
      <c r="A887" s="7"/>
      <c r="B887" s="7"/>
      <c r="C887" s="13"/>
      <c r="D887" s="13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</row>
    <row r="888" spans="1:18" ht="19.5" customHeight="1" x14ac:dyDescent="0.25">
      <c r="A888" s="7"/>
      <c r="B888" s="7"/>
      <c r="C888" s="13"/>
      <c r="D888" s="13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</row>
    <row r="889" spans="1:18" ht="19.5" customHeight="1" x14ac:dyDescent="0.25">
      <c r="A889" s="7"/>
      <c r="B889" s="7"/>
      <c r="C889" s="13"/>
      <c r="D889" s="13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</row>
    <row r="890" spans="1:18" ht="19.5" customHeight="1" x14ac:dyDescent="0.25">
      <c r="A890" s="7"/>
      <c r="B890" s="7"/>
      <c r="C890" s="13"/>
      <c r="D890" s="13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</row>
    <row r="891" spans="1:18" ht="19.5" customHeight="1" x14ac:dyDescent="0.25">
      <c r="A891" s="7"/>
      <c r="B891" s="7"/>
      <c r="C891" s="13"/>
      <c r="D891" s="13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</row>
    <row r="892" spans="1:18" ht="19.5" customHeight="1" x14ac:dyDescent="0.25">
      <c r="A892" s="7"/>
      <c r="B892" s="7"/>
      <c r="C892" s="13"/>
      <c r="D892" s="13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</row>
    <row r="893" spans="1:18" ht="19.5" customHeight="1" x14ac:dyDescent="0.25">
      <c r="A893" s="7"/>
      <c r="B893" s="7"/>
      <c r="C893" s="13"/>
      <c r="D893" s="13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</row>
    <row r="894" spans="1:18" ht="19.5" customHeight="1" x14ac:dyDescent="0.25">
      <c r="A894" s="7"/>
      <c r="B894" s="7"/>
      <c r="C894" s="13"/>
      <c r="D894" s="13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</row>
    <row r="895" spans="1:18" ht="19.5" customHeight="1" x14ac:dyDescent="0.25">
      <c r="A895" s="7"/>
      <c r="B895" s="7"/>
      <c r="C895" s="13"/>
      <c r="D895" s="13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</row>
    <row r="896" spans="1:18" ht="19.5" customHeight="1" x14ac:dyDescent="0.25">
      <c r="A896" s="7"/>
      <c r="B896" s="7"/>
      <c r="C896" s="13"/>
      <c r="D896" s="13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</row>
    <row r="897" spans="1:18" ht="19.5" customHeight="1" x14ac:dyDescent="0.25">
      <c r="A897" s="7"/>
      <c r="B897" s="7"/>
      <c r="C897" s="13"/>
      <c r="D897" s="13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</row>
    <row r="898" spans="1:18" ht="19.5" customHeight="1" x14ac:dyDescent="0.25">
      <c r="A898" s="7"/>
      <c r="B898" s="7"/>
      <c r="C898" s="13"/>
      <c r="D898" s="13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</row>
    <row r="899" spans="1:18" ht="19.5" customHeight="1" x14ac:dyDescent="0.25">
      <c r="A899" s="7"/>
      <c r="B899" s="7"/>
      <c r="C899" s="13"/>
      <c r="D899" s="13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</row>
    <row r="900" spans="1:18" ht="19.5" customHeight="1" x14ac:dyDescent="0.25">
      <c r="A900" s="7"/>
      <c r="B900" s="7"/>
      <c r="C900" s="13"/>
      <c r="D900" s="13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</row>
    <row r="901" spans="1:18" ht="19.5" customHeight="1" x14ac:dyDescent="0.25">
      <c r="A901" s="7"/>
      <c r="B901" s="7"/>
      <c r="C901" s="13"/>
      <c r="D901" s="13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</row>
    <row r="902" spans="1:18" ht="19.5" customHeight="1" x14ac:dyDescent="0.25">
      <c r="A902" s="7"/>
      <c r="B902" s="7"/>
      <c r="C902" s="13"/>
      <c r="D902" s="13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</row>
    <row r="903" spans="1:18" ht="19.5" customHeight="1" x14ac:dyDescent="0.25">
      <c r="A903" s="7"/>
      <c r="B903" s="7"/>
      <c r="C903" s="13"/>
      <c r="D903" s="13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</row>
    <row r="904" spans="1:18" ht="19.5" customHeight="1" x14ac:dyDescent="0.25">
      <c r="A904" s="7"/>
      <c r="B904" s="7"/>
      <c r="C904" s="13"/>
      <c r="D904" s="13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</row>
    <row r="905" spans="1:18" ht="19.5" customHeight="1" x14ac:dyDescent="0.25">
      <c r="A905" s="7"/>
      <c r="B905" s="7"/>
      <c r="C905" s="13"/>
      <c r="D905" s="13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</row>
    <row r="906" spans="1:18" ht="19.5" customHeight="1" x14ac:dyDescent="0.25">
      <c r="A906" s="7"/>
      <c r="B906" s="7"/>
      <c r="C906" s="13"/>
      <c r="D906" s="13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</row>
    <row r="907" spans="1:18" ht="19.5" customHeight="1" x14ac:dyDescent="0.25">
      <c r="A907" s="7"/>
      <c r="B907" s="7"/>
      <c r="C907" s="13"/>
      <c r="D907" s="13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</row>
    <row r="908" spans="1:18" ht="19.5" customHeight="1" x14ac:dyDescent="0.25">
      <c r="A908" s="7"/>
      <c r="B908" s="7"/>
      <c r="C908" s="13"/>
      <c r="D908" s="13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</row>
    <row r="909" spans="1:18" ht="19.5" customHeight="1" x14ac:dyDescent="0.25">
      <c r="A909" s="7"/>
      <c r="B909" s="7"/>
      <c r="C909" s="13"/>
      <c r="D909" s="13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</row>
    <row r="910" spans="1:18" ht="19.5" customHeight="1" x14ac:dyDescent="0.25">
      <c r="A910" s="7"/>
      <c r="B910" s="7"/>
      <c r="C910" s="13"/>
      <c r="D910" s="13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</row>
    <row r="911" spans="1:18" ht="19.5" customHeight="1" x14ac:dyDescent="0.25">
      <c r="A911" s="7"/>
      <c r="B911" s="7"/>
      <c r="C911" s="13"/>
      <c r="D911" s="13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</row>
    <row r="912" spans="1:18" ht="19.5" customHeight="1" x14ac:dyDescent="0.25">
      <c r="A912" s="7"/>
      <c r="B912" s="7"/>
      <c r="C912" s="13"/>
      <c r="D912" s="13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</row>
    <row r="913" spans="1:18" ht="19.5" customHeight="1" x14ac:dyDescent="0.25">
      <c r="A913" s="7"/>
      <c r="B913" s="7"/>
      <c r="C913" s="13"/>
      <c r="D913" s="13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</row>
    <row r="914" spans="1:18" ht="19.5" customHeight="1" x14ac:dyDescent="0.25">
      <c r="A914" s="7"/>
      <c r="B914" s="7"/>
      <c r="C914" s="13"/>
      <c r="D914" s="13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</row>
    <row r="915" spans="1:18" ht="19.5" customHeight="1" x14ac:dyDescent="0.25">
      <c r="A915" s="7"/>
      <c r="B915" s="7"/>
      <c r="C915" s="13"/>
      <c r="D915" s="13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</row>
    <row r="916" spans="1:18" ht="19.5" customHeight="1" x14ac:dyDescent="0.25">
      <c r="A916" s="7"/>
      <c r="B916" s="7"/>
      <c r="C916" s="13"/>
      <c r="D916" s="13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</row>
    <row r="917" spans="1:18" ht="19.5" customHeight="1" x14ac:dyDescent="0.25">
      <c r="A917" s="7"/>
      <c r="B917" s="7"/>
      <c r="C917" s="13"/>
      <c r="D917" s="13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</row>
    <row r="918" spans="1:18" ht="19.5" customHeight="1" x14ac:dyDescent="0.25">
      <c r="A918" s="7"/>
      <c r="B918" s="7"/>
      <c r="C918" s="13"/>
      <c r="D918" s="13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</row>
    <row r="919" spans="1:18" ht="19.5" customHeight="1" x14ac:dyDescent="0.25">
      <c r="A919" s="7"/>
      <c r="B919" s="7"/>
      <c r="C919" s="13"/>
      <c r="D919" s="13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</row>
    <row r="920" spans="1:18" ht="19.5" customHeight="1" x14ac:dyDescent="0.25">
      <c r="A920" s="7"/>
      <c r="B920" s="7"/>
      <c r="C920" s="13"/>
      <c r="D920" s="13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</row>
    <row r="921" spans="1:18" ht="19.5" customHeight="1" x14ac:dyDescent="0.25">
      <c r="A921" s="7"/>
      <c r="B921" s="7"/>
      <c r="C921" s="13"/>
      <c r="D921" s="13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</row>
    <row r="922" spans="1:18" ht="19.5" customHeight="1" x14ac:dyDescent="0.25">
      <c r="A922" s="7"/>
      <c r="B922" s="7"/>
      <c r="C922" s="13"/>
      <c r="D922" s="13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</row>
    <row r="923" spans="1:18" ht="19.5" customHeight="1" x14ac:dyDescent="0.25">
      <c r="A923" s="7"/>
      <c r="B923" s="7"/>
      <c r="C923" s="13"/>
      <c r="D923" s="13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</row>
    <row r="924" spans="1:18" ht="19.5" customHeight="1" x14ac:dyDescent="0.25">
      <c r="A924" s="7"/>
      <c r="B924" s="7"/>
      <c r="C924" s="13"/>
      <c r="D924" s="13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</row>
    <row r="925" spans="1:18" ht="19.5" customHeight="1" x14ac:dyDescent="0.25">
      <c r="A925" s="7"/>
      <c r="B925" s="7"/>
      <c r="C925" s="13"/>
      <c r="D925" s="13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</row>
    <row r="926" spans="1:18" ht="19.5" customHeight="1" x14ac:dyDescent="0.25">
      <c r="A926" s="7"/>
      <c r="B926" s="7"/>
      <c r="C926" s="13"/>
      <c r="D926" s="13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</row>
    <row r="927" spans="1:18" ht="19.5" customHeight="1" x14ac:dyDescent="0.25">
      <c r="A927" s="7"/>
      <c r="B927" s="7"/>
      <c r="C927" s="13"/>
      <c r="D927" s="13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</row>
    <row r="928" spans="1:18" ht="19.5" customHeight="1" x14ac:dyDescent="0.25">
      <c r="A928" s="7"/>
      <c r="B928" s="7"/>
      <c r="C928" s="13"/>
      <c r="D928" s="13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</row>
    <row r="929" spans="1:18" ht="19.5" customHeight="1" x14ac:dyDescent="0.25">
      <c r="A929" s="7"/>
      <c r="B929" s="7"/>
      <c r="C929" s="13"/>
      <c r="D929" s="13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</row>
    <row r="930" spans="1:18" ht="19.5" customHeight="1" x14ac:dyDescent="0.25">
      <c r="A930" s="7"/>
      <c r="B930" s="7"/>
      <c r="C930" s="13"/>
      <c r="D930" s="13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</row>
    <row r="931" spans="1:18" ht="19.5" customHeight="1" x14ac:dyDescent="0.25">
      <c r="A931" s="7"/>
      <c r="B931" s="7"/>
      <c r="C931" s="13"/>
      <c r="D931" s="13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</row>
    <row r="932" spans="1:18" ht="19.5" customHeight="1" x14ac:dyDescent="0.25">
      <c r="A932" s="7"/>
      <c r="B932" s="7"/>
      <c r="C932" s="13"/>
      <c r="D932" s="13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</row>
    <row r="933" spans="1:18" ht="19.5" customHeight="1" x14ac:dyDescent="0.25">
      <c r="A933" s="7"/>
      <c r="B933" s="7"/>
      <c r="C933" s="13"/>
      <c r="D933" s="13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</row>
    <row r="934" spans="1:18" ht="19.5" customHeight="1" x14ac:dyDescent="0.25">
      <c r="A934" s="7"/>
      <c r="B934" s="7"/>
      <c r="C934" s="13"/>
      <c r="D934" s="13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</row>
    <row r="935" spans="1:18" ht="19.5" customHeight="1" x14ac:dyDescent="0.25">
      <c r="A935" s="7"/>
      <c r="B935" s="7"/>
      <c r="C935" s="13"/>
      <c r="D935" s="13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</row>
    <row r="936" spans="1:18" ht="19.5" customHeight="1" x14ac:dyDescent="0.25">
      <c r="A936" s="7"/>
      <c r="B936" s="7"/>
      <c r="C936" s="13"/>
      <c r="D936" s="13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</row>
    <row r="937" spans="1:18" ht="19.5" customHeight="1" x14ac:dyDescent="0.25">
      <c r="A937" s="7"/>
      <c r="B937" s="7"/>
      <c r="C937" s="13"/>
      <c r="D937" s="13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</row>
    <row r="938" spans="1:18" ht="19.5" customHeight="1" x14ac:dyDescent="0.25">
      <c r="A938" s="7"/>
      <c r="B938" s="7"/>
      <c r="C938" s="13"/>
      <c r="D938" s="13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</row>
    <row r="939" spans="1:18" ht="19.5" customHeight="1" x14ac:dyDescent="0.25">
      <c r="A939" s="7"/>
      <c r="B939" s="7"/>
      <c r="C939" s="13"/>
      <c r="D939" s="13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</row>
    <row r="940" spans="1:18" ht="19.5" customHeight="1" x14ac:dyDescent="0.25">
      <c r="A940" s="7"/>
      <c r="B940" s="7"/>
      <c r="C940" s="13"/>
      <c r="D940" s="13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</row>
    <row r="941" spans="1:18" ht="19.5" customHeight="1" x14ac:dyDescent="0.25">
      <c r="A941" s="7"/>
      <c r="B941" s="7"/>
      <c r="C941" s="13"/>
      <c r="D941" s="13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</row>
    <row r="942" spans="1:18" ht="19.5" customHeight="1" x14ac:dyDescent="0.25">
      <c r="A942" s="7"/>
      <c r="B942" s="7"/>
      <c r="C942" s="13"/>
      <c r="D942" s="13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</row>
    <row r="943" spans="1:18" ht="19.5" customHeight="1" x14ac:dyDescent="0.25">
      <c r="A943" s="7"/>
      <c r="B943" s="7"/>
      <c r="C943" s="13"/>
      <c r="D943" s="13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</row>
    <row r="944" spans="1:18" ht="19.5" customHeight="1" x14ac:dyDescent="0.25">
      <c r="A944" s="7"/>
      <c r="B944" s="7"/>
      <c r="C944" s="13"/>
      <c r="D944" s="13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</row>
    <row r="945" spans="1:18" ht="19.5" customHeight="1" x14ac:dyDescent="0.25">
      <c r="A945" s="7"/>
      <c r="B945" s="7"/>
      <c r="C945" s="13"/>
      <c r="D945" s="13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</row>
    <row r="946" spans="1:18" ht="19.5" customHeight="1" x14ac:dyDescent="0.25">
      <c r="A946" s="7"/>
      <c r="B946" s="7"/>
      <c r="C946" s="13"/>
      <c r="D946" s="13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</row>
    <row r="947" spans="1:18" ht="19.5" customHeight="1" x14ac:dyDescent="0.25">
      <c r="A947" s="7"/>
      <c r="B947" s="7"/>
      <c r="C947" s="13"/>
      <c r="D947" s="13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</row>
    <row r="948" spans="1:18" ht="19.5" customHeight="1" x14ac:dyDescent="0.25">
      <c r="A948" s="7"/>
      <c r="B948" s="7"/>
      <c r="C948" s="13"/>
      <c r="D948" s="13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</row>
    <row r="949" spans="1:18" ht="19.5" customHeight="1" x14ac:dyDescent="0.25">
      <c r="A949" s="7"/>
      <c r="B949" s="7"/>
      <c r="C949" s="13"/>
      <c r="D949" s="13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</row>
    <row r="950" spans="1:18" ht="19.5" customHeight="1" x14ac:dyDescent="0.25">
      <c r="A950" s="7"/>
      <c r="B950" s="7"/>
      <c r="C950" s="13"/>
      <c r="D950" s="13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</row>
    <row r="951" spans="1:18" ht="19.5" customHeight="1" x14ac:dyDescent="0.25">
      <c r="A951" s="7"/>
      <c r="B951" s="7"/>
      <c r="C951" s="13"/>
      <c r="D951" s="13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</row>
    <row r="952" spans="1:18" ht="19.5" customHeight="1" x14ac:dyDescent="0.25">
      <c r="A952" s="7"/>
      <c r="B952" s="7"/>
      <c r="C952" s="13"/>
      <c r="D952" s="13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</row>
    <row r="953" spans="1:18" ht="19.5" customHeight="1" x14ac:dyDescent="0.25">
      <c r="A953" s="7"/>
      <c r="B953" s="7"/>
      <c r="C953" s="13"/>
      <c r="D953" s="13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</row>
    <row r="954" spans="1:18" ht="19.5" customHeight="1" x14ac:dyDescent="0.25">
      <c r="A954" s="7"/>
      <c r="B954" s="7"/>
      <c r="C954" s="13"/>
      <c r="D954" s="13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</row>
    <row r="955" spans="1:18" ht="19.5" customHeight="1" x14ac:dyDescent="0.25">
      <c r="A955" s="7"/>
      <c r="B955" s="7"/>
      <c r="C955" s="13"/>
      <c r="D955" s="13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</row>
    <row r="956" spans="1:18" ht="19.5" customHeight="1" x14ac:dyDescent="0.25">
      <c r="A956" s="7"/>
      <c r="B956" s="7"/>
      <c r="C956" s="13"/>
      <c r="D956" s="13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</row>
    <row r="957" spans="1:18" ht="19.5" customHeight="1" x14ac:dyDescent="0.25">
      <c r="A957" s="7"/>
      <c r="B957" s="7"/>
      <c r="C957" s="13"/>
      <c r="D957" s="13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</row>
    <row r="958" spans="1:18" ht="19.5" customHeight="1" x14ac:dyDescent="0.25">
      <c r="A958" s="7"/>
      <c r="B958" s="7"/>
      <c r="C958" s="13"/>
      <c r="D958" s="13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</row>
    <row r="959" spans="1:18" ht="19.5" customHeight="1" x14ac:dyDescent="0.25">
      <c r="A959" s="7"/>
      <c r="B959" s="7"/>
      <c r="C959" s="13"/>
      <c r="D959" s="13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</row>
    <row r="960" spans="1:18" ht="19.5" customHeight="1" x14ac:dyDescent="0.25">
      <c r="A960" s="7"/>
      <c r="B960" s="7"/>
      <c r="C960" s="13"/>
      <c r="D960" s="13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</row>
    <row r="961" spans="1:18" ht="19.5" customHeight="1" x14ac:dyDescent="0.25">
      <c r="A961" s="7"/>
      <c r="B961" s="7"/>
      <c r="C961" s="13"/>
      <c r="D961" s="13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</row>
    <row r="962" spans="1:18" ht="19.5" customHeight="1" x14ac:dyDescent="0.25">
      <c r="A962" s="7"/>
      <c r="B962" s="7"/>
      <c r="C962" s="13"/>
      <c r="D962" s="13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</row>
    <row r="963" spans="1:18" ht="19.5" customHeight="1" x14ac:dyDescent="0.25">
      <c r="A963" s="7"/>
      <c r="B963" s="7"/>
      <c r="C963" s="13"/>
      <c r="D963" s="13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</row>
    <row r="964" spans="1:18" ht="19.5" customHeight="1" x14ac:dyDescent="0.25">
      <c r="A964" s="7"/>
      <c r="B964" s="7"/>
      <c r="C964" s="13"/>
      <c r="D964" s="13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</row>
    <row r="965" spans="1:18" ht="19.5" customHeight="1" x14ac:dyDescent="0.25">
      <c r="A965" s="7"/>
      <c r="B965" s="7"/>
      <c r="C965" s="13"/>
      <c r="D965" s="13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</row>
    <row r="966" spans="1:18" ht="19.5" customHeight="1" x14ac:dyDescent="0.25">
      <c r="A966" s="7"/>
      <c r="B966" s="7"/>
      <c r="C966" s="13"/>
      <c r="D966" s="13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</row>
    <row r="967" spans="1:18" ht="19.5" customHeight="1" x14ac:dyDescent="0.25">
      <c r="A967" s="7"/>
      <c r="B967" s="7"/>
      <c r="C967" s="13"/>
      <c r="D967" s="13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</row>
    <row r="968" spans="1:18" ht="19.5" customHeight="1" x14ac:dyDescent="0.25">
      <c r="A968" s="7"/>
      <c r="B968" s="7"/>
      <c r="C968" s="13"/>
      <c r="D968" s="13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</row>
    <row r="969" spans="1:18" ht="19.5" customHeight="1" x14ac:dyDescent="0.25">
      <c r="A969" s="7"/>
      <c r="B969" s="7"/>
      <c r="C969" s="13"/>
      <c r="D969" s="13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</row>
    <row r="970" spans="1:18" ht="19.5" customHeight="1" x14ac:dyDescent="0.25">
      <c r="A970" s="7"/>
      <c r="B970" s="7"/>
      <c r="C970" s="13"/>
      <c r="D970" s="13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</row>
    <row r="971" spans="1:18" ht="19.5" customHeight="1" x14ac:dyDescent="0.25">
      <c r="A971" s="7"/>
      <c r="B971" s="7"/>
      <c r="C971" s="13"/>
      <c r="D971" s="13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</row>
    <row r="972" spans="1:18" ht="19.5" customHeight="1" x14ac:dyDescent="0.25">
      <c r="A972" s="7"/>
      <c r="B972" s="7"/>
      <c r="C972" s="13"/>
      <c r="D972" s="13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</row>
    <row r="973" spans="1:18" ht="19.5" customHeight="1" x14ac:dyDescent="0.25">
      <c r="A973" s="7"/>
      <c r="B973" s="7"/>
      <c r="C973" s="13"/>
      <c r="D973" s="13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</row>
    <row r="974" spans="1:18" ht="19.5" customHeight="1" x14ac:dyDescent="0.25">
      <c r="A974" s="7"/>
      <c r="B974" s="7"/>
      <c r="C974" s="13"/>
      <c r="D974" s="13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</row>
    <row r="975" spans="1:18" ht="19.5" customHeight="1" x14ac:dyDescent="0.25">
      <c r="A975" s="7"/>
      <c r="B975" s="7"/>
      <c r="C975" s="13"/>
      <c r="D975" s="13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</row>
    <row r="976" spans="1:18" ht="19.5" customHeight="1" x14ac:dyDescent="0.25">
      <c r="A976" s="7"/>
      <c r="B976" s="7"/>
      <c r="C976" s="13"/>
      <c r="D976" s="13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</row>
    <row r="977" spans="1:18" ht="19.5" customHeight="1" x14ac:dyDescent="0.25">
      <c r="A977" s="7"/>
      <c r="B977" s="7"/>
      <c r="C977" s="13"/>
      <c r="D977" s="13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</row>
    <row r="978" spans="1:18" ht="19.5" customHeight="1" x14ac:dyDescent="0.25">
      <c r="A978" s="7"/>
      <c r="B978" s="7"/>
      <c r="C978" s="13"/>
      <c r="D978" s="13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</row>
    <row r="979" spans="1:18" ht="19.5" customHeight="1" x14ac:dyDescent="0.25">
      <c r="A979" s="7"/>
      <c r="B979" s="7"/>
      <c r="C979" s="13"/>
      <c r="D979" s="13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</row>
    <row r="980" spans="1:18" ht="19.5" customHeight="1" x14ac:dyDescent="0.25">
      <c r="A980" s="7"/>
      <c r="B980" s="7"/>
      <c r="C980" s="13"/>
      <c r="D980" s="13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</row>
    <row r="981" spans="1:18" ht="19.5" customHeight="1" x14ac:dyDescent="0.25">
      <c r="A981" s="7"/>
      <c r="B981" s="7"/>
      <c r="C981" s="13"/>
      <c r="D981" s="13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</row>
    <row r="982" spans="1:18" ht="19.5" customHeight="1" x14ac:dyDescent="0.25">
      <c r="A982" s="7"/>
      <c r="B982" s="7"/>
      <c r="C982" s="13"/>
      <c r="D982" s="13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</row>
    <row r="983" spans="1:18" ht="19.5" customHeight="1" x14ac:dyDescent="0.25">
      <c r="A983" s="7"/>
      <c r="B983" s="7"/>
      <c r="C983" s="13"/>
      <c r="D983" s="13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</row>
    <row r="984" spans="1:18" ht="19.5" customHeight="1" x14ac:dyDescent="0.25">
      <c r="A984" s="7"/>
      <c r="B984" s="7"/>
      <c r="C984" s="13"/>
      <c r="D984" s="13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</row>
    <row r="985" spans="1:18" ht="19.5" customHeight="1" x14ac:dyDescent="0.25">
      <c r="A985" s="7"/>
      <c r="B985" s="7"/>
      <c r="C985" s="13"/>
      <c r="D985" s="13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</row>
    <row r="986" spans="1:18" ht="19.5" customHeight="1" x14ac:dyDescent="0.25">
      <c r="A986" s="7"/>
      <c r="B986" s="7"/>
      <c r="C986" s="13"/>
      <c r="D986" s="13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</row>
    <row r="987" spans="1:18" ht="19.5" customHeight="1" x14ac:dyDescent="0.25">
      <c r="A987" s="7"/>
      <c r="B987" s="7"/>
      <c r="C987" s="13"/>
      <c r="D987" s="13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</row>
    <row r="988" spans="1:18" ht="19.5" customHeight="1" x14ac:dyDescent="0.25">
      <c r="A988" s="7"/>
      <c r="B988" s="7"/>
      <c r="C988" s="13"/>
      <c r="D988" s="13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</row>
    <row r="989" spans="1:18" ht="19.5" customHeight="1" x14ac:dyDescent="0.25">
      <c r="A989" s="7"/>
      <c r="B989" s="7"/>
      <c r="C989" s="13"/>
      <c r="D989" s="13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</row>
    <row r="990" spans="1:18" ht="19.5" customHeight="1" x14ac:dyDescent="0.25">
      <c r="A990" s="7"/>
      <c r="B990" s="7"/>
      <c r="C990" s="13"/>
      <c r="D990" s="13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</row>
    <row r="991" spans="1:18" ht="19.5" customHeight="1" x14ac:dyDescent="0.25">
      <c r="A991" s="7"/>
      <c r="B991" s="7"/>
      <c r="C991" s="13"/>
      <c r="D991" s="13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</row>
    <row r="992" spans="1:18" ht="15" customHeight="1" x14ac:dyDescent="0.25">
      <c r="A992" s="7"/>
      <c r="B992" s="7"/>
      <c r="C992" s="13"/>
      <c r="D992" s="13"/>
      <c r="F992" s="7"/>
      <c r="G992" s="7"/>
      <c r="H992" s="7"/>
    </row>
    <row r="993" spans="1:7" ht="15" customHeight="1" x14ac:dyDescent="0.25">
      <c r="A993" s="7"/>
      <c r="B993" s="7"/>
      <c r="C993" s="13"/>
      <c r="D993" s="13"/>
      <c r="F993" s="7"/>
      <c r="G993" s="7"/>
    </row>
  </sheetData>
  <phoneticPr fontId="29" type="noConversion"/>
  <pageMargins left="0.511811024" right="0.511811024" top="0.78740157499999996" bottom="0.78740157499999996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5"/>
  <sheetViews>
    <sheetView showGridLines="0" topLeftCell="A2" workbookViewId="0">
      <selection activeCell="I15" sqref="I15"/>
    </sheetView>
  </sheetViews>
  <sheetFormatPr defaultColWidth="8.85546875" defaultRowHeight="12.75" x14ac:dyDescent="0.2"/>
  <cols>
    <col min="1" max="1" width="8.85546875" style="110"/>
    <col min="2" max="2" width="11.42578125" style="110" customWidth="1"/>
    <col min="3" max="3" width="12.5703125" style="110" customWidth="1"/>
    <col min="4" max="4" width="10.28515625" style="110" customWidth="1"/>
    <col min="5" max="7" width="8.85546875" style="110"/>
    <col min="8" max="8" width="14.5703125" style="110" bestFit="1" customWidth="1"/>
    <col min="9" max="9" width="14.5703125" style="110" customWidth="1"/>
    <col min="10" max="16384" width="8.85546875" style="110"/>
  </cols>
  <sheetData>
    <row r="1" spans="2:10" ht="26.45" customHeight="1" x14ac:dyDescent="0.2">
      <c r="B1" s="182" t="s">
        <v>57</v>
      </c>
      <c r="C1" s="182"/>
      <c r="D1" s="182"/>
      <c r="E1" s="182"/>
      <c r="F1" s="182"/>
      <c r="G1" s="182"/>
      <c r="H1" s="182"/>
      <c r="I1" s="182"/>
      <c r="J1" s="182"/>
    </row>
    <row r="2" spans="2:10" x14ac:dyDescent="0.2">
      <c r="C2" s="111" t="s">
        <v>58</v>
      </c>
      <c r="D2" s="111" t="s">
        <v>59</v>
      </c>
      <c r="E2" s="111" t="s">
        <v>60</v>
      </c>
    </row>
    <row r="3" spans="2:10" x14ac:dyDescent="0.2">
      <c r="B3" s="112" t="s">
        <v>61</v>
      </c>
      <c r="C3" s="113">
        <v>2.88</v>
      </c>
      <c r="D3" s="113">
        <v>2.88</v>
      </c>
      <c r="E3" s="113">
        <f>C3-D3</f>
        <v>0</v>
      </c>
    </row>
    <row r="4" spans="2:10" x14ac:dyDescent="0.2">
      <c r="B4" s="112" t="s">
        <v>62</v>
      </c>
      <c r="C4" s="113">
        <v>2.88</v>
      </c>
      <c r="D4" s="113">
        <v>2.7</v>
      </c>
      <c r="E4" s="113">
        <f t="shared" ref="E4:E20" si="0">C4-D4</f>
        <v>0.17999999999999972</v>
      </c>
    </row>
    <row r="5" spans="2:10" x14ac:dyDescent="0.2">
      <c r="B5" s="112" t="s">
        <v>63</v>
      </c>
      <c r="C5" s="113">
        <v>2.91</v>
      </c>
      <c r="D5" s="113">
        <v>2.7</v>
      </c>
      <c r="E5" s="113">
        <f t="shared" si="0"/>
        <v>0.20999999999999996</v>
      </c>
    </row>
    <row r="6" spans="2:10" x14ac:dyDescent="0.2">
      <c r="B6" s="112" t="s">
        <v>64</v>
      </c>
      <c r="C6" s="113">
        <v>3.42</v>
      </c>
      <c r="D6" s="113">
        <v>3.27</v>
      </c>
      <c r="E6" s="113">
        <f t="shared" si="0"/>
        <v>0.14999999999999991</v>
      </c>
    </row>
    <row r="7" spans="2:10" x14ac:dyDescent="0.2">
      <c r="B7" s="112" t="s">
        <v>65</v>
      </c>
      <c r="C7" s="113">
        <v>2.88</v>
      </c>
      <c r="D7" s="113">
        <v>2.7</v>
      </c>
      <c r="E7" s="113">
        <f t="shared" si="0"/>
        <v>0.17999999999999972</v>
      </c>
      <c r="H7" s="114">
        <v>339.25</v>
      </c>
      <c r="I7" s="114">
        <v>2.79</v>
      </c>
    </row>
    <row r="8" spans="2:10" x14ac:dyDescent="0.2">
      <c r="B8" s="112" t="s">
        <v>66</v>
      </c>
      <c r="C8" s="113">
        <v>2.8799899999999998</v>
      </c>
      <c r="D8" s="113">
        <v>2.7</v>
      </c>
      <c r="E8" s="113">
        <f t="shared" si="0"/>
        <v>0.17998999999999965</v>
      </c>
      <c r="H8" s="114" t="s">
        <v>67</v>
      </c>
      <c r="I8" s="115">
        <f>E23</f>
        <v>3.6998899999999955</v>
      </c>
    </row>
    <row r="9" spans="2:10" x14ac:dyDescent="0.2">
      <c r="B9" s="112" t="s">
        <v>68</v>
      </c>
      <c r="C9" s="113">
        <v>2.8799899999999998</v>
      </c>
      <c r="D9" s="113">
        <v>2.7</v>
      </c>
      <c r="E9" s="113">
        <f t="shared" si="0"/>
        <v>0.17998999999999965</v>
      </c>
      <c r="H9" s="114"/>
      <c r="I9" s="114"/>
    </row>
    <row r="10" spans="2:10" x14ac:dyDescent="0.2">
      <c r="B10" s="112" t="s">
        <v>69</v>
      </c>
      <c r="C10" s="113">
        <v>2.8799899999999998</v>
      </c>
      <c r="D10" s="113">
        <v>2.7</v>
      </c>
      <c r="E10" s="113">
        <f t="shared" si="0"/>
        <v>0.17998999999999965</v>
      </c>
    </row>
    <row r="11" spans="2:10" x14ac:dyDescent="0.2">
      <c r="B11" s="112" t="s">
        <v>70</v>
      </c>
      <c r="C11" s="113">
        <v>2.8799899999999998</v>
      </c>
      <c r="D11" s="113">
        <v>2.7</v>
      </c>
      <c r="E11" s="113">
        <f t="shared" si="0"/>
        <v>0.17998999999999965</v>
      </c>
    </row>
    <row r="12" spans="2:10" x14ac:dyDescent="0.2">
      <c r="B12" s="112" t="s">
        <v>71</v>
      </c>
      <c r="C12" s="113">
        <v>2.8799899999999998</v>
      </c>
      <c r="D12" s="113">
        <v>2.7</v>
      </c>
      <c r="E12" s="113">
        <f t="shared" si="0"/>
        <v>0.17998999999999965</v>
      </c>
      <c r="F12" s="116"/>
      <c r="G12" s="116"/>
      <c r="H12" s="117" t="s">
        <v>72</v>
      </c>
      <c r="I12" s="118" t="e">
        <f>#REF!</f>
        <v>#REF!</v>
      </c>
    </row>
    <row r="13" spans="2:10" x14ac:dyDescent="0.2">
      <c r="B13" s="112" t="s">
        <v>73</v>
      </c>
      <c r="C13" s="113">
        <v>2.8799899999999998</v>
      </c>
      <c r="D13" s="113">
        <v>2.7</v>
      </c>
      <c r="E13" s="113">
        <f t="shared" si="0"/>
        <v>0.17998999999999965</v>
      </c>
      <c r="G13" s="116"/>
      <c r="H13" s="117" t="s">
        <v>74</v>
      </c>
      <c r="I13" s="118">
        <v>339.25</v>
      </c>
    </row>
    <row r="14" spans="2:10" x14ac:dyDescent="0.2">
      <c r="B14" s="112" t="s">
        <v>75</v>
      </c>
      <c r="C14" s="113">
        <v>2.8799899999999998</v>
      </c>
      <c r="D14" s="113">
        <v>2.7</v>
      </c>
      <c r="E14" s="113">
        <f t="shared" si="0"/>
        <v>0.17998999999999965</v>
      </c>
      <c r="H14" s="122" t="s">
        <v>76</v>
      </c>
      <c r="I14" s="123">
        <f>(H7*I8)/I7</f>
        <v>449.88805824372707</v>
      </c>
    </row>
    <row r="15" spans="2:10" x14ac:dyDescent="0.2">
      <c r="B15" s="112" t="s">
        <v>77</v>
      </c>
      <c r="C15" s="113">
        <v>2.8799899999999998</v>
      </c>
      <c r="D15" s="113">
        <v>2.7</v>
      </c>
      <c r="E15" s="113">
        <f t="shared" si="0"/>
        <v>0.17998999999999965</v>
      </c>
      <c r="H15" s="122" t="s">
        <v>86</v>
      </c>
      <c r="I15" s="125" t="e">
        <f>SUM(ORÇAMENTO_EXECUTIVO!#REF!,ORÇAMENTO_EXECUTIVO!#REF!,ORÇAMENTO_EXECUTIVO!#REF!,ORÇAMENTO_EXECUTIVO!#REF!,ORÇAMENTO_EXECUTIVO!#REF!)</f>
        <v>#REF!</v>
      </c>
    </row>
    <row r="16" spans="2:10" x14ac:dyDescent="0.2">
      <c r="B16" s="112" t="s">
        <v>78</v>
      </c>
      <c r="C16" s="113">
        <v>2.8799899999999998</v>
      </c>
      <c r="D16" s="113">
        <v>2.7</v>
      </c>
      <c r="E16" s="113">
        <f t="shared" si="0"/>
        <v>0.17998999999999965</v>
      </c>
      <c r="I16" s="124" t="e">
        <f>I15*I14</f>
        <v>#REF!</v>
      </c>
    </row>
    <row r="17" spans="2:10" x14ac:dyDescent="0.2">
      <c r="B17" s="112" t="s">
        <v>79</v>
      </c>
      <c r="C17" s="113">
        <v>2.8799899999999998</v>
      </c>
      <c r="D17" s="113">
        <v>2.7</v>
      </c>
      <c r="E17" s="113">
        <f t="shared" si="0"/>
        <v>0.17998999999999965</v>
      </c>
      <c r="J17" s="116"/>
    </row>
    <row r="18" spans="2:10" x14ac:dyDescent="0.2">
      <c r="B18" s="112" t="s">
        <v>80</v>
      </c>
      <c r="C18" s="113">
        <v>2.8799899999999998</v>
      </c>
      <c r="D18" s="113">
        <v>2.7</v>
      </c>
      <c r="E18" s="113">
        <f t="shared" si="0"/>
        <v>0.17998999999999965</v>
      </c>
      <c r="H18" s="147">
        <v>351532.73024999996</v>
      </c>
      <c r="I18" s="147">
        <v>325040.57053218462</v>
      </c>
      <c r="J18" s="116"/>
    </row>
    <row r="19" spans="2:10" x14ac:dyDescent="0.2">
      <c r="B19" s="112" t="s">
        <v>81</v>
      </c>
      <c r="C19" s="113">
        <v>3.06</v>
      </c>
      <c r="D19" s="113">
        <v>3.06</v>
      </c>
      <c r="E19" s="113">
        <f t="shared" si="0"/>
        <v>0</v>
      </c>
      <c r="H19" s="147"/>
      <c r="I19" s="147"/>
    </row>
    <row r="20" spans="2:10" x14ac:dyDescent="0.2">
      <c r="B20" s="112" t="s">
        <v>82</v>
      </c>
      <c r="C20" s="113">
        <v>2.62</v>
      </c>
      <c r="D20" s="113">
        <v>2.77</v>
      </c>
      <c r="E20" s="113">
        <f t="shared" si="0"/>
        <v>-0.14999999999999991</v>
      </c>
    </row>
    <row r="21" spans="2:10" x14ac:dyDescent="0.2">
      <c r="B21" s="112" t="s">
        <v>83</v>
      </c>
      <c r="C21" s="113">
        <v>1.85</v>
      </c>
      <c r="D21" s="183">
        <v>2.35</v>
      </c>
      <c r="E21" s="183">
        <f>C21+C22-D21</f>
        <v>1.1499999999999999</v>
      </c>
    </row>
    <row r="22" spans="2:10" x14ac:dyDescent="0.2">
      <c r="B22" s="112" t="s">
        <v>84</v>
      </c>
      <c r="C22" s="113">
        <v>1.65</v>
      </c>
      <c r="D22" s="184"/>
      <c r="E22" s="184"/>
    </row>
    <row r="23" spans="2:10" s="116" customFormat="1" ht="15.6" customHeight="1" x14ac:dyDescent="0.25">
      <c r="B23" s="119" t="s">
        <v>14</v>
      </c>
      <c r="C23" s="120">
        <f t="shared" ref="C23:D23" si="1">SUM(C3:C22)</f>
        <v>55.829889999999992</v>
      </c>
      <c r="D23" s="120">
        <f t="shared" si="1"/>
        <v>52.130000000000017</v>
      </c>
      <c r="E23" s="120">
        <f>SUM(E3:E22)</f>
        <v>3.6998899999999955</v>
      </c>
      <c r="F23" s="121">
        <f>E23-C24</f>
        <v>0.90839549999999569</v>
      </c>
    </row>
    <row r="24" spans="2:10" s="116" customFormat="1" ht="16.899999999999999" customHeight="1" x14ac:dyDescent="0.25">
      <c r="B24" s="119" t="s">
        <v>85</v>
      </c>
      <c r="C24" s="120">
        <f>AVERAGE(C3:C22)</f>
        <v>2.7914944999999998</v>
      </c>
      <c r="D24" s="120"/>
      <c r="E24" s="120"/>
    </row>
    <row r="25" spans="2:10" ht="18" customHeight="1" x14ac:dyDescent="0.2"/>
  </sheetData>
  <mergeCells count="3">
    <mergeCell ref="B1:J1"/>
    <mergeCell ref="D21:D22"/>
    <mergeCell ref="E21:E22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ORÇAMENTO_EXECUTIVO</vt:lpstr>
      <vt:lpstr>ANÁLISE_CUSTOS</vt:lpstr>
      <vt:lpstr>CÁLCULO_MÉDIAS</vt:lpstr>
      <vt:lpstr>AREAS_PRIVATIVAS</vt:lpstr>
      <vt:lpstr>Dif. Altura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Methodo</dc:creator>
  <cp:lastModifiedBy>Edileni Pereira</cp:lastModifiedBy>
  <dcterms:created xsi:type="dcterms:W3CDTF">2021-06-30T18:49:34Z</dcterms:created>
  <dcterms:modified xsi:type="dcterms:W3CDTF">2025-04-23T20:17:03Z</dcterms:modified>
</cp:coreProperties>
</file>