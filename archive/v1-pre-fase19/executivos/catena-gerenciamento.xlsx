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Catena\04. Custo\04.1 Custo - Paramétrico\02 - Diretos\"/>
    </mc:Choice>
  </mc:AlternateContent>
  <xr:revisionPtr revIDLastSave="0" documentId="13_ncr:1_{81ADDA1B-897F-4C57-8A3C-EDBDCFA06F65}" xr6:coauthVersionLast="47" xr6:coauthVersionMax="47" xr10:uidLastSave="{00000000-0000-0000-0000-000000000000}"/>
  <bookViews>
    <workbookView xWindow="-120" yWindow="-120" windowWidth="20730" windowHeight="11040" tabRatio="849" activeTab="3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SUPRAESTRUTURA" sheetId="48" r:id="rId5"/>
    <sheet name="ALVENARIA" sheetId="61" r:id="rId6"/>
    <sheet name="INSTALAÇÕES" sheetId="58" r:id="rId7"/>
    <sheet name="SISTEMAS ESPECIAIS" sheetId="59" r:id="rId8"/>
    <sheet name="IMPERMEABILIZAÇÃO" sheetId="62" r:id="rId9"/>
    <sheet name="Rev. Internos Piso e Parede" sheetId="51" r:id="rId10"/>
    <sheet name="TETO" sheetId="63" r:id="rId11"/>
    <sheet name="Acabamentos de Piso e Parede" sheetId="53" r:id="rId12"/>
    <sheet name="PINTURA INTERNA" sheetId="64" r:id="rId13"/>
    <sheet name="ESQUADRIAS" sheetId="65" r:id="rId14"/>
    <sheet name="COBERTURA" sheetId="66" state="hidden" r:id="rId15"/>
    <sheet name="Rev. Fachada" sheetId="55" r:id="rId16"/>
    <sheet name="COMPLEMENTARES" sheetId="60" r:id="rId17"/>
    <sheet name="Auxiliar" sheetId="36" state="hidden" r:id="rId18"/>
  </sheets>
  <externalReferences>
    <externalReference r:id="rId19"/>
    <externalReference r:id="rId20"/>
    <externalReference r:id="rId21"/>
  </externalReferences>
  <definedNames>
    <definedName name="\0" localSheetId="14">#REF!</definedName>
    <definedName name="\0" localSheetId="16">#REF!</definedName>
    <definedName name="\0" localSheetId="0">#REF!</definedName>
    <definedName name="\0" localSheetId="6">#REF!</definedName>
    <definedName name="\0" localSheetId="1">#REF!</definedName>
    <definedName name="\0" localSheetId="7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17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4">'[1]M.O.'!#REF!</definedName>
    <definedName name="aaaa" localSheetId="16">'[1]M.O.'!#REF!</definedName>
    <definedName name="aaaa" localSheetId="0">'[1]M.O.'!#REF!</definedName>
    <definedName name="aaaa" localSheetId="6">'[1]M.O.'!#REF!</definedName>
    <definedName name="aaaa" localSheetId="1">'[1]M.O.'!#REF!</definedName>
    <definedName name="aaaa" localSheetId="7">'[1]M.O.'!#REF!</definedName>
    <definedName name="aaaa">'[1]M.O.'!#REF!</definedName>
    <definedName name="angelo" localSheetId="14">[2]Geral!#REF!</definedName>
    <definedName name="angelo" localSheetId="16">[2]Geral!#REF!</definedName>
    <definedName name="angelo" localSheetId="0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>[2]Geral!#REF!</definedName>
    <definedName name="area">#REF!</definedName>
    <definedName name="_xlnm.Print_Area" localSheetId="11">'Acabamentos de Piso e Parede'!$A$1:$H$24</definedName>
    <definedName name="_xlnm.Print_Area" localSheetId="5">ALVENARIA!$A$1:$I$17</definedName>
    <definedName name="_xlnm.Print_Area" localSheetId="14">COBERTURA!$A$1:$H$14</definedName>
    <definedName name="_xlnm.Print_Area" localSheetId="16">COMPLEMENTARES!$A$1:$G$16</definedName>
    <definedName name="_xlnm.Print_Area" localSheetId="2">CONTENÇÕES!$A$1:$I$45</definedName>
    <definedName name="_xlnm.Print_Area" localSheetId="0">DADOS_INICIAIS!$A$1:$G$28</definedName>
    <definedName name="_xlnm.Print_Area" localSheetId="13">ESQUADRIAS!$A$1:$I$21</definedName>
    <definedName name="_xlnm.Print_Area" localSheetId="8">IMPERMEABILIZAÇÃO!$A$1:$I$19</definedName>
    <definedName name="_xlnm.Print_Area" localSheetId="3">INFRAESTRUTURA!$A$1:$I$35</definedName>
    <definedName name="_xlnm.Print_Area" localSheetId="6">INSTALAÇÕES!$A$1:$E$33</definedName>
    <definedName name="_xlnm.Print_Area" localSheetId="1">MOVIMENTAÇÃO_DE_TERRA!$A$1:$G$25</definedName>
    <definedName name="_xlnm.Print_Area" localSheetId="12">'PINTURA INTERNA'!$A$1:$I$15</definedName>
    <definedName name="_xlnm.Print_Area" localSheetId="15">'Rev. Fachada'!$A$1:$H$25</definedName>
    <definedName name="_xlnm.Print_Area" localSheetId="9">'Rev. Internos Piso e Parede'!$A$1:$H$22</definedName>
    <definedName name="_xlnm.Print_Area" localSheetId="7">'SISTEMAS ESPECIAIS'!$A$1:$E$34</definedName>
    <definedName name="_xlnm.Print_Area" localSheetId="4">SUPRAESTRUTURA!$A$1:$I$18</definedName>
    <definedName name="_xlnm.Print_Area" localSheetId="10">TETO!$A$1:$I$14</definedName>
    <definedName name="_xlnm.Print_Area">#REF!</definedName>
    <definedName name="aux" localSheetId="14">#REF!</definedName>
    <definedName name="aux" localSheetId="16">#REF!</definedName>
    <definedName name="aux" localSheetId="0">#REF!</definedName>
    <definedName name="aux" localSheetId="6">#REF!</definedName>
    <definedName name="aux" localSheetId="1">#REF!</definedName>
    <definedName name="aux" localSheetId="7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4">#REF!</definedName>
    <definedName name="FFFFFFF" localSheetId="16">#REF!</definedName>
    <definedName name="FFFFFFF" localSheetId="0">#REF!</definedName>
    <definedName name="FFFFFFF" localSheetId="6">#REF!</definedName>
    <definedName name="FFFFFFF" localSheetId="1">#REF!</definedName>
    <definedName name="FFFFFFF" localSheetId="7">#REF!</definedName>
    <definedName name="FFFFFFF">#REF!</definedName>
    <definedName name="item_1" localSheetId="14">#REF!</definedName>
    <definedName name="item_1" localSheetId="16">#REF!</definedName>
    <definedName name="item_1" localSheetId="0">#REF!</definedName>
    <definedName name="item_1" localSheetId="6">#REF!</definedName>
    <definedName name="item_1" localSheetId="1">#REF!</definedName>
    <definedName name="item_1" localSheetId="7">#REF!</definedName>
    <definedName name="item_1">#REF!</definedName>
    <definedName name="LS" localSheetId="14">'[1]M.O.'!#REF!</definedName>
    <definedName name="LS" localSheetId="16">'[1]M.O.'!#REF!</definedName>
    <definedName name="LS" localSheetId="0">'[1]M.O.'!#REF!</definedName>
    <definedName name="LS" localSheetId="6">'[1]M.O.'!#REF!</definedName>
    <definedName name="LS" localSheetId="1">'[1]M.O.'!#REF!</definedName>
    <definedName name="LS" localSheetId="7">'[1]M.O.'!#REF!</definedName>
    <definedName name="LS">'[1]M.O.'!#REF!</definedName>
    <definedName name="MENU" localSheetId="14">#REF!</definedName>
    <definedName name="MENU" localSheetId="16">#REF!</definedName>
    <definedName name="MENU" localSheetId="0">#REF!</definedName>
    <definedName name="MENU" localSheetId="6">#REF!</definedName>
    <definedName name="MENU" localSheetId="1">#REF!</definedName>
    <definedName name="MENU" localSheetId="7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4">#REF!</definedName>
    <definedName name="PAV" localSheetId="16">#REF!</definedName>
    <definedName name="PAV" localSheetId="0">#REF!</definedName>
    <definedName name="PAV" localSheetId="6">#REF!</definedName>
    <definedName name="PAV" localSheetId="1">#REF!</definedName>
    <definedName name="PAV" localSheetId="7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1">'Acabamentos de Piso e Parede'!$7:$11</definedName>
    <definedName name="_xlnm.Print_Titles" localSheetId="5">ALVENARIA!$2:$2</definedName>
    <definedName name="_xlnm.Print_Titles" localSheetId="14">COBERTURA!#REF!</definedName>
    <definedName name="_xlnm.Print_Titles" localSheetId="16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3">ESQUADRIAS!$2:$2</definedName>
    <definedName name="_xlnm.Print_Titles" localSheetId="8">IMPERMEABILIZAÇÃO!$2:$2</definedName>
    <definedName name="_xlnm.Print_Titles" localSheetId="3">INFRAESTRUTURA!$2:$2</definedName>
    <definedName name="_xlnm.Print_Titles" localSheetId="6">INSTALAÇÕES!#REF!</definedName>
    <definedName name="_xlnm.Print_Titles" localSheetId="1">MOVIMENTAÇÃO_DE_TERRA!#REF!</definedName>
    <definedName name="_xlnm.Print_Titles" localSheetId="12">'PINTURA INTERNA'!$2:$2</definedName>
    <definedName name="_xlnm.Print_Titles" localSheetId="15">'Rev. Fachada'!$7:$11</definedName>
    <definedName name="_xlnm.Print_Titles" localSheetId="9">'Rev. Internos Piso e Parede'!$7:$11</definedName>
    <definedName name="_xlnm.Print_Titles" localSheetId="7">'SISTEMAS ESPECIAIS'!#REF!</definedName>
    <definedName name="_xlnm.Print_Titles" localSheetId="4">SUPRAESTRUTURA!$2:$2</definedName>
    <definedName name="_xlnm.Print_Titles" localSheetId="10">TETO!$2:$2</definedName>
    <definedName name="_xlnm.Print_Titles">#REF!</definedName>
    <definedName name="TOT" localSheetId="14">#REF!</definedName>
    <definedName name="TOT" localSheetId="16">#REF!</definedName>
    <definedName name="TOT" localSheetId="0">#REF!</definedName>
    <definedName name="TOT" localSheetId="6">#REF!</definedName>
    <definedName name="TOT" localSheetId="1">#REF!</definedName>
    <definedName name="TOT" localSheetId="7">#REF!</definedName>
    <definedName name="TOT">#REF!</definedName>
    <definedName name="Total" localSheetId="0">#REF!</definedName>
    <definedName name="Total">#REF!</definedName>
    <definedName name="TRP">#REF!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4">#REF!</definedName>
    <definedName name="xxxx" localSheetId="16">#REF!</definedName>
    <definedName name="xxxx" localSheetId="0">#REF!</definedName>
    <definedName name="xxxx" localSheetId="6">#REF!</definedName>
    <definedName name="xxxx" localSheetId="1">#REF!</definedName>
    <definedName name="xxxx" localSheetId="7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21" l="1"/>
  <c r="D11" i="63"/>
  <c r="D19" i="65"/>
  <c r="D15" i="53" l="1"/>
  <c r="D27" i="59"/>
  <c r="D25" i="59"/>
  <c r="C25" i="59"/>
  <c r="C27" i="59" l="1"/>
  <c r="B10" i="59" l="1"/>
  <c r="B9" i="59"/>
  <c r="B7" i="59"/>
  <c r="D13" i="65"/>
  <c r="D11" i="65"/>
  <c r="D23" i="55"/>
  <c r="D18" i="65"/>
  <c r="D17" i="65"/>
  <c r="B19" i="53"/>
  <c r="D17" i="53" l="1"/>
  <c r="B15" i="53"/>
  <c r="B16" i="53"/>
  <c r="B17" i="51"/>
  <c r="H17" i="51" s="1"/>
  <c r="I17" i="51" s="1"/>
  <c r="D12" i="63"/>
  <c r="B15" i="51"/>
  <c r="B16" i="51"/>
  <c r="D22" i="55"/>
  <c r="G16" i="53" l="1"/>
  <c r="D15" i="55" l="1"/>
  <c r="B29" i="55" l="1"/>
  <c r="G29" i="55" s="1"/>
  <c r="B31" i="55"/>
  <c r="G31" i="55" s="1"/>
  <c r="K20" i="55"/>
  <c r="L20" i="55"/>
  <c r="L19" i="55"/>
  <c r="D12" i="61"/>
  <c r="D11" i="61"/>
  <c r="D10" i="61"/>
  <c r="D13" i="61"/>
  <c r="D22" i="48"/>
  <c r="D30" i="48"/>
  <c r="D29" i="48"/>
  <c r="D28" i="48"/>
  <c r="G27" i="48"/>
  <c r="D27" i="48"/>
  <c r="D26" i="48"/>
  <c r="D25" i="48"/>
  <c r="G25" i="48" s="1"/>
  <c r="D24" i="48"/>
  <c r="G24" i="48" s="1"/>
  <c r="B30" i="55" l="1"/>
  <c r="G30" i="55" s="1"/>
  <c r="G32" i="55"/>
  <c r="D15" i="61"/>
  <c r="D14" i="61"/>
  <c r="H25" i="48"/>
  <c r="F28" i="48"/>
  <c r="B32" i="21"/>
  <c r="G26" i="48"/>
  <c r="F29" i="21"/>
  <c r="F19" i="21"/>
  <c r="E30" i="47"/>
  <c r="B15" i="47" l="1"/>
  <c r="E20" i="46"/>
  <c r="E26" i="46"/>
  <c r="E22" i="46"/>
  <c r="E14" i="46"/>
  <c r="E12" i="46"/>
  <c r="H7" i="59"/>
  <c r="G7" i="59"/>
  <c r="D9" i="60" l="1"/>
  <c r="D10" i="65"/>
  <c r="G10" i="65" s="1"/>
  <c r="D16" i="65"/>
  <c r="G19" i="53"/>
  <c r="G20" i="53"/>
  <c r="D32" i="59"/>
  <c r="D31" i="59" l="1"/>
  <c r="D34" i="59" s="1"/>
  <c r="I9" i="59"/>
  <c r="I7" i="59"/>
  <c r="H10" i="59"/>
  <c r="H9" i="59"/>
  <c r="H8" i="59"/>
  <c r="D29" i="21"/>
  <c r="D30" i="21" l="1"/>
  <c r="G29" i="21"/>
  <c r="D10" i="66"/>
  <c r="G18" i="65"/>
  <c r="G14" i="65"/>
  <c r="G12" i="63"/>
  <c r="D30" i="59"/>
  <c r="D11" i="62"/>
  <c r="L21" i="55" l="1"/>
  <c r="C33" i="59" l="1"/>
  <c r="D33" i="59" s="1"/>
  <c r="D27" i="61"/>
  <c r="D26" i="61"/>
  <c r="D25" i="61"/>
  <c r="D24" i="61"/>
  <c r="D23" i="61"/>
  <c r="D22" i="61"/>
  <c r="D21" i="61"/>
  <c r="D57" i="48"/>
  <c r="D31" i="21"/>
  <c r="G31" i="21" s="1"/>
  <c r="D10" i="21"/>
  <c r="D17" i="21" s="1"/>
  <c r="D11" i="21" l="1"/>
  <c r="D28" i="61"/>
  <c r="D13" i="21"/>
  <c r="D15" i="21"/>
  <c r="F60" i="48"/>
  <c r="G60" i="48" s="1"/>
  <c r="F59" i="48"/>
  <c r="F57" i="48"/>
  <c r="D59" i="48"/>
  <c r="D58" i="48"/>
  <c r="G58" i="48" s="1"/>
  <c r="F54" i="48"/>
  <c r="D54" i="48"/>
  <c r="D55" i="48" s="1"/>
  <c r="G55" i="48" s="1"/>
  <c r="D56" i="48"/>
  <c r="D53" i="48"/>
  <c r="G53" i="48" s="1"/>
  <c r="D52" i="48"/>
  <c r="D51" i="48" s="1"/>
  <c r="F56" i="48"/>
  <c r="G56" i="48" l="1"/>
  <c r="G54" i="48"/>
  <c r="G57" i="48"/>
  <c r="G52" i="48"/>
  <c r="G51" i="48"/>
  <c r="G59" i="48"/>
  <c r="G61" i="48" l="1"/>
  <c r="D18" i="21" l="1"/>
  <c r="G18" i="21" s="1"/>
  <c r="D20" i="58" l="1"/>
  <c r="D21" i="58"/>
  <c r="G26" i="61" l="1"/>
  <c r="G25" i="61"/>
  <c r="F28" i="61"/>
  <c r="D29" i="61" l="1"/>
  <c r="G28" i="61"/>
  <c r="G24" i="61"/>
  <c r="F31" i="48"/>
  <c r="F16" i="48"/>
  <c r="F30" i="48"/>
  <c r="D15" i="48"/>
  <c r="D13" i="48"/>
  <c r="D14" i="48" s="1"/>
  <c r="D23" i="48"/>
  <c r="D12" i="48"/>
  <c r="D11" i="48"/>
  <c r="G28" i="48" l="1"/>
  <c r="J24" i="61"/>
  <c r="J25" i="61" s="1"/>
  <c r="F9" i="60"/>
  <c r="G11" i="65"/>
  <c r="G12" i="65" l="1"/>
  <c r="F13" i="64"/>
  <c r="G13" i="64" s="1"/>
  <c r="F12" i="64"/>
  <c r="G16" i="51"/>
  <c r="G18" i="51"/>
  <c r="G17" i="51"/>
  <c r="D18" i="51"/>
  <c r="D17" i="51"/>
  <c r="D10" i="64"/>
  <c r="G21" i="53"/>
  <c r="G22" i="53"/>
  <c r="G15" i="51" l="1"/>
  <c r="D11" i="64"/>
  <c r="G18" i="53"/>
  <c r="G17" i="53"/>
  <c r="G15" i="53"/>
  <c r="G11" i="62"/>
  <c r="D28" i="59"/>
  <c r="D26" i="59"/>
  <c r="G23" i="53" l="1"/>
  <c r="G17" i="65"/>
  <c r="K19" i="55"/>
  <c r="B16" i="55" s="1"/>
  <c r="G10" i="66"/>
  <c r="G11" i="66"/>
  <c r="G12" i="66"/>
  <c r="G9" i="66"/>
  <c r="G13" i="66" s="1"/>
  <c r="D11" i="60"/>
  <c r="F11" i="60" s="1"/>
  <c r="D12" i="60"/>
  <c r="F12" i="60" s="1"/>
  <c r="D13" i="60"/>
  <c r="F13" i="60" s="1"/>
  <c r="D14" i="60"/>
  <c r="F14" i="60" s="1"/>
  <c r="D10" i="60"/>
  <c r="F10" i="60" s="1"/>
  <c r="F15" i="65"/>
  <c r="G15" i="65" s="1"/>
  <c r="F13" i="65"/>
  <c r="G19" i="65"/>
  <c r="G16" i="65"/>
  <c r="K20" i="65"/>
  <c r="L20" i="65" s="1"/>
  <c r="G12" i="64"/>
  <c r="G11" i="64"/>
  <c r="G10" i="64"/>
  <c r="K14" i="64"/>
  <c r="L14" i="64" s="1"/>
  <c r="K13" i="63"/>
  <c r="L13" i="63" s="1"/>
  <c r="B15" i="55" l="1"/>
  <c r="L22" i="55"/>
  <c r="H10" i="65"/>
  <c r="F15" i="60"/>
  <c r="G13" i="65"/>
  <c r="G20" i="65" s="1"/>
  <c r="G15" i="66"/>
  <c r="G14" i="64"/>
  <c r="G16" i="64" s="1"/>
  <c r="B23" i="55" l="1"/>
  <c r="G23" i="55" s="1"/>
  <c r="B22" i="55"/>
  <c r="G16" i="55"/>
  <c r="L23" i="55"/>
  <c r="G15" i="55"/>
  <c r="G17" i="55" s="1"/>
  <c r="B19" i="51"/>
  <c r="G22" i="55"/>
  <c r="G24" i="55" s="1"/>
  <c r="G22" i="65"/>
  <c r="H15" i="66"/>
  <c r="H16" i="64"/>
  <c r="H18" i="64" s="1"/>
  <c r="D19" i="51" l="1"/>
  <c r="B20" i="51"/>
  <c r="H22" i="65"/>
  <c r="D39" i="59"/>
  <c r="D29" i="59"/>
  <c r="D31" i="58"/>
  <c r="D32" i="58"/>
  <c r="D30" i="58"/>
  <c r="D24" i="58"/>
  <c r="D22" i="58"/>
  <c r="D23" i="58"/>
  <c r="D19" i="58"/>
  <c r="D8" i="58"/>
  <c r="D9" i="58"/>
  <c r="D10" i="58"/>
  <c r="D11" i="58"/>
  <c r="D12" i="58"/>
  <c r="D13" i="58"/>
  <c r="D7" i="58"/>
  <c r="D19" i="59"/>
  <c r="D18" i="59"/>
  <c r="D17" i="59"/>
  <c r="D16" i="59"/>
  <c r="D9" i="59"/>
  <c r="D8" i="59"/>
  <c r="F12" i="48"/>
  <c r="G12" i="48"/>
  <c r="D20" i="51" l="1"/>
  <c r="G20" i="51"/>
  <c r="D10" i="59"/>
  <c r="G27" i="61"/>
  <c r="D7" i="59"/>
  <c r="D25" i="58"/>
  <c r="D11" i="59" l="1"/>
  <c r="D21" i="47"/>
  <c r="D22" i="47" s="1"/>
  <c r="F16" i="62" l="1"/>
  <c r="G16" i="62" s="1"/>
  <c r="F13" i="62"/>
  <c r="G13" i="62" s="1"/>
  <c r="D15" i="62"/>
  <c r="D14" i="62"/>
  <c r="G14" i="62" s="1"/>
  <c r="K18" i="62"/>
  <c r="L18" i="62" s="1"/>
  <c r="G13" i="61"/>
  <c r="G12" i="61"/>
  <c r="G11" i="61"/>
  <c r="G23" i="61"/>
  <c r="G22" i="61"/>
  <c r="K16" i="61"/>
  <c r="L16" i="61" s="1"/>
  <c r="F13" i="48"/>
  <c r="G11" i="48"/>
  <c r="F45" i="48"/>
  <c r="G45" i="48" s="1"/>
  <c r="F44" i="48"/>
  <c r="D44" i="48"/>
  <c r="F42" i="48"/>
  <c r="D42" i="48"/>
  <c r="D43" i="48" s="1"/>
  <c r="G43" i="48" s="1"/>
  <c r="F41" i="48"/>
  <c r="D41" i="48"/>
  <c r="D40" i="48"/>
  <c r="G40" i="48" s="1"/>
  <c r="D39" i="48"/>
  <c r="G39" i="48" s="1"/>
  <c r="D38" i="48"/>
  <c r="G38" i="48" s="1"/>
  <c r="G31" i="48"/>
  <c r="G29" i="48"/>
  <c r="G23" i="48"/>
  <c r="K17" i="48"/>
  <c r="L17" i="48" s="1"/>
  <c r="G16" i="48"/>
  <c r="G20" i="21"/>
  <c r="F15" i="47"/>
  <c r="D30" i="47"/>
  <c r="F30" i="47" s="1"/>
  <c r="D39" i="49"/>
  <c r="B39" i="49"/>
  <c r="F39" i="49" s="1"/>
  <c r="D37" i="49"/>
  <c r="D38" i="49" s="1"/>
  <c r="G38" i="49" s="1"/>
  <c r="D36" i="49"/>
  <c r="G36" i="49" s="1"/>
  <c r="G10" i="61"/>
  <c r="D20" i="59"/>
  <c r="D40" i="59"/>
  <c r="D14" i="58"/>
  <c r="D33" i="58"/>
  <c r="D42" i="59" l="1"/>
  <c r="G14" i="61"/>
  <c r="G15" i="61"/>
  <c r="D10" i="62"/>
  <c r="G10" i="62" s="1"/>
  <c r="G15" i="62"/>
  <c r="D17" i="62"/>
  <c r="G17" i="62" s="1"/>
  <c r="F17" i="60"/>
  <c r="F31" i="47"/>
  <c r="H30" i="47"/>
  <c r="G21" i="61"/>
  <c r="G29" i="61"/>
  <c r="G44" i="48"/>
  <c r="G41" i="48"/>
  <c r="D37" i="48"/>
  <c r="G37" i="48" s="1"/>
  <c r="G22" i="48"/>
  <c r="G32" i="48" s="1"/>
  <c r="G42" i="48"/>
  <c r="G30" i="48"/>
  <c r="D10" i="48"/>
  <c r="G10" i="48" s="1"/>
  <c r="G39" i="49"/>
  <c r="G37" i="49"/>
  <c r="D35" i="58"/>
  <c r="G64" i="48" l="1"/>
  <c r="G16" i="61"/>
  <c r="G33" i="61" s="1"/>
  <c r="G30" i="61"/>
  <c r="G17" i="60"/>
  <c r="E42" i="59"/>
  <c r="E35" i="58"/>
  <c r="E37" i="58" s="1"/>
  <c r="G46" i="48"/>
  <c r="G40" i="49"/>
  <c r="J33" i="55"/>
  <c r="A23" i="53"/>
  <c r="G35" i="55" l="1"/>
  <c r="G26" i="53"/>
  <c r="H33" i="61" l="1"/>
  <c r="G36" i="61"/>
  <c r="H36" i="61" s="1"/>
  <c r="H26" i="53"/>
  <c r="H28" i="53" s="1"/>
  <c r="H35" i="55" l="1"/>
  <c r="H36" i="55" s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F32" i="21"/>
  <c r="D32" i="21"/>
  <c r="F15" i="48"/>
  <c r="D28" i="21"/>
  <c r="G28" i="21" s="1"/>
  <c r="D14" i="21"/>
  <c r="F16" i="47"/>
  <c r="B9" i="47"/>
  <c r="D12" i="62" l="1"/>
  <c r="G15" i="48"/>
  <c r="G13" i="48"/>
  <c r="G32" i="21"/>
  <c r="G14" i="21"/>
  <c r="G30" i="21"/>
  <c r="G30" i="49"/>
  <c r="D17" i="49"/>
  <c r="B17" i="49"/>
  <c r="G14" i="49"/>
  <c r="D16" i="21"/>
  <c r="G16" i="21" s="1"/>
  <c r="D9" i="47"/>
  <c r="G33" i="21" l="1"/>
  <c r="G12" i="62"/>
  <c r="G18" i="62" s="1"/>
  <c r="G20" i="62" s="1"/>
  <c r="F22" i="47"/>
  <c r="F21" i="47"/>
  <c r="F9" i="47"/>
  <c r="F10" i="47" s="1"/>
  <c r="D18" i="49"/>
  <c r="G18" i="49" s="1"/>
  <c r="D19" i="49"/>
  <c r="G19" i="49" s="1"/>
  <c r="G17" i="49"/>
  <c r="H20" i="62" l="1"/>
  <c r="H23" i="62" s="1"/>
  <c r="D23" i="47"/>
  <c r="F23" i="47" s="1"/>
  <c r="G21" i="49"/>
  <c r="G46" i="49" s="1"/>
  <c r="H46" i="49" s="1"/>
  <c r="G14" i="48" l="1"/>
  <c r="G17" i="48" s="1"/>
  <c r="H11" i="36"/>
  <c r="H10" i="36"/>
  <c r="H9" i="36"/>
  <c r="H8" i="36"/>
  <c r="H7" i="36"/>
  <c r="H6" i="36"/>
  <c r="H12" i="36"/>
  <c r="H5" i="36"/>
  <c r="H64" i="48" l="1"/>
  <c r="H66" i="48" s="1"/>
  <c r="D12" i="21"/>
  <c r="D21" i="21"/>
  <c r="G21" i="21" s="1"/>
  <c r="G12" i="21" l="1"/>
  <c r="D19" i="21"/>
  <c r="D24" i="47" l="1"/>
  <c r="F24" i="47" s="1"/>
  <c r="F25" i="47" s="1"/>
  <c r="F33" i="47" s="1"/>
  <c r="G33" i="47" s="1"/>
  <c r="G19" i="21"/>
  <c r="D22" i="21"/>
  <c r="G22" i="21" s="1"/>
  <c r="G36" i="21" l="1"/>
  <c r="H36" i="21" l="1"/>
  <c r="H38" i="21" s="1"/>
  <c r="G19" i="51"/>
  <c r="G21" i="51" l="1"/>
  <c r="G24" i="51" s="1"/>
  <c r="H24" i="51" l="1"/>
  <c r="H26" i="51" s="1"/>
  <c r="D10" i="63"/>
  <c r="G11" i="63" s="1"/>
  <c r="G10" i="63" l="1"/>
  <c r="G13" i="63" l="1"/>
  <c r="G15" i="63" s="1"/>
  <c r="H15" i="63" s="1"/>
  <c r="H18" i="6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D25" authorId="0" shapeId="0" xr:uid="{9C29D9F4-3A90-45B0-8D33-A7A9EA7C25E0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28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9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7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7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2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1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1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3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7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8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4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3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<sst xmlns="http://schemas.openxmlformats.org/spreadsheetml/2006/main" count="1045" uniqueCount="383">
  <si>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</si>
  <si>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</si>
  <si>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</si>
  <si>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</si>
  <si>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</si>
  <si>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</si>
  <si>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</si>
  <si>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</si>
  <si>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</si>
  <si>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</si>
  <si>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</si>
  <si>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</si>
  <si>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</si>
  <si>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</si>
  <si>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</si>
  <si>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</si>
  <si>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</si>
  <si>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</si>
  <si>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</si>
  <si>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</si>
  <si>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</si>
  <si>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</si>
  <si>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</si>
  <si>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</si>
  <si>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</si>
  <si>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</si>
  <si>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</si>
  <si>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</si>
  <si>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</si>
  <si>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</si>
  <si>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</si>
  <si>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</si>
  <si>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</si>
  <si>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</si>
  <si>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</si>
  <si>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</si>
  <si>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</si>
  <si>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</si>
  <si>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</si>
  <si>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</si>
  <si>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</si>
  <si>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</si>
  <si>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</si>
  <si>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</si>
  <si>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</si>
  <si>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</si>
  <si>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</si>
  <si>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</si>
  <si>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</si>
  <si>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</si>
  <si>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</si>
  <si>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</si>
  <si>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</si>
  <si>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</si>
  <si>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</si>
  <si>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</si>
  <si>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</si>
  <si>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</si>
  <si>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</si>
  <si>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</si>
  <si>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</si>
  <si>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</si>
  <si>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</si>
  <si>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</si>
  <si>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</si>
  <si>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</si>
  <si>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</si>
  <si>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</si>
  <si>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</si>
  <si>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</si>
  <si>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</si>
  <si>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</si>
  <si>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</si>
  <si>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</si>
  <si>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</si>
  <si>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</si>
  <si>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</si>
  <si>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</si>
  <si>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</si>
  <si>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</si>
  <si>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</si>
  <si>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</si>
  <si>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</si>
  <si>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</si>
  <si>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</si>
  <si>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</si>
  <si>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</si>
  <si>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</si>
  <si>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</si>
  <si>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</si>
  <si>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</si>
  <si>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</si>
  <si>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</si>
  <si>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</si>
  <si>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</si>
  <si>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</si>
  <si>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</si>
  <si>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</si>
  <si>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</si>
  <si>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</si>
  <si>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</si>
  <si>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</si>
  <si>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</si>
  <si>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</si>
  <si>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</si>
  <si>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</si>
  <si>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</si>
  <si>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</si>
  <si>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</si>
  <si>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</si>
  <si>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</si>
  <si>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</si>
  <si>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</si>
  <si>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</si>
  <si>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</si>
  <si>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</si>
  <si>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</si>
  <si>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</si>
  <si>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</si>
  <si>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</si>
  <si>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</si>
  <si>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</si>
  <si>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</si>
  <si>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</si>
  <si>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</si>
  <si>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</si>
  <si>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</si>
  <si>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</si>
  <si>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</si>
  <si>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</si>
  <si>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</si>
  <si>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</si>
  <si>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</si>
  <si>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</si>
  <si>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</si>
  <si>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</si>
  <si>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</si>
  <si>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</si>
  <si>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</si>
  <si>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</si>
  <si>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</si>
  <si>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</si>
  <si>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</si>
  <si>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</si>
  <si>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</si>
  <si>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</si>
  <si>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</si>
  <si>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</si>
  <si>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</si>
  <si>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</si>
  <si>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</si>
  <si>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</si>
  <si>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</si>
  <si>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</si>
  <si>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</si>
  <si>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</si>
  <si>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</si>
  <si>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</si>
  <si>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</si>
  <si>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</si>
  <si>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</si>
  <si>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</si>
  <si>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</si>
  <si>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</si>
  <si>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</si>
  <si>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</si>
  <si>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</si>
  <si>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</si>
  <si>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</si>
  <si>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</si>
  <si>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</si>
  <si>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</si>
  <si>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</si>
  <si>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</si>
  <si>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</si>
  <si>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</si>
  <si>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</si>
  <si>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</si>
  <si>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</si>
  <si>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</si>
  <si>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</si>
  <si>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</si>
  <si>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</si>
  <si>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</si>
  <si>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</si>
  <si>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</si>
  <si>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</si>
  <si>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</si>
  <si>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</si>
  <si>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</si>
  <si>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</si>
  <si>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</si>
  <si>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</si>
  <si>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</si>
  <si>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</si>
  <si>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</si>
  <si>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</si>
  <si>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</si>
  <si>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</si>
  <si>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</si>
  <si>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</si>
  <si>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</si>
  <si>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</si>
  <si>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</si>
  <si>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</si>
  <si>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</si>
  <si>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</si>
  <si>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</si>
  <si>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</si>
  <si>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</si>
  <si>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</si>
  <si>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</si>
  <si>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</si>
  <si>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</si>
  <si>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</si>
  <si>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</si>
  <si>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</si>
  <si>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</si>
  <si>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</si>
  <si>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</si>
  <si>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</si>
  <si>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</si>
  <si>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</si>
  <si>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</si>
  <si>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</si>
  <si>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</si>
  <si>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</si>
  <si>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</si>
  <si>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</si>
  <si>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</si>
  <si>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</si>
  <si>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</si>
  <si>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</si>
  <si>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</si>
  <si>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</si>
  <si>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</si>
  <si>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</si>
  <si>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</si>
  <si>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</si>
  <si>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</si>
  <si>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</si>
  <si>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</si>
  <si>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</si>
  <si>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</si>
  <si>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</si>
  <si>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</si>
  <si>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</si>
  <si>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</si>
  <si>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</si>
  <si>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</si>
  <si>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</si>
  <si>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</si>
  <si>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</si>
  <si>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</si>
  <si>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</si>
  <si>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</si>
  <si>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</si>
  <si>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</si>
  <si>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</si>
  <si>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</si>
  <si>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</si>
  <si>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</si>
  <si>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</si>
  <si>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</si>
  <si>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</si>
  <si>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</si>
  <si>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</si>
  <si>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</si>
  <si>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</si>
  <si>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</si>
  <si>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</si>
  <si>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</si>
  <si>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</si>
  <si>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</si>
  <si>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</si>
  <si>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</si>
  <si>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</si>
  <si>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</si>
  <si>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</si>
  <si>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</si>
  <si>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</si>
  <si>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</si>
  <si>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</si>
  <si>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</si>
  <si>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</si>
  <si>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</si>
  <si>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</si>
  <si>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</si>
  <si>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</si>
  <si>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</si>
  <si>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</si>
  <si>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</si>
  <si>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</si>
  <si>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</si>
  <si>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</si>
  <si>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</si>
  <si>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</si>
  <si>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</si>
  <si>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</si>
  <si>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</si>
  <si>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</si>
  <si>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</si>
  <si>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</si>
  <si>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</si>
  <si>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</si>
  <si>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</si>
  <si>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</si>
  <si>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</si>
  <si>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</si>
  <si>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</si>
  <si>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</si>
  <si>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</si>
  <si>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</si>
  <si>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</si>
  <si>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</si>
  <si>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</si>
  <si>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</si>
  <si>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</si>
  <si>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</si>
  <si>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</si>
  <si>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</si>
  <si>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</si>
  <si>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</si>
  <si>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</si>
  <si>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</si>
  <si>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</si>
  <si>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</si>
  <si>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</si>
  <si>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</si>
  <si>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</si>
  <si>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</si>
  <si>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Textura</t>
  </si>
  <si>
    <t>Polimento de concreto</t>
  </si>
  <si>
    <t>Piso alisado</t>
  </si>
  <si>
    <t>TOTAL ESQUADRIAS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</si>
  <si>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</si>
  <si>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</si>
  <si>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</si>
  <si>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</si>
  <si>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</si>
  <si>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</si>
  <si>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</si>
  <si>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</si>
  <si>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</si>
  <si>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</si>
  <si>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</si>
  <si>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</si>
  <si>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Base obra Trindade Parkside</t>
  </si>
  <si>
    <t>ALVENARIA - DRYWALL</t>
  </si>
  <si>
    <t>LAZER</t>
  </si>
  <si>
    <t>Sistema de aquecimento</t>
  </si>
  <si>
    <t>Equipamento de piscina</t>
  </si>
  <si>
    <t>TOTAL FORRO</t>
  </si>
  <si>
    <t>Fechadura Biometrica</t>
  </si>
  <si>
    <t xml:space="preserve">TIPO </t>
  </si>
  <si>
    <t>Sauna</t>
  </si>
  <si>
    <t>Spa</t>
  </si>
  <si>
    <t>Grama sintetica</t>
  </si>
  <si>
    <t>Forro gesso mineral</t>
  </si>
  <si>
    <t>Pele de vidro</t>
  </si>
  <si>
    <t xml:space="preserve">Gradil </t>
  </si>
  <si>
    <t>ACM embasamento</t>
  </si>
  <si>
    <t>Zapata</t>
  </si>
  <si>
    <t>Ckock</t>
  </si>
  <si>
    <t>HPSC0457</t>
  </si>
  <si>
    <t>Aptos e 1 no lazer</t>
  </si>
  <si>
    <t>4 meses</t>
  </si>
  <si>
    <t>SUPRAESTRUTURA - LAJE CUBETAS PROTENDIDAS</t>
  </si>
  <si>
    <t>Custos connect executivo</t>
  </si>
  <si>
    <t>Alvenaria externa</t>
  </si>
  <si>
    <t>Alvenaria internas</t>
  </si>
  <si>
    <t>Trtamento de friso</t>
  </si>
  <si>
    <t>Led vertical</t>
  </si>
  <si>
    <t>R$ / m</t>
  </si>
  <si>
    <t>Brise Amadeirado embasamento</t>
  </si>
  <si>
    <t>Vinilico</t>
  </si>
  <si>
    <t>parede verde</t>
  </si>
  <si>
    <t>Patilha</t>
  </si>
  <si>
    <t>lojas</t>
  </si>
  <si>
    <t>Previsto um lavabo enclausurado por unidade</t>
  </si>
  <si>
    <t>1 por unidade mais um no lazer</t>
  </si>
  <si>
    <t>Pressurização de escada</t>
  </si>
  <si>
    <t>Proposta para o zapata de 685mil já com o concreto, Não considerado a armação nesse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</si>
</sst>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43" fontId="3" fillId="0" borderId="39" xfId="0" applyNumberFormat="1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6</xdr:col>
      <xdr:colOff>654326</xdr:colOff>
      <xdr:row>6</xdr:row>
      <xdr:rowOff>182216</xdr:rowOff>
    </xdr:from>
    <xdr:to>
      <xdr:col>13</xdr:col>
      <xdr:colOff>103372</xdr:colOff>
      <xdr:row>21</xdr:row>
      <xdr:rowOff>30142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EBF967-FCA9-A46C-1219-48755FF41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8913" y="1606825"/>
          <a:ext cx="4741633" cy="3947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B7" zoomScale="115" zoomScaleNormal="115" zoomScaleSheetLayoutView="115" workbookViewId="0">
      <selection activeCell="B10" sqref="A10:XFD10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362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363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185</v>
      </c>
      <c r="C3" s="12"/>
      <c r="D3" s="12"/>
      <c r="E3" s="13"/>
      <c r="F3" s="14"/>
      <c r="G3" s="15"/>
    </row>
    <row r="4" spans="1:7" ht="18" customHeight="1" x14ac:dyDescent="0.6">
      <c r="A4" s="10" t="s">
        <v>291</v>
      </c>
      <c r="B4" s="11" t="s">
        <v>364</v>
      </c>
      <c r="C4" s="12"/>
      <c r="D4" s="12"/>
      <c r="E4" s="13"/>
      <c r="F4" s="14"/>
      <c r="G4" s="20"/>
    </row>
    <row r="5" spans="1:7" ht="25.15" customHeight="1" x14ac:dyDescent="0.25">
      <c r="A5" s="209" t="s">
        <v>126</v>
      </c>
      <c r="B5" s="210"/>
      <c r="C5" s="210"/>
      <c r="D5" s="210"/>
      <c r="E5" s="210"/>
      <c r="F5" s="210"/>
      <c r="G5" s="211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622.9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7532.89</v>
      </c>
      <c r="F9" s="26"/>
      <c r="G9" s="21"/>
    </row>
    <row r="10" spans="1:7" x14ac:dyDescent="0.6">
      <c r="A10" s="22"/>
      <c r="B10" s="30" t="s">
        <v>292</v>
      </c>
      <c r="C10" s="31" t="s">
        <v>293</v>
      </c>
      <c r="D10" s="31" t="s">
        <v>123</v>
      </c>
      <c r="E10" s="32">
        <v>36</v>
      </c>
      <c r="F10" s="200"/>
      <c r="G10" s="21"/>
    </row>
    <row r="11" spans="1:7" x14ac:dyDescent="0.6">
      <c r="A11" s="22"/>
      <c r="B11" s="30" t="s">
        <v>294</v>
      </c>
      <c r="C11" s="31" t="s">
        <v>298</v>
      </c>
      <c r="D11" s="31" t="s">
        <v>123</v>
      </c>
      <c r="E11" s="32">
        <v>90</v>
      </c>
      <c r="F11" s="26"/>
      <c r="G11" s="21"/>
    </row>
    <row r="12" spans="1:7" x14ac:dyDescent="0.6">
      <c r="A12" s="22"/>
      <c r="B12" s="30" t="s">
        <v>295</v>
      </c>
      <c r="C12" s="31" t="s">
        <v>299</v>
      </c>
      <c r="D12" s="31" t="s">
        <v>123</v>
      </c>
      <c r="E12" s="32">
        <f>E10*2</f>
        <v>72</v>
      </c>
      <c r="F12" s="26"/>
      <c r="G12" s="21"/>
    </row>
    <row r="13" spans="1:7" x14ac:dyDescent="0.6">
      <c r="A13" s="22"/>
      <c r="B13" s="30" t="s">
        <v>296</v>
      </c>
      <c r="C13" s="31" t="s">
        <v>297</v>
      </c>
      <c r="D13" s="31" t="s">
        <v>123</v>
      </c>
      <c r="E13" s="32">
        <v>2</v>
      </c>
      <c r="F13" s="26"/>
      <c r="G13" s="21"/>
    </row>
    <row r="14" spans="1:7" x14ac:dyDescent="0.6">
      <c r="A14" s="22"/>
      <c r="B14" s="30" t="s">
        <v>273</v>
      </c>
      <c r="C14" s="31" t="s">
        <v>316</v>
      </c>
      <c r="D14" s="31" t="s">
        <v>123</v>
      </c>
      <c r="E14" s="32">
        <f>E10+1</f>
        <v>37</v>
      </c>
      <c r="F14" s="207" t="s">
        <v>365</v>
      </c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24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18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0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233.81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f>11.56*2+17.81*2</f>
        <v>58.739999999999995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v>504.89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503.36+549.79*5</f>
        <v>3252.31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v>0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v>0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v>503.36</v>
      </c>
      <c r="F25" s="26"/>
      <c r="G25" s="21"/>
    </row>
    <row r="26" spans="1:7" x14ac:dyDescent="0.6">
      <c r="A26" s="22"/>
      <c r="B26" s="30" t="s">
        <v>142</v>
      </c>
      <c r="C26" s="31" t="s">
        <v>154</v>
      </c>
      <c r="D26" s="31" t="s">
        <v>119</v>
      </c>
      <c r="E26" s="32">
        <f>29.21+21.25+21.26+29.3</f>
        <v>101.02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155</v>
      </c>
      <c r="D27" s="34" t="s">
        <v>123</v>
      </c>
      <c r="E27" s="35">
        <v>6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3"/>
  <sheetViews>
    <sheetView showGridLines="0" topLeftCell="A17" zoomScale="85" zoomScaleNormal="85" zoomScaleSheetLayoutView="95" workbookViewId="0">
      <selection activeCell="F31" sqref="F31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16" t="s">
        <v>121</v>
      </c>
      <c r="B2" s="217"/>
      <c r="C2" s="217"/>
      <c r="D2" s="217"/>
      <c r="E2" s="217"/>
      <c r="F2" s="217"/>
      <c r="G2" s="218"/>
      <c r="I2" s="2"/>
    </row>
    <row r="3" spans="1:9" ht="28.5" customHeight="1" x14ac:dyDescent="0.25">
      <c r="A3" s="187" t="s">
        <v>186</v>
      </c>
      <c r="B3" s="193">
        <v>45472</v>
      </c>
      <c r="C3" s="191"/>
      <c r="D3" s="191"/>
      <c r="E3" s="191"/>
      <c r="F3" s="191"/>
      <c r="G3" s="192"/>
      <c r="I3" s="2"/>
    </row>
    <row r="4" spans="1:9" ht="28.5" customHeight="1" x14ac:dyDescent="0.25">
      <c r="A4" s="187" t="s">
        <v>300</v>
      </c>
      <c r="B4" s="194" t="s">
        <v>215</v>
      </c>
      <c r="C4" s="189"/>
      <c r="D4" s="189"/>
      <c r="E4" s="189"/>
      <c r="F4" s="189"/>
      <c r="G4" s="190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303</v>
      </c>
    </row>
    <row r="9" spans="1:9" s="55" customFormat="1" ht="21.75" x14ac:dyDescent="0.25">
      <c r="A9" s="66" t="s">
        <v>145</v>
      </c>
      <c r="B9" s="67">
        <f>DADOS_INICIAIS!E23</f>
        <v>0</v>
      </c>
      <c r="C9" s="67"/>
      <c r="D9" s="68">
        <f>C9*B9</f>
        <v>0</v>
      </c>
      <c r="E9" s="88">
        <v>0</v>
      </c>
      <c r="F9" s="89">
        <f>E9*D9*1.1</f>
        <v>0</v>
      </c>
      <c r="G9" s="67"/>
    </row>
    <row r="10" spans="1:9" s="55" customFormat="1" ht="21.75" x14ac:dyDescent="0.25">
      <c r="A10" s="215" t="s">
        <v>17</v>
      </c>
      <c r="B10" s="215"/>
      <c r="C10" s="215"/>
      <c r="D10" s="215"/>
      <c r="E10" s="215"/>
      <c r="F10" s="90">
        <f>SUM(F9:F9)</f>
        <v>0</v>
      </c>
      <c r="G10" s="90"/>
    </row>
    <row r="11" spans="1:9" s="55" customFormat="1" ht="21.75" x14ac:dyDescent="0.25">
      <c r="A11" s="219"/>
      <c r="B11" s="219"/>
      <c r="C11" s="219"/>
      <c r="D11" s="219"/>
      <c r="E11" s="219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303</v>
      </c>
    </row>
    <row r="15" spans="1:9" s="55" customFormat="1" ht="21.75" x14ac:dyDescent="0.25">
      <c r="A15" s="66" t="s">
        <v>124</v>
      </c>
      <c r="B15" s="67">
        <f>4*30</f>
        <v>120</v>
      </c>
      <c r="C15" s="74"/>
      <c r="D15" s="75"/>
      <c r="E15" s="88">
        <v>200</v>
      </c>
      <c r="F15" s="89">
        <f>B15*E15*1.1</f>
        <v>26400.000000000004</v>
      </c>
      <c r="G15" s="67" t="s">
        <v>366</v>
      </c>
    </row>
    <row r="16" spans="1:9" s="55" customFormat="1" ht="21.75" x14ac:dyDescent="0.25">
      <c r="A16" s="215" t="s">
        <v>17</v>
      </c>
      <c r="B16" s="215"/>
      <c r="C16" s="215"/>
      <c r="D16" s="215"/>
      <c r="E16" s="215"/>
      <c r="F16" s="90">
        <f>SUM(F15:F15)</f>
        <v>26400.000000000004</v>
      </c>
      <c r="G16" s="90"/>
    </row>
    <row r="17" spans="1:11" s="55" customFormat="1" ht="21.75" x14ac:dyDescent="0.25">
      <c r="A17" s="219"/>
      <c r="B17" s="219"/>
      <c r="C17" s="219"/>
      <c r="D17" s="219"/>
      <c r="E17" s="219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220" t="s">
        <v>5</v>
      </c>
      <c r="C20" s="221"/>
      <c r="D20" s="65" t="s">
        <v>147</v>
      </c>
      <c r="E20" s="101" t="s">
        <v>160</v>
      </c>
      <c r="F20" s="90" t="s">
        <v>16</v>
      </c>
      <c r="G20" s="90" t="s">
        <v>303</v>
      </c>
    </row>
    <row r="21" spans="1:11" s="55" customFormat="1" ht="43.5" x14ac:dyDescent="0.25">
      <c r="A21" s="70" t="s">
        <v>20</v>
      </c>
      <c r="B21" s="62">
        <v>1.3</v>
      </c>
      <c r="C21" s="62" t="s">
        <v>319</v>
      </c>
      <c r="D21" s="72">
        <f>B21*INFRAESTRUTURA!D29</f>
        <v>425.33920000000006</v>
      </c>
      <c r="E21" s="88">
        <v>36.36</v>
      </c>
      <c r="F21" s="106">
        <f>E21*D21*1.1</f>
        <v>17011.866643200003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D21-INFRAESTRUTURA!D29</f>
        <v>98.155200000000036</v>
      </c>
      <c r="E22" s="88">
        <v>14.55</v>
      </c>
      <c r="F22" s="106">
        <f>E22*D22*1.1</f>
        <v>1570.9739760000009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425.33920000000006</v>
      </c>
      <c r="E23" s="88">
        <v>45.45</v>
      </c>
      <c r="F23" s="106">
        <f>E23*D23*1.1</f>
        <v>21264.833304000003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INFRAESTRUTURA!D19</f>
        <v>569.50791624275769</v>
      </c>
      <c r="E24" s="88">
        <v>68.180000000000007</v>
      </c>
      <c r="F24" s="106">
        <f>E24*D24*1.1</f>
        <v>42711.954702374351</v>
      </c>
      <c r="G24" s="67"/>
    </row>
    <row r="25" spans="1:11" s="55" customFormat="1" ht="21.75" x14ac:dyDescent="0.25">
      <c r="A25" s="215" t="s">
        <v>17</v>
      </c>
      <c r="B25" s="215"/>
      <c r="C25" s="215"/>
      <c r="D25" s="215"/>
      <c r="E25" s="215"/>
      <c r="F25" s="90">
        <f>SUM(F21:F24)</f>
        <v>82559.628625574362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220" t="s">
        <v>5</v>
      </c>
      <c r="C29" s="221"/>
      <c r="D29" s="65" t="s">
        <v>158</v>
      </c>
      <c r="E29" s="101" t="s">
        <v>159</v>
      </c>
      <c r="F29" s="90" t="s">
        <v>16</v>
      </c>
      <c r="G29" s="90" t="s">
        <v>303</v>
      </c>
    </row>
    <row r="30" spans="1:11" ht="43.5" x14ac:dyDescent="0.25">
      <c r="A30" s="70" t="s">
        <v>302</v>
      </c>
      <c r="B30" s="62">
        <v>0.8</v>
      </c>
      <c r="C30" s="62" t="s">
        <v>113</v>
      </c>
      <c r="D30" s="72">
        <f>B30*DADOS_INICIAIS!E25</f>
        <v>402.68800000000005</v>
      </c>
      <c r="E30" s="88">
        <f>370*0.1</f>
        <v>37</v>
      </c>
      <c r="F30" s="106">
        <f>E30*D30*1.1</f>
        <v>16389.401600000005</v>
      </c>
      <c r="G30" s="67" t="s">
        <v>304</v>
      </c>
      <c r="H30" s="1">
        <f>F30/DADOS_INICIAIS!E25</f>
        <v>32.560000000000009</v>
      </c>
      <c r="I30" s="100"/>
    </row>
    <row r="31" spans="1:11" ht="21.75" x14ac:dyDescent="0.25">
      <c r="A31" s="215" t="s">
        <v>17</v>
      </c>
      <c r="B31" s="215"/>
      <c r="C31" s="215"/>
      <c r="D31" s="215"/>
      <c r="E31" s="215"/>
      <c r="F31" s="90">
        <f>SUM(F30:F30)</f>
        <v>16389.401600000005</v>
      </c>
      <c r="G31" s="90"/>
    </row>
    <row r="33" spans="1:7" ht="23.25" customHeight="1" x14ac:dyDescent="0.25">
      <c r="A33" s="212" t="s">
        <v>103</v>
      </c>
      <c r="B33" s="213"/>
      <c r="C33" s="213"/>
      <c r="D33" s="213"/>
      <c r="E33" s="214"/>
      <c r="F33" s="108">
        <f>F10+F16+F25+F31</f>
        <v>125349.03022557436</v>
      </c>
      <c r="G33" s="108">
        <f>F33/DADOS_INICIAIS!E9</f>
        <v>16.640231070090543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16" t="s">
        <v>166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7" t="s">
        <v>186</v>
      </c>
      <c r="B4" s="193"/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300</v>
      </c>
      <c r="B5" s="188"/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75.504000000000005</v>
      </c>
      <c r="E10" s="67" t="s">
        <v>3</v>
      </c>
      <c r="F10" s="92"/>
      <c r="G10" s="93"/>
      <c r="H10" s="102"/>
    </row>
    <row r="11" spans="1:10" ht="21.75" x14ac:dyDescent="0.25">
      <c r="A11" s="225" t="s">
        <v>162</v>
      </c>
      <c r="B11" s="76">
        <v>0.1</v>
      </c>
      <c r="C11" s="62"/>
      <c r="D11" s="67">
        <f>B11*$D$10</f>
        <v>7.5504000000000007</v>
      </c>
      <c r="E11" s="67" t="s">
        <v>3</v>
      </c>
      <c r="F11" s="92"/>
      <c r="G11" s="93"/>
      <c r="H11" s="102"/>
    </row>
    <row r="12" spans="1:10" ht="21.75" x14ac:dyDescent="0.25">
      <c r="A12" s="226"/>
      <c r="B12" s="77">
        <v>20</v>
      </c>
      <c r="C12" s="62" t="s">
        <v>163</v>
      </c>
      <c r="D12" s="67">
        <f>B12*D11</f>
        <v>151.00800000000001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225" t="s">
        <v>161</v>
      </c>
      <c r="B13" s="76">
        <v>0.5</v>
      </c>
      <c r="C13" s="62"/>
      <c r="D13" s="67">
        <f>B13*$D$10</f>
        <v>37.752000000000002</v>
      </c>
      <c r="E13" s="67" t="s">
        <v>3</v>
      </c>
      <c r="F13" s="92"/>
      <c r="G13" s="93"/>
      <c r="H13" s="102"/>
    </row>
    <row r="14" spans="1:10" ht="21.75" x14ac:dyDescent="0.25">
      <c r="A14" s="226"/>
      <c r="B14" s="77">
        <v>20</v>
      </c>
      <c r="C14" s="62" t="s">
        <v>163</v>
      </c>
      <c r="D14" s="67">
        <f>B14*D13</f>
        <v>755.04000000000008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225" t="s">
        <v>114</v>
      </c>
      <c r="B15" s="76">
        <v>0.4</v>
      </c>
      <c r="C15" s="62" t="s">
        <v>108</v>
      </c>
      <c r="D15" s="67">
        <f>B15*$D$10</f>
        <v>30.201600000000003</v>
      </c>
      <c r="E15" s="67" t="s">
        <v>3</v>
      </c>
      <c r="F15" s="92"/>
      <c r="G15" s="93"/>
      <c r="H15" s="102"/>
    </row>
    <row r="16" spans="1:10" ht="21.75" x14ac:dyDescent="0.25">
      <c r="A16" s="226"/>
      <c r="B16" s="77">
        <v>20</v>
      </c>
      <c r="C16" s="62" t="s">
        <v>163</v>
      </c>
      <c r="D16" s="67">
        <f>B16*D15</f>
        <v>604.03200000000004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256.17903665397529</v>
      </c>
      <c r="C17" s="62" t="s">
        <v>108</v>
      </c>
      <c r="D17" s="67">
        <f>(PI()*0.4^2)/4*D14+(PI()*0.5^2)/4*D16+(PI()*0.6^2)/4*D12</f>
        <v>256.17903665397529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424.62011428571435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2607.4767085714288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15" t="s">
        <v>17</v>
      </c>
      <c r="B21" s="215"/>
      <c r="C21" s="215"/>
      <c r="D21" s="215"/>
      <c r="E21" s="215"/>
      <c r="F21" s="215"/>
      <c r="G21" s="90">
        <f>SUM(G10:G20)</f>
        <v>0</v>
      </c>
      <c r="H21" s="103"/>
    </row>
    <row r="23" spans="1:8" ht="21.75" x14ac:dyDescent="0.25">
      <c r="A23" s="52" t="s">
        <v>301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220" t="s">
        <v>5</v>
      </c>
      <c r="C25" s="221"/>
      <c r="D25" s="220" t="s">
        <v>18</v>
      </c>
      <c r="E25" s="221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1057.056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327.18400000000003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35990.240000000005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503.36</v>
      </c>
      <c r="E29" s="67" t="s">
        <v>2</v>
      </c>
      <c r="F29" s="88">
        <f>B29</f>
        <v>360</v>
      </c>
      <c r="G29" s="89">
        <f>F29*D29</f>
        <v>181209.60000000001</v>
      </c>
      <c r="H29" s="102"/>
    </row>
    <row r="30" spans="1:8" ht="21.75" x14ac:dyDescent="0.25">
      <c r="A30" s="215" t="s">
        <v>17</v>
      </c>
      <c r="B30" s="215"/>
      <c r="C30" s="215"/>
      <c r="D30" s="215"/>
      <c r="E30" s="215"/>
      <c r="F30" s="215"/>
      <c r="G30" s="90">
        <f>SUM(G26:G29)</f>
        <v>181209.60000000001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220" t="s">
        <v>5</v>
      </c>
      <c r="C35" s="221"/>
      <c r="D35" s="220" t="s">
        <v>18</v>
      </c>
      <c r="E35" s="221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SUPRAESTRUTURA!B71*1.5</f>
        <v>0</v>
      </c>
      <c r="C39" s="62" t="s">
        <v>102</v>
      </c>
      <c r="D39" s="67">
        <f>DADOS_INICIAIS!E35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15" t="s">
        <v>17</v>
      </c>
      <c r="B40" s="215"/>
      <c r="C40" s="215"/>
      <c r="D40" s="215"/>
      <c r="E40" s="215"/>
      <c r="F40" s="215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222" t="s">
        <v>104</v>
      </c>
      <c r="B46" s="223"/>
      <c r="C46" s="223"/>
      <c r="D46" s="223"/>
      <c r="E46" s="223"/>
      <c r="F46" s="224"/>
      <c r="G46" s="91">
        <f>G21+G30</f>
        <v>181209.60000000001</v>
      </c>
      <c r="H46" s="91">
        <f>G46/DADOS_INICIAIS!E9</f>
        <v>24.05578735385755</v>
      </c>
    </row>
  </sheetData>
  <mergeCells count="14">
    <mergeCell ref="A15:A16"/>
    <mergeCell ref="A3:H3"/>
    <mergeCell ref="B9:C9"/>
    <mergeCell ref="D9:E9"/>
    <mergeCell ref="A11:A12"/>
    <mergeCell ref="A13:A14"/>
    <mergeCell ref="A21:F21"/>
    <mergeCell ref="B25:C25"/>
    <mergeCell ref="D25:E25"/>
    <mergeCell ref="A30:F30"/>
    <mergeCell ref="A46:F46"/>
    <mergeCell ref="B35:C35"/>
    <mergeCell ref="D35:E35"/>
    <mergeCell ref="A40:F4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38"/>
  <sheetViews>
    <sheetView showGridLines="0" tabSelected="1" topLeftCell="A8" zoomScale="80" zoomScaleNormal="80" zoomScaleSheetLayoutView="95" workbookViewId="0">
      <selection activeCell="F12" sqref="F12:F18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16" t="s">
        <v>122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7" t="s">
        <v>186</v>
      </c>
      <c r="B4" s="193">
        <v>45472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300</v>
      </c>
      <c r="B5" s="194" t="s">
        <v>215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 t="s">
        <v>382</v>
      </c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20" t="s">
        <v>5</v>
      </c>
      <c r="C9" s="221"/>
      <c r="D9" s="220" t="s">
        <v>18</v>
      </c>
      <c r="E9" s="221"/>
      <c r="F9" s="101" t="s">
        <v>118</v>
      </c>
      <c r="G9" s="90" t="s">
        <v>16</v>
      </c>
      <c r="H9" s="90" t="s">
        <v>303</v>
      </c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ROUNDUP(B10*DADOS_INICIAIS!$E$25,0)</f>
        <v>76</v>
      </c>
      <c r="E10" s="67" t="s">
        <v>3</v>
      </c>
      <c r="F10" s="92"/>
      <c r="G10" s="93"/>
      <c r="H10" s="67" t="s">
        <v>347</v>
      </c>
    </row>
    <row r="11" spans="1:10" ht="21.75" x14ac:dyDescent="0.25">
      <c r="A11" s="225" t="s">
        <v>162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1.75" x14ac:dyDescent="0.25">
      <c r="A12" s="226"/>
      <c r="B12" s="77">
        <v>32</v>
      </c>
      <c r="C12" s="62" t="s">
        <v>163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225" t="s">
        <v>161</v>
      </c>
      <c r="B13" s="76">
        <v>0.6</v>
      </c>
      <c r="C13" s="62"/>
      <c r="D13" s="67">
        <f>ROUNDUP(B13*D10,0)</f>
        <v>46</v>
      </c>
      <c r="E13" s="67" t="s">
        <v>3</v>
      </c>
      <c r="F13" s="92"/>
      <c r="G13" s="93"/>
      <c r="H13" s="67"/>
    </row>
    <row r="14" spans="1:10" ht="21.75" x14ac:dyDescent="0.25">
      <c r="A14" s="226"/>
      <c r="B14" s="77">
        <v>32</v>
      </c>
      <c r="C14" s="62" t="s">
        <v>163</v>
      </c>
      <c r="D14" s="67">
        <f>B14*D13</f>
        <v>1472</v>
      </c>
      <c r="E14" s="67" t="s">
        <v>4</v>
      </c>
      <c r="F14" s="88">
        <v>60.55</v>
      </c>
      <c r="G14" s="89">
        <f>F14*D14*1.1</f>
        <v>98042.559999999998</v>
      </c>
      <c r="H14" s="67"/>
    </row>
    <row r="15" spans="1:10" ht="21.75" x14ac:dyDescent="0.25">
      <c r="A15" s="225" t="s">
        <v>114</v>
      </c>
      <c r="B15" s="76">
        <v>0.4</v>
      </c>
      <c r="C15" s="62" t="s">
        <v>108</v>
      </c>
      <c r="D15" s="67">
        <f>ROUNDUP(B15*$D$10,0)</f>
        <v>31</v>
      </c>
      <c r="E15" s="67" t="s">
        <v>3</v>
      </c>
      <c r="F15" s="92"/>
      <c r="G15" s="93"/>
      <c r="H15" s="67"/>
    </row>
    <row r="16" spans="1:10" ht="21.75" x14ac:dyDescent="0.25">
      <c r="A16" s="226"/>
      <c r="B16" s="77">
        <v>32</v>
      </c>
      <c r="C16" s="62" t="s">
        <v>163</v>
      </c>
      <c r="D16" s="67">
        <f>B16*D15</f>
        <v>992</v>
      </c>
      <c r="E16" s="67" t="s">
        <v>4</v>
      </c>
      <c r="F16" s="88">
        <v>70.8</v>
      </c>
      <c r="G16" s="89">
        <f>F16*D16*1.1</f>
        <v>77256.959999999992</v>
      </c>
      <c r="H16" s="67"/>
    </row>
    <row r="17" spans="1:8" ht="21.75" x14ac:dyDescent="0.25">
      <c r="A17" s="225" t="s">
        <v>336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8" ht="21.75" x14ac:dyDescent="0.25">
      <c r="A18" s="226"/>
      <c r="B18" s="77">
        <v>32</v>
      </c>
      <c r="C18" s="62" t="s">
        <v>163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305</v>
      </c>
      <c r="B19" s="62">
        <v>1.3</v>
      </c>
      <c r="C19" s="62" t="s">
        <v>318</v>
      </c>
      <c r="D19" s="67">
        <f>(PI()*((0.4^2)/4)*D12+PI()*((0.5^2)/4)*D14+PI()*((0.6^2)/4)*D16)</f>
        <v>569.50791624275769</v>
      </c>
      <c r="E19" s="67" t="s">
        <v>22</v>
      </c>
      <c r="F19" s="88">
        <f>(535+45+(1.67*0.6))*B19</f>
        <v>755.30259999999998</v>
      </c>
      <c r="G19" s="89">
        <f>F19*D19*1.1</f>
        <v>473165.89084461087</v>
      </c>
      <c r="H19" s="67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>
        <v>12500</v>
      </c>
      <c r="G20" s="89">
        <f>F20*D20*1.1</f>
        <v>13750.000000000002</v>
      </c>
      <c r="H20" s="67"/>
    </row>
    <row r="21" spans="1:8" ht="21.75" x14ac:dyDescent="0.25">
      <c r="A21" s="66" t="s">
        <v>306</v>
      </c>
      <c r="B21" s="62"/>
      <c r="C21" s="62"/>
      <c r="D21" s="67">
        <f>D10</f>
        <v>76</v>
      </c>
      <c r="E21" s="67" t="s">
        <v>3</v>
      </c>
      <c r="F21" s="88">
        <v>300</v>
      </c>
      <c r="G21" s="89">
        <f>F21*D21*1</f>
        <v>22800</v>
      </c>
      <c r="H21" s="67"/>
    </row>
    <row r="22" spans="1:8" ht="21.75" x14ac:dyDescent="0.25">
      <c r="A22" s="66" t="s">
        <v>337</v>
      </c>
      <c r="B22" s="62">
        <v>12</v>
      </c>
      <c r="C22" s="62" t="s">
        <v>34</v>
      </c>
      <c r="D22" s="67">
        <f>B22*D19</f>
        <v>6834.0949949130918</v>
      </c>
      <c r="E22" s="67" t="s">
        <v>26</v>
      </c>
      <c r="F22" s="88">
        <v>7.62</v>
      </c>
      <c r="G22" s="89">
        <f>F22*D22*1.1</f>
        <v>57283.384247361537</v>
      </c>
      <c r="H22" s="67"/>
    </row>
    <row r="23" spans="1:8" ht="21.75" x14ac:dyDescent="0.25">
      <c r="A23" s="215" t="s">
        <v>17</v>
      </c>
      <c r="B23" s="215"/>
      <c r="C23" s="215"/>
      <c r="D23" s="215"/>
      <c r="E23" s="215"/>
      <c r="F23" s="215"/>
      <c r="G23" s="90">
        <f>SUM(G10:G22)</f>
        <v>742298.79509197245</v>
      </c>
      <c r="H23" s="90"/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220" t="s">
        <v>5</v>
      </c>
      <c r="C27" s="221"/>
      <c r="D27" s="220" t="s">
        <v>18</v>
      </c>
      <c r="E27" s="221"/>
      <c r="F27" s="101" t="s">
        <v>118</v>
      </c>
      <c r="G27" s="90" t="s">
        <v>16</v>
      </c>
      <c r="H27" s="90" t="s">
        <v>303</v>
      </c>
    </row>
    <row r="28" spans="1:8" ht="43.5" x14ac:dyDescent="0.25">
      <c r="A28" s="66" t="s">
        <v>111</v>
      </c>
      <c r="B28" s="62">
        <v>1.1000000000000001</v>
      </c>
      <c r="C28" s="62" t="s">
        <v>113</v>
      </c>
      <c r="D28" s="67">
        <f>B28*DADOS_INICIAIS!E25</f>
        <v>553.69600000000003</v>
      </c>
      <c r="E28" s="67" t="s">
        <v>2</v>
      </c>
      <c r="F28" s="88">
        <v>68</v>
      </c>
      <c r="G28" s="89">
        <f>F28*D28*1.1</f>
        <v>41416.460800000008</v>
      </c>
      <c r="H28" s="67"/>
    </row>
    <row r="29" spans="1:8" ht="21.75" x14ac:dyDescent="0.25">
      <c r="A29" s="66" t="s">
        <v>305</v>
      </c>
      <c r="B29" s="62">
        <v>0.65</v>
      </c>
      <c r="C29" s="62" t="s">
        <v>112</v>
      </c>
      <c r="D29" s="67">
        <f>B29*DADOS_INICIAIS!E25</f>
        <v>327.18400000000003</v>
      </c>
      <c r="E29" s="67" t="s">
        <v>22</v>
      </c>
      <c r="F29" s="88">
        <f>(535+45+(1.67*0.6))*1.05</f>
        <v>610.0521</v>
      </c>
      <c r="G29" s="89">
        <f>F29*D29*1.1</f>
        <v>219559.21491504004</v>
      </c>
      <c r="H29" s="67"/>
    </row>
    <row r="30" spans="1:8" ht="21.75" x14ac:dyDescent="0.25">
      <c r="A30" s="66" t="s">
        <v>23</v>
      </c>
      <c r="B30" s="62">
        <v>80</v>
      </c>
      <c r="C30" s="62" t="s">
        <v>34</v>
      </c>
      <c r="D30" s="67">
        <f>B30*D29</f>
        <v>26174.720000000001</v>
      </c>
      <c r="E30" s="67" t="s">
        <v>26</v>
      </c>
      <c r="F30" s="88">
        <v>7.62</v>
      </c>
      <c r="G30" s="89">
        <f>F30*D30*1.1</f>
        <v>219396.50304000001</v>
      </c>
      <c r="H30" s="67" t="s">
        <v>347</v>
      </c>
    </row>
    <row r="31" spans="1:8" ht="21.75" x14ac:dyDescent="0.25">
      <c r="A31" s="66" t="s">
        <v>346</v>
      </c>
      <c r="B31" s="62">
        <v>1</v>
      </c>
      <c r="C31" s="62" t="s">
        <v>113</v>
      </c>
      <c r="D31" s="67">
        <f>B31*DADOS_INICIAIS!E25</f>
        <v>503.36</v>
      </c>
      <c r="E31" s="67" t="s">
        <v>2</v>
      </c>
      <c r="F31" s="88">
        <v>180</v>
      </c>
      <c r="G31" s="89">
        <f>F31*D31*1.1</f>
        <v>99665.280000000013</v>
      </c>
      <c r="H31" s="67"/>
    </row>
    <row r="32" spans="1:8" ht="21.75" x14ac:dyDescent="0.25">
      <c r="A32" s="66" t="s">
        <v>25</v>
      </c>
      <c r="B32" s="62">
        <f>SUPRAESTRUTURA!B30*1.5</f>
        <v>420</v>
      </c>
      <c r="C32" s="62" t="s">
        <v>102</v>
      </c>
      <c r="D32" s="67">
        <f>DADOS_INICIAIS!E25</f>
        <v>503.36</v>
      </c>
      <c r="E32" s="67" t="s">
        <v>2</v>
      </c>
      <c r="F32" s="88">
        <f>B32</f>
        <v>420</v>
      </c>
      <c r="G32" s="89">
        <f>F32*D32*1.1</f>
        <v>232552.32000000004</v>
      </c>
      <c r="H32" s="67"/>
    </row>
    <row r="33" spans="1:8" ht="21.75" x14ac:dyDescent="0.25">
      <c r="A33" s="215" t="s">
        <v>17</v>
      </c>
      <c r="B33" s="215"/>
      <c r="C33" s="215"/>
      <c r="D33" s="215"/>
      <c r="E33" s="215"/>
      <c r="F33" s="215"/>
      <c r="G33" s="90">
        <f>SUM(G28:G32)</f>
        <v>812589.77875504014</v>
      </c>
      <c r="H33" s="90"/>
    </row>
    <row r="35" spans="1:8" x14ac:dyDescent="0.25">
      <c r="D35" s="86"/>
      <c r="E35" s="87"/>
    </row>
    <row r="36" spans="1:8" ht="21.75" x14ac:dyDescent="0.25">
      <c r="A36" s="222" t="s">
        <v>104</v>
      </c>
      <c r="B36" s="223"/>
      <c r="C36" s="223"/>
      <c r="D36" s="223"/>
      <c r="E36" s="223"/>
      <c r="F36" s="224"/>
      <c r="G36" s="91">
        <f>G23+G33</f>
        <v>1554888.5738470126</v>
      </c>
      <c r="H36" s="91">
        <f>G36/DADOS_INICIAIS!E9</f>
        <v>206.41328545180036</v>
      </c>
    </row>
    <row r="38" spans="1:8" x14ac:dyDescent="0.25">
      <c r="H38" s="94">
        <f>H36/1.1</f>
        <v>187.64844131981849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6"/>
  <sheetViews>
    <sheetView showGridLines="0" zoomScale="80" zoomScaleNormal="80" zoomScaleSheetLayoutView="95" workbookViewId="0">
      <selection activeCell="F26" sqref="A26:F27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6" t="s">
        <v>28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7" t="s">
        <v>186</v>
      </c>
      <c r="B4" s="193">
        <v>45472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300</v>
      </c>
      <c r="B5" s="194" t="s">
        <v>215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hidden="1" x14ac:dyDescent="0.25">
      <c r="A7" s="52" t="s">
        <v>311</v>
      </c>
      <c r="B7" s="52"/>
      <c r="C7" s="52"/>
      <c r="D7" s="53"/>
      <c r="E7" s="53"/>
      <c r="F7" s="54"/>
      <c r="G7" s="53"/>
      <c r="H7" s="53"/>
    </row>
    <row r="8" spans="1:10" ht="21.75" hidden="1" x14ac:dyDescent="0.25">
      <c r="A8" s="56"/>
      <c r="B8" s="56"/>
      <c r="C8" s="56"/>
      <c r="D8" s="57"/>
      <c r="E8" s="57"/>
      <c r="F8" s="58"/>
      <c r="G8" s="59"/>
      <c r="H8" s="59"/>
    </row>
    <row r="9" spans="1:10" ht="42" hidden="1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303</v>
      </c>
    </row>
    <row r="10" spans="1:10" ht="21.75" hidden="1" x14ac:dyDescent="0.25">
      <c r="A10" s="66" t="s">
        <v>29</v>
      </c>
      <c r="B10" s="62">
        <v>3</v>
      </c>
      <c r="C10" s="62" t="s">
        <v>310</v>
      </c>
      <c r="D10" s="67">
        <f>(D11/DADOS_INICIAIS!$E$15)*B10</f>
        <v>2354.0281250000003</v>
      </c>
      <c r="E10" s="67" t="s">
        <v>2</v>
      </c>
      <c r="F10" s="88">
        <v>110</v>
      </c>
      <c r="G10" s="89">
        <f>F10*D10*1.1</f>
        <v>284837.40312500007</v>
      </c>
      <c r="H10" s="67"/>
    </row>
    <row r="11" spans="1:10" ht="21.75" hidden="1" x14ac:dyDescent="0.25">
      <c r="A11" s="78" t="s">
        <v>30</v>
      </c>
      <c r="B11" s="62">
        <v>2.5</v>
      </c>
      <c r="C11" s="62" t="s">
        <v>37</v>
      </c>
      <c r="D11" s="67">
        <f>B11*DADOS_INICIAIS!$E$9</f>
        <v>18832.225000000002</v>
      </c>
      <c r="E11" s="67" t="s">
        <v>2</v>
      </c>
      <c r="F11" s="88">
        <v>2.5</v>
      </c>
      <c r="G11" s="89">
        <f>F11*D11*1.1</f>
        <v>51788.618750000009</v>
      </c>
      <c r="H11" s="67"/>
    </row>
    <row r="12" spans="1:10" ht="21.75" hidden="1" x14ac:dyDescent="0.25">
      <c r="A12" s="78" t="s">
        <v>320</v>
      </c>
      <c r="B12" s="62">
        <v>4</v>
      </c>
      <c r="C12" s="62" t="s">
        <v>165</v>
      </c>
      <c r="D12" s="67">
        <f>ROUNDUP(B12*DADOS_INICIAIS!$E$25*B10,0)</f>
        <v>6041</v>
      </c>
      <c r="E12" s="67" t="s">
        <v>3</v>
      </c>
      <c r="F12" s="88">
        <f>17</f>
        <v>17</v>
      </c>
      <c r="G12" s="89">
        <f>F12*D12*1.1</f>
        <v>112966.70000000001</v>
      </c>
      <c r="H12" s="67"/>
      <c r="I12" s="196"/>
    </row>
    <row r="13" spans="1:10" ht="21.75" hidden="1" x14ac:dyDescent="0.25">
      <c r="A13" s="66" t="s">
        <v>99</v>
      </c>
      <c r="B13" s="62">
        <v>0.22</v>
      </c>
      <c r="C13" s="62" t="s">
        <v>38</v>
      </c>
      <c r="D13" s="67">
        <f>B13*DADOS_INICIAIS!$E$9</f>
        <v>1657.2358000000002</v>
      </c>
      <c r="E13" s="67" t="s">
        <v>22</v>
      </c>
      <c r="F13" s="88">
        <f>535+45</f>
        <v>580</v>
      </c>
      <c r="G13" s="89">
        <f>F13*D13*1.05*1.1</f>
        <v>1110182.2624200003</v>
      </c>
      <c r="H13" s="67"/>
    </row>
    <row r="14" spans="1:10" ht="21.75" hidden="1" x14ac:dyDescent="0.25">
      <c r="A14" s="66" t="s">
        <v>31</v>
      </c>
      <c r="B14" s="62">
        <v>110</v>
      </c>
      <c r="C14" s="62" t="s">
        <v>34</v>
      </c>
      <c r="D14" s="67">
        <f>D13*B14</f>
        <v>182295.93800000002</v>
      </c>
      <c r="E14" s="67" t="s">
        <v>26</v>
      </c>
      <c r="F14" s="88">
        <v>7.62</v>
      </c>
      <c r="G14" s="89">
        <f>F14*D14*1.1</f>
        <v>1528004.5523160002</v>
      </c>
      <c r="H14" s="67"/>
    </row>
    <row r="15" spans="1:10" ht="43.5" hidden="1" x14ac:dyDescent="0.25">
      <c r="A15" s="66" t="s">
        <v>101</v>
      </c>
      <c r="B15" s="62">
        <v>240</v>
      </c>
      <c r="C15" s="62" t="s">
        <v>6</v>
      </c>
      <c r="D15" s="67">
        <f>DADOS_INICIAIS!$E$9</f>
        <v>7532.89</v>
      </c>
      <c r="E15" s="67" t="s">
        <v>2</v>
      </c>
      <c r="F15" s="88">
        <f>B15</f>
        <v>240</v>
      </c>
      <c r="G15" s="89">
        <f>F15*D15*1.1</f>
        <v>1988682.9600000002</v>
      </c>
      <c r="H15" s="67"/>
    </row>
    <row r="16" spans="1:10" ht="43.5" hidden="1" x14ac:dyDescent="0.25">
      <c r="A16" s="66" t="s">
        <v>307</v>
      </c>
      <c r="B16" s="62">
        <v>5300</v>
      </c>
      <c r="C16" s="62" t="s">
        <v>308</v>
      </c>
      <c r="D16" s="67">
        <v>1</v>
      </c>
      <c r="E16" s="67" t="s">
        <v>27</v>
      </c>
      <c r="F16" s="88">
        <f>B16*DADOS_INICIAIS!$E$15</f>
        <v>127200</v>
      </c>
      <c r="G16" s="89">
        <f>F16*D16*1.1</f>
        <v>139920</v>
      </c>
      <c r="H16" s="67" t="s">
        <v>309</v>
      </c>
      <c r="I16" s="55" t="s">
        <v>313</v>
      </c>
    </row>
    <row r="17" spans="1:12" ht="21.75" hidden="1" x14ac:dyDescent="0.25">
      <c r="A17" s="215" t="s">
        <v>17</v>
      </c>
      <c r="B17" s="215"/>
      <c r="C17" s="215"/>
      <c r="D17" s="215"/>
      <c r="E17" s="215"/>
      <c r="F17" s="215"/>
      <c r="G17" s="90">
        <f>SUM(G10:G16)</f>
        <v>5216382.496611001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202" t="s">
        <v>367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220" t="s">
        <v>5</v>
      </c>
      <c r="C21" s="221"/>
      <c r="D21" s="220" t="s">
        <v>18</v>
      </c>
      <c r="E21" s="221"/>
      <c r="F21" s="65" t="s">
        <v>118</v>
      </c>
      <c r="G21" s="71" t="s">
        <v>16</v>
      </c>
      <c r="H21" s="90" t="s">
        <v>303</v>
      </c>
    </row>
    <row r="22" spans="1:12" ht="21.75" x14ac:dyDescent="0.25">
      <c r="A22" s="66" t="s">
        <v>29</v>
      </c>
      <c r="B22" s="62">
        <v>3</v>
      </c>
      <c r="C22" s="62" t="s">
        <v>310</v>
      </c>
      <c r="D22" s="67">
        <f>(D23/DADOS_INICIAIS!$E$15)*B22</f>
        <v>1035.7723750000002</v>
      </c>
      <c r="E22" s="67" t="s">
        <v>2</v>
      </c>
      <c r="F22" s="88">
        <v>110</v>
      </c>
      <c r="G22" s="89">
        <f>F22*D22*1.1</f>
        <v>125328.45737500003</v>
      </c>
      <c r="H22" s="67"/>
    </row>
    <row r="23" spans="1:12" ht="21.75" x14ac:dyDescent="0.25">
      <c r="A23" s="78" t="s">
        <v>30</v>
      </c>
      <c r="B23" s="62">
        <v>1.1000000000000001</v>
      </c>
      <c r="C23" s="62" t="s">
        <v>37</v>
      </c>
      <c r="D23" s="67">
        <f>B23*DADOS_INICIAIS!$E$9</f>
        <v>8286.1790000000019</v>
      </c>
      <c r="E23" s="67" t="s">
        <v>2</v>
      </c>
      <c r="F23" s="88">
        <v>2.5</v>
      </c>
      <c r="G23" s="89">
        <f>F23*D23*1.1</f>
        <v>22786.992250000007</v>
      </c>
      <c r="H23" s="67"/>
    </row>
    <row r="24" spans="1:12" ht="21.75" x14ac:dyDescent="0.25">
      <c r="A24" s="78" t="s">
        <v>320</v>
      </c>
      <c r="B24" s="62"/>
      <c r="C24" s="62" t="s">
        <v>164</v>
      </c>
      <c r="D24" s="67">
        <f>DADOS_INICIAIS!$E$9-DADOS_INICIAIS!$E$25</f>
        <v>7029.5300000000007</v>
      </c>
      <c r="E24" s="67" t="s">
        <v>2</v>
      </c>
      <c r="F24" s="88">
        <v>22</v>
      </c>
      <c r="G24" s="89">
        <f>F24*D24*1.1</f>
        <v>170114.62600000002</v>
      </c>
      <c r="H24" s="67"/>
      <c r="I24" s="55" t="s">
        <v>368</v>
      </c>
    </row>
    <row r="25" spans="1:12" ht="21.75" x14ac:dyDescent="0.25">
      <c r="A25" s="66" t="s">
        <v>116</v>
      </c>
      <c r="B25" s="62">
        <v>25</v>
      </c>
      <c r="C25" s="62" t="s">
        <v>6</v>
      </c>
      <c r="D25" s="67">
        <f>DADOS_INICIAIS!$E$9-DADOS_INICIAIS!$E$25</f>
        <v>7029.5300000000007</v>
      </c>
      <c r="E25" s="67" t="s">
        <v>2</v>
      </c>
      <c r="F25" s="88">
        <v>15</v>
      </c>
      <c r="G25" s="89">
        <f>F25*D25*1.1</f>
        <v>115987.24500000002</v>
      </c>
      <c r="H25" s="67">
        <f>ROUNDUP(DADOS_INICIAIS!E19*B22,0)</f>
        <v>702</v>
      </c>
      <c r="I25" s="55" t="s">
        <v>368</v>
      </c>
    </row>
    <row r="26" spans="1:12" ht="21.75" x14ac:dyDescent="0.25">
      <c r="A26" s="78" t="s">
        <v>341</v>
      </c>
      <c r="B26" s="195"/>
      <c r="C26" s="195"/>
      <c r="D26" s="67">
        <f>DADOS_INICIAIS!$E$9-DADOS_INICIAIS!$E$25-48.02-23.98</f>
        <v>6957.5300000000007</v>
      </c>
      <c r="E26" s="67" t="s">
        <v>2</v>
      </c>
      <c r="F26" s="88">
        <v>11.5</v>
      </c>
      <c r="G26" s="89">
        <f t="shared" ref="G26:G27" si="0">F26*D26*1.1</f>
        <v>88012.75450000001</v>
      </c>
      <c r="H26" s="67"/>
      <c r="I26" s="55" t="s">
        <v>368</v>
      </c>
    </row>
    <row r="27" spans="1:12" ht="21.75" x14ac:dyDescent="0.25">
      <c r="A27" s="66" t="s">
        <v>343</v>
      </c>
      <c r="B27" s="195"/>
      <c r="C27" s="195"/>
      <c r="D27" s="67">
        <f>D26</f>
        <v>6957.5300000000007</v>
      </c>
      <c r="E27" s="67" t="s">
        <v>2</v>
      </c>
      <c r="F27" s="88">
        <v>11.5</v>
      </c>
      <c r="G27" s="89">
        <f t="shared" si="0"/>
        <v>88012.75450000001</v>
      </c>
      <c r="H27" s="67"/>
      <c r="I27" s="55" t="s">
        <v>368</v>
      </c>
    </row>
    <row r="28" spans="1:12" ht="21.75" x14ac:dyDescent="0.25">
      <c r="A28" s="66" t="s">
        <v>99</v>
      </c>
      <c r="B28" s="62">
        <v>0.25</v>
      </c>
      <c r="C28" s="62" t="s">
        <v>38</v>
      </c>
      <c r="D28" s="67">
        <f>B28*DADOS_INICIAIS!$E$9</f>
        <v>1883.2225000000001</v>
      </c>
      <c r="E28" s="67" t="s">
        <v>22</v>
      </c>
      <c r="F28" s="88">
        <f>(535+45+(1.67*0.6))*1.05</f>
        <v>610.0521</v>
      </c>
      <c r="G28" s="89">
        <f>F28*D28*1.1</f>
        <v>1263750.2249814752</v>
      </c>
      <c r="H28" s="67"/>
    </row>
    <row r="29" spans="1:12" ht="21.75" x14ac:dyDescent="0.25">
      <c r="A29" s="66" t="s">
        <v>31</v>
      </c>
      <c r="B29" s="62">
        <v>100</v>
      </c>
      <c r="C29" s="62" t="s">
        <v>34</v>
      </c>
      <c r="D29" s="67">
        <f>D28*B29</f>
        <v>188322.25</v>
      </c>
      <c r="E29" s="67" t="s">
        <v>26</v>
      </c>
      <c r="F29" s="88">
        <v>7.62</v>
      </c>
      <c r="G29" s="89">
        <f>F29*D29*1.1</f>
        <v>1578517.0995</v>
      </c>
      <c r="H29" s="67"/>
    </row>
    <row r="30" spans="1:12" ht="43.5" x14ac:dyDescent="0.25">
      <c r="A30" s="66" t="s">
        <v>101</v>
      </c>
      <c r="B30" s="62">
        <v>280</v>
      </c>
      <c r="C30" s="62" t="s">
        <v>6</v>
      </c>
      <c r="D30" s="67">
        <f>DADOS_INICIAIS!$E$9</f>
        <v>7532.89</v>
      </c>
      <c r="E30" s="67" t="s">
        <v>2</v>
      </c>
      <c r="F30" s="88">
        <f>B30</f>
        <v>280</v>
      </c>
      <c r="G30" s="89">
        <f>F30*D30*1.1</f>
        <v>2320130.1200000006</v>
      </c>
      <c r="H30" s="67"/>
    </row>
    <row r="31" spans="1:12" ht="43.5" x14ac:dyDescent="0.25">
      <c r="A31" s="66" t="s">
        <v>307</v>
      </c>
      <c r="B31" s="62">
        <v>2300</v>
      </c>
      <c r="C31" s="62" t="s">
        <v>308</v>
      </c>
      <c r="D31" s="67">
        <v>1</v>
      </c>
      <c r="E31" s="67" t="s">
        <v>27</v>
      </c>
      <c r="F31" s="88">
        <f>B31*DADOS_INICIAIS!$E$15</f>
        <v>55200</v>
      </c>
      <c r="G31" s="89">
        <f>F31*D31*1.1</f>
        <v>60720.000000000007</v>
      </c>
      <c r="H31" s="67" t="s">
        <v>309</v>
      </c>
    </row>
    <row r="32" spans="1:12" ht="21.75" x14ac:dyDescent="0.25">
      <c r="A32" s="215" t="s">
        <v>17</v>
      </c>
      <c r="B32" s="215"/>
      <c r="C32" s="215"/>
      <c r="D32" s="215"/>
      <c r="E32" s="215"/>
      <c r="F32" s="215"/>
      <c r="G32" s="90">
        <f>SUM(G22:G31)</f>
        <v>5833360.2741064765</v>
      </c>
      <c r="H32" s="90"/>
    </row>
    <row r="34" spans="1:8" ht="21.75" hidden="1" x14ac:dyDescent="0.25">
      <c r="A34" s="52" t="s">
        <v>312</v>
      </c>
      <c r="B34" s="52"/>
      <c r="C34" s="52"/>
      <c r="D34" s="53"/>
      <c r="E34" s="53"/>
      <c r="F34" s="54"/>
      <c r="G34" s="53"/>
      <c r="H34" s="53"/>
    </row>
    <row r="35" spans="1:8" ht="21.75" hidden="1" x14ac:dyDescent="0.25">
      <c r="A35" s="56"/>
      <c r="B35" s="56"/>
      <c r="C35" s="56"/>
      <c r="D35" s="57"/>
      <c r="E35" s="57"/>
      <c r="F35" s="58"/>
      <c r="G35" s="59"/>
      <c r="H35" s="59"/>
    </row>
    <row r="36" spans="1:8" ht="21.75" hidden="1" x14ac:dyDescent="0.25">
      <c r="A36" s="63" t="s">
        <v>14</v>
      </c>
      <c r="B36" s="220" t="s">
        <v>5</v>
      </c>
      <c r="C36" s="221"/>
      <c r="D36" s="220" t="s">
        <v>18</v>
      </c>
      <c r="E36" s="221"/>
      <c r="F36" s="65" t="s">
        <v>118</v>
      </c>
      <c r="G36" s="71" t="s">
        <v>16</v>
      </c>
      <c r="H36" s="90" t="s">
        <v>303</v>
      </c>
    </row>
    <row r="37" spans="1:8" ht="21.75" hidden="1" x14ac:dyDescent="0.25">
      <c r="A37" s="66" t="s">
        <v>29</v>
      </c>
      <c r="B37" s="195">
        <v>2</v>
      </c>
      <c r="C37" s="195" t="s">
        <v>310</v>
      </c>
      <c r="D37" s="67">
        <f>(D38/DADOS_INICIAIS!$E$15)*B37</f>
        <v>0</v>
      </c>
      <c r="E37" s="67" t="s">
        <v>2</v>
      </c>
      <c r="F37" s="88">
        <v>85</v>
      </c>
      <c r="G37" s="89">
        <f>F37*D37*1.1</f>
        <v>0</v>
      </c>
      <c r="H37" s="67"/>
    </row>
    <row r="38" spans="1:8" ht="21.75" hidden="1" x14ac:dyDescent="0.25">
      <c r="A38" s="78" t="s">
        <v>30</v>
      </c>
      <c r="B38" s="195">
        <v>2.1</v>
      </c>
      <c r="C38" s="195" t="s">
        <v>37</v>
      </c>
      <c r="D38" s="67">
        <f>B38*DADOS_INICIAIS!E38</f>
        <v>0</v>
      </c>
      <c r="E38" s="67" t="s">
        <v>2</v>
      </c>
      <c r="F38" s="88">
        <v>1.5</v>
      </c>
      <c r="G38" s="89">
        <f>F38*D38*1.1</f>
        <v>0</v>
      </c>
      <c r="H38" s="67"/>
    </row>
    <row r="39" spans="1:8" ht="21.75" hidden="1" x14ac:dyDescent="0.25">
      <c r="A39" s="78" t="s">
        <v>32</v>
      </c>
      <c r="B39" s="195">
        <v>2</v>
      </c>
      <c r="C39" s="195" t="s">
        <v>164</v>
      </c>
      <c r="D39" s="67">
        <f>B39*DADOS_INICIAIS!E47*DADOS_INICIAIS!E44</f>
        <v>0</v>
      </c>
      <c r="E39" s="67" t="s">
        <v>3</v>
      </c>
      <c r="F39" s="88">
        <v>17</v>
      </c>
      <c r="G39" s="89">
        <f>F39*D39*1.1</f>
        <v>0</v>
      </c>
      <c r="H39" s="67"/>
    </row>
    <row r="40" spans="1:8" ht="21.75" hidden="1" x14ac:dyDescent="0.25">
      <c r="A40" s="78" t="s">
        <v>33</v>
      </c>
      <c r="B40" s="195">
        <v>2</v>
      </c>
      <c r="C40" s="195" t="s">
        <v>165</v>
      </c>
      <c r="D40" s="67">
        <f>B40*DADOS_INICIAIS!E50</f>
        <v>0</v>
      </c>
      <c r="E40" s="67" t="s">
        <v>3</v>
      </c>
      <c r="F40" s="88">
        <v>17</v>
      </c>
      <c r="G40" s="89">
        <f>F40*D40*1.1</f>
        <v>0</v>
      </c>
      <c r="H40" s="67"/>
    </row>
    <row r="41" spans="1:8" ht="21.75" hidden="1" x14ac:dyDescent="0.25">
      <c r="A41" s="66" t="s">
        <v>116</v>
      </c>
      <c r="B41" s="195">
        <v>25</v>
      </c>
      <c r="C41" s="195" t="s">
        <v>6</v>
      </c>
      <c r="D41" s="67">
        <f>B41*DADOS_INICIAIS!E38</f>
        <v>0</v>
      </c>
      <c r="E41" s="67" t="s">
        <v>22</v>
      </c>
      <c r="F41" s="88">
        <f>B41</f>
        <v>25</v>
      </c>
      <c r="G41" s="89">
        <f>F41*D41*1.1</f>
        <v>0</v>
      </c>
      <c r="H41" s="67"/>
    </row>
    <row r="42" spans="1:8" ht="21.75" hidden="1" x14ac:dyDescent="0.25">
      <c r="A42" s="66" t="s">
        <v>99</v>
      </c>
      <c r="B42" s="195">
        <v>0.25</v>
      </c>
      <c r="C42" s="195" t="s">
        <v>38</v>
      </c>
      <c r="D42" s="67">
        <f>B42*DADOS_INICIAIS!E38</f>
        <v>0</v>
      </c>
      <c r="E42" s="67" t="s">
        <v>22</v>
      </c>
      <c r="F42" s="88">
        <f>575</f>
        <v>575</v>
      </c>
      <c r="G42" s="89">
        <f>F42*D42*1.05*1.1</f>
        <v>0</v>
      </c>
      <c r="H42" s="67"/>
    </row>
    <row r="43" spans="1:8" ht="21.75" hidden="1" x14ac:dyDescent="0.25">
      <c r="A43" s="66" t="s">
        <v>31</v>
      </c>
      <c r="B43" s="195">
        <v>110</v>
      </c>
      <c r="C43" s="195" t="s">
        <v>34</v>
      </c>
      <c r="D43" s="67">
        <f>D42*B43</f>
        <v>0</v>
      </c>
      <c r="E43" s="67" t="s">
        <v>26</v>
      </c>
      <c r="F43" s="88">
        <v>7.25</v>
      </c>
      <c r="G43" s="89">
        <f>F43*D43*1.1</f>
        <v>0</v>
      </c>
      <c r="H43" s="67"/>
    </row>
    <row r="44" spans="1:8" ht="43.5" hidden="1" x14ac:dyDescent="0.25">
      <c r="A44" s="66" t="s">
        <v>101</v>
      </c>
      <c r="B44" s="195">
        <v>240</v>
      </c>
      <c r="C44" s="195" t="s">
        <v>6</v>
      </c>
      <c r="D44" s="67">
        <f>DADOS_INICIAIS!E38</f>
        <v>0</v>
      </c>
      <c r="E44" s="67" t="s">
        <v>2</v>
      </c>
      <c r="F44" s="88">
        <f>B44</f>
        <v>240</v>
      </c>
      <c r="G44" s="89">
        <f>F44*D44*1.1</f>
        <v>0</v>
      </c>
      <c r="H44" s="67"/>
    </row>
    <row r="45" spans="1:8" ht="43.5" hidden="1" x14ac:dyDescent="0.25">
      <c r="A45" s="66" t="s">
        <v>307</v>
      </c>
      <c r="B45" s="195">
        <v>5300</v>
      </c>
      <c r="C45" s="195" t="s">
        <v>308</v>
      </c>
      <c r="D45" s="67">
        <v>1</v>
      </c>
      <c r="E45" s="67" t="s">
        <v>27</v>
      </c>
      <c r="F45" s="88">
        <f>B45*DADOS_INICIAIS!E43</f>
        <v>0</v>
      </c>
      <c r="G45" s="89">
        <f>F45*D45*1.1</f>
        <v>0</v>
      </c>
      <c r="H45" s="67" t="s">
        <v>309</v>
      </c>
    </row>
    <row r="46" spans="1:8" ht="21.75" hidden="1" x14ac:dyDescent="0.25">
      <c r="A46" s="215" t="s">
        <v>17</v>
      </c>
      <c r="B46" s="215"/>
      <c r="C46" s="215"/>
      <c r="D46" s="215"/>
      <c r="E46" s="215"/>
      <c r="F46" s="215"/>
      <c r="G46" s="90">
        <f>SUM(G37:G45)</f>
        <v>0</v>
      </c>
      <c r="H46" s="90"/>
    </row>
    <row r="47" spans="1:8" hidden="1" x14ac:dyDescent="0.25"/>
    <row r="48" spans="1:8" ht="21.75" hidden="1" x14ac:dyDescent="0.25">
      <c r="A48" s="52" t="s">
        <v>338</v>
      </c>
      <c r="B48" s="52"/>
      <c r="C48" s="52"/>
      <c r="D48" s="53"/>
      <c r="E48" s="53"/>
      <c r="F48" s="54"/>
      <c r="G48" s="53"/>
      <c r="H48" s="53"/>
    </row>
    <row r="49" spans="1:8" ht="21.75" hidden="1" x14ac:dyDescent="0.25">
      <c r="A49" s="56"/>
      <c r="B49" s="56"/>
      <c r="C49" s="56"/>
      <c r="D49" s="57"/>
      <c r="E49" s="57"/>
      <c r="F49" s="58"/>
      <c r="G49" s="59"/>
      <c r="H49" s="59"/>
    </row>
    <row r="50" spans="1:8" ht="21.75" hidden="1" x14ac:dyDescent="0.25">
      <c r="A50" s="63" t="s">
        <v>14</v>
      </c>
      <c r="B50" s="220" t="s">
        <v>5</v>
      </c>
      <c r="C50" s="221"/>
      <c r="D50" s="220" t="s">
        <v>18</v>
      </c>
      <c r="E50" s="221"/>
      <c r="F50" s="65" t="s">
        <v>118</v>
      </c>
      <c r="G50" s="71" t="s">
        <v>16</v>
      </c>
      <c r="H50" s="90" t="s">
        <v>303</v>
      </c>
    </row>
    <row r="51" spans="1:8" ht="21.75" hidden="1" x14ac:dyDescent="0.25">
      <c r="A51" s="66" t="s">
        <v>29</v>
      </c>
      <c r="B51" s="62">
        <v>3</v>
      </c>
      <c r="C51" s="62" t="s">
        <v>310</v>
      </c>
      <c r="D51" s="67">
        <f>(D52/DADOS_INICIAIS!$E$15)*B51</f>
        <v>1977.3836249999999</v>
      </c>
      <c r="E51" s="67" t="s">
        <v>2</v>
      </c>
      <c r="F51" s="88">
        <v>110</v>
      </c>
      <c r="G51" s="89">
        <f t="shared" ref="G51:G56" si="1">F51*D51*1.1</f>
        <v>239263.41862499999</v>
      </c>
      <c r="H51" s="67"/>
    </row>
    <row r="52" spans="1:8" ht="21.75" hidden="1" x14ac:dyDescent="0.25">
      <c r="A52" s="78" t="s">
        <v>30</v>
      </c>
      <c r="B52" s="62">
        <v>2.1</v>
      </c>
      <c r="C52" s="62" t="s">
        <v>37</v>
      </c>
      <c r="D52" s="67">
        <f>B52*DADOS_INICIAIS!$E$9</f>
        <v>15819.069000000001</v>
      </c>
      <c r="E52" s="67" t="s">
        <v>2</v>
      </c>
      <c r="F52" s="88">
        <v>2.5</v>
      </c>
      <c r="G52" s="89">
        <f t="shared" si="1"/>
        <v>43502.439750000005</v>
      </c>
      <c r="H52" s="67"/>
    </row>
    <row r="53" spans="1:8" ht="21.75" hidden="1" x14ac:dyDescent="0.25">
      <c r="A53" s="78" t="s">
        <v>320</v>
      </c>
      <c r="B53" s="62">
        <v>3</v>
      </c>
      <c r="C53" s="62" t="s">
        <v>165</v>
      </c>
      <c r="D53" s="67">
        <f>ROUNDUP(B53*DADOS_INICIAIS!$E$25*B51,0)</f>
        <v>4531</v>
      </c>
      <c r="E53" s="67" t="s">
        <v>3</v>
      </c>
      <c r="F53" s="88">
        <v>17</v>
      </c>
      <c r="G53" s="89">
        <f t="shared" si="1"/>
        <v>84729.700000000012</v>
      </c>
      <c r="H53" s="67"/>
    </row>
    <row r="54" spans="1:8" ht="21.75" hidden="1" x14ac:dyDescent="0.25">
      <c r="A54" s="78" t="s">
        <v>341</v>
      </c>
      <c r="B54" s="201">
        <v>12.3</v>
      </c>
      <c r="C54" s="201" t="s">
        <v>339</v>
      </c>
      <c r="D54" s="67">
        <f>(DADOS_INICIAIS!$E$16+DADOS_INICIAIS!$E$17)*DADOS_INICIAIS!$E$19+DADOS_INICIAIS!$E$22</f>
        <v>7460.8899999999994</v>
      </c>
      <c r="E54" s="67" t="s">
        <v>2</v>
      </c>
      <c r="F54" s="88">
        <f>B54</f>
        <v>12.3</v>
      </c>
      <c r="G54" s="89">
        <f t="shared" si="1"/>
        <v>100945.8417</v>
      </c>
      <c r="H54" s="67"/>
    </row>
    <row r="55" spans="1:8" ht="21.75" hidden="1" x14ac:dyDescent="0.25">
      <c r="A55" s="78" t="s">
        <v>342</v>
      </c>
      <c r="B55" s="201">
        <v>2.83</v>
      </c>
      <c r="C55" s="201" t="s">
        <v>340</v>
      </c>
      <c r="D55" s="67">
        <f>B55*D54</f>
        <v>21114.3187</v>
      </c>
      <c r="E55" s="67" t="s">
        <v>26</v>
      </c>
      <c r="F55" s="88">
        <v>12.3</v>
      </c>
      <c r="G55" s="89">
        <f t="shared" si="1"/>
        <v>285676.73201100004</v>
      </c>
      <c r="H55" s="67"/>
    </row>
    <row r="56" spans="1:8" ht="21.75" hidden="1" x14ac:dyDescent="0.25">
      <c r="A56" s="66" t="s">
        <v>343</v>
      </c>
      <c r="B56" s="201">
        <v>9000</v>
      </c>
      <c r="C56" s="201" t="s">
        <v>344</v>
      </c>
      <c r="D56" s="67">
        <f>DADOS_INICIAIS!E15</f>
        <v>24</v>
      </c>
      <c r="E56" s="67" t="s">
        <v>345</v>
      </c>
      <c r="F56" s="88">
        <f>B56</f>
        <v>9000</v>
      </c>
      <c r="G56" s="89">
        <f t="shared" si="1"/>
        <v>237600.00000000003</v>
      </c>
      <c r="H56" s="67"/>
    </row>
    <row r="57" spans="1:8" ht="21.75" hidden="1" x14ac:dyDescent="0.25">
      <c r="A57" s="66" t="s">
        <v>99</v>
      </c>
      <c r="B57" s="201">
        <v>0.25</v>
      </c>
      <c r="C57" s="201" t="s">
        <v>38</v>
      </c>
      <c r="D57" s="67">
        <f>B57*DADOS_INICIAIS!$E$9</f>
        <v>1883.2225000000001</v>
      </c>
      <c r="E57" s="67" t="s">
        <v>22</v>
      </c>
      <c r="F57" s="88">
        <f>535+45</f>
        <v>580</v>
      </c>
      <c r="G57" s="89">
        <f>F57*D57*1.05*1.1</f>
        <v>1261570.7527500002</v>
      </c>
      <c r="H57" s="67"/>
    </row>
    <row r="58" spans="1:8" ht="21.75" hidden="1" x14ac:dyDescent="0.25">
      <c r="A58" s="66" t="s">
        <v>31</v>
      </c>
      <c r="B58" s="201">
        <v>90</v>
      </c>
      <c r="C58" s="201" t="s">
        <v>34</v>
      </c>
      <c r="D58" s="67">
        <f>D57*B58</f>
        <v>169490.02499999999</v>
      </c>
      <c r="E58" s="67" t="s">
        <v>26</v>
      </c>
      <c r="F58" s="88">
        <v>7.62</v>
      </c>
      <c r="G58" s="89">
        <f>F58*D58*1.1</f>
        <v>1420665.3895500002</v>
      </c>
      <c r="H58" s="67"/>
    </row>
    <row r="59" spans="1:8" ht="43.5" hidden="1" x14ac:dyDescent="0.25">
      <c r="A59" s="66" t="s">
        <v>101</v>
      </c>
      <c r="B59" s="62">
        <v>240</v>
      </c>
      <c r="C59" s="62" t="s">
        <v>6</v>
      </c>
      <c r="D59" s="67">
        <f>DADOS_INICIAIS!$E$9</f>
        <v>7532.89</v>
      </c>
      <c r="E59" s="67" t="s">
        <v>2</v>
      </c>
      <c r="F59" s="88">
        <f>B59</f>
        <v>240</v>
      </c>
      <c r="G59" s="89">
        <f>F59*D59*1.1</f>
        <v>1988682.9600000002</v>
      </c>
      <c r="H59" s="67"/>
    </row>
    <row r="60" spans="1:8" ht="43.5" hidden="1" x14ac:dyDescent="0.25">
      <c r="A60" s="66" t="s">
        <v>307</v>
      </c>
      <c r="B60" s="62">
        <v>5300</v>
      </c>
      <c r="C60" s="62" t="s">
        <v>308</v>
      </c>
      <c r="D60" s="67">
        <v>1</v>
      </c>
      <c r="E60" s="67" t="s">
        <v>27</v>
      </c>
      <c r="F60" s="88">
        <f>B60*DADOS_INICIAIS!$E$15</f>
        <v>127200</v>
      </c>
      <c r="G60" s="89">
        <f>F60*D60*1.1</f>
        <v>139920</v>
      </c>
      <c r="H60" s="67" t="s">
        <v>309</v>
      </c>
    </row>
    <row r="61" spans="1:8" ht="21.75" hidden="1" x14ac:dyDescent="0.25">
      <c r="A61" s="215" t="s">
        <v>17</v>
      </c>
      <c r="B61" s="215"/>
      <c r="C61" s="215"/>
      <c r="D61" s="215"/>
      <c r="E61" s="215"/>
      <c r="F61" s="215"/>
      <c r="G61" s="90">
        <f>SUM(G51:G60)</f>
        <v>5802557.2343860008</v>
      </c>
      <c r="H61" s="90"/>
    </row>
    <row r="64" spans="1:8" ht="21.75" x14ac:dyDescent="0.25">
      <c r="A64" s="222" t="s">
        <v>105</v>
      </c>
      <c r="B64" s="223"/>
      <c r="C64" s="223"/>
      <c r="D64" s="223"/>
      <c r="E64" s="223"/>
      <c r="F64" s="224"/>
      <c r="G64" s="91">
        <f>G32</f>
        <v>5833360.2741064765</v>
      </c>
      <c r="H64" s="91">
        <f>G64/DADOS_INICIAIS!E9</f>
        <v>774.38543163466829</v>
      </c>
    </row>
    <row r="66" spans="7:8" x14ac:dyDescent="0.25">
      <c r="G66" s="196"/>
      <c r="H66" s="196">
        <f>H64/1.1</f>
        <v>703.98675603151662</v>
      </c>
    </row>
  </sheetData>
  <mergeCells count="14">
    <mergeCell ref="A17:F17"/>
    <mergeCell ref="A64:F64"/>
    <mergeCell ref="A3:H3"/>
    <mergeCell ref="B9:C9"/>
    <mergeCell ref="D9:E9"/>
    <mergeCell ref="B21:C21"/>
    <mergeCell ref="D21:E21"/>
    <mergeCell ref="A32:F32"/>
    <mergeCell ref="B36:C36"/>
    <mergeCell ref="D36:E36"/>
    <mergeCell ref="A46:F46"/>
    <mergeCell ref="B50:C50"/>
    <mergeCell ref="D50:E50"/>
    <mergeCell ref="A61:F6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6"/>
  <sheetViews>
    <sheetView showGridLines="0" topLeftCell="A4" zoomScale="80" zoomScaleNormal="80" zoomScaleSheetLayoutView="95" workbookViewId="0">
      <selection activeCell="B13" sqref="B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6" t="s">
        <v>314</v>
      </c>
      <c r="B3" s="227"/>
      <c r="C3" s="227"/>
      <c r="D3" s="217"/>
      <c r="E3" s="217"/>
      <c r="F3" s="217"/>
      <c r="G3" s="217"/>
      <c r="H3" s="218"/>
      <c r="J3" s="79"/>
    </row>
    <row r="4" spans="1:12" ht="19.5" x14ac:dyDescent="0.25">
      <c r="A4" s="187" t="s">
        <v>186</v>
      </c>
      <c r="B4" s="193">
        <v>45469</v>
      </c>
      <c r="C4" s="191"/>
      <c r="D4" s="191"/>
      <c r="E4" s="191"/>
      <c r="F4" s="191"/>
      <c r="G4" s="191"/>
      <c r="H4" s="192"/>
      <c r="J4" s="79"/>
    </row>
    <row r="5" spans="1:12" ht="19.5" x14ac:dyDescent="0.25">
      <c r="A5" s="187" t="s">
        <v>300</v>
      </c>
      <c r="B5" s="194" t="s">
        <v>215</v>
      </c>
      <c r="C5" s="189"/>
      <c r="D5" s="189"/>
      <c r="E5" s="189"/>
      <c r="F5" s="189"/>
      <c r="G5" s="189"/>
      <c r="H5" s="190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20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303</v>
      </c>
    </row>
    <row r="10" spans="1:12" ht="21.75" x14ac:dyDescent="0.25">
      <c r="A10" s="66" t="s">
        <v>369</v>
      </c>
      <c r="B10" s="62">
        <v>0.6</v>
      </c>
      <c r="C10" s="62" t="s">
        <v>181</v>
      </c>
      <c r="D10" s="67">
        <f>B10*DADOS_INICIAIS!$E$9</f>
        <v>4519.7340000000004</v>
      </c>
      <c r="E10" s="67" t="s">
        <v>2</v>
      </c>
      <c r="F10" s="88">
        <v>45</v>
      </c>
      <c r="G10" s="89">
        <f>F10*D10*1.1</f>
        <v>223726.83300000004</v>
      </c>
      <c r="H10" s="67"/>
    </row>
    <row r="11" spans="1:12" ht="21.75" x14ac:dyDescent="0.25">
      <c r="A11" s="78" t="s">
        <v>370</v>
      </c>
      <c r="B11" s="62">
        <v>0.8</v>
      </c>
      <c r="C11" s="62" t="s">
        <v>179</v>
      </c>
      <c r="D11" s="67">
        <f>B11*DADOS_INICIAIS!$E$9</f>
        <v>6026.3120000000008</v>
      </c>
      <c r="E11" s="67" t="s">
        <v>2</v>
      </c>
      <c r="F11" s="88">
        <v>45</v>
      </c>
      <c r="G11" s="89">
        <f>F11*D11*1.1</f>
        <v>298302.44400000008</v>
      </c>
      <c r="H11" s="67"/>
    </row>
    <row r="12" spans="1:12" ht="21.75" x14ac:dyDescent="0.25">
      <c r="A12" s="66" t="s">
        <v>176</v>
      </c>
      <c r="B12" s="62">
        <v>0.18</v>
      </c>
      <c r="C12" s="62" t="s">
        <v>37</v>
      </c>
      <c r="D12" s="67">
        <f>B12*DADOS_INICIAIS!$E$9</f>
        <v>1355.9202</v>
      </c>
      <c r="E12" s="67" t="s">
        <v>2</v>
      </c>
      <c r="F12" s="88">
        <v>75</v>
      </c>
      <c r="G12" s="89">
        <f>F12*D12*1.05*1.1</f>
        <v>117456.58732500001</v>
      </c>
      <c r="H12" s="67"/>
    </row>
    <row r="13" spans="1:12" ht="21.75" x14ac:dyDescent="0.25">
      <c r="A13" s="66" t="s">
        <v>173</v>
      </c>
      <c r="B13" s="62">
        <v>1.75</v>
      </c>
      <c r="C13" s="62" t="s">
        <v>317</v>
      </c>
      <c r="D13" s="67">
        <f>B13*DADOS_INICIAIS!$E$14</f>
        <v>64.75</v>
      </c>
      <c r="E13" s="67" t="s">
        <v>2</v>
      </c>
      <c r="F13" s="88">
        <v>310</v>
      </c>
      <c r="G13" s="89">
        <f>F13*D13*1.1</f>
        <v>22079.75</v>
      </c>
      <c r="H13" s="67"/>
    </row>
    <row r="14" spans="1:12" ht="21.75" x14ac:dyDescent="0.25">
      <c r="A14" s="66" t="s">
        <v>172</v>
      </c>
      <c r="B14" s="62">
        <v>12.5</v>
      </c>
      <c r="C14" s="62" t="s">
        <v>171</v>
      </c>
      <c r="D14" s="67">
        <f>SUM(D10:D12)</f>
        <v>11901.966200000003</v>
      </c>
      <c r="E14" s="67" t="s">
        <v>2</v>
      </c>
      <c r="F14" s="88">
        <v>6.5</v>
      </c>
      <c r="G14" s="89">
        <f>F14*D14*1.1</f>
        <v>85099.058330000014</v>
      </c>
      <c r="H14" s="67"/>
    </row>
    <row r="15" spans="1:12" ht="21.75" x14ac:dyDescent="0.25">
      <c r="A15" s="66" t="s">
        <v>25</v>
      </c>
      <c r="B15" s="62">
        <v>35</v>
      </c>
      <c r="C15" s="62" t="s">
        <v>171</v>
      </c>
      <c r="D15" s="67">
        <f>SUM(D10:D12)</f>
        <v>11901.966200000003</v>
      </c>
      <c r="E15" s="67" t="s">
        <v>2</v>
      </c>
      <c r="F15" s="88">
        <v>36</v>
      </c>
      <c r="G15" s="89">
        <f>F15*D15*1.1</f>
        <v>471317.86152000009</v>
      </c>
      <c r="H15" s="67"/>
    </row>
    <row r="16" spans="1:12" ht="21.75" x14ac:dyDescent="0.25">
      <c r="A16" s="215" t="s">
        <v>17</v>
      </c>
      <c r="B16" s="215"/>
      <c r="C16" s="215"/>
      <c r="D16" s="215"/>
      <c r="E16" s="215"/>
      <c r="F16" s="215"/>
      <c r="G16" s="90">
        <f>SUM(G10:G15)</f>
        <v>1217982.5341750002</v>
      </c>
      <c r="H16" s="90"/>
      <c r="K16" s="55">
        <f>4160+1440+1120+2880+4800+91680+4000</f>
        <v>110080</v>
      </c>
      <c r="L16" s="55">
        <f>K16/21</f>
        <v>5241.9047619047615</v>
      </c>
    </row>
    <row r="18" spans="1:10" ht="21.75" hidden="1" x14ac:dyDescent="0.25">
      <c r="A18" s="52" t="s">
        <v>348</v>
      </c>
      <c r="B18" s="52"/>
      <c r="C18" s="52"/>
      <c r="D18" s="53"/>
      <c r="E18" s="53"/>
      <c r="F18" s="54"/>
      <c r="G18" s="53"/>
      <c r="H18" s="53"/>
    </row>
    <row r="19" spans="1:10" ht="21.75" hidden="1" x14ac:dyDescent="0.25">
      <c r="A19" s="56"/>
      <c r="B19" s="56"/>
      <c r="C19" s="56"/>
      <c r="D19" s="57"/>
      <c r="E19" s="57"/>
      <c r="F19" s="58"/>
      <c r="G19" s="59"/>
      <c r="H19" s="59"/>
    </row>
    <row r="20" spans="1:10" ht="21.75" hidden="1" x14ac:dyDescent="0.25">
      <c r="A20" s="63" t="s">
        <v>14</v>
      </c>
      <c r="B20" s="220" t="s">
        <v>5</v>
      </c>
      <c r="C20" s="221"/>
      <c r="D20" s="220" t="s">
        <v>18</v>
      </c>
      <c r="E20" s="221"/>
      <c r="F20" s="65" t="s">
        <v>118</v>
      </c>
      <c r="G20" s="71" t="s">
        <v>16</v>
      </c>
      <c r="H20" s="90" t="s">
        <v>303</v>
      </c>
    </row>
    <row r="21" spans="1:10" ht="21.75" hidden="1" x14ac:dyDescent="0.25">
      <c r="A21" s="66" t="s">
        <v>182</v>
      </c>
      <c r="B21" s="62">
        <v>1</v>
      </c>
      <c r="C21" s="62" t="s">
        <v>181</v>
      </c>
      <c r="D21" s="67">
        <f>B21*DADOS_INICIAIS!$E$22</f>
        <v>3252.31</v>
      </c>
      <c r="E21" s="67" t="s">
        <v>2</v>
      </c>
      <c r="F21" s="88">
        <v>45</v>
      </c>
      <c r="G21" s="89">
        <f>F21*D21*1.1</f>
        <v>160989.34500000003</v>
      </c>
      <c r="H21" s="67"/>
    </row>
    <row r="22" spans="1:10" ht="21.75" hidden="1" x14ac:dyDescent="0.25">
      <c r="A22" s="78" t="s">
        <v>180</v>
      </c>
      <c r="B22" s="62">
        <v>0.4</v>
      </c>
      <c r="C22" s="62" t="s">
        <v>179</v>
      </c>
      <c r="D22" s="67">
        <f>B22*DADOS_INICIAIS!$E$21</f>
        <v>201.95600000000002</v>
      </c>
      <c r="E22" s="67" t="s">
        <v>2</v>
      </c>
      <c r="F22" s="88">
        <v>45</v>
      </c>
      <c r="G22" s="89">
        <f>F22*D22*1.1</f>
        <v>9996.8220000000019</v>
      </c>
      <c r="H22" s="67"/>
    </row>
    <row r="23" spans="1:10" ht="21.75" hidden="1" x14ac:dyDescent="0.25">
      <c r="A23" s="78" t="s">
        <v>178</v>
      </c>
      <c r="B23" s="62">
        <v>1.65</v>
      </c>
      <c r="C23" s="62" t="s">
        <v>177</v>
      </c>
      <c r="D23" s="67">
        <f>B23*(DADOS_INICIAIS!$E$19*(DADOS_INICIAIS!$E$16+DADOS_INICIAIS!$E$17))*0.4</f>
        <v>2777.6628000000001</v>
      </c>
      <c r="E23" s="67" t="s">
        <v>2</v>
      </c>
      <c r="F23" s="88">
        <v>45</v>
      </c>
      <c r="G23" s="89">
        <f>F23*D23*1.1</f>
        <v>137494.30860000002</v>
      </c>
      <c r="H23" s="67"/>
    </row>
    <row r="24" spans="1:10" ht="21.75" hidden="1" x14ac:dyDescent="0.25">
      <c r="A24" s="78" t="s">
        <v>315</v>
      </c>
      <c r="B24" s="62">
        <v>1.65</v>
      </c>
      <c r="C24" s="62" t="s">
        <v>177</v>
      </c>
      <c r="D24" s="67">
        <f>B24*(DADOS_INICIAIS!$E$19*(DADOS_INICIAIS!$E$16+DADOS_INICIAIS!$E$17))*0.6</f>
        <v>4166.4941999999992</v>
      </c>
      <c r="E24" s="67" t="s">
        <v>2</v>
      </c>
      <c r="F24" s="88">
        <v>220</v>
      </c>
      <c r="G24" s="89">
        <f t="shared" ref="G24:G28" si="0">F24*D24*1.1</f>
        <v>1008291.5963999999</v>
      </c>
      <c r="H24" s="67"/>
      <c r="J24" s="55">
        <f>D24/(D28+D24)</f>
        <v>0.34456477971599347</v>
      </c>
    </row>
    <row r="25" spans="1:10" ht="21.75" hidden="1" x14ac:dyDescent="0.25">
      <c r="A25" s="78" t="s">
        <v>176</v>
      </c>
      <c r="B25" s="62">
        <v>0.2</v>
      </c>
      <c r="C25" s="62" t="s">
        <v>37</v>
      </c>
      <c r="D25" s="67">
        <f>B25*DADOS_INICIAIS!$E$9</f>
        <v>1506.5780000000002</v>
      </c>
      <c r="E25" s="67" t="s">
        <v>2</v>
      </c>
      <c r="F25" s="88">
        <v>70</v>
      </c>
      <c r="G25" s="89">
        <f t="shared" si="0"/>
        <v>116006.50600000004</v>
      </c>
      <c r="H25" s="67"/>
      <c r="J25" s="55">
        <f>1-J24</f>
        <v>0.65543522028400658</v>
      </c>
    </row>
    <row r="26" spans="1:10" ht="21.75" hidden="1" x14ac:dyDescent="0.25">
      <c r="A26" s="66" t="s">
        <v>175</v>
      </c>
      <c r="B26" s="62">
        <v>0.8</v>
      </c>
      <c r="C26" s="62" t="s">
        <v>174</v>
      </c>
      <c r="D26" s="67">
        <f>B26*DADOS_INICIAIS!$E$19</f>
        <v>187.048</v>
      </c>
      <c r="E26" s="67" t="s">
        <v>22</v>
      </c>
      <c r="F26" s="88">
        <v>45</v>
      </c>
      <c r="G26" s="89">
        <f t="shared" si="0"/>
        <v>9258.8760000000002</v>
      </c>
      <c r="H26" s="67"/>
    </row>
    <row r="27" spans="1:10" ht="21.75" hidden="1" x14ac:dyDescent="0.25">
      <c r="A27" s="66" t="s">
        <v>173</v>
      </c>
      <c r="B27" s="62">
        <v>1.75</v>
      </c>
      <c r="C27" s="62" t="s">
        <v>317</v>
      </c>
      <c r="D27" s="67">
        <f>'SISTEMAS ESPECIAIS'!B10</f>
        <v>37</v>
      </c>
      <c r="E27" s="67" t="s">
        <v>335</v>
      </c>
      <c r="F27" s="88">
        <v>210</v>
      </c>
      <c r="G27" s="89">
        <f t="shared" si="0"/>
        <v>8547</v>
      </c>
      <c r="H27" s="67"/>
    </row>
    <row r="28" spans="1:10" ht="21.75" hidden="1" x14ac:dyDescent="0.25">
      <c r="A28" s="66" t="s">
        <v>172</v>
      </c>
      <c r="B28" s="62">
        <v>12.5</v>
      </c>
      <c r="C28" s="62" t="s">
        <v>171</v>
      </c>
      <c r="D28" s="67">
        <f>D22+D23+D21+D25+D26</f>
        <v>7925.5547999999999</v>
      </c>
      <c r="E28" s="67" t="s">
        <v>2</v>
      </c>
      <c r="F28" s="88">
        <f>B28</f>
        <v>12.5</v>
      </c>
      <c r="G28" s="89">
        <f t="shared" si="0"/>
        <v>108976.37850000001</v>
      </c>
      <c r="H28" s="67"/>
    </row>
    <row r="29" spans="1:10" ht="21.75" hidden="1" x14ac:dyDescent="0.25">
      <c r="A29" s="66" t="s">
        <v>25</v>
      </c>
      <c r="B29" s="62">
        <v>35</v>
      </c>
      <c r="C29" s="62" t="s">
        <v>171</v>
      </c>
      <c r="D29" s="67">
        <f>D22+D23+D21+D25+D26</f>
        <v>7925.5547999999999</v>
      </c>
      <c r="E29" s="67" t="s">
        <v>2</v>
      </c>
      <c r="F29" s="88">
        <v>35</v>
      </c>
      <c r="G29" s="89">
        <f>F29*D29*1.1</f>
        <v>305133.85980000003</v>
      </c>
      <c r="H29" s="67"/>
    </row>
    <row r="30" spans="1:10" ht="21.75" hidden="1" x14ac:dyDescent="0.25">
      <c r="A30" s="215" t="s">
        <v>17</v>
      </c>
      <c r="B30" s="215"/>
      <c r="C30" s="215"/>
      <c r="D30" s="215"/>
      <c r="E30" s="215"/>
      <c r="F30" s="215"/>
      <c r="G30" s="90">
        <f>SUM(G21:G29)</f>
        <v>1864694.6923</v>
      </c>
      <c r="H30" s="90"/>
    </row>
    <row r="31" spans="1:10" hidden="1" x14ac:dyDescent="0.25"/>
    <row r="33" spans="1:8" ht="21.75" x14ac:dyDescent="0.25">
      <c r="A33" s="222" t="s">
        <v>169</v>
      </c>
      <c r="B33" s="223"/>
      <c r="C33" s="223"/>
      <c r="D33" s="223"/>
      <c r="E33" s="223"/>
      <c r="F33" s="224"/>
      <c r="G33" s="91">
        <f>G16</f>
        <v>1217982.5341750002</v>
      </c>
      <c r="H33" s="91">
        <f>G33/DADOS_INICIAIS!E9</f>
        <v>161.68861276017572</v>
      </c>
    </row>
    <row r="36" spans="1:8" x14ac:dyDescent="0.25">
      <c r="G36" s="196">
        <f>G33/1.1</f>
        <v>1107256.84925</v>
      </c>
      <c r="H36" s="55">
        <f>G36/DADOS_INICIAIS!E9</f>
        <v>146.9896479637961</v>
      </c>
    </row>
  </sheetData>
  <mergeCells count="8">
    <mergeCell ref="A30:F30"/>
    <mergeCell ref="A33:F33"/>
    <mergeCell ref="A3:H3"/>
    <mergeCell ref="B9:C9"/>
    <mergeCell ref="D9:E9"/>
    <mergeCell ref="A16:F16"/>
    <mergeCell ref="B20:C20"/>
    <mergeCell ref="D20:E2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14" zoomScale="85" zoomScaleNormal="85" zoomScaleSheetLayoutView="95" workbookViewId="0">
      <selection activeCell="E18" sqref="E18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16" t="s">
        <v>259</v>
      </c>
      <c r="B2" s="217"/>
      <c r="C2" s="217"/>
      <c r="D2" s="217"/>
      <c r="E2" s="218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258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220" t="s">
        <v>5</v>
      </c>
      <c r="C6" s="221"/>
      <c r="D6" s="71" t="s">
        <v>16</v>
      </c>
      <c r="E6" s="59"/>
    </row>
    <row r="7" spans="1:7" s="55" customFormat="1" ht="21.75" x14ac:dyDescent="0.25">
      <c r="A7" s="66" t="s">
        <v>257</v>
      </c>
      <c r="B7" s="62">
        <v>5.5</v>
      </c>
      <c r="C7" s="62" t="s">
        <v>6</v>
      </c>
      <c r="D7" s="89">
        <f>B7*DADOS_INICIAIS!$E$9*1.1</f>
        <v>45573.984500000006</v>
      </c>
      <c r="E7" s="57"/>
    </row>
    <row r="8" spans="1:7" s="55" customFormat="1" ht="21.75" x14ac:dyDescent="0.25">
      <c r="A8" s="66" t="s">
        <v>256</v>
      </c>
      <c r="B8" s="62">
        <v>10</v>
      </c>
      <c r="C8" s="62" t="s">
        <v>6</v>
      </c>
      <c r="D8" s="89">
        <f>B8*DADOS_INICIAIS!$E$9*1.1</f>
        <v>82861.790000000023</v>
      </c>
      <c r="E8" s="57"/>
    </row>
    <row r="9" spans="1:7" s="55" customFormat="1" ht="21.75" x14ac:dyDescent="0.25">
      <c r="A9" s="66" t="s">
        <v>255</v>
      </c>
      <c r="B9" s="62">
        <v>30</v>
      </c>
      <c r="C9" s="62" t="s">
        <v>6</v>
      </c>
      <c r="D9" s="89">
        <f>B9*DADOS_INICIAIS!$E$9*1.1</f>
        <v>248585.37000000002</v>
      </c>
      <c r="E9" s="57"/>
    </row>
    <row r="10" spans="1:7" s="55" customFormat="1" ht="21.75" x14ac:dyDescent="0.25">
      <c r="A10" s="66" t="s">
        <v>254</v>
      </c>
      <c r="B10" s="62">
        <v>18</v>
      </c>
      <c r="C10" s="62" t="s">
        <v>6</v>
      </c>
      <c r="D10" s="89">
        <f>B10*DADOS_INICIAIS!$E$9*1.1</f>
        <v>149151.22200000004</v>
      </c>
      <c r="E10" s="57"/>
    </row>
    <row r="11" spans="1:7" s="55" customFormat="1" ht="21.75" x14ac:dyDescent="0.25">
      <c r="A11" s="66" t="s">
        <v>253</v>
      </c>
      <c r="B11" s="62">
        <v>15</v>
      </c>
      <c r="C11" s="62" t="s">
        <v>6</v>
      </c>
      <c r="D11" s="89">
        <f>B11*DADOS_INICIAIS!$E$9*1.1</f>
        <v>124292.68500000001</v>
      </c>
      <c r="E11" s="57"/>
    </row>
    <row r="12" spans="1:7" s="55" customFormat="1" ht="21.75" x14ac:dyDescent="0.25">
      <c r="A12" s="66" t="s">
        <v>252</v>
      </c>
      <c r="B12" s="62">
        <v>15</v>
      </c>
      <c r="C12" s="62" t="s">
        <v>6</v>
      </c>
      <c r="D12" s="89">
        <f>B12*DADOS_INICIAIS!$E$9*1.1</f>
        <v>124292.68500000001</v>
      </c>
      <c r="E12" s="57"/>
    </row>
    <row r="13" spans="1:7" s="55" customFormat="1" ht="21.75" x14ac:dyDescent="0.25">
      <c r="A13" s="66" t="s">
        <v>251</v>
      </c>
      <c r="B13" s="62">
        <v>60</v>
      </c>
      <c r="C13" s="62" t="s">
        <v>6</v>
      </c>
      <c r="D13" s="89">
        <f>B13*DADOS_INICIAIS!$E$9*1.1</f>
        <v>497170.74000000005</v>
      </c>
      <c r="E13" s="57"/>
    </row>
    <row r="14" spans="1:7" s="55" customFormat="1" ht="21.75" x14ac:dyDescent="0.25">
      <c r="A14" s="215" t="s">
        <v>17</v>
      </c>
      <c r="B14" s="215"/>
      <c r="C14" s="215"/>
      <c r="D14" s="90">
        <f>SUM(D7:D13)</f>
        <v>1271928.4765000003</v>
      </c>
      <c r="E14" s="60"/>
    </row>
    <row r="15" spans="1:7" s="55" customFormat="1" ht="21.75" x14ac:dyDescent="0.25">
      <c r="A15" s="219"/>
      <c r="B15" s="219"/>
      <c r="C15" s="219"/>
      <c r="D15" s="100"/>
      <c r="E15" s="59"/>
    </row>
    <row r="16" spans="1:7" s="55" customFormat="1" ht="21.75" x14ac:dyDescent="0.25">
      <c r="A16" s="52" t="s">
        <v>250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220" t="s">
        <v>5</v>
      </c>
      <c r="C18" s="221"/>
      <c r="D18" s="90" t="s">
        <v>16</v>
      </c>
      <c r="E18" s="59"/>
    </row>
    <row r="19" spans="1:5" s="55" customFormat="1" ht="21.75" x14ac:dyDescent="0.25">
      <c r="A19" s="66" t="s">
        <v>249</v>
      </c>
      <c r="B19" s="62">
        <v>25</v>
      </c>
      <c r="C19" s="62" t="s">
        <v>6</v>
      </c>
      <c r="D19" s="89">
        <f>B19*DADOS_INICIAIS!$E$9*1.1</f>
        <v>207154.47500000001</v>
      </c>
      <c r="E19" s="57"/>
    </row>
    <row r="20" spans="1:5" s="55" customFormat="1" ht="21.75" x14ac:dyDescent="0.25">
      <c r="A20" s="66" t="s">
        <v>248</v>
      </c>
      <c r="B20" s="62">
        <v>20</v>
      </c>
      <c r="C20" s="62" t="s">
        <v>6</v>
      </c>
      <c r="D20" s="89">
        <f>B20*DADOS_INICIAIS!$E$9*1.1</f>
        <v>165723.58000000005</v>
      </c>
      <c r="E20" s="57"/>
    </row>
    <row r="21" spans="1:5" s="55" customFormat="1" ht="21.75" x14ac:dyDescent="0.25">
      <c r="A21" s="66" t="s">
        <v>247</v>
      </c>
      <c r="B21" s="62">
        <v>10</v>
      </c>
      <c r="C21" s="62" t="s">
        <v>6</v>
      </c>
      <c r="D21" s="89">
        <f>B21*DADOS_INICIAIS!$E$9*1.1</f>
        <v>82861.790000000023</v>
      </c>
      <c r="E21" s="57"/>
    </row>
    <row r="22" spans="1:5" s="55" customFormat="1" ht="21.75" x14ac:dyDescent="0.25">
      <c r="A22" s="66" t="s">
        <v>246</v>
      </c>
      <c r="B22" s="62">
        <v>15</v>
      </c>
      <c r="C22" s="62" t="s">
        <v>6</v>
      </c>
      <c r="D22" s="89">
        <f>B22*DADOS_INICIAIS!$E$9*1.1</f>
        <v>124292.68500000001</v>
      </c>
      <c r="E22" s="57"/>
    </row>
    <row r="23" spans="1:5" s="55" customFormat="1" ht="21.75" x14ac:dyDescent="0.25">
      <c r="A23" s="66" t="s">
        <v>245</v>
      </c>
      <c r="B23" s="62">
        <v>20</v>
      </c>
      <c r="C23" s="62" t="s">
        <v>6</v>
      </c>
      <c r="D23" s="89">
        <f>B23*DADOS_INICIAIS!$E$9*1.1</f>
        <v>165723.58000000005</v>
      </c>
      <c r="E23" s="57"/>
    </row>
    <row r="24" spans="1:5" s="55" customFormat="1" ht="21.75" x14ac:dyDescent="0.25">
      <c r="A24" s="66" t="s">
        <v>244</v>
      </c>
      <c r="B24" s="62">
        <v>55</v>
      </c>
      <c r="C24" s="62" t="s">
        <v>6</v>
      </c>
      <c r="D24" s="89">
        <f>B24*DADOS_INICIAIS!$E$9*1.1</f>
        <v>455739.84500000003</v>
      </c>
      <c r="E24" s="57"/>
    </row>
    <row r="25" spans="1:5" s="55" customFormat="1" ht="21.75" x14ac:dyDescent="0.25">
      <c r="A25" s="215" t="s">
        <v>17</v>
      </c>
      <c r="B25" s="215"/>
      <c r="C25" s="215"/>
      <c r="D25" s="90">
        <f>SUM(D19:D24)</f>
        <v>1201495.9550000003</v>
      </c>
      <c r="E25" s="60"/>
    </row>
    <row r="26" spans="1:5" s="55" customFormat="1" ht="21.75" x14ac:dyDescent="0.25">
      <c r="A26" s="219"/>
      <c r="B26" s="219"/>
      <c r="C26" s="219"/>
      <c r="D26" s="100"/>
      <c r="E26" s="59"/>
    </row>
    <row r="27" spans="1:5" s="55" customFormat="1" ht="21.75" x14ac:dyDescent="0.25">
      <c r="A27" s="52" t="s">
        <v>243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220" t="s">
        <v>5</v>
      </c>
      <c r="C29" s="221"/>
      <c r="D29" s="90" t="s">
        <v>16</v>
      </c>
      <c r="E29" s="59"/>
    </row>
    <row r="30" spans="1:5" s="55" customFormat="1" ht="26.25" customHeight="1" x14ac:dyDescent="0.25">
      <c r="A30" s="70" t="s">
        <v>242</v>
      </c>
      <c r="B30" s="62">
        <v>20</v>
      </c>
      <c r="C30" s="62" t="s">
        <v>6</v>
      </c>
      <c r="D30" s="89">
        <f>B30*DADOS_INICIAIS!$E$9*1.1</f>
        <v>165723.58000000005</v>
      </c>
      <c r="E30" s="57"/>
    </row>
    <row r="31" spans="1:5" s="55" customFormat="1" ht="26.25" customHeight="1" x14ac:dyDescent="0.25">
      <c r="A31" s="70" t="s">
        <v>241</v>
      </c>
      <c r="B31" s="62">
        <v>13</v>
      </c>
      <c r="C31" s="62" t="s">
        <v>6</v>
      </c>
      <c r="D31" s="89">
        <f>B31*DADOS_INICIAIS!$E$9*1.1</f>
        <v>107720.32700000002</v>
      </c>
      <c r="E31" s="57"/>
    </row>
    <row r="32" spans="1:5" s="55" customFormat="1" ht="21.75" x14ac:dyDescent="0.25">
      <c r="A32" s="70" t="s">
        <v>240</v>
      </c>
      <c r="B32" s="62">
        <v>8</v>
      </c>
      <c r="C32" s="62" t="s">
        <v>6</v>
      </c>
      <c r="D32" s="89">
        <f>B32*DADOS_INICIAIS!$E$9*1.1</f>
        <v>66289.432000000015</v>
      </c>
      <c r="E32" s="57"/>
    </row>
    <row r="33" spans="1:9" s="55" customFormat="1" ht="21.75" x14ac:dyDescent="0.25">
      <c r="A33" s="215" t="s">
        <v>17</v>
      </c>
      <c r="B33" s="215"/>
      <c r="C33" s="215"/>
      <c r="D33" s="90">
        <f>SUM(D30:D32)</f>
        <v>339733.33900000009</v>
      </c>
      <c r="E33" s="60"/>
    </row>
    <row r="34" spans="1:9" x14ac:dyDescent="0.25">
      <c r="D34" s="107"/>
      <c r="I34" s="47"/>
    </row>
    <row r="35" spans="1:9" ht="23.25" customHeight="1" x14ac:dyDescent="0.25">
      <c r="A35" s="212" t="s">
        <v>239</v>
      </c>
      <c r="B35" s="213"/>
      <c r="C35" s="213"/>
      <c r="D35" s="108">
        <f>D14+D25+D33</f>
        <v>2813157.770500001</v>
      </c>
      <c r="E35" s="108">
        <f>D35/DADOS_INICIAIS!E9</f>
        <v>373.4500000000001</v>
      </c>
    </row>
    <row r="37" spans="1:9" x14ac:dyDescent="0.25">
      <c r="E37" s="197">
        <f>E35/1.1</f>
        <v>339.50000000000006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I42"/>
  <sheetViews>
    <sheetView showGridLines="0" topLeftCell="A23" zoomScale="85" zoomScaleNormal="85" zoomScaleSheetLayoutView="95" workbookViewId="0">
      <selection activeCell="F28" sqref="F28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9" x14ac:dyDescent="0.25">
      <c r="A1" s="48"/>
      <c r="B1" s="48"/>
      <c r="C1" s="48"/>
      <c r="D1" s="48"/>
      <c r="E1" s="48"/>
      <c r="G1" s="2"/>
    </row>
    <row r="2" spans="1:9" ht="28.5" x14ac:dyDescent="0.25">
      <c r="A2" s="216" t="s">
        <v>278</v>
      </c>
      <c r="B2" s="217"/>
      <c r="C2" s="217"/>
      <c r="D2" s="217"/>
      <c r="E2" s="218"/>
      <c r="G2" s="2"/>
    </row>
    <row r="3" spans="1:9" x14ac:dyDescent="0.25">
      <c r="A3" s="50"/>
      <c r="B3" s="50"/>
      <c r="C3" s="50"/>
      <c r="D3" s="48"/>
      <c r="E3" s="48"/>
      <c r="G3" s="2"/>
    </row>
    <row r="4" spans="1:9" s="55" customFormat="1" ht="21.75" x14ac:dyDescent="0.25">
      <c r="A4" s="52" t="s">
        <v>277</v>
      </c>
      <c r="B4" s="53"/>
      <c r="C4" s="53"/>
      <c r="D4" s="53"/>
      <c r="E4" s="53"/>
    </row>
    <row r="5" spans="1:9" s="55" customFormat="1" ht="21.75" x14ac:dyDescent="0.25">
      <c r="A5" s="56"/>
      <c r="B5" s="57"/>
      <c r="C5" s="57"/>
      <c r="D5" s="59"/>
      <c r="E5" s="59"/>
    </row>
    <row r="6" spans="1:9" s="55" customFormat="1" ht="42" customHeight="1" x14ac:dyDescent="0.25">
      <c r="A6" s="63" t="s">
        <v>14</v>
      </c>
      <c r="B6" s="65" t="s">
        <v>18</v>
      </c>
      <c r="C6" s="71" t="s">
        <v>266</v>
      </c>
      <c r="D6" s="71" t="s">
        <v>16</v>
      </c>
      <c r="E6" s="59"/>
      <c r="G6" s="55" t="s">
        <v>200</v>
      </c>
      <c r="H6" s="55" t="s">
        <v>349</v>
      </c>
      <c r="I6" s="55" t="s">
        <v>354</v>
      </c>
    </row>
    <row r="7" spans="1:9" s="55" customFormat="1" ht="43.5" x14ac:dyDescent="0.25">
      <c r="A7" s="66" t="s">
        <v>276</v>
      </c>
      <c r="B7" s="67">
        <f>4.5*DADOS_INICIAIS!E10</f>
        <v>162</v>
      </c>
      <c r="C7" s="186">
        <v>1200</v>
      </c>
      <c r="D7" s="89">
        <f>B7*C7*1.1</f>
        <v>213840.00000000003</v>
      </c>
      <c r="E7" s="57"/>
      <c r="G7" s="55">
        <f>1+3</f>
        <v>4</v>
      </c>
      <c r="H7" s="55">
        <f>5</f>
        <v>5</v>
      </c>
      <c r="I7" s="55">
        <f>(3+1)*2</f>
        <v>8</v>
      </c>
    </row>
    <row r="8" spans="1:9" s="55" customFormat="1" ht="21.75" x14ac:dyDescent="0.25">
      <c r="A8" s="66" t="s">
        <v>275</v>
      </c>
      <c r="B8" s="67">
        <v>4</v>
      </c>
      <c r="C8" s="186">
        <v>5000</v>
      </c>
      <c r="D8" s="89">
        <f>B8*C8*1.1</f>
        <v>22000</v>
      </c>
      <c r="E8" s="57"/>
      <c r="G8" s="55">
        <v>1</v>
      </c>
      <c r="H8" s="55">
        <f>H7</f>
        <v>5</v>
      </c>
      <c r="I8" s="55">
        <v>0</v>
      </c>
    </row>
    <row r="9" spans="1:9" s="55" customFormat="1" ht="21.75" x14ac:dyDescent="0.25">
      <c r="A9" s="66" t="s">
        <v>274</v>
      </c>
      <c r="B9" s="67">
        <f>DADOS_INICIAIS!E10</f>
        <v>36</v>
      </c>
      <c r="C9" s="186">
        <v>900</v>
      </c>
      <c r="D9" s="89">
        <f>B9*C9*1.1</f>
        <v>35640</v>
      </c>
      <c r="E9" s="57" t="s">
        <v>379</v>
      </c>
      <c r="G9" s="55">
        <v>0</v>
      </c>
      <c r="H9" s="55">
        <f>2+2</f>
        <v>4</v>
      </c>
      <c r="I9" s="55">
        <f>1*2</f>
        <v>2</v>
      </c>
    </row>
    <row r="10" spans="1:9" s="55" customFormat="1" ht="21.75" x14ac:dyDescent="0.25">
      <c r="A10" s="66" t="s">
        <v>273</v>
      </c>
      <c r="B10" s="67">
        <f>DADOS_INICIAIS!E10+1</f>
        <v>37</v>
      </c>
      <c r="C10" s="186">
        <v>2600</v>
      </c>
      <c r="D10" s="89">
        <f>B10*C10*1.1</f>
        <v>105820.00000000001</v>
      </c>
      <c r="E10" s="57" t="s">
        <v>380</v>
      </c>
      <c r="G10" s="55">
        <v>0</v>
      </c>
      <c r="H10" s="55">
        <f>1+1</f>
        <v>2</v>
      </c>
      <c r="I10" s="55">
        <v>2</v>
      </c>
    </row>
    <row r="11" spans="1:9" s="55" customFormat="1" ht="21.75" x14ac:dyDescent="0.25">
      <c r="A11" s="215" t="s">
        <v>17</v>
      </c>
      <c r="B11" s="215"/>
      <c r="C11" s="215"/>
      <c r="D11" s="90">
        <f>SUM(D7:D10)</f>
        <v>377300</v>
      </c>
      <c r="E11" s="60"/>
    </row>
    <row r="12" spans="1:9" s="55" customFormat="1" ht="21.75" x14ac:dyDescent="0.25">
      <c r="A12" s="219"/>
      <c r="B12" s="219"/>
      <c r="C12" s="219"/>
      <c r="D12" s="59"/>
      <c r="E12" s="59"/>
    </row>
    <row r="13" spans="1:9" s="55" customFormat="1" ht="21.75" x14ac:dyDescent="0.25">
      <c r="A13" s="52" t="s">
        <v>272</v>
      </c>
      <c r="B13" s="53"/>
      <c r="C13" s="53"/>
      <c r="D13" s="53"/>
      <c r="E13" s="53"/>
    </row>
    <row r="14" spans="1:9" s="55" customFormat="1" ht="21.75" x14ac:dyDescent="0.25">
      <c r="A14" s="56"/>
      <c r="B14" s="57"/>
      <c r="C14" s="57"/>
      <c r="D14" s="59"/>
      <c r="E14" s="59"/>
    </row>
    <row r="15" spans="1:9" s="55" customFormat="1" ht="42" customHeight="1" x14ac:dyDescent="0.25">
      <c r="A15" s="63" t="s">
        <v>14</v>
      </c>
      <c r="B15" s="220" t="s">
        <v>5</v>
      </c>
      <c r="C15" s="221"/>
      <c r="D15" s="71" t="s">
        <v>16</v>
      </c>
      <c r="E15" s="59"/>
    </row>
    <row r="16" spans="1:9" s="55" customFormat="1" ht="21.75" x14ac:dyDescent="0.25">
      <c r="A16" s="66" t="s">
        <v>271</v>
      </c>
      <c r="B16" s="62">
        <v>1.5</v>
      </c>
      <c r="C16" s="62" t="s">
        <v>6</v>
      </c>
      <c r="D16" s="89">
        <f>B16*DADOS_INICIAIS!$E$9*1.1</f>
        <v>12429.268500000002</v>
      </c>
      <c r="E16" s="57"/>
    </row>
    <row r="17" spans="1:5" s="55" customFormat="1" ht="21.75" x14ac:dyDescent="0.25">
      <c r="A17" s="66" t="s">
        <v>270</v>
      </c>
      <c r="B17" s="62">
        <v>2</v>
      </c>
      <c r="C17" s="62" t="s">
        <v>6</v>
      </c>
      <c r="D17" s="89">
        <f>B17*DADOS_INICIAIS!$E$9*1.1</f>
        <v>16572.358000000004</v>
      </c>
      <c r="E17" s="57"/>
    </row>
    <row r="18" spans="1:5" s="55" customFormat="1" ht="21.75" x14ac:dyDescent="0.25">
      <c r="A18" s="66" t="s">
        <v>269</v>
      </c>
      <c r="B18" s="62">
        <v>4</v>
      </c>
      <c r="C18" s="62" t="s">
        <v>6</v>
      </c>
      <c r="D18" s="89">
        <f>B18*DADOS_INICIAIS!$E$9*1.1</f>
        <v>33144.716000000008</v>
      </c>
      <c r="E18" s="57"/>
    </row>
    <row r="19" spans="1:5" s="55" customFormat="1" ht="43.5" x14ac:dyDescent="0.25">
      <c r="A19" s="66" t="s">
        <v>268</v>
      </c>
      <c r="B19" s="62">
        <v>5</v>
      </c>
      <c r="C19" s="62" t="s">
        <v>6</v>
      </c>
      <c r="D19" s="89">
        <f>B19*DADOS_INICIAIS!$E$9*1.1</f>
        <v>41430.895000000011</v>
      </c>
      <c r="E19" s="57"/>
    </row>
    <row r="20" spans="1:5" s="55" customFormat="1" ht="21.75" x14ac:dyDescent="0.25">
      <c r="A20" s="215" t="s">
        <v>17</v>
      </c>
      <c r="B20" s="215"/>
      <c r="C20" s="215"/>
      <c r="D20" s="90">
        <f>SUM(D16:D19)</f>
        <v>103577.23750000002</v>
      </c>
      <c r="E20" s="60"/>
    </row>
    <row r="21" spans="1:5" s="55" customFormat="1" ht="21.75" x14ac:dyDescent="0.25">
      <c r="A21" s="219"/>
      <c r="B21" s="219"/>
      <c r="C21" s="219"/>
      <c r="D21" s="59"/>
      <c r="E21" s="59"/>
    </row>
    <row r="22" spans="1:5" s="55" customFormat="1" ht="21.75" x14ac:dyDescent="0.25">
      <c r="A22" s="52" t="s">
        <v>267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266</v>
      </c>
      <c r="D24" s="71" t="s">
        <v>16</v>
      </c>
      <c r="E24" s="59"/>
    </row>
    <row r="25" spans="1:5" s="55" customFormat="1" ht="26.25" customHeight="1" x14ac:dyDescent="0.25">
      <c r="A25" s="70" t="s">
        <v>265</v>
      </c>
      <c r="B25" s="67">
        <v>2</v>
      </c>
      <c r="C25" s="186">
        <f>(768900/2)</f>
        <v>384450</v>
      </c>
      <c r="D25" s="89">
        <f>B25*C25*1.1</f>
        <v>845790.00000000012</v>
      </c>
      <c r="E25" s="57"/>
    </row>
    <row r="26" spans="1:5" s="55" customFormat="1" ht="26.25" customHeight="1" x14ac:dyDescent="0.25">
      <c r="A26" s="70" t="s">
        <v>264</v>
      </c>
      <c r="B26" s="67">
        <v>1</v>
      </c>
      <c r="C26" s="186">
        <v>42000</v>
      </c>
      <c r="D26" s="89">
        <f t="shared" ref="D26:D32" si="0">B26*C26*1.1</f>
        <v>46200.000000000007</v>
      </c>
      <c r="E26" s="57"/>
    </row>
    <row r="27" spans="1:5" s="55" customFormat="1" ht="26.25" customHeight="1" x14ac:dyDescent="0.25">
      <c r="A27" s="70" t="s">
        <v>381</v>
      </c>
      <c r="B27" s="67">
        <v>1</v>
      </c>
      <c r="C27" s="186">
        <f>26.4*DADOS_INICIAIS!E9</f>
        <v>198868.296</v>
      </c>
      <c r="D27" s="89">
        <f t="shared" ref="D27" si="1">B27*C27*1.1</f>
        <v>218755.12560000003</v>
      </c>
      <c r="E27" s="57"/>
    </row>
    <row r="28" spans="1:5" s="55" customFormat="1" ht="26.25" customHeight="1" x14ac:dyDescent="0.25">
      <c r="A28" s="70" t="s">
        <v>321</v>
      </c>
      <c r="B28" s="67">
        <v>1</v>
      </c>
      <c r="C28" s="186">
        <v>10000</v>
      </c>
      <c r="D28" s="89">
        <f t="shared" si="0"/>
        <v>11000</v>
      </c>
      <c r="E28" s="57"/>
    </row>
    <row r="29" spans="1:5" s="55" customFormat="1" ht="26.25" customHeight="1" x14ac:dyDescent="0.25">
      <c r="A29" s="70" t="s">
        <v>263</v>
      </c>
      <c r="B29" s="67"/>
      <c r="C29" s="186">
        <v>560</v>
      </c>
      <c r="D29" s="89">
        <f t="shared" si="0"/>
        <v>0</v>
      </c>
      <c r="E29" s="57"/>
    </row>
    <row r="30" spans="1:5" s="55" customFormat="1" ht="26.25" customHeight="1" x14ac:dyDescent="0.25">
      <c r="A30" s="70" t="s">
        <v>351</v>
      </c>
      <c r="B30" s="67">
        <v>1</v>
      </c>
      <c r="C30" s="186">
        <v>36831</v>
      </c>
      <c r="D30" s="89">
        <f t="shared" si="0"/>
        <v>40514.100000000006</v>
      </c>
      <c r="E30" s="57"/>
    </row>
    <row r="31" spans="1:5" s="55" customFormat="1" ht="26.25" customHeight="1" x14ac:dyDescent="0.25">
      <c r="A31" s="70" t="s">
        <v>355</v>
      </c>
      <c r="B31" s="67"/>
      <c r="C31" s="186">
        <v>8500</v>
      </c>
      <c r="D31" s="89">
        <f t="shared" si="0"/>
        <v>0</v>
      </c>
      <c r="E31" s="57"/>
    </row>
    <row r="32" spans="1:5" s="55" customFormat="1" ht="26.25" customHeight="1" x14ac:dyDescent="0.25">
      <c r="A32" s="70" t="s">
        <v>356</v>
      </c>
      <c r="B32" s="67"/>
      <c r="C32" s="186">
        <v>15000</v>
      </c>
      <c r="D32" s="89">
        <f t="shared" si="0"/>
        <v>0</v>
      </c>
      <c r="E32" s="57"/>
    </row>
    <row r="33" spans="1:9" s="55" customFormat="1" ht="26.25" customHeight="1" x14ac:dyDescent="0.25">
      <c r="A33" s="70" t="s">
        <v>350</v>
      </c>
      <c r="B33" s="67">
        <v>0</v>
      </c>
      <c r="C33" s="186">
        <f>55*DADOS_INICIAIS!E9</f>
        <v>414308.95</v>
      </c>
      <c r="D33" s="89">
        <f>B33*C33</f>
        <v>0</v>
      </c>
      <c r="E33" s="57"/>
    </row>
    <row r="34" spans="1:9" s="55" customFormat="1" ht="21.75" x14ac:dyDescent="0.25">
      <c r="A34" s="215" t="s">
        <v>17</v>
      </c>
      <c r="B34" s="215"/>
      <c r="C34" s="215"/>
      <c r="D34" s="90">
        <f>SUM(D25:D33)</f>
        <v>1162259.2256000002</v>
      </c>
      <c r="E34" s="60"/>
    </row>
    <row r="35" spans="1:9" x14ac:dyDescent="0.25">
      <c r="I35" s="47"/>
    </row>
    <row r="36" spans="1:9" s="55" customFormat="1" ht="21.75" x14ac:dyDescent="0.25">
      <c r="A36" s="52" t="s">
        <v>262</v>
      </c>
      <c r="B36" s="53"/>
      <c r="C36" s="53"/>
      <c r="D36" s="53"/>
      <c r="E36" s="53"/>
    </row>
    <row r="37" spans="1:9" s="55" customFormat="1" ht="21.75" x14ac:dyDescent="0.25">
      <c r="A37" s="56"/>
      <c r="B37" s="57"/>
      <c r="C37" s="57"/>
      <c r="D37" s="59"/>
      <c r="E37" s="59"/>
    </row>
    <row r="38" spans="1:9" s="55" customFormat="1" ht="40.5" customHeight="1" x14ac:dyDescent="0.25">
      <c r="A38" s="63" t="s">
        <v>14</v>
      </c>
      <c r="B38" s="220" t="s">
        <v>5</v>
      </c>
      <c r="C38" s="221"/>
      <c r="D38" s="71" t="s">
        <v>16</v>
      </c>
      <c r="E38" s="59"/>
    </row>
    <row r="39" spans="1:9" s="55" customFormat="1" ht="26.25" customHeight="1" x14ac:dyDescent="0.25">
      <c r="A39" s="70" t="s">
        <v>261</v>
      </c>
      <c r="B39" s="62">
        <v>20</v>
      </c>
      <c r="C39" s="62" t="s">
        <v>6</v>
      </c>
      <c r="D39" s="89">
        <f>B39*DADOS_INICIAIS!E9*1.1</f>
        <v>165723.58000000005</v>
      </c>
      <c r="E39" s="102"/>
    </row>
    <row r="40" spans="1:9" s="55" customFormat="1" ht="21.75" x14ac:dyDescent="0.25">
      <c r="A40" s="215" t="s">
        <v>17</v>
      </c>
      <c r="B40" s="215"/>
      <c r="C40" s="215"/>
      <c r="D40" s="90">
        <f>SUM(D39:D39)</f>
        <v>165723.58000000005</v>
      </c>
      <c r="E40" s="103"/>
    </row>
    <row r="41" spans="1:9" x14ac:dyDescent="0.25">
      <c r="D41" s="107"/>
      <c r="E41" s="107"/>
      <c r="I41" s="47"/>
    </row>
    <row r="42" spans="1:9" ht="23.25" customHeight="1" x14ac:dyDescent="0.25">
      <c r="A42" s="212" t="s">
        <v>260</v>
      </c>
      <c r="B42" s="213"/>
      <c r="C42" s="214"/>
      <c r="D42" s="108">
        <f>D11+D20+D34+D40</f>
        <v>1808860.0431000004</v>
      </c>
      <c r="E42" s="108">
        <f>D42/DADOS_INICIAIS!E9</f>
        <v>240.12829645726941</v>
      </c>
    </row>
  </sheetData>
  <mergeCells count="10">
    <mergeCell ref="A34:C34"/>
    <mergeCell ref="A42:C42"/>
    <mergeCell ref="B38:C38"/>
    <mergeCell ref="A40:C40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3"/>
  <sheetViews>
    <sheetView showGridLines="0" topLeftCell="A7" zoomScale="80" zoomScaleNormal="80" zoomScaleSheetLayoutView="95" workbookViewId="0">
      <selection activeCell="B16" sqref="B16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6" t="s">
        <v>230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7" t="s">
        <v>186</v>
      </c>
      <c r="B4" s="193">
        <v>45471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300</v>
      </c>
      <c r="B5" s="194" t="s">
        <v>215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303</v>
      </c>
    </row>
    <row r="10" spans="1:10" ht="21.75" x14ac:dyDescent="0.25">
      <c r="A10" s="66" t="s">
        <v>229</v>
      </c>
      <c r="B10" s="62">
        <v>25</v>
      </c>
      <c r="C10" s="62" t="s">
        <v>171</v>
      </c>
      <c r="D10" s="67">
        <f>D14+D15</f>
        <v>2711.8404</v>
      </c>
      <c r="E10" s="67" t="s">
        <v>2</v>
      </c>
      <c r="F10" s="88">
        <v>22</v>
      </c>
      <c r="G10" s="89">
        <f t="shared" ref="G10:G17" si="0">F10*D10*1.1</f>
        <v>65626.537680000009</v>
      </c>
      <c r="H10" s="67"/>
    </row>
    <row r="11" spans="1:10" ht="21.75" x14ac:dyDescent="0.25">
      <c r="A11" s="78" t="s">
        <v>228</v>
      </c>
      <c r="B11" s="62">
        <v>45</v>
      </c>
      <c r="C11" s="62" t="s">
        <v>171</v>
      </c>
      <c r="D11" s="67">
        <f>(3.24+(7.2)*1.8)*2</f>
        <v>32.400000000000006</v>
      </c>
      <c r="E11" s="67" t="s">
        <v>2</v>
      </c>
      <c r="F11" s="88">
        <v>41</v>
      </c>
      <c r="G11" s="89">
        <f t="shared" si="0"/>
        <v>1461.2400000000005</v>
      </c>
      <c r="H11" s="67"/>
    </row>
    <row r="12" spans="1:10" ht="21.75" x14ac:dyDescent="0.25">
      <c r="A12" s="78" t="s">
        <v>227</v>
      </c>
      <c r="B12" s="62">
        <v>30</v>
      </c>
      <c r="C12" s="62" t="s">
        <v>171</v>
      </c>
      <c r="D12" s="67">
        <f>INFRAESTRUTURA!D28</f>
        <v>553.69600000000003</v>
      </c>
      <c r="E12" s="67" t="s">
        <v>2</v>
      </c>
      <c r="F12" s="88">
        <v>35</v>
      </c>
      <c r="G12" s="89">
        <f t="shared" si="0"/>
        <v>21317.296000000002</v>
      </c>
      <c r="H12" s="67"/>
    </row>
    <row r="13" spans="1:10" ht="21.75" x14ac:dyDescent="0.25">
      <c r="A13" s="66" t="s">
        <v>226</v>
      </c>
      <c r="B13" s="62">
        <v>1</v>
      </c>
      <c r="C13" s="62" t="s">
        <v>6</v>
      </c>
      <c r="D13" s="67">
        <v>1</v>
      </c>
      <c r="E13" s="67" t="s">
        <v>27</v>
      </c>
      <c r="F13" s="88">
        <f>B13*DADOS_INICIAIS!$E$9</f>
        <v>7532.89</v>
      </c>
      <c r="G13" s="89">
        <f t="shared" si="0"/>
        <v>8286.1790000000019</v>
      </c>
      <c r="H13" s="67"/>
    </row>
    <row r="14" spans="1:10" ht="21.75" x14ac:dyDescent="0.25">
      <c r="A14" s="66" t="s">
        <v>225</v>
      </c>
      <c r="B14" s="62">
        <v>0.25</v>
      </c>
      <c r="C14" s="62" t="s">
        <v>37</v>
      </c>
      <c r="D14" s="67">
        <f>B14*DADOS_INICIAIS!E9</f>
        <v>1883.2225000000001</v>
      </c>
      <c r="E14" s="67" t="s">
        <v>2</v>
      </c>
      <c r="F14" s="88">
        <v>60</v>
      </c>
      <c r="G14" s="89">
        <f t="shared" si="0"/>
        <v>124292.68500000001</v>
      </c>
      <c r="H14" s="67"/>
    </row>
    <row r="15" spans="1:10" ht="21.75" x14ac:dyDescent="0.25">
      <c r="A15" s="66" t="s">
        <v>224</v>
      </c>
      <c r="B15" s="62">
        <v>0.11</v>
      </c>
      <c r="C15" s="62" t="s">
        <v>37</v>
      </c>
      <c r="D15" s="67">
        <f>B15*DADOS_INICIAIS!E9</f>
        <v>828.61790000000008</v>
      </c>
      <c r="E15" s="67" t="s">
        <v>2</v>
      </c>
      <c r="F15" s="88">
        <v>110</v>
      </c>
      <c r="G15" s="89">
        <f t="shared" si="0"/>
        <v>100262.76590000003</v>
      </c>
      <c r="H15" s="67"/>
    </row>
    <row r="16" spans="1:10" ht="21.75" x14ac:dyDescent="0.25">
      <c r="A16" s="66" t="s">
        <v>223</v>
      </c>
      <c r="B16" s="62">
        <v>0.6</v>
      </c>
      <c r="C16" s="62" t="s">
        <v>6</v>
      </c>
      <c r="D16" s="67">
        <v>1</v>
      </c>
      <c r="E16" s="67" t="s">
        <v>27</v>
      </c>
      <c r="F16" s="88">
        <f>B16*DADOS_INICIAIS!$E$9</f>
        <v>4519.7340000000004</v>
      </c>
      <c r="G16" s="89">
        <f t="shared" si="0"/>
        <v>4971.7074000000011</v>
      </c>
      <c r="H16" s="67"/>
    </row>
    <row r="17" spans="1:12" ht="21.75" x14ac:dyDescent="0.25">
      <c r="A17" s="66" t="s">
        <v>222</v>
      </c>
      <c r="B17" s="62">
        <v>28</v>
      </c>
      <c r="C17" s="62" t="s">
        <v>171</v>
      </c>
      <c r="D17" s="67">
        <f>D15</f>
        <v>828.61790000000008</v>
      </c>
      <c r="E17" s="67" t="s">
        <v>2</v>
      </c>
      <c r="F17" s="88">
        <v>28</v>
      </c>
      <c r="G17" s="89">
        <f t="shared" si="0"/>
        <v>25521.431320000003</v>
      </c>
      <c r="H17" s="67"/>
    </row>
    <row r="18" spans="1:12" ht="21.75" x14ac:dyDescent="0.25">
      <c r="A18" s="215" t="s">
        <v>17</v>
      </c>
      <c r="B18" s="215"/>
      <c r="C18" s="215"/>
      <c r="D18" s="215"/>
      <c r="E18" s="215"/>
      <c r="F18" s="215"/>
      <c r="G18" s="90">
        <f>SUM(G10:G17)</f>
        <v>351739.84230000013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x14ac:dyDescent="0.25">
      <c r="A20" s="222" t="s">
        <v>221</v>
      </c>
      <c r="B20" s="223"/>
      <c r="C20" s="223"/>
      <c r="D20" s="223"/>
      <c r="E20" s="223"/>
      <c r="F20" s="224"/>
      <c r="G20" s="91">
        <f>G18</f>
        <v>351739.84230000013</v>
      </c>
      <c r="H20" s="91">
        <f>G20/DADOS_INICIAIS!E9</f>
        <v>46.693877422874905</v>
      </c>
    </row>
    <row r="23" spans="1:12" x14ac:dyDescent="0.25">
      <c r="H23" s="196">
        <f>H20/1.1</f>
        <v>42.44897947534082</v>
      </c>
    </row>
  </sheetData>
  <mergeCells count="5">
    <mergeCell ref="A20:F20"/>
    <mergeCell ref="A3:H3"/>
    <mergeCell ref="B9:C9"/>
    <mergeCell ref="D9:E9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J26"/>
  <sheetViews>
    <sheetView showGridLines="0" zoomScale="87" zoomScaleNormal="87" zoomScaleSheetLayoutView="95" workbookViewId="0">
      <selection activeCell="B15" sqref="B15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11" style="1" bestFit="1" customWidth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228" t="s">
        <v>188</v>
      </c>
      <c r="B2" s="2"/>
      <c r="C2" s="1"/>
      <c r="D2" s="1"/>
      <c r="G2" s="166"/>
      <c r="H2" s="166"/>
      <c r="I2" s="2"/>
    </row>
    <row r="3" spans="1:10" ht="12.75" customHeight="1" x14ac:dyDescent="0.25">
      <c r="A3" s="229"/>
      <c r="B3" s="2"/>
      <c r="C3" s="1"/>
      <c r="D3" s="1"/>
      <c r="G3" s="166"/>
      <c r="H3" s="166"/>
      <c r="I3" s="2"/>
    </row>
    <row r="4" spans="1:10" ht="12.75" customHeight="1" x14ac:dyDescent="0.25">
      <c r="A4" s="229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195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/>
    </row>
    <row r="14" spans="1:10" ht="15.95" customHeight="1" x14ac:dyDescent="0.25">
      <c r="A14" s="134" t="s">
        <v>14</v>
      </c>
      <c r="B14" s="235" t="s">
        <v>18</v>
      </c>
      <c r="C14" s="236"/>
      <c r="D14" s="237" t="s">
        <v>5</v>
      </c>
      <c r="E14" s="238"/>
      <c r="F14" s="133" t="s">
        <v>183</v>
      </c>
      <c r="G14" s="132" t="s">
        <v>16</v>
      </c>
      <c r="H14" s="131"/>
      <c r="J14" s="115"/>
    </row>
    <row r="15" spans="1:10" ht="15.95" customHeight="1" x14ac:dyDescent="0.25">
      <c r="A15" s="174" t="s">
        <v>332</v>
      </c>
      <c r="B15" s="124">
        <f>549.79*4*0.8</f>
        <v>1759.328</v>
      </c>
      <c r="C15" s="129" t="s">
        <v>2</v>
      </c>
      <c r="D15" s="128">
        <v>16.5</v>
      </c>
      <c r="E15" s="130" t="s">
        <v>171</v>
      </c>
      <c r="F15" s="126" t="s">
        <v>170</v>
      </c>
      <c r="G15" s="125">
        <f>D15*B15*1.1</f>
        <v>31931.803200000002</v>
      </c>
      <c r="H15" s="131"/>
    </row>
    <row r="16" spans="1:10" ht="15.95" customHeight="1" x14ac:dyDescent="0.25">
      <c r="A16" s="174" t="s">
        <v>333</v>
      </c>
      <c r="B16" s="124">
        <f>DADOS_INICIAIS!E9*0.05</f>
        <v>376.64450000000005</v>
      </c>
      <c r="C16" s="129" t="s">
        <v>2</v>
      </c>
      <c r="D16" s="128">
        <v>25</v>
      </c>
      <c r="E16" s="130" t="s">
        <v>171</v>
      </c>
      <c r="F16" s="126" t="s">
        <v>170</v>
      </c>
      <c r="G16" s="125">
        <f>D16*B16*1.1</f>
        <v>10357.723750000003</v>
      </c>
      <c r="H16" s="131"/>
    </row>
    <row r="17" spans="1:9" ht="15.95" customHeight="1" x14ac:dyDescent="0.25">
      <c r="A17" s="172" t="s">
        <v>194</v>
      </c>
      <c r="B17" s="124">
        <f>DADOS_INICIAIS!E9*0.62</f>
        <v>4670.3918000000003</v>
      </c>
      <c r="C17" s="129" t="s">
        <v>2</v>
      </c>
      <c r="D17" s="128">
        <f>B17/DADOS_INICIAIS!E9</f>
        <v>0.62</v>
      </c>
      <c r="E17" s="130" t="s">
        <v>190</v>
      </c>
      <c r="F17" s="126" t="s">
        <v>170</v>
      </c>
      <c r="G17" s="125">
        <f>+B17*65*1.1</f>
        <v>333933.01370000001</v>
      </c>
      <c r="H17" s="208">
        <f>B17+B16+B15</f>
        <v>6806.3643000000011</v>
      </c>
      <c r="I17" s="1">
        <f>H17/DADOS_INICIAIS!E9</f>
        <v>0.90355285952668907</v>
      </c>
    </row>
    <row r="18" spans="1:9" ht="15.95" customHeight="1" x14ac:dyDescent="0.25">
      <c r="A18" s="172" t="s">
        <v>193</v>
      </c>
      <c r="B18" s="124"/>
      <c r="C18" s="129" t="s">
        <v>2</v>
      </c>
      <c r="D18" s="128">
        <f>B18/DADOS_INICIAIS!E9</f>
        <v>0</v>
      </c>
      <c r="E18" s="130" t="s">
        <v>190</v>
      </c>
      <c r="F18" s="126" t="s">
        <v>170</v>
      </c>
      <c r="G18" s="125">
        <f>+B18*25*1.1</f>
        <v>0</v>
      </c>
      <c r="H18" s="131"/>
    </row>
    <row r="19" spans="1:9" ht="27" customHeight="1" x14ac:dyDescent="0.25">
      <c r="A19" s="173" t="s">
        <v>192</v>
      </c>
      <c r="B19" s="171">
        <f>ALVENARIA!D15*2-'Rev. Fachada'!B15</f>
        <v>18987.670400000006</v>
      </c>
      <c r="C19" s="170" t="s">
        <v>2</v>
      </c>
      <c r="D19" s="169">
        <f>B19/DADOS_INICIAIS!E9</f>
        <v>2.5206355595262915</v>
      </c>
      <c r="E19" s="127" t="s">
        <v>190</v>
      </c>
      <c r="F19" s="168" t="s">
        <v>170</v>
      </c>
      <c r="G19" s="125">
        <f>+B19*5*1.1</f>
        <v>104432.18720000004</v>
      </c>
      <c r="H19" s="123"/>
    </row>
    <row r="20" spans="1:9" ht="27" customHeight="1" x14ac:dyDescent="0.25">
      <c r="A20" s="172" t="s">
        <v>191</v>
      </c>
      <c r="B20" s="171">
        <f>B19</f>
        <v>18987.670400000006</v>
      </c>
      <c r="C20" s="170" t="s">
        <v>2</v>
      </c>
      <c r="D20" s="169">
        <f>B20/DADOS_INICIAIS!E9</f>
        <v>2.5206355595262915</v>
      </c>
      <c r="E20" s="127" t="s">
        <v>190</v>
      </c>
      <c r="F20" s="168" t="s">
        <v>170</v>
      </c>
      <c r="G20" s="125">
        <f>50*B20*1.1</f>
        <v>1044321.8720000004</v>
      </c>
      <c r="H20" s="123"/>
    </row>
    <row r="21" spans="1:9" ht="15.95" customHeight="1" x14ac:dyDescent="0.25">
      <c r="A21" s="233" t="s">
        <v>17</v>
      </c>
      <c r="B21" s="234"/>
      <c r="C21" s="234"/>
      <c r="D21" s="234"/>
      <c r="E21" s="234"/>
      <c r="F21" s="234"/>
      <c r="G21" s="122">
        <f>SUM(G15:G20)</f>
        <v>1524976.5998500006</v>
      </c>
      <c r="H21" s="121"/>
    </row>
    <row r="22" spans="1:9" ht="15.95" customHeight="1" x14ac:dyDescent="0.25">
      <c r="A22" s="231"/>
      <c r="B22" s="232"/>
      <c r="C22" s="232"/>
      <c r="D22" s="232"/>
      <c r="E22" s="232"/>
      <c r="F22" s="232"/>
      <c r="G22" s="167"/>
      <c r="H22" s="118"/>
    </row>
    <row r="24" spans="1:9" x14ac:dyDescent="0.25">
      <c r="A24" s="230" t="s">
        <v>189</v>
      </c>
      <c r="B24" s="230"/>
      <c r="C24" s="230"/>
      <c r="D24" s="230"/>
      <c r="E24" s="230"/>
      <c r="F24" s="230"/>
      <c r="G24" s="117">
        <f>G21</f>
        <v>1524976.5998500006</v>
      </c>
      <c r="H24" s="116">
        <f>G24/DADOS_INICIAIS!E9</f>
        <v>202.44243575175005</v>
      </c>
    </row>
    <row r="26" spans="1:9" x14ac:dyDescent="0.25">
      <c r="H26" s="115">
        <f>H24/1.1</f>
        <v>184.03857795613641</v>
      </c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18"/>
  <sheetViews>
    <sheetView showGridLines="0" zoomScale="80" zoomScaleNormal="80" zoomScaleSheetLayoutView="95" workbookViewId="0">
      <selection activeCell="D10" sqref="D1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6" t="s">
        <v>324</v>
      </c>
      <c r="B3" s="227"/>
      <c r="C3" s="227"/>
      <c r="D3" s="217"/>
      <c r="E3" s="217"/>
      <c r="F3" s="217"/>
      <c r="G3" s="217"/>
      <c r="H3" s="218"/>
      <c r="J3" s="79"/>
    </row>
    <row r="4" spans="1:12" ht="19.5" x14ac:dyDescent="0.25">
      <c r="A4" s="187" t="s">
        <v>186</v>
      </c>
      <c r="B4" s="193">
        <v>45471</v>
      </c>
      <c r="C4" s="191"/>
      <c r="D4" s="191"/>
      <c r="E4" s="191"/>
      <c r="F4" s="191"/>
      <c r="G4" s="191"/>
      <c r="H4" s="192"/>
      <c r="J4" s="79"/>
    </row>
    <row r="5" spans="1:12" ht="19.5" x14ac:dyDescent="0.25">
      <c r="A5" s="187" t="s">
        <v>300</v>
      </c>
      <c r="B5" s="194" t="s">
        <v>215</v>
      </c>
      <c r="C5" s="189"/>
      <c r="D5" s="189"/>
      <c r="E5" s="189"/>
      <c r="F5" s="189"/>
      <c r="G5" s="189"/>
      <c r="H5" s="190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303</v>
      </c>
    </row>
    <row r="10" spans="1:12" ht="21.75" x14ac:dyDescent="0.25">
      <c r="A10" s="66" t="s">
        <v>358</v>
      </c>
      <c r="B10" s="62">
        <v>0.6</v>
      </c>
      <c r="C10" s="62" t="s">
        <v>37</v>
      </c>
      <c r="D10" s="67">
        <f>B10*DADOS_INICIAIS!E9</f>
        <v>4519.7340000000004</v>
      </c>
      <c r="E10" s="67" t="s">
        <v>2</v>
      </c>
      <c r="F10" s="88">
        <v>65</v>
      </c>
      <c r="G10" s="89">
        <f>F10*D10*1.1</f>
        <v>323160.98100000003</v>
      </c>
      <c r="H10" s="67"/>
    </row>
    <row r="11" spans="1:12" ht="21.75" x14ac:dyDescent="0.25">
      <c r="A11" s="78" t="s">
        <v>198</v>
      </c>
      <c r="B11" s="62">
        <v>1.2</v>
      </c>
      <c r="C11" s="62" t="s">
        <v>322</v>
      </c>
      <c r="D11" s="67">
        <f>(D10)*B11</f>
        <v>5423.6808000000001</v>
      </c>
      <c r="E11" s="67" t="s">
        <v>2</v>
      </c>
      <c r="F11" s="88">
        <v>22</v>
      </c>
      <c r="G11" s="89">
        <f>F11*D11*1.1</f>
        <v>131253.07536000002</v>
      </c>
      <c r="H11" s="67"/>
    </row>
    <row r="12" spans="1:12" ht="21.75" x14ac:dyDescent="0.25">
      <c r="A12" s="78" t="s">
        <v>197</v>
      </c>
      <c r="B12" s="62">
        <v>0.2</v>
      </c>
      <c r="C12" s="62" t="s">
        <v>37</v>
      </c>
      <c r="D12" s="67">
        <f>B12*DADOS_INICIAIS!E9</f>
        <v>1506.5780000000002</v>
      </c>
      <c r="E12" s="67" t="s">
        <v>2</v>
      </c>
      <c r="F12" s="88">
        <v>24</v>
      </c>
      <c r="G12" s="89">
        <f>F12*D12*1.1</f>
        <v>39773.659200000009</v>
      </c>
      <c r="H12" s="67"/>
    </row>
    <row r="13" spans="1:12" ht="21.75" x14ac:dyDescent="0.25">
      <c r="A13" s="215" t="s">
        <v>17</v>
      </c>
      <c r="B13" s="215"/>
      <c r="C13" s="215"/>
      <c r="D13" s="215"/>
      <c r="E13" s="215"/>
      <c r="F13" s="215"/>
      <c r="G13" s="90">
        <f>SUM(G10:G12)</f>
        <v>494187.71556000004</v>
      </c>
      <c r="H13" s="90"/>
      <c r="K13" s="55">
        <f>4160+1440+1120+2880+4800+91680+4000</f>
        <v>110080</v>
      </c>
      <c r="L13" s="55">
        <f>K13/21</f>
        <v>5241.9047619047615</v>
      </c>
    </row>
    <row r="15" spans="1:12" ht="21.75" x14ac:dyDescent="0.25">
      <c r="A15" s="222" t="s">
        <v>352</v>
      </c>
      <c r="B15" s="223"/>
      <c r="C15" s="223"/>
      <c r="D15" s="223"/>
      <c r="E15" s="223"/>
      <c r="F15" s="224"/>
      <c r="G15" s="91">
        <f>G13</f>
        <v>494187.71556000004</v>
      </c>
      <c r="H15" s="91">
        <f>G15/DADOS_INICIAIS!E9</f>
        <v>65.603999999999999</v>
      </c>
    </row>
    <row r="18" spans="8:8" x14ac:dyDescent="0.25">
      <c r="H18" s="196">
        <f>H15/1.1</f>
        <v>59.639999999999993</v>
      </c>
    </row>
  </sheetData>
  <mergeCells count="5">
    <mergeCell ref="A3:H3"/>
    <mergeCell ref="B9:C9"/>
    <mergeCell ref="D9:E9"/>
    <mergeCell ref="A13:F13"/>
    <mergeCell ref="A15:F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73"/>
  <sheetViews>
    <sheetView showGridLines="0" topLeftCell="A5" zoomScaleNormal="100" zoomScaleSheetLayoutView="95" workbookViewId="0">
      <selection activeCell="B15" sqref="B15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228" t="s">
        <v>188</v>
      </c>
      <c r="B2" s="2"/>
      <c r="C2" s="1"/>
      <c r="D2" s="1"/>
      <c r="G2" s="166"/>
      <c r="H2" s="166"/>
      <c r="I2" s="2"/>
    </row>
    <row r="3" spans="1:11" ht="12.75" customHeight="1" x14ac:dyDescent="0.25">
      <c r="A3" s="229"/>
      <c r="B3" s="2"/>
      <c r="C3" s="1"/>
      <c r="D3" s="1"/>
      <c r="G3" s="166"/>
      <c r="H3" s="166"/>
      <c r="I3" s="2"/>
    </row>
    <row r="4" spans="1:11" ht="12.75" customHeight="1" x14ac:dyDescent="0.25">
      <c r="A4" s="229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209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235" t="s">
        <v>18</v>
      </c>
      <c r="C14" s="236"/>
      <c r="D14" s="237" t="s">
        <v>5</v>
      </c>
      <c r="E14" s="238"/>
      <c r="F14" s="133" t="s">
        <v>183</v>
      </c>
      <c r="G14" s="132" t="s">
        <v>16</v>
      </c>
      <c r="H14" s="131"/>
      <c r="I14" s="2"/>
    </row>
    <row r="15" spans="1:11" ht="15.95" customHeight="1" x14ac:dyDescent="0.25">
      <c r="A15" s="172" t="s">
        <v>208</v>
      </c>
      <c r="B15" s="180">
        <f>'Rev. Internos Piso e Parede'!B17*0.6</f>
        <v>2802.2350799999999</v>
      </c>
      <c r="C15" s="170" t="s">
        <v>205</v>
      </c>
      <c r="D15" s="178">
        <f>40*1.1+2.25+48</f>
        <v>94.25</v>
      </c>
      <c r="E15" s="127" t="s">
        <v>171</v>
      </c>
      <c r="F15" s="168" t="s">
        <v>170</v>
      </c>
      <c r="G15" s="125">
        <f>+D15*B15*1.1</f>
        <v>290521.72191900003</v>
      </c>
      <c r="H15" s="131"/>
      <c r="K15" s="115"/>
    </row>
    <row r="16" spans="1:11" ht="15.95" customHeight="1" x14ac:dyDescent="0.25">
      <c r="A16" s="172" t="s">
        <v>375</v>
      </c>
      <c r="B16" s="180">
        <f>'Rev. Internos Piso e Parede'!B17*0.4</f>
        <v>1868.1567200000002</v>
      </c>
      <c r="C16" s="170" t="s">
        <v>205</v>
      </c>
      <c r="D16" s="178">
        <v>125</v>
      </c>
      <c r="E16" s="127" t="s">
        <v>171</v>
      </c>
      <c r="F16" s="168" t="s">
        <v>170</v>
      </c>
      <c r="G16" s="125">
        <f>+D16*B16*1.1</f>
        <v>256871.54900000006</v>
      </c>
      <c r="H16" s="131"/>
      <c r="K16" s="115"/>
    </row>
    <row r="17" spans="1:8" ht="15.95" customHeight="1" x14ac:dyDescent="0.25">
      <c r="A17" s="182" t="s">
        <v>207</v>
      </c>
      <c r="B17" s="180">
        <v>144.9</v>
      </c>
      <c r="C17" s="170" t="s">
        <v>205</v>
      </c>
      <c r="D17" s="178">
        <f>110+2.25+50</f>
        <v>162.25</v>
      </c>
      <c r="E17" s="127" t="s">
        <v>171</v>
      </c>
      <c r="F17" s="168" t="s">
        <v>170</v>
      </c>
      <c r="G17" s="125">
        <f t="shared" ref="G17:G19" si="0">+D17*B17*1.1</f>
        <v>25861.027500000004</v>
      </c>
      <c r="H17" s="131"/>
    </row>
    <row r="18" spans="1:8" ht="15.95" customHeight="1" x14ac:dyDescent="0.25">
      <c r="A18" s="182" t="s">
        <v>357</v>
      </c>
      <c r="B18" s="180">
        <v>50</v>
      </c>
      <c r="C18" s="170" t="s">
        <v>205</v>
      </c>
      <c r="D18" s="178">
        <v>210</v>
      </c>
      <c r="E18" s="127" t="s">
        <v>171</v>
      </c>
      <c r="F18" s="168" t="s">
        <v>170</v>
      </c>
      <c r="G18" s="125">
        <f t="shared" si="0"/>
        <v>11550.000000000002</v>
      </c>
      <c r="H18" s="131"/>
    </row>
    <row r="19" spans="1:8" ht="15.95" customHeight="1" x14ac:dyDescent="0.25">
      <c r="A19" s="172" t="s">
        <v>206</v>
      </c>
      <c r="B19" s="180">
        <f>29.3*2.07+293*4*0.5</f>
        <v>646.65099999999995</v>
      </c>
      <c r="C19" s="170" t="s">
        <v>205</v>
      </c>
      <c r="D19" s="178">
        <v>60</v>
      </c>
      <c r="E19" s="127" t="s">
        <v>171</v>
      </c>
      <c r="F19" s="168" t="s">
        <v>170</v>
      </c>
      <c r="G19" s="125">
        <f t="shared" si="0"/>
        <v>42678.966</v>
      </c>
      <c r="H19" s="131"/>
    </row>
    <row r="20" spans="1:8" ht="15.95" customHeight="1" x14ac:dyDescent="0.25">
      <c r="A20" s="182" t="s">
        <v>204</v>
      </c>
      <c r="B20" s="180">
        <v>1</v>
      </c>
      <c r="C20" s="170" t="s">
        <v>27</v>
      </c>
      <c r="D20" s="178">
        <v>30</v>
      </c>
      <c r="E20" s="127" t="s">
        <v>6</v>
      </c>
      <c r="F20" s="168" t="s">
        <v>170</v>
      </c>
      <c r="G20" s="125">
        <f>D20*DADOS_INICIAIS!$E$9*1.1</f>
        <v>248585.37000000002</v>
      </c>
      <c r="H20" s="131"/>
    </row>
    <row r="21" spans="1:8" ht="15.95" customHeight="1" x14ac:dyDescent="0.25">
      <c r="A21" s="181" t="s">
        <v>203</v>
      </c>
      <c r="B21" s="180">
        <v>1</v>
      </c>
      <c r="C21" s="170" t="s">
        <v>27</v>
      </c>
      <c r="D21" s="178">
        <v>20</v>
      </c>
      <c r="E21" s="127" t="s">
        <v>6</v>
      </c>
      <c r="F21" s="168" t="s">
        <v>170</v>
      </c>
      <c r="G21" s="125">
        <f>D21*DADOS_INICIAIS!$E$9*1.1</f>
        <v>165723.58000000005</v>
      </c>
      <c r="H21" s="131"/>
    </row>
    <row r="22" spans="1:8" ht="15.95" customHeight="1" x14ac:dyDescent="0.25">
      <c r="A22" s="179" t="s">
        <v>202</v>
      </c>
      <c r="B22" s="171">
        <v>1</v>
      </c>
      <c r="C22" s="170" t="s">
        <v>27</v>
      </c>
      <c r="D22" s="178">
        <v>50</v>
      </c>
      <c r="E22" s="127" t="s">
        <v>6</v>
      </c>
      <c r="F22" s="168" t="s">
        <v>170</v>
      </c>
      <c r="G22" s="125">
        <f>D22*DADOS_INICIAIS!$E$9*1.1</f>
        <v>414308.95</v>
      </c>
      <c r="H22" s="123"/>
    </row>
    <row r="23" spans="1:8" ht="15.95" customHeight="1" x14ac:dyDescent="0.25">
      <c r="A23" s="241">
        <f>20*40</f>
        <v>800</v>
      </c>
      <c r="B23" s="230"/>
      <c r="C23" s="230"/>
      <c r="D23" s="230"/>
      <c r="E23" s="230"/>
      <c r="F23" s="230"/>
      <c r="G23" s="177">
        <f>SUM(G15:G22)</f>
        <v>1456101.164419</v>
      </c>
      <c r="H23" s="121"/>
    </row>
    <row r="24" spans="1:8" ht="15.95" customHeight="1" x14ac:dyDescent="0.25">
      <c r="A24" s="239"/>
      <c r="B24" s="240"/>
      <c r="C24" s="240"/>
      <c r="D24" s="240"/>
      <c r="E24" s="240"/>
      <c r="F24" s="240"/>
      <c r="G24" s="167"/>
      <c r="H24" s="118"/>
    </row>
    <row r="25" spans="1:8" ht="15.95" customHeight="1" x14ac:dyDescent="0.25">
      <c r="A25" s="120"/>
      <c r="B25" s="119"/>
      <c r="C25" s="119"/>
      <c r="D25" s="119"/>
      <c r="E25" s="119"/>
      <c r="F25" s="119"/>
      <c r="G25" s="167"/>
      <c r="H25" s="118"/>
    </row>
    <row r="26" spans="1:8" x14ac:dyDescent="0.25">
      <c r="A26" s="230" t="s">
        <v>201</v>
      </c>
      <c r="B26" s="230"/>
      <c r="C26" s="230"/>
      <c r="D26" s="230"/>
      <c r="E26" s="230"/>
      <c r="F26" s="230"/>
      <c r="G26" s="117">
        <f>G23</f>
        <v>1456101.164419</v>
      </c>
      <c r="H26" s="116">
        <f>G26/DADOS_INICIAIS!E9</f>
        <v>193.2991407572658</v>
      </c>
    </row>
    <row r="28" spans="1:8" ht="15" x14ac:dyDescent="0.25">
      <c r="B28"/>
      <c r="C28"/>
      <c r="D28"/>
      <c r="E28"/>
      <c r="F28"/>
      <c r="G28"/>
      <c r="H28" s="176">
        <f>H26/1.1</f>
        <v>175.72649159751435</v>
      </c>
    </row>
    <row r="29" spans="1:8" ht="15" x14ac:dyDescent="0.25">
      <c r="B29" s="1"/>
      <c r="C29"/>
      <c r="D29"/>
      <c r="E29"/>
      <c r="F29"/>
      <c r="G29"/>
      <c r="H29"/>
    </row>
    <row r="30" spans="1:8" ht="15" x14ac:dyDescent="0.25">
      <c r="C30"/>
      <c r="D30"/>
      <c r="E30"/>
      <c r="F30"/>
      <c r="G30"/>
      <c r="H30"/>
    </row>
    <row r="31" spans="1:8" ht="15" x14ac:dyDescent="0.25">
      <c r="C31"/>
      <c r="D31"/>
      <c r="E31"/>
      <c r="F31"/>
      <c r="G31"/>
      <c r="H31"/>
    </row>
    <row r="32" spans="1:8" ht="15" x14ac:dyDescent="0.25">
      <c r="B32"/>
      <c r="C32"/>
      <c r="D32"/>
      <c r="E32"/>
      <c r="F32"/>
      <c r="G32"/>
      <c r="H32"/>
    </row>
    <row r="33" spans="2:8" ht="15" x14ac:dyDescent="0.25">
      <c r="C33"/>
      <c r="D33"/>
      <c r="E33"/>
      <c r="F33"/>
      <c r="G33"/>
      <c r="H33"/>
    </row>
    <row r="34" spans="2:8" ht="15" x14ac:dyDescent="0.25">
      <c r="C34"/>
      <c r="D34"/>
      <c r="E34"/>
      <c r="F34"/>
      <c r="G34"/>
      <c r="H34"/>
    </row>
    <row r="35" spans="2:8" ht="15" x14ac:dyDescent="0.25">
      <c r="C35"/>
      <c r="D35"/>
      <c r="E35"/>
      <c r="F35"/>
      <c r="G35"/>
      <c r="H35"/>
    </row>
    <row r="36" spans="2:8" ht="15" x14ac:dyDescent="0.25">
      <c r="C36"/>
      <c r="D36"/>
      <c r="E36"/>
      <c r="F36"/>
      <c r="G36"/>
      <c r="H36"/>
    </row>
    <row r="37" spans="2:8" ht="15" x14ac:dyDescent="0.25">
      <c r="C37"/>
      <c r="D37"/>
      <c r="E37"/>
      <c r="F37"/>
      <c r="G37"/>
      <c r="H37"/>
    </row>
    <row r="38" spans="2:8" ht="15" x14ac:dyDescent="0.25">
      <c r="C38"/>
      <c r="D38"/>
      <c r="E38"/>
      <c r="F38"/>
      <c r="G38"/>
      <c r="H38"/>
    </row>
    <row r="39" spans="2:8" ht="15" x14ac:dyDescent="0.25">
      <c r="C39"/>
      <c r="D39"/>
      <c r="E39"/>
      <c r="F39"/>
      <c r="G39"/>
      <c r="H39"/>
    </row>
    <row r="40" spans="2:8" ht="15" x14ac:dyDescent="0.25">
      <c r="C40"/>
      <c r="D40"/>
      <c r="E40"/>
      <c r="F40"/>
      <c r="G40"/>
      <c r="H40"/>
    </row>
    <row r="41" spans="2:8" ht="15" x14ac:dyDescent="0.25">
      <c r="C41"/>
      <c r="D41"/>
      <c r="E41"/>
      <c r="F41"/>
      <c r="G41"/>
      <c r="H41"/>
    </row>
    <row r="42" spans="2:8" ht="15" x14ac:dyDescent="0.25">
      <c r="C42"/>
      <c r="D42"/>
      <c r="E42"/>
      <c r="F42"/>
      <c r="G42"/>
      <c r="H42"/>
    </row>
    <row r="43" spans="2:8" ht="15" x14ac:dyDescent="0.25">
      <c r="C43"/>
      <c r="D43"/>
      <c r="E43"/>
      <c r="F43"/>
      <c r="G43"/>
      <c r="H43"/>
    </row>
    <row r="44" spans="2:8" ht="15" x14ac:dyDescent="0.25">
      <c r="C44"/>
      <c r="D44"/>
      <c r="E44"/>
      <c r="F44"/>
      <c r="G44"/>
      <c r="H44"/>
    </row>
    <row r="45" spans="2:8" ht="15" x14ac:dyDescent="0.25">
      <c r="B45"/>
      <c r="C45"/>
      <c r="D45"/>
      <c r="E45"/>
      <c r="F45"/>
      <c r="G45"/>
      <c r="H45"/>
    </row>
    <row r="46" spans="2:8" ht="15" x14ac:dyDescent="0.25">
      <c r="C46"/>
      <c r="D46"/>
      <c r="E46"/>
      <c r="F46"/>
      <c r="G46"/>
      <c r="H46"/>
    </row>
    <row r="47" spans="2:8" ht="15" x14ac:dyDescent="0.25">
      <c r="C47"/>
      <c r="D47"/>
      <c r="E47"/>
      <c r="F47"/>
      <c r="G47"/>
      <c r="H47"/>
    </row>
    <row r="48" spans="2:8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B51"/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C55"/>
      <c r="D55"/>
      <c r="E55"/>
      <c r="F55"/>
      <c r="G55"/>
      <c r="H55"/>
    </row>
    <row r="56" spans="2:8" ht="15" x14ac:dyDescent="0.25">
      <c r="B56"/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B58"/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B63"/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</sheetData>
  <mergeCells count="6">
    <mergeCell ref="A26:F26"/>
    <mergeCell ref="A24:F24"/>
    <mergeCell ref="A23:F23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18"/>
  <sheetViews>
    <sheetView showGridLines="0" zoomScale="80" zoomScaleNormal="80" zoomScaleSheetLayoutView="95" workbookViewId="0">
      <selection activeCell="F11" sqref="F11:G1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6" t="s">
        <v>323</v>
      </c>
      <c r="B3" s="227"/>
      <c r="C3" s="227"/>
      <c r="D3" s="217"/>
      <c r="E3" s="217"/>
      <c r="F3" s="217"/>
      <c r="G3" s="217"/>
      <c r="H3" s="218"/>
      <c r="J3" s="79"/>
    </row>
    <row r="4" spans="1:12" ht="19.5" x14ac:dyDescent="0.25">
      <c r="A4" s="187" t="s">
        <v>186</v>
      </c>
      <c r="B4" s="193">
        <v>45457</v>
      </c>
      <c r="C4" s="191"/>
      <c r="D4" s="191"/>
      <c r="E4" s="191"/>
      <c r="F4" s="191"/>
      <c r="G4" s="191"/>
      <c r="H4" s="192"/>
      <c r="J4" s="79"/>
    </row>
    <row r="5" spans="1:12" ht="19.5" x14ac:dyDescent="0.25">
      <c r="A5" s="187" t="s">
        <v>300</v>
      </c>
      <c r="B5" s="194" t="s">
        <v>215</v>
      </c>
      <c r="C5" s="189"/>
      <c r="D5" s="189"/>
      <c r="E5" s="189"/>
      <c r="F5" s="189"/>
      <c r="G5" s="189"/>
      <c r="H5" s="190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303</v>
      </c>
    </row>
    <row r="10" spans="1:12" ht="21.75" x14ac:dyDescent="0.25">
      <c r="A10" s="66" t="s">
        <v>213</v>
      </c>
      <c r="B10" s="62">
        <v>110</v>
      </c>
      <c r="C10" s="62" t="s">
        <v>171</v>
      </c>
      <c r="D10" s="67">
        <f>'Rev. Internos Piso e Parede'!B15</f>
        <v>1759.328</v>
      </c>
      <c r="E10" s="67" t="s">
        <v>2</v>
      </c>
      <c r="F10" s="88">
        <v>110</v>
      </c>
      <c r="G10" s="89">
        <f>F10*D10*1.1</f>
        <v>212878.68799999999</v>
      </c>
      <c r="H10" s="67"/>
    </row>
    <row r="11" spans="1:12" ht="21.75" x14ac:dyDescent="0.25">
      <c r="A11" s="78" t="s">
        <v>212</v>
      </c>
      <c r="B11" s="62">
        <v>65</v>
      </c>
      <c r="C11" s="62" t="s">
        <v>171</v>
      </c>
      <c r="D11" s="67">
        <f>'Rev. Internos Piso e Parede'!B16</f>
        <v>376.64450000000005</v>
      </c>
      <c r="E11" s="67" t="s">
        <v>2</v>
      </c>
      <c r="F11" s="88">
        <v>65</v>
      </c>
      <c r="G11" s="89">
        <f>F11*D11*1.1</f>
        <v>26930.081750000005</v>
      </c>
      <c r="H11" s="67"/>
    </row>
    <row r="12" spans="1:12" ht="21.75" x14ac:dyDescent="0.25">
      <c r="A12" s="78" t="s">
        <v>211</v>
      </c>
      <c r="B12" s="62">
        <v>25</v>
      </c>
      <c r="C12" s="62" t="s">
        <v>6</v>
      </c>
      <c r="D12" s="67">
        <v>1</v>
      </c>
      <c r="E12" s="67" t="s">
        <v>27</v>
      </c>
      <c r="F12" s="88">
        <f>B12*DADOS_INICIAIS!$E$9</f>
        <v>188322.25</v>
      </c>
      <c r="G12" s="89">
        <f>F12*D12*1.1</f>
        <v>207154.47500000001</v>
      </c>
      <c r="H12" s="67"/>
    </row>
    <row r="13" spans="1:12" ht="21.75" x14ac:dyDescent="0.25">
      <c r="A13" s="66" t="s">
        <v>210</v>
      </c>
      <c r="B13" s="62">
        <v>75</v>
      </c>
      <c r="C13" s="62" t="s">
        <v>6</v>
      </c>
      <c r="D13" s="67">
        <v>1</v>
      </c>
      <c r="E13" s="67" t="s">
        <v>27</v>
      </c>
      <c r="F13" s="88">
        <f>B13*DADOS_INICIAIS!$E$9</f>
        <v>564966.75</v>
      </c>
      <c r="G13" s="89">
        <f>F13*D13*1.1</f>
        <v>621463.42500000005</v>
      </c>
      <c r="H13" s="67"/>
    </row>
    <row r="14" spans="1:12" ht="21.75" x14ac:dyDescent="0.25">
      <c r="A14" s="215" t="s">
        <v>17</v>
      </c>
      <c r="B14" s="215"/>
      <c r="C14" s="215"/>
      <c r="D14" s="215"/>
      <c r="E14" s="215"/>
      <c r="F14" s="215"/>
      <c r="G14" s="90">
        <f>SUM(G10:G13)</f>
        <v>1068426.6697500001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22" t="s">
        <v>221</v>
      </c>
      <c r="B16" s="223"/>
      <c r="C16" s="223"/>
      <c r="D16" s="223"/>
      <c r="E16" s="223"/>
      <c r="F16" s="224"/>
      <c r="G16" s="91">
        <f>G14</f>
        <v>1068426.6697500001</v>
      </c>
      <c r="H16" s="91">
        <f>G16/DADOS_INICIAIS!E9</f>
        <v>141.83489600272938</v>
      </c>
    </row>
    <row r="18" spans="8:8" x14ac:dyDescent="0.25">
      <c r="H18" s="196">
        <f>H16/1.1</f>
        <v>128.94081454793579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22"/>
  <sheetViews>
    <sheetView showGridLines="0" zoomScale="80" zoomScaleNormal="80" zoomScaleSheetLayoutView="95" workbookViewId="0">
      <selection activeCell="F18" sqref="F18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6" t="s">
        <v>238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7" t="s">
        <v>186</v>
      </c>
      <c r="B4" s="193">
        <v>45460</v>
      </c>
      <c r="C4" s="191"/>
      <c r="D4" s="191"/>
      <c r="E4" s="191"/>
      <c r="F4" s="191"/>
      <c r="G4" s="191"/>
      <c r="H4" s="192"/>
      <c r="J4" s="79"/>
    </row>
    <row r="5" spans="1:10" ht="19.5" x14ac:dyDescent="0.25">
      <c r="A5" s="187" t="s">
        <v>300</v>
      </c>
      <c r="B5" s="194" t="s">
        <v>215</v>
      </c>
      <c r="C5" s="189"/>
      <c r="D5" s="189"/>
      <c r="E5" s="189"/>
      <c r="F5" s="189"/>
      <c r="G5" s="189"/>
      <c r="H5" s="190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238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/>
      <c r="G9" s="71" t="s">
        <v>16</v>
      </c>
      <c r="H9" s="90" t="s">
        <v>303</v>
      </c>
    </row>
    <row r="10" spans="1:10" ht="21.75" x14ac:dyDescent="0.25">
      <c r="A10" s="66" t="s">
        <v>237</v>
      </c>
      <c r="B10" s="62">
        <v>0.2</v>
      </c>
      <c r="C10" s="62" t="s">
        <v>325</v>
      </c>
      <c r="D10" s="198">
        <f>B10*DADOS_INICIAIS!E9</f>
        <v>1506.5780000000002</v>
      </c>
      <c r="E10" s="67" t="s">
        <v>2</v>
      </c>
      <c r="F10" s="204">
        <v>1250</v>
      </c>
      <c r="G10" s="89">
        <f>F10*D10*1.1</f>
        <v>2071544.7500000005</v>
      </c>
      <c r="H10" s="67">
        <f>G10/DADOS_INICIAIS!E9</f>
        <v>275.00000000000006</v>
      </c>
    </row>
    <row r="11" spans="1:10" ht="21.75" x14ac:dyDescent="0.25">
      <c r="A11" s="199" t="s">
        <v>359</v>
      </c>
      <c r="B11" s="62"/>
      <c r="C11" s="62"/>
      <c r="D11" s="198">
        <f>(29.3/2)*3.2</f>
        <v>46.88</v>
      </c>
      <c r="E11" s="67" t="s">
        <v>2</v>
      </c>
      <c r="F11" s="88">
        <v>950</v>
      </c>
      <c r="G11" s="89">
        <f>F11*D11*1.1</f>
        <v>48989.600000000006</v>
      </c>
      <c r="H11" s="67" t="s">
        <v>378</v>
      </c>
    </row>
    <row r="12" spans="1:10" ht="21.75" x14ac:dyDescent="0.25">
      <c r="A12" s="78" t="s">
        <v>232</v>
      </c>
      <c r="B12" s="62"/>
      <c r="C12" s="62"/>
      <c r="D12" s="67">
        <v>1</v>
      </c>
      <c r="E12" s="67" t="s">
        <v>3</v>
      </c>
      <c r="F12" s="88">
        <v>16000</v>
      </c>
      <c r="G12" s="89">
        <f>F12*D12*1.1</f>
        <v>17600</v>
      </c>
      <c r="H12" s="67"/>
    </row>
    <row r="13" spans="1:10" ht="21.75" x14ac:dyDescent="0.25">
      <c r="A13" s="78" t="s">
        <v>234</v>
      </c>
      <c r="B13" s="62"/>
      <c r="C13" s="62"/>
      <c r="D13" s="198">
        <f>29.2+(17.81/4)*18</f>
        <v>109.345</v>
      </c>
      <c r="E13" s="67" t="s">
        <v>4</v>
      </c>
      <c r="F13" s="88">
        <f>750*1.1</f>
        <v>825.00000000000011</v>
      </c>
      <c r="G13" s="89">
        <f t="shared" ref="G13" si="0">F13*D13*1.1</f>
        <v>99230.587500000023</v>
      </c>
      <c r="H13" s="67"/>
    </row>
    <row r="14" spans="1:10" ht="21.75" x14ac:dyDescent="0.25">
      <c r="A14" s="78" t="s">
        <v>360</v>
      </c>
      <c r="B14" s="62"/>
      <c r="C14" s="62"/>
      <c r="D14" s="198"/>
      <c r="E14" s="67" t="s">
        <v>2</v>
      </c>
      <c r="F14" s="88">
        <v>610</v>
      </c>
      <c r="G14" s="89">
        <f>F14*D14*1.1</f>
        <v>0</v>
      </c>
      <c r="H14" s="67"/>
    </row>
    <row r="15" spans="1:10" ht="21.75" x14ac:dyDescent="0.25">
      <c r="A15" s="78" t="s">
        <v>235</v>
      </c>
      <c r="B15" s="62">
        <v>5</v>
      </c>
      <c r="C15" s="62" t="s">
        <v>6</v>
      </c>
      <c r="D15" s="67">
        <v>1</v>
      </c>
      <c r="E15" s="67" t="s">
        <v>27</v>
      </c>
      <c r="F15" s="88">
        <f>B15*DADOS_INICIAIS!$E$9</f>
        <v>37664.450000000004</v>
      </c>
      <c r="G15" s="89">
        <f t="shared" ref="G15:G19" si="1">F15*D15*1.1</f>
        <v>41430.895000000011</v>
      </c>
      <c r="H15" s="67"/>
    </row>
    <row r="16" spans="1:10" ht="28.5" customHeight="1" x14ac:dyDescent="0.25">
      <c r="A16" s="78" t="s">
        <v>236</v>
      </c>
      <c r="B16" s="62"/>
      <c r="C16" s="62"/>
      <c r="D16" s="198">
        <f>2*DADOS_INICIAIS!E15</f>
        <v>48</v>
      </c>
      <c r="E16" s="67" t="s">
        <v>3</v>
      </c>
      <c r="F16" s="88">
        <v>1750</v>
      </c>
      <c r="G16" s="89">
        <f t="shared" si="1"/>
        <v>92400.000000000015</v>
      </c>
      <c r="H16" s="67"/>
    </row>
    <row r="17" spans="1:12" ht="21.75" x14ac:dyDescent="0.25">
      <c r="A17" s="78" t="s">
        <v>233</v>
      </c>
      <c r="B17" s="62"/>
      <c r="C17" s="62"/>
      <c r="D17" s="198">
        <f>((2.5+3.75+3.55+2.38+1.08*4)*1.2*DADOS_INICIAIS!E15)</f>
        <v>475.20000000000005</v>
      </c>
      <c r="E17" s="67" t="s">
        <v>4</v>
      </c>
      <c r="F17" s="88">
        <v>85</v>
      </c>
      <c r="G17" s="89">
        <f t="shared" si="1"/>
        <v>44431.200000000012</v>
      </c>
      <c r="H17" s="67"/>
    </row>
    <row r="18" spans="1:12" ht="21.75" x14ac:dyDescent="0.25">
      <c r="A18" s="78" t="s">
        <v>353</v>
      </c>
      <c r="B18" s="62"/>
      <c r="C18" s="62"/>
      <c r="D18" s="198">
        <f>DADOS_INICIAIS!E10</f>
        <v>36</v>
      </c>
      <c r="E18" s="67" t="s">
        <v>3</v>
      </c>
      <c r="F18" s="88">
        <v>1500</v>
      </c>
      <c r="G18" s="89">
        <f t="shared" si="1"/>
        <v>59400.000000000007</v>
      </c>
      <c r="H18" s="67"/>
    </row>
    <row r="19" spans="1:12" ht="21.75" x14ac:dyDescent="0.25">
      <c r="A19" s="66" t="s">
        <v>231</v>
      </c>
      <c r="B19" s="62"/>
      <c r="C19" s="62"/>
      <c r="D19" s="203">
        <f>2+(6*DADOS_INICIAIS!E10)</f>
        <v>218</v>
      </c>
      <c r="E19" s="67" t="s">
        <v>3</v>
      </c>
      <c r="F19" s="88">
        <v>2100</v>
      </c>
      <c r="G19" s="89">
        <f t="shared" si="1"/>
        <v>503580.00000000006</v>
      </c>
      <c r="H19" s="67"/>
    </row>
    <row r="20" spans="1:12" ht="21.75" x14ac:dyDescent="0.25">
      <c r="A20" s="215" t="s">
        <v>17</v>
      </c>
      <c r="B20" s="215"/>
      <c r="C20" s="215"/>
      <c r="D20" s="215"/>
      <c r="E20" s="215"/>
      <c r="F20" s="215"/>
      <c r="G20" s="90">
        <f>SUM(G10:G19)</f>
        <v>2978607.0325000007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 x14ac:dyDescent="0.25">
      <c r="A22" s="222" t="s">
        <v>334</v>
      </c>
      <c r="B22" s="223"/>
      <c r="C22" s="223"/>
      <c r="D22" s="223"/>
      <c r="E22" s="223"/>
      <c r="F22" s="224"/>
      <c r="G22" s="91">
        <f>G20</f>
        <v>2978607.0325000007</v>
      </c>
      <c r="H22" s="91">
        <f>G22/DADOS_INICIAIS!E9</f>
        <v>395.41358396312711</v>
      </c>
    </row>
  </sheetData>
  <mergeCells count="5">
    <mergeCell ref="A3:H3"/>
    <mergeCell ref="B9:C9"/>
    <mergeCell ref="D9:E9"/>
    <mergeCell ref="A20:F20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5"/>
  <sheetViews>
    <sheetView showGridLines="0" zoomScale="85" zoomScaleNormal="85" zoomScaleSheetLayoutView="95" workbookViewId="0">
      <selection activeCell="D10" sqref="D10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16" t="s">
        <v>199</v>
      </c>
      <c r="B2" s="217"/>
      <c r="C2" s="217"/>
      <c r="D2" s="217"/>
      <c r="E2" s="217"/>
      <c r="F2" s="217"/>
      <c r="G2" s="217"/>
      <c r="H2" s="218"/>
      <c r="J2" s="2"/>
    </row>
    <row r="3" spans="1:10" s="55" customFormat="1" x14ac:dyDescent="0.25">
      <c r="A3" s="187" t="s">
        <v>186</v>
      </c>
      <c r="B3" s="193">
        <v>45460</v>
      </c>
      <c r="C3" s="191"/>
      <c r="D3" s="191"/>
      <c r="E3" s="191"/>
      <c r="F3" s="191"/>
      <c r="G3" s="191"/>
      <c r="H3" s="192"/>
      <c r="J3" s="79"/>
    </row>
    <row r="4" spans="1:10" s="55" customFormat="1" x14ac:dyDescent="0.25">
      <c r="A4" s="187" t="s">
        <v>300</v>
      </c>
      <c r="B4" s="194" t="s">
        <v>215</v>
      </c>
      <c r="C4" s="189"/>
      <c r="D4" s="189"/>
      <c r="E4" s="189"/>
      <c r="F4" s="189"/>
      <c r="G4" s="189"/>
      <c r="H4" s="190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329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220" t="s">
        <v>5</v>
      </c>
      <c r="C8" s="221"/>
      <c r="D8" s="220" t="s">
        <v>18</v>
      </c>
      <c r="E8" s="221"/>
      <c r="F8" s="65" t="s">
        <v>118</v>
      </c>
      <c r="G8" s="71" t="s">
        <v>16</v>
      </c>
      <c r="H8" s="90" t="s">
        <v>303</v>
      </c>
    </row>
    <row r="9" spans="1:10" s="55" customFormat="1" ht="21.75" x14ac:dyDescent="0.25">
      <c r="A9" s="66" t="s">
        <v>326</v>
      </c>
      <c r="B9" s="62"/>
      <c r="C9" s="62"/>
      <c r="D9" s="67">
        <v>266.19</v>
      </c>
      <c r="E9" s="67" t="s">
        <v>2</v>
      </c>
      <c r="F9" s="88">
        <v>500</v>
      </c>
      <c r="G9" s="89">
        <f>F9*D9*1.1</f>
        <v>146404.5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f>D9</f>
        <v>266.19</v>
      </c>
      <c r="E10" s="67" t="s">
        <v>2</v>
      </c>
      <c r="F10" s="186">
        <v>45</v>
      </c>
      <c r="G10" s="89">
        <f>F10*D10*1.1</f>
        <v>13176.405000000001</v>
      </c>
      <c r="H10" s="67"/>
    </row>
    <row r="11" spans="1:10" s="55" customFormat="1" ht="21.75" x14ac:dyDescent="0.25">
      <c r="A11" s="66" t="s">
        <v>327</v>
      </c>
      <c r="B11" s="62"/>
      <c r="C11" s="62"/>
      <c r="D11" s="67"/>
      <c r="E11" s="67"/>
      <c r="F11" s="67"/>
      <c r="G11" s="89">
        <f t="shared" ref="G11:G12" si="0">F11*D11*1.1</f>
        <v>0</v>
      </c>
      <c r="H11" s="67"/>
    </row>
    <row r="12" spans="1:10" s="55" customFormat="1" ht="21.75" x14ac:dyDescent="0.25">
      <c r="A12" s="66" t="s">
        <v>328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215" t="s">
        <v>17</v>
      </c>
      <c r="B13" s="215"/>
      <c r="C13" s="215"/>
      <c r="D13" s="110"/>
      <c r="E13" s="110"/>
      <c r="F13" s="110"/>
      <c r="G13" s="90">
        <f>SUM(G9:G12)</f>
        <v>159580.905</v>
      </c>
      <c r="H13" s="90"/>
    </row>
    <row r="14" spans="1:10" s="55" customFormat="1" ht="21.75" x14ac:dyDescent="0.25">
      <c r="A14" s="219"/>
      <c r="B14" s="219"/>
      <c r="C14" s="219"/>
      <c r="D14" s="111"/>
      <c r="E14" s="111"/>
      <c r="F14" s="111"/>
      <c r="G14" s="59"/>
      <c r="H14" s="59"/>
    </row>
    <row r="15" spans="1:10" ht="23.25" customHeight="1" x14ac:dyDescent="0.25">
      <c r="A15" s="212" t="s">
        <v>279</v>
      </c>
      <c r="B15" s="213"/>
      <c r="C15" s="214"/>
      <c r="D15" s="109"/>
      <c r="E15" s="109"/>
      <c r="F15" s="109"/>
      <c r="G15" s="108">
        <f>G13</f>
        <v>159580.905</v>
      </c>
      <c r="H15" s="108">
        <f>G15/DADOS_INICIAIS!$E$9</f>
        <v>21.184552675002553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L43"/>
  <sheetViews>
    <sheetView showGridLines="0" topLeftCell="A21" zoomScale="130" zoomScaleNormal="130" zoomScaleSheetLayoutView="95" workbookViewId="0">
      <selection activeCell="G32" sqref="G32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9.140625" style="1"/>
    <col min="11" max="11" width="12.140625" style="1" customWidth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228" t="s">
        <v>188</v>
      </c>
      <c r="B2" s="2"/>
      <c r="C2" s="1"/>
      <c r="D2" s="1"/>
      <c r="G2" s="166"/>
      <c r="H2" s="166"/>
      <c r="I2" s="2"/>
    </row>
    <row r="3" spans="1:12" ht="12.75" customHeight="1" x14ac:dyDescent="0.25">
      <c r="A3" s="229"/>
      <c r="B3" s="2"/>
      <c r="C3" s="1"/>
      <c r="D3" s="1"/>
      <c r="G3" s="166"/>
      <c r="H3" s="166"/>
      <c r="I3" s="2"/>
    </row>
    <row r="4" spans="1:12" ht="12.75" customHeight="1" x14ac:dyDescent="0.25">
      <c r="A4" s="229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187</v>
      </c>
      <c r="B7" s="159" t="s">
        <v>290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289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186</v>
      </c>
      <c r="B9" s="151">
        <v>45460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220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235" t="s">
        <v>18</v>
      </c>
      <c r="C14" s="236"/>
      <c r="D14" s="237" t="s">
        <v>5</v>
      </c>
      <c r="E14" s="238"/>
      <c r="F14" s="133" t="s">
        <v>183</v>
      </c>
      <c r="G14" s="132" t="s">
        <v>16</v>
      </c>
      <c r="H14" s="131"/>
      <c r="L14" s="115"/>
    </row>
    <row r="15" spans="1:12" x14ac:dyDescent="0.25">
      <c r="A15" s="172" t="s">
        <v>196</v>
      </c>
      <c r="B15" s="175">
        <f>(K19*L19+K20*L20+K21*L21-ESQUADRIAS!D10)</f>
        <v>4816.2619999999988</v>
      </c>
      <c r="C15" s="129" t="s">
        <v>2</v>
      </c>
      <c r="D15" s="124">
        <f>25+70</f>
        <v>95</v>
      </c>
      <c r="E15" s="130" t="s">
        <v>171</v>
      </c>
      <c r="F15" s="126" t="s">
        <v>215</v>
      </c>
      <c r="G15" s="125">
        <f>B15*D15*1.1</f>
        <v>503299.3789999999</v>
      </c>
      <c r="H15" s="131"/>
      <c r="K15" s="185"/>
      <c r="L15" s="115"/>
    </row>
    <row r="16" spans="1:12" x14ac:dyDescent="0.25">
      <c r="A16" s="172" t="s">
        <v>371</v>
      </c>
      <c r="B16" s="175">
        <f>K19*3+K20*18</f>
        <v>1571.8439999999996</v>
      </c>
      <c r="C16" s="129" t="s">
        <v>4</v>
      </c>
      <c r="D16" s="124">
        <v>5</v>
      </c>
      <c r="E16" s="130" t="s">
        <v>171</v>
      </c>
      <c r="F16" s="126" t="s">
        <v>215</v>
      </c>
      <c r="G16" s="125">
        <f>B16*D16*1.1</f>
        <v>8645.141999999998</v>
      </c>
      <c r="H16" s="131"/>
      <c r="K16" s="185"/>
      <c r="L16" s="115"/>
    </row>
    <row r="17" spans="1:12" x14ac:dyDescent="0.25">
      <c r="A17" s="233" t="s">
        <v>17</v>
      </c>
      <c r="B17" s="234"/>
      <c r="C17" s="234"/>
      <c r="D17" s="234"/>
      <c r="E17" s="234"/>
      <c r="F17" s="234"/>
      <c r="G17" s="122">
        <f>SUM(G15:G16)</f>
        <v>511944.52099999989</v>
      </c>
      <c r="H17" s="121"/>
      <c r="K17" s="184"/>
    </row>
    <row r="18" spans="1:12" ht="15.75" customHeight="1" x14ac:dyDescent="0.25">
      <c r="A18" s="231"/>
      <c r="B18" s="232"/>
      <c r="C18" s="232"/>
      <c r="D18" s="232"/>
      <c r="E18" s="232"/>
      <c r="F18" s="232"/>
      <c r="G18" s="167"/>
      <c r="H18" s="118"/>
    </row>
    <row r="19" spans="1:12" ht="15.75" customHeight="1" x14ac:dyDescent="0.25">
      <c r="A19" s="144" t="s">
        <v>219</v>
      </c>
      <c r="B19" s="143"/>
      <c r="C19" s="142"/>
      <c r="D19" s="141"/>
      <c r="E19" s="140"/>
      <c r="F19" s="140"/>
      <c r="G19" s="140"/>
      <c r="H19" s="139"/>
      <c r="J19" s="1" t="s">
        <v>218</v>
      </c>
      <c r="K19" s="115">
        <f>DADOS_INICIAIS!E26</f>
        <v>101.02</v>
      </c>
      <c r="L19" s="1">
        <f>3.2*5+1.2</f>
        <v>17.2</v>
      </c>
    </row>
    <row r="20" spans="1:12" ht="15.75" customHeight="1" x14ac:dyDescent="0.25">
      <c r="A20" s="138"/>
      <c r="B20" s="183"/>
      <c r="C20" s="136"/>
      <c r="D20" s="135"/>
      <c r="E20" s="135"/>
      <c r="F20" s="135"/>
      <c r="H20" s="131"/>
      <c r="J20" s="1" t="s">
        <v>330</v>
      </c>
      <c r="K20" s="115">
        <f>DADOS_INICIAIS!E20*1.2</f>
        <v>70.487999999999985</v>
      </c>
      <c r="L20" s="1">
        <f>3.2*19+1.2</f>
        <v>62.000000000000007</v>
      </c>
    </row>
    <row r="21" spans="1:12" ht="15.75" customHeight="1" x14ac:dyDescent="0.25">
      <c r="A21" s="134" t="s">
        <v>14</v>
      </c>
      <c r="B21" s="235" t="s">
        <v>18</v>
      </c>
      <c r="C21" s="236"/>
      <c r="D21" s="237" t="s">
        <v>5</v>
      </c>
      <c r="E21" s="238"/>
      <c r="F21" s="133" t="s">
        <v>183</v>
      </c>
      <c r="G21" s="132" t="s">
        <v>16</v>
      </c>
      <c r="H21" s="131"/>
      <c r="J21" s="1" t="s">
        <v>217</v>
      </c>
      <c r="K21" s="1">
        <v>33.6</v>
      </c>
      <c r="L21" s="1">
        <f>6.4</f>
        <v>6.4</v>
      </c>
    </row>
    <row r="22" spans="1:12" ht="15.75" customHeight="1" x14ac:dyDescent="0.25">
      <c r="A22" s="172" t="s">
        <v>331</v>
      </c>
      <c r="B22" s="175">
        <f>B15-(29.3*L19)-B23</f>
        <v>3349.0495999999989</v>
      </c>
      <c r="C22" s="129" t="s">
        <v>2</v>
      </c>
      <c r="D22" s="124">
        <f>25+52</f>
        <v>77</v>
      </c>
      <c r="E22" s="130" t="s">
        <v>171</v>
      </c>
      <c r="F22" s="126" t="s">
        <v>215</v>
      </c>
      <c r="G22" s="125">
        <f>B22*D22*1.1</f>
        <v>283664.50111999991</v>
      </c>
      <c r="H22" s="131"/>
      <c r="L22" s="115">
        <f>K19*L19+K20*L20+K21*L21</f>
        <v>6322.8399999999992</v>
      </c>
    </row>
    <row r="23" spans="1:12" ht="15.75" customHeight="1" x14ac:dyDescent="0.25">
      <c r="A23" s="172" t="s">
        <v>377</v>
      </c>
      <c r="B23" s="175">
        <f>B15*0.2</f>
        <v>963.25239999999985</v>
      </c>
      <c r="C23" s="129" t="s">
        <v>2</v>
      </c>
      <c r="D23" s="124">
        <f>110+2.25+65</f>
        <v>177.25</v>
      </c>
      <c r="E23" s="130" t="s">
        <v>171</v>
      </c>
      <c r="F23" s="126" t="s">
        <v>215</v>
      </c>
      <c r="G23" s="125">
        <f>B23*D23*1.1</f>
        <v>187810.13668999998</v>
      </c>
      <c r="H23" s="131"/>
      <c r="L23" s="115">
        <f>K20*L20+K21*L21+K22*L22</f>
        <v>4585.2959999999994</v>
      </c>
    </row>
    <row r="24" spans="1:12" x14ac:dyDescent="0.25">
      <c r="A24" s="233" t="s">
        <v>17</v>
      </c>
      <c r="B24" s="234"/>
      <c r="C24" s="234"/>
      <c r="D24" s="234"/>
      <c r="E24" s="234"/>
      <c r="F24" s="234"/>
      <c r="G24" s="122">
        <f>SUM(G22:G23)</f>
        <v>471474.63780999987</v>
      </c>
      <c r="H24" s="121"/>
    </row>
    <row r="25" spans="1:12" x14ac:dyDescent="0.25">
      <c r="A25" s="242"/>
      <c r="B25" s="243"/>
      <c r="C25" s="243"/>
      <c r="D25" s="243"/>
      <c r="E25" s="243"/>
      <c r="F25" s="243"/>
      <c r="G25" s="167"/>
      <c r="H25" s="118"/>
    </row>
    <row r="26" spans="1:12" ht="15.75" customHeight="1" x14ac:dyDescent="0.25">
      <c r="A26" s="144" t="s">
        <v>216</v>
      </c>
      <c r="B26" s="143"/>
      <c r="C26" s="142"/>
      <c r="D26" s="141"/>
      <c r="E26" s="140"/>
      <c r="F26" s="140"/>
      <c r="G26" s="140"/>
      <c r="H26" s="139"/>
      <c r="K26" s="115"/>
    </row>
    <row r="27" spans="1:12" ht="15.75" customHeight="1" x14ac:dyDescent="0.25">
      <c r="A27" s="138"/>
      <c r="B27" s="137"/>
      <c r="C27" s="136"/>
      <c r="D27" s="135"/>
      <c r="E27" s="135"/>
      <c r="F27" s="135"/>
      <c r="H27" s="131"/>
    </row>
    <row r="28" spans="1:12" ht="15.75" customHeight="1" x14ac:dyDescent="0.25">
      <c r="A28" s="134" t="s">
        <v>14</v>
      </c>
      <c r="B28" s="235" t="s">
        <v>18</v>
      </c>
      <c r="C28" s="236"/>
      <c r="D28" s="237" t="s">
        <v>5</v>
      </c>
      <c r="E28" s="238"/>
      <c r="F28" s="133" t="s">
        <v>183</v>
      </c>
      <c r="G28" s="132" t="s">
        <v>16</v>
      </c>
      <c r="H28" s="131"/>
    </row>
    <row r="29" spans="1:12" ht="15.75" customHeight="1" x14ac:dyDescent="0.25">
      <c r="A29" s="172" t="s">
        <v>361</v>
      </c>
      <c r="B29" s="175">
        <f>29.3*2*1.4</f>
        <v>82.039999999999992</v>
      </c>
      <c r="C29" s="129" t="s">
        <v>2</v>
      </c>
      <c r="D29" s="124">
        <v>850</v>
      </c>
      <c r="E29" s="130" t="s">
        <v>171</v>
      </c>
      <c r="F29" s="126" t="s">
        <v>215</v>
      </c>
      <c r="G29" s="125">
        <f>B29*D29*1.1</f>
        <v>76707.400000000009</v>
      </c>
      <c r="H29" s="131"/>
    </row>
    <row r="30" spans="1:12" ht="15.75" customHeight="1" x14ac:dyDescent="0.25">
      <c r="A30" s="172" t="s">
        <v>372</v>
      </c>
      <c r="B30" s="175">
        <f>L19+L20</f>
        <v>79.2</v>
      </c>
      <c r="C30" s="129" t="s">
        <v>4</v>
      </c>
      <c r="D30" s="124">
        <v>120</v>
      </c>
      <c r="E30" s="130" t="s">
        <v>373</v>
      </c>
      <c r="F30" s="126" t="s">
        <v>215</v>
      </c>
      <c r="G30" s="125">
        <f>B30*D30*1.1</f>
        <v>10454.400000000001</v>
      </c>
      <c r="H30" s="131"/>
    </row>
    <row r="31" spans="1:12" ht="15.75" customHeight="1" x14ac:dyDescent="0.25">
      <c r="A31" s="205" t="s">
        <v>374</v>
      </c>
      <c r="B31" s="206">
        <f>29.3*3.2+(10*6.4/2)</f>
        <v>125.76</v>
      </c>
      <c r="C31" s="129" t="s">
        <v>2</v>
      </c>
      <c r="D31" s="124">
        <v>1800</v>
      </c>
      <c r="E31" s="130" t="s">
        <v>171</v>
      </c>
      <c r="F31" s="126" t="s">
        <v>215</v>
      </c>
      <c r="G31" s="125">
        <f>B31*D31*1.1</f>
        <v>249004.80000000002</v>
      </c>
      <c r="H31" s="131"/>
    </row>
    <row r="32" spans="1:12" ht="15.75" customHeight="1" x14ac:dyDescent="0.25">
      <c r="A32" s="233"/>
      <c r="B32" s="234"/>
      <c r="C32" s="234"/>
      <c r="D32" s="234"/>
      <c r="E32" s="234"/>
      <c r="F32" s="234"/>
      <c r="G32" s="122">
        <f>SUM(G29:G31)</f>
        <v>336166.60000000003</v>
      </c>
      <c r="H32" s="121"/>
    </row>
    <row r="33" spans="1:10" x14ac:dyDescent="0.25">
      <c r="A33" s="231"/>
      <c r="B33" s="232"/>
      <c r="C33" s="232"/>
      <c r="D33" s="232"/>
      <c r="E33" s="232"/>
      <c r="F33" s="232"/>
      <c r="G33" s="167"/>
      <c r="H33" s="118"/>
      <c r="J33" s="1">
        <f>25.78*2</f>
        <v>51.56</v>
      </c>
    </row>
    <row r="34" spans="1:10" ht="15.75" customHeight="1" x14ac:dyDescent="0.25">
      <c r="G34" s="115"/>
    </row>
    <row r="35" spans="1:10" ht="15.75" customHeight="1" x14ac:dyDescent="0.25">
      <c r="A35" s="230" t="s">
        <v>214</v>
      </c>
      <c r="B35" s="230"/>
      <c r="C35" s="230"/>
      <c r="D35" s="230"/>
      <c r="E35" s="230"/>
      <c r="F35" s="230"/>
      <c r="G35" s="117">
        <f>G24+G17+G32</f>
        <v>1319585.7588099998</v>
      </c>
      <c r="H35" s="116">
        <f>G35/DADOS_INICIAIS!E9</f>
        <v>175.17656023252692</v>
      </c>
    </row>
    <row r="36" spans="1:10" ht="15.75" customHeight="1" x14ac:dyDescent="0.25">
      <c r="H36" s="115">
        <f>H35/1.1</f>
        <v>159.25141839320628</v>
      </c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</sheetData>
  <mergeCells count="14">
    <mergeCell ref="B14:C14"/>
    <mergeCell ref="D14:E14"/>
    <mergeCell ref="A2:A4"/>
    <mergeCell ref="A17:F17"/>
    <mergeCell ref="A18:F18"/>
    <mergeCell ref="B21:C21"/>
    <mergeCell ref="D21:E21"/>
    <mergeCell ref="A35:F35"/>
    <mergeCell ref="A24:F24"/>
    <mergeCell ref="A25:F25"/>
    <mergeCell ref="A33:F33"/>
    <mergeCell ref="B28:C28"/>
    <mergeCell ref="D28:E28"/>
    <mergeCell ref="A32:F3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7"/>
  <sheetViews>
    <sheetView showGridLines="0" topLeftCell="A6" zoomScale="85" zoomScaleNormal="85" zoomScaleSheetLayoutView="95" workbookViewId="0">
      <selection activeCell="D12" sqref="D12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16" t="s">
        <v>288</v>
      </c>
      <c r="B2" s="217"/>
      <c r="C2" s="217"/>
      <c r="D2" s="217"/>
      <c r="E2" s="217"/>
      <c r="F2" s="217"/>
      <c r="G2" s="218"/>
      <c r="I2" s="2"/>
    </row>
    <row r="3" spans="1:10" s="55" customFormat="1" x14ac:dyDescent="0.25">
      <c r="A3" s="187" t="s">
        <v>186</v>
      </c>
      <c r="B3" s="193">
        <v>45460</v>
      </c>
      <c r="C3" s="191"/>
      <c r="D3" s="191"/>
      <c r="E3" s="191"/>
      <c r="F3" s="191"/>
      <c r="G3" s="191"/>
      <c r="H3" s="192"/>
      <c r="J3" s="79"/>
    </row>
    <row r="4" spans="1:10" s="55" customFormat="1" x14ac:dyDescent="0.25">
      <c r="A4" s="187" t="s">
        <v>300</v>
      </c>
      <c r="B4" s="194" t="s">
        <v>215</v>
      </c>
      <c r="C4" s="189"/>
      <c r="D4" s="189"/>
      <c r="E4" s="189"/>
      <c r="F4" s="189"/>
      <c r="G4" s="189"/>
      <c r="H4" s="190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287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220" t="s">
        <v>5</v>
      </c>
      <c r="C8" s="221"/>
      <c r="D8" s="220" t="s">
        <v>18</v>
      </c>
      <c r="E8" s="221"/>
      <c r="F8" s="71" t="s">
        <v>16</v>
      </c>
      <c r="G8" s="59"/>
    </row>
    <row r="9" spans="1:10" s="55" customFormat="1" ht="21.75" x14ac:dyDescent="0.25">
      <c r="A9" s="66" t="s">
        <v>286</v>
      </c>
      <c r="B9" s="62">
        <v>1500</v>
      </c>
      <c r="C9" s="62" t="s">
        <v>285</v>
      </c>
      <c r="D9" s="67">
        <f>DADOS_INICIAIS!E21</f>
        <v>504.89</v>
      </c>
      <c r="E9" s="67" t="s">
        <v>2</v>
      </c>
      <c r="F9" s="89">
        <f>D9*B9*1.1</f>
        <v>833068.50000000012</v>
      </c>
      <c r="G9" s="57"/>
    </row>
    <row r="10" spans="1:10" s="55" customFormat="1" ht="21.75" x14ac:dyDescent="0.25">
      <c r="A10" s="66" t="s">
        <v>284</v>
      </c>
      <c r="B10" s="62">
        <v>10</v>
      </c>
      <c r="C10" s="62" t="s">
        <v>6</v>
      </c>
      <c r="D10" s="67">
        <f>B10*DADOS_INICIAIS!$E$9</f>
        <v>75328.900000000009</v>
      </c>
      <c r="E10" s="67" t="s">
        <v>27</v>
      </c>
      <c r="F10" s="89">
        <f>D10*1.1</f>
        <v>82861.790000000023</v>
      </c>
      <c r="G10" s="57"/>
    </row>
    <row r="11" spans="1:10" s="55" customFormat="1" ht="21.75" x14ac:dyDescent="0.25">
      <c r="A11" s="66" t="s">
        <v>283</v>
      </c>
      <c r="B11" s="62">
        <v>28</v>
      </c>
      <c r="C11" s="62" t="s">
        <v>6</v>
      </c>
      <c r="D11" s="67">
        <f>B11*DADOS_INICIAIS!$E$9</f>
        <v>210920.92</v>
      </c>
      <c r="E11" s="67" t="s">
        <v>27</v>
      </c>
      <c r="F11" s="89">
        <f t="shared" ref="F11:F14" si="0">D11*1.1</f>
        <v>232013.01200000005</v>
      </c>
      <c r="G11" s="57" t="s">
        <v>376</v>
      </c>
    </row>
    <row r="12" spans="1:10" s="55" customFormat="1" ht="21.75" x14ac:dyDescent="0.25">
      <c r="A12" s="66" t="s">
        <v>282</v>
      </c>
      <c r="B12" s="62">
        <v>4</v>
      </c>
      <c r="C12" s="62" t="s">
        <v>6</v>
      </c>
      <c r="D12" s="67">
        <f>B12*DADOS_INICIAIS!$E$9</f>
        <v>30131.56</v>
      </c>
      <c r="E12" s="67" t="s">
        <v>27</v>
      </c>
      <c r="F12" s="89">
        <f t="shared" si="0"/>
        <v>33144.716000000008</v>
      </c>
      <c r="G12" s="57"/>
    </row>
    <row r="13" spans="1:10" s="55" customFormat="1" ht="21.75" x14ac:dyDescent="0.25">
      <c r="A13" s="66" t="s">
        <v>281</v>
      </c>
      <c r="B13" s="62">
        <v>5</v>
      </c>
      <c r="C13" s="62" t="s">
        <v>6</v>
      </c>
      <c r="D13" s="67">
        <f>B13*DADOS_INICIAIS!$E$9</f>
        <v>37664.450000000004</v>
      </c>
      <c r="E13" s="67" t="s">
        <v>27</v>
      </c>
      <c r="F13" s="89">
        <f t="shared" si="0"/>
        <v>41430.895000000011</v>
      </c>
      <c r="G13" s="57"/>
    </row>
    <row r="14" spans="1:10" s="55" customFormat="1" ht="21.75" x14ac:dyDescent="0.25">
      <c r="A14" s="66" t="s">
        <v>280</v>
      </c>
      <c r="B14" s="62">
        <v>15</v>
      </c>
      <c r="C14" s="62" t="s">
        <v>6</v>
      </c>
      <c r="D14" s="67">
        <f>B14*DADOS_INICIAIS!$E$9</f>
        <v>112993.35</v>
      </c>
      <c r="E14" s="67" t="s">
        <v>27</v>
      </c>
      <c r="F14" s="89">
        <f t="shared" si="0"/>
        <v>124292.68500000001</v>
      </c>
      <c r="G14" s="57"/>
    </row>
    <row r="15" spans="1:10" s="55" customFormat="1" ht="21.75" x14ac:dyDescent="0.25">
      <c r="A15" s="215" t="s">
        <v>17</v>
      </c>
      <c r="B15" s="215"/>
      <c r="C15" s="215"/>
      <c r="D15" s="110"/>
      <c r="E15" s="110"/>
      <c r="F15" s="90">
        <f>SUM(F9:F14)</f>
        <v>1346811.5980000002</v>
      </c>
      <c r="G15" s="60"/>
    </row>
    <row r="16" spans="1:10" s="55" customFormat="1" ht="21.75" x14ac:dyDescent="0.25">
      <c r="A16" s="219"/>
      <c r="B16" s="219"/>
      <c r="C16" s="219"/>
      <c r="D16" s="111"/>
      <c r="E16" s="111"/>
      <c r="F16" s="59"/>
      <c r="G16" s="59"/>
    </row>
    <row r="17" spans="1:7" ht="23.25" customHeight="1" x14ac:dyDescent="0.25">
      <c r="A17" s="212" t="s">
        <v>279</v>
      </c>
      <c r="B17" s="213"/>
      <c r="C17" s="214"/>
      <c r="D17" s="109"/>
      <c r="E17" s="109"/>
      <c r="F17" s="108">
        <f>F15</f>
        <v>1346811.5980000002</v>
      </c>
      <c r="G17" s="108">
        <f>F17/DADOS_INICIAIS!$E$9</f>
        <v>178.79082238025515</v>
      </c>
    </row>
  </sheetData>
  <mergeCells count="6">
    <mergeCell ref="A17:C17"/>
    <mergeCell ref="B8:C8"/>
    <mergeCell ref="D8:E8"/>
    <mergeCell ref="A2:G2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29</vt:i4>
      </vt:variant>
    </vt:vector>
  </HeadingPairs>
  <TitlesOfParts>
    <vt:vector size="47" baseType="lpstr">
      <vt:lpstr>DADOS_INICIAIS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valquiria vansquelhe de oliveira</cp:lastModifiedBy>
  <cp:lastPrinted>2020-09-28T02:21:03Z</cp:lastPrinted>
  <dcterms:created xsi:type="dcterms:W3CDTF">2013-07-31T19:52:57Z</dcterms:created>
  <dcterms:modified xsi:type="dcterms:W3CDTF">2025-10-08T19:24:11Z</dcterms:modified>
</cp:coreProperties>
</file>