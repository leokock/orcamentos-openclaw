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upo EIS\04. Custo\04.1 Custo - Paramétrico\R03\03 - Indiretos\"/>
    </mc:Choice>
  </mc:AlternateContent>
  <xr:revisionPtr revIDLastSave="0" documentId="13_ncr:1_{5580EABA-BE94-4340-B6B3-D423069378C9}" xr6:coauthVersionLast="47" xr6:coauthVersionMax="47" xr10:uidLastSave="{00000000-0000-0000-0000-000000000000}"/>
  <bookViews>
    <workbookView xWindow="20370" yWindow="765" windowWidth="24240" windowHeight="13020" activeTab="1" xr2:uid="{7D576F2E-51A1-4758-9615-AD65E0C3CC56}"/>
  </bookViews>
  <sheets>
    <sheet name="PRAZO" sheetId="15" r:id="rId1"/>
    <sheet name="DISTRIBUIÇÃO CUSTO" sheetId="16" r:id="rId2"/>
    <sheet name="Planilha1" sheetId="17" state="hidden" r:id="rId3"/>
    <sheet name="CURVA PARAMÉTRICA" sheetId="13" r:id="rId4"/>
  </sheets>
  <externalReferences>
    <externalReference r:id="rId5"/>
  </externalReferences>
  <definedNames>
    <definedName name="_xlnm._FilterDatabase" localSheetId="1" hidden="1">'DISTRIBUIÇÃO CUSTO'!$B$31:$E$33</definedName>
    <definedName name="_xlnm._FilterDatabase" localSheetId="2" hidden="1">Planilha1!$A$1:$N$27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X24" i="16" l="1"/>
  <c r="CV24" i="16"/>
  <c r="CT24" i="16"/>
  <c r="CR24" i="16"/>
  <c r="CP24" i="16"/>
  <c r="CN24" i="16"/>
  <c r="CL24" i="16"/>
  <c r="CJ24" i="16"/>
  <c r="CH24" i="16"/>
  <c r="CF24" i="16"/>
  <c r="CD24" i="16"/>
  <c r="CB24" i="16"/>
  <c r="BZ24" i="16"/>
  <c r="BX24" i="16"/>
  <c r="BV24" i="16"/>
  <c r="BT24" i="16"/>
  <c r="BR24" i="16"/>
  <c r="BP24" i="16"/>
  <c r="BN24" i="16"/>
  <c r="BL24" i="16"/>
  <c r="BJ24" i="16"/>
  <c r="BH24" i="16"/>
  <c r="BF24" i="16"/>
  <c r="BD24" i="16"/>
  <c r="BB24" i="16"/>
  <c r="AZ24" i="16"/>
  <c r="AX24" i="16"/>
  <c r="AV24" i="16"/>
  <c r="AT24" i="16"/>
  <c r="AR24" i="16"/>
  <c r="AP24" i="16"/>
  <c r="AN24" i="16"/>
  <c r="AL24" i="16"/>
  <c r="AJ24" i="16"/>
  <c r="AH24" i="16"/>
  <c r="AF24" i="16"/>
  <c r="AD24" i="16"/>
  <c r="AB24" i="16"/>
  <c r="Z24" i="16"/>
  <c r="X24" i="16"/>
  <c r="V24" i="16"/>
  <c r="T24" i="16"/>
  <c r="R24" i="16"/>
  <c r="P24" i="16"/>
  <c r="N24" i="16"/>
  <c r="L24" i="16"/>
  <c r="J24" i="16"/>
  <c r="H24" i="16"/>
  <c r="F9" i="16"/>
  <c r="CX23" i="16" l="1"/>
  <c r="CV23" i="16"/>
  <c r="CT23" i="16"/>
  <c r="CR23" i="16"/>
  <c r="CP23" i="16"/>
  <c r="CN23" i="16"/>
  <c r="CL23" i="16"/>
  <c r="CJ23" i="16"/>
  <c r="CH23" i="16"/>
  <c r="CF23" i="16"/>
  <c r="CD23" i="16"/>
  <c r="CB23" i="16"/>
  <c r="BZ23" i="16"/>
  <c r="BX23" i="16"/>
  <c r="BV23" i="16"/>
  <c r="BT23" i="16"/>
  <c r="BR23" i="16"/>
  <c r="BP23" i="16"/>
  <c r="BN23" i="16"/>
  <c r="BL23" i="16"/>
  <c r="BJ23" i="16"/>
  <c r="BH23" i="16"/>
  <c r="BF23" i="16"/>
  <c r="BD23" i="16"/>
  <c r="BB23" i="16"/>
  <c r="AZ23" i="16"/>
  <c r="AX23" i="16"/>
  <c r="AV23" i="16"/>
  <c r="AT23" i="16"/>
  <c r="AR23" i="16"/>
  <c r="AP23" i="16"/>
  <c r="AN23" i="16"/>
  <c r="AL23" i="16"/>
  <c r="AJ23" i="16"/>
  <c r="AH23" i="16"/>
  <c r="AF23" i="16"/>
  <c r="AD23" i="16"/>
  <c r="AB23" i="16"/>
  <c r="Z23" i="16"/>
  <c r="X23" i="16"/>
  <c r="V23" i="16"/>
  <c r="T23" i="16"/>
  <c r="R23" i="16"/>
  <c r="P23" i="16"/>
  <c r="N23" i="16"/>
  <c r="L23" i="16"/>
  <c r="J23" i="16"/>
  <c r="H23" i="16"/>
  <c r="F23" i="16" s="1"/>
  <c r="CX22" i="16"/>
  <c r="CV22" i="16"/>
  <c r="CT22" i="16"/>
  <c r="CR22" i="16"/>
  <c r="CP22" i="16"/>
  <c r="CN22" i="16"/>
  <c r="CL22" i="16"/>
  <c r="CJ22" i="16"/>
  <c r="CH22" i="16"/>
  <c r="CF22" i="16"/>
  <c r="CD22" i="16"/>
  <c r="CB22" i="16"/>
  <c r="BZ22" i="16"/>
  <c r="BX22" i="16"/>
  <c r="BV22" i="16"/>
  <c r="BT22" i="16"/>
  <c r="BR22" i="16"/>
  <c r="BP22" i="16"/>
  <c r="BN22" i="16"/>
  <c r="BL22" i="16"/>
  <c r="BJ22" i="16"/>
  <c r="BH22" i="16"/>
  <c r="BF22" i="16"/>
  <c r="BD22" i="16"/>
  <c r="BB22" i="16"/>
  <c r="AZ22" i="16"/>
  <c r="AX22" i="16"/>
  <c r="AV22" i="16"/>
  <c r="AT22" i="16"/>
  <c r="AR22" i="16"/>
  <c r="AP22" i="16"/>
  <c r="AN22" i="16"/>
  <c r="AL22" i="16"/>
  <c r="AJ22" i="16"/>
  <c r="AH22" i="16"/>
  <c r="AF22" i="16"/>
  <c r="AD22" i="16"/>
  <c r="AB22" i="16"/>
  <c r="Z22" i="16"/>
  <c r="X22" i="16"/>
  <c r="V22" i="16"/>
  <c r="T22" i="16"/>
  <c r="R22" i="16"/>
  <c r="P22" i="16"/>
  <c r="N22" i="16"/>
  <c r="L22" i="16"/>
  <c r="J22" i="16"/>
  <c r="H22" i="16"/>
  <c r="CX21" i="16"/>
  <c r="CV21" i="16"/>
  <c r="CT21" i="16"/>
  <c r="CR21" i="16"/>
  <c r="CP21" i="16"/>
  <c r="CN21" i="16"/>
  <c r="CL21" i="16"/>
  <c r="CJ21" i="16"/>
  <c r="CH21" i="16"/>
  <c r="CF21" i="16"/>
  <c r="CD21" i="16"/>
  <c r="CB21" i="16"/>
  <c r="BZ21" i="16"/>
  <c r="BX21" i="16"/>
  <c r="BV21" i="16"/>
  <c r="BT21" i="16"/>
  <c r="BR21" i="16"/>
  <c r="BP21" i="16"/>
  <c r="BN21" i="16"/>
  <c r="BL21" i="16"/>
  <c r="BJ21" i="16"/>
  <c r="BH21" i="16"/>
  <c r="BF21" i="16"/>
  <c r="BD21" i="16"/>
  <c r="BB21" i="16"/>
  <c r="AZ21" i="16"/>
  <c r="AX21" i="16"/>
  <c r="AV21" i="16"/>
  <c r="AT21" i="16"/>
  <c r="AR21" i="16"/>
  <c r="AP21" i="16"/>
  <c r="AN21" i="16"/>
  <c r="AL21" i="16"/>
  <c r="AJ21" i="16"/>
  <c r="AH21" i="16"/>
  <c r="AF21" i="16"/>
  <c r="AD21" i="16"/>
  <c r="AB21" i="16"/>
  <c r="Z21" i="16"/>
  <c r="X21" i="16"/>
  <c r="V21" i="16"/>
  <c r="T21" i="16"/>
  <c r="R21" i="16"/>
  <c r="P21" i="16"/>
  <c r="N21" i="16"/>
  <c r="L21" i="16"/>
  <c r="J21" i="16"/>
  <c r="H21" i="16"/>
  <c r="CX20" i="16"/>
  <c r="CV20" i="16"/>
  <c r="CT20" i="16"/>
  <c r="CR20" i="16"/>
  <c r="CP20" i="16"/>
  <c r="CN20" i="16"/>
  <c r="CL20" i="16"/>
  <c r="CJ20" i="16"/>
  <c r="CH20" i="16"/>
  <c r="CF20" i="16"/>
  <c r="CD20" i="16"/>
  <c r="CB20" i="16"/>
  <c r="BZ20" i="16"/>
  <c r="BX20" i="16"/>
  <c r="BV20" i="16"/>
  <c r="BT20" i="16"/>
  <c r="BR20" i="16"/>
  <c r="BP20" i="16"/>
  <c r="BN20" i="16"/>
  <c r="BL20" i="16"/>
  <c r="BJ20" i="16"/>
  <c r="BH20" i="16"/>
  <c r="BF20" i="16"/>
  <c r="BD20" i="16"/>
  <c r="BB20" i="16"/>
  <c r="AZ20" i="16"/>
  <c r="AX20" i="16"/>
  <c r="AV20" i="16"/>
  <c r="AT20" i="16"/>
  <c r="AR20" i="16"/>
  <c r="AP20" i="16"/>
  <c r="AN20" i="16"/>
  <c r="AL20" i="16"/>
  <c r="AJ20" i="16"/>
  <c r="AH20" i="16"/>
  <c r="AF20" i="16"/>
  <c r="AD20" i="16"/>
  <c r="AB20" i="16"/>
  <c r="Z20" i="16"/>
  <c r="X20" i="16"/>
  <c r="V20" i="16"/>
  <c r="T20" i="16"/>
  <c r="R20" i="16"/>
  <c r="P20" i="16"/>
  <c r="N20" i="16"/>
  <c r="L20" i="16"/>
  <c r="J20" i="16"/>
  <c r="H20" i="16"/>
  <c r="CX19" i="16"/>
  <c r="CV19" i="16"/>
  <c r="CT19" i="16"/>
  <c r="CR19" i="16"/>
  <c r="CP19" i="16"/>
  <c r="CN19" i="16"/>
  <c r="CL19" i="16"/>
  <c r="CJ19" i="16"/>
  <c r="CH19" i="16"/>
  <c r="CF19" i="16"/>
  <c r="CD19" i="16"/>
  <c r="CB19" i="16"/>
  <c r="BZ19" i="16"/>
  <c r="BX19" i="16"/>
  <c r="BV19" i="16"/>
  <c r="BT19" i="16"/>
  <c r="BR19" i="16"/>
  <c r="BP19" i="16"/>
  <c r="BN19" i="16"/>
  <c r="BL19" i="16"/>
  <c r="BJ19" i="16"/>
  <c r="BH19" i="16"/>
  <c r="BF19" i="16"/>
  <c r="BD19" i="16"/>
  <c r="BB19" i="16"/>
  <c r="AZ19" i="16"/>
  <c r="AX19" i="16"/>
  <c r="AV19" i="16"/>
  <c r="AT19" i="16"/>
  <c r="AR19" i="16"/>
  <c r="AP19" i="16"/>
  <c r="AN19" i="16"/>
  <c r="AL19" i="16"/>
  <c r="AJ19" i="16"/>
  <c r="AH19" i="16"/>
  <c r="AF19" i="16"/>
  <c r="AD19" i="16"/>
  <c r="AB19" i="16"/>
  <c r="Z19" i="16"/>
  <c r="X19" i="16"/>
  <c r="V19" i="16"/>
  <c r="T19" i="16"/>
  <c r="R19" i="16"/>
  <c r="P19" i="16"/>
  <c r="N19" i="16"/>
  <c r="L19" i="16"/>
  <c r="J19" i="16"/>
  <c r="H19" i="16"/>
  <c r="CX18" i="16"/>
  <c r="CV18" i="16"/>
  <c r="CT18" i="16"/>
  <c r="CR18" i="16"/>
  <c r="CP18" i="16"/>
  <c r="CN18" i="16"/>
  <c r="CL18" i="16"/>
  <c r="CJ18" i="16"/>
  <c r="CH18" i="16"/>
  <c r="CF18" i="16"/>
  <c r="CD18" i="16"/>
  <c r="CB18" i="16"/>
  <c r="BZ18" i="16"/>
  <c r="BX18" i="16"/>
  <c r="BV18" i="16"/>
  <c r="BT18" i="16"/>
  <c r="BR18" i="16"/>
  <c r="BP18" i="16"/>
  <c r="BN18" i="16"/>
  <c r="BL18" i="16"/>
  <c r="BJ18" i="16"/>
  <c r="BH18" i="16"/>
  <c r="BF18" i="16"/>
  <c r="BD18" i="16"/>
  <c r="BB18" i="16"/>
  <c r="AZ18" i="16"/>
  <c r="AX18" i="16"/>
  <c r="AV18" i="16"/>
  <c r="AT18" i="16"/>
  <c r="AR18" i="16"/>
  <c r="AP18" i="16"/>
  <c r="AN18" i="16"/>
  <c r="AL18" i="16"/>
  <c r="AJ18" i="16"/>
  <c r="AH18" i="16"/>
  <c r="AF18" i="16"/>
  <c r="AD18" i="16"/>
  <c r="AB18" i="16"/>
  <c r="Z18" i="16"/>
  <c r="X18" i="16"/>
  <c r="V18" i="16"/>
  <c r="T18" i="16"/>
  <c r="R18" i="16"/>
  <c r="P18" i="16"/>
  <c r="N18" i="16"/>
  <c r="L18" i="16"/>
  <c r="J18" i="16"/>
  <c r="H18" i="16"/>
  <c r="CX17" i="16"/>
  <c r="CV17" i="16"/>
  <c r="CT17" i="16"/>
  <c r="CR17" i="16"/>
  <c r="CP17" i="16"/>
  <c r="CN17" i="16"/>
  <c r="CL17" i="16"/>
  <c r="CJ17" i="16"/>
  <c r="CH17" i="16"/>
  <c r="CF17" i="16"/>
  <c r="CD17" i="16"/>
  <c r="CB17" i="16"/>
  <c r="BZ17" i="16"/>
  <c r="BX17" i="16"/>
  <c r="BV17" i="16"/>
  <c r="BT17" i="16"/>
  <c r="BR17" i="16"/>
  <c r="BP17" i="16"/>
  <c r="BN17" i="16"/>
  <c r="BL17" i="16"/>
  <c r="BJ17" i="16"/>
  <c r="BH17" i="16"/>
  <c r="BF17" i="16"/>
  <c r="BD17" i="16"/>
  <c r="BB17" i="16"/>
  <c r="AZ17" i="16"/>
  <c r="AX17" i="16"/>
  <c r="AV17" i="16"/>
  <c r="AT17" i="16"/>
  <c r="AR17" i="16"/>
  <c r="AP17" i="16"/>
  <c r="AN17" i="16"/>
  <c r="AL17" i="16"/>
  <c r="AJ17" i="16"/>
  <c r="AH17" i="16"/>
  <c r="AF17" i="16"/>
  <c r="AD17" i="16"/>
  <c r="AB17" i="16"/>
  <c r="Z17" i="16"/>
  <c r="X17" i="16"/>
  <c r="V17" i="16"/>
  <c r="T17" i="16"/>
  <c r="R17" i="16"/>
  <c r="P17" i="16"/>
  <c r="N17" i="16"/>
  <c r="L17" i="16"/>
  <c r="J17" i="16"/>
  <c r="H17" i="16"/>
  <c r="CX16" i="16"/>
  <c r="CV16" i="16"/>
  <c r="CT16" i="16"/>
  <c r="CR16" i="16"/>
  <c r="CP16" i="16"/>
  <c r="CN16" i="16"/>
  <c r="CL16" i="16"/>
  <c r="CJ16" i="16"/>
  <c r="CH16" i="16"/>
  <c r="CF16" i="16"/>
  <c r="CD16" i="16"/>
  <c r="CB16" i="16"/>
  <c r="BZ16" i="16"/>
  <c r="BX16" i="16"/>
  <c r="BV16" i="16"/>
  <c r="BT16" i="16"/>
  <c r="BR16" i="16"/>
  <c r="BP16" i="16"/>
  <c r="BN16" i="16"/>
  <c r="BL16" i="16"/>
  <c r="BJ16" i="16"/>
  <c r="BH16" i="16"/>
  <c r="BF16" i="16"/>
  <c r="BD16" i="16"/>
  <c r="BB16" i="16"/>
  <c r="AZ16" i="16"/>
  <c r="AX16" i="16"/>
  <c r="AV16" i="16"/>
  <c r="AT16" i="16"/>
  <c r="AR16" i="16"/>
  <c r="AP16" i="16"/>
  <c r="AN16" i="16"/>
  <c r="AL16" i="16"/>
  <c r="AJ16" i="16"/>
  <c r="AH16" i="16"/>
  <c r="AF16" i="16"/>
  <c r="AD16" i="16"/>
  <c r="AB16" i="16"/>
  <c r="Z16" i="16"/>
  <c r="X16" i="16"/>
  <c r="V16" i="16"/>
  <c r="T16" i="16"/>
  <c r="R16" i="16"/>
  <c r="P16" i="16"/>
  <c r="N16" i="16"/>
  <c r="L16" i="16"/>
  <c r="J16" i="16"/>
  <c r="H16" i="16"/>
  <c r="CX15" i="16"/>
  <c r="CV15" i="16"/>
  <c r="CT15" i="16"/>
  <c r="CR15" i="16"/>
  <c r="CP15" i="16"/>
  <c r="CN15" i="16"/>
  <c r="CL15" i="16"/>
  <c r="CJ15" i="16"/>
  <c r="CH15" i="16"/>
  <c r="CF15" i="16"/>
  <c r="CD15" i="16"/>
  <c r="CB15" i="16"/>
  <c r="BZ15" i="16"/>
  <c r="BX15" i="16"/>
  <c r="BV15" i="16"/>
  <c r="BT15" i="16"/>
  <c r="BR15" i="16"/>
  <c r="BP15" i="16"/>
  <c r="BN15" i="16"/>
  <c r="BL15" i="16"/>
  <c r="BJ15" i="16"/>
  <c r="BH15" i="16"/>
  <c r="BF15" i="16"/>
  <c r="BD15" i="16"/>
  <c r="BB15" i="16"/>
  <c r="AZ15" i="16"/>
  <c r="AX15" i="16"/>
  <c r="AV15" i="16"/>
  <c r="AT15" i="16"/>
  <c r="AR15" i="16"/>
  <c r="AP15" i="16"/>
  <c r="AN15" i="16"/>
  <c r="AL15" i="16"/>
  <c r="AJ15" i="16"/>
  <c r="AH15" i="16"/>
  <c r="AF15" i="16"/>
  <c r="AD15" i="16"/>
  <c r="AB15" i="16"/>
  <c r="Z15" i="16"/>
  <c r="X15" i="16"/>
  <c r="V15" i="16"/>
  <c r="T15" i="16"/>
  <c r="R15" i="16"/>
  <c r="P15" i="16"/>
  <c r="N15" i="16"/>
  <c r="L15" i="16"/>
  <c r="J15" i="16"/>
  <c r="H15" i="16"/>
  <c r="CX14" i="16"/>
  <c r="CV14" i="16"/>
  <c r="CT14" i="16"/>
  <c r="CR14" i="16"/>
  <c r="CP14" i="16"/>
  <c r="CN14" i="16"/>
  <c r="CL14" i="16"/>
  <c r="CJ14" i="16"/>
  <c r="CH14" i="16"/>
  <c r="CF14" i="16"/>
  <c r="CD14" i="16"/>
  <c r="CB14" i="16"/>
  <c r="BZ14" i="16"/>
  <c r="BX14" i="16"/>
  <c r="BV14" i="16"/>
  <c r="BT14" i="16"/>
  <c r="BR14" i="16"/>
  <c r="BP14" i="16"/>
  <c r="BN14" i="16"/>
  <c r="BL14" i="16"/>
  <c r="BJ14" i="16"/>
  <c r="BH14" i="16"/>
  <c r="BF14" i="16"/>
  <c r="BD14" i="16"/>
  <c r="BB14" i="16"/>
  <c r="AZ14" i="16"/>
  <c r="AX14" i="16"/>
  <c r="AV14" i="16"/>
  <c r="AT14" i="16"/>
  <c r="AR14" i="16"/>
  <c r="AP14" i="16"/>
  <c r="AN14" i="16"/>
  <c r="AL14" i="16"/>
  <c r="AJ14" i="16"/>
  <c r="AH14" i="16"/>
  <c r="AF14" i="16"/>
  <c r="AD14" i="16"/>
  <c r="AB14" i="16"/>
  <c r="Z14" i="16"/>
  <c r="X14" i="16"/>
  <c r="V14" i="16"/>
  <c r="T14" i="16"/>
  <c r="R14" i="16"/>
  <c r="P14" i="16"/>
  <c r="N14" i="16"/>
  <c r="L14" i="16"/>
  <c r="J14" i="16"/>
  <c r="H14" i="16"/>
  <c r="CX13" i="16"/>
  <c r="CV13" i="16"/>
  <c r="CT13" i="16"/>
  <c r="CR13" i="16"/>
  <c r="CP13" i="16"/>
  <c r="CN13" i="16"/>
  <c r="CL13" i="16"/>
  <c r="CJ13" i="16"/>
  <c r="CH13" i="16"/>
  <c r="CF13" i="16"/>
  <c r="CD13" i="16"/>
  <c r="CB13" i="16"/>
  <c r="BZ13" i="16"/>
  <c r="BX13" i="16"/>
  <c r="BV13" i="16"/>
  <c r="BT13" i="16"/>
  <c r="BR13" i="16"/>
  <c r="BP13" i="16"/>
  <c r="BN13" i="16"/>
  <c r="BL13" i="16"/>
  <c r="BJ13" i="16"/>
  <c r="BH13" i="16"/>
  <c r="BF13" i="16"/>
  <c r="BD13" i="16"/>
  <c r="BB13" i="16"/>
  <c r="AZ13" i="16"/>
  <c r="AX13" i="16"/>
  <c r="AV13" i="16"/>
  <c r="AT13" i="16"/>
  <c r="AR13" i="16"/>
  <c r="AP13" i="16"/>
  <c r="AN13" i="16"/>
  <c r="AL13" i="16"/>
  <c r="AJ13" i="16"/>
  <c r="AH13" i="16"/>
  <c r="AF13" i="16"/>
  <c r="AD13" i="16"/>
  <c r="AB13" i="16"/>
  <c r="Z13" i="16"/>
  <c r="X13" i="16"/>
  <c r="V13" i="16"/>
  <c r="T13" i="16"/>
  <c r="R13" i="16"/>
  <c r="P13" i="16"/>
  <c r="N13" i="16"/>
  <c r="L13" i="16"/>
  <c r="J13" i="16"/>
  <c r="H13" i="16"/>
  <c r="CX12" i="16"/>
  <c r="CV12" i="16"/>
  <c r="CT12" i="16"/>
  <c r="CR12" i="16"/>
  <c r="CP12" i="16"/>
  <c r="CN12" i="16"/>
  <c r="CL12" i="16"/>
  <c r="CJ12" i="16"/>
  <c r="CH12" i="16"/>
  <c r="CF12" i="16"/>
  <c r="CD12" i="16"/>
  <c r="CB12" i="16"/>
  <c r="BZ12" i="16"/>
  <c r="BX12" i="16"/>
  <c r="BV12" i="16"/>
  <c r="BT12" i="16"/>
  <c r="BR12" i="16"/>
  <c r="BP12" i="16"/>
  <c r="BN12" i="16"/>
  <c r="BL12" i="16"/>
  <c r="BJ12" i="16"/>
  <c r="BH12" i="16"/>
  <c r="BF12" i="16"/>
  <c r="BD12" i="16"/>
  <c r="BB12" i="16"/>
  <c r="AZ12" i="16"/>
  <c r="AX12" i="16"/>
  <c r="AV12" i="16"/>
  <c r="AT12" i="16"/>
  <c r="AR12" i="16"/>
  <c r="AP12" i="16"/>
  <c r="AN12" i="16"/>
  <c r="AL12" i="16"/>
  <c r="AJ12" i="16"/>
  <c r="AH12" i="16"/>
  <c r="AF12" i="16"/>
  <c r="AD12" i="16"/>
  <c r="AB12" i="16"/>
  <c r="Z12" i="16"/>
  <c r="X12" i="16"/>
  <c r="V12" i="16"/>
  <c r="T12" i="16"/>
  <c r="R12" i="16"/>
  <c r="P12" i="16"/>
  <c r="N12" i="16"/>
  <c r="L12" i="16"/>
  <c r="J12" i="16"/>
  <c r="H12" i="16"/>
  <c r="CX11" i="16"/>
  <c r="CV11" i="16"/>
  <c r="CT11" i="16"/>
  <c r="CR11" i="16"/>
  <c r="CP11" i="16"/>
  <c r="CN11" i="16"/>
  <c r="CL11" i="16"/>
  <c r="CJ11" i="16"/>
  <c r="CH11" i="16"/>
  <c r="CF11" i="16"/>
  <c r="CD11" i="16"/>
  <c r="CB11" i="16"/>
  <c r="BZ11" i="16"/>
  <c r="BX11" i="16"/>
  <c r="BV11" i="16"/>
  <c r="BT11" i="16"/>
  <c r="BR11" i="16"/>
  <c r="BP11" i="16"/>
  <c r="BN11" i="16"/>
  <c r="BL11" i="16"/>
  <c r="BJ11" i="16"/>
  <c r="BH11" i="16"/>
  <c r="BF11" i="16"/>
  <c r="BD11" i="16"/>
  <c r="BB11" i="16"/>
  <c r="AZ11" i="16"/>
  <c r="AX11" i="16"/>
  <c r="AV11" i="16"/>
  <c r="AT11" i="16"/>
  <c r="AR11" i="16"/>
  <c r="AP11" i="16"/>
  <c r="AN11" i="16"/>
  <c r="AL11" i="16"/>
  <c r="AJ11" i="16"/>
  <c r="AH11" i="16"/>
  <c r="AF11" i="16"/>
  <c r="AD11" i="16"/>
  <c r="AB11" i="16"/>
  <c r="Z11" i="16"/>
  <c r="X11" i="16"/>
  <c r="V11" i="16"/>
  <c r="T11" i="16"/>
  <c r="R11" i="16"/>
  <c r="P11" i="16"/>
  <c r="N11" i="16"/>
  <c r="L11" i="16"/>
  <c r="J11" i="16"/>
  <c r="H11" i="16"/>
  <c r="CX25" i="16"/>
  <c r="CV25" i="16"/>
  <c r="CT25" i="16"/>
  <c r="CR25" i="16"/>
  <c r="CP25" i="16"/>
  <c r="CN25" i="16"/>
  <c r="CL25" i="16"/>
  <c r="CJ25" i="16"/>
  <c r="CH25" i="16"/>
  <c r="CF25" i="16"/>
  <c r="CD25" i="16"/>
  <c r="CB25" i="16"/>
  <c r="BZ25" i="16"/>
  <c r="BX25" i="16"/>
  <c r="BV25" i="16"/>
  <c r="BT25" i="16"/>
  <c r="BR25" i="16"/>
  <c r="BP25" i="16"/>
  <c r="BN25" i="16"/>
  <c r="BL25" i="16"/>
  <c r="BJ25" i="16"/>
  <c r="BH25" i="16"/>
  <c r="BF25" i="16"/>
  <c r="BD25" i="16"/>
  <c r="BB25" i="16"/>
  <c r="AZ25" i="16"/>
  <c r="AX25" i="16"/>
  <c r="AV25" i="16"/>
  <c r="AT25" i="16"/>
  <c r="AR25" i="16"/>
  <c r="AP25" i="16"/>
  <c r="AN25" i="16"/>
  <c r="AL25" i="16"/>
  <c r="AJ25" i="16"/>
  <c r="AH25" i="16"/>
  <c r="AF25" i="16"/>
  <c r="AD25" i="16"/>
  <c r="AB25" i="16"/>
  <c r="Z25" i="16"/>
  <c r="X25" i="16"/>
  <c r="V25" i="16"/>
  <c r="T25" i="16"/>
  <c r="R25" i="16"/>
  <c r="P25" i="16"/>
  <c r="N25" i="16"/>
  <c r="L25" i="16"/>
  <c r="J25" i="16"/>
  <c r="H25" i="16"/>
  <c r="CX26" i="16"/>
  <c r="CV26" i="16"/>
  <c r="CT26" i="16"/>
  <c r="CR26" i="16"/>
  <c r="CP26" i="16"/>
  <c r="CN26" i="16"/>
  <c r="CL26" i="16"/>
  <c r="CJ26" i="16"/>
  <c r="CH26" i="16"/>
  <c r="CF26" i="16"/>
  <c r="CD26" i="16"/>
  <c r="CB26" i="16"/>
  <c r="BZ26" i="16"/>
  <c r="BX26" i="16"/>
  <c r="BV26" i="16"/>
  <c r="BT26" i="16"/>
  <c r="BR26" i="16"/>
  <c r="BP26" i="16"/>
  <c r="BN26" i="16"/>
  <c r="BL26" i="16"/>
  <c r="BJ26" i="16"/>
  <c r="BH26" i="16"/>
  <c r="BF26" i="16"/>
  <c r="BD26" i="16"/>
  <c r="BB26" i="16"/>
  <c r="AZ26" i="16"/>
  <c r="AX26" i="16"/>
  <c r="AV26" i="16"/>
  <c r="AT26" i="16"/>
  <c r="AR26" i="16"/>
  <c r="AP26" i="16"/>
  <c r="AN26" i="16"/>
  <c r="AL26" i="16"/>
  <c r="AJ26" i="16"/>
  <c r="AH26" i="16"/>
  <c r="AF26" i="16"/>
  <c r="AD26" i="16"/>
  <c r="AB26" i="16"/>
  <c r="Z26" i="16"/>
  <c r="X26" i="16"/>
  <c r="V26" i="16"/>
  <c r="T26" i="16"/>
  <c r="R26" i="16"/>
  <c r="P26" i="16"/>
  <c r="N26" i="16"/>
  <c r="L26" i="16"/>
  <c r="J26" i="16"/>
  <c r="H26" i="16"/>
  <c r="F28" i="16" a="1"/>
  <c r="F28" i="16" s="1"/>
  <c r="F26" i="16" l="1"/>
  <c r="F22" i="16"/>
  <c r="F25" i="16"/>
  <c r="CX27" i="16"/>
  <c r="CV27" i="16"/>
  <c r="CT27" i="16"/>
  <c r="CR27" i="16"/>
  <c r="CP27" i="16"/>
  <c r="CN27" i="16"/>
  <c r="CL27" i="16"/>
  <c r="CJ27" i="16"/>
  <c r="CH27" i="16"/>
  <c r="CF27" i="16"/>
  <c r="CD27" i="16"/>
  <c r="CB27" i="16"/>
  <c r="BZ27" i="16"/>
  <c r="BX27" i="16"/>
  <c r="BV27" i="16"/>
  <c r="BT27" i="16"/>
  <c r="BR27" i="16"/>
  <c r="BP27" i="16"/>
  <c r="BN27" i="16"/>
  <c r="BL27" i="16"/>
  <c r="BJ27" i="16"/>
  <c r="BH27" i="16"/>
  <c r="BF27" i="16"/>
  <c r="BD27" i="16"/>
  <c r="BB27" i="16"/>
  <c r="AZ27" i="16"/>
  <c r="AX27" i="16"/>
  <c r="AV27" i="16"/>
  <c r="AT27" i="16"/>
  <c r="AR27" i="16"/>
  <c r="AP27" i="16"/>
  <c r="AN27" i="16"/>
  <c r="AL27" i="16"/>
  <c r="AJ27" i="16"/>
  <c r="AH27" i="16"/>
  <c r="AF27" i="16"/>
  <c r="AD27" i="16"/>
  <c r="AB27" i="16"/>
  <c r="Z27" i="16"/>
  <c r="X27" i="16"/>
  <c r="V27" i="16"/>
  <c r="T27" i="16"/>
  <c r="R27" i="16"/>
  <c r="P27" i="16"/>
  <c r="N27" i="16"/>
  <c r="L27" i="16"/>
  <c r="J27" i="16"/>
  <c r="H27" i="16"/>
  <c r="CX10" i="16"/>
  <c r="F27" i="16" l="1"/>
  <c r="AY9" i="15" l="1"/>
  <c r="AY10" i="15"/>
  <c r="AY11" i="15"/>
  <c r="AY12" i="15"/>
  <c r="AY13" i="15"/>
  <c r="AY14" i="15"/>
  <c r="AY15" i="15"/>
  <c r="AY16" i="15"/>
  <c r="AY17" i="15"/>
  <c r="AY18" i="15"/>
  <c r="AY19" i="15"/>
  <c r="AY20" i="15"/>
  <c r="AY21" i="15"/>
  <c r="AY8" i="15"/>
  <c r="F16" i="16" l="1"/>
  <c r="F24" i="16"/>
  <c r="L10" i="16"/>
  <c r="AB10" i="16"/>
  <c r="AR10" i="16"/>
  <c r="BH10" i="16"/>
  <c r="BX10" i="16"/>
  <c r="CN10" i="16"/>
  <c r="N10" i="16"/>
  <c r="AD10" i="16"/>
  <c r="AT10" i="16"/>
  <c r="BJ10" i="16"/>
  <c r="BZ10" i="16"/>
  <c r="CP10" i="16"/>
  <c r="P10" i="16"/>
  <c r="AF10" i="16"/>
  <c r="AV10" i="16"/>
  <c r="BL10" i="16"/>
  <c r="CB10" i="16"/>
  <c r="CR10" i="16"/>
  <c r="R10" i="16"/>
  <c r="AH10" i="16"/>
  <c r="AX10" i="16"/>
  <c r="BN10" i="16"/>
  <c r="CD10" i="16"/>
  <c r="CT10" i="16"/>
  <c r="CV10" i="16"/>
  <c r="T10" i="16"/>
  <c r="AJ10" i="16"/>
  <c r="AZ10" i="16"/>
  <c r="BP10" i="16"/>
  <c r="CF10" i="16"/>
  <c r="V10" i="16"/>
  <c r="AL10" i="16"/>
  <c r="BB10" i="16"/>
  <c r="BR10" i="16"/>
  <c r="CH10" i="16"/>
  <c r="H10" i="16"/>
  <c r="X10" i="16"/>
  <c r="AN10" i="16"/>
  <c r="BD10" i="16"/>
  <c r="BT10" i="16"/>
  <c r="CJ10" i="16"/>
  <c r="J10" i="16"/>
  <c r="Z10" i="16"/>
  <c r="AP10" i="16"/>
  <c r="BF10" i="16"/>
  <c r="BV10" i="16"/>
  <c r="CL10" i="16"/>
  <c r="F20" i="16" l="1"/>
  <c r="F19" i="16"/>
  <c r="F11" i="16"/>
  <c r="F14" i="16"/>
  <c r="F21" i="16"/>
  <c r="F13" i="16"/>
  <c r="F15" i="16"/>
  <c r="F18" i="16"/>
  <c r="F10" i="16"/>
  <c r="F12" i="16"/>
  <c r="F17" i="16"/>
  <c r="P27" i="17" l="1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2" i="17"/>
  <c r="O4" i="17"/>
  <c r="O6" i="17" s="1"/>
  <c r="O8" i="17" s="1"/>
  <c r="O10" i="17" s="1"/>
  <c r="O12" i="17" s="1"/>
  <c r="O14" i="17" s="1"/>
  <c r="O16" i="17" s="1"/>
  <c r="O18" i="17" s="1"/>
  <c r="O20" i="17" s="1"/>
  <c r="O22" i="17" s="1"/>
  <c r="O24" i="17" s="1"/>
  <c r="O26" i="17" s="1"/>
  <c r="N27" i="17"/>
  <c r="L27" i="17"/>
  <c r="J27" i="17"/>
  <c r="H27" i="17"/>
  <c r="F27" i="17"/>
  <c r="D27" i="17"/>
  <c r="N26" i="17"/>
  <c r="L26" i="17"/>
  <c r="J26" i="17"/>
  <c r="H26" i="17"/>
  <c r="F26" i="17"/>
  <c r="D26" i="17"/>
  <c r="N25" i="17"/>
  <c r="L25" i="17"/>
  <c r="J25" i="17"/>
  <c r="H25" i="17"/>
  <c r="F25" i="17"/>
  <c r="D25" i="17"/>
  <c r="N24" i="17"/>
  <c r="L24" i="17"/>
  <c r="J24" i="17"/>
  <c r="H24" i="17"/>
  <c r="F24" i="17"/>
  <c r="D24" i="17"/>
  <c r="N23" i="17"/>
  <c r="L23" i="17"/>
  <c r="J23" i="17"/>
  <c r="H23" i="17"/>
  <c r="F23" i="17"/>
  <c r="D23" i="17"/>
  <c r="N22" i="17"/>
  <c r="L22" i="17"/>
  <c r="J22" i="17"/>
  <c r="H22" i="17"/>
  <c r="F22" i="17"/>
  <c r="D22" i="17"/>
  <c r="N21" i="17"/>
  <c r="L21" i="17"/>
  <c r="J21" i="17"/>
  <c r="H21" i="17"/>
  <c r="F21" i="17"/>
  <c r="D21" i="17"/>
  <c r="N20" i="17"/>
  <c r="L20" i="17"/>
  <c r="J20" i="17"/>
  <c r="H20" i="17"/>
  <c r="F20" i="17"/>
  <c r="D20" i="17"/>
  <c r="N19" i="17"/>
  <c r="L19" i="17"/>
  <c r="J19" i="17"/>
  <c r="H19" i="17"/>
  <c r="F19" i="17"/>
  <c r="D19" i="17"/>
  <c r="N18" i="17"/>
  <c r="L18" i="17"/>
  <c r="J18" i="17"/>
  <c r="H18" i="17"/>
  <c r="F18" i="17"/>
  <c r="D18" i="17"/>
  <c r="N17" i="17"/>
  <c r="L17" i="17"/>
  <c r="J17" i="17"/>
  <c r="H17" i="17"/>
  <c r="F17" i="17"/>
  <c r="D17" i="17"/>
  <c r="N16" i="17"/>
  <c r="L16" i="17"/>
  <c r="J16" i="17"/>
  <c r="H16" i="17"/>
  <c r="F16" i="17"/>
  <c r="D16" i="17"/>
  <c r="N15" i="17"/>
  <c r="L15" i="17"/>
  <c r="J15" i="17"/>
  <c r="H15" i="17"/>
  <c r="F15" i="17"/>
  <c r="D15" i="17"/>
  <c r="N14" i="17"/>
  <c r="L14" i="17"/>
  <c r="J14" i="17"/>
  <c r="H14" i="17"/>
  <c r="F14" i="17"/>
  <c r="D14" i="17"/>
  <c r="N13" i="17"/>
  <c r="L13" i="17"/>
  <c r="J13" i="17"/>
  <c r="H13" i="17"/>
  <c r="F13" i="17"/>
  <c r="D13" i="17"/>
  <c r="N12" i="17"/>
  <c r="L12" i="17"/>
  <c r="J12" i="17"/>
  <c r="H12" i="17"/>
  <c r="F12" i="17"/>
  <c r="D12" i="17"/>
  <c r="A12" i="17"/>
  <c r="A14" i="17" s="1"/>
  <c r="A16" i="17" s="1"/>
  <c r="A18" i="17" s="1"/>
  <c r="A20" i="17" s="1"/>
  <c r="A22" i="17" s="1"/>
  <c r="A24" i="17" s="1"/>
  <c r="A26" i="17" s="1"/>
  <c r="N11" i="17"/>
  <c r="L11" i="17"/>
  <c r="J11" i="17"/>
  <c r="H11" i="17"/>
  <c r="F11" i="17"/>
  <c r="D11" i="17"/>
  <c r="N10" i="17"/>
  <c r="L10" i="17"/>
  <c r="J10" i="17"/>
  <c r="H10" i="17"/>
  <c r="F10" i="17"/>
  <c r="D10" i="17"/>
  <c r="N9" i="17"/>
  <c r="L9" i="17"/>
  <c r="J9" i="17"/>
  <c r="H9" i="17"/>
  <c r="F9" i="17"/>
  <c r="D9" i="17"/>
  <c r="N8" i="17"/>
  <c r="L8" i="17"/>
  <c r="J8" i="17"/>
  <c r="H8" i="17"/>
  <c r="F8" i="17"/>
  <c r="D8" i="17"/>
  <c r="N7" i="17"/>
  <c r="L7" i="17"/>
  <c r="J7" i="17"/>
  <c r="H7" i="17"/>
  <c r="F7" i="17"/>
  <c r="D7" i="17"/>
  <c r="N6" i="17"/>
  <c r="L6" i="17"/>
  <c r="J6" i="17"/>
  <c r="H6" i="17"/>
  <c r="F6" i="17"/>
  <c r="D6" i="17"/>
  <c r="N5" i="17"/>
  <c r="L5" i="17"/>
  <c r="J5" i="17"/>
  <c r="H5" i="17"/>
  <c r="F5" i="17"/>
  <c r="D5" i="17"/>
  <c r="N4" i="17"/>
  <c r="M4" i="17"/>
  <c r="M6" i="17" s="1"/>
  <c r="M8" i="17" s="1"/>
  <c r="M10" i="17" s="1"/>
  <c r="M12" i="17" s="1"/>
  <c r="M14" i="17" s="1"/>
  <c r="M16" i="17" s="1"/>
  <c r="M18" i="17" s="1"/>
  <c r="M20" i="17" s="1"/>
  <c r="M22" i="17" s="1"/>
  <c r="M24" i="17" s="1"/>
  <c r="M26" i="17" s="1"/>
  <c r="L4" i="17"/>
  <c r="K4" i="17"/>
  <c r="K6" i="17" s="1"/>
  <c r="K8" i="17" s="1"/>
  <c r="K10" i="17" s="1"/>
  <c r="K12" i="17" s="1"/>
  <c r="K14" i="17" s="1"/>
  <c r="K16" i="17" s="1"/>
  <c r="K18" i="17" s="1"/>
  <c r="K20" i="17" s="1"/>
  <c r="K22" i="17" s="1"/>
  <c r="K24" i="17" s="1"/>
  <c r="K26" i="17" s="1"/>
  <c r="J4" i="17"/>
  <c r="I4" i="17"/>
  <c r="I6" i="17" s="1"/>
  <c r="I8" i="17" s="1"/>
  <c r="I10" i="17" s="1"/>
  <c r="I12" i="17" s="1"/>
  <c r="I14" i="17" s="1"/>
  <c r="I16" i="17" s="1"/>
  <c r="I18" i="17" s="1"/>
  <c r="I20" i="17" s="1"/>
  <c r="I22" i="17" s="1"/>
  <c r="I24" i="17" s="1"/>
  <c r="I26" i="17" s="1"/>
  <c r="H4" i="17"/>
  <c r="G4" i="17"/>
  <c r="G6" i="17" s="1"/>
  <c r="G8" i="17" s="1"/>
  <c r="G10" i="17" s="1"/>
  <c r="G12" i="17" s="1"/>
  <c r="G14" i="17" s="1"/>
  <c r="G16" i="17" s="1"/>
  <c r="G18" i="17" s="1"/>
  <c r="G20" i="17" s="1"/>
  <c r="G22" i="17" s="1"/>
  <c r="G24" i="17" s="1"/>
  <c r="G26" i="17" s="1"/>
  <c r="F4" i="17"/>
  <c r="E4" i="17"/>
  <c r="E6" i="17" s="1"/>
  <c r="E8" i="17" s="1"/>
  <c r="E10" i="17" s="1"/>
  <c r="E12" i="17" s="1"/>
  <c r="E14" i="17" s="1"/>
  <c r="E16" i="17" s="1"/>
  <c r="E18" i="17" s="1"/>
  <c r="E20" i="17" s="1"/>
  <c r="E22" i="17" s="1"/>
  <c r="E24" i="17" s="1"/>
  <c r="E26" i="17" s="1"/>
  <c r="D4" i="17"/>
  <c r="C4" i="17"/>
  <c r="C6" i="17" s="1"/>
  <c r="C8" i="17" s="1"/>
  <c r="C10" i="17" s="1"/>
  <c r="C12" i="17" s="1"/>
  <c r="C14" i="17" s="1"/>
  <c r="C16" i="17" s="1"/>
  <c r="C18" i="17" s="1"/>
  <c r="C20" i="17" s="1"/>
  <c r="C22" i="17" s="1"/>
  <c r="C24" i="17" s="1"/>
  <c r="C26" i="17" s="1"/>
  <c r="N3" i="17"/>
  <c r="L3" i="17"/>
  <c r="J3" i="17"/>
  <c r="H3" i="17"/>
  <c r="F3" i="17"/>
  <c r="D3" i="17"/>
  <c r="N2" i="17"/>
  <c r="L2" i="17"/>
  <c r="J2" i="17"/>
  <c r="H2" i="17"/>
  <c r="F2" i="17"/>
  <c r="D2" i="17"/>
  <c r="C25" i="16" l="1"/>
  <c r="E25" i="16" l="1"/>
  <c r="CU25" i="16"/>
  <c r="CE25" i="16"/>
  <c r="K25" i="16"/>
  <c r="AY25" i="16"/>
  <c r="S25" i="16"/>
  <c r="BW25" i="16"/>
  <c r="AC25" i="16"/>
  <c r="CW25" i="16"/>
  <c r="CQ25" i="16"/>
  <c r="CY25" i="16"/>
  <c r="CO25" i="16"/>
  <c r="O25" i="16"/>
  <c r="Y25" i="16"/>
  <c r="AG25" i="16"/>
  <c r="M25" i="16"/>
  <c r="AM25" i="16"/>
  <c r="AE25" i="16"/>
  <c r="Q25" i="16"/>
  <c r="AO25" i="16"/>
  <c r="AW25" i="16"/>
  <c r="CS25" i="16"/>
  <c r="CA25" i="16"/>
  <c r="CI25" i="16"/>
  <c r="I25" i="16"/>
  <c r="BC25" i="16"/>
  <c r="AA25" i="16"/>
  <c r="AU25" i="16"/>
  <c r="BK25" i="16"/>
  <c r="W25" i="16"/>
  <c r="U25" i="16"/>
  <c r="BS25" i="16"/>
  <c r="AQ25" i="16"/>
  <c r="BY25" i="16"/>
  <c r="BQ25" i="16"/>
  <c r="BG25" i="16"/>
  <c r="AK25" i="16"/>
  <c r="BE25" i="16"/>
  <c r="CM25" i="16"/>
  <c r="AI25" i="16"/>
  <c r="CC25" i="16"/>
  <c r="CG25" i="16"/>
  <c r="AS25" i="16"/>
  <c r="BA25" i="16"/>
  <c r="BO25" i="16"/>
  <c r="BU25" i="16"/>
  <c r="BI25" i="16"/>
  <c r="BM25" i="16"/>
  <c r="CK25" i="16"/>
  <c r="C13" i="16" l="1"/>
  <c r="C23" i="16"/>
  <c r="C12" i="16"/>
  <c r="C10" i="16"/>
  <c r="CQ12" i="16" l="1"/>
  <c r="BS12" i="16"/>
  <c r="AE12" i="16"/>
  <c r="CO12" i="16"/>
  <c r="AC12" i="16"/>
  <c r="BY12" i="16"/>
  <c r="BA12" i="16"/>
  <c r="M12" i="16"/>
  <c r="CU12" i="16"/>
  <c r="BW12" i="16"/>
  <c r="K12" i="16"/>
  <c r="BG12" i="16"/>
  <c r="AU12" i="16"/>
  <c r="AW12" i="16"/>
  <c r="CG12" i="16"/>
  <c r="BM12" i="16"/>
  <c r="O12" i="16"/>
  <c r="S12" i="16"/>
  <c r="BI12" i="16"/>
  <c r="CS12" i="16"/>
  <c r="CM12" i="16"/>
  <c r="AQ12" i="16"/>
  <c r="CE12" i="16"/>
  <c r="Y12" i="16"/>
  <c r="CW12" i="16"/>
  <c r="AO12" i="16"/>
  <c r="BC12" i="16"/>
  <c r="AK12" i="16"/>
  <c r="BO12" i="16"/>
  <c r="BQ12" i="16"/>
  <c r="AI12" i="16"/>
  <c r="W12" i="16"/>
  <c r="I12" i="16"/>
  <c r="AY12" i="16"/>
  <c r="CY12" i="16"/>
  <c r="CA12" i="16"/>
  <c r="Q12" i="16"/>
  <c r="CI12" i="16"/>
  <c r="U12" i="16"/>
  <c r="BK12" i="16"/>
  <c r="AS12" i="16"/>
  <c r="AG12" i="16"/>
  <c r="CK12" i="16"/>
  <c r="AA12" i="16"/>
  <c r="BE12" i="16"/>
  <c r="BU12" i="16"/>
  <c r="AM12" i="16"/>
  <c r="CC12" i="16"/>
  <c r="E12" i="16"/>
  <c r="S23" i="16"/>
  <c r="K23" i="16"/>
  <c r="CY23" i="16"/>
  <c r="BG23" i="16"/>
  <c r="AC23" i="16"/>
  <c r="BK23" i="16"/>
  <c r="AI23" i="16"/>
  <c r="BW23" i="16"/>
  <c r="AS23" i="16"/>
  <c r="CA23" i="16"/>
  <c r="AG23" i="16"/>
  <c r="AY23" i="16"/>
  <c r="U23" i="16"/>
  <c r="I23" i="16"/>
  <c r="CM23" i="16"/>
  <c r="BI23" i="16"/>
  <c r="CQ23" i="16"/>
  <c r="AW23" i="16"/>
  <c r="BO23" i="16"/>
  <c r="AK23" i="16"/>
  <c r="Y23" i="16"/>
  <c r="BE23" i="16"/>
  <c r="W23" i="16"/>
  <c r="BY23" i="16"/>
  <c r="BM23" i="16"/>
  <c r="CE23" i="16"/>
  <c r="BA23" i="16"/>
  <c r="BU23" i="16"/>
  <c r="AO23" i="16"/>
  <c r="AM23" i="16"/>
  <c r="CO23" i="16"/>
  <c r="CC23" i="16"/>
  <c r="CU23" i="16"/>
  <c r="BQ23" i="16"/>
  <c r="CK23" i="16"/>
  <c r="BC23" i="16"/>
  <c r="M23" i="16"/>
  <c r="Q23" i="16"/>
  <c r="CS23" i="16"/>
  <c r="CG23" i="16"/>
  <c r="CI23" i="16"/>
  <c r="AU23" i="16"/>
  <c r="BS23" i="16"/>
  <c r="AA23" i="16"/>
  <c r="AE23" i="16"/>
  <c r="CW23" i="16"/>
  <c r="AQ23" i="16"/>
  <c r="O23" i="16"/>
  <c r="E23" i="16"/>
  <c r="CY10" i="16"/>
  <c r="BQ10" i="16"/>
  <c r="AS10" i="16"/>
  <c r="U10" i="16"/>
  <c r="AM10" i="16"/>
  <c r="BE10" i="16"/>
  <c r="AK10" i="16"/>
  <c r="BG10" i="16"/>
  <c r="CS10" i="16"/>
  <c r="W10" i="16"/>
  <c r="BW10" i="16"/>
  <c r="I10" i="16"/>
  <c r="AG10" i="16"/>
  <c r="CC10" i="16"/>
  <c r="AO10" i="16"/>
  <c r="AC10" i="16"/>
  <c r="BI10" i="16"/>
  <c r="AE10" i="16"/>
  <c r="CQ10" i="16"/>
  <c r="K10" i="16"/>
  <c r="Q10" i="16"/>
  <c r="CW10" i="16"/>
  <c r="CU10" i="16"/>
  <c r="BA10" i="16"/>
  <c r="BM10" i="16"/>
  <c r="CG10" i="16"/>
  <c r="S10" i="16"/>
  <c r="O10" i="16"/>
  <c r="BC10" i="16"/>
  <c r="BY10" i="16"/>
  <c r="BK10" i="16"/>
  <c r="CE10" i="16"/>
  <c r="M10" i="16"/>
  <c r="BO10" i="16"/>
  <c r="AY10" i="16"/>
  <c r="CM10" i="16"/>
  <c r="CO10" i="16"/>
  <c r="AU10" i="16"/>
  <c r="BS10" i="16"/>
  <c r="AW10" i="16"/>
  <c r="Y10" i="16"/>
  <c r="AI10" i="16"/>
  <c r="BU10" i="16"/>
  <c r="AQ10" i="16"/>
  <c r="AA10" i="16"/>
  <c r="CA10" i="16"/>
  <c r="CI10" i="16"/>
  <c r="CK10" i="16"/>
  <c r="E10" i="16"/>
  <c r="CG13" i="16"/>
  <c r="BI13" i="16"/>
  <c r="CO13" i="16"/>
  <c r="AS13" i="16"/>
  <c r="U13" i="16"/>
  <c r="CY13" i="16"/>
  <c r="CM13" i="16"/>
  <c r="CA13" i="16"/>
  <c r="BO13" i="16"/>
  <c r="AQ13" i="16"/>
  <c r="CW13" i="16"/>
  <c r="BK13" i="16"/>
  <c r="AM13" i="16"/>
  <c r="BY13" i="16"/>
  <c r="O13" i="16"/>
  <c r="AA13" i="16"/>
  <c r="AC13" i="16"/>
  <c r="CC13" i="16"/>
  <c r="CE13" i="16"/>
  <c r="K13" i="16"/>
  <c r="BC13" i="16"/>
  <c r="W13" i="16"/>
  <c r="BM13" i="16"/>
  <c r="AO13" i="16"/>
  <c r="AY13" i="16"/>
  <c r="AK13" i="16"/>
  <c r="M13" i="16"/>
  <c r="CK13" i="16"/>
  <c r="CI13" i="16"/>
  <c r="S13" i="16"/>
  <c r="AU13" i="16"/>
  <c r="Y13" i="16"/>
  <c r="CU13" i="16"/>
  <c r="AE13" i="16"/>
  <c r="BU13" i="16"/>
  <c r="AW13" i="16"/>
  <c r="BA13" i="16"/>
  <c r="BE13" i="16"/>
  <c r="AG13" i="16"/>
  <c r="I13" i="16"/>
  <c r="CQ13" i="16"/>
  <c r="BW13" i="16"/>
  <c r="Q13" i="16"/>
  <c r="BQ13" i="16"/>
  <c r="BG13" i="16"/>
  <c r="AI13" i="16"/>
  <c r="CS13" i="16"/>
  <c r="BS13" i="16"/>
  <c r="E13" i="16"/>
  <c r="C18" i="16"/>
  <c r="C19" i="16"/>
  <c r="C21" i="16"/>
  <c r="C22" i="16"/>
  <c r="C20" i="16"/>
  <c r="C14" i="16"/>
  <c r="C11" i="16" l="1"/>
  <c r="BA14" i="16"/>
  <c r="K14" i="16"/>
  <c r="CO14" i="16"/>
  <c r="CE14" i="16"/>
  <c r="AQ14" i="16"/>
  <c r="U14" i="16"/>
  <c r="CW14" i="16"/>
  <c r="BS14" i="16"/>
  <c r="BI14" i="16"/>
  <c r="AY14" i="16"/>
  <c r="AE14" i="16"/>
  <c r="CM14" i="16"/>
  <c r="CU14" i="16"/>
  <c r="BQ14" i="16"/>
  <c r="BG14" i="16"/>
  <c r="AC14" i="16"/>
  <c r="BY14" i="16"/>
  <c r="AU14" i="16"/>
  <c r="AK14" i="16"/>
  <c r="CQ14" i="16"/>
  <c r="CG14" i="16"/>
  <c r="BW14" i="16"/>
  <c r="AS14" i="16"/>
  <c r="AI14" i="16"/>
  <c r="BO14" i="16"/>
  <c r="M14" i="16"/>
  <c r="AW14" i="16"/>
  <c r="BU14" i="16"/>
  <c r="BM14" i="16"/>
  <c r="BE14" i="16"/>
  <c r="CA14" i="16"/>
  <c r="S14" i="16"/>
  <c r="I14" i="16"/>
  <c r="CY14" i="16"/>
  <c r="CI14" i="16"/>
  <c r="O14" i="16"/>
  <c r="AO14" i="16"/>
  <c r="CK14" i="16"/>
  <c r="CC14" i="16"/>
  <c r="BK14" i="16"/>
  <c r="AA14" i="16"/>
  <c r="Y14" i="16"/>
  <c r="AM14" i="16"/>
  <c r="W14" i="16"/>
  <c r="BC14" i="16"/>
  <c r="Q14" i="16"/>
  <c r="AG14" i="16"/>
  <c r="CS14" i="16"/>
  <c r="E14" i="16"/>
  <c r="S11" i="16"/>
  <c r="BQ11" i="16"/>
  <c r="AQ11" i="16"/>
  <c r="AA11" i="16"/>
  <c r="AY11" i="16"/>
  <c r="AI11" i="16"/>
  <c r="CM11" i="16"/>
  <c r="K11" i="16"/>
  <c r="BK11" i="16"/>
  <c r="CA11" i="16"/>
  <c r="O11" i="16"/>
  <c r="CE11" i="16"/>
  <c r="BG11" i="16"/>
  <c r="Y11" i="16"/>
  <c r="W11" i="16"/>
  <c r="CO11" i="16"/>
  <c r="AO11" i="16"/>
  <c r="CS11" i="16"/>
  <c r="BS11" i="16"/>
  <c r="I11" i="16"/>
  <c r="BC11" i="16"/>
  <c r="AW11" i="16"/>
  <c r="BA11" i="16"/>
  <c r="CI11" i="16"/>
  <c r="U11" i="16"/>
  <c r="BW11" i="16"/>
  <c r="BO11" i="16"/>
  <c r="CW11" i="16"/>
  <c r="AU11" i="16"/>
  <c r="CC11" i="16"/>
  <c r="AE11" i="16"/>
  <c r="BI11" i="16"/>
  <c r="CU11" i="16"/>
  <c r="AK11" i="16"/>
  <c r="M11" i="16"/>
  <c r="CQ11" i="16"/>
  <c r="Q11" i="16"/>
  <c r="BE11" i="16"/>
  <c r="BU11" i="16"/>
  <c r="AS11" i="16"/>
  <c r="BY11" i="16"/>
  <c r="AM11" i="16"/>
  <c r="AC11" i="16"/>
  <c r="CG11" i="16"/>
  <c r="AG11" i="16"/>
  <c r="CK11" i="16"/>
  <c r="BM11" i="16"/>
  <c r="CY11" i="16"/>
  <c r="E11" i="16"/>
  <c r="CE20" i="16"/>
  <c r="K20" i="16"/>
  <c r="BO20" i="16"/>
  <c r="AY20" i="16"/>
  <c r="S20" i="16"/>
  <c r="BW20" i="16"/>
  <c r="Q20" i="16"/>
  <c r="CY20" i="16"/>
  <c r="CW20" i="16"/>
  <c r="BK20" i="16"/>
  <c r="AI20" i="16"/>
  <c r="AK20" i="16"/>
  <c r="Y20" i="16"/>
  <c r="CK20" i="16"/>
  <c r="BM20" i="16"/>
  <c r="CA20" i="16"/>
  <c r="W20" i="16"/>
  <c r="AO20" i="16"/>
  <c r="M20" i="16"/>
  <c r="O20" i="16"/>
  <c r="BY20" i="16"/>
  <c r="CO20" i="16"/>
  <c r="AM20" i="16"/>
  <c r="BC20" i="16"/>
  <c r="AA20" i="16"/>
  <c r="AC20" i="16"/>
  <c r="CM20" i="16"/>
  <c r="BA20" i="16"/>
  <c r="BQ20" i="16"/>
  <c r="AQ20" i="16"/>
  <c r="BI20" i="16"/>
  <c r="AS20" i="16"/>
  <c r="CC20" i="16"/>
  <c r="CS20" i="16"/>
  <c r="BE20" i="16"/>
  <c r="AE20" i="16"/>
  <c r="BG20" i="16"/>
  <c r="CQ20" i="16"/>
  <c r="BS20" i="16"/>
  <c r="CG20" i="16"/>
  <c r="U20" i="16"/>
  <c r="AU20" i="16"/>
  <c r="BU20" i="16"/>
  <c r="AG20" i="16"/>
  <c r="I20" i="16"/>
  <c r="CU20" i="16"/>
  <c r="CI20" i="16"/>
  <c r="AW20" i="16"/>
  <c r="E20" i="16"/>
  <c r="S18" i="16"/>
  <c r="BW18" i="16"/>
  <c r="Q18" i="16"/>
  <c r="CE18" i="16"/>
  <c r="AY18" i="16"/>
  <c r="I18" i="16"/>
  <c r="BO18" i="16"/>
  <c r="BS18" i="16"/>
  <c r="CG18" i="16"/>
  <c r="AU18" i="16"/>
  <c r="BK18" i="16"/>
  <c r="AI18" i="16"/>
  <c r="U18" i="16"/>
  <c r="CU18" i="16"/>
  <c r="CW18" i="16"/>
  <c r="BI18" i="16"/>
  <c r="CK18" i="16"/>
  <c r="BM18" i="16"/>
  <c r="CQ18" i="16"/>
  <c r="AK18" i="16"/>
  <c r="M18" i="16"/>
  <c r="CI18" i="16"/>
  <c r="BY18" i="16"/>
  <c r="BU18" i="16"/>
  <c r="CA18" i="16"/>
  <c r="Y18" i="16"/>
  <c r="CY18" i="16"/>
  <c r="CM18" i="16"/>
  <c r="BA18" i="16"/>
  <c r="AE18" i="16"/>
  <c r="AW18" i="16"/>
  <c r="CC18" i="16"/>
  <c r="W18" i="16"/>
  <c r="CO18" i="16"/>
  <c r="AO18" i="16"/>
  <c r="O18" i="16"/>
  <c r="AC18" i="16"/>
  <c r="BE18" i="16"/>
  <c r="AM18" i="16"/>
  <c r="BC18" i="16"/>
  <c r="AA18" i="16"/>
  <c r="AS18" i="16"/>
  <c r="CS18" i="16"/>
  <c r="K18" i="16"/>
  <c r="BQ18" i="16"/>
  <c r="AQ18" i="16"/>
  <c r="BG18" i="16"/>
  <c r="AG18" i="16"/>
  <c r="E18" i="16"/>
  <c r="BW22" i="16"/>
  <c r="S22" i="16"/>
  <c r="CU22" i="16"/>
  <c r="CE22" i="16"/>
  <c r="BO22" i="16"/>
  <c r="K22" i="16"/>
  <c r="AI22" i="16"/>
  <c r="AY22" i="16"/>
  <c r="CA22" i="16"/>
  <c r="BY22" i="16"/>
  <c r="Y22" i="16"/>
  <c r="O22" i="16"/>
  <c r="CG22" i="16"/>
  <c r="CY22" i="16"/>
  <c r="CK22" i="16"/>
  <c r="AK22" i="16"/>
  <c r="W22" i="16"/>
  <c r="CM22" i="16"/>
  <c r="AM22" i="16"/>
  <c r="M22" i="16"/>
  <c r="AC22" i="16"/>
  <c r="CW22" i="16"/>
  <c r="BA22" i="16"/>
  <c r="AA22" i="16"/>
  <c r="AQ22" i="16"/>
  <c r="CO22" i="16"/>
  <c r="CC22" i="16"/>
  <c r="AO22" i="16"/>
  <c r="BE22" i="16"/>
  <c r="Q22" i="16"/>
  <c r="AG22" i="16"/>
  <c r="CQ22" i="16"/>
  <c r="BC22" i="16"/>
  <c r="BS22" i="16"/>
  <c r="AE22" i="16"/>
  <c r="AU22" i="16"/>
  <c r="I22" i="16"/>
  <c r="BQ22" i="16"/>
  <c r="AS22" i="16"/>
  <c r="BI22" i="16"/>
  <c r="AW22" i="16"/>
  <c r="BU22" i="16"/>
  <c r="U22" i="16"/>
  <c r="CS22" i="16"/>
  <c r="BG22" i="16"/>
  <c r="CI22" i="16"/>
  <c r="BK22" i="16"/>
  <c r="BM22" i="16"/>
  <c r="E22" i="16"/>
  <c r="AQ21" i="16"/>
  <c r="CU21" i="16"/>
  <c r="CE21" i="16"/>
  <c r="AY21" i="16"/>
  <c r="S21" i="16"/>
  <c r="AI21" i="16"/>
  <c r="CS21" i="16"/>
  <c r="BC21" i="16"/>
  <c r="BU21" i="16"/>
  <c r="AS21" i="16"/>
  <c r="AW21" i="16"/>
  <c r="BO21" i="16"/>
  <c r="BK21" i="16"/>
  <c r="U21" i="16"/>
  <c r="AU21" i="16"/>
  <c r="BS21" i="16"/>
  <c r="CI21" i="16"/>
  <c r="BG21" i="16"/>
  <c r="CO21" i="16"/>
  <c r="AC21" i="16"/>
  <c r="CA21" i="16"/>
  <c r="BI21" i="16"/>
  <c r="I21" i="16"/>
  <c r="CG21" i="16"/>
  <c r="CW21" i="16"/>
  <c r="BW21" i="16"/>
  <c r="BY21" i="16"/>
  <c r="W21" i="16"/>
  <c r="M21" i="16"/>
  <c r="CK21" i="16"/>
  <c r="CM21" i="16"/>
  <c r="AK21" i="16"/>
  <c r="K21" i="16"/>
  <c r="AA21" i="16"/>
  <c r="CY21" i="16"/>
  <c r="BM21" i="16"/>
  <c r="Y21" i="16"/>
  <c r="AO21" i="16"/>
  <c r="Q21" i="16"/>
  <c r="CQ21" i="16"/>
  <c r="BE21" i="16"/>
  <c r="CC21" i="16"/>
  <c r="AM21" i="16"/>
  <c r="BA21" i="16"/>
  <c r="O21" i="16"/>
  <c r="AE21" i="16"/>
  <c r="BQ21" i="16"/>
  <c r="AG21" i="16"/>
  <c r="E21" i="16"/>
  <c r="AY19" i="16"/>
  <c r="AI19" i="16"/>
  <c r="S19" i="16"/>
  <c r="AQ19" i="16"/>
  <c r="CE19" i="16"/>
  <c r="CU19" i="16"/>
  <c r="BS19" i="16"/>
  <c r="BA19" i="16"/>
  <c r="Q19" i="16"/>
  <c r="CO19" i="16"/>
  <c r="CS19" i="16"/>
  <c r="CA19" i="16"/>
  <c r="CQ19" i="16"/>
  <c r="AC19" i="16"/>
  <c r="BQ19" i="16"/>
  <c r="AE19" i="16"/>
  <c r="BE19" i="16"/>
  <c r="AG19" i="16"/>
  <c r="AU19" i="16"/>
  <c r="I19" i="16"/>
  <c r="O19" i="16"/>
  <c r="BU19" i="16"/>
  <c r="AS19" i="16"/>
  <c r="BI19" i="16"/>
  <c r="W19" i="16"/>
  <c r="CY19" i="16"/>
  <c r="BO19" i="16"/>
  <c r="CI19" i="16"/>
  <c r="BG19" i="16"/>
  <c r="BY19" i="16"/>
  <c r="U19" i="16"/>
  <c r="AK19" i="16"/>
  <c r="K19" i="16"/>
  <c r="M19" i="16"/>
  <c r="CW19" i="16"/>
  <c r="BW19" i="16"/>
  <c r="CM19" i="16"/>
  <c r="AW19" i="16"/>
  <c r="BM19" i="16"/>
  <c r="Y19" i="16"/>
  <c r="BC19" i="16"/>
  <c r="CG19" i="16"/>
  <c r="AA19" i="16"/>
  <c r="CK19" i="16"/>
  <c r="BK19" i="16"/>
  <c r="CC19" i="16"/>
  <c r="AM19" i="16"/>
  <c r="AO19" i="16"/>
  <c r="E19" i="16"/>
  <c r="C17" i="16"/>
  <c r="CO17" i="16" l="1"/>
  <c r="CE17" i="16"/>
  <c r="AQ17" i="16"/>
  <c r="BS17" i="16"/>
  <c r="BI17" i="16"/>
  <c r="AY17" i="16"/>
  <c r="AE17" i="16"/>
  <c r="U17" i="16"/>
  <c r="K17" i="16"/>
  <c r="CM17" i="16"/>
  <c r="CU17" i="16"/>
  <c r="BQ17" i="16"/>
  <c r="BG17" i="16"/>
  <c r="AC17" i="16"/>
  <c r="S17" i="16"/>
  <c r="BY17" i="16"/>
  <c r="AU17" i="16"/>
  <c r="AK17" i="16"/>
  <c r="BO17" i="16"/>
  <c r="AA17" i="16"/>
  <c r="BA17" i="16"/>
  <c r="M17" i="16"/>
  <c r="AI17" i="16"/>
  <c r="BW17" i="16"/>
  <c r="AS17" i="16"/>
  <c r="CG17" i="16"/>
  <c r="CQ17" i="16"/>
  <c r="BM17" i="16"/>
  <c r="CI17" i="16"/>
  <c r="I17" i="16"/>
  <c r="CS17" i="16"/>
  <c r="AM17" i="16"/>
  <c r="BC17" i="16"/>
  <c r="AW17" i="16"/>
  <c r="CK17" i="16"/>
  <c r="CA17" i="16"/>
  <c r="AO17" i="16"/>
  <c r="W17" i="16"/>
  <c r="BU17" i="16"/>
  <c r="CC17" i="16"/>
  <c r="CY17" i="16"/>
  <c r="AG17" i="16"/>
  <c r="Y17" i="16"/>
  <c r="O17" i="16"/>
  <c r="Q17" i="16"/>
  <c r="CW17" i="16"/>
  <c r="BK17" i="16"/>
  <c r="BE17" i="16"/>
  <c r="E17" i="16"/>
  <c r="C15" i="16" l="1"/>
  <c r="CU15" i="16" l="1"/>
  <c r="BG15" i="16"/>
  <c r="BY15" i="16"/>
  <c r="BO15" i="16"/>
  <c r="AK15" i="16"/>
  <c r="AA15" i="16"/>
  <c r="CG15" i="16"/>
  <c r="AS15" i="16"/>
  <c r="O15" i="16"/>
  <c r="BW15" i="16"/>
  <c r="AI15" i="16"/>
  <c r="CY15" i="16"/>
  <c r="CO15" i="16"/>
  <c r="CE15" i="16"/>
  <c r="BK15" i="16"/>
  <c r="BA15" i="16"/>
  <c r="AQ15" i="16"/>
  <c r="M15" i="16"/>
  <c r="U15" i="16"/>
  <c r="CA15" i="16"/>
  <c r="BQ15" i="16"/>
  <c r="AM15" i="16"/>
  <c r="AC15" i="16"/>
  <c r="S15" i="16"/>
  <c r="CW15" i="16"/>
  <c r="CM15" i="16"/>
  <c r="K15" i="16"/>
  <c r="AY15" i="16"/>
  <c r="BI15" i="16"/>
  <c r="AE15" i="16"/>
  <c r="I15" i="16"/>
  <c r="W15" i="16"/>
  <c r="BE15" i="16"/>
  <c r="Q15" i="16"/>
  <c r="AW15" i="16"/>
  <c r="CC15" i="16"/>
  <c r="AO15" i="16"/>
  <c r="CS15" i="16"/>
  <c r="AU15" i="16"/>
  <c r="CK15" i="16"/>
  <c r="AG15" i="16"/>
  <c r="Y15" i="16"/>
  <c r="CI15" i="16"/>
  <c r="BU15" i="16"/>
  <c r="BC15" i="16"/>
  <c r="BS15" i="16"/>
  <c r="BM15" i="16"/>
  <c r="CQ15" i="16"/>
  <c r="E15" i="16"/>
  <c r="C9" i="16" l="1"/>
  <c r="CK9" i="16" l="1"/>
  <c r="BU9" i="16"/>
  <c r="BE9" i="16"/>
  <c r="AO9" i="16"/>
  <c r="Y9" i="16"/>
  <c r="I9" i="16"/>
  <c r="U9" i="16"/>
  <c r="S9" i="16"/>
  <c r="AW9" i="16"/>
  <c r="O9" i="16"/>
  <c r="CM9" i="16"/>
  <c r="K9" i="16"/>
  <c r="CY9" i="16"/>
  <c r="CI9" i="16"/>
  <c r="BS9" i="16"/>
  <c r="BC9" i="16"/>
  <c r="AM9" i="16"/>
  <c r="W9" i="16"/>
  <c r="BA9" i="16"/>
  <c r="CC9" i="16"/>
  <c r="BI9" i="16"/>
  <c r="BW9" i="16"/>
  <c r="CW9" i="16"/>
  <c r="CG9" i="16"/>
  <c r="BQ9" i="16"/>
  <c r="AK9" i="16"/>
  <c r="CS9" i="16"/>
  <c r="Q9" i="16"/>
  <c r="AS9" i="16"/>
  <c r="CU9" i="16"/>
  <c r="CE9" i="16"/>
  <c r="BO9" i="16"/>
  <c r="AY9" i="16"/>
  <c r="AI9" i="16"/>
  <c r="BM9" i="16"/>
  <c r="AG9" i="16"/>
  <c r="AE9" i="16"/>
  <c r="M9" i="16"/>
  <c r="AQ9" i="16"/>
  <c r="CQ9" i="16"/>
  <c r="CA9" i="16"/>
  <c r="BK9" i="16"/>
  <c r="AU9" i="16"/>
  <c r="AC9" i="16"/>
  <c r="BG9" i="16"/>
  <c r="CO9" i="16"/>
  <c r="BY9" i="16"/>
  <c r="AA9" i="16"/>
  <c r="E9" i="16"/>
  <c r="C9" i="13" l="1"/>
  <c r="D9" i="13"/>
  <c r="E9" i="13"/>
  <c r="F9" i="13"/>
  <c r="C10" i="13"/>
  <c r="D10" i="13"/>
  <c r="E10" i="13"/>
  <c r="F10" i="13"/>
  <c r="C11" i="13"/>
  <c r="D11" i="13"/>
  <c r="E11" i="13"/>
  <c r="F11" i="13"/>
  <c r="C12" i="13"/>
  <c r="D12" i="13"/>
  <c r="E12" i="13"/>
  <c r="F12" i="13"/>
  <c r="C13" i="13"/>
  <c r="D13" i="13"/>
  <c r="E13" i="13"/>
  <c r="F13" i="13"/>
  <c r="C14" i="13"/>
  <c r="D14" i="13"/>
  <c r="E14" i="13"/>
  <c r="F14" i="13"/>
  <c r="C15" i="13"/>
  <c r="D15" i="13"/>
  <c r="E15" i="13"/>
  <c r="F15" i="13"/>
  <c r="C16" i="13"/>
  <c r="D16" i="13"/>
  <c r="E16" i="13"/>
  <c r="F16" i="13"/>
  <c r="C17" i="13"/>
  <c r="D17" i="13"/>
  <c r="E17" i="13"/>
  <c r="F17" i="13"/>
  <c r="C18" i="13"/>
  <c r="D18" i="13"/>
  <c r="E18" i="13"/>
  <c r="F18" i="13"/>
  <c r="C19" i="13"/>
  <c r="D19" i="13"/>
  <c r="E19" i="13"/>
  <c r="F19" i="13"/>
  <c r="C20" i="13"/>
  <c r="D20" i="13"/>
  <c r="E20" i="13"/>
  <c r="F20" i="13"/>
  <c r="C21" i="13"/>
  <c r="D21" i="13"/>
  <c r="E21" i="13"/>
  <c r="F21" i="13"/>
  <c r="C22" i="13"/>
  <c r="D22" i="13"/>
  <c r="E22" i="13"/>
  <c r="F22" i="13"/>
  <c r="C23" i="13"/>
  <c r="D23" i="13"/>
  <c r="E23" i="13"/>
  <c r="F23" i="13"/>
  <c r="C24" i="13"/>
  <c r="D24" i="13"/>
  <c r="E24" i="13"/>
  <c r="F24" i="13"/>
  <c r="C25" i="13"/>
  <c r="D25" i="13"/>
  <c r="E25" i="13"/>
  <c r="F25" i="13"/>
  <c r="C26" i="13"/>
  <c r="D26" i="13"/>
  <c r="E26" i="13"/>
  <c r="F26" i="13"/>
  <c r="C27" i="13"/>
  <c r="D27" i="13"/>
  <c r="E27" i="13"/>
  <c r="F27" i="13"/>
  <c r="C28" i="13"/>
  <c r="D28" i="13"/>
  <c r="E28" i="13"/>
  <c r="F28" i="13"/>
  <c r="C29" i="13"/>
  <c r="D29" i="13"/>
  <c r="E29" i="13"/>
  <c r="F29" i="13"/>
  <c r="C30" i="13"/>
  <c r="D30" i="13"/>
  <c r="E30" i="13"/>
  <c r="F30" i="13"/>
  <c r="C31" i="13"/>
  <c r="D31" i="13"/>
  <c r="E31" i="13"/>
  <c r="F31" i="13"/>
  <c r="C32" i="13"/>
  <c r="D32" i="13"/>
  <c r="E32" i="13"/>
  <c r="F32" i="13"/>
  <c r="C33" i="13"/>
  <c r="D33" i="13"/>
  <c r="E33" i="13"/>
  <c r="F33" i="13"/>
  <c r="C34" i="13"/>
  <c r="D34" i="13"/>
  <c r="E34" i="13"/>
  <c r="F34" i="13"/>
  <c r="C35" i="13"/>
  <c r="D35" i="13"/>
  <c r="E35" i="13"/>
  <c r="F35" i="13"/>
  <c r="C36" i="13"/>
  <c r="D36" i="13"/>
  <c r="E36" i="13"/>
  <c r="F36" i="13"/>
  <c r="C37" i="13"/>
  <c r="D37" i="13"/>
  <c r="E37" i="13"/>
  <c r="F37" i="13"/>
  <c r="C38" i="13"/>
  <c r="D38" i="13"/>
  <c r="E38" i="13"/>
  <c r="F38" i="13"/>
  <c r="C39" i="13"/>
  <c r="D39" i="13"/>
  <c r="E39" i="13"/>
  <c r="F39" i="13"/>
  <c r="C40" i="13"/>
  <c r="D40" i="13"/>
  <c r="E40" i="13"/>
  <c r="F40" i="13"/>
  <c r="C41" i="13"/>
  <c r="D41" i="13"/>
  <c r="E41" i="13"/>
  <c r="F41" i="13"/>
  <c r="C42" i="13"/>
  <c r="D42" i="13"/>
  <c r="E42" i="13"/>
  <c r="F42" i="13"/>
  <c r="C43" i="13"/>
  <c r="D43" i="13"/>
  <c r="E43" i="13"/>
  <c r="F43" i="13"/>
  <c r="C44" i="13"/>
  <c r="D44" i="13"/>
  <c r="E44" i="13"/>
  <c r="F44" i="13"/>
  <c r="C45" i="13"/>
  <c r="D45" i="13"/>
  <c r="E45" i="13"/>
  <c r="F45" i="13"/>
  <c r="C46" i="13"/>
  <c r="D46" i="13"/>
  <c r="E46" i="13"/>
  <c r="F46" i="13"/>
  <c r="C47" i="13"/>
  <c r="D47" i="13"/>
  <c r="E47" i="13"/>
  <c r="F47" i="13"/>
  <c r="C48" i="13"/>
  <c r="D48" i="13"/>
  <c r="E48" i="13"/>
  <c r="F48" i="13"/>
  <c r="C49" i="13"/>
  <c r="D49" i="13"/>
  <c r="E49" i="13"/>
  <c r="F49" i="13"/>
  <c r="C50" i="13"/>
  <c r="D50" i="13"/>
  <c r="E50" i="13"/>
  <c r="F50" i="13"/>
  <c r="C51" i="13"/>
  <c r="D51" i="13"/>
  <c r="E51" i="13"/>
  <c r="F51" i="13"/>
  <c r="C52" i="13"/>
  <c r="D52" i="13"/>
  <c r="E52" i="13"/>
  <c r="F52" i="13"/>
  <c r="C53" i="13"/>
  <c r="D53" i="13"/>
  <c r="E53" i="13"/>
  <c r="F53" i="13"/>
  <c r="C54" i="13"/>
  <c r="D54" i="13"/>
  <c r="E54" i="13"/>
  <c r="F54" i="13"/>
  <c r="C55" i="13"/>
  <c r="D55" i="13"/>
  <c r="E55" i="13"/>
  <c r="F55" i="13"/>
  <c r="C56" i="13"/>
  <c r="D56" i="13"/>
  <c r="E56" i="13"/>
  <c r="F56" i="13"/>
  <c r="F57" i="13"/>
  <c r="D9" i="16"/>
  <c r="D10" i="16"/>
  <c r="D11" i="16"/>
  <c r="D12" i="16"/>
  <c r="D13" i="16"/>
  <c r="D14" i="16"/>
  <c r="D15" i="16"/>
  <c r="C16" i="16"/>
  <c r="D16" i="16"/>
  <c r="E16" i="16"/>
  <c r="I16" i="16"/>
  <c r="K16" i="16"/>
  <c r="M16" i="16"/>
  <c r="O16" i="16"/>
  <c r="Q16" i="16"/>
  <c r="S16" i="16"/>
  <c r="U16" i="16"/>
  <c r="W16" i="16"/>
  <c r="Y16" i="16"/>
  <c r="AA16" i="16"/>
  <c r="AC16" i="16"/>
  <c r="AE16" i="16"/>
  <c r="AG16" i="16"/>
  <c r="AI16" i="16"/>
  <c r="AK16" i="16"/>
  <c r="AM16" i="16"/>
  <c r="AO16" i="16"/>
  <c r="AQ16" i="16"/>
  <c r="AS16" i="16"/>
  <c r="AU16" i="16"/>
  <c r="AW16" i="16"/>
  <c r="AY16" i="16"/>
  <c r="BA16" i="16"/>
  <c r="BC16" i="16"/>
  <c r="BE16" i="16"/>
  <c r="BG16" i="16"/>
  <c r="BI16" i="16"/>
  <c r="BK16" i="16"/>
  <c r="BM16" i="16"/>
  <c r="BO16" i="16"/>
  <c r="BQ16" i="16"/>
  <c r="BS16" i="16"/>
  <c r="BU16" i="16"/>
  <c r="BW16" i="16"/>
  <c r="BY16" i="16"/>
  <c r="CA16" i="16"/>
  <c r="CC16" i="16"/>
  <c r="CE16" i="16"/>
  <c r="CG16" i="16"/>
  <c r="CI16" i="16"/>
  <c r="CK16" i="16"/>
  <c r="CM16" i="16"/>
  <c r="CO16" i="16"/>
  <c r="CQ16" i="16"/>
  <c r="CS16" i="16"/>
  <c r="CU16" i="16"/>
  <c r="CW16" i="16"/>
  <c r="CY16" i="16"/>
  <c r="D17" i="16"/>
  <c r="D18" i="16"/>
  <c r="D19" i="16"/>
  <c r="D20" i="16"/>
  <c r="D21" i="16"/>
  <c r="D22" i="16"/>
  <c r="D23" i="16"/>
  <c r="C24" i="16"/>
  <c r="D24" i="16"/>
  <c r="E24" i="16"/>
  <c r="I24" i="16"/>
  <c r="K24" i="16"/>
  <c r="M24" i="16"/>
  <c r="O24" i="16"/>
  <c r="Q24" i="16"/>
  <c r="S24" i="16"/>
  <c r="U24" i="16"/>
  <c r="W24" i="16"/>
  <c r="Y24" i="16"/>
  <c r="AA24" i="16"/>
  <c r="AC24" i="16"/>
  <c r="AE24" i="16"/>
  <c r="AG24" i="16"/>
  <c r="AI24" i="16"/>
  <c r="AK24" i="16"/>
  <c r="AM24" i="16"/>
  <c r="AO24" i="16"/>
  <c r="AQ24" i="16"/>
  <c r="AS24" i="16"/>
  <c r="AU24" i="16"/>
  <c r="AW24" i="16"/>
  <c r="AY24" i="16"/>
  <c r="BA24" i="16"/>
  <c r="BC24" i="16"/>
  <c r="BE24" i="16"/>
  <c r="BG24" i="16"/>
  <c r="BI24" i="16"/>
  <c r="BK24" i="16"/>
  <c r="BM24" i="16"/>
  <c r="BO24" i="16"/>
  <c r="BQ24" i="16"/>
  <c r="BS24" i="16"/>
  <c r="BU24" i="16"/>
  <c r="BW24" i="16"/>
  <c r="BY24" i="16"/>
  <c r="CA24" i="16"/>
  <c r="CC24" i="16"/>
  <c r="CE24" i="16"/>
  <c r="CG24" i="16"/>
  <c r="CI24" i="16"/>
  <c r="CK24" i="16"/>
  <c r="CM24" i="16"/>
  <c r="CO24" i="16"/>
  <c r="CQ24" i="16"/>
  <c r="CS24" i="16"/>
  <c r="CU24" i="16"/>
  <c r="CW24" i="16"/>
  <c r="CY24" i="16"/>
  <c r="D25" i="16"/>
  <c r="C26" i="16"/>
  <c r="D26" i="16"/>
  <c r="E26" i="16"/>
  <c r="I26" i="16"/>
  <c r="K26" i="16"/>
  <c r="M26" i="16"/>
  <c r="O26" i="16"/>
  <c r="Q26" i="16"/>
  <c r="S26" i="16"/>
  <c r="U26" i="16"/>
  <c r="W26" i="16"/>
  <c r="Y26" i="16"/>
  <c r="AA26" i="16"/>
  <c r="AC26" i="16"/>
  <c r="AE26" i="16"/>
  <c r="AG26" i="16"/>
  <c r="AI26" i="16"/>
  <c r="AK26" i="16"/>
  <c r="AM26" i="16"/>
  <c r="AO26" i="16"/>
  <c r="AQ26" i="16"/>
  <c r="AS26" i="16"/>
  <c r="AU26" i="16"/>
  <c r="AW26" i="16"/>
  <c r="AY26" i="16"/>
  <c r="BA26" i="16"/>
  <c r="BC26" i="16"/>
  <c r="BE26" i="16"/>
  <c r="BG26" i="16"/>
  <c r="BI26" i="16"/>
  <c r="BK26" i="16"/>
  <c r="BM26" i="16"/>
  <c r="BO26" i="16"/>
  <c r="BQ26" i="16"/>
  <c r="BS26" i="16"/>
  <c r="BU26" i="16"/>
  <c r="BW26" i="16"/>
  <c r="BY26" i="16"/>
  <c r="CA26" i="16"/>
  <c r="CC26" i="16"/>
  <c r="CE26" i="16"/>
  <c r="CG26" i="16"/>
  <c r="CI26" i="16"/>
  <c r="CK26" i="16"/>
  <c r="CM26" i="16"/>
  <c r="CO26" i="16"/>
  <c r="CQ26" i="16"/>
  <c r="CS26" i="16"/>
  <c r="CU26" i="16"/>
  <c r="CW26" i="16"/>
  <c r="CY26" i="16"/>
  <c r="C27" i="16"/>
  <c r="D27" i="16"/>
  <c r="E27" i="16"/>
  <c r="I27" i="16"/>
  <c r="K27" i="16"/>
  <c r="M27" i="16"/>
  <c r="O27" i="16"/>
  <c r="Q27" i="16"/>
  <c r="S27" i="16"/>
  <c r="U27" i="16"/>
  <c r="W27" i="16"/>
  <c r="Y27" i="16"/>
  <c r="AA27" i="16"/>
  <c r="AC27" i="16"/>
  <c r="AE27" i="16"/>
  <c r="AG27" i="16"/>
  <c r="AI27" i="16"/>
  <c r="AK27" i="16"/>
  <c r="AM27" i="16"/>
  <c r="AO27" i="16"/>
  <c r="AQ27" i="16"/>
  <c r="AS27" i="16"/>
  <c r="AU27" i="16"/>
  <c r="AW27" i="16"/>
  <c r="AY27" i="16"/>
  <c r="BA27" i="16"/>
  <c r="BC27" i="16"/>
  <c r="BE27" i="16"/>
  <c r="BG27" i="16"/>
  <c r="BI27" i="16"/>
  <c r="BK27" i="16"/>
  <c r="BM27" i="16"/>
  <c r="BO27" i="16"/>
  <c r="BQ27" i="16"/>
  <c r="BS27" i="16"/>
  <c r="BU27" i="16"/>
  <c r="BW27" i="16"/>
  <c r="BY27" i="16"/>
  <c r="CA27" i="16"/>
  <c r="CC27" i="16"/>
  <c r="CE27" i="16"/>
  <c r="CG27" i="16"/>
  <c r="CI27" i="16"/>
  <c r="CK27" i="16"/>
  <c r="CM27" i="16"/>
  <c r="CO27" i="16"/>
  <c r="CQ27" i="16"/>
  <c r="CS27" i="16"/>
  <c r="CU27" i="16"/>
  <c r="CW27" i="16"/>
  <c r="CY27" i="16"/>
  <c r="C28" i="16"/>
  <c r="D28" i="16"/>
  <c r="E28" i="16"/>
  <c r="I28" i="16"/>
  <c r="K28" i="16"/>
  <c r="M28" i="16"/>
  <c r="O28" i="16"/>
  <c r="Q28" i="16"/>
  <c r="S28" i="16"/>
  <c r="U28" i="16"/>
  <c r="W28" i="16"/>
  <c r="Y28" i="16"/>
  <c r="AA28" i="16"/>
  <c r="AC28" i="16"/>
  <c r="AE28" i="16"/>
  <c r="AG28" i="16"/>
  <c r="AI28" i="16"/>
  <c r="AK28" i="16"/>
  <c r="AM28" i="16"/>
  <c r="AO28" i="16"/>
  <c r="AQ28" i="16"/>
  <c r="AS28" i="16"/>
  <c r="AU28" i="16"/>
  <c r="AW28" i="16"/>
  <c r="AY28" i="16"/>
  <c r="BA28" i="16"/>
  <c r="BC28" i="16"/>
  <c r="BE28" i="16"/>
  <c r="BG28" i="16"/>
  <c r="BI28" i="16"/>
  <c r="BK28" i="16"/>
  <c r="BM28" i="16"/>
  <c r="BO28" i="16"/>
  <c r="BQ28" i="16"/>
  <c r="BS28" i="16"/>
  <c r="BU28" i="16"/>
  <c r="BW28" i="16"/>
  <c r="BY28" i="16"/>
  <c r="CA28" i="16"/>
  <c r="CC28" i="16"/>
  <c r="CE28" i="16"/>
  <c r="CG28" i="16"/>
  <c r="CI28" i="16"/>
  <c r="CK28" i="16"/>
  <c r="CM28" i="16"/>
  <c r="CO28" i="16"/>
  <c r="CQ28" i="16"/>
  <c r="CS28" i="16"/>
  <c r="CU28" i="16"/>
  <c r="CW28" i="16"/>
  <c r="CY28" i="16"/>
  <c r="E29" i="16"/>
  <c r="I29" i="16"/>
  <c r="K29" i="16"/>
  <c r="M29" i="16"/>
  <c r="O29" i="16"/>
  <c r="Q29" i="16"/>
  <c r="S29" i="16"/>
  <c r="U29" i="16"/>
  <c r="W29" i="16"/>
  <c r="Y29" i="16"/>
  <c r="AA29" i="16"/>
  <c r="AC29" i="16"/>
  <c r="AE29" i="16"/>
  <c r="AG29" i="16"/>
  <c r="AI29" i="16"/>
  <c r="AK29" i="16"/>
  <c r="AM29" i="16"/>
  <c r="AO29" i="16"/>
  <c r="AQ29" i="16"/>
  <c r="AS29" i="16"/>
  <c r="AU29" i="16"/>
  <c r="AW29" i="16"/>
  <c r="AY29" i="16"/>
  <c r="BA29" i="16"/>
  <c r="BC29" i="16"/>
  <c r="BE29" i="16"/>
  <c r="BG29" i="16"/>
  <c r="BI29" i="16"/>
  <c r="BK29" i="16"/>
  <c r="BM29" i="16"/>
  <c r="BO29" i="16"/>
  <c r="BQ29" i="16"/>
  <c r="BS29" i="16"/>
  <c r="BU29" i="16"/>
  <c r="BW29" i="16"/>
  <c r="BY29" i="16"/>
  <c r="CA29" i="16"/>
  <c r="CC29" i="16"/>
  <c r="CE29" i="16"/>
  <c r="CG29" i="16"/>
  <c r="CI29" i="16"/>
  <c r="CK29" i="16"/>
  <c r="CM29" i="16"/>
  <c r="CO29" i="16"/>
  <c r="CQ29" i="16"/>
  <c r="CS29" i="16"/>
  <c r="CU29" i="16"/>
  <c r="CW29" i="16"/>
  <c r="CY29" i="16"/>
  <c r="CZ29" i="16"/>
  <c r="DA29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<sst xmlns="http://schemas.openxmlformats.org/spreadsheetml/2006/main" count="325" uniqueCount="117">
  <si>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</si>
  <si>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</si>
  <si>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</si>
  <si>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</si>
  <si>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</si>
  <si>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</si>
  <si>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</si>
  <si>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</si>
  <si>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</si>
  <si>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</si>
  <si>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</si>
  <si>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</si>
  <si>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</si>
  <si>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</si>
  <si>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</si>
  <si>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</si>
  <si>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</si>
  <si>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</si>
  <si>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</si>
  <si>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</si>
  <si>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</si>
  <si>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</si>
  <si>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</si>
  <si>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</si>
  <si>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</si>
  <si>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</si>
  <si>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</si>
  <si>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</si>
  <si>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</si>
  <si>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</si>
  <si>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</si>
  <si>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</si>
  <si>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</si>
  <si>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</si>
  <si>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</si>
  <si>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</si>
  <si>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</si>
  <si>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</si>
  <si>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</si>
  <si>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</si>
  <si>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</si>
  <si>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</si>
  <si>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</si>
  <si>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</si>
  <si>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</si>
  <si>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</si>
  <si>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</si>
  <si>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</si>
  <si>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</si>
  <si>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</si>
  <si>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</si>
  <si>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</si>
  <si>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</si>
  <si>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</si>
  <si>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</si>
  <si>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</si>
  <si>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</si>
  <si>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</si>
  <si>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</si>
  <si>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</si>
  <si>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</si>
  <si>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</si>
  <si>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</si>
  <si>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</si>
  <si>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</si>
  <si>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</si>
  <si>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</si>
  <si>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</si>
  <si>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</si>
  <si>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</si>
  <si>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</si>
  <si>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</si>
  <si>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</si>
  <si>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</si>
  <si>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</si>
  <si>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</si>
  <si>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</si>
  <si>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</si>
  <si>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</si>
  <si>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</si>
  <si>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</si>
  <si>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</si>
  <si>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</si>
  <si>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EmpresaXXXX - ObraXXX</t>
  </si>
  <si>
    <t>SERVIÇOS</t>
  </si>
  <si>
    <t>% Distribuído</t>
  </si>
  <si>
    <t>CURVA S | % PARAMÉTRICO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</si>
  <si>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</si>
  <si>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</si>
  <si>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</si>
  <si>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</si>
  <si>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</si>
  <si>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</si>
  <si>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</si>
  <si>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</si>
  <si>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</si>
  <si>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</si>
  <si>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</si>
  <si>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</si>
  <si>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</si>
  <si>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</si>
  <si>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</si>
  <si>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</si>
  <si>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</si>
  <si>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</si>
  <si>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</si>
  <si>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</si>
  <si>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</si>
  <si>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</si>
  <si>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</si>
  <si>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</si>
  <si>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</si>
  <si>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</si>
  <si>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ENXOVAL</t>
  </si>
  <si>
    <t>TAXA ADMINISTRAÇÃO (11%)</t>
  </si>
  <si>
    <t>MARKETING (1%)</t>
  </si>
  <si>
    <t>GRUPO EIS - JURERE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</si>
</sst>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28"/>
      <color rgb="FFFF0000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1"/>
      <color rgb="FFFF0000"/>
      <name val="Poppins"/>
    </font>
    <font>
      <sz val="16"/>
      <name val="Calibri Light"/>
      <family val="2"/>
      <scheme val="maj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44" fontId="2" fillId="0" borderId="0" xfId="0" applyNumberFormat="1" applyFont="1"/>
    <xf numFmtId="10" fontId="2" fillId="0" borderId="0" xfId="2" applyNumberFormat="1" applyFont="1" applyFill="1"/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19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44" fontId="12" fillId="2" borderId="13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1" xfId="2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10" fontId="12" fillId="2" borderId="15" xfId="2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left" vertical="center"/>
    </xf>
    <xf numFmtId="10" fontId="11" fillId="5" borderId="10" xfId="0" applyNumberFormat="1" applyFont="1" applyFill="1" applyBorder="1" applyAlignment="1">
      <alignment horizontal="center" vertical="center"/>
    </xf>
    <xf numFmtId="10" fontId="11" fillId="5" borderId="12" xfId="2" applyNumberFormat="1" applyFont="1" applyFill="1" applyBorder="1" applyAlignment="1">
      <alignment horizontal="center" vertical="center"/>
    </xf>
    <xf numFmtId="44" fontId="11" fillId="5" borderId="10" xfId="0" applyNumberFormat="1" applyFont="1" applyFill="1" applyBorder="1" applyAlignment="1">
      <alignment horizontal="center" vertical="center"/>
    </xf>
    <xf numFmtId="10" fontId="11" fillId="5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13" fillId="0" borderId="28" xfId="0" applyFont="1" applyBorder="1" applyAlignment="1">
      <alignment vertical="center"/>
    </xf>
    <xf numFmtId="164" fontId="12" fillId="4" borderId="26" xfId="0" applyNumberFormat="1" applyFont="1" applyFill="1" applyBorder="1" applyAlignment="1">
      <alignment horizontal="center" vertical="center"/>
    </xf>
    <xf numFmtId="44" fontId="17" fillId="5" borderId="10" xfId="1" applyFont="1" applyFill="1" applyBorder="1" applyAlignment="1">
      <alignment horizontal="center" vertical="center"/>
    </xf>
    <xf numFmtId="44" fontId="17" fillId="0" borderId="10" xfId="1" applyFont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0" fontId="14" fillId="0" borderId="0" xfId="0" applyFont="1"/>
    <xf numFmtId="0" fontId="20" fillId="2" borderId="16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6" borderId="12" xfId="0" applyFont="1" applyFill="1" applyBorder="1" applyAlignment="1">
      <alignment horizontal="center" vertical="center"/>
    </xf>
    <xf numFmtId="0" fontId="22" fillId="0" borderId="0" xfId="0" applyFont="1"/>
    <xf numFmtId="0" fontId="23" fillId="0" borderId="27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164" fontId="12" fillId="4" borderId="29" xfId="0" applyNumberFormat="1" applyFont="1" applyFill="1" applyBorder="1" applyAlignment="1">
      <alignment horizontal="center" vertical="center"/>
    </xf>
    <xf numFmtId="164" fontId="12" fillId="4" borderId="30" xfId="0" applyNumberFormat="1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0" fontId="13" fillId="0" borderId="32" xfId="0" applyNumberFormat="1" applyFont="1" applyBorder="1" applyAlignment="1">
      <alignment horizontal="center" vertical="center"/>
    </xf>
    <xf numFmtId="9" fontId="11" fillId="5" borderId="35" xfId="2" applyFont="1" applyFill="1" applyBorder="1" applyAlignment="1">
      <alignment horizontal="center" vertical="center"/>
    </xf>
    <xf numFmtId="9" fontId="11" fillId="0" borderId="35" xfId="2" applyFont="1" applyBorder="1" applyAlignment="1">
      <alignment horizontal="center" vertical="center"/>
    </xf>
    <xf numFmtId="0" fontId="0" fillId="7" borderId="0" xfId="0" applyFill="1"/>
    <xf numFmtId="0" fontId="18" fillId="0" borderId="10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44" fontId="11" fillId="0" borderId="10" xfId="0" applyNumberFormat="1" applyFont="1" applyFill="1" applyBorder="1" applyAlignment="1">
      <alignment horizontal="center" vertical="center"/>
    </xf>
    <xf numFmtId="10" fontId="0" fillId="0" borderId="0" xfId="0" applyNumberFormat="1"/>
    <xf numFmtId="164" fontId="12" fillId="4" borderId="21" xfId="0" applyNumberFormat="1" applyFont="1" applyFill="1" applyBorder="1" applyAlignment="1">
      <alignment horizontal="center" vertical="center"/>
    </xf>
    <xf numFmtId="17" fontId="12" fillId="4" borderId="21" xfId="0" applyNumberFormat="1" applyFont="1" applyFill="1" applyBorder="1" applyAlignment="1">
      <alignment horizontal="center" vertical="center"/>
    </xf>
    <xf numFmtId="44" fontId="0" fillId="0" borderId="0" xfId="0" applyNumberFormat="1"/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12" fillId="4" borderId="2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164" fontId="12" fillId="4" borderId="27" xfId="0" applyNumberFormat="1" applyFont="1" applyFill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23" fillId="5" borderId="12" xfId="0" applyFont="1" applyFill="1" applyBorder="1" applyAlignment="1">
      <alignment horizontal="left" vertical="center"/>
    </xf>
    <xf numFmtId="44" fontId="23" fillId="5" borderId="10" xfId="1" applyFont="1" applyFill="1" applyBorder="1" applyAlignment="1">
      <alignment horizontal="center" vertical="center"/>
    </xf>
    <xf numFmtId="10" fontId="23" fillId="5" borderId="10" xfId="0" applyNumberFormat="1" applyFont="1" applyFill="1" applyBorder="1" applyAlignment="1">
      <alignment horizontal="center" vertical="center"/>
    </xf>
    <xf numFmtId="44" fontId="23" fillId="5" borderId="13" xfId="1" applyFont="1" applyFill="1" applyBorder="1" applyAlignment="1">
      <alignment horizontal="center" vertical="center"/>
    </xf>
    <xf numFmtId="9" fontId="23" fillId="5" borderId="35" xfId="2" applyFont="1" applyFill="1" applyBorder="1" applyAlignment="1">
      <alignment horizontal="center" vertical="center"/>
    </xf>
    <xf numFmtId="0" fontId="26" fillId="0" borderId="0" xfId="0" applyFont="1"/>
    <xf numFmtId="10" fontId="23" fillId="5" borderId="12" xfId="2" applyNumberFormat="1" applyFont="1" applyFill="1" applyBorder="1" applyAlignment="1">
      <alignment horizontal="center" vertical="center"/>
    </xf>
    <xf numFmtId="44" fontId="23" fillId="5" borderId="10" xfId="0" applyNumberFormat="1" applyFont="1" applyFill="1" applyBorder="1" applyAlignment="1">
      <alignment horizontal="center" vertical="center"/>
    </xf>
    <xf numFmtId="10" fontId="23" fillId="5" borderId="10" xfId="2" applyNumberFormat="1" applyFont="1" applyFill="1" applyBorder="1" applyAlignment="1">
      <alignment horizontal="center" vertical="center"/>
    </xf>
    <xf numFmtId="0" fontId="23" fillId="0" borderId="12" xfId="0" applyFont="1" applyBorder="1" applyAlignment="1">
      <alignment horizontal="left" vertical="center"/>
    </xf>
    <xf numFmtId="44" fontId="23" fillId="0" borderId="10" xfId="1" applyFont="1" applyBorder="1" applyAlignment="1">
      <alignment horizontal="center" vertical="center"/>
    </xf>
    <xf numFmtId="10" fontId="23" fillId="0" borderId="10" xfId="0" applyNumberFormat="1" applyFont="1" applyBorder="1" applyAlignment="1">
      <alignment horizontal="center" vertical="center"/>
    </xf>
    <xf numFmtId="44" fontId="23" fillId="0" borderId="13" xfId="1" applyFont="1" applyBorder="1" applyAlignment="1">
      <alignment horizontal="center" vertical="center"/>
    </xf>
    <xf numFmtId="9" fontId="23" fillId="0" borderId="35" xfId="2" applyFont="1" applyBorder="1" applyAlignment="1">
      <alignment horizontal="center" vertical="center"/>
    </xf>
    <xf numFmtId="10" fontId="23" fillId="0" borderId="12" xfId="2" applyNumberFormat="1" applyFont="1" applyFill="1" applyBorder="1" applyAlignment="1">
      <alignment horizontal="center" vertical="center"/>
    </xf>
    <xf numFmtId="44" fontId="23" fillId="0" borderId="10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5" xfId="0" applyFont="1" applyBorder="1" applyAlignment="1">
      <alignment horizontal="center"/>
    </xf>
    <xf numFmtId="0" fontId="18" fillId="2" borderId="10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20" fillId="2" borderId="36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10" fontId="13" fillId="0" borderId="0" xfId="0" applyNumberFormat="1" applyFont="1" applyAlignment="1">
      <alignment vertical="center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PARAMÉTRICA'!$B$9:$B$56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'CURVA PARAMÉTRICA'!$D$9:$D$56</c:f>
              <c:numCache>
                <c:formatCode>0.00%</c:formatCode>
                <c:ptCount val="48"/>
                <c:pt idx="0">
                  <c:v>2.4045865350450363E-2</c:v>
                </c:pt>
                <c:pt idx="1">
                  <c:v>5.1239589305458758E-2</c:v>
                </c:pt>
                <c:pt idx="2">
                  <c:v>7.8433313260467152E-2</c:v>
                </c:pt>
                <c:pt idx="3">
                  <c:v>0.10342992615628334</c:v>
                </c:pt>
                <c:pt idx="4">
                  <c:v>0.12842653905209953</c:v>
                </c:pt>
                <c:pt idx="5">
                  <c:v>0.15342315194791573</c:v>
                </c:pt>
                <c:pt idx="6">
                  <c:v>0.17156088828164157</c:v>
                </c:pt>
                <c:pt idx="7">
                  <c:v>0.18969862461536741</c:v>
                </c:pt>
                <c:pt idx="8">
                  <c:v>0.20783636094909325</c:v>
                </c:pt>
                <c:pt idx="9">
                  <c:v>0.22267848597046197</c:v>
                </c:pt>
                <c:pt idx="10">
                  <c:v>0.23752061099183069</c:v>
                </c:pt>
                <c:pt idx="11">
                  <c:v>0.25236273601319942</c:v>
                </c:pt>
                <c:pt idx="12">
                  <c:v>0.27318950302339812</c:v>
                </c:pt>
                <c:pt idx="13">
                  <c:v>0.29401627003359682</c:v>
                </c:pt>
                <c:pt idx="14">
                  <c:v>0.31484303704379552</c:v>
                </c:pt>
                <c:pt idx="15">
                  <c:v>0.33566980405399421</c:v>
                </c:pt>
                <c:pt idx="16">
                  <c:v>0.35767821481092854</c:v>
                </c:pt>
                <c:pt idx="17">
                  <c:v>0.37968662556786287</c:v>
                </c:pt>
                <c:pt idx="18">
                  <c:v>0.40169503632479719</c:v>
                </c:pt>
                <c:pt idx="19">
                  <c:v>0.42370344708173152</c:v>
                </c:pt>
                <c:pt idx="20">
                  <c:v>0.44772364683395083</c:v>
                </c:pt>
                <c:pt idx="21">
                  <c:v>0.47174384658617013</c:v>
                </c:pt>
                <c:pt idx="22">
                  <c:v>0.49660046393883261</c:v>
                </c:pt>
                <c:pt idx="23">
                  <c:v>0.5263226286172662</c:v>
                </c:pt>
                <c:pt idx="24">
                  <c:v>0.55604479329569978</c:v>
                </c:pt>
                <c:pt idx="25">
                  <c:v>0.57828278308862535</c:v>
                </c:pt>
                <c:pt idx="26">
                  <c:v>0.60137567557550409</c:v>
                </c:pt>
                <c:pt idx="27">
                  <c:v>0.62446856806238282</c:v>
                </c:pt>
                <c:pt idx="28">
                  <c:v>0.65135817105892158</c:v>
                </c:pt>
                <c:pt idx="29">
                  <c:v>0.67824777405546033</c:v>
                </c:pt>
                <c:pt idx="30">
                  <c:v>0.70513737705199908</c:v>
                </c:pt>
                <c:pt idx="31">
                  <c:v>0.73084533630180226</c:v>
                </c:pt>
                <c:pt idx="32">
                  <c:v>0.75807712982984821</c:v>
                </c:pt>
                <c:pt idx="33">
                  <c:v>0.78530892335789415</c:v>
                </c:pt>
                <c:pt idx="34">
                  <c:v>0.81170429928549692</c:v>
                </c:pt>
                <c:pt idx="35">
                  <c:v>0.83809967521309969</c:v>
                </c:pt>
                <c:pt idx="36">
                  <c:v>0.86125355041569662</c:v>
                </c:pt>
                <c:pt idx="37">
                  <c:v>0.87954187829252239</c:v>
                </c:pt>
                <c:pt idx="38">
                  <c:v>0.896975303475395</c:v>
                </c:pt>
                <c:pt idx="39">
                  <c:v>0.91440872865826761</c:v>
                </c:pt>
                <c:pt idx="40">
                  <c:v>0.92759322051052318</c:v>
                </c:pt>
                <c:pt idx="41">
                  <c:v>0.94077771236277874</c:v>
                </c:pt>
                <c:pt idx="42">
                  <c:v>0.95306513709745244</c:v>
                </c:pt>
                <c:pt idx="43">
                  <c:v>0.96306164338925904</c:v>
                </c:pt>
                <c:pt idx="44">
                  <c:v>0.97305814968106563</c:v>
                </c:pt>
                <c:pt idx="45">
                  <c:v>0.98305465597287223</c:v>
                </c:pt>
                <c:pt idx="46">
                  <c:v>0.99152732798643606</c:v>
                </c:pt>
                <c:pt idx="4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6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PARAMÉTRICA'!$C$8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PARAMÉTRICA'!$B$9:$B$56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'CURVA PARAMÉTRICA'!$C$9:$C$56</c:f>
              <c:numCache>
                <c:formatCode>0.00%</c:formatCode>
                <c:ptCount val="48"/>
                <c:pt idx="0">
                  <c:v>2.4045865350450363E-2</c:v>
                </c:pt>
                <c:pt idx="1">
                  <c:v>2.7193723955008391E-2</c:v>
                </c:pt>
                <c:pt idx="2">
                  <c:v>2.7193723955008391E-2</c:v>
                </c:pt>
                <c:pt idx="3">
                  <c:v>2.4996612895816187E-2</c:v>
                </c:pt>
                <c:pt idx="4">
                  <c:v>2.4996612895816187E-2</c:v>
                </c:pt>
                <c:pt idx="5">
                  <c:v>2.4996612895816187E-2</c:v>
                </c:pt>
                <c:pt idx="6">
                  <c:v>1.8137736333725833E-2</c:v>
                </c:pt>
                <c:pt idx="7">
                  <c:v>1.8137736333725833E-2</c:v>
                </c:pt>
                <c:pt idx="8">
                  <c:v>1.8137736333725833E-2</c:v>
                </c:pt>
                <c:pt idx="9">
                  <c:v>1.4842125021368733E-2</c:v>
                </c:pt>
                <c:pt idx="10">
                  <c:v>1.4842125021368733E-2</c:v>
                </c:pt>
                <c:pt idx="11">
                  <c:v>1.4842125021368733E-2</c:v>
                </c:pt>
                <c:pt idx="12">
                  <c:v>2.0826767010198689E-2</c:v>
                </c:pt>
                <c:pt idx="13">
                  <c:v>2.0826767010198689E-2</c:v>
                </c:pt>
                <c:pt idx="14">
                  <c:v>2.0826767010198689E-2</c:v>
                </c:pt>
                <c:pt idx="15">
                  <c:v>2.0826767010198689E-2</c:v>
                </c:pt>
                <c:pt idx="16">
                  <c:v>2.2008410756934313E-2</c:v>
                </c:pt>
                <c:pt idx="17">
                  <c:v>2.2008410756934313E-2</c:v>
                </c:pt>
                <c:pt idx="18">
                  <c:v>2.2008410756934313E-2</c:v>
                </c:pt>
                <c:pt idx="19">
                  <c:v>2.2008410756934313E-2</c:v>
                </c:pt>
                <c:pt idx="20">
                  <c:v>2.4020199752219296E-2</c:v>
                </c:pt>
                <c:pt idx="21">
                  <c:v>2.4020199752219296E-2</c:v>
                </c:pt>
                <c:pt idx="22">
                  <c:v>2.4856617352662466E-2</c:v>
                </c:pt>
                <c:pt idx="23">
                  <c:v>2.9722164678433565E-2</c:v>
                </c:pt>
                <c:pt idx="24">
                  <c:v>2.9722164678433565E-2</c:v>
                </c:pt>
                <c:pt idx="25">
                  <c:v>2.2237989792925555E-2</c:v>
                </c:pt>
                <c:pt idx="26">
                  <c:v>2.3092892486878749E-2</c:v>
                </c:pt>
                <c:pt idx="27">
                  <c:v>2.3092892486878749E-2</c:v>
                </c:pt>
                <c:pt idx="28">
                  <c:v>2.6889602996538801E-2</c:v>
                </c:pt>
                <c:pt idx="29">
                  <c:v>2.6889602996538801E-2</c:v>
                </c:pt>
                <c:pt idx="30">
                  <c:v>2.6889602996538801E-2</c:v>
                </c:pt>
                <c:pt idx="31">
                  <c:v>2.5707959249803177E-2</c:v>
                </c:pt>
                <c:pt idx="32">
                  <c:v>2.7231793528045924E-2</c:v>
                </c:pt>
                <c:pt idx="33">
                  <c:v>2.7231793528045924E-2</c:v>
                </c:pt>
                <c:pt idx="34">
                  <c:v>2.6395375927602754E-2</c:v>
                </c:pt>
                <c:pt idx="35">
                  <c:v>2.6395375927602754E-2</c:v>
                </c:pt>
                <c:pt idx="36">
                  <c:v>2.3153875202596926E-2</c:v>
                </c:pt>
                <c:pt idx="37">
                  <c:v>1.8288327876825827E-2</c:v>
                </c:pt>
                <c:pt idx="38">
                  <c:v>1.7433425182872629E-2</c:v>
                </c:pt>
                <c:pt idx="39">
                  <c:v>1.7433425182872629E-2</c:v>
                </c:pt>
                <c:pt idx="40">
                  <c:v>1.3184491852255592E-2</c:v>
                </c:pt>
                <c:pt idx="41">
                  <c:v>1.3184491852255592E-2</c:v>
                </c:pt>
                <c:pt idx="42">
                  <c:v>1.2287424734673745E-2</c:v>
                </c:pt>
                <c:pt idx="43">
                  <c:v>9.9965062918066037E-3</c:v>
                </c:pt>
                <c:pt idx="44">
                  <c:v>9.9965062918066037E-3</c:v>
                </c:pt>
                <c:pt idx="45">
                  <c:v>9.9965062918066037E-3</c:v>
                </c:pt>
                <c:pt idx="46">
                  <c:v>8.4726720135638537E-3</c:v>
                </c:pt>
                <c:pt idx="47">
                  <c:v>8.4726720135638537E-3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PARAMÉTRICA'!$E$8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PARAMÉTRICA'!$B$9:$B$56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'CURVA PARAMÉTRICA'!$E$9:$E$56</c:f>
              <c:numCache>
                <c:formatCode>_("R$"* #,##0.00_);_("R$"* \(#,##0.00\);_("R$"* "-"??_);_(@_)</c:formatCode>
                <c:ptCount val="48"/>
                <c:pt idx="0">
                  <c:v>857309.14770300733</c:v>
                </c:pt>
                <c:pt idx="1">
                  <c:v>969540.00061812927</c:v>
                </c:pt>
                <c:pt idx="2">
                  <c:v>969540.00061812927</c:v>
                </c:pt>
                <c:pt idx="3">
                  <c:v>891206.2254716407</c:v>
                </c:pt>
                <c:pt idx="4">
                  <c:v>891206.2254716407</c:v>
                </c:pt>
                <c:pt idx="5">
                  <c:v>891206.2254716407</c:v>
                </c:pt>
                <c:pt idx="6">
                  <c:v>646666.15448868135</c:v>
                </c:pt>
                <c:pt idx="7">
                  <c:v>646666.15448868135</c:v>
                </c:pt>
                <c:pt idx="8">
                  <c:v>646666.15448868135</c:v>
                </c:pt>
                <c:pt idx="9">
                  <c:v>529167.46254394168</c:v>
                </c:pt>
                <c:pt idx="10">
                  <c:v>529167.46254394168</c:v>
                </c:pt>
                <c:pt idx="11">
                  <c:v>529167.46254394168</c:v>
                </c:pt>
                <c:pt idx="12">
                  <c:v>742538.37883144163</c:v>
                </c:pt>
                <c:pt idx="13">
                  <c:v>742538.37883144163</c:v>
                </c:pt>
                <c:pt idx="14">
                  <c:v>742538.37883144163</c:v>
                </c:pt>
                <c:pt idx="15">
                  <c:v>742538.37883144163</c:v>
                </c:pt>
                <c:pt idx="16">
                  <c:v>784667.61721144174</c:v>
                </c:pt>
                <c:pt idx="17">
                  <c:v>784667.61721144174</c:v>
                </c:pt>
                <c:pt idx="18">
                  <c:v>784667.61721144174</c:v>
                </c:pt>
                <c:pt idx="19">
                  <c:v>784667.61721144174</c:v>
                </c:pt>
                <c:pt idx="20">
                  <c:v>856394.09009022941</c:v>
                </c:pt>
                <c:pt idx="21">
                  <c:v>856394.09009022941</c:v>
                </c:pt>
                <c:pt idx="22">
                  <c:v>886214.95324940444</c:v>
                </c:pt>
                <c:pt idx="23">
                  <c:v>1059686.6986065472</c:v>
                </c:pt>
                <c:pt idx="24">
                  <c:v>1059686.6986065472</c:v>
                </c:pt>
                <c:pt idx="25">
                  <c:v>792852.81682092231</c:v>
                </c:pt>
                <c:pt idx="26">
                  <c:v>823332.73048758903</c:v>
                </c:pt>
                <c:pt idx="27">
                  <c:v>823332.73048758903</c:v>
                </c:pt>
                <c:pt idx="28">
                  <c:v>958697.15192442224</c:v>
                </c:pt>
                <c:pt idx="29">
                  <c:v>958697.15192442224</c:v>
                </c:pt>
                <c:pt idx="30">
                  <c:v>958697.15192442224</c:v>
                </c:pt>
                <c:pt idx="31">
                  <c:v>916567.91354442225</c:v>
                </c:pt>
                <c:pt idx="32">
                  <c:v>970897.29813013645</c:v>
                </c:pt>
                <c:pt idx="33">
                  <c:v>970897.29813013645</c:v>
                </c:pt>
                <c:pt idx="34">
                  <c:v>941076.43497096142</c:v>
                </c:pt>
                <c:pt idx="35">
                  <c:v>941076.43497096142</c:v>
                </c:pt>
                <c:pt idx="36">
                  <c:v>825506.95209596143</c:v>
                </c:pt>
                <c:pt idx="37">
                  <c:v>652035.20673881867</c:v>
                </c:pt>
                <c:pt idx="38">
                  <c:v>621555.29307215195</c:v>
                </c:pt>
                <c:pt idx="39">
                  <c:v>621555.29307215195</c:v>
                </c:pt>
                <c:pt idx="40">
                  <c:v>470067.73547215201</c:v>
                </c:pt>
                <c:pt idx="41">
                  <c:v>470067.73547215201</c:v>
                </c:pt>
                <c:pt idx="42">
                  <c:v>438084.53026003088</c:v>
                </c:pt>
                <c:pt idx="43">
                  <c:v>356406.23301069753</c:v>
                </c:pt>
                <c:pt idx="44">
                  <c:v>356406.23301069753</c:v>
                </c:pt>
                <c:pt idx="45">
                  <c:v>356406.23301069753</c:v>
                </c:pt>
                <c:pt idx="46">
                  <c:v>302076.84842498321</c:v>
                </c:pt>
                <c:pt idx="47">
                  <c:v>302076.84842498321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PARAMÉTRICA'!$B$9:$B$56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'CURVA PARAMÉTRICA'!$F$9:$F$56</c:f>
              <c:numCache>
                <c:formatCode>_("R$"* #,##0.00_);_("R$"* \(#,##0.00\);_("R$"* "-"??_);_(@_)</c:formatCode>
                <c:ptCount val="48"/>
                <c:pt idx="0">
                  <c:v>857309.14770300733</c:v>
                </c:pt>
                <c:pt idx="1">
                  <c:v>1826849.1483211366</c:v>
                </c:pt>
                <c:pt idx="2">
                  <c:v>2796389.1489392659</c:v>
                </c:pt>
                <c:pt idx="3">
                  <c:v>3687595.3744109068</c:v>
                </c:pt>
                <c:pt idx="4">
                  <c:v>4578801.5998825477</c:v>
                </c:pt>
                <c:pt idx="5">
                  <c:v>5470007.8253541887</c:v>
                </c:pt>
                <c:pt idx="6">
                  <c:v>6116673.9798428696</c:v>
                </c:pt>
                <c:pt idx="7">
                  <c:v>6763340.1343315504</c:v>
                </c:pt>
                <c:pt idx="8">
                  <c:v>7410006.2888202313</c:v>
                </c:pt>
                <c:pt idx="9">
                  <c:v>7939173.7513641734</c:v>
                </c:pt>
                <c:pt idx="10">
                  <c:v>8468341.2139081154</c:v>
                </c:pt>
                <c:pt idx="11">
                  <c:v>8997508.6764520574</c:v>
                </c:pt>
                <c:pt idx="12">
                  <c:v>9740047.0552834999</c:v>
                </c:pt>
                <c:pt idx="13">
                  <c:v>10482585.434114942</c:v>
                </c:pt>
                <c:pt idx="14">
                  <c:v>11225123.812946385</c:v>
                </c:pt>
                <c:pt idx="15">
                  <c:v>11967662.191777827</c:v>
                </c:pt>
                <c:pt idx="16">
                  <c:v>12752329.80898927</c:v>
                </c:pt>
                <c:pt idx="17">
                  <c:v>13536997.426200712</c:v>
                </c:pt>
                <c:pt idx="18">
                  <c:v>14321665.043412155</c:v>
                </c:pt>
                <c:pt idx="19">
                  <c:v>15106332.660623597</c:v>
                </c:pt>
                <c:pt idx="20">
                  <c:v>15962726.750713827</c:v>
                </c:pt>
                <c:pt idx="21">
                  <c:v>16819120.840804055</c:v>
                </c:pt>
                <c:pt idx="22">
                  <c:v>17705335.794053461</c:v>
                </c:pt>
                <c:pt idx="23">
                  <c:v>18765022.492660008</c:v>
                </c:pt>
                <c:pt idx="24">
                  <c:v>19824709.191266555</c:v>
                </c:pt>
                <c:pt idx="25">
                  <c:v>20617562.008087479</c:v>
                </c:pt>
                <c:pt idx="26">
                  <c:v>21440894.738575067</c:v>
                </c:pt>
                <c:pt idx="27">
                  <c:v>22264227.469062656</c:v>
                </c:pt>
                <c:pt idx="28">
                  <c:v>23222924.62098708</c:v>
                </c:pt>
                <c:pt idx="29">
                  <c:v>24181621.772911504</c:v>
                </c:pt>
                <c:pt idx="30">
                  <c:v>25140318.924835928</c:v>
                </c:pt>
                <c:pt idx="31">
                  <c:v>26056886.838380352</c:v>
                </c:pt>
                <c:pt idx="32">
                  <c:v>27027784.136510488</c:v>
                </c:pt>
                <c:pt idx="33">
                  <c:v>27998681.434640624</c:v>
                </c:pt>
                <c:pt idx="34">
                  <c:v>28939757.869611584</c:v>
                </c:pt>
                <c:pt idx="35">
                  <c:v>29880834.304582544</c:v>
                </c:pt>
                <c:pt idx="36">
                  <c:v>30706341.256678507</c:v>
                </c:pt>
                <c:pt idx="37">
                  <c:v>31358376.463417325</c:v>
                </c:pt>
                <c:pt idx="38">
                  <c:v>31979931.756489478</c:v>
                </c:pt>
                <c:pt idx="39">
                  <c:v>32601487.049561631</c:v>
                </c:pt>
                <c:pt idx="40">
                  <c:v>33071554.785033785</c:v>
                </c:pt>
                <c:pt idx="41">
                  <c:v>33541622.520505935</c:v>
                </c:pt>
                <c:pt idx="42">
                  <c:v>33979707.050765969</c:v>
                </c:pt>
                <c:pt idx="43">
                  <c:v>34336113.283776663</c:v>
                </c:pt>
                <c:pt idx="44">
                  <c:v>34692519.516787358</c:v>
                </c:pt>
                <c:pt idx="45">
                  <c:v>35048925.749798052</c:v>
                </c:pt>
                <c:pt idx="46">
                  <c:v>35351002.598223038</c:v>
                </c:pt>
                <c:pt idx="47">
                  <c:v>35653079.446648024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6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16E6D8A6-F958-4F2B-990C-CABAD9FB25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338221</xdr:colOff>
      <xdr:row>35</xdr:row>
      <xdr:rowOff>76200</xdr:rowOff>
    </xdr:from>
    <xdr:to>
      <xdr:col>45</xdr:col>
      <xdr:colOff>38117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48490</xdr:rowOff>
    </xdr:from>
    <xdr:to>
      <xdr:col>45</xdr:col>
      <xdr:colOff>38100</xdr:colOff>
      <xdr:row>34</xdr:row>
      <xdr:rowOff>285750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90651</xdr:colOff>
      <xdr:row>7</xdr:row>
      <xdr:rowOff>46431</xdr:rowOff>
    </xdr:from>
    <xdr:to>
      <xdr:col>85</xdr:col>
      <xdr:colOff>0</xdr:colOff>
      <xdr:row>34</xdr:row>
      <xdr:rowOff>285750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95578</xdr:colOff>
      <xdr:row>35</xdr:row>
      <xdr:rowOff>76199</xdr:rowOff>
    </xdr:from>
    <xdr:to>
      <xdr:col>85</xdr:col>
      <xdr:colOff>0</xdr:colOff>
      <xdr:row>55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Grupo%20EIS/04.%20Custo/04.1%20Custo%20-%20Param&#233;trico/R03/CTN-EIS-JBL-%20OR&#199;AMENTO%20PARAMETRICO_R02%20-%20Vincul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RESUMO"/>
      <sheetName val="EPCs"/>
      <sheetName val="CANTEIRO"/>
      <sheetName val="ORÇAMENTO"/>
      <sheetName val="ABC Serviços"/>
      <sheetName val="Custo Empreiteiro"/>
      <sheetName val="Planilha1"/>
      <sheetName val="COMPARATIVOS"/>
      <sheetName val="RESUMO SUPRAEST."/>
    </sheetNames>
    <sheetDataSet>
      <sheetData sheetId="0"/>
      <sheetData sheetId="1">
        <row r="2">
          <cell r="B2">
            <v>3035466.8134851363</v>
          </cell>
          <cell r="C2">
            <v>0</v>
          </cell>
        </row>
        <row r="3">
          <cell r="B3">
            <v>215753.85010444288</v>
          </cell>
          <cell r="C3">
            <v>29293.078710800004</v>
          </cell>
        </row>
        <row r="4">
          <cell r="B4">
            <v>1044303.107717628</v>
          </cell>
          <cell r="C4">
            <v>58586.157421600008</v>
          </cell>
        </row>
        <row r="5">
          <cell r="B5">
            <v>1660700.2297036906</v>
          </cell>
          <cell r="C5">
            <v>311071.09500000003</v>
          </cell>
        </row>
        <row r="6">
          <cell r="B6">
            <v>2563374.7685700008</v>
          </cell>
          <cell r="C6">
            <v>1705967.3400000003</v>
          </cell>
        </row>
        <row r="7">
          <cell r="B7">
            <v>1363418.7746000001</v>
          </cell>
          <cell r="C7">
            <v>201404.16</v>
          </cell>
        </row>
        <row r="8">
          <cell r="B8">
            <v>2097163.2990000001</v>
          </cell>
          <cell r="C8">
            <v>676504.29000000015</v>
          </cell>
        </row>
        <row r="9">
          <cell r="B9">
            <v>1577982.4033333333</v>
          </cell>
          <cell r="C9">
            <v>0</v>
          </cell>
        </row>
        <row r="10">
          <cell r="B10">
            <v>269087.68695430562</v>
          </cell>
          <cell r="C10">
            <v>88762.670955794485</v>
          </cell>
        </row>
        <row r="11">
          <cell r="B11">
            <v>303626.97570000001</v>
          </cell>
          <cell r="C11">
            <v>328311.60000000003</v>
          </cell>
        </row>
        <row r="12">
          <cell r="B12">
            <v>185091.34399999995</v>
          </cell>
          <cell r="C12">
            <v>180667.61999999997</v>
          </cell>
        </row>
        <row r="13">
          <cell r="B13">
            <v>893540.20873999991</v>
          </cell>
          <cell r="C13">
            <v>331634.25</v>
          </cell>
        </row>
        <row r="14">
          <cell r="B14">
            <v>243576.03220000002</v>
          </cell>
          <cell r="C14">
            <v>517035.35200000007</v>
          </cell>
        </row>
        <row r="15">
          <cell r="B15">
            <v>2390504.4349999996</v>
          </cell>
          <cell r="C15">
            <v>38100</v>
          </cell>
        </row>
        <row r="16">
          <cell r="B16">
            <v>1551182.6111999999</v>
          </cell>
          <cell r="C16">
            <v>266668.08</v>
          </cell>
        </row>
        <row r="17">
          <cell r="B17">
            <v>150219.91600000008</v>
          </cell>
          <cell r="C17">
            <v>88239.690000000017</v>
          </cell>
        </row>
        <row r="18">
          <cell r="B18">
            <v>319976.56540367391</v>
          </cell>
          <cell r="C18">
            <v>0</v>
          </cell>
        </row>
        <row r="20">
          <cell r="B20">
            <v>2680396.1624436402</v>
          </cell>
          <cell r="C20">
            <v>0</v>
          </cell>
        </row>
        <row r="22">
          <cell r="B22">
            <v>8041796.5</v>
          </cell>
          <cell r="C22">
            <v>0</v>
          </cell>
        </row>
        <row r="23">
          <cell r="B23">
            <v>243672.37840396728</v>
          </cell>
          <cell r="C2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E48-46AC-4A88-9DF6-8EE554297625}">
  <dimension ref="A1:BC1004"/>
  <sheetViews>
    <sheetView showGridLines="0" zoomScale="55" zoomScaleNormal="55" workbookViewId="0">
      <selection activeCell="C22" sqref="C22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50" width="6.28515625" customWidth="1"/>
    <col min="51" max="51" width="4.85546875" hidden="1" customWidth="1"/>
    <col min="52" max="55" width="4.85546875" customWidth="1"/>
    <col min="56" max="56" width="6.5703125" bestFit="1" customWidth="1"/>
  </cols>
  <sheetData>
    <row r="1" spans="1:55" ht="7.5" customHeight="1" x14ac:dyDescent="0.6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55" ht="9.75" customHeight="1" x14ac:dyDescent="0.6">
      <c r="A2" s="19"/>
      <c r="B2" s="87" t="s">
        <v>73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64"/>
      <c r="AZ2" s="64"/>
      <c r="BA2" s="64"/>
      <c r="BB2" s="64"/>
      <c r="BC2" s="64"/>
    </row>
    <row r="3" spans="1:55" ht="19.5" customHeight="1" x14ac:dyDescent="0.6">
      <c r="A3" s="19"/>
      <c r="B3" s="89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64"/>
      <c r="AZ3" s="64"/>
      <c r="BA3" s="64"/>
      <c r="BB3" s="64"/>
      <c r="BC3" s="64"/>
    </row>
    <row r="4" spans="1:55" ht="19.5" customHeight="1" x14ac:dyDescent="0.6">
      <c r="A4" s="19"/>
      <c r="B4" s="91" t="s">
        <v>116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64"/>
      <c r="AZ4" s="64"/>
      <c r="BA4" s="64"/>
      <c r="BB4" s="64"/>
      <c r="BC4" s="64"/>
    </row>
    <row r="5" spans="1:55" ht="9.75" customHeight="1" x14ac:dyDescent="0.6">
      <c r="A5" s="19"/>
      <c r="B5" s="53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64"/>
      <c r="AZ5" s="64"/>
      <c r="BA5" s="64"/>
      <c r="BB5" s="64"/>
      <c r="BC5" s="64"/>
    </row>
    <row r="6" spans="1:55" ht="21.75" customHeight="1" thickBot="1" x14ac:dyDescent="0.65">
      <c r="A6" s="19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ht="21.75" customHeight="1" x14ac:dyDescent="0.6">
      <c r="A7" s="19"/>
      <c r="B7" s="65" t="s">
        <v>84</v>
      </c>
      <c r="C7" s="66" t="s">
        <v>1</v>
      </c>
      <c r="D7" s="66" t="s">
        <v>2</v>
      </c>
      <c r="E7" s="66" t="s">
        <v>3</v>
      </c>
      <c r="F7" s="66" t="s">
        <v>4</v>
      </c>
      <c r="G7" s="66" t="s">
        <v>5</v>
      </c>
      <c r="H7" s="66" t="s">
        <v>6</v>
      </c>
      <c r="I7" s="66" t="s">
        <v>7</v>
      </c>
      <c r="J7" s="66" t="s">
        <v>8</v>
      </c>
      <c r="K7" s="66" t="s">
        <v>9</v>
      </c>
      <c r="L7" s="66" t="s">
        <v>10</v>
      </c>
      <c r="M7" s="66" t="s">
        <v>11</v>
      </c>
      <c r="N7" s="66" t="s">
        <v>12</v>
      </c>
      <c r="O7" s="66" t="s">
        <v>13</v>
      </c>
      <c r="P7" s="66" t="s">
        <v>14</v>
      </c>
      <c r="Q7" s="66" t="s">
        <v>15</v>
      </c>
      <c r="R7" s="66" t="s">
        <v>16</v>
      </c>
      <c r="S7" s="66" t="s">
        <v>17</v>
      </c>
      <c r="T7" s="66" t="s">
        <v>18</v>
      </c>
      <c r="U7" s="66" t="s">
        <v>19</v>
      </c>
      <c r="V7" s="66" t="s">
        <v>20</v>
      </c>
      <c r="W7" s="66" t="s">
        <v>21</v>
      </c>
      <c r="X7" s="66" t="s">
        <v>22</v>
      </c>
      <c r="Y7" s="66" t="s">
        <v>23</v>
      </c>
      <c r="Z7" s="66" t="s">
        <v>24</v>
      </c>
      <c r="AA7" s="66" t="s">
        <v>25</v>
      </c>
      <c r="AB7" s="66" t="s">
        <v>26</v>
      </c>
      <c r="AC7" s="66" t="s">
        <v>27</v>
      </c>
      <c r="AD7" s="66" t="s">
        <v>28</v>
      </c>
      <c r="AE7" s="66" t="s">
        <v>29</v>
      </c>
      <c r="AF7" s="66" t="s">
        <v>30</v>
      </c>
      <c r="AG7" s="66" t="s">
        <v>31</v>
      </c>
      <c r="AH7" s="66" t="s">
        <v>32</v>
      </c>
      <c r="AI7" s="66" t="s">
        <v>33</v>
      </c>
      <c r="AJ7" s="66" t="s">
        <v>34</v>
      </c>
      <c r="AK7" s="66" t="s">
        <v>35</v>
      </c>
      <c r="AL7" s="66" t="s">
        <v>36</v>
      </c>
      <c r="AM7" s="66" t="s">
        <v>37</v>
      </c>
      <c r="AN7" s="66" t="s">
        <v>38</v>
      </c>
      <c r="AO7" s="66" t="s">
        <v>39</v>
      </c>
      <c r="AP7" s="66" t="s">
        <v>40</v>
      </c>
      <c r="AQ7" s="66" t="s">
        <v>75</v>
      </c>
      <c r="AR7" s="66" t="s">
        <v>76</v>
      </c>
      <c r="AS7" s="66" t="s">
        <v>77</v>
      </c>
      <c r="AT7" s="66" t="s">
        <v>78</v>
      </c>
      <c r="AU7" s="66" t="s">
        <v>79</v>
      </c>
      <c r="AV7" s="66" t="s">
        <v>80</v>
      </c>
      <c r="AW7" s="66" t="s">
        <v>81</v>
      </c>
      <c r="AX7" s="143" t="s">
        <v>82</v>
      </c>
    </row>
    <row r="8" spans="1:55" ht="21.75" customHeight="1" x14ac:dyDescent="0.6">
      <c r="A8" s="19"/>
      <c r="B8" s="67" t="s">
        <v>53</v>
      </c>
      <c r="C8" s="140">
        <v>1</v>
      </c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80"/>
      <c r="AY8">
        <f>COUNTA(C8:AX8)</f>
        <v>1</v>
      </c>
    </row>
    <row r="9" spans="1:55" ht="21.75" customHeight="1" x14ac:dyDescent="0.6">
      <c r="A9" s="19"/>
      <c r="B9" s="68" t="s">
        <v>54</v>
      </c>
      <c r="C9" s="79"/>
      <c r="D9" s="140">
        <v>1</v>
      </c>
      <c r="E9" s="140">
        <v>2</v>
      </c>
      <c r="F9" s="140">
        <v>3</v>
      </c>
      <c r="G9" s="140">
        <v>4</v>
      </c>
      <c r="H9" s="140">
        <v>5</v>
      </c>
      <c r="I9" s="140">
        <v>6</v>
      </c>
      <c r="J9" s="140">
        <v>7</v>
      </c>
      <c r="K9" s="140">
        <v>8</v>
      </c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80"/>
      <c r="AY9">
        <f>COUNTA(C9:AX9)</f>
        <v>8</v>
      </c>
    </row>
    <row r="10" spans="1:55" ht="21.75" customHeight="1" x14ac:dyDescent="0.6">
      <c r="A10" s="19"/>
      <c r="B10" s="67" t="s">
        <v>55</v>
      </c>
      <c r="C10" s="79"/>
      <c r="D10" s="79"/>
      <c r="E10" s="79"/>
      <c r="F10" s="79"/>
      <c r="G10" s="79"/>
      <c r="H10" s="79"/>
      <c r="I10" s="79"/>
      <c r="J10" s="79"/>
      <c r="K10" s="79"/>
      <c r="L10" s="140">
        <v>1</v>
      </c>
      <c r="M10" s="140">
        <v>2</v>
      </c>
      <c r="N10" s="140">
        <v>3</v>
      </c>
      <c r="O10" s="140">
        <v>4</v>
      </c>
      <c r="P10" s="140">
        <v>5</v>
      </c>
      <c r="Q10" s="140">
        <v>6</v>
      </c>
      <c r="R10" s="140">
        <v>7</v>
      </c>
      <c r="S10" s="140">
        <v>8</v>
      </c>
      <c r="T10" s="140">
        <v>9</v>
      </c>
      <c r="U10" s="140">
        <v>10</v>
      </c>
      <c r="V10" s="140">
        <v>11</v>
      </c>
      <c r="W10" s="140">
        <v>12</v>
      </c>
      <c r="X10" s="140">
        <v>13</v>
      </c>
      <c r="Y10" s="140">
        <v>14</v>
      </c>
      <c r="Z10" s="140">
        <v>15</v>
      </c>
      <c r="AA10" s="140">
        <v>16</v>
      </c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80"/>
      <c r="AY10">
        <f>COUNTA(C10:AX10)</f>
        <v>16</v>
      </c>
    </row>
    <row r="11" spans="1:55" ht="21.75" customHeight="1" x14ac:dyDescent="0.6">
      <c r="A11" s="19"/>
      <c r="B11" s="68" t="s">
        <v>56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140">
        <v>1</v>
      </c>
      <c r="P11" s="140">
        <v>2</v>
      </c>
      <c r="Q11" s="140">
        <v>3</v>
      </c>
      <c r="R11" s="140">
        <v>4</v>
      </c>
      <c r="S11" s="140">
        <v>5</v>
      </c>
      <c r="T11" s="140">
        <v>6</v>
      </c>
      <c r="U11" s="140">
        <v>7</v>
      </c>
      <c r="V11" s="140">
        <v>8</v>
      </c>
      <c r="W11" s="140">
        <v>9</v>
      </c>
      <c r="X11" s="140">
        <v>10</v>
      </c>
      <c r="Y11" s="140">
        <v>11</v>
      </c>
      <c r="Z11" s="140">
        <v>12</v>
      </c>
      <c r="AA11" s="140">
        <v>13</v>
      </c>
      <c r="AB11" s="140">
        <v>14</v>
      </c>
      <c r="AC11" s="140">
        <v>15</v>
      </c>
      <c r="AD11" s="140">
        <v>16</v>
      </c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80"/>
      <c r="AY11">
        <f>COUNTA(C11:AX11)</f>
        <v>16</v>
      </c>
    </row>
    <row r="12" spans="1:55" ht="21.75" customHeight="1" x14ac:dyDescent="0.6">
      <c r="A12" s="19"/>
      <c r="B12" s="67" t="s">
        <v>57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140">
        <v>1</v>
      </c>
      <c r="P12" s="140">
        <v>2</v>
      </c>
      <c r="Q12" s="140">
        <v>3</v>
      </c>
      <c r="R12" s="140">
        <v>4</v>
      </c>
      <c r="S12" s="140">
        <v>5</v>
      </c>
      <c r="T12" s="140">
        <v>6</v>
      </c>
      <c r="U12" s="140">
        <v>7</v>
      </c>
      <c r="V12" s="140">
        <v>8</v>
      </c>
      <c r="W12" s="140">
        <v>9</v>
      </c>
      <c r="X12" s="140">
        <v>10</v>
      </c>
      <c r="Y12" s="140">
        <v>11</v>
      </c>
      <c r="Z12" s="140">
        <v>12</v>
      </c>
      <c r="AA12" s="140">
        <v>13</v>
      </c>
      <c r="AB12" s="140">
        <v>14</v>
      </c>
      <c r="AC12" s="140">
        <v>15</v>
      </c>
      <c r="AD12" s="140">
        <v>16</v>
      </c>
      <c r="AE12" s="140">
        <v>17</v>
      </c>
      <c r="AF12" s="140">
        <v>18</v>
      </c>
      <c r="AG12" s="140">
        <v>19</v>
      </c>
      <c r="AH12" s="140">
        <v>20</v>
      </c>
      <c r="AI12" s="140">
        <v>21</v>
      </c>
      <c r="AJ12" s="140">
        <v>22</v>
      </c>
      <c r="AK12" s="140">
        <v>23</v>
      </c>
      <c r="AL12" s="140">
        <v>24</v>
      </c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80"/>
      <c r="AY12">
        <f>COUNTA(C12:AX12)</f>
        <v>24</v>
      </c>
    </row>
    <row r="13" spans="1:55" ht="21.75" customHeight="1" x14ac:dyDescent="0.6">
      <c r="A13" s="19"/>
      <c r="B13" s="68" t="s">
        <v>58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140">
        <v>1</v>
      </c>
      <c r="X13" s="140">
        <v>2</v>
      </c>
      <c r="Y13" s="140">
        <v>3</v>
      </c>
      <c r="Z13" s="140">
        <v>4</v>
      </c>
      <c r="AA13" s="140">
        <v>5</v>
      </c>
      <c r="AB13" s="140">
        <v>6</v>
      </c>
      <c r="AC13" s="140">
        <v>7</v>
      </c>
      <c r="AD13" s="140">
        <v>8</v>
      </c>
      <c r="AE13" s="140">
        <v>9</v>
      </c>
      <c r="AF13" s="140">
        <v>10</v>
      </c>
      <c r="AG13" s="140">
        <v>11</v>
      </c>
      <c r="AH13" s="140">
        <v>12</v>
      </c>
      <c r="AI13" s="140">
        <v>13</v>
      </c>
      <c r="AJ13" s="140">
        <v>14</v>
      </c>
      <c r="AK13" s="140">
        <v>15</v>
      </c>
      <c r="AL13" s="140">
        <v>16</v>
      </c>
      <c r="AM13" s="140">
        <v>17</v>
      </c>
      <c r="AN13" s="140">
        <v>18</v>
      </c>
      <c r="AO13" s="140">
        <v>19</v>
      </c>
      <c r="AP13" s="140">
        <v>20</v>
      </c>
      <c r="AQ13" s="140">
        <v>21</v>
      </c>
      <c r="AR13" s="140">
        <v>22</v>
      </c>
      <c r="AS13" s="79"/>
      <c r="AT13" s="79"/>
      <c r="AU13" s="79"/>
      <c r="AV13" s="79"/>
      <c r="AW13" s="79"/>
      <c r="AX13" s="80"/>
      <c r="AY13">
        <f>COUNTA(C13:AX13)</f>
        <v>22</v>
      </c>
    </row>
    <row r="14" spans="1:55" ht="21.75" customHeight="1" x14ac:dyDescent="0.6">
      <c r="A14" s="19"/>
      <c r="B14" s="67" t="s">
        <v>59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140">
        <v>1</v>
      </c>
      <c r="Z14" s="140">
        <v>2</v>
      </c>
      <c r="AA14" s="140">
        <v>3</v>
      </c>
      <c r="AB14" s="140">
        <v>4</v>
      </c>
      <c r="AC14" s="140">
        <v>5</v>
      </c>
      <c r="AD14" s="140">
        <v>6</v>
      </c>
      <c r="AE14" s="140">
        <v>7</v>
      </c>
      <c r="AF14" s="140">
        <v>8</v>
      </c>
      <c r="AG14" s="140">
        <v>9</v>
      </c>
      <c r="AH14" s="140">
        <v>10</v>
      </c>
      <c r="AI14" s="140">
        <v>11</v>
      </c>
      <c r="AJ14" s="140">
        <v>12</v>
      </c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80"/>
      <c r="AY14">
        <f>COUNTA(C14:AX14)</f>
        <v>12</v>
      </c>
    </row>
    <row r="15" spans="1:55" ht="23.25" customHeight="1" x14ac:dyDescent="0.6">
      <c r="A15" s="19"/>
      <c r="B15" s="68" t="s">
        <v>60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140">
        <v>1</v>
      </c>
      <c r="T15" s="140">
        <v>2</v>
      </c>
      <c r="U15" s="140">
        <v>3</v>
      </c>
      <c r="V15" s="140">
        <v>4</v>
      </c>
      <c r="W15" s="140">
        <v>5</v>
      </c>
      <c r="X15" s="140">
        <v>6</v>
      </c>
      <c r="Y15" s="140">
        <v>7</v>
      </c>
      <c r="Z15" s="140">
        <v>8</v>
      </c>
      <c r="AA15" s="140">
        <v>9</v>
      </c>
      <c r="AB15" s="140">
        <v>10</v>
      </c>
      <c r="AC15" s="140">
        <v>11</v>
      </c>
      <c r="AD15" s="140">
        <v>12</v>
      </c>
      <c r="AE15" s="140">
        <v>13</v>
      </c>
      <c r="AF15" s="140">
        <v>14</v>
      </c>
      <c r="AG15" s="140">
        <v>15</v>
      </c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80"/>
      <c r="AY15">
        <f>COUNTA(C15:AX15)</f>
        <v>15</v>
      </c>
    </row>
    <row r="16" spans="1:55" ht="23.25" customHeight="1" x14ac:dyDescent="0.6">
      <c r="A16" s="19"/>
      <c r="B16" s="67" t="s">
        <v>61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140">
        <v>1</v>
      </c>
      <c r="AD16" s="140">
        <v>2</v>
      </c>
      <c r="AE16" s="140">
        <v>3</v>
      </c>
      <c r="AF16" s="140">
        <v>4</v>
      </c>
      <c r="AG16" s="140">
        <v>5</v>
      </c>
      <c r="AH16" s="140">
        <v>6</v>
      </c>
      <c r="AI16" s="140">
        <v>7</v>
      </c>
      <c r="AJ16" s="140">
        <v>8</v>
      </c>
      <c r="AK16" s="140">
        <v>9</v>
      </c>
      <c r="AL16" s="140">
        <v>10</v>
      </c>
      <c r="AM16" s="140">
        <v>11</v>
      </c>
      <c r="AN16" s="140">
        <v>12</v>
      </c>
      <c r="AO16" s="79"/>
      <c r="AP16" s="79"/>
      <c r="AQ16" s="79"/>
      <c r="AR16" s="79"/>
      <c r="AS16" s="79"/>
      <c r="AT16" s="79"/>
      <c r="AU16" s="79"/>
      <c r="AV16" s="79"/>
      <c r="AW16" s="79"/>
      <c r="AX16" s="80"/>
      <c r="AY16">
        <f>COUNTA(C16:AX16)</f>
        <v>12</v>
      </c>
    </row>
    <row r="17" spans="1:51" ht="23.25" customHeight="1" x14ac:dyDescent="0.6">
      <c r="A17" s="19"/>
      <c r="B17" s="68" t="s">
        <v>62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140">
        <v>1</v>
      </c>
      <c r="AF17" s="140">
        <v>2</v>
      </c>
      <c r="AG17" s="140">
        <v>3</v>
      </c>
      <c r="AH17" s="140">
        <v>4</v>
      </c>
      <c r="AI17" s="140">
        <v>5</v>
      </c>
      <c r="AJ17" s="140">
        <v>6</v>
      </c>
      <c r="AK17" s="140">
        <v>7</v>
      </c>
      <c r="AL17" s="140">
        <v>8</v>
      </c>
      <c r="AM17" s="140">
        <v>9</v>
      </c>
      <c r="AN17" s="140">
        <v>10</v>
      </c>
      <c r="AO17" s="140">
        <v>11</v>
      </c>
      <c r="AP17" s="140">
        <v>12</v>
      </c>
      <c r="AQ17" s="140">
        <v>13</v>
      </c>
      <c r="AR17" s="140">
        <v>14</v>
      </c>
      <c r="AS17" s="140">
        <v>15</v>
      </c>
      <c r="AT17" s="79"/>
      <c r="AU17" s="79"/>
      <c r="AV17" s="79"/>
      <c r="AW17" s="79"/>
      <c r="AX17" s="80"/>
      <c r="AY17">
        <f>COUNTA(C17:AX17)</f>
        <v>15</v>
      </c>
    </row>
    <row r="18" spans="1:51" ht="23.25" customHeight="1" x14ac:dyDescent="0.6">
      <c r="A18" s="19"/>
      <c r="B18" s="67" t="s">
        <v>63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140">
        <v>1</v>
      </c>
      <c r="AJ18" s="140">
        <v>2</v>
      </c>
      <c r="AK18" s="140">
        <v>3</v>
      </c>
      <c r="AL18" s="140">
        <v>4</v>
      </c>
      <c r="AM18" s="140">
        <v>5</v>
      </c>
      <c r="AN18" s="140">
        <v>6</v>
      </c>
      <c r="AO18" s="140">
        <v>7</v>
      </c>
      <c r="AP18" s="140">
        <v>8</v>
      </c>
      <c r="AQ18" s="140">
        <v>9</v>
      </c>
      <c r="AR18" s="140">
        <v>10</v>
      </c>
      <c r="AS18" s="140">
        <v>11</v>
      </c>
      <c r="AT18" s="140">
        <v>12</v>
      </c>
      <c r="AU18" s="140">
        <v>13</v>
      </c>
      <c r="AV18" s="140">
        <v>14</v>
      </c>
      <c r="AW18" s="79"/>
      <c r="AX18" s="80"/>
      <c r="AY18">
        <f>COUNTA(C18:AX18)</f>
        <v>14</v>
      </c>
    </row>
    <row r="19" spans="1:51" ht="23.25" customHeight="1" x14ac:dyDescent="0.6">
      <c r="A19" s="19"/>
      <c r="B19" s="68" t="s">
        <v>64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140">
        <v>1</v>
      </c>
      <c r="AA19" s="140">
        <v>2</v>
      </c>
      <c r="AB19" s="140">
        <v>3</v>
      </c>
      <c r="AC19" s="140">
        <v>4</v>
      </c>
      <c r="AD19" s="140">
        <v>5</v>
      </c>
      <c r="AE19" s="140">
        <v>6</v>
      </c>
      <c r="AF19" s="140">
        <v>7</v>
      </c>
      <c r="AG19" s="140">
        <v>8</v>
      </c>
      <c r="AH19" s="140">
        <v>9</v>
      </c>
      <c r="AI19" s="140">
        <v>10</v>
      </c>
      <c r="AJ19" s="140">
        <v>11</v>
      </c>
      <c r="AK19" s="140">
        <v>12</v>
      </c>
      <c r="AL19" s="140">
        <v>13</v>
      </c>
      <c r="AM19" s="140">
        <v>14</v>
      </c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80"/>
      <c r="AY19">
        <f>COUNTA(C19:AX19)</f>
        <v>14</v>
      </c>
    </row>
    <row r="20" spans="1:51" ht="23.25" customHeight="1" x14ac:dyDescent="0.6">
      <c r="A20" s="19"/>
      <c r="B20" s="67" t="s">
        <v>65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140">
        <v>1</v>
      </c>
      <c r="AF20" s="140">
        <v>2</v>
      </c>
      <c r="AG20" s="140">
        <v>3</v>
      </c>
      <c r="AH20" s="140">
        <v>4</v>
      </c>
      <c r="AI20" s="140">
        <v>5</v>
      </c>
      <c r="AJ20" s="140">
        <v>6</v>
      </c>
      <c r="AK20" s="140">
        <v>7</v>
      </c>
      <c r="AL20" s="140">
        <v>8</v>
      </c>
      <c r="AM20" s="140">
        <v>9</v>
      </c>
      <c r="AN20" s="140">
        <v>10</v>
      </c>
      <c r="AO20" s="140">
        <v>11</v>
      </c>
      <c r="AP20" s="140">
        <v>12</v>
      </c>
      <c r="AQ20" s="79"/>
      <c r="AR20" s="79"/>
      <c r="AS20" s="79"/>
      <c r="AT20" s="79"/>
      <c r="AU20" s="79"/>
      <c r="AV20" s="79"/>
      <c r="AW20" s="79"/>
      <c r="AX20" s="80"/>
      <c r="AY20">
        <f>COUNTA(C20:AX20)</f>
        <v>12</v>
      </c>
    </row>
    <row r="21" spans="1:51" ht="23.25" customHeight="1" thickBot="1" x14ac:dyDescent="0.65">
      <c r="A21" s="19"/>
      <c r="B21" s="142" t="s">
        <v>66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141">
        <v>1</v>
      </c>
      <c r="AT21" s="141">
        <v>2</v>
      </c>
      <c r="AU21" s="141">
        <v>3</v>
      </c>
      <c r="AV21" s="141">
        <v>4</v>
      </c>
      <c r="AW21" s="141">
        <v>5</v>
      </c>
      <c r="AX21" s="144">
        <v>6</v>
      </c>
      <c r="AY21">
        <f>COUNTA(C21:AX21)</f>
        <v>6</v>
      </c>
    </row>
    <row r="22" spans="1:51" ht="21.75" customHeight="1" x14ac:dyDescent="0.6">
      <c r="A22" s="1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</row>
    <row r="23" spans="1:51" ht="21.75" customHeight="1" x14ac:dyDescent="0.6">
      <c r="A23" s="19"/>
    </row>
    <row r="24" spans="1:51" ht="21.75" customHeight="1" x14ac:dyDescent="0.6">
      <c r="A24" s="19"/>
    </row>
    <row r="25" spans="1:51" ht="21.75" customHeight="1" x14ac:dyDescent="0.6">
      <c r="A25" s="19"/>
    </row>
    <row r="26" spans="1:51" ht="21.75" customHeight="1" x14ac:dyDescent="0.6">
      <c r="A26" s="19"/>
    </row>
    <row r="27" spans="1:51" ht="21.75" customHeight="1" x14ac:dyDescent="0.6">
      <c r="A27" s="19"/>
    </row>
    <row r="28" spans="1:51" ht="21.75" customHeight="1" x14ac:dyDescent="0.6">
      <c r="A28" s="19"/>
    </row>
    <row r="29" spans="1:51" ht="21.75" customHeight="1" x14ac:dyDescent="0.6">
      <c r="A29" s="19"/>
    </row>
    <row r="30" spans="1:51" ht="21.75" customHeight="1" x14ac:dyDescent="0.6">
      <c r="A30" s="19"/>
    </row>
    <row r="31" spans="1:51" ht="21.75" customHeight="1" x14ac:dyDescent="0.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1"/>
      <c r="M31" s="21"/>
      <c r="N31" s="21"/>
    </row>
    <row r="32" spans="1:51" ht="21.75" customHeight="1" x14ac:dyDescent="0.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1"/>
      <c r="M32" s="21"/>
      <c r="N32" s="21"/>
    </row>
    <row r="33" spans="1:14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21"/>
      <c r="N33" s="21"/>
    </row>
    <row r="34" spans="1:14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1"/>
      <c r="M34" s="21"/>
      <c r="N34" s="21"/>
    </row>
    <row r="35" spans="1:14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21"/>
      <c r="N35" s="21"/>
    </row>
    <row r="36" spans="1:14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1"/>
      <c r="M36" s="21"/>
      <c r="N36" s="21"/>
    </row>
    <row r="37" spans="1:14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21"/>
      <c r="N37" s="21"/>
    </row>
    <row r="38" spans="1:14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1"/>
      <c r="M38" s="21"/>
      <c r="N38" s="21"/>
    </row>
    <row r="39" spans="1:14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21"/>
      <c r="N39" s="21"/>
    </row>
    <row r="40" spans="1:14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1"/>
      <c r="M40" s="21"/>
      <c r="N40" s="21"/>
    </row>
    <row r="41" spans="1:14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21"/>
      <c r="N41" s="21"/>
    </row>
    <row r="42" spans="1:14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1"/>
      <c r="M42" s="21"/>
      <c r="N42" s="21"/>
    </row>
    <row r="43" spans="1:14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21"/>
      <c r="N43" s="21"/>
    </row>
    <row r="44" spans="1:14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/>
      <c r="M44" s="21"/>
      <c r="N44" s="21"/>
    </row>
    <row r="45" spans="1:14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21"/>
      <c r="N45" s="21"/>
    </row>
    <row r="46" spans="1:14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1"/>
      <c r="M46" s="21"/>
      <c r="N46" s="21"/>
    </row>
    <row r="47" spans="1:14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21"/>
      <c r="N47" s="21"/>
    </row>
    <row r="48" spans="1:14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1"/>
      <c r="O55" s="21"/>
      <c r="P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1"/>
      <c r="O56" s="21"/>
      <c r="P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6">
      <c r="A113" s="19"/>
      <c r="B113" s="20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1"/>
      <c r="R113" s="21"/>
      <c r="S113" s="21"/>
    </row>
    <row r="114" spans="1:19" ht="21.75" customHeight="1" x14ac:dyDescent="0.6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/>
      <c r="R114" s="21"/>
      <c r="S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6">
      <c r="A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6">
      <c r="A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15.75" customHeight="1" x14ac:dyDescent="0.6"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15.75" customHeight="1" x14ac:dyDescent="0.6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25"/>
    <row r="230" spans="7:19" ht="15.75" customHeight="1" x14ac:dyDescent="0.25"/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</sheetData>
  <mergeCells count="2">
    <mergeCell ref="B2:AX3"/>
    <mergeCell ref="B4:AX4"/>
  </mergeCells>
  <phoneticPr fontId="25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DA843"/>
  <sheetViews>
    <sheetView showGridLines="0" tabSelected="1" zoomScale="60" zoomScaleNormal="60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H32" sqref="H32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5" width="20" style="1" customWidth="1"/>
    <col min="6" max="6" width="15.5703125" customWidth="1"/>
    <col min="7" max="7" width="4.140625" customWidth="1"/>
    <col min="8" max="8" width="9.140625" customWidth="1"/>
    <col min="9" max="9" width="22.28515625" bestFit="1" customWidth="1"/>
    <col min="10" max="10" width="8.42578125" bestFit="1" customWidth="1"/>
    <col min="11" max="11" width="23.28515625" bestFit="1" customWidth="1"/>
    <col min="12" max="12" width="9.140625" bestFit="1" customWidth="1"/>
    <col min="13" max="13" width="22.28515625" bestFit="1" customWidth="1"/>
    <col min="14" max="14" width="8" bestFit="1" customWidth="1"/>
    <col min="15" max="15" width="20.85546875" bestFit="1" customWidth="1"/>
    <col min="16" max="16" width="11.140625" bestFit="1" customWidth="1"/>
    <col min="17" max="17" width="20.85546875" bestFit="1" customWidth="1"/>
    <col min="18" max="18" width="8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7.28515625" bestFit="1" customWidth="1"/>
    <col min="35" max="35" width="21.5703125" bestFit="1" customWidth="1"/>
    <col min="36" max="36" width="7.28515625" bestFit="1" customWidth="1"/>
    <col min="37" max="37" width="21.5703125" bestFit="1" customWidth="1"/>
    <col min="38" max="38" width="7.28515625" bestFit="1" customWidth="1"/>
    <col min="39" max="39" width="21.5703125" bestFit="1" customWidth="1"/>
    <col min="40" max="40" width="7.2851562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2851562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0.42578125" bestFit="1" customWidth="1"/>
    <col min="54" max="54" width="7.28515625" bestFit="1" customWidth="1"/>
    <col min="55" max="55" width="20.42578125" bestFit="1" customWidth="1"/>
    <col min="56" max="56" width="7.28515625" bestFit="1" customWidth="1"/>
    <col min="57" max="57" width="20.42578125" bestFit="1" customWidth="1"/>
    <col min="58" max="58" width="7.28515625" bestFit="1" customWidth="1"/>
    <col min="59" max="59" width="20.42578125" bestFit="1" customWidth="1"/>
    <col min="60" max="60" width="7.28515625" bestFit="1" customWidth="1"/>
    <col min="61" max="61" width="20.42578125" bestFit="1" customWidth="1"/>
    <col min="62" max="62" width="7.28515625" bestFit="1" customWidth="1"/>
    <col min="63" max="63" width="22.28515625" bestFit="1" customWidth="1"/>
    <col min="64" max="64" width="7.28515625" bestFit="1" customWidth="1"/>
    <col min="65" max="65" width="23.28515625" bestFit="1" customWidth="1"/>
    <col min="66" max="66" width="7.28515625" bestFit="1" customWidth="1"/>
    <col min="67" max="67" width="23.28515625" bestFit="1" customWidth="1"/>
    <col min="68" max="68" width="7.28515625" bestFit="1" customWidth="1"/>
    <col min="69" max="69" width="22.7109375" bestFit="1" customWidth="1"/>
    <col min="70" max="70" width="7.28515625" bestFit="1" customWidth="1"/>
    <col min="71" max="71" width="22.7109375" bestFit="1" customWidth="1"/>
    <col min="72" max="72" width="7.28515625" bestFit="1" customWidth="1"/>
    <col min="73" max="73" width="22.7109375" bestFit="1" customWidth="1"/>
    <col min="74" max="74" width="7.28515625" bestFit="1" customWidth="1"/>
    <col min="75" max="75" width="22.28515625" bestFit="1" customWidth="1"/>
    <col min="76" max="76" width="7.28515625" bestFit="1" customWidth="1"/>
    <col min="77" max="77" width="22.28515625" bestFit="1" customWidth="1"/>
    <col min="78" max="78" width="7.28515625" bestFit="1" customWidth="1"/>
    <col min="79" max="79" width="23.28515625" bestFit="1" customWidth="1"/>
    <col min="80" max="80" width="7.28515625" bestFit="1" customWidth="1"/>
    <col min="81" max="81" width="23.28515625" bestFit="1" customWidth="1"/>
    <col min="82" max="82" width="7.28515625" bestFit="1" customWidth="1"/>
    <col min="83" max="83" width="22.7109375" bestFit="1" customWidth="1"/>
    <col min="84" max="84" width="7.28515625" bestFit="1" customWidth="1"/>
    <col min="85" max="85" width="23.28515625" bestFit="1" customWidth="1"/>
    <col min="86" max="86" width="7.28515625" bestFit="1" customWidth="1"/>
    <col min="87" max="87" width="23.28515625" bestFit="1" customWidth="1"/>
    <col min="88" max="88" width="7.28515625" bestFit="1" customWidth="1"/>
    <col min="89" max="89" width="23.28515625" bestFit="1" customWidth="1"/>
    <col min="90" max="90" width="7.28515625" bestFit="1" customWidth="1"/>
    <col min="91" max="91" width="22.7109375" bestFit="1" customWidth="1"/>
    <col min="92" max="92" width="8" bestFit="1" customWidth="1"/>
    <col min="93" max="93" width="23.7109375" bestFit="1" customWidth="1"/>
    <col min="94" max="94" width="11.28515625" customWidth="1"/>
    <col min="95" max="95" width="22.7109375" bestFit="1" customWidth="1"/>
    <col min="96" max="96" width="12.5703125" customWidth="1"/>
    <col min="97" max="97" width="22.7109375" bestFit="1" customWidth="1"/>
    <col min="98" max="98" width="8" bestFit="1" customWidth="1"/>
    <col min="99" max="99" width="23.7109375" bestFit="1" customWidth="1"/>
    <col min="100" max="100" width="8" bestFit="1" customWidth="1"/>
    <col min="101" max="101" width="22.7109375" bestFit="1" customWidth="1"/>
    <col min="102" max="102" width="8" bestFit="1" customWidth="1"/>
    <col min="103" max="103" width="22.7109375" bestFit="1" customWidth="1"/>
    <col min="104" max="104" width="19.42578125" bestFit="1" customWidth="1"/>
    <col min="105" max="105" width="18" bestFit="1" customWidth="1"/>
  </cols>
  <sheetData>
    <row r="2" spans="2:103" ht="15" customHeight="1" x14ac:dyDescent="0.25">
      <c r="B2" s="94" t="s">
        <v>74</v>
      </c>
      <c r="C2" s="95"/>
      <c r="D2" s="95"/>
      <c r="E2" s="95"/>
      <c r="F2" s="95"/>
      <c r="G2" s="95"/>
      <c r="H2" s="96"/>
    </row>
    <row r="3" spans="2:103" ht="22.5" customHeight="1" x14ac:dyDescent="0.25">
      <c r="B3" s="97"/>
      <c r="C3" s="98"/>
      <c r="D3" s="98"/>
      <c r="E3" s="98"/>
      <c r="F3" s="98"/>
      <c r="G3" s="98"/>
      <c r="H3" s="99"/>
    </row>
    <row r="4" spans="2:103" ht="26.25" customHeight="1" x14ac:dyDescent="0.4">
      <c r="B4" s="137" t="s">
        <v>116</v>
      </c>
      <c r="C4" s="138"/>
      <c r="D4" s="138"/>
      <c r="E4" s="138"/>
      <c r="F4" s="138"/>
      <c r="G4" s="138"/>
      <c r="H4" s="139"/>
    </row>
    <row r="5" spans="2:103" ht="13.5" customHeight="1" x14ac:dyDescent="0.25">
      <c r="B5" s="53"/>
      <c r="C5" s="54"/>
      <c r="D5" s="54"/>
      <c r="E5" s="54"/>
      <c r="F5" s="54"/>
      <c r="G5" s="56"/>
      <c r="H5" s="57"/>
    </row>
    <row r="6" spans="2:103" ht="15" customHeight="1" thickBot="1" x14ac:dyDescent="0.3">
      <c r="H6" s="83"/>
      <c r="J6" s="83"/>
      <c r="L6" s="83"/>
      <c r="N6" s="83"/>
      <c r="P6" s="83"/>
      <c r="R6" s="83"/>
      <c r="T6" s="83"/>
      <c r="V6" s="83"/>
      <c r="X6" s="83"/>
      <c r="Z6" s="83"/>
      <c r="AB6" s="83"/>
      <c r="AD6" s="83"/>
      <c r="AF6" s="83"/>
      <c r="AH6" s="83"/>
      <c r="AJ6" s="83"/>
      <c r="AL6" s="83"/>
      <c r="AN6" s="83"/>
      <c r="AP6" s="83"/>
      <c r="AR6" s="83"/>
      <c r="AT6" s="83"/>
      <c r="AV6" s="83"/>
      <c r="AX6" s="83"/>
      <c r="AZ6" s="83"/>
      <c r="BB6" s="83"/>
      <c r="BD6" s="83"/>
      <c r="BF6" s="83"/>
      <c r="BH6" s="83"/>
      <c r="BJ6" s="83"/>
      <c r="BL6" s="83"/>
      <c r="BN6" s="83"/>
      <c r="BP6" s="83"/>
      <c r="BR6" s="83"/>
      <c r="BT6" s="83"/>
      <c r="BV6" s="83"/>
      <c r="BX6" s="83"/>
      <c r="BZ6" s="83"/>
      <c r="CB6" s="83"/>
      <c r="CD6" s="83"/>
      <c r="CF6" s="83"/>
      <c r="CH6" s="83"/>
      <c r="CJ6" s="83"/>
      <c r="CL6" s="83"/>
      <c r="CN6" s="83"/>
      <c r="CP6" s="83"/>
      <c r="CR6" s="83"/>
      <c r="CT6" s="83"/>
      <c r="CV6" s="83"/>
      <c r="CX6" s="83"/>
    </row>
    <row r="7" spans="2:103" ht="19.5" customHeight="1" x14ac:dyDescent="0.25">
      <c r="B7" s="100" t="s">
        <v>46</v>
      </c>
      <c r="C7" s="102" t="s">
        <v>47</v>
      </c>
      <c r="D7" s="102" t="s">
        <v>48</v>
      </c>
      <c r="E7" s="104" t="s">
        <v>49</v>
      </c>
      <c r="F7" s="107" t="s">
        <v>85</v>
      </c>
      <c r="H7" s="106" t="s">
        <v>1</v>
      </c>
      <c r="I7" s="93"/>
      <c r="J7" s="93" t="s">
        <v>2</v>
      </c>
      <c r="K7" s="93"/>
      <c r="L7" s="93" t="s">
        <v>3</v>
      </c>
      <c r="M7" s="93"/>
      <c r="N7" s="93" t="s">
        <v>4</v>
      </c>
      <c r="O7" s="93"/>
      <c r="P7" s="93" t="s">
        <v>5</v>
      </c>
      <c r="Q7" s="93"/>
      <c r="R7" s="93" t="s">
        <v>6</v>
      </c>
      <c r="S7" s="93"/>
      <c r="T7" s="93" t="s">
        <v>7</v>
      </c>
      <c r="U7" s="93"/>
      <c r="V7" s="93" t="s">
        <v>8</v>
      </c>
      <c r="W7" s="93"/>
      <c r="X7" s="93" t="s">
        <v>9</v>
      </c>
      <c r="Y7" s="93"/>
      <c r="Z7" s="93" t="s">
        <v>10</v>
      </c>
      <c r="AA7" s="93"/>
      <c r="AB7" s="93" t="s">
        <v>11</v>
      </c>
      <c r="AC7" s="93"/>
      <c r="AD7" s="93" t="s">
        <v>12</v>
      </c>
      <c r="AE7" s="93"/>
      <c r="AF7" s="93" t="s">
        <v>13</v>
      </c>
      <c r="AG7" s="93"/>
      <c r="AH7" s="93" t="s">
        <v>14</v>
      </c>
      <c r="AI7" s="93"/>
      <c r="AJ7" s="93" t="s">
        <v>15</v>
      </c>
      <c r="AK7" s="93"/>
      <c r="AL7" s="93" t="s">
        <v>16</v>
      </c>
      <c r="AM7" s="93"/>
      <c r="AN7" s="93" t="s">
        <v>17</v>
      </c>
      <c r="AO7" s="93"/>
      <c r="AP7" s="93" t="s">
        <v>18</v>
      </c>
      <c r="AQ7" s="93"/>
      <c r="AR7" s="93" t="s">
        <v>19</v>
      </c>
      <c r="AS7" s="93"/>
      <c r="AT7" s="93" t="s">
        <v>20</v>
      </c>
      <c r="AU7" s="93"/>
      <c r="AV7" s="93" t="s">
        <v>21</v>
      </c>
      <c r="AW7" s="93"/>
      <c r="AX7" s="93" t="s">
        <v>22</v>
      </c>
      <c r="AY7" s="93"/>
      <c r="AZ7" s="93" t="s">
        <v>23</v>
      </c>
      <c r="BA7" s="93"/>
      <c r="BB7" s="93" t="s">
        <v>24</v>
      </c>
      <c r="BC7" s="93"/>
      <c r="BD7" s="93" t="s">
        <v>25</v>
      </c>
      <c r="BE7" s="93"/>
      <c r="BF7" s="93" t="s">
        <v>26</v>
      </c>
      <c r="BG7" s="93"/>
      <c r="BH7" s="93" t="s">
        <v>27</v>
      </c>
      <c r="BI7" s="93"/>
      <c r="BJ7" s="93" t="s">
        <v>28</v>
      </c>
      <c r="BK7" s="93"/>
      <c r="BL7" s="93" t="s">
        <v>29</v>
      </c>
      <c r="BM7" s="93"/>
      <c r="BN7" s="93" t="s">
        <v>30</v>
      </c>
      <c r="BO7" s="93"/>
      <c r="BP7" s="93" t="s">
        <v>31</v>
      </c>
      <c r="BQ7" s="93"/>
      <c r="BR7" s="93" t="s">
        <v>32</v>
      </c>
      <c r="BS7" s="93"/>
      <c r="BT7" s="93" t="s">
        <v>33</v>
      </c>
      <c r="BU7" s="93"/>
      <c r="BV7" s="93" t="s">
        <v>34</v>
      </c>
      <c r="BW7" s="93"/>
      <c r="BX7" s="93" t="s">
        <v>35</v>
      </c>
      <c r="BY7" s="93"/>
      <c r="BZ7" s="93" t="s">
        <v>36</v>
      </c>
      <c r="CA7" s="93"/>
      <c r="CB7" s="93" t="s">
        <v>37</v>
      </c>
      <c r="CC7" s="93"/>
      <c r="CD7" s="93" t="s">
        <v>38</v>
      </c>
      <c r="CE7" s="93"/>
      <c r="CF7" s="93" t="s">
        <v>39</v>
      </c>
      <c r="CG7" s="93"/>
      <c r="CH7" s="93" t="s">
        <v>40</v>
      </c>
      <c r="CI7" s="93"/>
      <c r="CJ7" s="93" t="s">
        <v>75</v>
      </c>
      <c r="CK7" s="93"/>
      <c r="CL7" s="93" t="s">
        <v>76</v>
      </c>
      <c r="CM7" s="93"/>
      <c r="CN7" s="93" t="s">
        <v>77</v>
      </c>
      <c r="CO7" s="93"/>
      <c r="CP7" s="93" t="s">
        <v>78</v>
      </c>
      <c r="CQ7" s="93"/>
      <c r="CR7" s="93" t="s">
        <v>79</v>
      </c>
      <c r="CS7" s="93"/>
      <c r="CT7" s="93" t="s">
        <v>80</v>
      </c>
      <c r="CU7" s="93"/>
      <c r="CV7" s="93" t="s">
        <v>81</v>
      </c>
      <c r="CW7" s="93"/>
      <c r="CX7" s="93" t="s">
        <v>82</v>
      </c>
      <c r="CY7" s="93"/>
    </row>
    <row r="8" spans="2:103" ht="19.5" customHeight="1" x14ac:dyDescent="0.25">
      <c r="B8" s="101"/>
      <c r="C8" s="103"/>
      <c r="D8" s="103"/>
      <c r="E8" s="105"/>
      <c r="F8" s="108"/>
      <c r="H8" s="27" t="s">
        <v>48</v>
      </c>
      <c r="I8" s="35" t="s">
        <v>70</v>
      </c>
      <c r="J8" s="35" t="s">
        <v>48</v>
      </c>
      <c r="K8" s="35" t="s">
        <v>70</v>
      </c>
      <c r="L8" s="35" t="s">
        <v>48</v>
      </c>
      <c r="M8" s="35" t="s">
        <v>70</v>
      </c>
      <c r="N8" s="35" t="s">
        <v>48</v>
      </c>
      <c r="O8" s="35" t="s">
        <v>70</v>
      </c>
      <c r="P8" s="35" t="s">
        <v>48</v>
      </c>
      <c r="Q8" s="35" t="s">
        <v>70</v>
      </c>
      <c r="R8" s="35" t="s">
        <v>48</v>
      </c>
      <c r="S8" s="35" t="s">
        <v>70</v>
      </c>
      <c r="T8" s="35" t="s">
        <v>48</v>
      </c>
      <c r="U8" s="35" t="s">
        <v>70</v>
      </c>
      <c r="V8" s="35" t="s">
        <v>48</v>
      </c>
      <c r="W8" s="35" t="s">
        <v>70</v>
      </c>
      <c r="X8" s="35" t="s">
        <v>48</v>
      </c>
      <c r="Y8" s="35" t="s">
        <v>70</v>
      </c>
      <c r="Z8" s="35" t="s">
        <v>48</v>
      </c>
      <c r="AA8" s="35" t="s">
        <v>70</v>
      </c>
      <c r="AB8" s="35" t="s">
        <v>48</v>
      </c>
      <c r="AC8" s="35" t="s">
        <v>70</v>
      </c>
      <c r="AD8" s="35" t="s">
        <v>48</v>
      </c>
      <c r="AE8" s="35" t="s">
        <v>70</v>
      </c>
      <c r="AF8" s="35" t="s">
        <v>48</v>
      </c>
      <c r="AG8" s="35" t="s">
        <v>70</v>
      </c>
      <c r="AH8" s="35" t="s">
        <v>48</v>
      </c>
      <c r="AI8" s="35" t="s">
        <v>70</v>
      </c>
      <c r="AJ8" s="35" t="s">
        <v>48</v>
      </c>
      <c r="AK8" s="35" t="s">
        <v>70</v>
      </c>
      <c r="AL8" s="35" t="s">
        <v>48</v>
      </c>
      <c r="AM8" s="35" t="s">
        <v>70</v>
      </c>
      <c r="AN8" s="35" t="s">
        <v>48</v>
      </c>
      <c r="AO8" s="35" t="s">
        <v>70</v>
      </c>
      <c r="AP8" s="35" t="s">
        <v>48</v>
      </c>
      <c r="AQ8" s="35" t="s">
        <v>70</v>
      </c>
      <c r="AR8" s="35" t="s">
        <v>48</v>
      </c>
      <c r="AS8" s="35" t="s">
        <v>70</v>
      </c>
      <c r="AT8" s="35" t="s">
        <v>48</v>
      </c>
      <c r="AU8" s="35" t="s">
        <v>70</v>
      </c>
      <c r="AV8" s="35" t="s">
        <v>48</v>
      </c>
      <c r="AW8" s="35" t="s">
        <v>70</v>
      </c>
      <c r="AX8" s="35" t="s">
        <v>48</v>
      </c>
      <c r="AY8" s="35" t="s">
        <v>70</v>
      </c>
      <c r="AZ8" s="35" t="s">
        <v>48</v>
      </c>
      <c r="BA8" s="35" t="s">
        <v>70</v>
      </c>
      <c r="BB8" s="35" t="s">
        <v>48</v>
      </c>
      <c r="BC8" s="35" t="s">
        <v>70</v>
      </c>
      <c r="BD8" s="35" t="s">
        <v>48</v>
      </c>
      <c r="BE8" s="35" t="s">
        <v>70</v>
      </c>
      <c r="BF8" s="35" t="s">
        <v>48</v>
      </c>
      <c r="BG8" s="35" t="s">
        <v>70</v>
      </c>
      <c r="BH8" s="35" t="s">
        <v>48</v>
      </c>
      <c r="BI8" s="35" t="s">
        <v>70</v>
      </c>
      <c r="BJ8" s="35" t="s">
        <v>48</v>
      </c>
      <c r="BK8" s="35" t="s">
        <v>70</v>
      </c>
      <c r="BL8" s="35" t="s">
        <v>48</v>
      </c>
      <c r="BM8" s="35" t="s">
        <v>70</v>
      </c>
      <c r="BN8" s="35" t="s">
        <v>48</v>
      </c>
      <c r="BO8" s="35" t="s">
        <v>70</v>
      </c>
      <c r="BP8" s="35" t="s">
        <v>48</v>
      </c>
      <c r="BQ8" s="35" t="s">
        <v>70</v>
      </c>
      <c r="BR8" s="35" t="s">
        <v>48</v>
      </c>
      <c r="BS8" s="35" t="s">
        <v>70</v>
      </c>
      <c r="BT8" s="35" t="s">
        <v>48</v>
      </c>
      <c r="BU8" s="35" t="s">
        <v>70</v>
      </c>
      <c r="BV8" s="35" t="s">
        <v>48</v>
      </c>
      <c r="BW8" s="35" t="s">
        <v>70</v>
      </c>
      <c r="BX8" s="35" t="s">
        <v>48</v>
      </c>
      <c r="BY8" s="35" t="s">
        <v>70</v>
      </c>
      <c r="BZ8" s="35" t="s">
        <v>48</v>
      </c>
      <c r="CA8" s="35" t="s">
        <v>70</v>
      </c>
      <c r="CB8" s="35" t="s">
        <v>48</v>
      </c>
      <c r="CC8" s="35" t="s">
        <v>70</v>
      </c>
      <c r="CD8" s="35" t="s">
        <v>48</v>
      </c>
      <c r="CE8" s="35" t="s">
        <v>70</v>
      </c>
      <c r="CF8" s="35" t="s">
        <v>48</v>
      </c>
      <c r="CG8" s="35" t="s">
        <v>70</v>
      </c>
      <c r="CH8" s="35" t="s">
        <v>48</v>
      </c>
      <c r="CI8" s="28" t="s">
        <v>70</v>
      </c>
      <c r="CJ8" s="35" t="s">
        <v>48</v>
      </c>
      <c r="CK8" s="28" t="s">
        <v>70</v>
      </c>
      <c r="CL8" s="35" t="s">
        <v>48</v>
      </c>
      <c r="CM8" s="28" t="s">
        <v>70</v>
      </c>
      <c r="CN8" s="35" t="s">
        <v>48</v>
      </c>
      <c r="CO8" s="28" t="s">
        <v>70</v>
      </c>
      <c r="CP8" s="35" t="s">
        <v>48</v>
      </c>
      <c r="CQ8" s="28" t="s">
        <v>70</v>
      </c>
      <c r="CR8" s="35" t="s">
        <v>48</v>
      </c>
      <c r="CS8" s="28" t="s">
        <v>70</v>
      </c>
      <c r="CT8" s="35" t="s">
        <v>48</v>
      </c>
      <c r="CU8" s="28" t="s">
        <v>70</v>
      </c>
      <c r="CV8" s="35" t="s">
        <v>48</v>
      </c>
      <c r="CW8" s="28" t="s">
        <v>70</v>
      </c>
      <c r="CX8" s="35" t="s">
        <v>48</v>
      </c>
      <c r="CY8" s="28" t="s">
        <v>70</v>
      </c>
    </row>
    <row r="9" spans="2:103" ht="19.5" customHeight="1" x14ac:dyDescent="0.25">
      <c r="B9" s="48" t="s">
        <v>50</v>
      </c>
      <c r="C9" s="60">
        <f>SUM([1]RESUMO!$B$2:$C$2)</f>
        <v>3035466.8134851363</v>
      </c>
      <c r="D9" s="49">
        <f ca="1">C9/$C$28</f>
        <v>8.5138979874865239E-2</v>
      </c>
      <c r="E9" s="62">
        <f>C9/'DISTRIBUIÇÃO CUSTO'!C$32</f>
        <v>138.35744212033725</v>
      </c>
      <c r="F9" s="76">
        <f>SUM(H9,J9,L9,N9,P9,R9,T9,V9,X9,Z9,AB9,AD9,AF9,AH9,AJ9,AL9,,AN9,AP9,AR9,AT9,AV9,AX9,AZ9,BB9,BD9,BF9,BH9,BJ9,BL9,BN9,BP9,BR9,BT9,BV9,BX9,BZ9,CB9,CD9,CF9,CH9,CJ9,CL9,CN9,CP9,CR9,CT9,CV9,CX9,)</f>
        <v>1.0000000000000013</v>
      </c>
      <c r="H9" s="50">
        <v>0.12424465228282958</v>
      </c>
      <c r="I9" s="51">
        <f t="shared" ref="I9" si="0">$C9*H9</f>
        <v>377140.51875752944</v>
      </c>
      <c r="J9" s="52">
        <v>0.11533175892494194</v>
      </c>
      <c r="K9" s="51">
        <f t="shared" ref="K9" si="1">$C9*J9</f>
        <v>350085.72675752942</v>
      </c>
      <c r="L9" s="52">
        <v>0.11533175892494194</v>
      </c>
      <c r="M9" s="51">
        <f t="shared" ref="M9" si="2">$C9*L9</f>
        <v>350085.72675752942</v>
      </c>
      <c r="N9" s="52">
        <v>8.9525588092011429E-2</v>
      </c>
      <c r="O9" s="51">
        <f t="shared" ref="O9" si="3">$C9*N9</f>
        <v>271751.9516110408</v>
      </c>
      <c r="P9" s="52">
        <v>8.9525588092011429E-2</v>
      </c>
      <c r="Q9" s="51">
        <f t="shared" ref="Q9" si="4">$C9*P9</f>
        <v>271751.9516110408</v>
      </c>
      <c r="R9" s="52">
        <v>8.9525588092011429E-2</v>
      </c>
      <c r="S9" s="51">
        <f t="shared" ref="S9" si="5">$C9*R9</f>
        <v>271751.9516110408</v>
      </c>
      <c r="T9" s="52">
        <v>8.9646444188393407E-3</v>
      </c>
      <c r="U9" s="51">
        <f t="shared" ref="U9" si="6">$C9*T9</f>
        <v>27211.880628081566</v>
      </c>
      <c r="V9" s="52">
        <v>8.9646444188393407E-3</v>
      </c>
      <c r="W9" s="51">
        <f t="shared" ref="W9" si="7">$C9*V9</f>
        <v>27211.880628081566</v>
      </c>
      <c r="X9" s="52">
        <v>8.9646444188393407E-3</v>
      </c>
      <c r="Y9" s="51">
        <f t="shared" ref="Y9" si="8">$C9*X9</f>
        <v>27211.880628081566</v>
      </c>
      <c r="Z9" s="52">
        <v>8.9646444188393407E-3</v>
      </c>
      <c r="AA9" s="51">
        <f t="shared" ref="AA9" si="9">$C9*Z9</f>
        <v>27211.880628081566</v>
      </c>
      <c r="AB9" s="52">
        <v>8.9646444188393407E-3</v>
      </c>
      <c r="AC9" s="51">
        <f t="shared" ref="AC9" si="10">$C9*AB9</f>
        <v>27211.880628081566</v>
      </c>
      <c r="AD9" s="52">
        <v>8.9646444188393407E-3</v>
      </c>
      <c r="AE9" s="51">
        <f t="shared" ref="AE9" si="11">$C9*AD9</f>
        <v>27211.880628081566</v>
      </c>
      <c r="AF9" s="52">
        <v>8.9646444188393407E-3</v>
      </c>
      <c r="AG9" s="51">
        <f t="shared" ref="AG9" si="12">$C9*AF9</f>
        <v>27211.880628081566</v>
      </c>
      <c r="AH9" s="52">
        <v>8.9646444188393407E-3</v>
      </c>
      <c r="AI9" s="51">
        <f t="shared" ref="AI9" si="13">$C9*AH9</f>
        <v>27211.880628081566</v>
      </c>
      <c r="AJ9" s="52">
        <v>8.9646444188393407E-3</v>
      </c>
      <c r="AK9" s="51">
        <f t="shared" ref="AK9" si="14">$C9*AJ9</f>
        <v>27211.880628081566</v>
      </c>
      <c r="AL9" s="52">
        <v>8.9646444188393407E-3</v>
      </c>
      <c r="AM9" s="51">
        <f t="shared" ref="AM9" si="15">$C9*AL9</f>
        <v>27211.880628081566</v>
      </c>
      <c r="AN9" s="52">
        <v>8.9646444188393407E-3</v>
      </c>
      <c r="AO9" s="51">
        <f t="shared" ref="AO9" si="16">$C9*AN9</f>
        <v>27211.880628081566</v>
      </c>
      <c r="AP9" s="52">
        <v>8.9646444188393407E-3</v>
      </c>
      <c r="AQ9" s="51">
        <f t="shared" ref="AQ9" si="17">$C9*AP9</f>
        <v>27211.880628081566</v>
      </c>
      <c r="AR9" s="52">
        <v>8.9646444188393407E-3</v>
      </c>
      <c r="AS9" s="51">
        <f t="shared" ref="AS9" si="18">$C9*AR9</f>
        <v>27211.880628081566</v>
      </c>
      <c r="AT9" s="52">
        <v>8.9646444188393407E-3</v>
      </c>
      <c r="AU9" s="51">
        <f t="shared" ref="AU9" si="19">$C9*AT9</f>
        <v>27211.880628081566</v>
      </c>
      <c r="AV9" s="52">
        <v>8.9646444188393407E-3</v>
      </c>
      <c r="AW9" s="51">
        <f t="shared" ref="AW9" si="20">$C9*AV9</f>
        <v>27211.880628081566</v>
      </c>
      <c r="AX9" s="52">
        <v>8.9646444188393407E-3</v>
      </c>
      <c r="AY9" s="51">
        <f t="shared" ref="AY9" si="21">$C9*AX9</f>
        <v>27211.880628081566</v>
      </c>
      <c r="AZ9" s="52">
        <v>8.9646444188393407E-3</v>
      </c>
      <c r="BA9" s="51">
        <f t="shared" ref="BA9" si="22">$C9*AZ9</f>
        <v>27211.880628081566</v>
      </c>
      <c r="BB9" s="52">
        <v>8.9646444188393407E-3</v>
      </c>
      <c r="BC9" s="51">
        <f t="shared" ref="BC9" si="23">$C9*BB9</f>
        <v>27211.880628081566</v>
      </c>
      <c r="BD9" s="52">
        <v>8.9646444188393407E-3</v>
      </c>
      <c r="BE9" s="51">
        <f t="shared" ref="BE9" si="24">$C9*BD9</f>
        <v>27211.880628081566</v>
      </c>
      <c r="BF9" s="52">
        <v>8.9646444188393407E-3</v>
      </c>
      <c r="BG9" s="51">
        <f t="shared" ref="BG9" si="25">$C9*BF9</f>
        <v>27211.880628081566</v>
      </c>
      <c r="BH9" s="52">
        <v>8.9646444188393407E-3</v>
      </c>
      <c r="BI9" s="51">
        <f t="shared" ref="BI9" si="26">$C9*BH9</f>
        <v>27211.880628081566</v>
      </c>
      <c r="BJ9" s="52">
        <v>8.9646444188393407E-3</v>
      </c>
      <c r="BK9" s="51">
        <f t="shared" ref="BK9" si="27">$C9*BJ9</f>
        <v>27211.880628081566</v>
      </c>
      <c r="BL9" s="52">
        <v>8.9646444188393407E-3</v>
      </c>
      <c r="BM9" s="51">
        <f t="shared" ref="BM9" si="28">$C9*BL9</f>
        <v>27211.880628081566</v>
      </c>
      <c r="BN9" s="52">
        <v>8.9646444188393407E-3</v>
      </c>
      <c r="BO9" s="51">
        <f t="shared" ref="BO9" si="29">$C9*BN9</f>
        <v>27211.880628081566</v>
      </c>
      <c r="BP9" s="52">
        <v>8.9646444188393407E-3</v>
      </c>
      <c r="BQ9" s="51">
        <f t="shared" ref="BQ9" si="30">$C9*BP9</f>
        <v>27211.880628081566</v>
      </c>
      <c r="BR9" s="52">
        <v>8.9646444188393407E-3</v>
      </c>
      <c r="BS9" s="51">
        <f t="shared" ref="BS9" si="31">$C9*BR9</f>
        <v>27211.880628081566</v>
      </c>
      <c r="BT9" s="52">
        <v>8.9646444188393407E-3</v>
      </c>
      <c r="BU9" s="51">
        <f t="shared" ref="BU9" si="32">$C9*BT9</f>
        <v>27211.880628081566</v>
      </c>
      <c r="BV9" s="52">
        <v>8.9646444188393407E-3</v>
      </c>
      <c r="BW9" s="51">
        <f t="shared" ref="BW9" si="33">$C9*BV9</f>
        <v>27211.880628081566</v>
      </c>
      <c r="BX9" s="52">
        <v>8.9646444188393407E-3</v>
      </c>
      <c r="BY9" s="51">
        <f t="shared" ref="BY9" si="34">$C9*BX9</f>
        <v>27211.880628081566</v>
      </c>
      <c r="BZ9" s="52">
        <v>8.9646444188393407E-3</v>
      </c>
      <c r="CA9" s="51">
        <f t="shared" ref="CA9" si="35">$C9*BZ9</f>
        <v>27211.880628081566</v>
      </c>
      <c r="CB9" s="52">
        <v>8.9646444188393407E-3</v>
      </c>
      <c r="CC9" s="51">
        <f t="shared" ref="CC9" si="36">$C9*CB9</f>
        <v>27211.880628081566</v>
      </c>
      <c r="CD9" s="52">
        <v>8.9646444188393407E-3</v>
      </c>
      <c r="CE9" s="51">
        <f t="shared" ref="CE9" si="37">$C9*CD9</f>
        <v>27211.880628081566</v>
      </c>
      <c r="CF9" s="52">
        <v>8.9646444188393407E-3</v>
      </c>
      <c r="CG9" s="51">
        <f t="shared" ref="CG9" si="38">$C9*CF9</f>
        <v>27211.880628081566</v>
      </c>
      <c r="CH9" s="52">
        <v>8.9646444188393407E-3</v>
      </c>
      <c r="CI9" s="51">
        <f t="shared" ref="CI9" si="39">$C9*CH9</f>
        <v>27211.880628081566</v>
      </c>
      <c r="CJ9" s="52">
        <v>8.9646444188393407E-3</v>
      </c>
      <c r="CK9" s="51">
        <f t="shared" ref="CK9" si="40">$C9*CJ9</f>
        <v>27211.880628081566</v>
      </c>
      <c r="CL9" s="52">
        <v>8.9646444188393407E-3</v>
      </c>
      <c r="CM9" s="51">
        <f t="shared" ref="CM9" si="41">$C9*CL9</f>
        <v>27211.880628081566</v>
      </c>
      <c r="CN9" s="52">
        <v>8.9646444188393407E-3</v>
      </c>
      <c r="CO9" s="51">
        <f t="shared" ref="CO9" si="42">$C9*CN9</f>
        <v>27211.880628081566</v>
      </c>
      <c r="CP9" s="52">
        <v>8.9646444188393407E-3</v>
      </c>
      <c r="CQ9" s="51">
        <f t="shared" ref="CQ9" si="43">$C9*CP9</f>
        <v>27211.880628081566</v>
      </c>
      <c r="CR9" s="52">
        <v>8.9646444188393407E-3</v>
      </c>
      <c r="CS9" s="51">
        <f t="shared" ref="CS9" si="44">$C9*CR9</f>
        <v>27211.880628081566</v>
      </c>
      <c r="CT9" s="52">
        <v>8.9646444188393407E-3</v>
      </c>
      <c r="CU9" s="51">
        <f t="shared" ref="CU9" si="45">$C9*CT9</f>
        <v>27211.880628081566</v>
      </c>
      <c r="CV9" s="52">
        <v>8.9646444188393407E-3</v>
      </c>
      <c r="CW9" s="51">
        <f t="shared" ref="CW9" si="46">$C9*CV9</f>
        <v>27211.880628081566</v>
      </c>
      <c r="CX9" s="52">
        <v>8.9646444188393407E-3</v>
      </c>
      <c r="CY9" s="51">
        <f t="shared" ref="CY9" si="47">$C9*CX9</f>
        <v>27211.880628081566</v>
      </c>
    </row>
    <row r="10" spans="2:103" ht="19.5" customHeight="1" x14ac:dyDescent="0.25">
      <c r="B10" s="44" t="s">
        <v>53</v>
      </c>
      <c r="C10" s="61">
        <f>SUM([1]RESUMO!$B$3:$C$3)</f>
        <v>245046.92881524289</v>
      </c>
      <c r="D10" s="30">
        <f ca="1">C10/$C$28</f>
        <v>6.8730929450830768E-3</v>
      </c>
      <c r="E10" s="63">
        <f>C10/'DISTRIBUIÇÃO CUSTO'!C$32</f>
        <v>11.169308825812793</v>
      </c>
      <c r="F10" s="77">
        <f t="shared" ref="F10:F27" si="48">SUM(H10,J10,L10,N10,P10,R10,T10,V10,X10,Z10,AB10,AD10,AF10,AH10,AJ10,AL10,,AN10,AP10,AR10,AT10,AV10,AX10,AZ10,BB10,BD10,BF10,BH10,BJ10,BL10,BN10,BP10,BR10,BT10,BV10,BX10,BZ10,CB10,CD10,CF10,CH10,CJ10,CL10,CN10,CP10,CR10,CT10,CV10,CX10,)</f>
        <v>1</v>
      </c>
      <c r="H10" s="29">
        <f>IF(PRAZO!C8&gt;0,1/PRAZO!$AY8,0)</f>
        <v>1</v>
      </c>
      <c r="I10" s="82">
        <f t="shared" ref="I10" si="49">$C10*H10</f>
        <v>245046.92881524289</v>
      </c>
      <c r="J10" s="29">
        <f>IF(PRAZO!D8&gt;0,1/PRAZO!$AY8,0)</f>
        <v>0</v>
      </c>
      <c r="K10" s="82">
        <f t="shared" ref="K10" si="50">$C10*J10</f>
        <v>0</v>
      </c>
      <c r="L10" s="29">
        <f>IF(PRAZO!E8&gt;0,1/PRAZO!$AY8,0)</f>
        <v>0</v>
      </c>
      <c r="M10" s="82">
        <f t="shared" ref="M10" si="51">$C10*L10</f>
        <v>0</v>
      </c>
      <c r="N10" s="29">
        <f>IF(PRAZO!F8&gt;0,1/PRAZO!$AY8,0)</f>
        <v>0</v>
      </c>
      <c r="O10" s="82">
        <f t="shared" ref="O10" si="52">$C10*N10</f>
        <v>0</v>
      </c>
      <c r="P10" s="29">
        <f>IF(PRAZO!G8&gt;0,1/PRAZO!$AY8,0)</f>
        <v>0</v>
      </c>
      <c r="Q10" s="82">
        <f t="shared" ref="Q10" si="53">$C10*P10</f>
        <v>0</v>
      </c>
      <c r="R10" s="29">
        <f>IF(PRAZO!H8&gt;0,1/PRAZO!$AY8,0)</f>
        <v>0</v>
      </c>
      <c r="S10" s="82">
        <f t="shared" ref="S10" si="54">$C10*R10</f>
        <v>0</v>
      </c>
      <c r="T10" s="29">
        <f>IF(PRAZO!I8&gt;0,1/PRAZO!$AY8,0)</f>
        <v>0</v>
      </c>
      <c r="U10" s="82">
        <f t="shared" ref="U10" si="55">$C10*T10</f>
        <v>0</v>
      </c>
      <c r="V10" s="29">
        <f>IF(PRAZO!J8&gt;0,1/PRAZO!$AY8,0)</f>
        <v>0</v>
      </c>
      <c r="W10" s="82">
        <f t="shared" ref="W10" si="56">$C10*V10</f>
        <v>0</v>
      </c>
      <c r="X10" s="29">
        <f>IF(PRAZO!K8&gt;0,1/PRAZO!$AY8,0)</f>
        <v>0</v>
      </c>
      <c r="Y10" s="82">
        <f t="shared" ref="Y10" si="57">$C10*X10</f>
        <v>0</v>
      </c>
      <c r="Z10" s="29">
        <f>IF(PRAZO!L8&gt;0,1/PRAZO!$AY8,0)</f>
        <v>0</v>
      </c>
      <c r="AA10" s="82">
        <f t="shared" ref="AA10" si="58">$C10*Z10</f>
        <v>0</v>
      </c>
      <c r="AB10" s="29">
        <f>IF(PRAZO!M8&gt;0,1/PRAZO!$AY8,0)</f>
        <v>0</v>
      </c>
      <c r="AC10" s="82">
        <f t="shared" ref="AC10" si="59">$C10*AB10</f>
        <v>0</v>
      </c>
      <c r="AD10" s="29">
        <f>IF(PRAZO!N8&gt;0,1/PRAZO!$AY8,0)</f>
        <v>0</v>
      </c>
      <c r="AE10" s="82">
        <f t="shared" ref="AE10" si="60">$C10*AD10</f>
        <v>0</v>
      </c>
      <c r="AF10" s="29">
        <f>IF(PRAZO!O8&gt;0,1/PRAZO!$AY8,0)</f>
        <v>0</v>
      </c>
      <c r="AG10" s="82">
        <f t="shared" ref="AG10" si="61">$C10*AF10</f>
        <v>0</v>
      </c>
      <c r="AH10" s="29">
        <f>IF(PRAZO!P8&gt;0,1/PRAZO!$AY8,0)</f>
        <v>0</v>
      </c>
      <c r="AI10" s="82">
        <f t="shared" ref="AI10" si="62">$C10*AH10</f>
        <v>0</v>
      </c>
      <c r="AJ10" s="29">
        <f>IF(PRAZO!Q8&gt;0,1/PRAZO!$AY8,0)</f>
        <v>0</v>
      </c>
      <c r="AK10" s="82">
        <f t="shared" ref="AK10" si="63">$C10*AJ10</f>
        <v>0</v>
      </c>
      <c r="AL10" s="29">
        <f>IF(PRAZO!R8&gt;0,1/PRAZO!$AY8,0)</f>
        <v>0</v>
      </c>
      <c r="AM10" s="82">
        <f t="shared" ref="AM10" si="64">$C10*AL10</f>
        <v>0</v>
      </c>
      <c r="AN10" s="29">
        <f>IF(PRAZO!S8&gt;0,1/PRAZO!$AY8,0)</f>
        <v>0</v>
      </c>
      <c r="AO10" s="82">
        <f t="shared" ref="AO10" si="65">$C10*AN10</f>
        <v>0</v>
      </c>
      <c r="AP10" s="29">
        <f>IF(PRAZO!T8&gt;0,1/PRAZO!$AY8,0)</f>
        <v>0</v>
      </c>
      <c r="AQ10" s="82">
        <f t="shared" ref="AQ10" si="66">$C10*AP10</f>
        <v>0</v>
      </c>
      <c r="AR10" s="29">
        <f>IF(PRAZO!U8&gt;0,1/PRAZO!$AY8,0)</f>
        <v>0</v>
      </c>
      <c r="AS10" s="82">
        <f t="shared" ref="AS10" si="67">$C10*AR10</f>
        <v>0</v>
      </c>
      <c r="AT10" s="29">
        <f>IF(PRAZO!V8&gt;0,1/PRAZO!$AY8,0)</f>
        <v>0</v>
      </c>
      <c r="AU10" s="82">
        <f t="shared" ref="AU10" si="68">$C10*AT10</f>
        <v>0</v>
      </c>
      <c r="AV10" s="29">
        <f>IF(PRAZO!W8&gt;0,1/PRAZO!$AY8,0)</f>
        <v>0</v>
      </c>
      <c r="AW10" s="82">
        <f t="shared" ref="AW10" si="69">$C10*AV10</f>
        <v>0</v>
      </c>
      <c r="AX10" s="29">
        <f>IF(PRAZO!X8&gt;0,1/PRAZO!$AY8,0)</f>
        <v>0</v>
      </c>
      <c r="AY10" s="82">
        <f t="shared" ref="AY10" si="70">$C10*AX10</f>
        <v>0</v>
      </c>
      <c r="AZ10" s="29">
        <f>IF(PRAZO!Y8&gt;0,1/PRAZO!$AY8,0)</f>
        <v>0</v>
      </c>
      <c r="BA10" s="82">
        <f t="shared" ref="BA10" si="71">$C10*AZ10</f>
        <v>0</v>
      </c>
      <c r="BB10" s="29">
        <f>IF(PRAZO!Z8&gt;0,1/PRAZO!$AY8,0)</f>
        <v>0</v>
      </c>
      <c r="BC10" s="82">
        <f t="shared" ref="BC10" si="72">$C10*BB10</f>
        <v>0</v>
      </c>
      <c r="BD10" s="29">
        <f>IF(PRAZO!AA8&gt;0,1/PRAZO!$AY8,0)</f>
        <v>0</v>
      </c>
      <c r="BE10" s="82">
        <f t="shared" ref="BE10" si="73">$C10*BD10</f>
        <v>0</v>
      </c>
      <c r="BF10" s="29">
        <f>IF(PRAZO!AB8&gt;0,1/PRAZO!$AY8,0)</f>
        <v>0</v>
      </c>
      <c r="BG10" s="82">
        <f t="shared" ref="BG10" si="74">$C10*BF10</f>
        <v>0</v>
      </c>
      <c r="BH10" s="29">
        <f>IF(PRAZO!AC8&gt;0,1/PRAZO!$AY8,0)</f>
        <v>0</v>
      </c>
      <c r="BI10" s="82">
        <f t="shared" ref="BI10" si="75">$C10*BH10</f>
        <v>0</v>
      </c>
      <c r="BJ10" s="29">
        <f>IF(PRAZO!AD8&gt;0,1/PRAZO!$AY8,0)</f>
        <v>0</v>
      </c>
      <c r="BK10" s="82">
        <f t="shared" ref="BK10" si="76">$C10*BJ10</f>
        <v>0</v>
      </c>
      <c r="BL10" s="29">
        <f>IF(PRAZO!AE8&gt;0,1/PRAZO!$AY8,0)</f>
        <v>0</v>
      </c>
      <c r="BM10" s="82">
        <f t="shared" ref="BM10" si="77">$C10*BL10</f>
        <v>0</v>
      </c>
      <c r="BN10" s="29">
        <f>IF(PRAZO!AF8&gt;0,1/PRAZO!$AY8,0)</f>
        <v>0</v>
      </c>
      <c r="BO10" s="82">
        <f t="shared" ref="BO10" si="78">$C10*BN10</f>
        <v>0</v>
      </c>
      <c r="BP10" s="29">
        <f>IF(PRAZO!AG8&gt;0,1/PRAZO!$AY8,0)</f>
        <v>0</v>
      </c>
      <c r="BQ10" s="82">
        <f t="shared" ref="BQ10" si="79">$C10*BP10</f>
        <v>0</v>
      </c>
      <c r="BR10" s="29">
        <f>IF(PRAZO!AH8&gt;0,1/PRAZO!$AY8,0)</f>
        <v>0</v>
      </c>
      <c r="BS10" s="82">
        <f t="shared" ref="BS10" si="80">$C10*BR10</f>
        <v>0</v>
      </c>
      <c r="BT10" s="29">
        <f>IF(PRAZO!AI8&gt;0,1/PRAZO!$AY8,0)</f>
        <v>0</v>
      </c>
      <c r="BU10" s="82">
        <f t="shared" ref="BU10" si="81">$C10*BT10</f>
        <v>0</v>
      </c>
      <c r="BV10" s="29">
        <f>IF(PRAZO!AJ8&gt;0,1/PRAZO!$AY8,0)</f>
        <v>0</v>
      </c>
      <c r="BW10" s="82">
        <f t="shared" ref="BW10" si="82">$C10*BV10</f>
        <v>0</v>
      </c>
      <c r="BX10" s="29">
        <f>IF(PRAZO!AK8&gt;0,1/PRAZO!$AY8,0)</f>
        <v>0</v>
      </c>
      <c r="BY10" s="82">
        <f t="shared" ref="BY10" si="83">$C10*BX10</f>
        <v>0</v>
      </c>
      <c r="BZ10" s="29">
        <f>IF(PRAZO!AL8&gt;0,1/PRAZO!$AY8,0)</f>
        <v>0</v>
      </c>
      <c r="CA10" s="82">
        <f t="shared" ref="CA10" si="84">$C10*BZ10</f>
        <v>0</v>
      </c>
      <c r="CB10" s="29">
        <f>IF(PRAZO!AM8&gt;0,1/PRAZO!$AY8,0)</f>
        <v>0</v>
      </c>
      <c r="CC10" s="82">
        <f t="shared" ref="CC10" si="85">$C10*CB10</f>
        <v>0</v>
      </c>
      <c r="CD10" s="29">
        <f>IF(PRAZO!AN8&gt;0,1/PRAZO!$AY8,0)</f>
        <v>0</v>
      </c>
      <c r="CE10" s="82">
        <f t="shared" ref="CE10" si="86">$C10*CD10</f>
        <v>0</v>
      </c>
      <c r="CF10" s="29">
        <f>IF(PRAZO!AO8&gt;0,1/PRAZO!$AY8,0)</f>
        <v>0</v>
      </c>
      <c r="CG10" s="82">
        <f t="shared" ref="CG10" si="87">$C10*CF10</f>
        <v>0</v>
      </c>
      <c r="CH10" s="29">
        <f>IF(PRAZO!AP8&gt;0,1/PRAZO!$AY8,0)</f>
        <v>0</v>
      </c>
      <c r="CI10" s="82">
        <f t="shared" ref="CI10" si="88">$C10*CH10</f>
        <v>0</v>
      </c>
      <c r="CJ10" s="29">
        <f>IF(PRAZO!AQ8&gt;0,1/PRAZO!$AY8,0)</f>
        <v>0</v>
      </c>
      <c r="CK10" s="82">
        <f t="shared" ref="CK10" si="89">$C10*CJ10</f>
        <v>0</v>
      </c>
      <c r="CL10" s="29">
        <f>IF(PRAZO!AR8&gt;0,1/PRAZO!$AY8,0)</f>
        <v>0</v>
      </c>
      <c r="CM10" s="82">
        <f t="shared" ref="CM10" si="90">$C10*CL10</f>
        <v>0</v>
      </c>
      <c r="CN10" s="29">
        <f>IF(PRAZO!AS8&gt;0,1/PRAZO!$AY8,0)</f>
        <v>0</v>
      </c>
      <c r="CO10" s="82">
        <f t="shared" ref="CO10" si="91">$C10*CN10</f>
        <v>0</v>
      </c>
      <c r="CP10" s="29">
        <f>IF(PRAZO!AT8&gt;0,1/PRAZO!$AY8,0)</f>
        <v>0</v>
      </c>
      <c r="CQ10" s="82">
        <f t="shared" ref="CQ10" si="92">$C10*CP10</f>
        <v>0</v>
      </c>
      <c r="CR10" s="29">
        <f>IF(PRAZO!AU8&gt;0,1/PRAZO!$AY8,0)</f>
        <v>0</v>
      </c>
      <c r="CS10" s="82">
        <f t="shared" ref="CS10" si="93">$C10*CR10</f>
        <v>0</v>
      </c>
      <c r="CT10" s="29">
        <f>IF(PRAZO!AV8&gt;0,1/PRAZO!$AY8,0)</f>
        <v>0</v>
      </c>
      <c r="CU10" s="82">
        <f t="shared" ref="CU10" si="94">$C10*CT10</f>
        <v>0</v>
      </c>
      <c r="CV10" s="29">
        <f>IF(PRAZO!AW8&gt;0,1/PRAZO!$AY8,0)</f>
        <v>0</v>
      </c>
      <c r="CW10" s="82">
        <f t="shared" ref="CW10:CW27" si="95">$C10*CV10</f>
        <v>0</v>
      </c>
      <c r="CX10" s="29">
        <f>IF(PRAZO!AX8&gt;0,1/PRAZO!$AY8,0)</f>
        <v>0</v>
      </c>
      <c r="CY10" s="82">
        <f t="shared" ref="CY10" si="96">$C10*CX10</f>
        <v>0</v>
      </c>
    </row>
    <row r="11" spans="2:103" ht="19.5" customHeight="1" x14ac:dyDescent="0.25">
      <c r="B11" s="48" t="s">
        <v>54</v>
      </c>
      <c r="C11" s="60">
        <f>SUM([1]RESUMO!$B$4:$C$5)</f>
        <v>3074660.5898429188</v>
      </c>
      <c r="D11" s="49">
        <f ca="1">C11/$C$28</f>
        <v>8.6238289582920971E-2</v>
      </c>
      <c r="E11" s="62">
        <f>C11/'DISTRIBUIÇÃO CUSTO'!C$32</f>
        <v>140.1439056124791</v>
      </c>
      <c r="F11" s="76">
        <f t="shared" si="48"/>
        <v>1</v>
      </c>
      <c r="H11" s="50">
        <f>IF(PRAZO!C9&gt;0,1/PRAZO!$AY9,0)</f>
        <v>0</v>
      </c>
      <c r="I11" s="51">
        <f t="shared" ref="I11:I24" si="97">$C11*H11</f>
        <v>0</v>
      </c>
      <c r="J11" s="52">
        <f>IF(PRAZO!D9&gt;0,1/PRAZO!$AY9,0)</f>
        <v>0.125</v>
      </c>
      <c r="K11" s="51">
        <f t="shared" ref="K11:K24" si="98">$C11*J11</f>
        <v>384332.57373036485</v>
      </c>
      <c r="L11" s="52">
        <f>IF(PRAZO!E9&gt;0,1/PRAZO!$AY9,0)</f>
        <v>0.125</v>
      </c>
      <c r="M11" s="51">
        <f t="shared" ref="M11:M24" si="99">$C11*L11</f>
        <v>384332.57373036485</v>
      </c>
      <c r="N11" s="52">
        <f>IF(PRAZO!F9&gt;0,1/PRAZO!$AY9,0)</f>
        <v>0.125</v>
      </c>
      <c r="O11" s="51">
        <f t="shared" ref="O11:O24" si="100">$C11*N11</f>
        <v>384332.57373036485</v>
      </c>
      <c r="P11" s="52">
        <f>IF(PRAZO!G9&gt;0,1/PRAZO!$AY9,0)</f>
        <v>0.125</v>
      </c>
      <c r="Q11" s="51">
        <f t="shared" ref="Q11:Q24" si="101">$C11*P11</f>
        <v>384332.57373036485</v>
      </c>
      <c r="R11" s="52">
        <f>IF(PRAZO!H9&gt;0,1/PRAZO!$AY9,0)</f>
        <v>0.125</v>
      </c>
      <c r="S11" s="51">
        <f t="shared" ref="S11:S24" si="102">$C11*R11</f>
        <v>384332.57373036485</v>
      </c>
      <c r="T11" s="52">
        <f>IF(PRAZO!I9&gt;0,1/PRAZO!$AY9,0)</f>
        <v>0.125</v>
      </c>
      <c r="U11" s="51">
        <f t="shared" ref="U11:U24" si="103">$C11*T11</f>
        <v>384332.57373036485</v>
      </c>
      <c r="V11" s="52">
        <f>IF(PRAZO!J9&gt;0,1/PRAZO!$AY9,0)</f>
        <v>0.125</v>
      </c>
      <c r="W11" s="51">
        <f t="shared" ref="W11:W24" si="104">$C11*V11</f>
        <v>384332.57373036485</v>
      </c>
      <c r="X11" s="52">
        <f>IF(PRAZO!K9&gt;0,1/PRAZO!$AY9,0)</f>
        <v>0.125</v>
      </c>
      <c r="Y11" s="51">
        <f t="shared" ref="Y11:Y24" si="105">$C11*X11</f>
        <v>384332.57373036485</v>
      </c>
      <c r="Z11" s="52">
        <f>IF(PRAZO!L9&gt;0,1/PRAZO!$AY9,0)</f>
        <v>0</v>
      </c>
      <c r="AA11" s="51">
        <f t="shared" ref="AA11:AA24" si="106">$C11*Z11</f>
        <v>0</v>
      </c>
      <c r="AB11" s="52">
        <f>IF(PRAZO!M9&gt;0,1/PRAZO!$AY9,0)</f>
        <v>0</v>
      </c>
      <c r="AC11" s="51">
        <f t="shared" ref="AC11:AC24" si="107">$C11*AB11</f>
        <v>0</v>
      </c>
      <c r="AD11" s="52">
        <f>IF(PRAZO!N9&gt;0,1/PRAZO!$AY9,0)</f>
        <v>0</v>
      </c>
      <c r="AE11" s="51">
        <f t="shared" ref="AE11:AE24" si="108">$C11*AD11</f>
        <v>0</v>
      </c>
      <c r="AF11" s="52">
        <f>IF(PRAZO!O9&gt;0,1/PRAZO!$AY9,0)</f>
        <v>0</v>
      </c>
      <c r="AG11" s="51">
        <f t="shared" ref="AG11:AG24" si="109">$C11*AF11</f>
        <v>0</v>
      </c>
      <c r="AH11" s="52">
        <f>IF(PRAZO!P9&gt;0,1/PRAZO!$AY9,0)</f>
        <v>0</v>
      </c>
      <c r="AI11" s="51">
        <f t="shared" ref="AI11:AI24" si="110">$C11*AH11</f>
        <v>0</v>
      </c>
      <c r="AJ11" s="52">
        <f>IF(PRAZO!Q9&gt;0,1/PRAZO!$AY9,0)</f>
        <v>0</v>
      </c>
      <c r="AK11" s="51">
        <f t="shared" ref="AK11:AK24" si="111">$C11*AJ11</f>
        <v>0</v>
      </c>
      <c r="AL11" s="52">
        <f>IF(PRAZO!R9&gt;0,1/PRAZO!$AY9,0)</f>
        <v>0</v>
      </c>
      <c r="AM11" s="51">
        <f t="shared" ref="AM11:AM24" si="112">$C11*AL11</f>
        <v>0</v>
      </c>
      <c r="AN11" s="52">
        <f>IF(PRAZO!S9&gt;0,1/PRAZO!$AY9,0)</f>
        <v>0</v>
      </c>
      <c r="AO11" s="51">
        <f t="shared" ref="AO11:AO24" si="113">$C11*AN11</f>
        <v>0</v>
      </c>
      <c r="AP11" s="52">
        <f>IF(PRAZO!T9&gt;0,1/PRAZO!$AY9,0)</f>
        <v>0</v>
      </c>
      <c r="AQ11" s="51">
        <f t="shared" ref="AQ11:AQ24" si="114">$C11*AP11</f>
        <v>0</v>
      </c>
      <c r="AR11" s="52">
        <f>IF(PRAZO!U9&gt;0,1/PRAZO!$AY9,0)</f>
        <v>0</v>
      </c>
      <c r="AS11" s="51">
        <f t="shared" ref="AS11:AS24" si="115">$C11*AR11</f>
        <v>0</v>
      </c>
      <c r="AT11" s="52">
        <f>IF(PRAZO!V9&gt;0,1/PRAZO!$AY9,0)</f>
        <v>0</v>
      </c>
      <c r="AU11" s="51">
        <f t="shared" ref="AU11:AU24" si="116">$C11*AT11</f>
        <v>0</v>
      </c>
      <c r="AV11" s="52">
        <f>IF(PRAZO!W9&gt;0,1/PRAZO!$AY9,0)</f>
        <v>0</v>
      </c>
      <c r="AW11" s="51">
        <f t="shared" ref="AW11:AW24" si="117">$C11*AV11</f>
        <v>0</v>
      </c>
      <c r="AX11" s="52">
        <f>IF(PRAZO!X9&gt;0,1/PRAZO!$AY9,0)</f>
        <v>0</v>
      </c>
      <c r="AY11" s="51">
        <f t="shared" ref="AY11:AY24" si="118">$C11*AX11</f>
        <v>0</v>
      </c>
      <c r="AZ11" s="52">
        <f>IF(PRAZO!Y9&gt;0,1/PRAZO!$AY9,0)</f>
        <v>0</v>
      </c>
      <c r="BA11" s="51">
        <f t="shared" ref="BA11:BA24" si="119">$C11*AZ11</f>
        <v>0</v>
      </c>
      <c r="BB11" s="52">
        <f>IF(PRAZO!Z9&gt;0,1/PRAZO!$AY9,0)</f>
        <v>0</v>
      </c>
      <c r="BC11" s="51">
        <f t="shared" ref="BC11:BC24" si="120">$C11*BB11</f>
        <v>0</v>
      </c>
      <c r="BD11" s="52">
        <f>IF(PRAZO!AA9&gt;0,1/PRAZO!$AY9,0)</f>
        <v>0</v>
      </c>
      <c r="BE11" s="51">
        <f t="shared" ref="BE11:BE24" si="121">$C11*BD11</f>
        <v>0</v>
      </c>
      <c r="BF11" s="52">
        <f>IF(PRAZO!AB9&gt;0,1/PRAZO!$AY9,0)</f>
        <v>0</v>
      </c>
      <c r="BG11" s="51">
        <f t="shared" ref="BG11:BG24" si="122">$C11*BF11</f>
        <v>0</v>
      </c>
      <c r="BH11" s="52">
        <f>IF(PRAZO!AC9&gt;0,1/PRAZO!$AY9,0)</f>
        <v>0</v>
      </c>
      <c r="BI11" s="51">
        <f t="shared" ref="BI11:BI24" si="123">$C11*BH11</f>
        <v>0</v>
      </c>
      <c r="BJ11" s="52">
        <f>IF(PRAZO!AD9&gt;0,1/PRAZO!$AY9,0)</f>
        <v>0</v>
      </c>
      <c r="BK11" s="51">
        <f t="shared" ref="BK11:BK24" si="124">$C11*BJ11</f>
        <v>0</v>
      </c>
      <c r="BL11" s="52">
        <f>IF(PRAZO!AE9&gt;0,1/PRAZO!$AY9,0)</f>
        <v>0</v>
      </c>
      <c r="BM11" s="51">
        <f t="shared" ref="BM11:BM24" si="125">$C11*BL11</f>
        <v>0</v>
      </c>
      <c r="BN11" s="52">
        <f>IF(PRAZO!AF9&gt;0,1/PRAZO!$AY9,0)</f>
        <v>0</v>
      </c>
      <c r="BO11" s="51">
        <f t="shared" ref="BO11:BO24" si="126">$C11*BN11</f>
        <v>0</v>
      </c>
      <c r="BP11" s="52">
        <f>IF(PRAZO!AG9&gt;0,1/PRAZO!$AY9,0)</f>
        <v>0</v>
      </c>
      <c r="BQ11" s="51">
        <f t="shared" ref="BQ11:BQ24" si="127">$C11*BP11</f>
        <v>0</v>
      </c>
      <c r="BR11" s="52">
        <f>IF(PRAZO!AH9&gt;0,1/PRAZO!$AY9,0)</f>
        <v>0</v>
      </c>
      <c r="BS11" s="51">
        <f t="shared" ref="BS11:BS24" si="128">$C11*BR11</f>
        <v>0</v>
      </c>
      <c r="BT11" s="52">
        <f>IF(PRAZO!AI9&gt;0,1/PRAZO!$AY9,0)</f>
        <v>0</v>
      </c>
      <c r="BU11" s="51">
        <f t="shared" ref="BU11:BU24" si="129">$C11*BT11</f>
        <v>0</v>
      </c>
      <c r="BV11" s="52">
        <f>IF(PRAZO!AJ9&gt;0,1/PRAZO!$AY9,0)</f>
        <v>0</v>
      </c>
      <c r="BW11" s="51">
        <f t="shared" ref="BW11:BW24" si="130">$C11*BV11</f>
        <v>0</v>
      </c>
      <c r="BX11" s="52">
        <f>IF(PRAZO!AK9&gt;0,1/PRAZO!$AY9,0)</f>
        <v>0</v>
      </c>
      <c r="BY11" s="51">
        <f t="shared" ref="BY11:BY24" si="131">$C11*BX11</f>
        <v>0</v>
      </c>
      <c r="BZ11" s="52">
        <f>IF(PRAZO!AL9&gt;0,1/PRAZO!$AY9,0)</f>
        <v>0</v>
      </c>
      <c r="CA11" s="51">
        <f t="shared" ref="CA11:CA24" si="132">$C11*BZ11</f>
        <v>0</v>
      </c>
      <c r="CB11" s="52">
        <f>IF(PRAZO!AM9&gt;0,1/PRAZO!$AY9,0)</f>
        <v>0</v>
      </c>
      <c r="CC11" s="51">
        <f t="shared" ref="CC11:CC24" si="133">$C11*CB11</f>
        <v>0</v>
      </c>
      <c r="CD11" s="52">
        <f>IF(PRAZO!AN9&gt;0,1/PRAZO!$AY9,0)</f>
        <v>0</v>
      </c>
      <c r="CE11" s="51">
        <f t="shared" ref="CE11:CE24" si="134">$C11*CD11</f>
        <v>0</v>
      </c>
      <c r="CF11" s="52">
        <f>IF(PRAZO!AO9&gt;0,1/PRAZO!$AY9,0)</f>
        <v>0</v>
      </c>
      <c r="CG11" s="51">
        <f t="shared" ref="CG11:CG24" si="135">$C11*CF11</f>
        <v>0</v>
      </c>
      <c r="CH11" s="52">
        <f>IF(PRAZO!AP9&gt;0,1/PRAZO!$AY9,0)</f>
        <v>0</v>
      </c>
      <c r="CI11" s="51">
        <f t="shared" ref="CI11:CI24" si="136">$C11*CH11</f>
        <v>0</v>
      </c>
      <c r="CJ11" s="52">
        <f>IF(PRAZO!AQ9&gt;0,1/PRAZO!$AY9,0)</f>
        <v>0</v>
      </c>
      <c r="CK11" s="51">
        <f t="shared" ref="CK11:CK24" si="137">$C11*CJ11</f>
        <v>0</v>
      </c>
      <c r="CL11" s="52">
        <f>IF(PRAZO!AR9&gt;0,1/PRAZO!$AY9,0)</f>
        <v>0</v>
      </c>
      <c r="CM11" s="51">
        <f t="shared" ref="CM11:CM24" si="138">$C11*CL11</f>
        <v>0</v>
      </c>
      <c r="CN11" s="52">
        <f>IF(PRAZO!AS9&gt;0,1/PRAZO!$AY9,0)</f>
        <v>0</v>
      </c>
      <c r="CO11" s="51">
        <f t="shared" ref="CO11:CO24" si="139">$C11*CN11</f>
        <v>0</v>
      </c>
      <c r="CP11" s="52">
        <f>IF(PRAZO!AT9&gt;0,1/PRAZO!$AY9,0)</f>
        <v>0</v>
      </c>
      <c r="CQ11" s="51">
        <f t="shared" ref="CQ11:CQ24" si="140">$C11*CP11</f>
        <v>0</v>
      </c>
      <c r="CR11" s="52">
        <f>IF(PRAZO!AU9&gt;0,1/PRAZO!$AY9,0)</f>
        <v>0</v>
      </c>
      <c r="CS11" s="51">
        <f t="shared" ref="CS11:CS24" si="141">$C11*CR11</f>
        <v>0</v>
      </c>
      <c r="CT11" s="52">
        <f>IF(PRAZO!AV9&gt;0,1/PRAZO!$AY9,0)</f>
        <v>0</v>
      </c>
      <c r="CU11" s="51">
        <f t="shared" ref="CU11:CU24" si="142">$C11*CT11</f>
        <v>0</v>
      </c>
      <c r="CV11" s="52">
        <f>IF(PRAZO!AW9&gt;0,1/PRAZO!$AY9,0)</f>
        <v>0</v>
      </c>
      <c r="CW11" s="51">
        <f t="shared" ref="CW11:CW24" si="143">$C11*CV11</f>
        <v>0</v>
      </c>
      <c r="CX11" s="52">
        <f>IF(PRAZO!AX9&gt;0,1/PRAZO!$AY9,0)</f>
        <v>0</v>
      </c>
      <c r="CY11" s="51">
        <f t="shared" ref="CY11:CY24" si="144">$C11*CX11</f>
        <v>0</v>
      </c>
    </row>
    <row r="12" spans="2:103" ht="19.5" customHeight="1" x14ac:dyDescent="0.25">
      <c r="B12" s="44" t="s">
        <v>55</v>
      </c>
      <c r="C12" s="61">
        <f>SUM([1]RESUMO!$B$6:$C$6)</f>
        <v>4269342.1085700011</v>
      </c>
      <c r="D12" s="30">
        <f ca="1">C12/$C$28</f>
        <v>0.11974679816812826</v>
      </c>
      <c r="E12" s="63">
        <f>C12/'DISTRIBUIÇÃO CUSTO'!C$32</f>
        <v>194.59782958397511</v>
      </c>
      <c r="F12" s="77">
        <f t="shared" si="48"/>
        <v>1</v>
      </c>
      <c r="H12" s="29">
        <f>IF(PRAZO!C10&gt;0,1/PRAZO!$AY10,0)</f>
        <v>0</v>
      </c>
      <c r="I12" s="82">
        <f t="shared" si="97"/>
        <v>0</v>
      </c>
      <c r="J12" s="29">
        <f>IF(PRAZO!D10&gt;0,1/PRAZO!$AY10,0)</f>
        <v>0</v>
      </c>
      <c r="K12" s="82">
        <f t="shared" si="98"/>
        <v>0</v>
      </c>
      <c r="L12" s="29">
        <f>IF(PRAZO!E10&gt;0,1/PRAZO!$AY10,0)</f>
        <v>0</v>
      </c>
      <c r="M12" s="82">
        <f t="shared" si="99"/>
        <v>0</v>
      </c>
      <c r="N12" s="29">
        <f>IF(PRAZO!F10&gt;0,1/PRAZO!$AY10,0)</f>
        <v>0</v>
      </c>
      <c r="O12" s="82">
        <f t="shared" si="100"/>
        <v>0</v>
      </c>
      <c r="P12" s="29">
        <f>IF(PRAZO!G10&gt;0,1/PRAZO!$AY10,0)</f>
        <v>0</v>
      </c>
      <c r="Q12" s="82">
        <f t="shared" si="101"/>
        <v>0</v>
      </c>
      <c r="R12" s="29">
        <f>IF(PRAZO!H10&gt;0,1/PRAZO!$AY10,0)</f>
        <v>0</v>
      </c>
      <c r="S12" s="82">
        <f t="shared" si="102"/>
        <v>0</v>
      </c>
      <c r="T12" s="29">
        <f>IF(PRAZO!I10&gt;0,1/PRAZO!$AY10,0)</f>
        <v>0</v>
      </c>
      <c r="U12" s="82">
        <f t="shared" si="103"/>
        <v>0</v>
      </c>
      <c r="V12" s="29">
        <f>IF(PRAZO!J10&gt;0,1/PRAZO!$AY10,0)</f>
        <v>0</v>
      </c>
      <c r="W12" s="82">
        <f t="shared" si="104"/>
        <v>0</v>
      </c>
      <c r="X12" s="29">
        <f>IF(PRAZO!K10&gt;0,1/PRAZO!$AY10,0)</f>
        <v>0</v>
      </c>
      <c r="Y12" s="82">
        <f t="shared" si="105"/>
        <v>0</v>
      </c>
      <c r="Z12" s="29">
        <f>IF(PRAZO!L10&gt;0,1/PRAZO!$AY10,0)</f>
        <v>6.25E-2</v>
      </c>
      <c r="AA12" s="82">
        <f t="shared" si="106"/>
        <v>266833.88178562507</v>
      </c>
      <c r="AB12" s="29">
        <f>IF(PRAZO!M10&gt;0,1/PRAZO!$AY10,0)</f>
        <v>6.25E-2</v>
      </c>
      <c r="AC12" s="82">
        <f t="shared" si="107"/>
        <v>266833.88178562507</v>
      </c>
      <c r="AD12" s="29">
        <f>IF(PRAZO!N10&gt;0,1/PRAZO!$AY10,0)</f>
        <v>6.25E-2</v>
      </c>
      <c r="AE12" s="82">
        <f t="shared" si="108"/>
        <v>266833.88178562507</v>
      </c>
      <c r="AF12" s="29">
        <f>IF(PRAZO!O10&gt;0,1/PRAZO!$AY10,0)</f>
        <v>6.25E-2</v>
      </c>
      <c r="AG12" s="82">
        <f t="shared" si="109"/>
        <v>266833.88178562507</v>
      </c>
      <c r="AH12" s="29">
        <f>IF(PRAZO!P10&gt;0,1/PRAZO!$AY10,0)</f>
        <v>6.25E-2</v>
      </c>
      <c r="AI12" s="82">
        <f t="shared" si="110"/>
        <v>266833.88178562507</v>
      </c>
      <c r="AJ12" s="29">
        <f>IF(PRAZO!Q10&gt;0,1/PRAZO!$AY10,0)</f>
        <v>6.25E-2</v>
      </c>
      <c r="AK12" s="82">
        <f t="shared" si="111"/>
        <v>266833.88178562507</v>
      </c>
      <c r="AL12" s="29">
        <f>IF(PRAZO!R10&gt;0,1/PRAZO!$AY10,0)</f>
        <v>6.25E-2</v>
      </c>
      <c r="AM12" s="82">
        <f t="shared" si="112"/>
        <v>266833.88178562507</v>
      </c>
      <c r="AN12" s="29">
        <f>IF(PRAZO!S10&gt;0,1/PRAZO!$AY10,0)</f>
        <v>6.25E-2</v>
      </c>
      <c r="AO12" s="82">
        <f t="shared" si="113"/>
        <v>266833.88178562507</v>
      </c>
      <c r="AP12" s="29">
        <f>IF(PRAZO!T10&gt;0,1/PRAZO!$AY10,0)</f>
        <v>6.25E-2</v>
      </c>
      <c r="AQ12" s="82">
        <f t="shared" si="114"/>
        <v>266833.88178562507</v>
      </c>
      <c r="AR12" s="29">
        <f>IF(PRAZO!U10&gt;0,1/PRAZO!$AY10,0)</f>
        <v>6.25E-2</v>
      </c>
      <c r="AS12" s="82">
        <f t="shared" si="115"/>
        <v>266833.88178562507</v>
      </c>
      <c r="AT12" s="29">
        <f>IF(PRAZO!V10&gt;0,1/PRAZO!$AY10,0)</f>
        <v>6.25E-2</v>
      </c>
      <c r="AU12" s="82">
        <f t="shared" si="116"/>
        <v>266833.88178562507</v>
      </c>
      <c r="AV12" s="29">
        <f>IF(PRAZO!W10&gt;0,1/PRAZO!$AY10,0)</f>
        <v>6.25E-2</v>
      </c>
      <c r="AW12" s="82">
        <f t="shared" si="117"/>
        <v>266833.88178562507</v>
      </c>
      <c r="AX12" s="29">
        <f>IF(PRAZO!X10&gt;0,1/PRAZO!$AY10,0)</f>
        <v>6.25E-2</v>
      </c>
      <c r="AY12" s="82">
        <f t="shared" si="118"/>
        <v>266833.88178562507</v>
      </c>
      <c r="AZ12" s="29">
        <f>IF(PRAZO!Y10&gt;0,1/PRAZO!$AY10,0)</f>
        <v>6.25E-2</v>
      </c>
      <c r="BA12" s="82">
        <f t="shared" si="119"/>
        <v>266833.88178562507</v>
      </c>
      <c r="BB12" s="29">
        <f>IF(PRAZO!Z10&gt;0,1/PRAZO!$AY10,0)</f>
        <v>6.25E-2</v>
      </c>
      <c r="BC12" s="82">
        <f t="shared" si="120"/>
        <v>266833.88178562507</v>
      </c>
      <c r="BD12" s="29">
        <f>IF(PRAZO!AA10&gt;0,1/PRAZO!$AY10,0)</f>
        <v>6.25E-2</v>
      </c>
      <c r="BE12" s="82">
        <f t="shared" si="121"/>
        <v>266833.88178562507</v>
      </c>
      <c r="BF12" s="29">
        <f>IF(PRAZO!AB10&gt;0,1/PRAZO!$AY10,0)</f>
        <v>0</v>
      </c>
      <c r="BG12" s="82">
        <f t="shared" si="122"/>
        <v>0</v>
      </c>
      <c r="BH12" s="29">
        <f>IF(PRAZO!AC10&gt;0,1/PRAZO!$AY10,0)</f>
        <v>0</v>
      </c>
      <c r="BI12" s="82">
        <f t="shared" si="123"/>
        <v>0</v>
      </c>
      <c r="BJ12" s="29">
        <f>IF(PRAZO!AD10&gt;0,1/PRAZO!$AY10,0)</f>
        <v>0</v>
      </c>
      <c r="BK12" s="82">
        <f t="shared" si="124"/>
        <v>0</v>
      </c>
      <c r="BL12" s="29">
        <f>IF(PRAZO!AE10&gt;0,1/PRAZO!$AY10,0)</f>
        <v>0</v>
      </c>
      <c r="BM12" s="82">
        <f t="shared" si="125"/>
        <v>0</v>
      </c>
      <c r="BN12" s="29">
        <f>IF(PRAZO!AF10&gt;0,1/PRAZO!$AY10,0)</f>
        <v>0</v>
      </c>
      <c r="BO12" s="82">
        <f t="shared" si="126"/>
        <v>0</v>
      </c>
      <c r="BP12" s="29">
        <f>IF(PRAZO!AG10&gt;0,1/PRAZO!$AY10,0)</f>
        <v>0</v>
      </c>
      <c r="BQ12" s="82">
        <f t="shared" si="127"/>
        <v>0</v>
      </c>
      <c r="BR12" s="29">
        <f>IF(PRAZO!AH10&gt;0,1/PRAZO!$AY10,0)</f>
        <v>0</v>
      </c>
      <c r="BS12" s="82">
        <f t="shared" si="128"/>
        <v>0</v>
      </c>
      <c r="BT12" s="29">
        <f>IF(PRAZO!AI10&gt;0,1/PRAZO!$AY10,0)</f>
        <v>0</v>
      </c>
      <c r="BU12" s="82">
        <f t="shared" si="129"/>
        <v>0</v>
      </c>
      <c r="BV12" s="29">
        <f>IF(PRAZO!AJ10&gt;0,1/PRAZO!$AY10,0)</f>
        <v>0</v>
      </c>
      <c r="BW12" s="82">
        <f t="shared" si="130"/>
        <v>0</v>
      </c>
      <c r="BX12" s="29">
        <f>IF(PRAZO!AK10&gt;0,1/PRAZO!$AY10,0)</f>
        <v>0</v>
      </c>
      <c r="BY12" s="82">
        <f t="shared" si="131"/>
        <v>0</v>
      </c>
      <c r="BZ12" s="29">
        <f>IF(PRAZO!AL10&gt;0,1/PRAZO!$AY10,0)</f>
        <v>0</v>
      </c>
      <c r="CA12" s="82">
        <f t="shared" si="132"/>
        <v>0</v>
      </c>
      <c r="CB12" s="29">
        <f>IF(PRAZO!AM10&gt;0,1/PRAZO!$AY10,0)</f>
        <v>0</v>
      </c>
      <c r="CC12" s="82">
        <f t="shared" si="133"/>
        <v>0</v>
      </c>
      <c r="CD12" s="29">
        <f>IF(PRAZO!AN10&gt;0,1/PRAZO!$AY10,0)</f>
        <v>0</v>
      </c>
      <c r="CE12" s="82">
        <f t="shared" si="134"/>
        <v>0</v>
      </c>
      <c r="CF12" s="29">
        <f>IF(PRAZO!AO10&gt;0,1/PRAZO!$AY10,0)</f>
        <v>0</v>
      </c>
      <c r="CG12" s="82">
        <f t="shared" si="135"/>
        <v>0</v>
      </c>
      <c r="CH12" s="29">
        <f>IF(PRAZO!AP10&gt;0,1/PRAZO!$AY10,0)</f>
        <v>0</v>
      </c>
      <c r="CI12" s="82">
        <f t="shared" si="136"/>
        <v>0</v>
      </c>
      <c r="CJ12" s="29">
        <f>IF(PRAZO!AQ10&gt;0,1/PRAZO!$AY10,0)</f>
        <v>0</v>
      </c>
      <c r="CK12" s="82">
        <f t="shared" si="137"/>
        <v>0</v>
      </c>
      <c r="CL12" s="29">
        <f>IF(PRAZO!AR10&gt;0,1/PRAZO!$AY10,0)</f>
        <v>0</v>
      </c>
      <c r="CM12" s="82">
        <f t="shared" si="138"/>
        <v>0</v>
      </c>
      <c r="CN12" s="29">
        <f>IF(PRAZO!AS10&gt;0,1/PRAZO!$AY10,0)</f>
        <v>0</v>
      </c>
      <c r="CO12" s="82">
        <f t="shared" si="139"/>
        <v>0</v>
      </c>
      <c r="CP12" s="29">
        <f>IF(PRAZO!AT10&gt;0,1/PRAZO!$AY10,0)</f>
        <v>0</v>
      </c>
      <c r="CQ12" s="82">
        <f t="shared" si="140"/>
        <v>0</v>
      </c>
      <c r="CR12" s="29">
        <f>IF(PRAZO!AU10&gt;0,1/PRAZO!$AY10,0)</f>
        <v>0</v>
      </c>
      <c r="CS12" s="82">
        <f t="shared" si="141"/>
        <v>0</v>
      </c>
      <c r="CT12" s="29">
        <f>IF(PRAZO!AV10&gt;0,1/PRAZO!$AY10,0)</f>
        <v>0</v>
      </c>
      <c r="CU12" s="82">
        <f t="shared" si="142"/>
        <v>0</v>
      </c>
      <c r="CV12" s="29">
        <f>IF(PRAZO!AW10&gt;0,1/PRAZO!$AY10,0)</f>
        <v>0</v>
      </c>
      <c r="CW12" s="82">
        <f t="shared" si="143"/>
        <v>0</v>
      </c>
      <c r="CX12" s="29">
        <f>IF(PRAZO!AX10&gt;0,1/PRAZO!$AY10,0)</f>
        <v>0</v>
      </c>
      <c r="CY12" s="82">
        <f t="shared" si="144"/>
        <v>0</v>
      </c>
    </row>
    <row r="13" spans="2:103" ht="19.5" customHeight="1" x14ac:dyDescent="0.25">
      <c r="B13" s="48" t="s">
        <v>56</v>
      </c>
      <c r="C13" s="60">
        <f>SUM([1]RESUMO!$B$7:$C$7)</f>
        <v>1564822.9346</v>
      </c>
      <c r="D13" s="49">
        <f ca="1">C13/$C$28</f>
        <v>4.3890260221186021E-2</v>
      </c>
      <c r="E13" s="62">
        <f>C13/'DISTRIBUIÇÃO CUSTO'!C$32</f>
        <v>71.32507515505273</v>
      </c>
      <c r="F13" s="76">
        <f t="shared" si="48"/>
        <v>1</v>
      </c>
      <c r="H13" s="50">
        <f>IF(PRAZO!C11&gt;0,1/PRAZO!$AY11,0)</f>
        <v>0</v>
      </c>
      <c r="I13" s="51">
        <f t="shared" si="97"/>
        <v>0</v>
      </c>
      <c r="J13" s="52">
        <f>IF(PRAZO!D11&gt;0,1/PRAZO!$AY11,0)</f>
        <v>0</v>
      </c>
      <c r="K13" s="51">
        <f t="shared" si="98"/>
        <v>0</v>
      </c>
      <c r="L13" s="52">
        <f>IF(PRAZO!E11&gt;0,1/PRAZO!$AY11,0)</f>
        <v>0</v>
      </c>
      <c r="M13" s="51">
        <f t="shared" si="99"/>
        <v>0</v>
      </c>
      <c r="N13" s="52">
        <f>IF(PRAZO!F11&gt;0,1/PRAZO!$AY11,0)</f>
        <v>0</v>
      </c>
      <c r="O13" s="51">
        <f t="shared" si="100"/>
        <v>0</v>
      </c>
      <c r="P13" s="52">
        <f>IF(PRAZO!G11&gt;0,1/PRAZO!$AY11,0)</f>
        <v>0</v>
      </c>
      <c r="Q13" s="51">
        <f t="shared" si="101"/>
        <v>0</v>
      </c>
      <c r="R13" s="52">
        <f>IF(PRAZO!H11&gt;0,1/PRAZO!$AY11,0)</f>
        <v>0</v>
      </c>
      <c r="S13" s="51">
        <f t="shared" si="102"/>
        <v>0</v>
      </c>
      <c r="T13" s="52">
        <f>IF(PRAZO!I11&gt;0,1/PRAZO!$AY11,0)</f>
        <v>0</v>
      </c>
      <c r="U13" s="51">
        <f t="shared" si="103"/>
        <v>0</v>
      </c>
      <c r="V13" s="52">
        <f>IF(PRAZO!J11&gt;0,1/PRAZO!$AY11,0)</f>
        <v>0</v>
      </c>
      <c r="W13" s="51">
        <f t="shared" si="104"/>
        <v>0</v>
      </c>
      <c r="X13" s="52">
        <f>IF(PRAZO!K11&gt;0,1/PRAZO!$AY11,0)</f>
        <v>0</v>
      </c>
      <c r="Y13" s="51">
        <f t="shared" si="105"/>
        <v>0</v>
      </c>
      <c r="Z13" s="52">
        <f>IF(PRAZO!L11&gt;0,1/PRAZO!$AY11,0)</f>
        <v>0</v>
      </c>
      <c r="AA13" s="51">
        <f t="shared" si="106"/>
        <v>0</v>
      </c>
      <c r="AB13" s="52">
        <f>IF(PRAZO!M11&gt;0,1/PRAZO!$AY11,0)</f>
        <v>0</v>
      </c>
      <c r="AC13" s="51">
        <f t="shared" si="107"/>
        <v>0</v>
      </c>
      <c r="AD13" s="52">
        <f>IF(PRAZO!N11&gt;0,1/PRAZO!$AY11,0)</f>
        <v>0</v>
      </c>
      <c r="AE13" s="51">
        <f t="shared" si="108"/>
        <v>0</v>
      </c>
      <c r="AF13" s="52">
        <f>IF(PRAZO!O11&gt;0,1/PRAZO!$AY11,0)</f>
        <v>6.25E-2</v>
      </c>
      <c r="AG13" s="51">
        <f t="shared" si="109"/>
        <v>97801.433412500002</v>
      </c>
      <c r="AH13" s="52">
        <f>IF(PRAZO!P11&gt;0,1/PRAZO!$AY11,0)</f>
        <v>6.25E-2</v>
      </c>
      <c r="AI13" s="51">
        <f t="shared" si="110"/>
        <v>97801.433412500002</v>
      </c>
      <c r="AJ13" s="52">
        <f>IF(PRAZO!Q11&gt;0,1/PRAZO!$AY11,0)</f>
        <v>6.25E-2</v>
      </c>
      <c r="AK13" s="51">
        <f t="shared" si="111"/>
        <v>97801.433412500002</v>
      </c>
      <c r="AL13" s="52">
        <f>IF(PRAZO!R11&gt;0,1/PRAZO!$AY11,0)</f>
        <v>6.25E-2</v>
      </c>
      <c r="AM13" s="51">
        <f t="shared" si="112"/>
        <v>97801.433412500002</v>
      </c>
      <c r="AN13" s="52">
        <f>IF(PRAZO!S11&gt;0,1/PRAZO!$AY11,0)</f>
        <v>6.25E-2</v>
      </c>
      <c r="AO13" s="51">
        <f t="shared" si="113"/>
        <v>97801.433412500002</v>
      </c>
      <c r="AP13" s="52">
        <f>IF(PRAZO!T11&gt;0,1/PRAZO!$AY11,0)</f>
        <v>6.25E-2</v>
      </c>
      <c r="AQ13" s="51">
        <f t="shared" si="114"/>
        <v>97801.433412500002</v>
      </c>
      <c r="AR13" s="52">
        <f>IF(PRAZO!U11&gt;0,1/PRAZO!$AY11,0)</f>
        <v>6.25E-2</v>
      </c>
      <c r="AS13" s="51">
        <f t="shared" si="115"/>
        <v>97801.433412500002</v>
      </c>
      <c r="AT13" s="52">
        <f>IF(PRAZO!V11&gt;0,1/PRAZO!$AY11,0)</f>
        <v>6.25E-2</v>
      </c>
      <c r="AU13" s="51">
        <f t="shared" si="116"/>
        <v>97801.433412500002</v>
      </c>
      <c r="AV13" s="52">
        <f>IF(PRAZO!W11&gt;0,1/PRAZO!$AY11,0)</f>
        <v>6.25E-2</v>
      </c>
      <c r="AW13" s="51">
        <f t="shared" si="117"/>
        <v>97801.433412500002</v>
      </c>
      <c r="AX13" s="52">
        <f>IF(PRAZO!X11&gt;0,1/PRAZO!$AY11,0)</f>
        <v>6.25E-2</v>
      </c>
      <c r="AY13" s="51">
        <f t="shared" si="118"/>
        <v>97801.433412500002</v>
      </c>
      <c r="AZ13" s="52">
        <f>IF(PRAZO!Y11&gt;0,1/PRAZO!$AY11,0)</f>
        <v>6.25E-2</v>
      </c>
      <c r="BA13" s="51">
        <f t="shared" si="119"/>
        <v>97801.433412500002</v>
      </c>
      <c r="BB13" s="52">
        <f>IF(PRAZO!Z11&gt;0,1/PRAZO!$AY11,0)</f>
        <v>6.25E-2</v>
      </c>
      <c r="BC13" s="51">
        <f t="shared" si="120"/>
        <v>97801.433412500002</v>
      </c>
      <c r="BD13" s="52">
        <f>IF(PRAZO!AA11&gt;0,1/PRAZO!$AY11,0)</f>
        <v>6.25E-2</v>
      </c>
      <c r="BE13" s="51">
        <f t="shared" si="121"/>
        <v>97801.433412500002</v>
      </c>
      <c r="BF13" s="52">
        <f>IF(PRAZO!AB11&gt;0,1/PRAZO!$AY11,0)</f>
        <v>6.25E-2</v>
      </c>
      <c r="BG13" s="51">
        <f t="shared" si="122"/>
        <v>97801.433412500002</v>
      </c>
      <c r="BH13" s="52">
        <f>IF(PRAZO!AC11&gt;0,1/PRAZO!$AY11,0)</f>
        <v>6.25E-2</v>
      </c>
      <c r="BI13" s="51">
        <f t="shared" si="123"/>
        <v>97801.433412500002</v>
      </c>
      <c r="BJ13" s="52">
        <f>IF(PRAZO!AD11&gt;0,1/PRAZO!$AY11,0)</f>
        <v>6.25E-2</v>
      </c>
      <c r="BK13" s="51">
        <f t="shared" si="124"/>
        <v>97801.433412500002</v>
      </c>
      <c r="BL13" s="52">
        <f>IF(PRAZO!AE11&gt;0,1/PRAZO!$AY11,0)</f>
        <v>0</v>
      </c>
      <c r="BM13" s="51">
        <f t="shared" si="125"/>
        <v>0</v>
      </c>
      <c r="BN13" s="52">
        <f>IF(PRAZO!AF11&gt;0,1/PRAZO!$AY11,0)</f>
        <v>0</v>
      </c>
      <c r="BO13" s="51">
        <f t="shared" si="126"/>
        <v>0</v>
      </c>
      <c r="BP13" s="52">
        <f>IF(PRAZO!AG11&gt;0,1/PRAZO!$AY11,0)</f>
        <v>0</v>
      </c>
      <c r="BQ13" s="51">
        <f t="shared" si="127"/>
        <v>0</v>
      </c>
      <c r="BR13" s="52">
        <f>IF(PRAZO!AH11&gt;0,1/PRAZO!$AY11,0)</f>
        <v>0</v>
      </c>
      <c r="BS13" s="51">
        <f t="shared" si="128"/>
        <v>0</v>
      </c>
      <c r="BT13" s="52">
        <f>IF(PRAZO!AI11&gt;0,1/PRAZO!$AY11,0)</f>
        <v>0</v>
      </c>
      <c r="BU13" s="51">
        <f t="shared" si="129"/>
        <v>0</v>
      </c>
      <c r="BV13" s="52">
        <f>IF(PRAZO!AJ11&gt;0,1/PRAZO!$AY11,0)</f>
        <v>0</v>
      </c>
      <c r="BW13" s="51">
        <f t="shared" si="130"/>
        <v>0</v>
      </c>
      <c r="BX13" s="52">
        <f>IF(PRAZO!AK11&gt;0,1/PRAZO!$AY11,0)</f>
        <v>0</v>
      </c>
      <c r="BY13" s="51">
        <f t="shared" si="131"/>
        <v>0</v>
      </c>
      <c r="BZ13" s="52">
        <f>IF(PRAZO!AL11&gt;0,1/PRAZO!$AY11,0)</f>
        <v>0</v>
      </c>
      <c r="CA13" s="51">
        <f t="shared" si="132"/>
        <v>0</v>
      </c>
      <c r="CB13" s="52">
        <f>IF(PRAZO!AM11&gt;0,1/PRAZO!$AY11,0)</f>
        <v>0</v>
      </c>
      <c r="CC13" s="51">
        <f t="shared" si="133"/>
        <v>0</v>
      </c>
      <c r="CD13" s="52">
        <f>IF(PRAZO!AN11&gt;0,1/PRAZO!$AY11,0)</f>
        <v>0</v>
      </c>
      <c r="CE13" s="51">
        <f t="shared" si="134"/>
        <v>0</v>
      </c>
      <c r="CF13" s="52">
        <f>IF(PRAZO!AO11&gt;0,1/PRAZO!$AY11,0)</f>
        <v>0</v>
      </c>
      <c r="CG13" s="51">
        <f t="shared" si="135"/>
        <v>0</v>
      </c>
      <c r="CH13" s="52">
        <f>IF(PRAZO!AP11&gt;0,1/PRAZO!$AY11,0)</f>
        <v>0</v>
      </c>
      <c r="CI13" s="51">
        <f t="shared" si="136"/>
        <v>0</v>
      </c>
      <c r="CJ13" s="52">
        <f>IF(PRAZO!AQ11&gt;0,1/PRAZO!$AY11,0)</f>
        <v>0</v>
      </c>
      <c r="CK13" s="51">
        <f t="shared" si="137"/>
        <v>0</v>
      </c>
      <c r="CL13" s="52">
        <f>IF(PRAZO!AR11&gt;0,1/PRAZO!$AY11,0)</f>
        <v>0</v>
      </c>
      <c r="CM13" s="51">
        <f t="shared" si="138"/>
        <v>0</v>
      </c>
      <c r="CN13" s="52">
        <f>IF(PRAZO!AS11&gt;0,1/PRAZO!$AY11,0)</f>
        <v>0</v>
      </c>
      <c r="CO13" s="51">
        <f t="shared" si="139"/>
        <v>0</v>
      </c>
      <c r="CP13" s="52">
        <f>IF(PRAZO!AT11&gt;0,1/PRAZO!$AY11,0)</f>
        <v>0</v>
      </c>
      <c r="CQ13" s="51">
        <f t="shared" si="140"/>
        <v>0</v>
      </c>
      <c r="CR13" s="52">
        <f>IF(PRAZO!AU11&gt;0,1/PRAZO!$AY11,0)</f>
        <v>0</v>
      </c>
      <c r="CS13" s="51">
        <f t="shared" si="141"/>
        <v>0</v>
      </c>
      <c r="CT13" s="52">
        <f>IF(PRAZO!AV11&gt;0,1/PRAZO!$AY11,0)</f>
        <v>0</v>
      </c>
      <c r="CU13" s="51">
        <f t="shared" si="142"/>
        <v>0</v>
      </c>
      <c r="CV13" s="52">
        <f>IF(PRAZO!AW11&gt;0,1/PRAZO!$AY11,0)</f>
        <v>0</v>
      </c>
      <c r="CW13" s="51">
        <f t="shared" si="143"/>
        <v>0</v>
      </c>
      <c r="CX13" s="52">
        <f>IF(PRAZO!AX11&gt;0,1/PRAZO!$AY11,0)</f>
        <v>0</v>
      </c>
      <c r="CY13" s="51">
        <f t="shared" si="144"/>
        <v>0</v>
      </c>
    </row>
    <row r="14" spans="2:103" ht="19.5" customHeight="1" x14ac:dyDescent="0.25">
      <c r="B14" s="44" t="s">
        <v>57</v>
      </c>
      <c r="C14" s="61">
        <f>SUM([1]RESUMO!$B$8:$C$8)</f>
        <v>2773667.5890000002</v>
      </c>
      <c r="D14" s="30">
        <f ca="1">C14/$C$28</f>
        <v>7.7796017400139944E-2</v>
      </c>
      <c r="E14" s="63">
        <f>C14/'DISTRIBUIÇÃO CUSTO'!C$32</f>
        <v>126.42455888539794</v>
      </c>
      <c r="F14" s="77">
        <f t="shared" si="48"/>
        <v>0.99999999999999956</v>
      </c>
      <c r="H14" s="29">
        <f>IF(PRAZO!C12&gt;0,1/PRAZO!$AY12,0)</f>
        <v>0</v>
      </c>
      <c r="I14" s="82">
        <f t="shared" si="97"/>
        <v>0</v>
      </c>
      <c r="J14" s="29">
        <f>IF(PRAZO!D12&gt;0,1/PRAZO!$AY12,0)</f>
        <v>0</v>
      </c>
      <c r="K14" s="82">
        <f t="shared" si="98"/>
        <v>0</v>
      </c>
      <c r="L14" s="29">
        <f>IF(PRAZO!E12&gt;0,1/PRAZO!$AY12,0)</f>
        <v>0</v>
      </c>
      <c r="M14" s="82">
        <f t="shared" si="99"/>
        <v>0</v>
      </c>
      <c r="N14" s="29">
        <f>IF(PRAZO!F12&gt;0,1/PRAZO!$AY12,0)</f>
        <v>0</v>
      </c>
      <c r="O14" s="82">
        <f t="shared" si="100"/>
        <v>0</v>
      </c>
      <c r="P14" s="29">
        <f>IF(PRAZO!G12&gt;0,1/PRAZO!$AY12,0)</f>
        <v>0</v>
      </c>
      <c r="Q14" s="82">
        <f t="shared" si="101"/>
        <v>0</v>
      </c>
      <c r="R14" s="29">
        <f>IF(PRAZO!H12&gt;0,1/PRAZO!$AY12,0)</f>
        <v>0</v>
      </c>
      <c r="S14" s="82">
        <f t="shared" si="102"/>
        <v>0</v>
      </c>
      <c r="T14" s="29">
        <f>IF(PRAZO!I12&gt;0,1/PRAZO!$AY12,0)</f>
        <v>0</v>
      </c>
      <c r="U14" s="82">
        <f t="shared" si="103"/>
        <v>0</v>
      </c>
      <c r="V14" s="29">
        <f>IF(PRAZO!J12&gt;0,1/PRAZO!$AY12,0)</f>
        <v>0</v>
      </c>
      <c r="W14" s="82">
        <f t="shared" si="104"/>
        <v>0</v>
      </c>
      <c r="X14" s="29">
        <f>IF(PRAZO!K12&gt;0,1/PRAZO!$AY12,0)</f>
        <v>0</v>
      </c>
      <c r="Y14" s="82">
        <f t="shared" si="105"/>
        <v>0</v>
      </c>
      <c r="Z14" s="29">
        <f>IF(PRAZO!L12&gt;0,1/PRAZO!$AY12,0)</f>
        <v>0</v>
      </c>
      <c r="AA14" s="82">
        <f t="shared" si="106"/>
        <v>0</v>
      </c>
      <c r="AB14" s="29">
        <f>IF(PRAZO!M12&gt;0,1/PRAZO!$AY12,0)</f>
        <v>0</v>
      </c>
      <c r="AC14" s="82">
        <f t="shared" si="107"/>
        <v>0</v>
      </c>
      <c r="AD14" s="29">
        <f>IF(PRAZO!N12&gt;0,1/PRAZO!$AY12,0)</f>
        <v>0</v>
      </c>
      <c r="AE14" s="82">
        <f t="shared" si="108"/>
        <v>0</v>
      </c>
      <c r="AF14" s="29">
        <f>IF(PRAZO!O12&gt;0,1/PRAZO!$AY12,0)</f>
        <v>4.1666666666666664E-2</v>
      </c>
      <c r="AG14" s="82">
        <f t="shared" si="109"/>
        <v>115569.482875</v>
      </c>
      <c r="AH14" s="29">
        <f>IF(PRAZO!P12&gt;0,1/PRAZO!$AY12,0)</f>
        <v>4.1666666666666664E-2</v>
      </c>
      <c r="AI14" s="82">
        <f t="shared" si="110"/>
        <v>115569.482875</v>
      </c>
      <c r="AJ14" s="29">
        <f>IF(PRAZO!Q12&gt;0,1/PRAZO!$AY12,0)</f>
        <v>4.1666666666666664E-2</v>
      </c>
      <c r="AK14" s="82">
        <f t="shared" si="111"/>
        <v>115569.482875</v>
      </c>
      <c r="AL14" s="29">
        <f>IF(PRAZO!R12&gt;0,1/PRAZO!$AY12,0)</f>
        <v>4.1666666666666664E-2</v>
      </c>
      <c r="AM14" s="82">
        <f t="shared" si="112"/>
        <v>115569.482875</v>
      </c>
      <c r="AN14" s="29">
        <f>IF(PRAZO!S12&gt;0,1/PRAZO!$AY12,0)</f>
        <v>4.1666666666666664E-2</v>
      </c>
      <c r="AO14" s="82">
        <f t="shared" si="113"/>
        <v>115569.482875</v>
      </c>
      <c r="AP14" s="29">
        <f>IF(PRAZO!T12&gt;0,1/PRAZO!$AY12,0)</f>
        <v>4.1666666666666664E-2</v>
      </c>
      <c r="AQ14" s="82">
        <f t="shared" si="114"/>
        <v>115569.482875</v>
      </c>
      <c r="AR14" s="29">
        <f>IF(PRAZO!U12&gt;0,1/PRAZO!$AY12,0)</f>
        <v>4.1666666666666664E-2</v>
      </c>
      <c r="AS14" s="82">
        <f t="shared" si="115"/>
        <v>115569.482875</v>
      </c>
      <c r="AT14" s="29">
        <f>IF(PRAZO!V12&gt;0,1/PRAZO!$AY12,0)</f>
        <v>4.1666666666666664E-2</v>
      </c>
      <c r="AU14" s="82">
        <f t="shared" si="116"/>
        <v>115569.482875</v>
      </c>
      <c r="AV14" s="29">
        <f>IF(PRAZO!W12&gt;0,1/PRAZO!$AY12,0)</f>
        <v>4.1666666666666664E-2</v>
      </c>
      <c r="AW14" s="82">
        <f t="shared" si="117"/>
        <v>115569.482875</v>
      </c>
      <c r="AX14" s="29">
        <f>IF(PRAZO!X12&gt;0,1/PRAZO!$AY12,0)</f>
        <v>4.1666666666666664E-2</v>
      </c>
      <c r="AY14" s="82">
        <f t="shared" si="118"/>
        <v>115569.482875</v>
      </c>
      <c r="AZ14" s="29">
        <f>IF(PRAZO!Y12&gt;0,1/PRAZO!$AY12,0)</f>
        <v>4.1666666666666664E-2</v>
      </c>
      <c r="BA14" s="82">
        <f t="shared" si="119"/>
        <v>115569.482875</v>
      </c>
      <c r="BB14" s="29">
        <f>IF(PRAZO!Z12&gt;0,1/PRAZO!$AY12,0)</f>
        <v>4.1666666666666664E-2</v>
      </c>
      <c r="BC14" s="82">
        <f t="shared" si="120"/>
        <v>115569.482875</v>
      </c>
      <c r="BD14" s="29">
        <f>IF(PRAZO!AA12&gt;0,1/PRAZO!$AY12,0)</f>
        <v>4.1666666666666664E-2</v>
      </c>
      <c r="BE14" s="82">
        <f t="shared" si="121"/>
        <v>115569.482875</v>
      </c>
      <c r="BF14" s="29">
        <f>IF(PRAZO!AB12&gt;0,1/PRAZO!$AY12,0)</f>
        <v>4.1666666666666664E-2</v>
      </c>
      <c r="BG14" s="82">
        <f t="shared" si="122"/>
        <v>115569.482875</v>
      </c>
      <c r="BH14" s="29">
        <f>IF(PRAZO!AC12&gt;0,1/PRAZO!$AY12,0)</f>
        <v>4.1666666666666664E-2</v>
      </c>
      <c r="BI14" s="82">
        <f t="shared" si="123"/>
        <v>115569.482875</v>
      </c>
      <c r="BJ14" s="29">
        <f>IF(PRAZO!AD12&gt;0,1/PRAZO!$AY12,0)</f>
        <v>4.1666666666666664E-2</v>
      </c>
      <c r="BK14" s="82">
        <f t="shared" si="124"/>
        <v>115569.482875</v>
      </c>
      <c r="BL14" s="29">
        <f>IF(PRAZO!AE12&gt;0,1/PRAZO!$AY12,0)</f>
        <v>4.1666666666666664E-2</v>
      </c>
      <c r="BM14" s="82">
        <f t="shared" si="125"/>
        <v>115569.482875</v>
      </c>
      <c r="BN14" s="29">
        <f>IF(PRAZO!AF12&gt;0,1/PRAZO!$AY12,0)</f>
        <v>4.1666666666666664E-2</v>
      </c>
      <c r="BO14" s="82">
        <f t="shared" si="126"/>
        <v>115569.482875</v>
      </c>
      <c r="BP14" s="29">
        <f>IF(PRAZO!AG12&gt;0,1/PRAZO!$AY12,0)</f>
        <v>4.1666666666666664E-2</v>
      </c>
      <c r="BQ14" s="82">
        <f t="shared" si="127"/>
        <v>115569.482875</v>
      </c>
      <c r="BR14" s="29">
        <f>IF(PRAZO!AH12&gt;0,1/PRAZO!$AY12,0)</f>
        <v>4.1666666666666664E-2</v>
      </c>
      <c r="BS14" s="82">
        <f t="shared" si="128"/>
        <v>115569.482875</v>
      </c>
      <c r="BT14" s="29">
        <f>IF(PRAZO!AI12&gt;0,1/PRAZO!$AY12,0)</f>
        <v>4.1666666666666664E-2</v>
      </c>
      <c r="BU14" s="82">
        <f t="shared" si="129"/>
        <v>115569.482875</v>
      </c>
      <c r="BV14" s="29">
        <f>IF(PRAZO!AJ12&gt;0,1/PRAZO!$AY12,0)</f>
        <v>4.1666666666666664E-2</v>
      </c>
      <c r="BW14" s="82">
        <f t="shared" si="130"/>
        <v>115569.482875</v>
      </c>
      <c r="BX14" s="29">
        <f>IF(PRAZO!AK12&gt;0,1/PRAZO!$AY12,0)</f>
        <v>4.1666666666666664E-2</v>
      </c>
      <c r="BY14" s="82">
        <f t="shared" si="131"/>
        <v>115569.482875</v>
      </c>
      <c r="BZ14" s="29">
        <f>IF(PRAZO!AL12&gt;0,1/PRAZO!$AY12,0)</f>
        <v>4.1666666666666664E-2</v>
      </c>
      <c r="CA14" s="82">
        <f t="shared" si="132"/>
        <v>115569.482875</v>
      </c>
      <c r="CB14" s="29">
        <f>IF(PRAZO!AM12&gt;0,1/PRAZO!$AY12,0)</f>
        <v>0</v>
      </c>
      <c r="CC14" s="82">
        <f t="shared" si="133"/>
        <v>0</v>
      </c>
      <c r="CD14" s="29">
        <f>IF(PRAZO!AN12&gt;0,1/PRAZO!$AY12,0)</f>
        <v>0</v>
      </c>
      <c r="CE14" s="82">
        <f t="shared" si="134"/>
        <v>0</v>
      </c>
      <c r="CF14" s="29">
        <f>IF(PRAZO!AO12&gt;0,1/PRAZO!$AY12,0)</f>
        <v>0</v>
      </c>
      <c r="CG14" s="82">
        <f t="shared" si="135"/>
        <v>0</v>
      </c>
      <c r="CH14" s="29">
        <f>IF(PRAZO!AP12&gt;0,1/PRAZO!$AY12,0)</f>
        <v>0</v>
      </c>
      <c r="CI14" s="82">
        <f t="shared" si="136"/>
        <v>0</v>
      </c>
      <c r="CJ14" s="29">
        <f>IF(PRAZO!AQ12&gt;0,1/PRAZO!$AY12,0)</f>
        <v>0</v>
      </c>
      <c r="CK14" s="82">
        <f t="shared" si="137"/>
        <v>0</v>
      </c>
      <c r="CL14" s="29">
        <f>IF(PRAZO!AR12&gt;0,1/PRAZO!$AY12,0)</f>
        <v>0</v>
      </c>
      <c r="CM14" s="82">
        <f t="shared" si="138"/>
        <v>0</v>
      </c>
      <c r="CN14" s="29">
        <f>IF(PRAZO!AS12&gt;0,1/PRAZO!$AY12,0)</f>
        <v>0</v>
      </c>
      <c r="CO14" s="82">
        <f t="shared" si="139"/>
        <v>0</v>
      </c>
      <c r="CP14" s="29">
        <f>IF(PRAZO!AT12&gt;0,1/PRAZO!$AY12,0)</f>
        <v>0</v>
      </c>
      <c r="CQ14" s="82">
        <f t="shared" si="140"/>
        <v>0</v>
      </c>
      <c r="CR14" s="29">
        <f>IF(PRAZO!AU12&gt;0,1/PRAZO!$AY12,0)</f>
        <v>0</v>
      </c>
      <c r="CS14" s="82">
        <f t="shared" si="141"/>
        <v>0</v>
      </c>
      <c r="CT14" s="29">
        <f>IF(PRAZO!AV12&gt;0,1/PRAZO!$AY12,0)</f>
        <v>0</v>
      </c>
      <c r="CU14" s="82">
        <f t="shared" si="142"/>
        <v>0</v>
      </c>
      <c r="CV14" s="29">
        <f>IF(PRAZO!AW12&gt;0,1/PRAZO!$AY12,0)</f>
        <v>0</v>
      </c>
      <c r="CW14" s="82">
        <f t="shared" si="143"/>
        <v>0</v>
      </c>
      <c r="CX14" s="29">
        <f>IF(PRAZO!AX12&gt;0,1/PRAZO!$AY12,0)</f>
        <v>0</v>
      </c>
      <c r="CY14" s="82">
        <f t="shared" si="144"/>
        <v>0</v>
      </c>
    </row>
    <row r="15" spans="2:103" ht="19.5" customHeight="1" x14ac:dyDescent="0.25">
      <c r="B15" s="48" t="s">
        <v>58</v>
      </c>
      <c r="C15" s="60">
        <f>SUM([1]RESUMO!$B$9:$C$9)</f>
        <v>1577982.4033333333</v>
      </c>
      <c r="D15" s="49">
        <f ca="1">C15/$C$28</f>
        <v>4.4259357896269752E-2</v>
      </c>
      <c r="E15" s="62">
        <f>C15/'DISTRIBUIÇÃO CUSTO'!C$32</f>
        <v>71.92488748886511</v>
      </c>
      <c r="F15" s="76">
        <f t="shared" si="48"/>
        <v>0.99999999999999967</v>
      </c>
      <c r="H15" s="50">
        <f>IF(PRAZO!C13&gt;0,1/PRAZO!$AY13,0)</f>
        <v>0</v>
      </c>
      <c r="I15" s="51">
        <f t="shared" si="97"/>
        <v>0</v>
      </c>
      <c r="J15" s="52">
        <f>IF(PRAZO!D13&gt;0,1/PRAZO!$AY13,0)</f>
        <v>0</v>
      </c>
      <c r="K15" s="51">
        <f t="shared" si="98"/>
        <v>0</v>
      </c>
      <c r="L15" s="52">
        <f>IF(PRAZO!E13&gt;0,1/PRAZO!$AY13,0)</f>
        <v>0</v>
      </c>
      <c r="M15" s="51">
        <f t="shared" si="99"/>
        <v>0</v>
      </c>
      <c r="N15" s="52">
        <f>IF(PRAZO!F13&gt;0,1/PRAZO!$AY13,0)</f>
        <v>0</v>
      </c>
      <c r="O15" s="51">
        <f t="shared" si="100"/>
        <v>0</v>
      </c>
      <c r="P15" s="52">
        <f>IF(PRAZO!G13&gt;0,1/PRAZO!$AY13,0)</f>
        <v>0</v>
      </c>
      <c r="Q15" s="51">
        <f t="shared" si="101"/>
        <v>0</v>
      </c>
      <c r="R15" s="52">
        <f>IF(PRAZO!H13&gt;0,1/PRAZO!$AY13,0)</f>
        <v>0</v>
      </c>
      <c r="S15" s="51">
        <f t="shared" si="102"/>
        <v>0</v>
      </c>
      <c r="T15" s="52">
        <f>IF(PRAZO!I13&gt;0,1/PRAZO!$AY13,0)</f>
        <v>0</v>
      </c>
      <c r="U15" s="51">
        <f t="shared" si="103"/>
        <v>0</v>
      </c>
      <c r="V15" s="52">
        <f>IF(PRAZO!J13&gt;0,1/PRAZO!$AY13,0)</f>
        <v>0</v>
      </c>
      <c r="W15" s="51">
        <f t="shared" si="104"/>
        <v>0</v>
      </c>
      <c r="X15" s="52">
        <f>IF(PRAZO!K13&gt;0,1/PRAZO!$AY13,0)</f>
        <v>0</v>
      </c>
      <c r="Y15" s="51">
        <f t="shared" si="105"/>
        <v>0</v>
      </c>
      <c r="Z15" s="52">
        <f>IF(PRAZO!L13&gt;0,1/PRAZO!$AY13,0)</f>
        <v>0</v>
      </c>
      <c r="AA15" s="51">
        <f t="shared" si="106"/>
        <v>0</v>
      </c>
      <c r="AB15" s="52">
        <f>IF(PRAZO!M13&gt;0,1/PRAZO!$AY13,0)</f>
        <v>0</v>
      </c>
      <c r="AC15" s="51">
        <f t="shared" si="107"/>
        <v>0</v>
      </c>
      <c r="AD15" s="52">
        <f>IF(PRAZO!N13&gt;0,1/PRAZO!$AY13,0)</f>
        <v>0</v>
      </c>
      <c r="AE15" s="51">
        <f t="shared" si="108"/>
        <v>0</v>
      </c>
      <c r="AF15" s="52">
        <f>IF(PRAZO!O13&gt;0,1/PRAZO!$AY13,0)</f>
        <v>0</v>
      </c>
      <c r="AG15" s="51">
        <f t="shared" si="109"/>
        <v>0</v>
      </c>
      <c r="AH15" s="52">
        <f>IF(PRAZO!P13&gt;0,1/PRAZO!$AY13,0)</f>
        <v>0</v>
      </c>
      <c r="AI15" s="51">
        <f t="shared" si="110"/>
        <v>0</v>
      </c>
      <c r="AJ15" s="52">
        <f>IF(PRAZO!Q13&gt;0,1/PRAZO!$AY13,0)</f>
        <v>0</v>
      </c>
      <c r="AK15" s="51">
        <f t="shared" si="111"/>
        <v>0</v>
      </c>
      <c r="AL15" s="52">
        <f>IF(PRAZO!R13&gt;0,1/PRAZO!$AY13,0)</f>
        <v>0</v>
      </c>
      <c r="AM15" s="51">
        <f t="shared" si="112"/>
        <v>0</v>
      </c>
      <c r="AN15" s="52">
        <f>IF(PRAZO!S13&gt;0,1/PRAZO!$AY13,0)</f>
        <v>0</v>
      </c>
      <c r="AO15" s="51">
        <f t="shared" si="113"/>
        <v>0</v>
      </c>
      <c r="AP15" s="52">
        <f>IF(PRAZO!T13&gt;0,1/PRAZO!$AY13,0)</f>
        <v>0</v>
      </c>
      <c r="AQ15" s="51">
        <f t="shared" si="114"/>
        <v>0</v>
      </c>
      <c r="AR15" s="52">
        <f>IF(PRAZO!U13&gt;0,1/PRAZO!$AY13,0)</f>
        <v>0</v>
      </c>
      <c r="AS15" s="51">
        <f t="shared" si="115"/>
        <v>0</v>
      </c>
      <c r="AT15" s="52">
        <f>IF(PRAZO!V13&gt;0,1/PRAZO!$AY13,0)</f>
        <v>0</v>
      </c>
      <c r="AU15" s="51">
        <f t="shared" si="116"/>
        <v>0</v>
      </c>
      <c r="AV15" s="52">
        <f>IF(PRAZO!W13&gt;0,1/PRAZO!$AY13,0)</f>
        <v>4.5454545454545456E-2</v>
      </c>
      <c r="AW15" s="51">
        <f t="shared" si="117"/>
        <v>71726.472878787885</v>
      </c>
      <c r="AX15" s="52">
        <f>IF(PRAZO!X13&gt;0,1/PRAZO!$AY13,0)</f>
        <v>4.5454545454545456E-2</v>
      </c>
      <c r="AY15" s="51">
        <f t="shared" si="118"/>
        <v>71726.472878787885</v>
      </c>
      <c r="AZ15" s="52">
        <f>IF(PRAZO!Y13&gt;0,1/PRAZO!$AY13,0)</f>
        <v>4.5454545454545456E-2</v>
      </c>
      <c r="BA15" s="51">
        <f t="shared" si="119"/>
        <v>71726.472878787885</v>
      </c>
      <c r="BB15" s="52">
        <f>IF(PRAZO!Z13&gt;0,1/PRAZO!$AY13,0)</f>
        <v>4.5454545454545456E-2</v>
      </c>
      <c r="BC15" s="51">
        <f t="shared" si="120"/>
        <v>71726.472878787885</v>
      </c>
      <c r="BD15" s="52">
        <f>IF(PRAZO!AA13&gt;0,1/PRAZO!$AY13,0)</f>
        <v>4.5454545454545456E-2</v>
      </c>
      <c r="BE15" s="51">
        <f t="shared" si="121"/>
        <v>71726.472878787885</v>
      </c>
      <c r="BF15" s="52">
        <f>IF(PRAZO!AB13&gt;0,1/PRAZO!$AY13,0)</f>
        <v>4.5454545454545456E-2</v>
      </c>
      <c r="BG15" s="51">
        <f t="shared" si="122"/>
        <v>71726.472878787885</v>
      </c>
      <c r="BH15" s="52">
        <f>IF(PRAZO!AC13&gt;0,1/PRAZO!$AY13,0)</f>
        <v>4.5454545454545456E-2</v>
      </c>
      <c r="BI15" s="51">
        <f t="shared" si="123"/>
        <v>71726.472878787885</v>
      </c>
      <c r="BJ15" s="52">
        <f>IF(PRAZO!AD13&gt;0,1/PRAZO!$AY13,0)</f>
        <v>4.5454545454545456E-2</v>
      </c>
      <c r="BK15" s="51">
        <f t="shared" si="124"/>
        <v>71726.472878787885</v>
      </c>
      <c r="BL15" s="52">
        <f>IF(PRAZO!AE13&gt;0,1/PRAZO!$AY13,0)</f>
        <v>4.5454545454545456E-2</v>
      </c>
      <c r="BM15" s="51">
        <f t="shared" si="125"/>
        <v>71726.472878787885</v>
      </c>
      <c r="BN15" s="52">
        <f>IF(PRAZO!AF13&gt;0,1/PRAZO!$AY13,0)</f>
        <v>4.5454545454545456E-2</v>
      </c>
      <c r="BO15" s="51">
        <f t="shared" si="126"/>
        <v>71726.472878787885</v>
      </c>
      <c r="BP15" s="52">
        <f>IF(PRAZO!AG13&gt;0,1/PRAZO!$AY13,0)</f>
        <v>4.5454545454545456E-2</v>
      </c>
      <c r="BQ15" s="51">
        <f t="shared" si="127"/>
        <v>71726.472878787885</v>
      </c>
      <c r="BR15" s="52">
        <f>IF(PRAZO!AH13&gt;0,1/PRAZO!$AY13,0)</f>
        <v>4.5454545454545456E-2</v>
      </c>
      <c r="BS15" s="51">
        <f t="shared" si="128"/>
        <v>71726.472878787885</v>
      </c>
      <c r="BT15" s="52">
        <f>IF(PRAZO!AI13&gt;0,1/PRAZO!$AY13,0)</f>
        <v>4.5454545454545456E-2</v>
      </c>
      <c r="BU15" s="51">
        <f t="shared" si="129"/>
        <v>71726.472878787885</v>
      </c>
      <c r="BV15" s="52">
        <f>IF(PRAZO!AJ13&gt;0,1/PRAZO!$AY13,0)</f>
        <v>4.5454545454545456E-2</v>
      </c>
      <c r="BW15" s="51">
        <f t="shared" si="130"/>
        <v>71726.472878787885</v>
      </c>
      <c r="BX15" s="52">
        <f>IF(PRAZO!AK13&gt;0,1/PRAZO!$AY13,0)</f>
        <v>4.5454545454545456E-2</v>
      </c>
      <c r="BY15" s="51">
        <f t="shared" si="131"/>
        <v>71726.472878787885</v>
      </c>
      <c r="BZ15" s="52">
        <f>IF(PRAZO!AL13&gt;0,1/PRAZO!$AY13,0)</f>
        <v>4.5454545454545456E-2</v>
      </c>
      <c r="CA15" s="51">
        <f t="shared" si="132"/>
        <v>71726.472878787885</v>
      </c>
      <c r="CB15" s="52">
        <f>IF(PRAZO!AM13&gt;0,1/PRAZO!$AY13,0)</f>
        <v>4.5454545454545456E-2</v>
      </c>
      <c r="CC15" s="51">
        <f t="shared" si="133"/>
        <v>71726.472878787885</v>
      </c>
      <c r="CD15" s="52">
        <f>IF(PRAZO!AN13&gt;0,1/PRAZO!$AY13,0)</f>
        <v>4.5454545454545456E-2</v>
      </c>
      <c r="CE15" s="51">
        <f t="shared" si="134"/>
        <v>71726.472878787885</v>
      </c>
      <c r="CF15" s="52">
        <f>IF(PRAZO!AO13&gt;0,1/PRAZO!$AY13,0)</f>
        <v>4.5454545454545456E-2</v>
      </c>
      <c r="CG15" s="51">
        <f t="shared" si="135"/>
        <v>71726.472878787885</v>
      </c>
      <c r="CH15" s="52">
        <f>IF(PRAZO!AP13&gt;0,1/PRAZO!$AY13,0)</f>
        <v>4.5454545454545456E-2</v>
      </c>
      <c r="CI15" s="51">
        <f t="shared" si="136"/>
        <v>71726.472878787885</v>
      </c>
      <c r="CJ15" s="52">
        <f>IF(PRAZO!AQ13&gt;0,1/PRAZO!$AY13,0)</f>
        <v>4.5454545454545456E-2</v>
      </c>
      <c r="CK15" s="51">
        <f t="shared" si="137"/>
        <v>71726.472878787885</v>
      </c>
      <c r="CL15" s="52">
        <f>IF(PRAZO!AR13&gt;0,1/PRAZO!$AY13,0)</f>
        <v>4.5454545454545456E-2</v>
      </c>
      <c r="CM15" s="51">
        <f t="shared" si="138"/>
        <v>71726.472878787885</v>
      </c>
      <c r="CN15" s="52">
        <f>IF(PRAZO!AS13&gt;0,1/PRAZO!$AY13,0)</f>
        <v>0</v>
      </c>
      <c r="CO15" s="51">
        <f t="shared" si="139"/>
        <v>0</v>
      </c>
      <c r="CP15" s="52">
        <f>IF(PRAZO!AT13&gt;0,1/PRAZO!$AY13,0)</f>
        <v>0</v>
      </c>
      <c r="CQ15" s="51">
        <f t="shared" si="140"/>
        <v>0</v>
      </c>
      <c r="CR15" s="52">
        <f>IF(PRAZO!AU13&gt;0,1/PRAZO!$AY13,0)</f>
        <v>0</v>
      </c>
      <c r="CS15" s="51">
        <f t="shared" si="141"/>
        <v>0</v>
      </c>
      <c r="CT15" s="52">
        <f>IF(PRAZO!AV13&gt;0,1/PRAZO!$AY13,0)</f>
        <v>0</v>
      </c>
      <c r="CU15" s="51">
        <f t="shared" si="142"/>
        <v>0</v>
      </c>
      <c r="CV15" s="52">
        <f>IF(PRAZO!AW13&gt;0,1/PRAZO!$AY13,0)</f>
        <v>0</v>
      </c>
      <c r="CW15" s="51">
        <f t="shared" si="143"/>
        <v>0</v>
      </c>
      <c r="CX15" s="52">
        <f>IF(PRAZO!AX13&gt;0,1/PRAZO!$AY13,0)</f>
        <v>0</v>
      </c>
      <c r="CY15" s="51">
        <f t="shared" si="144"/>
        <v>0</v>
      </c>
    </row>
    <row r="16" spans="2:103" ht="19.5" customHeight="1" x14ac:dyDescent="0.25">
      <c r="B16" s="44" t="s">
        <v>59</v>
      </c>
      <c r="C16" s="61">
        <f ca="1">SUM([1]RESUMO!$B$10:$C$10)</f>
        <v>357850.35791010014</v>
      </c>
      <c r="D16" s="30">
        <f ca="1">C16/$C$28</f>
        <v>1.0037011205318034E-2</v>
      </c>
      <c r="E16" s="63">
        <f ca="1">C16/'DISTRIBUIÇÃO CUSTO'!C$32</f>
        <v>16.310921260062422</v>
      </c>
      <c r="F16" s="77">
        <f t="shared" si="48"/>
        <v>1</v>
      </c>
      <c r="H16" s="29">
        <f>IF(PRAZO!C14&gt;0,1/PRAZO!$AY14,0)</f>
        <v>0</v>
      </c>
      <c r="I16" s="82">
        <f t="shared" ca="1" si="97"/>
        <v>0</v>
      </c>
      <c r="J16" s="29">
        <f>IF(PRAZO!D14&gt;0,1/PRAZO!$AY14,0)</f>
        <v>0</v>
      </c>
      <c r="K16" s="82">
        <f t="shared" ca="1" si="98"/>
        <v>0</v>
      </c>
      <c r="L16" s="29">
        <f>IF(PRAZO!E14&gt;0,1/PRAZO!$AY14,0)</f>
        <v>0</v>
      </c>
      <c r="M16" s="82">
        <f t="shared" ca="1" si="99"/>
        <v>0</v>
      </c>
      <c r="N16" s="29">
        <f>IF(PRAZO!F14&gt;0,1/PRAZO!$AY14,0)</f>
        <v>0</v>
      </c>
      <c r="O16" s="82">
        <f t="shared" ca="1" si="100"/>
        <v>0</v>
      </c>
      <c r="P16" s="29">
        <f>IF(PRAZO!G14&gt;0,1/PRAZO!$AY14,0)</f>
        <v>0</v>
      </c>
      <c r="Q16" s="82">
        <f t="shared" ca="1" si="101"/>
        <v>0</v>
      </c>
      <c r="R16" s="29">
        <f>IF(PRAZO!H14&gt;0,1/PRAZO!$AY14,0)</f>
        <v>0</v>
      </c>
      <c r="S16" s="82">
        <f t="shared" ca="1" si="102"/>
        <v>0</v>
      </c>
      <c r="T16" s="29">
        <f>IF(PRAZO!I14&gt;0,1/PRAZO!$AY14,0)</f>
        <v>0</v>
      </c>
      <c r="U16" s="82">
        <f t="shared" ca="1" si="103"/>
        <v>0</v>
      </c>
      <c r="V16" s="29">
        <f>IF(PRAZO!J14&gt;0,1/PRAZO!$AY14,0)</f>
        <v>0</v>
      </c>
      <c r="W16" s="82">
        <f t="shared" ca="1" si="104"/>
        <v>0</v>
      </c>
      <c r="X16" s="29">
        <f>IF(PRAZO!K14&gt;0,1/PRAZO!$AY14,0)</f>
        <v>0</v>
      </c>
      <c r="Y16" s="82">
        <f t="shared" ca="1" si="105"/>
        <v>0</v>
      </c>
      <c r="Z16" s="29">
        <f>IF(PRAZO!L14&gt;0,1/PRAZO!$AY14,0)</f>
        <v>0</v>
      </c>
      <c r="AA16" s="82">
        <f t="shared" ca="1" si="106"/>
        <v>0</v>
      </c>
      <c r="AB16" s="29">
        <f>IF(PRAZO!M14&gt;0,1/PRAZO!$AY14,0)</f>
        <v>0</v>
      </c>
      <c r="AC16" s="82">
        <f t="shared" ca="1" si="107"/>
        <v>0</v>
      </c>
      <c r="AD16" s="29">
        <f>IF(PRAZO!N14&gt;0,1/PRAZO!$AY14,0)</f>
        <v>0</v>
      </c>
      <c r="AE16" s="82">
        <f t="shared" ca="1" si="108"/>
        <v>0</v>
      </c>
      <c r="AF16" s="29">
        <f>IF(PRAZO!O14&gt;0,1/PRAZO!$AY14,0)</f>
        <v>0</v>
      </c>
      <c r="AG16" s="82">
        <f t="shared" ca="1" si="109"/>
        <v>0</v>
      </c>
      <c r="AH16" s="29">
        <f>IF(PRAZO!P14&gt;0,1/PRAZO!$AY14,0)</f>
        <v>0</v>
      </c>
      <c r="AI16" s="82">
        <f t="shared" ca="1" si="110"/>
        <v>0</v>
      </c>
      <c r="AJ16" s="29">
        <f>IF(PRAZO!Q14&gt;0,1/PRAZO!$AY14,0)</f>
        <v>0</v>
      </c>
      <c r="AK16" s="82">
        <f t="shared" ca="1" si="111"/>
        <v>0</v>
      </c>
      <c r="AL16" s="29">
        <f>IF(PRAZO!R14&gt;0,1/PRAZO!$AY14,0)</f>
        <v>0</v>
      </c>
      <c r="AM16" s="82">
        <f t="shared" ca="1" si="112"/>
        <v>0</v>
      </c>
      <c r="AN16" s="29">
        <f>IF(PRAZO!S14&gt;0,1/PRAZO!$AY14,0)</f>
        <v>0</v>
      </c>
      <c r="AO16" s="82">
        <f t="shared" ca="1" si="113"/>
        <v>0</v>
      </c>
      <c r="AP16" s="29">
        <f>IF(PRAZO!T14&gt;0,1/PRAZO!$AY14,0)</f>
        <v>0</v>
      </c>
      <c r="AQ16" s="82">
        <f t="shared" ca="1" si="114"/>
        <v>0</v>
      </c>
      <c r="AR16" s="29">
        <f>IF(PRAZO!U14&gt;0,1/PRAZO!$AY14,0)</f>
        <v>0</v>
      </c>
      <c r="AS16" s="82">
        <f t="shared" ca="1" si="115"/>
        <v>0</v>
      </c>
      <c r="AT16" s="29">
        <f>IF(PRAZO!V14&gt;0,1/PRAZO!$AY14,0)</f>
        <v>0</v>
      </c>
      <c r="AU16" s="82">
        <f t="shared" ca="1" si="116"/>
        <v>0</v>
      </c>
      <c r="AV16" s="29">
        <f>IF(PRAZO!W14&gt;0,1/PRAZO!$AY14,0)</f>
        <v>0</v>
      </c>
      <c r="AW16" s="82">
        <f t="shared" ca="1" si="117"/>
        <v>0</v>
      </c>
      <c r="AX16" s="29">
        <f>IF(PRAZO!X14&gt;0,1/PRAZO!$AY14,0)</f>
        <v>0</v>
      </c>
      <c r="AY16" s="82">
        <f t="shared" ca="1" si="118"/>
        <v>0</v>
      </c>
      <c r="AZ16" s="29">
        <f>IF(PRAZO!Y14&gt;0,1/PRAZO!$AY14,0)</f>
        <v>8.3333333333333329E-2</v>
      </c>
      <c r="BA16" s="82">
        <f t="shared" ca="1" si="119"/>
        <v>29820.863159175009</v>
      </c>
      <c r="BB16" s="29">
        <f>IF(PRAZO!Z14&gt;0,1/PRAZO!$AY14,0)</f>
        <v>8.3333333333333329E-2</v>
      </c>
      <c r="BC16" s="82">
        <f t="shared" ca="1" si="120"/>
        <v>29820.863159175009</v>
      </c>
      <c r="BD16" s="29">
        <f>IF(PRAZO!AA14&gt;0,1/PRAZO!$AY14,0)</f>
        <v>8.3333333333333329E-2</v>
      </c>
      <c r="BE16" s="82">
        <f t="shared" ca="1" si="121"/>
        <v>29820.863159175009</v>
      </c>
      <c r="BF16" s="29">
        <f>IF(PRAZO!AB14&gt;0,1/PRAZO!$AY14,0)</f>
        <v>8.3333333333333329E-2</v>
      </c>
      <c r="BG16" s="82">
        <f t="shared" ca="1" si="122"/>
        <v>29820.863159175009</v>
      </c>
      <c r="BH16" s="29">
        <f>IF(PRAZO!AC14&gt;0,1/PRAZO!$AY14,0)</f>
        <v>8.3333333333333329E-2</v>
      </c>
      <c r="BI16" s="82">
        <f t="shared" ca="1" si="123"/>
        <v>29820.863159175009</v>
      </c>
      <c r="BJ16" s="29">
        <f>IF(PRAZO!AD14&gt;0,1/PRAZO!$AY14,0)</f>
        <v>8.3333333333333329E-2</v>
      </c>
      <c r="BK16" s="82">
        <f t="shared" ca="1" si="124"/>
        <v>29820.863159175009</v>
      </c>
      <c r="BL16" s="29">
        <f>IF(PRAZO!AE14&gt;0,1/PRAZO!$AY14,0)</f>
        <v>8.3333333333333329E-2</v>
      </c>
      <c r="BM16" s="82">
        <f t="shared" ca="1" si="125"/>
        <v>29820.863159175009</v>
      </c>
      <c r="BN16" s="29">
        <f>IF(PRAZO!AF14&gt;0,1/PRAZO!$AY14,0)</f>
        <v>8.3333333333333329E-2</v>
      </c>
      <c r="BO16" s="82">
        <f t="shared" ca="1" si="126"/>
        <v>29820.863159175009</v>
      </c>
      <c r="BP16" s="29">
        <f>IF(PRAZO!AG14&gt;0,1/PRAZO!$AY14,0)</f>
        <v>8.3333333333333329E-2</v>
      </c>
      <c r="BQ16" s="82">
        <f t="shared" ca="1" si="127"/>
        <v>29820.863159175009</v>
      </c>
      <c r="BR16" s="29">
        <f>IF(PRAZO!AH14&gt;0,1/PRAZO!$AY14,0)</f>
        <v>8.3333333333333329E-2</v>
      </c>
      <c r="BS16" s="82">
        <f t="shared" ca="1" si="128"/>
        <v>29820.863159175009</v>
      </c>
      <c r="BT16" s="29">
        <f>IF(PRAZO!AI14&gt;0,1/PRAZO!$AY14,0)</f>
        <v>8.3333333333333329E-2</v>
      </c>
      <c r="BU16" s="82">
        <f t="shared" ca="1" si="129"/>
        <v>29820.863159175009</v>
      </c>
      <c r="BV16" s="29">
        <f>IF(PRAZO!AJ14&gt;0,1/PRAZO!$AY14,0)</f>
        <v>8.3333333333333329E-2</v>
      </c>
      <c r="BW16" s="82">
        <f t="shared" ca="1" si="130"/>
        <v>29820.863159175009</v>
      </c>
      <c r="BX16" s="29">
        <f>IF(PRAZO!AK14&gt;0,1/PRAZO!$AY14,0)</f>
        <v>0</v>
      </c>
      <c r="BY16" s="82">
        <f t="shared" ca="1" si="131"/>
        <v>0</v>
      </c>
      <c r="BZ16" s="29">
        <f>IF(PRAZO!AL14&gt;0,1/PRAZO!$AY14,0)</f>
        <v>0</v>
      </c>
      <c r="CA16" s="82">
        <f t="shared" ca="1" si="132"/>
        <v>0</v>
      </c>
      <c r="CB16" s="29">
        <f>IF(PRAZO!AM14&gt;0,1/PRAZO!$AY14,0)</f>
        <v>0</v>
      </c>
      <c r="CC16" s="82">
        <f t="shared" ca="1" si="133"/>
        <v>0</v>
      </c>
      <c r="CD16" s="29">
        <f>IF(PRAZO!AN14&gt;0,1/PRAZO!$AY14,0)</f>
        <v>0</v>
      </c>
      <c r="CE16" s="82">
        <f t="shared" ca="1" si="134"/>
        <v>0</v>
      </c>
      <c r="CF16" s="29">
        <f>IF(PRAZO!AO14&gt;0,1/PRAZO!$AY14,0)</f>
        <v>0</v>
      </c>
      <c r="CG16" s="82">
        <f t="shared" ca="1" si="135"/>
        <v>0</v>
      </c>
      <c r="CH16" s="29">
        <f>IF(PRAZO!AP14&gt;0,1/PRAZO!$AY14,0)</f>
        <v>0</v>
      </c>
      <c r="CI16" s="82">
        <f t="shared" ca="1" si="136"/>
        <v>0</v>
      </c>
      <c r="CJ16" s="29">
        <f>IF(PRAZO!AQ14&gt;0,1/PRAZO!$AY14,0)</f>
        <v>0</v>
      </c>
      <c r="CK16" s="82">
        <f t="shared" ca="1" si="137"/>
        <v>0</v>
      </c>
      <c r="CL16" s="29">
        <f>IF(PRAZO!AR14&gt;0,1/PRAZO!$AY14,0)</f>
        <v>0</v>
      </c>
      <c r="CM16" s="82">
        <f t="shared" ca="1" si="138"/>
        <v>0</v>
      </c>
      <c r="CN16" s="29">
        <f>IF(PRAZO!AS14&gt;0,1/PRAZO!$AY14,0)</f>
        <v>0</v>
      </c>
      <c r="CO16" s="82">
        <f t="shared" ca="1" si="139"/>
        <v>0</v>
      </c>
      <c r="CP16" s="29">
        <f>IF(PRAZO!AT14&gt;0,1/PRAZO!$AY14,0)</f>
        <v>0</v>
      </c>
      <c r="CQ16" s="82">
        <f t="shared" ca="1" si="140"/>
        <v>0</v>
      </c>
      <c r="CR16" s="29">
        <f>IF(PRAZO!AU14&gt;0,1/PRAZO!$AY14,0)</f>
        <v>0</v>
      </c>
      <c r="CS16" s="82">
        <f t="shared" ca="1" si="141"/>
        <v>0</v>
      </c>
      <c r="CT16" s="29">
        <f>IF(PRAZO!AV14&gt;0,1/PRAZO!$AY14,0)</f>
        <v>0</v>
      </c>
      <c r="CU16" s="82">
        <f t="shared" ca="1" si="142"/>
        <v>0</v>
      </c>
      <c r="CV16" s="29">
        <f>IF(PRAZO!AW14&gt;0,1/PRAZO!$AY14,0)</f>
        <v>0</v>
      </c>
      <c r="CW16" s="82">
        <f t="shared" ca="1" si="143"/>
        <v>0</v>
      </c>
      <c r="CX16" s="29">
        <f>IF(PRAZO!AX14&gt;0,1/PRAZO!$AY14,0)</f>
        <v>0</v>
      </c>
      <c r="CY16" s="82">
        <f t="shared" ca="1" si="144"/>
        <v>0</v>
      </c>
    </row>
    <row r="17" spans="2:105" ht="19.5" customHeight="1" x14ac:dyDescent="0.25">
      <c r="B17" s="48" t="s">
        <v>60</v>
      </c>
      <c r="C17" s="60">
        <f>SUM([1]RESUMO!$B$11:$C$11)</f>
        <v>631938.57570000004</v>
      </c>
      <c r="D17" s="49">
        <f ca="1">C17/$C$28</f>
        <v>1.7724656201034351E-2</v>
      </c>
      <c r="E17" s="62">
        <f>C17/'DISTRIBUIÇÃO CUSTO'!C$32</f>
        <v>28.803940310793731</v>
      </c>
      <c r="F17" s="76">
        <f t="shared" si="48"/>
        <v>0.99999999999999989</v>
      </c>
      <c r="H17" s="50">
        <f>IF(PRAZO!C15&gt;0,1/PRAZO!$AY15,0)</f>
        <v>0</v>
      </c>
      <c r="I17" s="51">
        <f t="shared" si="97"/>
        <v>0</v>
      </c>
      <c r="J17" s="52">
        <f>IF(PRAZO!D15&gt;0,1/PRAZO!$AY15,0)</f>
        <v>0</v>
      </c>
      <c r="K17" s="51">
        <f t="shared" si="98"/>
        <v>0</v>
      </c>
      <c r="L17" s="52">
        <f>IF(PRAZO!E15&gt;0,1/PRAZO!$AY15,0)</f>
        <v>0</v>
      </c>
      <c r="M17" s="51">
        <f t="shared" si="99"/>
        <v>0</v>
      </c>
      <c r="N17" s="52">
        <f>IF(PRAZO!F15&gt;0,1/PRAZO!$AY15,0)</f>
        <v>0</v>
      </c>
      <c r="O17" s="51">
        <f t="shared" si="100"/>
        <v>0</v>
      </c>
      <c r="P17" s="52">
        <f>IF(PRAZO!G15&gt;0,1/PRAZO!$AY15,0)</f>
        <v>0</v>
      </c>
      <c r="Q17" s="51">
        <f t="shared" si="101"/>
        <v>0</v>
      </c>
      <c r="R17" s="52">
        <f>IF(PRAZO!H15&gt;0,1/PRAZO!$AY15,0)</f>
        <v>0</v>
      </c>
      <c r="S17" s="51">
        <f t="shared" si="102"/>
        <v>0</v>
      </c>
      <c r="T17" s="52">
        <f>IF(PRAZO!I15&gt;0,1/PRAZO!$AY15,0)</f>
        <v>0</v>
      </c>
      <c r="U17" s="51">
        <f t="shared" si="103"/>
        <v>0</v>
      </c>
      <c r="V17" s="52">
        <f>IF(PRAZO!J15&gt;0,1/PRAZO!$AY15,0)</f>
        <v>0</v>
      </c>
      <c r="W17" s="51">
        <f t="shared" si="104"/>
        <v>0</v>
      </c>
      <c r="X17" s="52">
        <f>IF(PRAZO!K15&gt;0,1/PRAZO!$AY15,0)</f>
        <v>0</v>
      </c>
      <c r="Y17" s="51">
        <f t="shared" si="105"/>
        <v>0</v>
      </c>
      <c r="Z17" s="52">
        <f>IF(PRAZO!L15&gt;0,1/PRAZO!$AY15,0)</f>
        <v>0</v>
      </c>
      <c r="AA17" s="51">
        <f t="shared" si="106"/>
        <v>0</v>
      </c>
      <c r="AB17" s="52">
        <f>IF(PRAZO!M15&gt;0,1/PRAZO!$AY15,0)</f>
        <v>0</v>
      </c>
      <c r="AC17" s="51">
        <f t="shared" si="107"/>
        <v>0</v>
      </c>
      <c r="AD17" s="52">
        <f>IF(PRAZO!N15&gt;0,1/PRAZO!$AY15,0)</f>
        <v>0</v>
      </c>
      <c r="AE17" s="51">
        <f t="shared" si="108"/>
        <v>0</v>
      </c>
      <c r="AF17" s="52">
        <f>IF(PRAZO!O15&gt;0,1/PRAZO!$AY15,0)</f>
        <v>0</v>
      </c>
      <c r="AG17" s="51">
        <f t="shared" si="109"/>
        <v>0</v>
      </c>
      <c r="AH17" s="52">
        <f>IF(PRAZO!P15&gt;0,1/PRAZO!$AY15,0)</f>
        <v>0</v>
      </c>
      <c r="AI17" s="51">
        <f t="shared" si="110"/>
        <v>0</v>
      </c>
      <c r="AJ17" s="52">
        <f>IF(PRAZO!Q15&gt;0,1/PRAZO!$AY15,0)</f>
        <v>0</v>
      </c>
      <c r="AK17" s="51">
        <f t="shared" si="111"/>
        <v>0</v>
      </c>
      <c r="AL17" s="52">
        <f>IF(PRAZO!R15&gt;0,1/PRAZO!$AY15,0)</f>
        <v>0</v>
      </c>
      <c r="AM17" s="51">
        <f t="shared" si="112"/>
        <v>0</v>
      </c>
      <c r="AN17" s="52">
        <f>IF(PRAZO!S15&gt;0,1/PRAZO!$AY15,0)</f>
        <v>6.6666666666666666E-2</v>
      </c>
      <c r="AO17" s="51">
        <f t="shared" si="113"/>
        <v>42129.238380000003</v>
      </c>
      <c r="AP17" s="52">
        <f>IF(PRAZO!T15&gt;0,1/PRAZO!$AY15,0)</f>
        <v>6.6666666666666666E-2</v>
      </c>
      <c r="AQ17" s="51">
        <f t="shared" si="114"/>
        <v>42129.238380000003</v>
      </c>
      <c r="AR17" s="52">
        <f>IF(PRAZO!U15&gt;0,1/PRAZO!$AY15,0)</f>
        <v>6.6666666666666666E-2</v>
      </c>
      <c r="AS17" s="51">
        <f t="shared" si="115"/>
        <v>42129.238380000003</v>
      </c>
      <c r="AT17" s="52">
        <f>IF(PRAZO!V15&gt;0,1/PRAZO!$AY15,0)</f>
        <v>6.6666666666666666E-2</v>
      </c>
      <c r="AU17" s="51">
        <f t="shared" si="116"/>
        <v>42129.238380000003</v>
      </c>
      <c r="AV17" s="52">
        <f>IF(PRAZO!W15&gt;0,1/PRAZO!$AY15,0)</f>
        <v>6.6666666666666666E-2</v>
      </c>
      <c r="AW17" s="51">
        <f t="shared" si="117"/>
        <v>42129.238380000003</v>
      </c>
      <c r="AX17" s="52">
        <f>IF(PRAZO!X15&gt;0,1/PRAZO!$AY15,0)</f>
        <v>6.6666666666666666E-2</v>
      </c>
      <c r="AY17" s="51">
        <f t="shared" si="118"/>
        <v>42129.238380000003</v>
      </c>
      <c r="AZ17" s="52">
        <f>IF(PRAZO!Y15&gt;0,1/PRAZO!$AY15,0)</f>
        <v>6.6666666666666666E-2</v>
      </c>
      <c r="BA17" s="51">
        <f t="shared" si="119"/>
        <v>42129.238380000003</v>
      </c>
      <c r="BB17" s="52">
        <f>IF(PRAZO!Z15&gt;0,1/PRAZO!$AY15,0)</f>
        <v>6.6666666666666666E-2</v>
      </c>
      <c r="BC17" s="51">
        <f t="shared" si="120"/>
        <v>42129.238380000003</v>
      </c>
      <c r="BD17" s="52">
        <f>IF(PRAZO!AA15&gt;0,1/PRAZO!$AY15,0)</f>
        <v>6.6666666666666666E-2</v>
      </c>
      <c r="BE17" s="51">
        <f t="shared" si="121"/>
        <v>42129.238380000003</v>
      </c>
      <c r="BF17" s="52">
        <f>IF(PRAZO!AB15&gt;0,1/PRAZO!$AY15,0)</f>
        <v>6.6666666666666666E-2</v>
      </c>
      <c r="BG17" s="51">
        <f t="shared" si="122"/>
        <v>42129.238380000003</v>
      </c>
      <c r="BH17" s="52">
        <f>IF(PRAZO!AC15&gt;0,1/PRAZO!$AY15,0)</f>
        <v>6.6666666666666666E-2</v>
      </c>
      <c r="BI17" s="51">
        <f t="shared" si="123"/>
        <v>42129.238380000003</v>
      </c>
      <c r="BJ17" s="52">
        <f>IF(PRAZO!AD15&gt;0,1/PRAZO!$AY15,0)</f>
        <v>6.6666666666666666E-2</v>
      </c>
      <c r="BK17" s="51">
        <f t="shared" si="124"/>
        <v>42129.238380000003</v>
      </c>
      <c r="BL17" s="52">
        <f>IF(PRAZO!AE15&gt;0,1/PRAZO!$AY15,0)</f>
        <v>6.6666666666666666E-2</v>
      </c>
      <c r="BM17" s="51">
        <f t="shared" si="125"/>
        <v>42129.238380000003</v>
      </c>
      <c r="BN17" s="52">
        <f>IF(PRAZO!AF15&gt;0,1/PRAZO!$AY15,0)</f>
        <v>6.6666666666666666E-2</v>
      </c>
      <c r="BO17" s="51">
        <f t="shared" si="126"/>
        <v>42129.238380000003</v>
      </c>
      <c r="BP17" s="52">
        <f>IF(PRAZO!AG15&gt;0,1/PRAZO!$AY15,0)</f>
        <v>6.6666666666666666E-2</v>
      </c>
      <c r="BQ17" s="51">
        <f t="shared" si="127"/>
        <v>42129.238380000003</v>
      </c>
      <c r="BR17" s="52">
        <f>IF(PRAZO!AH15&gt;0,1/PRAZO!$AY15,0)</f>
        <v>0</v>
      </c>
      <c r="BS17" s="51">
        <f t="shared" si="128"/>
        <v>0</v>
      </c>
      <c r="BT17" s="52">
        <f>IF(PRAZO!AI15&gt;0,1/PRAZO!$AY15,0)</f>
        <v>0</v>
      </c>
      <c r="BU17" s="51">
        <f t="shared" si="129"/>
        <v>0</v>
      </c>
      <c r="BV17" s="52">
        <f>IF(PRAZO!AJ15&gt;0,1/PRAZO!$AY15,0)</f>
        <v>0</v>
      </c>
      <c r="BW17" s="51">
        <f t="shared" si="130"/>
        <v>0</v>
      </c>
      <c r="BX17" s="52">
        <f>IF(PRAZO!AK15&gt;0,1/PRAZO!$AY15,0)</f>
        <v>0</v>
      </c>
      <c r="BY17" s="51">
        <f t="shared" si="131"/>
        <v>0</v>
      </c>
      <c r="BZ17" s="52">
        <f>IF(PRAZO!AL15&gt;0,1/PRAZO!$AY15,0)</f>
        <v>0</v>
      </c>
      <c r="CA17" s="51">
        <f t="shared" si="132"/>
        <v>0</v>
      </c>
      <c r="CB17" s="52">
        <f>IF(PRAZO!AM15&gt;0,1/PRAZO!$AY15,0)</f>
        <v>0</v>
      </c>
      <c r="CC17" s="51">
        <f t="shared" si="133"/>
        <v>0</v>
      </c>
      <c r="CD17" s="52">
        <f>IF(PRAZO!AN15&gt;0,1/PRAZO!$AY15,0)</f>
        <v>0</v>
      </c>
      <c r="CE17" s="51">
        <f t="shared" si="134"/>
        <v>0</v>
      </c>
      <c r="CF17" s="52">
        <f>IF(PRAZO!AO15&gt;0,1/PRAZO!$AY15,0)</f>
        <v>0</v>
      </c>
      <c r="CG17" s="51">
        <f t="shared" si="135"/>
        <v>0</v>
      </c>
      <c r="CH17" s="52">
        <f>IF(PRAZO!AP15&gt;0,1/PRAZO!$AY15,0)</f>
        <v>0</v>
      </c>
      <c r="CI17" s="51">
        <f t="shared" si="136"/>
        <v>0</v>
      </c>
      <c r="CJ17" s="52">
        <f>IF(PRAZO!AQ15&gt;0,1/PRAZO!$AY15,0)</f>
        <v>0</v>
      </c>
      <c r="CK17" s="51">
        <f t="shared" si="137"/>
        <v>0</v>
      </c>
      <c r="CL17" s="52">
        <f>IF(PRAZO!AR15&gt;0,1/PRAZO!$AY15,0)</f>
        <v>0</v>
      </c>
      <c r="CM17" s="51">
        <f t="shared" si="138"/>
        <v>0</v>
      </c>
      <c r="CN17" s="52">
        <f>IF(PRAZO!AS15&gt;0,1/PRAZO!$AY15,0)</f>
        <v>0</v>
      </c>
      <c r="CO17" s="51">
        <f t="shared" si="139"/>
        <v>0</v>
      </c>
      <c r="CP17" s="52">
        <f>IF(PRAZO!AT15&gt;0,1/PRAZO!$AY15,0)</f>
        <v>0</v>
      </c>
      <c r="CQ17" s="51">
        <f t="shared" si="140"/>
        <v>0</v>
      </c>
      <c r="CR17" s="52">
        <f>IF(PRAZO!AU15&gt;0,1/PRAZO!$AY15,0)</f>
        <v>0</v>
      </c>
      <c r="CS17" s="51">
        <f t="shared" si="141"/>
        <v>0</v>
      </c>
      <c r="CT17" s="52">
        <f>IF(PRAZO!AV15&gt;0,1/PRAZO!$AY15,0)</f>
        <v>0</v>
      </c>
      <c r="CU17" s="51">
        <f t="shared" si="142"/>
        <v>0</v>
      </c>
      <c r="CV17" s="52">
        <f>IF(PRAZO!AW15&gt;0,1/PRAZO!$AY15,0)</f>
        <v>0</v>
      </c>
      <c r="CW17" s="51">
        <f t="shared" si="143"/>
        <v>0</v>
      </c>
      <c r="CX17" s="52">
        <f>IF(PRAZO!AX15&gt;0,1/PRAZO!$AY15,0)</f>
        <v>0</v>
      </c>
      <c r="CY17" s="51">
        <f t="shared" si="144"/>
        <v>0</v>
      </c>
    </row>
    <row r="18" spans="2:105" ht="19.5" customHeight="1" x14ac:dyDescent="0.25">
      <c r="B18" s="44" t="s">
        <v>61</v>
      </c>
      <c r="C18" s="61">
        <f>SUM([1]RESUMO!$B$12:$C$12)</f>
        <v>365758.96399999992</v>
      </c>
      <c r="D18" s="30">
        <f ca="1">C18/$C$28</f>
        <v>1.0258832327438336E-2</v>
      </c>
      <c r="E18" s="63">
        <f>C18/'DISTRIBUIÇÃO CUSTO'!C$32</f>
        <v>16.671397778690391</v>
      </c>
      <c r="F18" s="77">
        <f t="shared" si="48"/>
        <v>1</v>
      </c>
      <c r="H18" s="29">
        <f>IF(PRAZO!C16&gt;0,1/PRAZO!$AY16,0)</f>
        <v>0</v>
      </c>
      <c r="I18" s="82">
        <f t="shared" si="97"/>
        <v>0</v>
      </c>
      <c r="J18" s="29">
        <f>IF(PRAZO!D16&gt;0,1/PRAZO!$AY16,0)</f>
        <v>0</v>
      </c>
      <c r="K18" s="82">
        <f t="shared" si="98"/>
        <v>0</v>
      </c>
      <c r="L18" s="29">
        <f>IF(PRAZO!E16&gt;0,1/PRAZO!$AY16,0)</f>
        <v>0</v>
      </c>
      <c r="M18" s="82">
        <f t="shared" si="99"/>
        <v>0</v>
      </c>
      <c r="N18" s="29">
        <f>IF(PRAZO!F16&gt;0,1/PRAZO!$AY16,0)</f>
        <v>0</v>
      </c>
      <c r="O18" s="82">
        <f t="shared" si="100"/>
        <v>0</v>
      </c>
      <c r="P18" s="29">
        <f>IF(PRAZO!G16&gt;0,1/PRAZO!$AY16,0)</f>
        <v>0</v>
      </c>
      <c r="Q18" s="82">
        <f t="shared" si="101"/>
        <v>0</v>
      </c>
      <c r="R18" s="29">
        <f>IF(PRAZO!H16&gt;0,1/PRAZO!$AY16,0)</f>
        <v>0</v>
      </c>
      <c r="S18" s="82">
        <f t="shared" si="102"/>
        <v>0</v>
      </c>
      <c r="T18" s="29">
        <f>IF(PRAZO!I16&gt;0,1/PRAZO!$AY16,0)</f>
        <v>0</v>
      </c>
      <c r="U18" s="82">
        <f t="shared" si="103"/>
        <v>0</v>
      </c>
      <c r="V18" s="29">
        <f>IF(PRAZO!J16&gt;0,1/PRAZO!$AY16,0)</f>
        <v>0</v>
      </c>
      <c r="W18" s="82">
        <f t="shared" si="104"/>
        <v>0</v>
      </c>
      <c r="X18" s="29">
        <f>IF(PRAZO!K16&gt;0,1/PRAZO!$AY16,0)</f>
        <v>0</v>
      </c>
      <c r="Y18" s="82">
        <f t="shared" si="105"/>
        <v>0</v>
      </c>
      <c r="Z18" s="29">
        <f>IF(PRAZO!L16&gt;0,1/PRAZO!$AY16,0)</f>
        <v>0</v>
      </c>
      <c r="AA18" s="82">
        <f t="shared" si="106"/>
        <v>0</v>
      </c>
      <c r="AB18" s="29">
        <f>IF(PRAZO!M16&gt;0,1/PRAZO!$AY16,0)</f>
        <v>0</v>
      </c>
      <c r="AC18" s="82">
        <f t="shared" si="107"/>
        <v>0</v>
      </c>
      <c r="AD18" s="29">
        <f>IF(PRAZO!N16&gt;0,1/PRAZO!$AY16,0)</f>
        <v>0</v>
      </c>
      <c r="AE18" s="82">
        <f t="shared" si="108"/>
        <v>0</v>
      </c>
      <c r="AF18" s="29">
        <f>IF(PRAZO!O16&gt;0,1/PRAZO!$AY16,0)</f>
        <v>0</v>
      </c>
      <c r="AG18" s="82">
        <f t="shared" si="109"/>
        <v>0</v>
      </c>
      <c r="AH18" s="29">
        <f>IF(PRAZO!P16&gt;0,1/PRAZO!$AY16,0)</f>
        <v>0</v>
      </c>
      <c r="AI18" s="82">
        <f t="shared" si="110"/>
        <v>0</v>
      </c>
      <c r="AJ18" s="29">
        <f>IF(PRAZO!Q16&gt;0,1/PRAZO!$AY16,0)</f>
        <v>0</v>
      </c>
      <c r="AK18" s="82">
        <f t="shared" si="111"/>
        <v>0</v>
      </c>
      <c r="AL18" s="29">
        <f>IF(PRAZO!R16&gt;0,1/PRAZO!$AY16,0)</f>
        <v>0</v>
      </c>
      <c r="AM18" s="82">
        <f t="shared" si="112"/>
        <v>0</v>
      </c>
      <c r="AN18" s="29">
        <f>IF(PRAZO!S16&gt;0,1/PRAZO!$AY16,0)</f>
        <v>0</v>
      </c>
      <c r="AO18" s="82">
        <f t="shared" si="113"/>
        <v>0</v>
      </c>
      <c r="AP18" s="29">
        <f>IF(PRAZO!T16&gt;0,1/PRAZO!$AY16,0)</f>
        <v>0</v>
      </c>
      <c r="AQ18" s="82">
        <f t="shared" si="114"/>
        <v>0</v>
      </c>
      <c r="AR18" s="29">
        <f>IF(PRAZO!U16&gt;0,1/PRAZO!$AY16,0)</f>
        <v>0</v>
      </c>
      <c r="AS18" s="82">
        <f t="shared" si="115"/>
        <v>0</v>
      </c>
      <c r="AT18" s="29">
        <f>IF(PRAZO!V16&gt;0,1/PRAZO!$AY16,0)</f>
        <v>0</v>
      </c>
      <c r="AU18" s="82">
        <f t="shared" si="116"/>
        <v>0</v>
      </c>
      <c r="AV18" s="29">
        <f>IF(PRAZO!W16&gt;0,1/PRAZO!$AY16,0)</f>
        <v>0</v>
      </c>
      <c r="AW18" s="82">
        <f t="shared" si="117"/>
        <v>0</v>
      </c>
      <c r="AX18" s="29">
        <f>IF(PRAZO!X16&gt;0,1/PRAZO!$AY16,0)</f>
        <v>0</v>
      </c>
      <c r="AY18" s="82">
        <f t="shared" si="118"/>
        <v>0</v>
      </c>
      <c r="AZ18" s="29">
        <f>IF(PRAZO!Y16&gt;0,1/PRAZO!$AY16,0)</f>
        <v>0</v>
      </c>
      <c r="BA18" s="82">
        <f t="shared" si="119"/>
        <v>0</v>
      </c>
      <c r="BB18" s="29">
        <f>IF(PRAZO!Z16&gt;0,1/PRAZO!$AY16,0)</f>
        <v>0</v>
      </c>
      <c r="BC18" s="82">
        <f t="shared" si="120"/>
        <v>0</v>
      </c>
      <c r="BD18" s="29">
        <f>IF(PRAZO!AA16&gt;0,1/PRAZO!$AY16,0)</f>
        <v>0</v>
      </c>
      <c r="BE18" s="82">
        <f t="shared" si="121"/>
        <v>0</v>
      </c>
      <c r="BF18" s="29">
        <f>IF(PRAZO!AB16&gt;0,1/PRAZO!$AY16,0)</f>
        <v>0</v>
      </c>
      <c r="BG18" s="82">
        <f t="shared" si="122"/>
        <v>0</v>
      </c>
      <c r="BH18" s="29">
        <f>IF(PRAZO!AC16&gt;0,1/PRAZO!$AY16,0)</f>
        <v>8.3333333333333329E-2</v>
      </c>
      <c r="BI18" s="82">
        <f t="shared" si="123"/>
        <v>30479.91366666666</v>
      </c>
      <c r="BJ18" s="29">
        <f>IF(PRAZO!AD16&gt;0,1/PRAZO!$AY16,0)</f>
        <v>8.3333333333333329E-2</v>
      </c>
      <c r="BK18" s="82">
        <f t="shared" si="124"/>
        <v>30479.91366666666</v>
      </c>
      <c r="BL18" s="29">
        <f>IF(PRAZO!AE16&gt;0,1/PRAZO!$AY16,0)</f>
        <v>8.3333333333333329E-2</v>
      </c>
      <c r="BM18" s="82">
        <f t="shared" si="125"/>
        <v>30479.91366666666</v>
      </c>
      <c r="BN18" s="29">
        <f>IF(PRAZO!AF16&gt;0,1/PRAZO!$AY16,0)</f>
        <v>8.3333333333333329E-2</v>
      </c>
      <c r="BO18" s="82">
        <f t="shared" si="126"/>
        <v>30479.91366666666</v>
      </c>
      <c r="BP18" s="29">
        <f>IF(PRAZO!AG16&gt;0,1/PRAZO!$AY16,0)</f>
        <v>8.3333333333333329E-2</v>
      </c>
      <c r="BQ18" s="82">
        <f t="shared" si="127"/>
        <v>30479.91366666666</v>
      </c>
      <c r="BR18" s="29">
        <f>IF(PRAZO!AH16&gt;0,1/PRAZO!$AY16,0)</f>
        <v>8.3333333333333329E-2</v>
      </c>
      <c r="BS18" s="82">
        <f t="shared" si="128"/>
        <v>30479.91366666666</v>
      </c>
      <c r="BT18" s="29">
        <f>IF(PRAZO!AI16&gt;0,1/PRAZO!$AY16,0)</f>
        <v>8.3333333333333329E-2</v>
      </c>
      <c r="BU18" s="82">
        <f t="shared" si="129"/>
        <v>30479.91366666666</v>
      </c>
      <c r="BV18" s="29">
        <f>IF(PRAZO!AJ16&gt;0,1/PRAZO!$AY16,0)</f>
        <v>8.3333333333333329E-2</v>
      </c>
      <c r="BW18" s="82">
        <f t="shared" si="130"/>
        <v>30479.91366666666</v>
      </c>
      <c r="BX18" s="29">
        <f>IF(PRAZO!AK16&gt;0,1/PRAZO!$AY16,0)</f>
        <v>8.3333333333333329E-2</v>
      </c>
      <c r="BY18" s="82">
        <f t="shared" si="131"/>
        <v>30479.91366666666</v>
      </c>
      <c r="BZ18" s="29">
        <f>IF(PRAZO!AL16&gt;0,1/PRAZO!$AY16,0)</f>
        <v>8.3333333333333329E-2</v>
      </c>
      <c r="CA18" s="82">
        <f t="shared" si="132"/>
        <v>30479.91366666666</v>
      </c>
      <c r="CB18" s="29">
        <f>IF(PRAZO!AM16&gt;0,1/PRAZO!$AY16,0)</f>
        <v>8.3333333333333329E-2</v>
      </c>
      <c r="CC18" s="82">
        <f t="shared" si="133"/>
        <v>30479.91366666666</v>
      </c>
      <c r="CD18" s="29">
        <f>IF(PRAZO!AN16&gt;0,1/PRAZO!$AY16,0)</f>
        <v>8.3333333333333329E-2</v>
      </c>
      <c r="CE18" s="82">
        <f t="shared" si="134"/>
        <v>30479.91366666666</v>
      </c>
      <c r="CF18" s="29">
        <f>IF(PRAZO!AO16&gt;0,1/PRAZO!$AY16,0)</f>
        <v>0</v>
      </c>
      <c r="CG18" s="82">
        <f t="shared" si="135"/>
        <v>0</v>
      </c>
      <c r="CH18" s="29">
        <f>IF(PRAZO!AP16&gt;0,1/PRAZO!$AY16,0)</f>
        <v>0</v>
      </c>
      <c r="CI18" s="82">
        <f t="shared" si="136"/>
        <v>0</v>
      </c>
      <c r="CJ18" s="29">
        <f>IF(PRAZO!AQ16&gt;0,1/PRAZO!$AY16,0)</f>
        <v>0</v>
      </c>
      <c r="CK18" s="82">
        <f t="shared" si="137"/>
        <v>0</v>
      </c>
      <c r="CL18" s="29">
        <f>IF(PRAZO!AR16&gt;0,1/PRAZO!$AY16,0)</f>
        <v>0</v>
      </c>
      <c r="CM18" s="82">
        <f t="shared" si="138"/>
        <v>0</v>
      </c>
      <c r="CN18" s="29">
        <f>IF(PRAZO!AS16&gt;0,1/PRAZO!$AY16,0)</f>
        <v>0</v>
      </c>
      <c r="CO18" s="82">
        <f t="shared" si="139"/>
        <v>0</v>
      </c>
      <c r="CP18" s="29">
        <f>IF(PRAZO!AT16&gt;0,1/PRAZO!$AY16,0)</f>
        <v>0</v>
      </c>
      <c r="CQ18" s="82">
        <f t="shared" si="140"/>
        <v>0</v>
      </c>
      <c r="CR18" s="29">
        <f>IF(PRAZO!AU16&gt;0,1/PRAZO!$AY16,0)</f>
        <v>0</v>
      </c>
      <c r="CS18" s="82">
        <f t="shared" si="141"/>
        <v>0</v>
      </c>
      <c r="CT18" s="29">
        <f>IF(PRAZO!AV16&gt;0,1/PRAZO!$AY16,0)</f>
        <v>0</v>
      </c>
      <c r="CU18" s="82">
        <f t="shared" si="142"/>
        <v>0</v>
      </c>
      <c r="CV18" s="29">
        <f>IF(PRAZO!AW16&gt;0,1/PRAZO!$AY16,0)</f>
        <v>0</v>
      </c>
      <c r="CW18" s="82">
        <f t="shared" si="143"/>
        <v>0</v>
      </c>
      <c r="CX18" s="29">
        <f>IF(PRAZO!AX16&gt;0,1/PRAZO!$AY16,0)</f>
        <v>0</v>
      </c>
      <c r="CY18" s="82">
        <f t="shared" si="144"/>
        <v>0</v>
      </c>
    </row>
    <row r="19" spans="2:105" ht="19.5" customHeight="1" x14ac:dyDescent="0.25">
      <c r="B19" s="48" t="s">
        <v>62</v>
      </c>
      <c r="C19" s="60">
        <f>SUM([1]RESUMO!$B$13:$C$13)</f>
        <v>1225174.4587399999</v>
      </c>
      <c r="D19" s="49">
        <f ca="1">C19/$C$28</f>
        <v>3.4363776643007118E-2</v>
      </c>
      <c r="E19" s="62">
        <f>C19/'DISTRIBUIÇÃO CUSTO'!C$32</f>
        <v>55.843800864293357</v>
      </c>
      <c r="F19" s="76">
        <f t="shared" si="48"/>
        <v>0.99999999999999989</v>
      </c>
      <c r="H19" s="50">
        <f>IF(PRAZO!C17&gt;0,1/PRAZO!$AY17,0)</f>
        <v>0</v>
      </c>
      <c r="I19" s="51">
        <f t="shared" si="97"/>
        <v>0</v>
      </c>
      <c r="J19" s="52">
        <f>IF(PRAZO!D17&gt;0,1/PRAZO!$AY17,0)</f>
        <v>0</v>
      </c>
      <c r="K19" s="51">
        <f t="shared" si="98"/>
        <v>0</v>
      </c>
      <c r="L19" s="52">
        <f>IF(PRAZO!E17&gt;0,1/PRAZO!$AY17,0)</f>
        <v>0</v>
      </c>
      <c r="M19" s="51">
        <f t="shared" si="99"/>
        <v>0</v>
      </c>
      <c r="N19" s="52">
        <f>IF(PRAZO!F17&gt;0,1/PRAZO!$AY17,0)</f>
        <v>0</v>
      </c>
      <c r="O19" s="51">
        <f t="shared" si="100"/>
        <v>0</v>
      </c>
      <c r="P19" s="52">
        <f>IF(PRAZO!G17&gt;0,1/PRAZO!$AY17,0)</f>
        <v>0</v>
      </c>
      <c r="Q19" s="51">
        <f t="shared" si="101"/>
        <v>0</v>
      </c>
      <c r="R19" s="52">
        <f>IF(PRAZO!H17&gt;0,1/PRAZO!$AY17,0)</f>
        <v>0</v>
      </c>
      <c r="S19" s="51">
        <f t="shared" si="102"/>
        <v>0</v>
      </c>
      <c r="T19" s="52">
        <f>IF(PRAZO!I17&gt;0,1/PRAZO!$AY17,0)</f>
        <v>0</v>
      </c>
      <c r="U19" s="51">
        <f t="shared" si="103"/>
        <v>0</v>
      </c>
      <c r="V19" s="52">
        <f>IF(PRAZO!J17&gt;0,1/PRAZO!$AY17,0)</f>
        <v>0</v>
      </c>
      <c r="W19" s="51">
        <f t="shared" si="104"/>
        <v>0</v>
      </c>
      <c r="X19" s="52">
        <f>IF(PRAZO!K17&gt;0,1/PRAZO!$AY17,0)</f>
        <v>0</v>
      </c>
      <c r="Y19" s="51">
        <f t="shared" si="105"/>
        <v>0</v>
      </c>
      <c r="Z19" s="52">
        <f>IF(PRAZO!L17&gt;0,1/PRAZO!$AY17,0)</f>
        <v>0</v>
      </c>
      <c r="AA19" s="51">
        <f t="shared" si="106"/>
        <v>0</v>
      </c>
      <c r="AB19" s="52">
        <f>IF(PRAZO!M17&gt;0,1/PRAZO!$AY17,0)</f>
        <v>0</v>
      </c>
      <c r="AC19" s="51">
        <f t="shared" si="107"/>
        <v>0</v>
      </c>
      <c r="AD19" s="52">
        <f>IF(PRAZO!N17&gt;0,1/PRAZO!$AY17,0)</f>
        <v>0</v>
      </c>
      <c r="AE19" s="51">
        <f t="shared" si="108"/>
        <v>0</v>
      </c>
      <c r="AF19" s="52">
        <f>IF(PRAZO!O17&gt;0,1/PRAZO!$AY17,0)</f>
        <v>0</v>
      </c>
      <c r="AG19" s="51">
        <f t="shared" si="109"/>
        <v>0</v>
      </c>
      <c r="AH19" s="52">
        <f>IF(PRAZO!P17&gt;0,1/PRAZO!$AY17,0)</f>
        <v>0</v>
      </c>
      <c r="AI19" s="51">
        <f t="shared" si="110"/>
        <v>0</v>
      </c>
      <c r="AJ19" s="52">
        <f>IF(PRAZO!Q17&gt;0,1/PRAZO!$AY17,0)</f>
        <v>0</v>
      </c>
      <c r="AK19" s="51">
        <f t="shared" si="111"/>
        <v>0</v>
      </c>
      <c r="AL19" s="52">
        <f>IF(PRAZO!R17&gt;0,1/PRAZO!$AY17,0)</f>
        <v>0</v>
      </c>
      <c r="AM19" s="51">
        <f t="shared" si="112"/>
        <v>0</v>
      </c>
      <c r="AN19" s="52">
        <f>IF(PRAZO!S17&gt;0,1/PRAZO!$AY17,0)</f>
        <v>0</v>
      </c>
      <c r="AO19" s="51">
        <f t="shared" si="113"/>
        <v>0</v>
      </c>
      <c r="AP19" s="52">
        <f>IF(PRAZO!T17&gt;0,1/PRAZO!$AY17,0)</f>
        <v>0</v>
      </c>
      <c r="AQ19" s="51">
        <f t="shared" si="114"/>
        <v>0</v>
      </c>
      <c r="AR19" s="52">
        <f>IF(PRAZO!U17&gt;0,1/PRAZO!$AY17,0)</f>
        <v>0</v>
      </c>
      <c r="AS19" s="51">
        <f t="shared" si="115"/>
        <v>0</v>
      </c>
      <c r="AT19" s="52">
        <f>IF(PRAZO!V17&gt;0,1/PRAZO!$AY17,0)</f>
        <v>0</v>
      </c>
      <c r="AU19" s="51">
        <f t="shared" si="116"/>
        <v>0</v>
      </c>
      <c r="AV19" s="52">
        <f>IF(PRAZO!W17&gt;0,1/PRAZO!$AY17,0)</f>
        <v>0</v>
      </c>
      <c r="AW19" s="51">
        <f t="shared" si="117"/>
        <v>0</v>
      </c>
      <c r="AX19" s="52">
        <f>IF(PRAZO!X17&gt;0,1/PRAZO!$AY17,0)</f>
        <v>0</v>
      </c>
      <c r="AY19" s="51">
        <f t="shared" si="118"/>
        <v>0</v>
      </c>
      <c r="AZ19" s="52">
        <f>IF(PRAZO!Y17&gt;0,1/PRAZO!$AY17,0)</f>
        <v>0</v>
      </c>
      <c r="BA19" s="51">
        <f t="shared" si="119"/>
        <v>0</v>
      </c>
      <c r="BB19" s="52">
        <f>IF(PRAZO!Z17&gt;0,1/PRAZO!$AY17,0)</f>
        <v>0</v>
      </c>
      <c r="BC19" s="51">
        <f t="shared" si="120"/>
        <v>0</v>
      </c>
      <c r="BD19" s="52">
        <f>IF(PRAZO!AA17&gt;0,1/PRAZO!$AY17,0)</f>
        <v>0</v>
      </c>
      <c r="BE19" s="51">
        <f t="shared" si="121"/>
        <v>0</v>
      </c>
      <c r="BF19" s="52">
        <f>IF(PRAZO!AB17&gt;0,1/PRAZO!$AY17,0)</f>
        <v>0</v>
      </c>
      <c r="BG19" s="51">
        <f t="shared" si="122"/>
        <v>0</v>
      </c>
      <c r="BH19" s="52">
        <f>IF(PRAZO!AC17&gt;0,1/PRAZO!$AY17,0)</f>
        <v>0</v>
      </c>
      <c r="BI19" s="51">
        <f t="shared" si="123"/>
        <v>0</v>
      </c>
      <c r="BJ19" s="52">
        <f>IF(PRAZO!AD17&gt;0,1/PRAZO!$AY17,0)</f>
        <v>0</v>
      </c>
      <c r="BK19" s="51">
        <f t="shared" si="124"/>
        <v>0</v>
      </c>
      <c r="BL19" s="52">
        <f>IF(PRAZO!AE17&gt;0,1/PRAZO!$AY17,0)</f>
        <v>6.6666666666666666E-2</v>
      </c>
      <c r="BM19" s="51">
        <f t="shared" si="125"/>
        <v>81678.297249333322</v>
      </c>
      <c r="BN19" s="52">
        <f>IF(PRAZO!AF17&gt;0,1/PRAZO!$AY17,0)</f>
        <v>6.6666666666666666E-2</v>
      </c>
      <c r="BO19" s="51">
        <f t="shared" si="126"/>
        <v>81678.297249333322</v>
      </c>
      <c r="BP19" s="52">
        <f>IF(PRAZO!AG17&gt;0,1/PRAZO!$AY17,0)</f>
        <v>6.6666666666666666E-2</v>
      </c>
      <c r="BQ19" s="51">
        <f t="shared" si="127"/>
        <v>81678.297249333322</v>
      </c>
      <c r="BR19" s="52">
        <f>IF(PRAZO!AH17&gt;0,1/PRAZO!$AY17,0)</f>
        <v>6.6666666666666666E-2</v>
      </c>
      <c r="BS19" s="51">
        <f t="shared" si="128"/>
        <v>81678.297249333322</v>
      </c>
      <c r="BT19" s="52">
        <f>IF(PRAZO!AI17&gt;0,1/PRAZO!$AY17,0)</f>
        <v>6.6666666666666666E-2</v>
      </c>
      <c r="BU19" s="51">
        <f t="shared" si="129"/>
        <v>81678.297249333322</v>
      </c>
      <c r="BV19" s="52">
        <f>IF(PRAZO!AJ17&gt;0,1/PRAZO!$AY17,0)</f>
        <v>6.6666666666666666E-2</v>
      </c>
      <c r="BW19" s="51">
        <f t="shared" si="130"/>
        <v>81678.297249333322</v>
      </c>
      <c r="BX19" s="52">
        <f>IF(PRAZO!AK17&gt;0,1/PRAZO!$AY17,0)</f>
        <v>6.6666666666666666E-2</v>
      </c>
      <c r="BY19" s="51">
        <f t="shared" si="131"/>
        <v>81678.297249333322</v>
      </c>
      <c r="BZ19" s="52">
        <f>IF(PRAZO!AL17&gt;0,1/PRAZO!$AY17,0)</f>
        <v>6.6666666666666666E-2</v>
      </c>
      <c r="CA19" s="51">
        <f t="shared" si="132"/>
        <v>81678.297249333322</v>
      </c>
      <c r="CB19" s="52">
        <f>IF(PRAZO!AM17&gt;0,1/PRAZO!$AY17,0)</f>
        <v>6.6666666666666666E-2</v>
      </c>
      <c r="CC19" s="51">
        <f t="shared" si="133"/>
        <v>81678.297249333322</v>
      </c>
      <c r="CD19" s="52">
        <f>IF(PRAZO!AN17&gt;0,1/PRAZO!$AY17,0)</f>
        <v>6.6666666666666666E-2</v>
      </c>
      <c r="CE19" s="51">
        <f t="shared" si="134"/>
        <v>81678.297249333322</v>
      </c>
      <c r="CF19" s="52">
        <f>IF(PRAZO!AO17&gt;0,1/PRAZO!$AY17,0)</f>
        <v>6.6666666666666666E-2</v>
      </c>
      <c r="CG19" s="51">
        <f t="shared" si="135"/>
        <v>81678.297249333322</v>
      </c>
      <c r="CH19" s="52">
        <f>IF(PRAZO!AP17&gt;0,1/PRAZO!$AY17,0)</f>
        <v>6.6666666666666666E-2</v>
      </c>
      <c r="CI19" s="51">
        <f t="shared" si="136"/>
        <v>81678.297249333322</v>
      </c>
      <c r="CJ19" s="52">
        <f>IF(PRAZO!AQ17&gt;0,1/PRAZO!$AY17,0)</f>
        <v>6.6666666666666666E-2</v>
      </c>
      <c r="CK19" s="51">
        <f t="shared" si="137"/>
        <v>81678.297249333322</v>
      </c>
      <c r="CL19" s="52">
        <f>IF(PRAZO!AR17&gt;0,1/PRAZO!$AY17,0)</f>
        <v>6.6666666666666666E-2</v>
      </c>
      <c r="CM19" s="51">
        <f t="shared" si="138"/>
        <v>81678.297249333322</v>
      </c>
      <c r="CN19" s="52">
        <f>IF(PRAZO!AS17&gt;0,1/PRAZO!$AY17,0)</f>
        <v>6.6666666666666666E-2</v>
      </c>
      <c r="CO19" s="51">
        <f t="shared" si="139"/>
        <v>81678.297249333322</v>
      </c>
      <c r="CP19" s="52">
        <f>IF(PRAZO!AT17&gt;0,1/PRAZO!$AY17,0)</f>
        <v>0</v>
      </c>
      <c r="CQ19" s="51">
        <f t="shared" si="140"/>
        <v>0</v>
      </c>
      <c r="CR19" s="52">
        <f>IF(PRAZO!AU17&gt;0,1/PRAZO!$AY17,0)</f>
        <v>0</v>
      </c>
      <c r="CS19" s="51">
        <f t="shared" si="141"/>
        <v>0</v>
      </c>
      <c r="CT19" s="52">
        <f>IF(PRAZO!AV17&gt;0,1/PRAZO!$AY17,0)</f>
        <v>0</v>
      </c>
      <c r="CU19" s="51">
        <f t="shared" si="142"/>
        <v>0</v>
      </c>
      <c r="CV19" s="52">
        <f>IF(PRAZO!AW17&gt;0,1/PRAZO!$AY17,0)</f>
        <v>0</v>
      </c>
      <c r="CW19" s="51">
        <f t="shared" si="143"/>
        <v>0</v>
      </c>
      <c r="CX19" s="52">
        <f>IF(PRAZO!AX17&gt;0,1/PRAZO!$AY17,0)</f>
        <v>0</v>
      </c>
      <c r="CY19" s="51">
        <f t="shared" si="144"/>
        <v>0</v>
      </c>
    </row>
    <row r="20" spans="2:105" ht="19.5" customHeight="1" x14ac:dyDescent="0.25">
      <c r="B20" s="44" t="s">
        <v>63</v>
      </c>
      <c r="C20" s="61">
        <f>SUM([1]RESUMO!$B$14:$C$14)</f>
        <v>760611.38420000009</v>
      </c>
      <c r="D20" s="30">
        <f ca="1">C20/$C$28</f>
        <v>2.13336798953985E-2</v>
      </c>
      <c r="E20" s="63">
        <f>C20/'DISTRIBUIÇÃO CUSTO'!C$32</f>
        <v>34.668883579292149</v>
      </c>
      <c r="F20" s="77">
        <f t="shared" si="48"/>
        <v>0.99999999999999967</v>
      </c>
      <c r="H20" s="29">
        <f>IF(PRAZO!C18&gt;0,1/PRAZO!$AY18,0)</f>
        <v>0</v>
      </c>
      <c r="I20" s="82">
        <f t="shared" si="97"/>
        <v>0</v>
      </c>
      <c r="J20" s="29">
        <f>IF(PRAZO!D18&gt;0,1/PRAZO!$AY18,0)</f>
        <v>0</v>
      </c>
      <c r="K20" s="82">
        <f t="shared" si="98"/>
        <v>0</v>
      </c>
      <c r="L20" s="29">
        <f>IF(PRAZO!E18&gt;0,1/PRAZO!$AY18,0)</f>
        <v>0</v>
      </c>
      <c r="M20" s="82">
        <f t="shared" si="99"/>
        <v>0</v>
      </c>
      <c r="N20" s="29">
        <f>IF(PRAZO!F18&gt;0,1/PRAZO!$AY18,0)</f>
        <v>0</v>
      </c>
      <c r="O20" s="82">
        <f t="shared" si="100"/>
        <v>0</v>
      </c>
      <c r="P20" s="29">
        <f>IF(PRAZO!G18&gt;0,1/PRAZO!$AY18,0)</f>
        <v>0</v>
      </c>
      <c r="Q20" s="82">
        <f t="shared" si="101"/>
        <v>0</v>
      </c>
      <c r="R20" s="29">
        <f>IF(PRAZO!H18&gt;0,1/PRAZO!$AY18,0)</f>
        <v>0</v>
      </c>
      <c r="S20" s="82">
        <f t="shared" si="102"/>
        <v>0</v>
      </c>
      <c r="T20" s="29">
        <f>IF(PRAZO!I18&gt;0,1/PRAZO!$AY18,0)</f>
        <v>0</v>
      </c>
      <c r="U20" s="82">
        <f t="shared" si="103"/>
        <v>0</v>
      </c>
      <c r="V20" s="29">
        <f>IF(PRAZO!J18&gt;0,1/PRAZO!$AY18,0)</f>
        <v>0</v>
      </c>
      <c r="W20" s="82">
        <f t="shared" si="104"/>
        <v>0</v>
      </c>
      <c r="X20" s="29">
        <f>IF(PRAZO!K18&gt;0,1/PRAZO!$AY18,0)</f>
        <v>0</v>
      </c>
      <c r="Y20" s="82">
        <f t="shared" si="105"/>
        <v>0</v>
      </c>
      <c r="Z20" s="29">
        <f>IF(PRAZO!L18&gt;0,1/PRAZO!$AY18,0)</f>
        <v>0</v>
      </c>
      <c r="AA20" s="82">
        <f t="shared" si="106"/>
        <v>0</v>
      </c>
      <c r="AB20" s="29">
        <f>IF(PRAZO!M18&gt;0,1/PRAZO!$AY18,0)</f>
        <v>0</v>
      </c>
      <c r="AC20" s="82">
        <f t="shared" si="107"/>
        <v>0</v>
      </c>
      <c r="AD20" s="29">
        <f>IF(PRAZO!N18&gt;0,1/PRAZO!$AY18,0)</f>
        <v>0</v>
      </c>
      <c r="AE20" s="82">
        <f t="shared" si="108"/>
        <v>0</v>
      </c>
      <c r="AF20" s="29">
        <f>IF(PRAZO!O18&gt;0,1/PRAZO!$AY18,0)</f>
        <v>0</v>
      </c>
      <c r="AG20" s="82">
        <f t="shared" si="109"/>
        <v>0</v>
      </c>
      <c r="AH20" s="29">
        <f>IF(PRAZO!P18&gt;0,1/PRAZO!$AY18,0)</f>
        <v>0</v>
      </c>
      <c r="AI20" s="82">
        <f t="shared" si="110"/>
        <v>0</v>
      </c>
      <c r="AJ20" s="29">
        <f>IF(PRAZO!Q18&gt;0,1/PRAZO!$AY18,0)</f>
        <v>0</v>
      </c>
      <c r="AK20" s="82">
        <f t="shared" si="111"/>
        <v>0</v>
      </c>
      <c r="AL20" s="29">
        <f>IF(PRAZO!R18&gt;0,1/PRAZO!$AY18,0)</f>
        <v>0</v>
      </c>
      <c r="AM20" s="82">
        <f t="shared" si="112"/>
        <v>0</v>
      </c>
      <c r="AN20" s="29">
        <f>IF(PRAZO!S18&gt;0,1/PRAZO!$AY18,0)</f>
        <v>0</v>
      </c>
      <c r="AO20" s="82">
        <f t="shared" si="113"/>
        <v>0</v>
      </c>
      <c r="AP20" s="29">
        <f>IF(PRAZO!T18&gt;0,1/PRAZO!$AY18,0)</f>
        <v>0</v>
      </c>
      <c r="AQ20" s="82">
        <f t="shared" si="114"/>
        <v>0</v>
      </c>
      <c r="AR20" s="29">
        <f>IF(PRAZO!U18&gt;0,1/PRAZO!$AY18,0)</f>
        <v>0</v>
      </c>
      <c r="AS20" s="82">
        <f t="shared" si="115"/>
        <v>0</v>
      </c>
      <c r="AT20" s="29">
        <f>IF(PRAZO!V18&gt;0,1/PRAZO!$AY18,0)</f>
        <v>0</v>
      </c>
      <c r="AU20" s="82">
        <f t="shared" si="116"/>
        <v>0</v>
      </c>
      <c r="AV20" s="29">
        <f>IF(PRAZO!W18&gt;0,1/PRAZO!$AY18,0)</f>
        <v>0</v>
      </c>
      <c r="AW20" s="82">
        <f t="shared" si="117"/>
        <v>0</v>
      </c>
      <c r="AX20" s="29">
        <f>IF(PRAZO!X18&gt;0,1/PRAZO!$AY18,0)</f>
        <v>0</v>
      </c>
      <c r="AY20" s="82">
        <f t="shared" si="118"/>
        <v>0</v>
      </c>
      <c r="AZ20" s="29">
        <f>IF(PRAZO!Y18&gt;0,1/PRAZO!$AY18,0)</f>
        <v>0</v>
      </c>
      <c r="BA20" s="82">
        <f t="shared" si="119"/>
        <v>0</v>
      </c>
      <c r="BB20" s="29">
        <f>IF(PRAZO!Z18&gt;0,1/PRAZO!$AY18,0)</f>
        <v>0</v>
      </c>
      <c r="BC20" s="82">
        <f t="shared" si="120"/>
        <v>0</v>
      </c>
      <c r="BD20" s="29">
        <f>IF(PRAZO!AA18&gt;0,1/PRAZO!$AY18,0)</f>
        <v>0</v>
      </c>
      <c r="BE20" s="82">
        <f t="shared" si="121"/>
        <v>0</v>
      </c>
      <c r="BF20" s="29">
        <f>IF(PRAZO!AB18&gt;0,1/PRAZO!$AY18,0)</f>
        <v>0</v>
      </c>
      <c r="BG20" s="82">
        <f t="shared" si="122"/>
        <v>0</v>
      </c>
      <c r="BH20" s="29">
        <f>IF(PRAZO!AC18&gt;0,1/PRAZO!$AY18,0)</f>
        <v>0</v>
      </c>
      <c r="BI20" s="82">
        <f t="shared" si="123"/>
        <v>0</v>
      </c>
      <c r="BJ20" s="29">
        <f>IF(PRAZO!AD18&gt;0,1/PRAZO!$AY18,0)</f>
        <v>0</v>
      </c>
      <c r="BK20" s="82">
        <f t="shared" si="124"/>
        <v>0</v>
      </c>
      <c r="BL20" s="29">
        <f>IF(PRAZO!AE18&gt;0,1/PRAZO!$AY18,0)</f>
        <v>0</v>
      </c>
      <c r="BM20" s="82">
        <f t="shared" si="125"/>
        <v>0</v>
      </c>
      <c r="BN20" s="29">
        <f>IF(PRAZO!AF18&gt;0,1/PRAZO!$AY18,0)</f>
        <v>0</v>
      </c>
      <c r="BO20" s="82">
        <f t="shared" si="126"/>
        <v>0</v>
      </c>
      <c r="BP20" s="29">
        <f>IF(PRAZO!AG18&gt;0,1/PRAZO!$AY18,0)</f>
        <v>0</v>
      </c>
      <c r="BQ20" s="82">
        <f t="shared" si="127"/>
        <v>0</v>
      </c>
      <c r="BR20" s="29">
        <f>IF(PRAZO!AH18&gt;0,1/PRAZO!$AY18,0)</f>
        <v>0</v>
      </c>
      <c r="BS20" s="82">
        <f t="shared" si="128"/>
        <v>0</v>
      </c>
      <c r="BT20" s="29">
        <f>IF(PRAZO!AI18&gt;0,1/PRAZO!$AY18,0)</f>
        <v>7.1428571428571425E-2</v>
      </c>
      <c r="BU20" s="82">
        <f t="shared" si="129"/>
        <v>54329.384585714288</v>
      </c>
      <c r="BV20" s="29">
        <f>IF(PRAZO!AJ18&gt;0,1/PRAZO!$AY18,0)</f>
        <v>7.1428571428571425E-2</v>
      </c>
      <c r="BW20" s="82">
        <f t="shared" si="130"/>
        <v>54329.384585714288</v>
      </c>
      <c r="BX20" s="29">
        <f>IF(PRAZO!AK18&gt;0,1/PRAZO!$AY18,0)</f>
        <v>7.1428571428571425E-2</v>
      </c>
      <c r="BY20" s="82">
        <f t="shared" si="131"/>
        <v>54329.384585714288</v>
      </c>
      <c r="BZ20" s="29">
        <f>IF(PRAZO!AL18&gt;0,1/PRAZO!$AY18,0)</f>
        <v>7.1428571428571425E-2</v>
      </c>
      <c r="CA20" s="82">
        <f t="shared" si="132"/>
        <v>54329.384585714288</v>
      </c>
      <c r="CB20" s="29">
        <f>IF(PRAZO!AM18&gt;0,1/PRAZO!$AY18,0)</f>
        <v>7.1428571428571425E-2</v>
      </c>
      <c r="CC20" s="82">
        <f t="shared" si="133"/>
        <v>54329.384585714288</v>
      </c>
      <c r="CD20" s="29">
        <f>IF(PRAZO!AN18&gt;0,1/PRAZO!$AY18,0)</f>
        <v>7.1428571428571425E-2</v>
      </c>
      <c r="CE20" s="82">
        <f t="shared" si="134"/>
        <v>54329.384585714288</v>
      </c>
      <c r="CF20" s="29">
        <f>IF(PRAZO!AO18&gt;0,1/PRAZO!$AY18,0)</f>
        <v>7.1428571428571425E-2</v>
      </c>
      <c r="CG20" s="82">
        <f t="shared" si="135"/>
        <v>54329.384585714288</v>
      </c>
      <c r="CH20" s="29">
        <f>IF(PRAZO!AP18&gt;0,1/PRAZO!$AY18,0)</f>
        <v>7.1428571428571425E-2</v>
      </c>
      <c r="CI20" s="82">
        <f t="shared" si="136"/>
        <v>54329.384585714288</v>
      </c>
      <c r="CJ20" s="29">
        <f>IF(PRAZO!AQ18&gt;0,1/PRAZO!$AY18,0)</f>
        <v>7.1428571428571425E-2</v>
      </c>
      <c r="CK20" s="82">
        <f t="shared" si="137"/>
        <v>54329.384585714288</v>
      </c>
      <c r="CL20" s="29">
        <f>IF(PRAZO!AR18&gt;0,1/PRAZO!$AY18,0)</f>
        <v>7.1428571428571425E-2</v>
      </c>
      <c r="CM20" s="82">
        <f t="shared" si="138"/>
        <v>54329.384585714288</v>
      </c>
      <c r="CN20" s="29">
        <f>IF(PRAZO!AS18&gt;0,1/PRAZO!$AY18,0)</f>
        <v>7.1428571428571425E-2</v>
      </c>
      <c r="CO20" s="82">
        <f t="shared" si="139"/>
        <v>54329.384585714288</v>
      </c>
      <c r="CP20" s="29">
        <f>IF(PRAZO!AT18&gt;0,1/PRAZO!$AY18,0)</f>
        <v>7.1428571428571425E-2</v>
      </c>
      <c r="CQ20" s="82">
        <f t="shared" si="140"/>
        <v>54329.384585714288</v>
      </c>
      <c r="CR20" s="29">
        <f>IF(PRAZO!AU18&gt;0,1/PRAZO!$AY18,0)</f>
        <v>7.1428571428571425E-2</v>
      </c>
      <c r="CS20" s="82">
        <f t="shared" si="141"/>
        <v>54329.384585714288</v>
      </c>
      <c r="CT20" s="29">
        <f>IF(PRAZO!AV18&gt;0,1/PRAZO!$AY18,0)</f>
        <v>7.1428571428571425E-2</v>
      </c>
      <c r="CU20" s="82">
        <f t="shared" si="142"/>
        <v>54329.384585714288</v>
      </c>
      <c r="CV20" s="29">
        <f>IF(PRAZO!AW18&gt;0,1/PRAZO!$AY18,0)</f>
        <v>0</v>
      </c>
      <c r="CW20" s="82">
        <f t="shared" si="143"/>
        <v>0</v>
      </c>
      <c r="CX20" s="29">
        <f>IF(PRAZO!AX18&gt;0,1/PRAZO!$AY18,0)</f>
        <v>0</v>
      </c>
      <c r="CY20" s="82">
        <f t="shared" si="144"/>
        <v>0</v>
      </c>
    </row>
    <row r="21" spans="2:105" ht="19.5" customHeight="1" x14ac:dyDescent="0.25">
      <c r="B21" s="48" t="s">
        <v>64</v>
      </c>
      <c r="C21" s="60">
        <f>SUM([1]RESUMO!$B$15:$C$15)</f>
        <v>2428604.4349999996</v>
      </c>
      <c r="D21" s="49">
        <f ca="1">C21/$C$28</f>
        <v>6.8117662560795419E-2</v>
      </c>
      <c r="E21" s="62">
        <f>C21/'DISTRIBUIÇÃO CUSTO'!C$32</f>
        <v>110.69648202245192</v>
      </c>
      <c r="F21" s="76">
        <f t="shared" si="48"/>
        <v>0.99999999999999967</v>
      </c>
      <c r="H21" s="50">
        <f>IF(PRAZO!C19&gt;0,1/PRAZO!$AY19,0)</f>
        <v>0</v>
      </c>
      <c r="I21" s="51">
        <f t="shared" si="97"/>
        <v>0</v>
      </c>
      <c r="J21" s="52">
        <f>IF(PRAZO!D19&gt;0,1/PRAZO!$AY19,0)</f>
        <v>0</v>
      </c>
      <c r="K21" s="51">
        <f t="shared" si="98"/>
        <v>0</v>
      </c>
      <c r="L21" s="52">
        <f>IF(PRAZO!E19&gt;0,1/PRAZO!$AY19,0)</f>
        <v>0</v>
      </c>
      <c r="M21" s="51">
        <f t="shared" si="99"/>
        <v>0</v>
      </c>
      <c r="N21" s="52">
        <f>IF(PRAZO!F19&gt;0,1/PRAZO!$AY19,0)</f>
        <v>0</v>
      </c>
      <c r="O21" s="51">
        <f t="shared" si="100"/>
        <v>0</v>
      </c>
      <c r="P21" s="52">
        <f>IF(PRAZO!G19&gt;0,1/PRAZO!$AY19,0)</f>
        <v>0</v>
      </c>
      <c r="Q21" s="51">
        <f t="shared" si="101"/>
        <v>0</v>
      </c>
      <c r="R21" s="52">
        <f>IF(PRAZO!H19&gt;0,1/PRAZO!$AY19,0)</f>
        <v>0</v>
      </c>
      <c r="S21" s="51">
        <f t="shared" si="102"/>
        <v>0</v>
      </c>
      <c r="T21" s="52">
        <f>IF(PRAZO!I19&gt;0,1/PRAZO!$AY19,0)</f>
        <v>0</v>
      </c>
      <c r="U21" s="51">
        <f t="shared" si="103"/>
        <v>0</v>
      </c>
      <c r="V21" s="52">
        <f>IF(PRAZO!J19&gt;0,1/PRAZO!$AY19,0)</f>
        <v>0</v>
      </c>
      <c r="W21" s="51">
        <f t="shared" si="104"/>
        <v>0</v>
      </c>
      <c r="X21" s="52">
        <f>IF(PRAZO!K19&gt;0,1/PRAZO!$AY19,0)</f>
        <v>0</v>
      </c>
      <c r="Y21" s="51">
        <f t="shared" si="105"/>
        <v>0</v>
      </c>
      <c r="Z21" s="52">
        <f>IF(PRAZO!L19&gt;0,1/PRAZO!$AY19,0)</f>
        <v>0</v>
      </c>
      <c r="AA21" s="51">
        <f t="shared" si="106"/>
        <v>0</v>
      </c>
      <c r="AB21" s="52">
        <f>IF(PRAZO!M19&gt;0,1/PRAZO!$AY19,0)</f>
        <v>0</v>
      </c>
      <c r="AC21" s="51">
        <f t="shared" si="107"/>
        <v>0</v>
      </c>
      <c r="AD21" s="52">
        <f>IF(PRAZO!N19&gt;0,1/PRAZO!$AY19,0)</f>
        <v>0</v>
      </c>
      <c r="AE21" s="51">
        <f t="shared" si="108"/>
        <v>0</v>
      </c>
      <c r="AF21" s="52">
        <f>IF(PRAZO!O19&gt;0,1/PRAZO!$AY19,0)</f>
        <v>0</v>
      </c>
      <c r="AG21" s="51">
        <f t="shared" si="109"/>
        <v>0</v>
      </c>
      <c r="AH21" s="52">
        <f>IF(PRAZO!P19&gt;0,1/PRAZO!$AY19,0)</f>
        <v>0</v>
      </c>
      <c r="AI21" s="51">
        <f t="shared" si="110"/>
        <v>0</v>
      </c>
      <c r="AJ21" s="52">
        <f>IF(PRAZO!Q19&gt;0,1/PRAZO!$AY19,0)</f>
        <v>0</v>
      </c>
      <c r="AK21" s="51">
        <f t="shared" si="111"/>
        <v>0</v>
      </c>
      <c r="AL21" s="52">
        <f>IF(PRAZO!R19&gt;0,1/PRAZO!$AY19,0)</f>
        <v>0</v>
      </c>
      <c r="AM21" s="51">
        <f t="shared" si="112"/>
        <v>0</v>
      </c>
      <c r="AN21" s="52">
        <f>IF(PRAZO!S19&gt;0,1/PRAZO!$AY19,0)</f>
        <v>0</v>
      </c>
      <c r="AO21" s="51">
        <f t="shared" si="113"/>
        <v>0</v>
      </c>
      <c r="AP21" s="52">
        <f>IF(PRAZO!T19&gt;0,1/PRAZO!$AY19,0)</f>
        <v>0</v>
      </c>
      <c r="AQ21" s="51">
        <f t="shared" si="114"/>
        <v>0</v>
      </c>
      <c r="AR21" s="52">
        <f>IF(PRAZO!U19&gt;0,1/PRAZO!$AY19,0)</f>
        <v>0</v>
      </c>
      <c r="AS21" s="51">
        <f t="shared" si="115"/>
        <v>0</v>
      </c>
      <c r="AT21" s="52">
        <f>IF(PRAZO!V19&gt;0,1/PRAZO!$AY19,0)</f>
        <v>0</v>
      </c>
      <c r="AU21" s="51">
        <f t="shared" si="116"/>
        <v>0</v>
      </c>
      <c r="AV21" s="52">
        <f>IF(PRAZO!W19&gt;0,1/PRAZO!$AY19,0)</f>
        <v>0</v>
      </c>
      <c r="AW21" s="51">
        <f t="shared" si="117"/>
        <v>0</v>
      </c>
      <c r="AX21" s="52">
        <f>IF(PRAZO!X19&gt;0,1/PRAZO!$AY19,0)</f>
        <v>0</v>
      </c>
      <c r="AY21" s="51">
        <f t="shared" si="118"/>
        <v>0</v>
      </c>
      <c r="AZ21" s="52">
        <f>IF(PRAZO!Y19&gt;0,1/PRAZO!$AY19,0)</f>
        <v>0</v>
      </c>
      <c r="BA21" s="51">
        <f t="shared" si="119"/>
        <v>0</v>
      </c>
      <c r="BB21" s="52">
        <f>IF(PRAZO!Z19&gt;0,1/PRAZO!$AY19,0)</f>
        <v>7.1428571428571425E-2</v>
      </c>
      <c r="BC21" s="51">
        <f t="shared" si="120"/>
        <v>173471.74535714282</v>
      </c>
      <c r="BD21" s="52">
        <f>IF(PRAZO!AA19&gt;0,1/PRAZO!$AY19,0)</f>
        <v>7.1428571428571425E-2</v>
      </c>
      <c r="BE21" s="51">
        <f t="shared" si="121"/>
        <v>173471.74535714282</v>
      </c>
      <c r="BF21" s="52">
        <f>IF(PRAZO!AB19&gt;0,1/PRAZO!$AY19,0)</f>
        <v>7.1428571428571425E-2</v>
      </c>
      <c r="BG21" s="51">
        <f t="shared" si="122"/>
        <v>173471.74535714282</v>
      </c>
      <c r="BH21" s="52">
        <f>IF(PRAZO!AC19&gt;0,1/PRAZO!$AY19,0)</f>
        <v>7.1428571428571425E-2</v>
      </c>
      <c r="BI21" s="51">
        <f t="shared" si="123"/>
        <v>173471.74535714282</v>
      </c>
      <c r="BJ21" s="52">
        <f>IF(PRAZO!AD19&gt;0,1/PRAZO!$AY19,0)</f>
        <v>7.1428571428571425E-2</v>
      </c>
      <c r="BK21" s="51">
        <f t="shared" si="124"/>
        <v>173471.74535714282</v>
      </c>
      <c r="BL21" s="52">
        <f>IF(PRAZO!AE19&gt;0,1/PRAZO!$AY19,0)</f>
        <v>7.1428571428571425E-2</v>
      </c>
      <c r="BM21" s="51">
        <f t="shared" si="125"/>
        <v>173471.74535714282</v>
      </c>
      <c r="BN21" s="52">
        <f>IF(PRAZO!AF19&gt;0,1/PRAZO!$AY19,0)</f>
        <v>7.1428571428571425E-2</v>
      </c>
      <c r="BO21" s="51">
        <f t="shared" si="126"/>
        <v>173471.74535714282</v>
      </c>
      <c r="BP21" s="52">
        <f>IF(PRAZO!AG19&gt;0,1/PRAZO!$AY19,0)</f>
        <v>7.1428571428571425E-2</v>
      </c>
      <c r="BQ21" s="51">
        <f t="shared" si="127"/>
        <v>173471.74535714282</v>
      </c>
      <c r="BR21" s="52">
        <f>IF(PRAZO!AH19&gt;0,1/PRAZO!$AY19,0)</f>
        <v>7.1428571428571425E-2</v>
      </c>
      <c r="BS21" s="51">
        <f t="shared" si="128"/>
        <v>173471.74535714282</v>
      </c>
      <c r="BT21" s="52">
        <f>IF(PRAZO!AI19&gt;0,1/PRAZO!$AY19,0)</f>
        <v>7.1428571428571425E-2</v>
      </c>
      <c r="BU21" s="51">
        <f t="shared" si="129"/>
        <v>173471.74535714282</v>
      </c>
      <c r="BV21" s="52">
        <f>IF(PRAZO!AJ19&gt;0,1/PRAZO!$AY19,0)</f>
        <v>7.1428571428571425E-2</v>
      </c>
      <c r="BW21" s="51">
        <f t="shared" si="130"/>
        <v>173471.74535714282</v>
      </c>
      <c r="BX21" s="52">
        <f>IF(PRAZO!AK19&gt;0,1/PRAZO!$AY19,0)</f>
        <v>7.1428571428571425E-2</v>
      </c>
      <c r="BY21" s="51">
        <f t="shared" si="131"/>
        <v>173471.74535714282</v>
      </c>
      <c r="BZ21" s="52">
        <f>IF(PRAZO!AL19&gt;0,1/PRAZO!$AY19,0)</f>
        <v>7.1428571428571425E-2</v>
      </c>
      <c r="CA21" s="51">
        <f t="shared" si="132"/>
        <v>173471.74535714282</v>
      </c>
      <c r="CB21" s="52">
        <f>IF(PRAZO!AM19&gt;0,1/PRAZO!$AY19,0)</f>
        <v>7.1428571428571425E-2</v>
      </c>
      <c r="CC21" s="51">
        <f t="shared" si="133"/>
        <v>173471.74535714282</v>
      </c>
      <c r="CD21" s="52">
        <f>IF(PRAZO!AN19&gt;0,1/PRAZO!$AY19,0)</f>
        <v>0</v>
      </c>
      <c r="CE21" s="51">
        <f t="shared" si="134"/>
        <v>0</v>
      </c>
      <c r="CF21" s="52">
        <f>IF(PRAZO!AO19&gt;0,1/PRAZO!$AY19,0)</f>
        <v>0</v>
      </c>
      <c r="CG21" s="51">
        <f t="shared" si="135"/>
        <v>0</v>
      </c>
      <c r="CH21" s="52">
        <f>IF(PRAZO!AP19&gt;0,1/PRAZO!$AY19,0)</f>
        <v>0</v>
      </c>
      <c r="CI21" s="51">
        <f t="shared" si="136"/>
        <v>0</v>
      </c>
      <c r="CJ21" s="52">
        <f>IF(PRAZO!AQ19&gt;0,1/PRAZO!$AY19,0)</f>
        <v>0</v>
      </c>
      <c r="CK21" s="51">
        <f t="shared" si="137"/>
        <v>0</v>
      </c>
      <c r="CL21" s="52">
        <f>IF(PRAZO!AR19&gt;0,1/PRAZO!$AY19,0)</f>
        <v>0</v>
      </c>
      <c r="CM21" s="51">
        <f t="shared" si="138"/>
        <v>0</v>
      </c>
      <c r="CN21" s="52">
        <f>IF(PRAZO!AS19&gt;0,1/PRAZO!$AY19,0)</f>
        <v>0</v>
      </c>
      <c r="CO21" s="51">
        <f t="shared" si="139"/>
        <v>0</v>
      </c>
      <c r="CP21" s="52">
        <f>IF(PRAZO!AT19&gt;0,1/PRAZO!$AY19,0)</f>
        <v>0</v>
      </c>
      <c r="CQ21" s="51">
        <f t="shared" si="140"/>
        <v>0</v>
      </c>
      <c r="CR21" s="52">
        <f>IF(PRAZO!AU19&gt;0,1/PRAZO!$AY19,0)</f>
        <v>0</v>
      </c>
      <c r="CS21" s="51">
        <f t="shared" si="141"/>
        <v>0</v>
      </c>
      <c r="CT21" s="52">
        <f>IF(PRAZO!AV19&gt;0,1/PRAZO!$AY19,0)</f>
        <v>0</v>
      </c>
      <c r="CU21" s="51">
        <f t="shared" si="142"/>
        <v>0</v>
      </c>
      <c r="CV21" s="52">
        <f>IF(PRAZO!AW19&gt;0,1/PRAZO!$AY19,0)</f>
        <v>0</v>
      </c>
      <c r="CW21" s="51">
        <f t="shared" si="143"/>
        <v>0</v>
      </c>
      <c r="CX21" s="52">
        <f>IF(PRAZO!AX19&gt;0,1/PRAZO!$AY19,0)</f>
        <v>0</v>
      </c>
      <c r="CY21" s="51">
        <f t="shared" si="144"/>
        <v>0</v>
      </c>
    </row>
    <row r="22" spans="2:105" ht="19.5" customHeight="1" x14ac:dyDescent="0.25">
      <c r="B22" s="44" t="s">
        <v>65</v>
      </c>
      <c r="C22" s="61">
        <f>SUM([1]RESUMO!$B$16:$C$16)</f>
        <v>1817850.6912</v>
      </c>
      <c r="D22" s="30">
        <f ca="1">C22/$C$28</f>
        <v>5.0987199967404459E-2</v>
      </c>
      <c r="E22" s="63">
        <f>C22/'DISTRIBUIÇÃO CUSTO'!C$32</f>
        <v>82.858152384920032</v>
      </c>
      <c r="F22" s="77">
        <f t="shared" si="48"/>
        <v>1</v>
      </c>
      <c r="H22" s="29">
        <f>IF(PRAZO!C20&gt;0,1/PRAZO!$AY20,0)</f>
        <v>0</v>
      </c>
      <c r="I22" s="82">
        <f t="shared" si="97"/>
        <v>0</v>
      </c>
      <c r="J22" s="29">
        <f>IF(PRAZO!D20&gt;0,1/PRAZO!$AY20,0)</f>
        <v>0</v>
      </c>
      <c r="K22" s="82">
        <f t="shared" si="98"/>
        <v>0</v>
      </c>
      <c r="L22" s="29">
        <f>IF(PRAZO!E20&gt;0,1/PRAZO!$AY20,0)</f>
        <v>0</v>
      </c>
      <c r="M22" s="82">
        <f t="shared" si="99"/>
        <v>0</v>
      </c>
      <c r="N22" s="29">
        <f>IF(PRAZO!F20&gt;0,1/PRAZO!$AY20,0)</f>
        <v>0</v>
      </c>
      <c r="O22" s="82">
        <f t="shared" si="100"/>
        <v>0</v>
      </c>
      <c r="P22" s="29">
        <f>IF(PRAZO!G20&gt;0,1/PRAZO!$AY20,0)</f>
        <v>0</v>
      </c>
      <c r="Q22" s="82">
        <f t="shared" si="101"/>
        <v>0</v>
      </c>
      <c r="R22" s="29">
        <f>IF(PRAZO!H20&gt;0,1/PRAZO!$AY20,0)</f>
        <v>0</v>
      </c>
      <c r="S22" s="82">
        <f t="shared" si="102"/>
        <v>0</v>
      </c>
      <c r="T22" s="29">
        <f>IF(PRAZO!I20&gt;0,1/PRAZO!$AY20,0)</f>
        <v>0</v>
      </c>
      <c r="U22" s="82">
        <f t="shared" si="103"/>
        <v>0</v>
      </c>
      <c r="V22" s="29">
        <f>IF(PRAZO!J20&gt;0,1/PRAZO!$AY20,0)</f>
        <v>0</v>
      </c>
      <c r="W22" s="82">
        <f t="shared" si="104"/>
        <v>0</v>
      </c>
      <c r="X22" s="29">
        <f>IF(PRAZO!K20&gt;0,1/PRAZO!$AY20,0)</f>
        <v>0</v>
      </c>
      <c r="Y22" s="82">
        <f t="shared" si="105"/>
        <v>0</v>
      </c>
      <c r="Z22" s="29">
        <f>IF(PRAZO!L20&gt;0,1/PRAZO!$AY20,0)</f>
        <v>0</v>
      </c>
      <c r="AA22" s="82">
        <f t="shared" si="106"/>
        <v>0</v>
      </c>
      <c r="AB22" s="29">
        <f>IF(PRAZO!M20&gt;0,1/PRAZO!$AY20,0)</f>
        <v>0</v>
      </c>
      <c r="AC22" s="82">
        <f t="shared" si="107"/>
        <v>0</v>
      </c>
      <c r="AD22" s="29">
        <f>IF(PRAZO!N20&gt;0,1/PRAZO!$AY20,0)</f>
        <v>0</v>
      </c>
      <c r="AE22" s="82">
        <f t="shared" si="108"/>
        <v>0</v>
      </c>
      <c r="AF22" s="29">
        <f>IF(PRAZO!O20&gt;0,1/PRAZO!$AY20,0)</f>
        <v>0</v>
      </c>
      <c r="AG22" s="82">
        <f t="shared" si="109"/>
        <v>0</v>
      </c>
      <c r="AH22" s="29">
        <f>IF(PRAZO!P20&gt;0,1/PRAZO!$AY20,0)</f>
        <v>0</v>
      </c>
      <c r="AI22" s="82">
        <f t="shared" si="110"/>
        <v>0</v>
      </c>
      <c r="AJ22" s="29">
        <f>IF(PRAZO!Q20&gt;0,1/PRAZO!$AY20,0)</f>
        <v>0</v>
      </c>
      <c r="AK22" s="82">
        <f t="shared" si="111"/>
        <v>0</v>
      </c>
      <c r="AL22" s="29">
        <f>IF(PRAZO!R20&gt;0,1/PRAZO!$AY20,0)</f>
        <v>0</v>
      </c>
      <c r="AM22" s="82">
        <f t="shared" si="112"/>
        <v>0</v>
      </c>
      <c r="AN22" s="29">
        <f>IF(PRAZO!S20&gt;0,1/PRAZO!$AY20,0)</f>
        <v>0</v>
      </c>
      <c r="AO22" s="82">
        <f t="shared" si="113"/>
        <v>0</v>
      </c>
      <c r="AP22" s="29">
        <f>IF(PRAZO!T20&gt;0,1/PRAZO!$AY20,0)</f>
        <v>0</v>
      </c>
      <c r="AQ22" s="82">
        <f t="shared" si="114"/>
        <v>0</v>
      </c>
      <c r="AR22" s="29">
        <f>IF(PRAZO!U20&gt;0,1/PRAZO!$AY20,0)</f>
        <v>0</v>
      </c>
      <c r="AS22" s="82">
        <f t="shared" si="115"/>
        <v>0</v>
      </c>
      <c r="AT22" s="29">
        <f>IF(PRAZO!V20&gt;0,1/PRAZO!$AY20,0)</f>
        <v>0</v>
      </c>
      <c r="AU22" s="82">
        <f t="shared" si="116"/>
        <v>0</v>
      </c>
      <c r="AV22" s="29">
        <f>IF(PRAZO!W20&gt;0,1/PRAZO!$AY20,0)</f>
        <v>0</v>
      </c>
      <c r="AW22" s="82">
        <f t="shared" si="117"/>
        <v>0</v>
      </c>
      <c r="AX22" s="29">
        <f>IF(PRAZO!X20&gt;0,1/PRAZO!$AY20,0)</f>
        <v>0</v>
      </c>
      <c r="AY22" s="82">
        <f t="shared" si="118"/>
        <v>0</v>
      </c>
      <c r="AZ22" s="29">
        <f>IF(PRAZO!Y20&gt;0,1/PRAZO!$AY20,0)</f>
        <v>0</v>
      </c>
      <c r="BA22" s="82">
        <f t="shared" si="119"/>
        <v>0</v>
      </c>
      <c r="BB22" s="29">
        <f>IF(PRAZO!Z20&gt;0,1/PRAZO!$AY20,0)</f>
        <v>0</v>
      </c>
      <c r="BC22" s="82">
        <f t="shared" si="120"/>
        <v>0</v>
      </c>
      <c r="BD22" s="29">
        <f>IF(PRAZO!AA20&gt;0,1/PRAZO!$AY20,0)</f>
        <v>0</v>
      </c>
      <c r="BE22" s="82">
        <f t="shared" si="121"/>
        <v>0</v>
      </c>
      <c r="BF22" s="29">
        <f>IF(PRAZO!AB20&gt;0,1/PRAZO!$AY20,0)</f>
        <v>0</v>
      </c>
      <c r="BG22" s="82">
        <f t="shared" si="122"/>
        <v>0</v>
      </c>
      <c r="BH22" s="29">
        <f>IF(PRAZO!AC20&gt;0,1/PRAZO!$AY20,0)</f>
        <v>0</v>
      </c>
      <c r="BI22" s="82">
        <f t="shared" si="123"/>
        <v>0</v>
      </c>
      <c r="BJ22" s="29">
        <f>IF(PRAZO!AD20&gt;0,1/PRAZO!$AY20,0)</f>
        <v>0</v>
      </c>
      <c r="BK22" s="82">
        <f t="shared" si="124"/>
        <v>0</v>
      </c>
      <c r="BL22" s="29">
        <f>IF(PRAZO!AE20&gt;0,1/PRAZO!$AY20,0)</f>
        <v>8.3333333333333329E-2</v>
      </c>
      <c r="BM22" s="82">
        <f t="shared" si="125"/>
        <v>151487.5576</v>
      </c>
      <c r="BN22" s="29">
        <f>IF(PRAZO!AF20&gt;0,1/PRAZO!$AY20,0)</f>
        <v>8.3333333333333329E-2</v>
      </c>
      <c r="BO22" s="82">
        <f t="shared" si="126"/>
        <v>151487.5576</v>
      </c>
      <c r="BP22" s="29">
        <f>IF(PRAZO!AG20&gt;0,1/PRAZO!$AY20,0)</f>
        <v>8.3333333333333329E-2</v>
      </c>
      <c r="BQ22" s="82">
        <f t="shared" si="127"/>
        <v>151487.5576</v>
      </c>
      <c r="BR22" s="29">
        <f>IF(PRAZO!AH20&gt;0,1/PRAZO!$AY20,0)</f>
        <v>8.3333333333333329E-2</v>
      </c>
      <c r="BS22" s="82">
        <f t="shared" si="128"/>
        <v>151487.5576</v>
      </c>
      <c r="BT22" s="29">
        <f>IF(PRAZO!AI20&gt;0,1/PRAZO!$AY20,0)</f>
        <v>8.3333333333333329E-2</v>
      </c>
      <c r="BU22" s="82">
        <f t="shared" si="129"/>
        <v>151487.5576</v>
      </c>
      <c r="BV22" s="29">
        <f>IF(PRAZO!AJ20&gt;0,1/PRAZO!$AY20,0)</f>
        <v>8.3333333333333329E-2</v>
      </c>
      <c r="BW22" s="82">
        <f t="shared" si="130"/>
        <v>151487.5576</v>
      </c>
      <c r="BX22" s="29">
        <f>IF(PRAZO!AK20&gt;0,1/PRAZO!$AY20,0)</f>
        <v>8.3333333333333329E-2</v>
      </c>
      <c r="BY22" s="82">
        <f t="shared" si="131"/>
        <v>151487.5576</v>
      </c>
      <c r="BZ22" s="29">
        <f>IF(PRAZO!AL20&gt;0,1/PRAZO!$AY20,0)</f>
        <v>8.3333333333333329E-2</v>
      </c>
      <c r="CA22" s="82">
        <f t="shared" si="132"/>
        <v>151487.5576</v>
      </c>
      <c r="CB22" s="29">
        <f>IF(PRAZO!AM20&gt;0,1/PRAZO!$AY20,0)</f>
        <v>8.3333333333333329E-2</v>
      </c>
      <c r="CC22" s="82">
        <f t="shared" si="133"/>
        <v>151487.5576</v>
      </c>
      <c r="CD22" s="29">
        <f>IF(PRAZO!AN20&gt;0,1/PRAZO!$AY20,0)</f>
        <v>8.3333333333333329E-2</v>
      </c>
      <c r="CE22" s="82">
        <f t="shared" si="134"/>
        <v>151487.5576</v>
      </c>
      <c r="CF22" s="29">
        <f>IF(PRAZO!AO20&gt;0,1/PRAZO!$AY20,0)</f>
        <v>8.3333333333333329E-2</v>
      </c>
      <c r="CG22" s="82">
        <f t="shared" si="135"/>
        <v>151487.5576</v>
      </c>
      <c r="CH22" s="29">
        <f>IF(PRAZO!AP20&gt;0,1/PRAZO!$AY20,0)</f>
        <v>8.3333333333333329E-2</v>
      </c>
      <c r="CI22" s="82">
        <f t="shared" si="136"/>
        <v>151487.5576</v>
      </c>
      <c r="CJ22" s="29">
        <f>IF(PRAZO!AQ20&gt;0,1/PRAZO!$AY20,0)</f>
        <v>0</v>
      </c>
      <c r="CK22" s="82">
        <f t="shared" si="137"/>
        <v>0</v>
      </c>
      <c r="CL22" s="29">
        <f>IF(PRAZO!AR20&gt;0,1/PRAZO!$AY20,0)</f>
        <v>0</v>
      </c>
      <c r="CM22" s="82">
        <f t="shared" si="138"/>
        <v>0</v>
      </c>
      <c r="CN22" s="29">
        <f>IF(PRAZO!AS20&gt;0,1/PRAZO!$AY20,0)</f>
        <v>0</v>
      </c>
      <c r="CO22" s="82">
        <f t="shared" si="139"/>
        <v>0</v>
      </c>
      <c r="CP22" s="29">
        <f>IF(PRAZO!AT20&gt;0,1/PRAZO!$AY20,0)</f>
        <v>0</v>
      </c>
      <c r="CQ22" s="82">
        <f t="shared" si="140"/>
        <v>0</v>
      </c>
      <c r="CR22" s="29">
        <f>IF(PRAZO!AU20&gt;0,1/PRAZO!$AY20,0)</f>
        <v>0</v>
      </c>
      <c r="CS22" s="82">
        <f t="shared" si="141"/>
        <v>0</v>
      </c>
      <c r="CT22" s="29">
        <f>IF(PRAZO!AV20&gt;0,1/PRAZO!$AY20,0)</f>
        <v>0</v>
      </c>
      <c r="CU22" s="82">
        <f t="shared" si="142"/>
        <v>0</v>
      </c>
      <c r="CV22" s="29">
        <f>IF(PRAZO!AW20&gt;0,1/PRAZO!$AY20,0)</f>
        <v>0</v>
      </c>
      <c r="CW22" s="82">
        <f t="shared" si="143"/>
        <v>0</v>
      </c>
      <c r="CX22" s="29">
        <f>IF(PRAZO!AX20&gt;0,1/PRAZO!$AY20,0)</f>
        <v>0</v>
      </c>
      <c r="CY22" s="82">
        <f t="shared" si="144"/>
        <v>0</v>
      </c>
    </row>
    <row r="23" spans="2:105" ht="19.5" customHeight="1" x14ac:dyDescent="0.25">
      <c r="B23" s="48" t="s">
        <v>66</v>
      </c>
      <c r="C23" s="60">
        <f>SUM([1]RESUMO!$B$17:$C$17)</f>
        <v>238459.60600000009</v>
      </c>
      <c r="D23" s="49">
        <f ca="1">C23/$C$28</f>
        <v>6.6883312662188374E-3</v>
      </c>
      <c r="E23" s="62">
        <f>C23/'DISTRIBUIÇÃO CUSTO'!C$32</f>
        <v>10.86905677525866</v>
      </c>
      <c r="F23" s="76">
        <f t="shared" si="48"/>
        <v>0.99999999999999989</v>
      </c>
      <c r="H23" s="50">
        <f>IF(PRAZO!C21&gt;0,1/PRAZO!$AY21,0)</f>
        <v>0</v>
      </c>
      <c r="I23" s="51">
        <f t="shared" si="97"/>
        <v>0</v>
      </c>
      <c r="J23" s="52">
        <f>IF(PRAZO!D21&gt;0,1/PRAZO!$AY21,0)</f>
        <v>0</v>
      </c>
      <c r="K23" s="51">
        <f t="shared" si="98"/>
        <v>0</v>
      </c>
      <c r="L23" s="52">
        <f>IF(PRAZO!E21&gt;0,1/PRAZO!$AY21,0)</f>
        <v>0</v>
      </c>
      <c r="M23" s="51">
        <f t="shared" si="99"/>
        <v>0</v>
      </c>
      <c r="N23" s="52">
        <f>IF(PRAZO!F21&gt;0,1/PRAZO!$AY21,0)</f>
        <v>0</v>
      </c>
      <c r="O23" s="51">
        <f t="shared" si="100"/>
        <v>0</v>
      </c>
      <c r="P23" s="52">
        <f>IF(PRAZO!G21&gt;0,1/PRAZO!$AY21,0)</f>
        <v>0</v>
      </c>
      <c r="Q23" s="51">
        <f t="shared" si="101"/>
        <v>0</v>
      </c>
      <c r="R23" s="52">
        <f>IF(PRAZO!H21&gt;0,1/PRAZO!$AY21,0)</f>
        <v>0</v>
      </c>
      <c r="S23" s="51">
        <f t="shared" si="102"/>
        <v>0</v>
      </c>
      <c r="T23" s="52">
        <f>IF(PRAZO!I21&gt;0,1/PRAZO!$AY21,0)</f>
        <v>0</v>
      </c>
      <c r="U23" s="51">
        <f t="shared" si="103"/>
        <v>0</v>
      </c>
      <c r="V23" s="52">
        <f>IF(PRAZO!J21&gt;0,1/PRAZO!$AY21,0)</f>
        <v>0</v>
      </c>
      <c r="W23" s="51">
        <f t="shared" si="104"/>
        <v>0</v>
      </c>
      <c r="X23" s="52">
        <f>IF(PRAZO!K21&gt;0,1/PRAZO!$AY21,0)</f>
        <v>0</v>
      </c>
      <c r="Y23" s="51">
        <f t="shared" si="105"/>
        <v>0</v>
      </c>
      <c r="Z23" s="52">
        <f>IF(PRAZO!L21&gt;0,1/PRAZO!$AY21,0)</f>
        <v>0</v>
      </c>
      <c r="AA23" s="51">
        <f t="shared" si="106"/>
        <v>0</v>
      </c>
      <c r="AB23" s="52">
        <f>IF(PRAZO!M21&gt;0,1/PRAZO!$AY21,0)</f>
        <v>0</v>
      </c>
      <c r="AC23" s="51">
        <f t="shared" si="107"/>
        <v>0</v>
      </c>
      <c r="AD23" s="52">
        <f>IF(PRAZO!N21&gt;0,1/PRAZO!$AY21,0)</f>
        <v>0</v>
      </c>
      <c r="AE23" s="51">
        <f t="shared" si="108"/>
        <v>0</v>
      </c>
      <c r="AF23" s="52">
        <f>IF(PRAZO!O21&gt;0,1/PRAZO!$AY21,0)</f>
        <v>0</v>
      </c>
      <c r="AG23" s="51">
        <f t="shared" si="109"/>
        <v>0</v>
      </c>
      <c r="AH23" s="52">
        <f>IF(PRAZO!P21&gt;0,1/PRAZO!$AY21,0)</f>
        <v>0</v>
      </c>
      <c r="AI23" s="51">
        <f t="shared" si="110"/>
        <v>0</v>
      </c>
      <c r="AJ23" s="52">
        <f>IF(PRAZO!Q21&gt;0,1/PRAZO!$AY21,0)</f>
        <v>0</v>
      </c>
      <c r="AK23" s="51">
        <f t="shared" si="111"/>
        <v>0</v>
      </c>
      <c r="AL23" s="52">
        <f>IF(PRAZO!R21&gt;0,1/PRAZO!$AY21,0)</f>
        <v>0</v>
      </c>
      <c r="AM23" s="51">
        <f t="shared" si="112"/>
        <v>0</v>
      </c>
      <c r="AN23" s="52">
        <f>IF(PRAZO!S21&gt;0,1/PRAZO!$AY21,0)</f>
        <v>0</v>
      </c>
      <c r="AO23" s="51">
        <f t="shared" si="113"/>
        <v>0</v>
      </c>
      <c r="AP23" s="52">
        <f>IF(PRAZO!T21&gt;0,1/PRAZO!$AY21,0)</f>
        <v>0</v>
      </c>
      <c r="AQ23" s="51">
        <f t="shared" si="114"/>
        <v>0</v>
      </c>
      <c r="AR23" s="52">
        <f>IF(PRAZO!U21&gt;0,1/PRAZO!$AY21,0)</f>
        <v>0</v>
      </c>
      <c r="AS23" s="51">
        <f t="shared" si="115"/>
        <v>0</v>
      </c>
      <c r="AT23" s="52">
        <f>IF(PRAZO!V21&gt;0,1/PRAZO!$AY21,0)</f>
        <v>0</v>
      </c>
      <c r="AU23" s="51">
        <f t="shared" si="116"/>
        <v>0</v>
      </c>
      <c r="AV23" s="52">
        <f>IF(PRAZO!W21&gt;0,1/PRAZO!$AY21,0)</f>
        <v>0</v>
      </c>
      <c r="AW23" s="51">
        <f t="shared" si="117"/>
        <v>0</v>
      </c>
      <c r="AX23" s="52">
        <f>IF(PRAZO!X21&gt;0,1/PRAZO!$AY21,0)</f>
        <v>0</v>
      </c>
      <c r="AY23" s="51">
        <f t="shared" si="118"/>
        <v>0</v>
      </c>
      <c r="AZ23" s="52">
        <f>IF(PRAZO!Y21&gt;0,1/PRAZO!$AY21,0)</f>
        <v>0</v>
      </c>
      <c r="BA23" s="51">
        <f t="shared" si="119"/>
        <v>0</v>
      </c>
      <c r="BB23" s="52">
        <f>IF(PRAZO!Z21&gt;0,1/PRAZO!$AY21,0)</f>
        <v>0</v>
      </c>
      <c r="BC23" s="51">
        <f t="shared" si="120"/>
        <v>0</v>
      </c>
      <c r="BD23" s="52">
        <f>IF(PRAZO!AA21&gt;0,1/PRAZO!$AY21,0)</f>
        <v>0</v>
      </c>
      <c r="BE23" s="51">
        <f t="shared" si="121"/>
        <v>0</v>
      </c>
      <c r="BF23" s="52">
        <f>IF(PRAZO!AB21&gt;0,1/PRAZO!$AY21,0)</f>
        <v>0</v>
      </c>
      <c r="BG23" s="51">
        <f t="shared" si="122"/>
        <v>0</v>
      </c>
      <c r="BH23" s="52">
        <f>IF(PRAZO!AC21&gt;0,1/PRAZO!$AY21,0)</f>
        <v>0</v>
      </c>
      <c r="BI23" s="51">
        <f t="shared" si="123"/>
        <v>0</v>
      </c>
      <c r="BJ23" s="52">
        <f>IF(PRAZO!AD21&gt;0,1/PRAZO!$AY21,0)</f>
        <v>0</v>
      </c>
      <c r="BK23" s="51">
        <f t="shared" si="124"/>
        <v>0</v>
      </c>
      <c r="BL23" s="52">
        <f>IF(PRAZO!AE21&gt;0,1/PRAZO!$AY21,0)</f>
        <v>0</v>
      </c>
      <c r="BM23" s="51">
        <f t="shared" si="125"/>
        <v>0</v>
      </c>
      <c r="BN23" s="52">
        <f>IF(PRAZO!AF21&gt;0,1/PRAZO!$AY21,0)</f>
        <v>0</v>
      </c>
      <c r="BO23" s="51">
        <f t="shared" si="126"/>
        <v>0</v>
      </c>
      <c r="BP23" s="52">
        <f>IF(PRAZO!AG21&gt;0,1/PRAZO!$AY21,0)</f>
        <v>0</v>
      </c>
      <c r="BQ23" s="51">
        <f t="shared" si="127"/>
        <v>0</v>
      </c>
      <c r="BR23" s="52">
        <f>IF(PRAZO!AH21&gt;0,1/PRAZO!$AY21,0)</f>
        <v>0</v>
      </c>
      <c r="BS23" s="51">
        <f t="shared" si="128"/>
        <v>0</v>
      </c>
      <c r="BT23" s="52">
        <f>IF(PRAZO!AI21&gt;0,1/PRAZO!$AY21,0)</f>
        <v>0</v>
      </c>
      <c r="BU23" s="51">
        <f t="shared" si="129"/>
        <v>0</v>
      </c>
      <c r="BV23" s="52">
        <f>IF(PRAZO!AJ21&gt;0,1/PRAZO!$AY21,0)</f>
        <v>0</v>
      </c>
      <c r="BW23" s="51">
        <f t="shared" si="130"/>
        <v>0</v>
      </c>
      <c r="BX23" s="52">
        <f>IF(PRAZO!AK21&gt;0,1/PRAZO!$AY21,0)</f>
        <v>0</v>
      </c>
      <c r="BY23" s="51">
        <f t="shared" si="131"/>
        <v>0</v>
      </c>
      <c r="BZ23" s="52">
        <f>IF(PRAZO!AL21&gt;0,1/PRAZO!$AY21,0)</f>
        <v>0</v>
      </c>
      <c r="CA23" s="51">
        <f t="shared" si="132"/>
        <v>0</v>
      </c>
      <c r="CB23" s="52">
        <f>IF(PRAZO!AM21&gt;0,1/PRAZO!$AY21,0)</f>
        <v>0</v>
      </c>
      <c r="CC23" s="51">
        <f t="shared" si="133"/>
        <v>0</v>
      </c>
      <c r="CD23" s="52">
        <f>IF(PRAZO!AN21&gt;0,1/PRAZO!$AY21,0)</f>
        <v>0</v>
      </c>
      <c r="CE23" s="51">
        <f t="shared" si="134"/>
        <v>0</v>
      </c>
      <c r="CF23" s="52">
        <f>IF(PRAZO!AO21&gt;0,1/PRAZO!$AY21,0)</f>
        <v>0</v>
      </c>
      <c r="CG23" s="51">
        <f t="shared" si="135"/>
        <v>0</v>
      </c>
      <c r="CH23" s="52">
        <f>IF(PRAZO!AP21&gt;0,1/PRAZO!$AY21,0)</f>
        <v>0</v>
      </c>
      <c r="CI23" s="51">
        <f t="shared" si="136"/>
        <v>0</v>
      </c>
      <c r="CJ23" s="52">
        <f>IF(PRAZO!AQ21&gt;0,1/PRAZO!$AY21,0)</f>
        <v>0</v>
      </c>
      <c r="CK23" s="51">
        <f t="shared" si="137"/>
        <v>0</v>
      </c>
      <c r="CL23" s="52">
        <f>IF(PRAZO!AR21&gt;0,1/PRAZO!$AY21,0)</f>
        <v>0</v>
      </c>
      <c r="CM23" s="51">
        <f t="shared" si="138"/>
        <v>0</v>
      </c>
      <c r="CN23" s="52">
        <f>IF(PRAZO!AS21&gt;0,1/PRAZO!$AY21,0)</f>
        <v>0.16666666666666666</v>
      </c>
      <c r="CO23" s="51">
        <f t="shared" si="139"/>
        <v>39743.267666666681</v>
      </c>
      <c r="CP23" s="52">
        <f>IF(PRAZO!AT21&gt;0,1/PRAZO!$AY21,0)</f>
        <v>0.16666666666666666</v>
      </c>
      <c r="CQ23" s="51">
        <f t="shared" si="140"/>
        <v>39743.267666666681</v>
      </c>
      <c r="CR23" s="52">
        <f>IF(PRAZO!AU21&gt;0,1/PRAZO!$AY21,0)</f>
        <v>0.16666666666666666</v>
      </c>
      <c r="CS23" s="51">
        <f t="shared" si="141"/>
        <v>39743.267666666681</v>
      </c>
      <c r="CT23" s="52">
        <f>IF(PRAZO!AV21&gt;0,1/PRAZO!$AY21,0)</f>
        <v>0.16666666666666666</v>
      </c>
      <c r="CU23" s="51">
        <f t="shared" si="142"/>
        <v>39743.267666666681</v>
      </c>
      <c r="CV23" s="52">
        <f>IF(PRAZO!AW21&gt;0,1/PRAZO!$AY21,0)</f>
        <v>0.16666666666666666</v>
      </c>
      <c r="CW23" s="51">
        <f t="shared" si="143"/>
        <v>39743.267666666681</v>
      </c>
      <c r="CX23" s="52">
        <f>IF(PRAZO!AX21&gt;0,1/PRAZO!$AY21,0)</f>
        <v>0.16666666666666666</v>
      </c>
      <c r="CY23" s="51">
        <f t="shared" si="144"/>
        <v>39743.267666666681</v>
      </c>
    </row>
    <row r="24" spans="2:105" ht="19.5" customHeight="1" x14ac:dyDescent="0.25">
      <c r="B24" s="44" t="s">
        <v>67</v>
      </c>
      <c r="C24" s="61">
        <f ca="1">SUM([1]RESUMO!$B$18:$C$18)</f>
        <v>319976.56540367391</v>
      </c>
      <c r="D24" s="30">
        <f ca="1">C24/$C$28</f>
        <v>8.9747244942051455E-3</v>
      </c>
      <c r="E24" s="63">
        <f ca="1">C24/'DISTRIBUIÇÃO CUSTO'!C$32</f>
        <v>14.58462300791018</v>
      </c>
      <c r="F24" s="77">
        <f t="shared" si="48"/>
        <v>1.0000000000000007</v>
      </c>
      <c r="H24" s="29">
        <f t="shared" ref="H24:H26" si="145">1/48</f>
        <v>2.0833333333333332E-2</v>
      </c>
      <c r="I24" s="82">
        <f t="shared" ca="1" si="97"/>
        <v>6666.1784459098726</v>
      </c>
      <c r="J24" s="29">
        <f t="shared" ref="J24:J26" si="146">1/48</f>
        <v>2.0833333333333332E-2</v>
      </c>
      <c r="K24" s="82">
        <f t="shared" ca="1" si="98"/>
        <v>6666.1784459098726</v>
      </c>
      <c r="L24" s="29">
        <f t="shared" ref="L24:L26" si="147">1/48</f>
        <v>2.0833333333333332E-2</v>
      </c>
      <c r="M24" s="82">
        <f t="shared" ca="1" si="99"/>
        <v>6666.1784459098726</v>
      </c>
      <c r="N24" s="29">
        <f t="shared" ref="N24:N26" si="148">1/48</f>
        <v>2.0833333333333332E-2</v>
      </c>
      <c r="O24" s="82">
        <f t="shared" ca="1" si="100"/>
        <v>6666.1784459098726</v>
      </c>
      <c r="P24" s="29">
        <f t="shared" ref="P24:P26" si="149">1/48</f>
        <v>2.0833333333333332E-2</v>
      </c>
      <c r="Q24" s="82">
        <f t="shared" ca="1" si="101"/>
        <v>6666.1784459098726</v>
      </c>
      <c r="R24" s="29">
        <f t="shared" ref="R24:R26" si="150">1/48</f>
        <v>2.0833333333333332E-2</v>
      </c>
      <c r="S24" s="82">
        <f t="shared" ca="1" si="102"/>
        <v>6666.1784459098726</v>
      </c>
      <c r="T24" s="29">
        <f t="shared" ref="T24:T26" si="151">1/48</f>
        <v>2.0833333333333332E-2</v>
      </c>
      <c r="U24" s="82">
        <f t="shared" ca="1" si="103"/>
        <v>6666.1784459098726</v>
      </c>
      <c r="V24" s="29">
        <f t="shared" ref="V24:V26" si="152">1/48</f>
        <v>2.0833333333333332E-2</v>
      </c>
      <c r="W24" s="82">
        <f t="shared" ca="1" si="104"/>
        <v>6666.1784459098726</v>
      </c>
      <c r="X24" s="29">
        <f t="shared" ref="X24:X26" si="153">1/48</f>
        <v>2.0833333333333332E-2</v>
      </c>
      <c r="Y24" s="82">
        <f t="shared" ca="1" si="105"/>
        <v>6666.1784459098726</v>
      </c>
      <c r="Z24" s="29">
        <f t="shared" ref="Z24:Z26" si="154">1/48</f>
        <v>2.0833333333333332E-2</v>
      </c>
      <c r="AA24" s="82">
        <f t="shared" ca="1" si="106"/>
        <v>6666.1784459098726</v>
      </c>
      <c r="AB24" s="29">
        <f t="shared" ref="AB24:AB26" si="155">1/48</f>
        <v>2.0833333333333332E-2</v>
      </c>
      <c r="AC24" s="82">
        <f t="shared" ca="1" si="107"/>
        <v>6666.1784459098726</v>
      </c>
      <c r="AD24" s="29">
        <f t="shared" ref="AD24:AD26" si="156">1/48</f>
        <v>2.0833333333333332E-2</v>
      </c>
      <c r="AE24" s="82">
        <f t="shared" ca="1" si="108"/>
        <v>6666.1784459098726</v>
      </c>
      <c r="AF24" s="29">
        <f t="shared" ref="AF24:AF26" si="157">1/48</f>
        <v>2.0833333333333332E-2</v>
      </c>
      <c r="AG24" s="82">
        <f t="shared" ca="1" si="109"/>
        <v>6666.1784459098726</v>
      </c>
      <c r="AH24" s="29">
        <f t="shared" ref="AH24:AH26" si="158">1/48</f>
        <v>2.0833333333333332E-2</v>
      </c>
      <c r="AI24" s="82">
        <f t="shared" ca="1" si="110"/>
        <v>6666.1784459098726</v>
      </c>
      <c r="AJ24" s="29">
        <f t="shared" ref="AJ24:AJ26" si="159">1/48</f>
        <v>2.0833333333333332E-2</v>
      </c>
      <c r="AK24" s="82">
        <f t="shared" ca="1" si="111"/>
        <v>6666.1784459098726</v>
      </c>
      <c r="AL24" s="29">
        <f t="shared" ref="AL24:AL26" si="160">1/48</f>
        <v>2.0833333333333332E-2</v>
      </c>
      <c r="AM24" s="82">
        <f t="shared" ca="1" si="112"/>
        <v>6666.1784459098726</v>
      </c>
      <c r="AN24" s="29">
        <f t="shared" ref="AN24:AN26" si="161">1/48</f>
        <v>2.0833333333333332E-2</v>
      </c>
      <c r="AO24" s="82">
        <f t="shared" ca="1" si="113"/>
        <v>6666.1784459098726</v>
      </c>
      <c r="AP24" s="29">
        <f t="shared" ref="AP24:AP26" si="162">1/48</f>
        <v>2.0833333333333332E-2</v>
      </c>
      <c r="AQ24" s="82">
        <f t="shared" ca="1" si="114"/>
        <v>6666.1784459098726</v>
      </c>
      <c r="AR24" s="29">
        <f t="shared" ref="AR24:AR26" si="163">1/48</f>
        <v>2.0833333333333332E-2</v>
      </c>
      <c r="AS24" s="82">
        <f t="shared" ca="1" si="115"/>
        <v>6666.1784459098726</v>
      </c>
      <c r="AT24" s="29">
        <f t="shared" ref="AT24:AT26" si="164">1/48</f>
        <v>2.0833333333333332E-2</v>
      </c>
      <c r="AU24" s="82">
        <f t="shared" ca="1" si="116"/>
        <v>6666.1784459098726</v>
      </c>
      <c r="AV24" s="29">
        <f t="shared" ref="AV24:AV26" si="165">1/48</f>
        <v>2.0833333333333332E-2</v>
      </c>
      <c r="AW24" s="82">
        <f t="shared" ca="1" si="117"/>
        <v>6666.1784459098726</v>
      </c>
      <c r="AX24" s="29">
        <f t="shared" ref="AX24:AX26" si="166">1/48</f>
        <v>2.0833333333333332E-2</v>
      </c>
      <c r="AY24" s="82">
        <f t="shared" ca="1" si="118"/>
        <v>6666.1784459098726</v>
      </c>
      <c r="AZ24" s="29">
        <f t="shared" ref="AZ24:AZ26" si="167">1/48</f>
        <v>2.0833333333333332E-2</v>
      </c>
      <c r="BA24" s="82">
        <f t="shared" ca="1" si="119"/>
        <v>6666.1784459098726</v>
      </c>
      <c r="BB24" s="29">
        <f t="shared" ref="BB24:BB26" si="168">1/48</f>
        <v>2.0833333333333332E-2</v>
      </c>
      <c r="BC24" s="82">
        <f t="shared" ca="1" si="120"/>
        <v>6666.1784459098726</v>
      </c>
      <c r="BD24" s="29">
        <f t="shared" ref="BD24:BD26" si="169">1/48</f>
        <v>2.0833333333333332E-2</v>
      </c>
      <c r="BE24" s="82">
        <f t="shared" ca="1" si="121"/>
        <v>6666.1784459098726</v>
      </c>
      <c r="BF24" s="29">
        <f t="shared" ref="BF24:BF26" si="170">1/48</f>
        <v>2.0833333333333332E-2</v>
      </c>
      <c r="BG24" s="82">
        <f t="shared" ca="1" si="122"/>
        <v>6666.1784459098726</v>
      </c>
      <c r="BH24" s="29">
        <f t="shared" ref="BH24:BH26" si="171">1/48</f>
        <v>2.0833333333333332E-2</v>
      </c>
      <c r="BI24" s="82">
        <f t="shared" ca="1" si="123"/>
        <v>6666.1784459098726</v>
      </c>
      <c r="BJ24" s="29">
        <f t="shared" ref="BJ24:BJ26" si="172">1/48</f>
        <v>2.0833333333333332E-2</v>
      </c>
      <c r="BK24" s="82">
        <f t="shared" ca="1" si="124"/>
        <v>6666.1784459098726</v>
      </c>
      <c r="BL24" s="29">
        <f t="shared" ref="BL24:BL26" si="173">1/48</f>
        <v>2.0833333333333332E-2</v>
      </c>
      <c r="BM24" s="82">
        <f t="shared" ca="1" si="125"/>
        <v>6666.1784459098726</v>
      </c>
      <c r="BN24" s="29">
        <f t="shared" ref="BN24:BN26" si="174">1/48</f>
        <v>2.0833333333333332E-2</v>
      </c>
      <c r="BO24" s="82">
        <f t="shared" ca="1" si="126"/>
        <v>6666.1784459098726</v>
      </c>
      <c r="BP24" s="29">
        <f t="shared" ref="BP24:BP26" si="175">1/48</f>
        <v>2.0833333333333332E-2</v>
      </c>
      <c r="BQ24" s="82">
        <f t="shared" ca="1" si="127"/>
        <v>6666.1784459098726</v>
      </c>
      <c r="BR24" s="29">
        <f t="shared" ref="BR24:BR26" si="176">1/48</f>
        <v>2.0833333333333332E-2</v>
      </c>
      <c r="BS24" s="82">
        <f t="shared" ca="1" si="128"/>
        <v>6666.1784459098726</v>
      </c>
      <c r="BT24" s="29">
        <f t="shared" ref="BT24:BT26" si="177">1/48</f>
        <v>2.0833333333333332E-2</v>
      </c>
      <c r="BU24" s="82">
        <f t="shared" ca="1" si="129"/>
        <v>6666.1784459098726</v>
      </c>
      <c r="BV24" s="29">
        <f t="shared" ref="BV24:BV26" si="178">1/48</f>
        <v>2.0833333333333332E-2</v>
      </c>
      <c r="BW24" s="82">
        <f t="shared" ca="1" si="130"/>
        <v>6666.1784459098726</v>
      </c>
      <c r="BX24" s="29">
        <f t="shared" ref="BX24:BX26" si="179">1/48</f>
        <v>2.0833333333333332E-2</v>
      </c>
      <c r="BY24" s="82">
        <f t="shared" ca="1" si="131"/>
        <v>6666.1784459098726</v>
      </c>
      <c r="BZ24" s="29">
        <f t="shared" ref="BZ24:BZ26" si="180">1/48</f>
        <v>2.0833333333333332E-2</v>
      </c>
      <c r="CA24" s="82">
        <f t="shared" ca="1" si="132"/>
        <v>6666.1784459098726</v>
      </c>
      <c r="CB24" s="29">
        <f t="shared" ref="CB24:CB26" si="181">1/48</f>
        <v>2.0833333333333332E-2</v>
      </c>
      <c r="CC24" s="82">
        <f t="shared" ca="1" si="133"/>
        <v>6666.1784459098726</v>
      </c>
      <c r="CD24" s="29">
        <f t="shared" ref="CD24:CD26" si="182">1/48</f>
        <v>2.0833333333333332E-2</v>
      </c>
      <c r="CE24" s="82">
        <f t="shared" ca="1" si="134"/>
        <v>6666.1784459098726</v>
      </c>
      <c r="CF24" s="29">
        <f t="shared" ref="CF24:CF26" si="183">1/48</f>
        <v>2.0833333333333332E-2</v>
      </c>
      <c r="CG24" s="82">
        <f t="shared" ca="1" si="135"/>
        <v>6666.1784459098726</v>
      </c>
      <c r="CH24" s="29">
        <f t="shared" ref="CH24:CH26" si="184">1/48</f>
        <v>2.0833333333333332E-2</v>
      </c>
      <c r="CI24" s="82">
        <f t="shared" ca="1" si="136"/>
        <v>6666.1784459098726</v>
      </c>
      <c r="CJ24" s="29">
        <f t="shared" ref="CJ24:CJ26" si="185">1/48</f>
        <v>2.0833333333333332E-2</v>
      </c>
      <c r="CK24" s="82">
        <f t="shared" ca="1" si="137"/>
        <v>6666.1784459098726</v>
      </c>
      <c r="CL24" s="29">
        <f t="shared" ref="CL24:CL26" si="186">1/48</f>
        <v>2.0833333333333332E-2</v>
      </c>
      <c r="CM24" s="82">
        <f t="shared" ca="1" si="138"/>
        <v>6666.1784459098726</v>
      </c>
      <c r="CN24" s="29">
        <f t="shared" ref="CN24:CN26" si="187">1/48</f>
        <v>2.0833333333333332E-2</v>
      </c>
      <c r="CO24" s="82">
        <f t="shared" ca="1" si="139"/>
        <v>6666.1784459098726</v>
      </c>
      <c r="CP24" s="29">
        <f t="shared" ref="CP24:CP26" si="188">1/48</f>
        <v>2.0833333333333332E-2</v>
      </c>
      <c r="CQ24" s="82">
        <f t="shared" ca="1" si="140"/>
        <v>6666.1784459098726</v>
      </c>
      <c r="CR24" s="29">
        <f t="shared" ref="CR24:CR26" si="189">1/48</f>
        <v>2.0833333333333332E-2</v>
      </c>
      <c r="CS24" s="82">
        <f t="shared" ca="1" si="141"/>
        <v>6666.1784459098726</v>
      </c>
      <c r="CT24" s="29">
        <f t="shared" ref="CT24:CT26" si="190">1/48</f>
        <v>2.0833333333333332E-2</v>
      </c>
      <c r="CU24" s="82">
        <f t="shared" ca="1" si="142"/>
        <v>6666.1784459098726</v>
      </c>
      <c r="CV24" s="29">
        <f t="shared" ref="CV24:CV26" si="191">1/48</f>
        <v>2.0833333333333332E-2</v>
      </c>
      <c r="CW24" s="82">
        <f t="shared" ca="1" si="143"/>
        <v>6666.1784459098726</v>
      </c>
      <c r="CX24" s="29">
        <f t="shared" ref="CX24:CX26" si="192">1/48</f>
        <v>2.0833333333333332E-2</v>
      </c>
      <c r="CY24" s="82">
        <f t="shared" ca="1" si="144"/>
        <v>6666.1784459098726</v>
      </c>
    </row>
    <row r="25" spans="2:105" s="126" customFormat="1" ht="19.5" customHeight="1" x14ac:dyDescent="0.25">
      <c r="B25" s="121" t="s">
        <v>113</v>
      </c>
      <c r="C25" s="122">
        <f>SUM([1]RESUMO!$B$22:$C$22)</f>
        <v>8041796.5</v>
      </c>
      <c r="D25" s="123">
        <f ca="1">C25/$C$28</f>
        <v>0.22555685581196169</v>
      </c>
      <c r="E25" s="124">
        <f>C25/'DISTRIBUIÇÃO CUSTO'!C$32</f>
        <v>366.54737546440612</v>
      </c>
      <c r="F25" s="125">
        <f t="shared" si="48"/>
        <v>1.0000000000000007</v>
      </c>
      <c r="G25"/>
      <c r="H25" s="127">
        <f t="shared" si="145"/>
        <v>2.0833333333333332E-2</v>
      </c>
      <c r="I25" s="128">
        <f t="shared" ref="I25:I27" si="193">$C25*H25</f>
        <v>167537.42708333331</v>
      </c>
      <c r="J25" s="129">
        <f t="shared" si="146"/>
        <v>2.0833333333333332E-2</v>
      </c>
      <c r="K25" s="128">
        <f t="shared" ref="K25:K27" si="194">$C25*J25</f>
        <v>167537.42708333331</v>
      </c>
      <c r="L25" s="129">
        <f t="shared" si="147"/>
        <v>2.0833333333333332E-2</v>
      </c>
      <c r="M25" s="128">
        <f t="shared" ref="M25:M27" si="195">$C25*L25</f>
        <v>167537.42708333331</v>
      </c>
      <c r="N25" s="129">
        <f t="shared" si="148"/>
        <v>2.0833333333333332E-2</v>
      </c>
      <c r="O25" s="128">
        <f t="shared" ref="O25:O27" si="196">$C25*N25</f>
        <v>167537.42708333331</v>
      </c>
      <c r="P25" s="129">
        <f t="shared" si="149"/>
        <v>2.0833333333333332E-2</v>
      </c>
      <c r="Q25" s="128">
        <f t="shared" ref="Q25:Q27" si="197">$C25*P25</f>
        <v>167537.42708333331</v>
      </c>
      <c r="R25" s="129">
        <f t="shared" si="150"/>
        <v>2.0833333333333332E-2</v>
      </c>
      <c r="S25" s="128">
        <f t="shared" ref="S25:S27" si="198">$C25*R25</f>
        <v>167537.42708333331</v>
      </c>
      <c r="T25" s="129">
        <f t="shared" si="151"/>
        <v>2.0833333333333332E-2</v>
      </c>
      <c r="U25" s="128">
        <f t="shared" ref="U25:U27" si="199">$C25*T25</f>
        <v>167537.42708333331</v>
      </c>
      <c r="V25" s="129">
        <f t="shared" si="152"/>
        <v>2.0833333333333332E-2</v>
      </c>
      <c r="W25" s="128">
        <f t="shared" ref="W25:W27" si="200">$C25*V25</f>
        <v>167537.42708333331</v>
      </c>
      <c r="X25" s="129">
        <f t="shared" si="153"/>
        <v>2.0833333333333332E-2</v>
      </c>
      <c r="Y25" s="128">
        <f t="shared" ref="Y25:Y27" si="201">$C25*X25</f>
        <v>167537.42708333331</v>
      </c>
      <c r="Z25" s="129">
        <f t="shared" si="154"/>
        <v>2.0833333333333332E-2</v>
      </c>
      <c r="AA25" s="128">
        <f t="shared" ref="AA25:AA27" si="202">$C25*Z25</f>
        <v>167537.42708333331</v>
      </c>
      <c r="AB25" s="129">
        <f t="shared" si="155"/>
        <v>2.0833333333333332E-2</v>
      </c>
      <c r="AC25" s="128">
        <f t="shared" ref="AC25:AC27" si="203">$C25*AB25</f>
        <v>167537.42708333331</v>
      </c>
      <c r="AD25" s="129">
        <f t="shared" si="156"/>
        <v>2.0833333333333332E-2</v>
      </c>
      <c r="AE25" s="128">
        <f t="shared" ref="AE25:AE27" si="204">$C25*AD25</f>
        <v>167537.42708333331</v>
      </c>
      <c r="AF25" s="129">
        <f t="shared" si="157"/>
        <v>2.0833333333333332E-2</v>
      </c>
      <c r="AG25" s="128">
        <f t="shared" ref="AG25:AG27" si="205">$C25*AF25</f>
        <v>167537.42708333331</v>
      </c>
      <c r="AH25" s="129">
        <f t="shared" si="158"/>
        <v>2.0833333333333332E-2</v>
      </c>
      <c r="AI25" s="128">
        <f t="shared" ref="AI25:AI27" si="206">$C25*AH25</f>
        <v>167537.42708333331</v>
      </c>
      <c r="AJ25" s="129">
        <f t="shared" si="159"/>
        <v>2.0833333333333332E-2</v>
      </c>
      <c r="AK25" s="128">
        <f t="shared" ref="AK25:AK27" si="207">$C25*AJ25</f>
        <v>167537.42708333331</v>
      </c>
      <c r="AL25" s="129">
        <f t="shared" si="160"/>
        <v>2.0833333333333332E-2</v>
      </c>
      <c r="AM25" s="128">
        <f t="shared" ref="AM25:AM27" si="208">$C25*AL25</f>
        <v>167537.42708333331</v>
      </c>
      <c r="AN25" s="129">
        <f t="shared" si="161"/>
        <v>2.0833333333333332E-2</v>
      </c>
      <c r="AO25" s="128">
        <f t="shared" ref="AO25:AO27" si="209">$C25*AN25</f>
        <v>167537.42708333331</v>
      </c>
      <c r="AP25" s="129">
        <f t="shared" si="162"/>
        <v>2.0833333333333332E-2</v>
      </c>
      <c r="AQ25" s="128">
        <f t="shared" ref="AQ25:AQ27" si="210">$C25*AP25</f>
        <v>167537.42708333331</v>
      </c>
      <c r="AR25" s="129">
        <f t="shared" si="163"/>
        <v>2.0833333333333332E-2</v>
      </c>
      <c r="AS25" s="128">
        <f t="shared" ref="AS25:AS27" si="211">$C25*AR25</f>
        <v>167537.42708333331</v>
      </c>
      <c r="AT25" s="129">
        <f t="shared" si="164"/>
        <v>2.0833333333333332E-2</v>
      </c>
      <c r="AU25" s="128">
        <f t="shared" ref="AU25:AU27" si="212">$C25*AT25</f>
        <v>167537.42708333331</v>
      </c>
      <c r="AV25" s="129">
        <f t="shared" si="165"/>
        <v>2.0833333333333332E-2</v>
      </c>
      <c r="AW25" s="128">
        <f t="shared" ref="AW25:AW27" si="213">$C25*AV25</f>
        <v>167537.42708333331</v>
      </c>
      <c r="AX25" s="129">
        <f t="shared" si="166"/>
        <v>2.0833333333333332E-2</v>
      </c>
      <c r="AY25" s="128">
        <f t="shared" ref="AY25:AY27" si="214">$C25*AX25</f>
        <v>167537.42708333331</v>
      </c>
      <c r="AZ25" s="129">
        <f t="shared" si="167"/>
        <v>2.0833333333333332E-2</v>
      </c>
      <c r="BA25" s="128">
        <f t="shared" ref="BA25:BA27" si="215">$C25*AZ25</f>
        <v>167537.42708333331</v>
      </c>
      <c r="BB25" s="129">
        <f t="shared" si="168"/>
        <v>2.0833333333333332E-2</v>
      </c>
      <c r="BC25" s="128">
        <f t="shared" ref="BC25:BC27" si="216">$C25*BB25</f>
        <v>167537.42708333331</v>
      </c>
      <c r="BD25" s="129">
        <f t="shared" si="169"/>
        <v>2.0833333333333332E-2</v>
      </c>
      <c r="BE25" s="128">
        <f t="shared" ref="BE25:BE27" si="217">$C25*BD25</f>
        <v>167537.42708333331</v>
      </c>
      <c r="BF25" s="129">
        <f t="shared" si="170"/>
        <v>2.0833333333333332E-2</v>
      </c>
      <c r="BG25" s="128">
        <f t="shared" ref="BG25:BG27" si="218">$C25*BF25</f>
        <v>167537.42708333331</v>
      </c>
      <c r="BH25" s="129">
        <f t="shared" si="171"/>
        <v>2.0833333333333332E-2</v>
      </c>
      <c r="BI25" s="128">
        <f t="shared" ref="BI25:BI27" si="219">$C25*BH25</f>
        <v>167537.42708333331</v>
      </c>
      <c r="BJ25" s="129">
        <f t="shared" si="172"/>
        <v>2.0833333333333332E-2</v>
      </c>
      <c r="BK25" s="128">
        <f t="shared" ref="BK25:BK27" si="220">$C25*BJ25</f>
        <v>167537.42708333331</v>
      </c>
      <c r="BL25" s="129">
        <f t="shared" si="173"/>
        <v>2.0833333333333332E-2</v>
      </c>
      <c r="BM25" s="128">
        <f t="shared" ref="BM25:BM27" si="221">$C25*BL25</f>
        <v>167537.42708333331</v>
      </c>
      <c r="BN25" s="129">
        <f t="shared" si="174"/>
        <v>2.0833333333333332E-2</v>
      </c>
      <c r="BO25" s="128">
        <f t="shared" ref="BO25:BO27" si="222">$C25*BN25</f>
        <v>167537.42708333331</v>
      </c>
      <c r="BP25" s="129">
        <f t="shared" si="175"/>
        <v>2.0833333333333332E-2</v>
      </c>
      <c r="BQ25" s="128">
        <f t="shared" ref="BQ25:BQ27" si="223">$C25*BP25</f>
        <v>167537.42708333331</v>
      </c>
      <c r="BR25" s="129">
        <f t="shared" si="176"/>
        <v>2.0833333333333332E-2</v>
      </c>
      <c r="BS25" s="128">
        <f t="shared" ref="BS25:BS27" si="224">$C25*BR25</f>
        <v>167537.42708333331</v>
      </c>
      <c r="BT25" s="129">
        <f t="shared" si="177"/>
        <v>2.0833333333333332E-2</v>
      </c>
      <c r="BU25" s="128">
        <f t="shared" ref="BU25:BU27" si="225">$C25*BT25</f>
        <v>167537.42708333331</v>
      </c>
      <c r="BV25" s="129">
        <f t="shared" si="178"/>
        <v>2.0833333333333332E-2</v>
      </c>
      <c r="BW25" s="128">
        <f t="shared" ref="BW25:BW27" si="226">$C25*BV25</f>
        <v>167537.42708333331</v>
      </c>
      <c r="BX25" s="129">
        <f t="shared" si="179"/>
        <v>2.0833333333333332E-2</v>
      </c>
      <c r="BY25" s="128">
        <f t="shared" ref="BY25:BY27" si="227">$C25*BX25</f>
        <v>167537.42708333331</v>
      </c>
      <c r="BZ25" s="129">
        <f t="shared" si="180"/>
        <v>2.0833333333333332E-2</v>
      </c>
      <c r="CA25" s="128">
        <f t="shared" ref="CA25:CA27" si="228">$C25*BZ25</f>
        <v>167537.42708333331</v>
      </c>
      <c r="CB25" s="129">
        <f t="shared" si="181"/>
        <v>2.0833333333333332E-2</v>
      </c>
      <c r="CC25" s="128">
        <f t="shared" ref="CC25:CC27" si="229">$C25*CB25</f>
        <v>167537.42708333331</v>
      </c>
      <c r="CD25" s="129">
        <f t="shared" si="182"/>
        <v>2.0833333333333332E-2</v>
      </c>
      <c r="CE25" s="128">
        <f t="shared" ref="CE25:CE27" si="230">$C25*CD25</f>
        <v>167537.42708333331</v>
      </c>
      <c r="CF25" s="129">
        <f t="shared" si="183"/>
        <v>2.0833333333333332E-2</v>
      </c>
      <c r="CG25" s="128">
        <f t="shared" ref="CG25:CG27" si="231">$C25*CF25</f>
        <v>167537.42708333331</v>
      </c>
      <c r="CH25" s="129">
        <f t="shared" si="184"/>
        <v>2.0833333333333332E-2</v>
      </c>
      <c r="CI25" s="128">
        <f t="shared" ref="CI25:CI27" si="232">$C25*CH25</f>
        <v>167537.42708333331</v>
      </c>
      <c r="CJ25" s="129">
        <f t="shared" si="185"/>
        <v>2.0833333333333332E-2</v>
      </c>
      <c r="CK25" s="128">
        <f t="shared" ref="CK25:CK27" si="233">$C25*CJ25</f>
        <v>167537.42708333331</v>
      </c>
      <c r="CL25" s="129">
        <f t="shared" si="186"/>
        <v>2.0833333333333332E-2</v>
      </c>
      <c r="CM25" s="128">
        <f t="shared" ref="CM25:CM27" si="234">$C25*CL25</f>
        <v>167537.42708333331</v>
      </c>
      <c r="CN25" s="129">
        <f t="shared" si="187"/>
        <v>2.0833333333333332E-2</v>
      </c>
      <c r="CO25" s="128">
        <f t="shared" ref="CO25:CO27" si="235">$C25*CN25</f>
        <v>167537.42708333331</v>
      </c>
      <c r="CP25" s="129">
        <f t="shared" si="188"/>
        <v>2.0833333333333332E-2</v>
      </c>
      <c r="CQ25" s="128">
        <f t="shared" ref="CQ25:CQ27" si="236">$C25*CP25</f>
        <v>167537.42708333331</v>
      </c>
      <c r="CR25" s="129">
        <f t="shared" si="189"/>
        <v>2.0833333333333332E-2</v>
      </c>
      <c r="CS25" s="128">
        <f t="shared" ref="CS25:CS27" si="237">$C25*CR25</f>
        <v>167537.42708333331</v>
      </c>
      <c r="CT25" s="129">
        <f t="shared" si="190"/>
        <v>2.0833333333333332E-2</v>
      </c>
      <c r="CU25" s="128">
        <f t="shared" ref="CU25:CU27" si="238">$C25*CT25</f>
        <v>167537.42708333331</v>
      </c>
      <c r="CV25" s="129">
        <f t="shared" si="191"/>
        <v>2.0833333333333332E-2</v>
      </c>
      <c r="CW25" s="128">
        <f t="shared" si="95"/>
        <v>167537.42708333331</v>
      </c>
      <c r="CX25" s="129">
        <f t="shared" si="192"/>
        <v>2.0833333333333332E-2</v>
      </c>
      <c r="CY25" s="128">
        <f t="shared" ref="CY25:CY27" si="239">$C25*CX25</f>
        <v>167537.42708333331</v>
      </c>
    </row>
    <row r="26" spans="2:105" s="126" customFormat="1" ht="19.5" customHeight="1" x14ac:dyDescent="0.25">
      <c r="B26" s="130" t="s">
        <v>114</v>
      </c>
      <c r="C26" s="131">
        <f ca="1">SUM([1]RESUMO!$B$20:$C$20)</f>
        <v>2680396.1624436402</v>
      </c>
      <c r="D26" s="132">
        <f ca="1">C26/$C$28</f>
        <v>7.5179934077072907E-2</v>
      </c>
      <c r="E26" s="133">
        <f ca="1">C26/'DISTRIBUIÇÃO CUSTO'!C$32</f>
        <v>122.17322069124508</v>
      </c>
      <c r="F26" s="134">
        <f t="shared" si="48"/>
        <v>1.0000000000000007</v>
      </c>
      <c r="G26"/>
      <c r="H26" s="135">
        <f t="shared" si="145"/>
        <v>2.0833333333333332E-2</v>
      </c>
      <c r="I26" s="136">
        <f t="shared" ref="I26" ca="1" si="240">$C26*H26</f>
        <v>55841.586717575832</v>
      </c>
      <c r="J26" s="135">
        <f t="shared" si="146"/>
        <v>2.0833333333333332E-2</v>
      </c>
      <c r="K26" s="136">
        <f t="shared" ref="K26" ca="1" si="241">$C26*J26</f>
        <v>55841.586717575832</v>
      </c>
      <c r="L26" s="135">
        <f t="shared" si="147"/>
        <v>2.0833333333333332E-2</v>
      </c>
      <c r="M26" s="136">
        <f t="shared" ref="M26" ca="1" si="242">$C26*L26</f>
        <v>55841.586717575832</v>
      </c>
      <c r="N26" s="135">
        <f t="shared" si="148"/>
        <v>2.0833333333333332E-2</v>
      </c>
      <c r="O26" s="136">
        <f t="shared" ref="O26" ca="1" si="243">$C26*N26</f>
        <v>55841.586717575832</v>
      </c>
      <c r="P26" s="135">
        <f t="shared" si="149"/>
        <v>2.0833333333333332E-2</v>
      </c>
      <c r="Q26" s="136">
        <f t="shared" ref="Q26" ca="1" si="244">$C26*P26</f>
        <v>55841.586717575832</v>
      </c>
      <c r="R26" s="135">
        <f t="shared" si="150"/>
        <v>2.0833333333333332E-2</v>
      </c>
      <c r="S26" s="136">
        <f t="shared" ref="S26" ca="1" si="245">$C26*R26</f>
        <v>55841.586717575832</v>
      </c>
      <c r="T26" s="135">
        <f t="shared" si="151"/>
        <v>2.0833333333333332E-2</v>
      </c>
      <c r="U26" s="136">
        <f t="shared" ref="U26" ca="1" si="246">$C26*T26</f>
        <v>55841.586717575832</v>
      </c>
      <c r="V26" s="135">
        <f t="shared" si="152"/>
        <v>2.0833333333333332E-2</v>
      </c>
      <c r="W26" s="136">
        <f t="shared" ref="W26" ca="1" si="247">$C26*V26</f>
        <v>55841.586717575832</v>
      </c>
      <c r="X26" s="135">
        <f t="shared" si="153"/>
        <v>2.0833333333333332E-2</v>
      </c>
      <c r="Y26" s="136">
        <f t="shared" ref="Y26" ca="1" si="248">$C26*X26</f>
        <v>55841.586717575832</v>
      </c>
      <c r="Z26" s="135">
        <f t="shared" si="154"/>
        <v>2.0833333333333332E-2</v>
      </c>
      <c r="AA26" s="136">
        <f t="shared" ref="AA26" ca="1" si="249">$C26*Z26</f>
        <v>55841.586717575832</v>
      </c>
      <c r="AB26" s="135">
        <f t="shared" si="155"/>
        <v>2.0833333333333332E-2</v>
      </c>
      <c r="AC26" s="136">
        <f t="shared" ref="AC26" ca="1" si="250">$C26*AB26</f>
        <v>55841.586717575832</v>
      </c>
      <c r="AD26" s="135">
        <f t="shared" si="156"/>
        <v>2.0833333333333332E-2</v>
      </c>
      <c r="AE26" s="136">
        <f t="shared" ref="AE26" ca="1" si="251">$C26*AD26</f>
        <v>55841.586717575832</v>
      </c>
      <c r="AF26" s="135">
        <f t="shared" si="157"/>
        <v>2.0833333333333332E-2</v>
      </c>
      <c r="AG26" s="136">
        <f t="shared" ref="AG26" ca="1" si="252">$C26*AF26</f>
        <v>55841.586717575832</v>
      </c>
      <c r="AH26" s="135">
        <f t="shared" si="158"/>
        <v>2.0833333333333332E-2</v>
      </c>
      <c r="AI26" s="136">
        <f t="shared" ref="AI26" ca="1" si="253">$C26*AH26</f>
        <v>55841.586717575832</v>
      </c>
      <c r="AJ26" s="135">
        <f t="shared" si="159"/>
        <v>2.0833333333333332E-2</v>
      </c>
      <c r="AK26" s="136">
        <f t="shared" ref="AK26" ca="1" si="254">$C26*AJ26</f>
        <v>55841.586717575832</v>
      </c>
      <c r="AL26" s="135">
        <f t="shared" si="160"/>
        <v>2.0833333333333332E-2</v>
      </c>
      <c r="AM26" s="136">
        <f t="shared" ref="AM26" ca="1" si="255">$C26*AL26</f>
        <v>55841.586717575832</v>
      </c>
      <c r="AN26" s="135">
        <f t="shared" si="161"/>
        <v>2.0833333333333332E-2</v>
      </c>
      <c r="AO26" s="136">
        <f t="shared" ref="AO26" ca="1" si="256">$C26*AN26</f>
        <v>55841.586717575832</v>
      </c>
      <c r="AP26" s="135">
        <f t="shared" si="162"/>
        <v>2.0833333333333332E-2</v>
      </c>
      <c r="AQ26" s="136">
        <f t="shared" ref="AQ26" ca="1" si="257">$C26*AP26</f>
        <v>55841.586717575832</v>
      </c>
      <c r="AR26" s="135">
        <f t="shared" si="163"/>
        <v>2.0833333333333332E-2</v>
      </c>
      <c r="AS26" s="136">
        <f t="shared" ref="AS26" ca="1" si="258">$C26*AR26</f>
        <v>55841.586717575832</v>
      </c>
      <c r="AT26" s="135">
        <f t="shared" si="164"/>
        <v>2.0833333333333332E-2</v>
      </c>
      <c r="AU26" s="136">
        <f t="shared" ref="AU26" ca="1" si="259">$C26*AT26</f>
        <v>55841.586717575832</v>
      </c>
      <c r="AV26" s="135">
        <f t="shared" si="165"/>
        <v>2.0833333333333332E-2</v>
      </c>
      <c r="AW26" s="136">
        <f t="shared" ref="AW26" ca="1" si="260">$C26*AV26</f>
        <v>55841.586717575832</v>
      </c>
      <c r="AX26" s="135">
        <f t="shared" si="166"/>
        <v>2.0833333333333332E-2</v>
      </c>
      <c r="AY26" s="136">
        <f t="shared" ref="AY26" ca="1" si="261">$C26*AX26</f>
        <v>55841.586717575832</v>
      </c>
      <c r="AZ26" s="135">
        <f t="shared" si="167"/>
        <v>2.0833333333333332E-2</v>
      </c>
      <c r="BA26" s="136">
        <f t="shared" ref="BA26" ca="1" si="262">$C26*AZ26</f>
        <v>55841.586717575832</v>
      </c>
      <c r="BB26" s="135">
        <f t="shared" si="168"/>
        <v>2.0833333333333332E-2</v>
      </c>
      <c r="BC26" s="136">
        <f t="shared" ref="BC26" ca="1" si="263">$C26*BB26</f>
        <v>55841.586717575832</v>
      </c>
      <c r="BD26" s="135">
        <f t="shared" si="169"/>
        <v>2.0833333333333332E-2</v>
      </c>
      <c r="BE26" s="136">
        <f t="shared" ref="BE26" ca="1" si="264">$C26*BD26</f>
        <v>55841.586717575832</v>
      </c>
      <c r="BF26" s="135">
        <f t="shared" si="170"/>
        <v>2.0833333333333332E-2</v>
      </c>
      <c r="BG26" s="136">
        <f t="shared" ref="BG26" ca="1" si="265">$C26*BF26</f>
        <v>55841.586717575832</v>
      </c>
      <c r="BH26" s="135">
        <f t="shared" si="171"/>
        <v>2.0833333333333332E-2</v>
      </c>
      <c r="BI26" s="136">
        <f t="shared" ref="BI26" ca="1" si="266">$C26*BH26</f>
        <v>55841.586717575832</v>
      </c>
      <c r="BJ26" s="135">
        <f t="shared" si="172"/>
        <v>2.0833333333333332E-2</v>
      </c>
      <c r="BK26" s="136">
        <f t="shared" ref="BK26" ca="1" si="267">$C26*BJ26</f>
        <v>55841.586717575832</v>
      </c>
      <c r="BL26" s="135">
        <f t="shared" si="173"/>
        <v>2.0833333333333332E-2</v>
      </c>
      <c r="BM26" s="136">
        <f t="shared" ref="BM26" ca="1" si="268">$C26*BL26</f>
        <v>55841.586717575832</v>
      </c>
      <c r="BN26" s="135">
        <f t="shared" si="174"/>
        <v>2.0833333333333332E-2</v>
      </c>
      <c r="BO26" s="136">
        <f t="shared" ref="BO26" ca="1" si="269">$C26*BN26</f>
        <v>55841.586717575832</v>
      </c>
      <c r="BP26" s="135">
        <f t="shared" si="175"/>
        <v>2.0833333333333332E-2</v>
      </c>
      <c r="BQ26" s="136">
        <f t="shared" ref="BQ26" ca="1" si="270">$C26*BP26</f>
        <v>55841.586717575832</v>
      </c>
      <c r="BR26" s="135">
        <f t="shared" si="176"/>
        <v>2.0833333333333332E-2</v>
      </c>
      <c r="BS26" s="136">
        <f t="shared" ref="BS26" ca="1" si="271">$C26*BR26</f>
        <v>55841.586717575832</v>
      </c>
      <c r="BT26" s="135">
        <f t="shared" si="177"/>
        <v>2.0833333333333332E-2</v>
      </c>
      <c r="BU26" s="136">
        <f t="shared" ref="BU26" ca="1" si="272">$C26*BT26</f>
        <v>55841.586717575832</v>
      </c>
      <c r="BV26" s="135">
        <f t="shared" si="178"/>
        <v>2.0833333333333332E-2</v>
      </c>
      <c r="BW26" s="136">
        <f t="shared" ref="BW26" ca="1" si="273">$C26*BV26</f>
        <v>55841.586717575832</v>
      </c>
      <c r="BX26" s="135">
        <f t="shared" si="179"/>
        <v>2.0833333333333332E-2</v>
      </c>
      <c r="BY26" s="136">
        <f t="shared" ref="BY26" ca="1" si="274">$C26*BX26</f>
        <v>55841.586717575832</v>
      </c>
      <c r="BZ26" s="135">
        <f t="shared" si="180"/>
        <v>2.0833333333333332E-2</v>
      </c>
      <c r="CA26" s="136">
        <f t="shared" ref="CA26" ca="1" si="275">$C26*BZ26</f>
        <v>55841.586717575832</v>
      </c>
      <c r="CB26" s="135">
        <f t="shared" si="181"/>
        <v>2.0833333333333332E-2</v>
      </c>
      <c r="CC26" s="136">
        <f t="shared" ref="CC26" ca="1" si="276">$C26*CB26</f>
        <v>55841.586717575832</v>
      </c>
      <c r="CD26" s="135">
        <f t="shared" si="182"/>
        <v>2.0833333333333332E-2</v>
      </c>
      <c r="CE26" s="136">
        <f t="shared" ref="CE26" ca="1" si="277">$C26*CD26</f>
        <v>55841.586717575832</v>
      </c>
      <c r="CF26" s="135">
        <f t="shared" si="183"/>
        <v>2.0833333333333332E-2</v>
      </c>
      <c r="CG26" s="136">
        <f t="shared" ref="CG26" ca="1" si="278">$C26*CF26</f>
        <v>55841.586717575832</v>
      </c>
      <c r="CH26" s="135">
        <f t="shared" si="184"/>
        <v>2.0833333333333332E-2</v>
      </c>
      <c r="CI26" s="136">
        <f t="shared" ref="CI26" ca="1" si="279">$C26*CH26</f>
        <v>55841.586717575832</v>
      </c>
      <c r="CJ26" s="135">
        <f t="shared" si="185"/>
        <v>2.0833333333333332E-2</v>
      </c>
      <c r="CK26" s="136">
        <f t="shared" ref="CK26" ca="1" si="280">$C26*CJ26</f>
        <v>55841.586717575832</v>
      </c>
      <c r="CL26" s="135">
        <f t="shared" si="186"/>
        <v>2.0833333333333332E-2</v>
      </c>
      <c r="CM26" s="136">
        <f t="shared" ref="CM26" ca="1" si="281">$C26*CL26</f>
        <v>55841.586717575832</v>
      </c>
      <c r="CN26" s="135">
        <f t="shared" si="187"/>
        <v>2.0833333333333332E-2</v>
      </c>
      <c r="CO26" s="136">
        <f t="shared" ref="CO26" ca="1" si="282">$C26*CN26</f>
        <v>55841.586717575832</v>
      </c>
      <c r="CP26" s="135">
        <f t="shared" si="188"/>
        <v>2.0833333333333332E-2</v>
      </c>
      <c r="CQ26" s="136">
        <f t="shared" ref="CQ26" ca="1" si="283">$C26*CP26</f>
        <v>55841.586717575832</v>
      </c>
      <c r="CR26" s="135">
        <f t="shared" si="189"/>
        <v>2.0833333333333332E-2</v>
      </c>
      <c r="CS26" s="136">
        <f t="shared" ref="CS26" ca="1" si="284">$C26*CR26</f>
        <v>55841.586717575832</v>
      </c>
      <c r="CT26" s="135">
        <f t="shared" si="190"/>
        <v>2.0833333333333332E-2</v>
      </c>
      <c r="CU26" s="136">
        <f t="shared" ref="CU26" ca="1" si="285">$C26*CT26</f>
        <v>55841.586717575832</v>
      </c>
      <c r="CV26" s="135">
        <f t="shared" si="191"/>
        <v>2.0833333333333332E-2</v>
      </c>
      <c r="CW26" s="136">
        <f t="shared" ref="CW26" ca="1" si="286">$C26*CV26</f>
        <v>55841.586717575832</v>
      </c>
      <c r="CX26" s="135">
        <f t="shared" si="192"/>
        <v>2.0833333333333332E-2</v>
      </c>
      <c r="CY26" s="136">
        <f t="shared" ref="CY26" ca="1" si="287">$C26*CX26</f>
        <v>55841.586717575832</v>
      </c>
    </row>
    <row r="27" spans="2:105" s="126" customFormat="1" ht="19.5" customHeight="1" thickBot="1" x14ac:dyDescent="0.3">
      <c r="B27" s="121" t="s">
        <v>115</v>
      </c>
      <c r="C27" s="122">
        <f ca="1">SUM([1]RESUMO!$B$23:$C$23)</f>
        <v>243672.37840396728</v>
      </c>
      <c r="D27" s="123">
        <f ca="1">C27/$C$28</f>
        <v>6.8345394615520819E-3</v>
      </c>
      <c r="E27" s="124">
        <f ca="1">C27/'DISTRIBUIÇÃO CUSTO'!C$32</f>
        <v>11.106656426476825</v>
      </c>
      <c r="F27" s="125">
        <f t="shared" si="48"/>
        <v>1.0000000000000007</v>
      </c>
      <c r="G27"/>
      <c r="H27" s="127">
        <f>1/48</f>
        <v>2.0833333333333332E-2</v>
      </c>
      <c r="I27" s="128">
        <f t="shared" ca="1" si="193"/>
        <v>5076.5078834159849</v>
      </c>
      <c r="J27" s="129">
        <f>1/48</f>
        <v>2.0833333333333332E-2</v>
      </c>
      <c r="K27" s="128">
        <f t="shared" ca="1" si="194"/>
        <v>5076.5078834159849</v>
      </c>
      <c r="L27" s="129">
        <f>1/48</f>
        <v>2.0833333333333332E-2</v>
      </c>
      <c r="M27" s="128">
        <f t="shared" ca="1" si="195"/>
        <v>5076.5078834159849</v>
      </c>
      <c r="N27" s="129">
        <f>1/48</f>
        <v>2.0833333333333332E-2</v>
      </c>
      <c r="O27" s="128">
        <f t="shared" ca="1" si="196"/>
        <v>5076.5078834159849</v>
      </c>
      <c r="P27" s="129">
        <f>1/48</f>
        <v>2.0833333333333332E-2</v>
      </c>
      <c r="Q27" s="128">
        <f t="shared" ca="1" si="197"/>
        <v>5076.5078834159849</v>
      </c>
      <c r="R27" s="129">
        <f>1/48</f>
        <v>2.0833333333333332E-2</v>
      </c>
      <c r="S27" s="128">
        <f t="shared" ca="1" si="198"/>
        <v>5076.5078834159849</v>
      </c>
      <c r="T27" s="129">
        <f>1/48</f>
        <v>2.0833333333333332E-2</v>
      </c>
      <c r="U27" s="128">
        <f t="shared" ca="1" si="199"/>
        <v>5076.5078834159849</v>
      </c>
      <c r="V27" s="129">
        <f>1/48</f>
        <v>2.0833333333333332E-2</v>
      </c>
      <c r="W27" s="128">
        <f t="shared" ca="1" si="200"/>
        <v>5076.5078834159849</v>
      </c>
      <c r="X27" s="129">
        <f>1/48</f>
        <v>2.0833333333333332E-2</v>
      </c>
      <c r="Y27" s="128">
        <f t="shared" ca="1" si="201"/>
        <v>5076.5078834159849</v>
      </c>
      <c r="Z27" s="129">
        <f>1/48</f>
        <v>2.0833333333333332E-2</v>
      </c>
      <c r="AA27" s="128">
        <f t="shared" ca="1" si="202"/>
        <v>5076.5078834159849</v>
      </c>
      <c r="AB27" s="129">
        <f>1/48</f>
        <v>2.0833333333333332E-2</v>
      </c>
      <c r="AC27" s="128">
        <f t="shared" ca="1" si="203"/>
        <v>5076.5078834159849</v>
      </c>
      <c r="AD27" s="129">
        <f>1/48</f>
        <v>2.0833333333333332E-2</v>
      </c>
      <c r="AE27" s="128">
        <f t="shared" ca="1" si="204"/>
        <v>5076.5078834159849</v>
      </c>
      <c r="AF27" s="129">
        <f>1/48</f>
        <v>2.0833333333333332E-2</v>
      </c>
      <c r="AG27" s="128">
        <f t="shared" ca="1" si="205"/>
        <v>5076.5078834159849</v>
      </c>
      <c r="AH27" s="129">
        <f>1/48</f>
        <v>2.0833333333333332E-2</v>
      </c>
      <c r="AI27" s="128">
        <f t="shared" ca="1" si="206"/>
        <v>5076.5078834159849</v>
      </c>
      <c r="AJ27" s="129">
        <f>1/48</f>
        <v>2.0833333333333332E-2</v>
      </c>
      <c r="AK27" s="128">
        <f t="shared" ca="1" si="207"/>
        <v>5076.5078834159849</v>
      </c>
      <c r="AL27" s="129">
        <f>1/48</f>
        <v>2.0833333333333332E-2</v>
      </c>
      <c r="AM27" s="128">
        <f t="shared" ca="1" si="208"/>
        <v>5076.5078834159849</v>
      </c>
      <c r="AN27" s="129">
        <f>1/48</f>
        <v>2.0833333333333332E-2</v>
      </c>
      <c r="AO27" s="128">
        <f t="shared" ca="1" si="209"/>
        <v>5076.5078834159849</v>
      </c>
      <c r="AP27" s="129">
        <f>1/48</f>
        <v>2.0833333333333332E-2</v>
      </c>
      <c r="AQ27" s="128">
        <f t="shared" ca="1" si="210"/>
        <v>5076.5078834159849</v>
      </c>
      <c r="AR27" s="129">
        <f>1/48</f>
        <v>2.0833333333333332E-2</v>
      </c>
      <c r="AS27" s="128">
        <f t="shared" ca="1" si="211"/>
        <v>5076.5078834159849</v>
      </c>
      <c r="AT27" s="129">
        <f>1/48</f>
        <v>2.0833333333333332E-2</v>
      </c>
      <c r="AU27" s="128">
        <f t="shared" ca="1" si="212"/>
        <v>5076.5078834159849</v>
      </c>
      <c r="AV27" s="129">
        <f>1/48</f>
        <v>2.0833333333333332E-2</v>
      </c>
      <c r="AW27" s="128">
        <f t="shared" ca="1" si="213"/>
        <v>5076.5078834159849</v>
      </c>
      <c r="AX27" s="129">
        <f>1/48</f>
        <v>2.0833333333333332E-2</v>
      </c>
      <c r="AY27" s="128">
        <f t="shared" ca="1" si="214"/>
        <v>5076.5078834159849</v>
      </c>
      <c r="AZ27" s="129">
        <f>1/48</f>
        <v>2.0833333333333332E-2</v>
      </c>
      <c r="BA27" s="128">
        <f t="shared" ca="1" si="215"/>
        <v>5076.5078834159849</v>
      </c>
      <c r="BB27" s="129">
        <f>1/48</f>
        <v>2.0833333333333332E-2</v>
      </c>
      <c r="BC27" s="128">
        <f t="shared" ca="1" si="216"/>
        <v>5076.5078834159849</v>
      </c>
      <c r="BD27" s="129">
        <f>1/48</f>
        <v>2.0833333333333332E-2</v>
      </c>
      <c r="BE27" s="128">
        <f t="shared" ca="1" si="217"/>
        <v>5076.5078834159849</v>
      </c>
      <c r="BF27" s="129">
        <f>1/48</f>
        <v>2.0833333333333332E-2</v>
      </c>
      <c r="BG27" s="128">
        <f t="shared" ca="1" si="218"/>
        <v>5076.5078834159849</v>
      </c>
      <c r="BH27" s="129">
        <f>1/48</f>
        <v>2.0833333333333332E-2</v>
      </c>
      <c r="BI27" s="128">
        <f t="shared" ca="1" si="219"/>
        <v>5076.5078834159849</v>
      </c>
      <c r="BJ27" s="129">
        <f>1/48</f>
        <v>2.0833333333333332E-2</v>
      </c>
      <c r="BK27" s="128">
        <f t="shared" ca="1" si="220"/>
        <v>5076.5078834159849</v>
      </c>
      <c r="BL27" s="129">
        <f>1/48</f>
        <v>2.0833333333333332E-2</v>
      </c>
      <c r="BM27" s="128">
        <f t="shared" ca="1" si="221"/>
        <v>5076.5078834159849</v>
      </c>
      <c r="BN27" s="129">
        <f>1/48</f>
        <v>2.0833333333333332E-2</v>
      </c>
      <c r="BO27" s="128">
        <f t="shared" ca="1" si="222"/>
        <v>5076.5078834159849</v>
      </c>
      <c r="BP27" s="129">
        <f>1/48</f>
        <v>2.0833333333333332E-2</v>
      </c>
      <c r="BQ27" s="128">
        <f t="shared" ca="1" si="223"/>
        <v>5076.5078834159849</v>
      </c>
      <c r="BR27" s="129">
        <f>1/48</f>
        <v>2.0833333333333332E-2</v>
      </c>
      <c r="BS27" s="128">
        <f t="shared" ca="1" si="224"/>
        <v>5076.5078834159849</v>
      </c>
      <c r="BT27" s="129">
        <f>1/48</f>
        <v>2.0833333333333332E-2</v>
      </c>
      <c r="BU27" s="128">
        <f t="shared" ca="1" si="225"/>
        <v>5076.5078834159849</v>
      </c>
      <c r="BV27" s="129">
        <f>1/48</f>
        <v>2.0833333333333332E-2</v>
      </c>
      <c r="BW27" s="128">
        <f t="shared" ca="1" si="226"/>
        <v>5076.5078834159849</v>
      </c>
      <c r="BX27" s="129">
        <f>1/48</f>
        <v>2.0833333333333332E-2</v>
      </c>
      <c r="BY27" s="128">
        <f t="shared" ca="1" si="227"/>
        <v>5076.5078834159849</v>
      </c>
      <c r="BZ27" s="129">
        <f>1/48</f>
        <v>2.0833333333333332E-2</v>
      </c>
      <c r="CA27" s="128">
        <f t="shared" ca="1" si="228"/>
        <v>5076.5078834159849</v>
      </c>
      <c r="CB27" s="129">
        <f>1/48</f>
        <v>2.0833333333333332E-2</v>
      </c>
      <c r="CC27" s="128">
        <f t="shared" ca="1" si="229"/>
        <v>5076.5078834159849</v>
      </c>
      <c r="CD27" s="129">
        <f>1/48</f>
        <v>2.0833333333333332E-2</v>
      </c>
      <c r="CE27" s="128">
        <f t="shared" ca="1" si="230"/>
        <v>5076.5078834159849</v>
      </c>
      <c r="CF27" s="129">
        <f>1/48</f>
        <v>2.0833333333333332E-2</v>
      </c>
      <c r="CG27" s="128">
        <f t="shared" ca="1" si="231"/>
        <v>5076.5078834159849</v>
      </c>
      <c r="CH27" s="129">
        <f>1/48</f>
        <v>2.0833333333333332E-2</v>
      </c>
      <c r="CI27" s="128">
        <f t="shared" ca="1" si="232"/>
        <v>5076.5078834159849</v>
      </c>
      <c r="CJ27" s="129">
        <f>1/48</f>
        <v>2.0833333333333332E-2</v>
      </c>
      <c r="CK27" s="128">
        <f t="shared" ca="1" si="233"/>
        <v>5076.5078834159849</v>
      </c>
      <c r="CL27" s="129">
        <f>1/48</f>
        <v>2.0833333333333332E-2</v>
      </c>
      <c r="CM27" s="128">
        <f t="shared" ca="1" si="234"/>
        <v>5076.5078834159849</v>
      </c>
      <c r="CN27" s="129">
        <f>1/48</f>
        <v>2.0833333333333332E-2</v>
      </c>
      <c r="CO27" s="128">
        <f t="shared" ca="1" si="235"/>
        <v>5076.5078834159849</v>
      </c>
      <c r="CP27" s="129">
        <f>1/48</f>
        <v>2.0833333333333332E-2</v>
      </c>
      <c r="CQ27" s="128">
        <f t="shared" ca="1" si="236"/>
        <v>5076.5078834159849</v>
      </c>
      <c r="CR27" s="129">
        <f>1/48</f>
        <v>2.0833333333333332E-2</v>
      </c>
      <c r="CS27" s="128">
        <f t="shared" ca="1" si="237"/>
        <v>5076.5078834159849</v>
      </c>
      <c r="CT27" s="129">
        <f>1/48</f>
        <v>2.0833333333333332E-2</v>
      </c>
      <c r="CU27" s="128">
        <f t="shared" ca="1" si="238"/>
        <v>5076.5078834159849</v>
      </c>
      <c r="CV27" s="129">
        <f>1/48</f>
        <v>2.0833333333333332E-2</v>
      </c>
      <c r="CW27" s="128">
        <f t="shared" ca="1" si="95"/>
        <v>5076.5078834159849</v>
      </c>
      <c r="CX27" s="129">
        <f>1/48</f>
        <v>2.0833333333333332E-2</v>
      </c>
      <c r="CY27" s="128">
        <f t="shared" ca="1" si="239"/>
        <v>5076.5078834159849</v>
      </c>
    </row>
    <row r="28" spans="2:105" ht="19.5" customHeight="1" x14ac:dyDescent="0.25">
      <c r="B28" s="43" t="s">
        <v>68</v>
      </c>
      <c r="C28" s="31">
        <f ca="1">SUM(C9:C27)</f>
        <v>35653079.446648009</v>
      </c>
      <c r="D28" s="32">
        <f ca="1">SUM(D9:D27)</f>
        <v>1.0000000000000002</v>
      </c>
      <c r="E28" s="45">
        <f ca="1">SUM(E9:E27)</f>
        <v>1625.0775182377206</v>
      </c>
      <c r="F28" s="25" t="e" cm="1">
        <f t="array" ref="F28">soma</f>
        <v>#NAME?</v>
      </c>
      <c r="H28" s="27"/>
      <c r="I28" s="36">
        <f ca="1">SUM(I9:I27)</f>
        <v>857309.14770300733</v>
      </c>
      <c r="J28" s="35"/>
      <c r="K28" s="36">
        <f ca="1">SUM(K9:K27)</f>
        <v>969540.00061812927</v>
      </c>
      <c r="L28" s="35"/>
      <c r="M28" s="36">
        <f ca="1">SUM(M9:M27)</f>
        <v>969540.00061812927</v>
      </c>
      <c r="N28" s="35"/>
      <c r="O28" s="36">
        <f ca="1">SUM(O9:O27)</f>
        <v>891206.2254716407</v>
      </c>
      <c r="P28" s="35"/>
      <c r="Q28" s="36">
        <f ca="1">SUM(Q9:Q27)</f>
        <v>891206.2254716407</v>
      </c>
      <c r="R28" s="35"/>
      <c r="S28" s="36">
        <f ca="1">SUM(S9:S27)</f>
        <v>891206.2254716407</v>
      </c>
      <c r="T28" s="35"/>
      <c r="U28" s="36">
        <f ca="1">SUM(U9:U27)</f>
        <v>646666.15448868135</v>
      </c>
      <c r="V28" s="35"/>
      <c r="W28" s="36">
        <f ca="1">SUM(W9:W27)</f>
        <v>646666.15448868135</v>
      </c>
      <c r="X28" s="35"/>
      <c r="Y28" s="36">
        <f ca="1">SUM(Y9:Y27)</f>
        <v>646666.15448868135</v>
      </c>
      <c r="Z28" s="35"/>
      <c r="AA28" s="36">
        <f ca="1">SUM(AA9:AA27)</f>
        <v>529167.46254394168</v>
      </c>
      <c r="AB28" s="35"/>
      <c r="AC28" s="36">
        <f ca="1">SUM(AC9:AC27)</f>
        <v>529167.46254394168</v>
      </c>
      <c r="AD28" s="35"/>
      <c r="AE28" s="36">
        <f ca="1">SUM(AE9:AE27)</f>
        <v>529167.46254394168</v>
      </c>
      <c r="AF28" s="35"/>
      <c r="AG28" s="36">
        <f ca="1">SUM(AG9:AG27)</f>
        <v>742538.37883144163</v>
      </c>
      <c r="AH28" s="35"/>
      <c r="AI28" s="36">
        <f ca="1">SUM(AI9:AI27)</f>
        <v>742538.37883144163</v>
      </c>
      <c r="AJ28" s="35"/>
      <c r="AK28" s="36">
        <f ca="1">SUM(AK9:AK27)</f>
        <v>742538.37883144163</v>
      </c>
      <c r="AL28" s="35"/>
      <c r="AM28" s="36">
        <f ca="1">SUM(AM9:AM27)</f>
        <v>742538.37883144163</v>
      </c>
      <c r="AN28" s="35"/>
      <c r="AO28" s="36">
        <f ca="1">SUM(AO9:AO27)</f>
        <v>784667.61721144174</v>
      </c>
      <c r="AP28" s="35"/>
      <c r="AQ28" s="36">
        <f ca="1">SUM(AQ9:AQ27)</f>
        <v>784667.61721144174</v>
      </c>
      <c r="AR28" s="35"/>
      <c r="AS28" s="36">
        <f ca="1">SUM(AS9:AS27)</f>
        <v>784667.61721144174</v>
      </c>
      <c r="AT28" s="35"/>
      <c r="AU28" s="36">
        <f ca="1">SUM(AU9:AU27)</f>
        <v>784667.61721144174</v>
      </c>
      <c r="AV28" s="35"/>
      <c r="AW28" s="36">
        <f ca="1">SUM(AW9:AW27)</f>
        <v>856394.09009022941</v>
      </c>
      <c r="AX28" s="35"/>
      <c r="AY28" s="36">
        <f ca="1">SUM(AY9:AY27)</f>
        <v>856394.09009022941</v>
      </c>
      <c r="AZ28" s="35"/>
      <c r="BA28" s="36">
        <f ca="1">SUM(BA9:BA27)</f>
        <v>886214.95324940444</v>
      </c>
      <c r="BB28" s="35"/>
      <c r="BC28" s="36">
        <f ca="1">SUM(BC9:BC27)</f>
        <v>1059686.6986065472</v>
      </c>
      <c r="BD28" s="35"/>
      <c r="BE28" s="36">
        <f ca="1">SUM(BE9:BE27)</f>
        <v>1059686.6986065472</v>
      </c>
      <c r="BF28" s="35"/>
      <c r="BG28" s="36">
        <f ca="1">SUM(BG9:BG27)</f>
        <v>792852.81682092231</v>
      </c>
      <c r="BH28" s="35"/>
      <c r="BI28" s="36">
        <f ca="1">SUM(BI9:BI27)</f>
        <v>823332.73048758903</v>
      </c>
      <c r="BJ28" s="35"/>
      <c r="BK28" s="36">
        <f ca="1">SUM(BK9:BK27)</f>
        <v>823332.73048758903</v>
      </c>
      <c r="BL28" s="35"/>
      <c r="BM28" s="36">
        <f ca="1">SUM(BM9:BM27)</f>
        <v>958697.15192442224</v>
      </c>
      <c r="BN28" s="35"/>
      <c r="BO28" s="36">
        <f ca="1">SUM(BO9:BO27)</f>
        <v>958697.15192442224</v>
      </c>
      <c r="BP28" s="35"/>
      <c r="BQ28" s="36">
        <f ca="1">SUM(BQ9:BQ27)</f>
        <v>958697.15192442224</v>
      </c>
      <c r="BR28" s="35"/>
      <c r="BS28" s="36">
        <f ca="1">SUM(BS9:BS27)</f>
        <v>916567.91354442225</v>
      </c>
      <c r="BT28" s="35"/>
      <c r="BU28" s="36">
        <f ca="1">SUM(BU9:BU27)</f>
        <v>970897.29813013645</v>
      </c>
      <c r="BV28" s="35"/>
      <c r="BW28" s="36">
        <f ca="1">SUM(BW9:BW27)</f>
        <v>970897.29813013645</v>
      </c>
      <c r="BX28" s="35"/>
      <c r="BY28" s="36">
        <f ca="1">SUM(BY9:BY27)</f>
        <v>941076.43497096142</v>
      </c>
      <c r="BZ28" s="35"/>
      <c r="CA28" s="36">
        <f ca="1">SUM(CA9:CA27)</f>
        <v>941076.43497096142</v>
      </c>
      <c r="CB28" s="35"/>
      <c r="CC28" s="36">
        <f ca="1">SUM(CC9:CC27)</f>
        <v>825506.95209596143</v>
      </c>
      <c r="CD28" s="35"/>
      <c r="CE28" s="36">
        <f ca="1">SUM(CE9:CE27)</f>
        <v>652035.20673881867</v>
      </c>
      <c r="CF28" s="35"/>
      <c r="CG28" s="36">
        <f ca="1">SUM(CG9:CG27)</f>
        <v>621555.29307215195</v>
      </c>
      <c r="CH28" s="35"/>
      <c r="CI28" s="37">
        <f ca="1">SUM(CI9:CI27)</f>
        <v>621555.29307215195</v>
      </c>
      <c r="CJ28" s="35"/>
      <c r="CK28" s="37">
        <f ca="1">SUM(CK9:CK27)</f>
        <v>470067.73547215201</v>
      </c>
      <c r="CL28" s="35"/>
      <c r="CM28" s="37">
        <f ca="1">SUM(CM9:CM27)</f>
        <v>470067.73547215201</v>
      </c>
      <c r="CN28" s="35"/>
      <c r="CO28" s="37">
        <f ca="1">SUM(CO9:CO27)</f>
        <v>438084.53026003088</v>
      </c>
      <c r="CP28" s="35"/>
      <c r="CQ28" s="37">
        <f ca="1">SUM(CQ9:CQ27)</f>
        <v>356406.23301069753</v>
      </c>
      <c r="CR28" s="35"/>
      <c r="CS28" s="37">
        <f ca="1">SUM(CS9:CS27)</f>
        <v>356406.23301069753</v>
      </c>
      <c r="CT28" s="35"/>
      <c r="CU28" s="37">
        <f ca="1">SUM(CU9:CU27)</f>
        <v>356406.23301069753</v>
      </c>
      <c r="CV28" s="35"/>
      <c r="CW28" s="37">
        <f ca="1">SUM(CW9:CW27)</f>
        <v>302076.84842498321</v>
      </c>
      <c r="CX28" s="35"/>
      <c r="CY28" s="37">
        <f ca="1">SUM(CY9:CY27)</f>
        <v>302076.84842498321</v>
      </c>
      <c r="CZ28" s="33" t="s">
        <v>71</v>
      </c>
    </row>
    <row r="29" spans="2:105" ht="22.5" customHeight="1" thickBot="1" x14ac:dyDescent="0.3">
      <c r="B29" s="46" t="s">
        <v>69</v>
      </c>
      <c r="C29" s="84">
        <v>3003.02</v>
      </c>
      <c r="D29" s="85">
        <v>45962</v>
      </c>
      <c r="E29" s="47">
        <f ca="1">+E28/C29</f>
        <v>0.54114775067689214</v>
      </c>
      <c r="F29" s="26"/>
      <c r="H29" s="38"/>
      <c r="I29" s="39">
        <f ca="1">I28/$C$28</f>
        <v>2.4045865350450363E-2</v>
      </c>
      <c r="J29" s="40"/>
      <c r="K29" s="39">
        <f ca="1">K28/$C$28</f>
        <v>2.7193723955008391E-2</v>
      </c>
      <c r="L29" s="40"/>
      <c r="M29" s="39">
        <f ca="1">M28/$C$28</f>
        <v>2.7193723955008391E-2</v>
      </c>
      <c r="N29" s="40"/>
      <c r="O29" s="39">
        <f ca="1">O28/$C$28</f>
        <v>2.4996612895816187E-2</v>
      </c>
      <c r="P29" s="40"/>
      <c r="Q29" s="39">
        <f ca="1">Q28/$C$28</f>
        <v>2.4996612895816187E-2</v>
      </c>
      <c r="R29" s="40"/>
      <c r="S29" s="39">
        <f ca="1">S28/$C$28</f>
        <v>2.4996612895816187E-2</v>
      </c>
      <c r="T29" s="40"/>
      <c r="U29" s="39">
        <f ca="1">U28/$C$28</f>
        <v>1.8137736333725833E-2</v>
      </c>
      <c r="V29" s="41"/>
      <c r="W29" s="39">
        <f ca="1">W28/$C$28</f>
        <v>1.8137736333725833E-2</v>
      </c>
      <c r="X29" s="41"/>
      <c r="Y29" s="39">
        <f ca="1">Y28/$C$28</f>
        <v>1.8137736333725833E-2</v>
      </c>
      <c r="Z29" s="41"/>
      <c r="AA29" s="39">
        <f ca="1">AA28/$C$28</f>
        <v>1.4842125021368733E-2</v>
      </c>
      <c r="AB29" s="41"/>
      <c r="AC29" s="39">
        <f ca="1">AC28/$C$28</f>
        <v>1.4842125021368733E-2</v>
      </c>
      <c r="AD29" s="41"/>
      <c r="AE29" s="39">
        <f ca="1">AE28/$C$28</f>
        <v>1.4842125021368733E-2</v>
      </c>
      <c r="AF29" s="41"/>
      <c r="AG29" s="39">
        <f ca="1">AG28/$C$28</f>
        <v>2.0826767010198689E-2</v>
      </c>
      <c r="AH29" s="41"/>
      <c r="AI29" s="39">
        <f ca="1">AI28/$C$28</f>
        <v>2.0826767010198689E-2</v>
      </c>
      <c r="AJ29" s="41"/>
      <c r="AK29" s="39">
        <f ca="1">AK28/$C$28</f>
        <v>2.0826767010198689E-2</v>
      </c>
      <c r="AL29" s="41"/>
      <c r="AM29" s="39">
        <f ca="1">AM28/$C$28</f>
        <v>2.0826767010198689E-2</v>
      </c>
      <c r="AN29" s="41"/>
      <c r="AO29" s="39">
        <f ca="1">AO28/$C$28</f>
        <v>2.2008410756934313E-2</v>
      </c>
      <c r="AP29" s="41"/>
      <c r="AQ29" s="39">
        <f ca="1">AQ28/$C$28</f>
        <v>2.2008410756934313E-2</v>
      </c>
      <c r="AR29" s="41"/>
      <c r="AS29" s="39">
        <f ca="1">AS28/$C$28</f>
        <v>2.2008410756934313E-2</v>
      </c>
      <c r="AT29" s="41"/>
      <c r="AU29" s="39">
        <f ca="1">AU28/$C$28</f>
        <v>2.2008410756934313E-2</v>
      </c>
      <c r="AV29" s="41"/>
      <c r="AW29" s="39">
        <f ca="1">AW28/$C$28</f>
        <v>2.4020199752219296E-2</v>
      </c>
      <c r="AX29" s="41"/>
      <c r="AY29" s="39">
        <f ca="1">AY28/$C$28</f>
        <v>2.4020199752219296E-2</v>
      </c>
      <c r="AZ29" s="41"/>
      <c r="BA29" s="39">
        <f ca="1">BA28/$C$28</f>
        <v>2.4856617352662466E-2</v>
      </c>
      <c r="BB29" s="41"/>
      <c r="BC29" s="39">
        <f ca="1">BC28/$C$28</f>
        <v>2.9722164678433565E-2</v>
      </c>
      <c r="BD29" s="41"/>
      <c r="BE29" s="39">
        <f ca="1">BE28/$C$28</f>
        <v>2.9722164678433565E-2</v>
      </c>
      <c r="BF29" s="41"/>
      <c r="BG29" s="39">
        <f ca="1">BG28/$C$28</f>
        <v>2.2237989792925555E-2</v>
      </c>
      <c r="BH29" s="41"/>
      <c r="BI29" s="39">
        <f ca="1">BI28/$C$28</f>
        <v>2.3092892486878749E-2</v>
      </c>
      <c r="BJ29" s="41"/>
      <c r="BK29" s="39">
        <f ca="1">BK28/$C$28</f>
        <v>2.3092892486878749E-2</v>
      </c>
      <c r="BL29" s="41"/>
      <c r="BM29" s="39">
        <f ca="1">BM28/$C$28</f>
        <v>2.6889602996538801E-2</v>
      </c>
      <c r="BN29" s="41"/>
      <c r="BO29" s="39">
        <f ca="1">BO28/$C$28</f>
        <v>2.6889602996538801E-2</v>
      </c>
      <c r="BP29" s="41"/>
      <c r="BQ29" s="39">
        <f ca="1">BQ28/$C$28</f>
        <v>2.6889602996538801E-2</v>
      </c>
      <c r="BR29" s="41"/>
      <c r="BS29" s="39">
        <f ca="1">BS28/$C$28</f>
        <v>2.5707959249803177E-2</v>
      </c>
      <c r="BT29" s="41"/>
      <c r="BU29" s="39">
        <f ca="1">BU28/$C$28</f>
        <v>2.7231793528045924E-2</v>
      </c>
      <c r="BV29" s="41"/>
      <c r="BW29" s="39">
        <f ca="1">BW28/$C$28</f>
        <v>2.7231793528045924E-2</v>
      </c>
      <c r="BX29" s="41"/>
      <c r="BY29" s="39">
        <f ca="1">BY28/$C$28</f>
        <v>2.6395375927602754E-2</v>
      </c>
      <c r="BZ29" s="41"/>
      <c r="CA29" s="39">
        <f ca="1">CA28/$C$28</f>
        <v>2.6395375927602754E-2</v>
      </c>
      <c r="CB29" s="41"/>
      <c r="CC29" s="39">
        <f ca="1">CC28/$C$28</f>
        <v>2.3153875202596926E-2</v>
      </c>
      <c r="CD29" s="41"/>
      <c r="CE29" s="39">
        <f ca="1">CE28/$C$28</f>
        <v>1.8288327876825827E-2</v>
      </c>
      <c r="CF29" s="41"/>
      <c r="CG29" s="39">
        <f ca="1">CG28/$C$28</f>
        <v>1.7433425182872629E-2</v>
      </c>
      <c r="CH29" s="41"/>
      <c r="CI29" s="42">
        <f ca="1">CI28/$C$28</f>
        <v>1.7433425182872629E-2</v>
      </c>
      <c r="CJ29" s="41"/>
      <c r="CK29" s="42">
        <f t="shared" ref="CK29" ca="1" si="288">CK28/$C$28</f>
        <v>1.3184491852255592E-2</v>
      </c>
      <c r="CL29" s="41"/>
      <c r="CM29" s="42">
        <f t="shared" ref="CM29" ca="1" si="289">CM28/$C$28</f>
        <v>1.3184491852255592E-2</v>
      </c>
      <c r="CN29" s="41"/>
      <c r="CO29" s="42">
        <f t="shared" ref="CO29" ca="1" si="290">CO28/$C$28</f>
        <v>1.2287424734673745E-2</v>
      </c>
      <c r="CP29" s="41"/>
      <c r="CQ29" s="42">
        <f t="shared" ref="CQ29" ca="1" si="291">CQ28/$C$28</f>
        <v>9.9965062918066037E-3</v>
      </c>
      <c r="CR29" s="41"/>
      <c r="CS29" s="42">
        <f t="shared" ref="CS29" ca="1" si="292">CS28/$C$28</f>
        <v>9.9965062918066037E-3</v>
      </c>
      <c r="CT29" s="41"/>
      <c r="CU29" s="42">
        <f t="shared" ref="CU29" ca="1" si="293">CU28/$C$28</f>
        <v>9.9965062918066037E-3</v>
      </c>
      <c r="CV29" s="41"/>
      <c r="CW29" s="42">
        <f t="shared" ref="CW29:CY29" ca="1" si="294">CW28/$C$28</f>
        <v>8.4726720135638537E-3</v>
      </c>
      <c r="CX29" s="41"/>
      <c r="CY29" s="42">
        <f t="shared" ca="1" si="294"/>
        <v>8.4726720135638537E-3</v>
      </c>
      <c r="CZ29" s="34">
        <f ca="1">SUM(I28:CY28)</f>
        <v>35653079.446648024</v>
      </c>
      <c r="DA29" s="86" t="b">
        <f ca="1">$C$28=CZ29</f>
        <v>1</v>
      </c>
    </row>
    <row r="30" spans="2:105" ht="10.5" customHeight="1" thickBot="1" x14ac:dyDescent="0.3">
      <c r="B30" s="22"/>
      <c r="C30" s="22"/>
      <c r="D30" s="23"/>
      <c r="E30" s="23"/>
      <c r="H30" s="24"/>
      <c r="I30" s="24"/>
      <c r="J30" s="22"/>
      <c r="K30" s="22"/>
      <c r="L30" s="22"/>
      <c r="M30" s="24"/>
      <c r="N30" s="22"/>
      <c r="O30" s="22"/>
      <c r="P30" s="24"/>
      <c r="Q30" s="24"/>
      <c r="R30" s="22"/>
      <c r="S30" s="22"/>
      <c r="T30" s="24"/>
      <c r="U30" s="24"/>
      <c r="V30" s="22"/>
      <c r="W30" s="22"/>
      <c r="X30" s="24"/>
      <c r="Y30" s="24"/>
      <c r="Z30" s="22"/>
      <c r="AA30" s="22"/>
      <c r="AB30" s="24"/>
      <c r="AC30" s="24"/>
      <c r="AD30" s="22"/>
      <c r="AE30" s="22"/>
      <c r="AF30" s="24"/>
      <c r="AG30" s="24"/>
      <c r="AH30" s="22"/>
      <c r="AI30" s="22"/>
      <c r="AJ30" s="24"/>
      <c r="AK30" s="24"/>
      <c r="AL30" s="22"/>
      <c r="AM30" s="22"/>
      <c r="AN30" s="24"/>
      <c r="AO30" s="24"/>
      <c r="AP30" s="22"/>
      <c r="AQ30" s="22"/>
      <c r="AR30" s="24"/>
      <c r="AS30" s="24"/>
      <c r="AT30" s="22"/>
      <c r="AU30" s="22"/>
      <c r="AV30" s="24"/>
      <c r="AW30" s="24"/>
      <c r="AX30" s="22"/>
      <c r="AY30" s="22"/>
      <c r="AZ30" s="24"/>
      <c r="BA30" s="24"/>
      <c r="BB30" s="22"/>
      <c r="BC30" s="22"/>
      <c r="BD30" s="24"/>
      <c r="BE30" s="24"/>
      <c r="BF30" s="22"/>
      <c r="BG30" s="22"/>
      <c r="BH30" s="24"/>
      <c r="BI30" s="24"/>
      <c r="BJ30" s="22"/>
      <c r="BK30" s="22"/>
      <c r="BL30" s="24"/>
      <c r="BM30" s="24"/>
      <c r="BN30" s="22"/>
      <c r="BO30" s="22"/>
      <c r="BP30" s="24"/>
      <c r="BQ30" s="24"/>
      <c r="BR30" s="22"/>
      <c r="BS30" s="22"/>
      <c r="BT30" s="24"/>
      <c r="BU30" s="24"/>
      <c r="BV30" s="22"/>
      <c r="BW30" s="22"/>
      <c r="BX30" s="24"/>
      <c r="BY30" s="24"/>
      <c r="BZ30" s="22"/>
      <c r="CA30" s="22"/>
      <c r="CB30" s="24"/>
      <c r="CC30" s="24"/>
      <c r="CD30" s="22"/>
      <c r="CE30" s="22"/>
      <c r="CF30" s="24"/>
      <c r="CG30" s="24"/>
      <c r="CH30" s="22"/>
      <c r="CI30" s="22"/>
    </row>
    <row r="31" spans="2:105" ht="22.5" thickBot="1" x14ac:dyDescent="0.3">
      <c r="B31" s="22"/>
      <c r="C31" s="109" t="s">
        <v>51</v>
      </c>
      <c r="D31" s="110"/>
      <c r="E31" s="59" t="s">
        <v>72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</row>
    <row r="32" spans="2:105" ht="19.5" customHeight="1" thickBot="1" x14ac:dyDescent="0.3">
      <c r="C32" s="70">
        <v>21939.31</v>
      </c>
      <c r="D32" s="58" t="s">
        <v>52</v>
      </c>
      <c r="E32" s="71">
        <v>48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56" ht="19.5" customHeight="1" x14ac:dyDescent="0.25">
      <c r="C33" s="72" t="s">
        <v>0</v>
      </c>
      <c r="D33" s="73" t="s">
        <v>48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56" ht="19.5" customHeight="1" x14ac:dyDescent="0.25">
      <c r="B34" s="22"/>
      <c r="C34" s="74" t="s">
        <v>1</v>
      </c>
      <c r="D34" s="75">
        <f ca="1">$I$29</f>
        <v>2.4045865350450363E-2</v>
      </c>
      <c r="E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56" ht="19.5" customHeight="1" x14ac:dyDescent="0.25">
      <c r="B35" s="22"/>
      <c r="C35" s="74" t="s">
        <v>2</v>
      </c>
      <c r="D35" s="75">
        <f ca="1">$K$29</f>
        <v>2.7193723955008391E-2</v>
      </c>
      <c r="E35" s="23"/>
      <c r="H35" s="22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</row>
    <row r="36" spans="2:56" ht="19.5" customHeight="1" x14ac:dyDescent="0.25">
      <c r="B36" s="22"/>
      <c r="C36" s="74" t="s">
        <v>3</v>
      </c>
      <c r="D36" s="75">
        <f ca="1">$M$29</f>
        <v>2.7193723955008391E-2</v>
      </c>
      <c r="E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56" ht="19.5" customHeight="1" x14ac:dyDescent="0.25">
      <c r="B37" s="22"/>
      <c r="C37" s="74" t="s">
        <v>4</v>
      </c>
      <c r="D37" s="75">
        <f ca="1">$O$29</f>
        <v>2.4996612895816187E-2</v>
      </c>
      <c r="E37" s="23"/>
      <c r="H37" s="22"/>
      <c r="I37" s="145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56" ht="19.5" customHeight="1" x14ac:dyDescent="0.25">
      <c r="B38" s="22"/>
      <c r="C38" s="74" t="s">
        <v>5</v>
      </c>
      <c r="D38" s="75">
        <f ca="1">$Q$29</f>
        <v>2.4996612895816187E-2</v>
      </c>
      <c r="E38" s="23"/>
      <c r="H38" s="22"/>
      <c r="I38" s="145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56" ht="19.5" customHeight="1" x14ac:dyDescent="0.25">
      <c r="B39" s="22"/>
      <c r="C39" s="74" t="s">
        <v>6</v>
      </c>
      <c r="D39" s="75">
        <f ca="1">$S$29</f>
        <v>2.4996612895816187E-2</v>
      </c>
      <c r="E39" s="23"/>
      <c r="H39" s="22"/>
      <c r="I39" s="145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56" ht="19.5" customHeight="1" x14ac:dyDescent="0.25">
      <c r="B40" s="22"/>
      <c r="C40" s="74" t="s">
        <v>7</v>
      </c>
      <c r="D40" s="75">
        <f ca="1">$U$29</f>
        <v>1.8137736333725833E-2</v>
      </c>
      <c r="E40" s="23"/>
      <c r="H40" s="22"/>
      <c r="I40" s="145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56" ht="19.5" customHeight="1" x14ac:dyDescent="0.25">
      <c r="B41" s="22"/>
      <c r="C41" s="74" t="s">
        <v>8</v>
      </c>
      <c r="D41" s="75">
        <f ca="1">$W$29</f>
        <v>1.8137736333725833E-2</v>
      </c>
      <c r="E41" s="23"/>
      <c r="H41" s="22"/>
      <c r="I41" s="145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56" ht="19.5" customHeight="1" x14ac:dyDescent="0.25">
      <c r="B42" s="22"/>
      <c r="C42" s="74" t="s">
        <v>9</v>
      </c>
      <c r="D42" s="75">
        <f ca="1">$Y$29</f>
        <v>1.8137736333725833E-2</v>
      </c>
      <c r="E42" s="23"/>
      <c r="H42" s="22"/>
      <c r="I42" s="145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56" ht="19.5" customHeight="1" x14ac:dyDescent="0.25">
      <c r="B43" s="22"/>
      <c r="C43" s="74" t="s">
        <v>10</v>
      </c>
      <c r="D43" s="75">
        <f ca="1">$AA$29</f>
        <v>1.4842125021368733E-2</v>
      </c>
      <c r="E43" s="23"/>
      <c r="H43" s="22"/>
      <c r="I43" s="145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56" ht="19.5" customHeight="1" x14ac:dyDescent="0.25">
      <c r="B44" s="22"/>
      <c r="C44" s="74" t="s">
        <v>11</v>
      </c>
      <c r="D44" s="75">
        <f ca="1">$AC$29</f>
        <v>1.4842125021368733E-2</v>
      </c>
      <c r="E44" s="23"/>
      <c r="H44" s="22"/>
      <c r="I44" s="145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56" ht="19.5" customHeight="1" x14ac:dyDescent="0.25">
      <c r="B45" s="22"/>
      <c r="C45" s="74" t="s">
        <v>12</v>
      </c>
      <c r="D45" s="75">
        <f ca="1">$AE$29</f>
        <v>1.4842125021368733E-2</v>
      </c>
      <c r="E45" s="23"/>
      <c r="H45" s="22"/>
      <c r="I45" s="145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56" ht="19.5" customHeight="1" x14ac:dyDescent="0.25">
      <c r="B46" s="22"/>
      <c r="C46" s="74" t="s">
        <v>13</v>
      </c>
      <c r="D46" s="75">
        <f ca="1">$AG$29</f>
        <v>2.0826767010198689E-2</v>
      </c>
      <c r="E46" s="23"/>
      <c r="H46" s="22"/>
      <c r="I46" s="145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56" ht="19.5" customHeight="1" x14ac:dyDescent="0.25">
      <c r="B47" s="22"/>
      <c r="C47" s="74" t="s">
        <v>14</v>
      </c>
      <c r="D47" s="75">
        <f ca="1">$AI$29</f>
        <v>2.0826767010198689E-2</v>
      </c>
      <c r="E47" s="23"/>
      <c r="H47" s="22"/>
      <c r="I47" s="145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56" ht="19.5" customHeight="1" x14ac:dyDescent="0.25">
      <c r="B48" s="22"/>
      <c r="C48" s="74" t="s">
        <v>15</v>
      </c>
      <c r="D48" s="75">
        <f ca="1">$AK$29</f>
        <v>2.0826767010198689E-2</v>
      </c>
      <c r="E48" s="23"/>
      <c r="H48" s="22"/>
      <c r="I48" s="145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74" t="s">
        <v>16</v>
      </c>
      <c r="D49" s="75">
        <f ca="1">$AM$29</f>
        <v>2.0826767010198689E-2</v>
      </c>
      <c r="E49" s="23"/>
      <c r="H49" s="22"/>
      <c r="I49" s="83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74" t="s">
        <v>17</v>
      </c>
      <c r="D50" s="75">
        <f ca="1">$AO$29</f>
        <v>2.2008410756934313E-2</v>
      </c>
      <c r="E50" s="23"/>
      <c r="H50" s="22"/>
      <c r="I50" s="83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74" t="s">
        <v>18</v>
      </c>
      <c r="D51" s="75">
        <f ca="1">$AQ$29</f>
        <v>2.2008410756934313E-2</v>
      </c>
      <c r="E51" s="23"/>
      <c r="H51" s="22"/>
      <c r="I51" s="83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74" t="s">
        <v>19</v>
      </c>
      <c r="D52" s="75">
        <f ca="1">$AS$29</f>
        <v>2.2008410756934313E-2</v>
      </c>
      <c r="E52" s="23"/>
      <c r="H52" s="22"/>
      <c r="I52" s="8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74" t="s">
        <v>20</v>
      </c>
      <c r="D53" s="75">
        <f ca="1">$AU$29</f>
        <v>2.2008410756934313E-2</v>
      </c>
      <c r="E53" s="23"/>
      <c r="H53" s="22"/>
      <c r="I53" s="8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74" t="s">
        <v>21</v>
      </c>
      <c r="D54" s="75">
        <f ca="1">$AW$29</f>
        <v>2.4020199752219296E-2</v>
      </c>
      <c r="E54" s="23"/>
      <c r="H54" s="22"/>
      <c r="I54" s="83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74" t="s">
        <v>22</v>
      </c>
      <c r="D55" s="75">
        <f ca="1">$AY$29</f>
        <v>2.4020199752219296E-2</v>
      </c>
      <c r="E55" s="23"/>
      <c r="H55" s="22"/>
      <c r="I55" s="8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74" t="s">
        <v>23</v>
      </c>
      <c r="D56" s="75">
        <f ca="1">$BA$29</f>
        <v>2.4856617352662466E-2</v>
      </c>
      <c r="E56" s="23"/>
      <c r="H56" s="22"/>
      <c r="I56" s="8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74" t="s">
        <v>24</v>
      </c>
      <c r="D57" s="75">
        <f ca="1">$BC$29</f>
        <v>2.9722164678433565E-2</v>
      </c>
      <c r="E57" s="23"/>
      <c r="H57" s="22"/>
      <c r="I57" s="8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74" t="s">
        <v>25</v>
      </c>
      <c r="D58" s="75">
        <f ca="1">$BE$29</f>
        <v>2.9722164678433565E-2</v>
      </c>
      <c r="E58" s="23"/>
      <c r="H58" s="22"/>
      <c r="I58" s="8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74" t="s">
        <v>26</v>
      </c>
      <c r="D59" s="75">
        <f ca="1">$BG$29</f>
        <v>2.2237989792925555E-2</v>
      </c>
      <c r="E59" s="23"/>
      <c r="H59" s="22"/>
      <c r="I59" s="83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74" t="s">
        <v>27</v>
      </c>
      <c r="D60" s="75">
        <f ca="1">$BI$29</f>
        <v>2.3092892486878749E-2</v>
      </c>
      <c r="E60" s="23"/>
      <c r="H60" s="22"/>
      <c r="I60" s="83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74" t="s">
        <v>28</v>
      </c>
      <c r="D61" s="75">
        <f ca="1">$BK$29</f>
        <v>2.3092892486878749E-2</v>
      </c>
      <c r="E61" s="23"/>
      <c r="H61" s="22"/>
      <c r="I61" s="83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74" t="s">
        <v>29</v>
      </c>
      <c r="D62" s="75">
        <f ca="1">$BM$29</f>
        <v>2.6889602996538801E-2</v>
      </c>
      <c r="E62" s="23"/>
      <c r="H62" s="22"/>
      <c r="I62" s="83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74" t="s">
        <v>30</v>
      </c>
      <c r="D63" s="75">
        <f ca="1">$BO$29</f>
        <v>2.6889602996538801E-2</v>
      </c>
      <c r="E63" s="23"/>
      <c r="H63" s="22"/>
      <c r="I63" s="83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74" t="s">
        <v>31</v>
      </c>
      <c r="D64" s="75">
        <f ca="1">$BQ$29</f>
        <v>2.6889602996538801E-2</v>
      </c>
      <c r="E64" s="23"/>
      <c r="H64" s="22"/>
      <c r="I64" s="83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74" t="s">
        <v>32</v>
      </c>
      <c r="D65" s="75">
        <f ca="1">$BS$29</f>
        <v>2.5707959249803177E-2</v>
      </c>
      <c r="E65" s="23"/>
      <c r="H65" s="22"/>
      <c r="I65" s="83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74" t="s">
        <v>33</v>
      </c>
      <c r="D66" s="75">
        <f ca="1">$BU$29</f>
        <v>2.7231793528045924E-2</v>
      </c>
      <c r="E66" s="23"/>
      <c r="H66" s="22"/>
      <c r="I66" s="83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74" t="s">
        <v>34</v>
      </c>
      <c r="D67" s="75">
        <f ca="1">$BW$29</f>
        <v>2.7231793528045924E-2</v>
      </c>
      <c r="E67" s="23"/>
      <c r="H67" s="22"/>
      <c r="I67" s="83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74" t="s">
        <v>35</v>
      </c>
      <c r="D68" s="75">
        <f ca="1">$BY$29</f>
        <v>2.6395375927602754E-2</v>
      </c>
      <c r="E68" s="23"/>
      <c r="H68" s="22"/>
      <c r="I68" s="83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74" t="s">
        <v>36</v>
      </c>
      <c r="D69" s="75">
        <f ca="1">$CA$29</f>
        <v>2.6395375927602754E-2</v>
      </c>
      <c r="E69" s="23"/>
      <c r="H69" s="22"/>
      <c r="I69" s="83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74" t="s">
        <v>37</v>
      </c>
      <c r="D70" s="75">
        <f ca="1">$CC$29</f>
        <v>2.3153875202596926E-2</v>
      </c>
      <c r="E70" s="23"/>
      <c r="H70" s="22"/>
      <c r="I70" s="83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74" t="s">
        <v>38</v>
      </c>
      <c r="D71" s="75">
        <f ca="1">$CE$29</f>
        <v>1.8288327876825827E-2</v>
      </c>
      <c r="E71" s="23"/>
      <c r="H71" s="22"/>
      <c r="I71" s="83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74" t="s">
        <v>39</v>
      </c>
      <c r="D72" s="75">
        <f ca="1">$CG$29</f>
        <v>1.7433425182872629E-2</v>
      </c>
      <c r="E72" s="23"/>
      <c r="H72" s="22"/>
      <c r="I72" s="83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74" t="s">
        <v>40</v>
      </c>
      <c r="D73" s="75">
        <f ca="1">$CI$29</f>
        <v>1.7433425182872629E-2</v>
      </c>
      <c r="E73" s="23"/>
      <c r="H73" s="22"/>
      <c r="I73" s="83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74" t="s">
        <v>75</v>
      </c>
      <c r="D74" s="75">
        <f ca="1">$CK$29</f>
        <v>1.3184491852255592E-2</v>
      </c>
      <c r="E74" s="23"/>
      <c r="H74" s="22"/>
      <c r="I74" s="83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74" t="s">
        <v>76</v>
      </c>
      <c r="D75" s="75">
        <f ca="1">$CM$29</f>
        <v>1.3184491852255592E-2</v>
      </c>
      <c r="E75" s="23"/>
      <c r="H75" s="22"/>
      <c r="I75" s="83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74" t="s">
        <v>77</v>
      </c>
      <c r="D76" s="75">
        <f ca="1">$CO$29</f>
        <v>1.2287424734673745E-2</v>
      </c>
      <c r="E76" s="23"/>
      <c r="H76" s="22"/>
      <c r="I76" s="83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74" t="s">
        <v>78</v>
      </c>
      <c r="D77" s="75">
        <f ca="1">$CQ$29</f>
        <v>9.9965062918066037E-3</v>
      </c>
      <c r="E77" s="23"/>
      <c r="H77" s="22"/>
      <c r="I77" s="83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74" t="s">
        <v>79</v>
      </c>
      <c r="D78" s="75">
        <f ca="1">$CS$29</f>
        <v>9.9965062918066037E-3</v>
      </c>
      <c r="E78" s="23"/>
      <c r="H78" s="22"/>
      <c r="I78" s="83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74" t="s">
        <v>80</v>
      </c>
      <c r="D79" s="75">
        <f ca="1">$CU$29</f>
        <v>9.9965062918066037E-3</v>
      </c>
      <c r="E79" s="23"/>
      <c r="H79" s="22"/>
      <c r="I79" s="83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74" t="s">
        <v>81</v>
      </c>
      <c r="D80" s="75">
        <f ca="1">$CW$29</f>
        <v>8.4726720135638537E-3</v>
      </c>
      <c r="E80" s="23"/>
      <c r="H80" s="22"/>
      <c r="I80" s="83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74" t="s">
        <v>82</v>
      </c>
      <c r="D81" s="75">
        <f ca="1">$CY$29</f>
        <v>8.4726720135638537E-3</v>
      </c>
      <c r="E81" s="23"/>
      <c r="H81" s="22"/>
      <c r="I81" s="83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22"/>
      <c r="D82" s="23"/>
      <c r="E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22"/>
      <c r="D83" s="23"/>
      <c r="E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22"/>
      <c r="D84" s="23"/>
      <c r="E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22"/>
      <c r="D85" s="23"/>
      <c r="E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22"/>
      <c r="D86" s="23"/>
      <c r="E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22"/>
      <c r="D87" s="23"/>
      <c r="E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22"/>
      <c r="D88" s="23"/>
      <c r="E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22"/>
      <c r="D89" s="23"/>
      <c r="E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22"/>
      <c r="D90" s="23"/>
      <c r="E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22"/>
      <c r="D91" s="23"/>
      <c r="E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22"/>
      <c r="D92" s="23"/>
      <c r="E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22"/>
      <c r="D93" s="23"/>
      <c r="E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22"/>
      <c r="D94" s="23"/>
      <c r="E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22"/>
      <c r="D95" s="23"/>
      <c r="E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x14ac:dyDescent="0.25">
      <c r="B96" s="22"/>
      <c r="C96" s="22"/>
      <c r="D96" s="23"/>
      <c r="E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C799" s="22"/>
      <c r="D799" s="23"/>
      <c r="E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C800" s="22"/>
      <c r="D800" s="23"/>
      <c r="E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C801" s="22"/>
      <c r="D801" s="23"/>
      <c r="E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C802" s="22"/>
      <c r="D802" s="23"/>
      <c r="E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E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E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E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E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E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E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E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E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E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E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E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E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E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E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E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2:20" ht="19.5" customHeight="1" x14ac:dyDescent="0.25">
      <c r="B837" s="22"/>
      <c r="E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2:20" ht="19.5" customHeight="1" x14ac:dyDescent="0.25">
      <c r="B838" s="22"/>
      <c r="E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2:20" ht="19.5" customHeight="1" x14ac:dyDescent="0.25">
      <c r="B839" s="22"/>
      <c r="E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2:20" ht="19.5" customHeight="1" x14ac:dyDescent="0.25">
      <c r="B840" s="22"/>
      <c r="E840" s="23"/>
    </row>
    <row r="841" spans="2:20" ht="19.5" customHeight="1" x14ac:dyDescent="0.25">
      <c r="B841" s="22"/>
      <c r="E841" s="23"/>
    </row>
    <row r="842" spans="2:20" ht="19.5" customHeight="1" x14ac:dyDescent="0.25">
      <c r="B842" s="22"/>
      <c r="E842" s="23"/>
    </row>
    <row r="843" spans="2:20" ht="15" customHeight="1" x14ac:dyDescent="0.25">
      <c r="B843" s="22"/>
      <c r="E843" s="23"/>
    </row>
  </sheetData>
  <mergeCells count="56">
    <mergeCell ref="C31:D31"/>
    <mergeCell ref="CP7:CQ7"/>
    <mergeCell ref="CR7:CS7"/>
    <mergeCell ref="CT7:CU7"/>
    <mergeCell ref="CX7:CY7"/>
    <mergeCell ref="CV7:CW7"/>
    <mergeCell ref="CN7:CO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BP7:BQ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AR7:AS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T7:U7"/>
    <mergeCell ref="B2:H3"/>
    <mergeCell ref="B4:H4"/>
    <mergeCell ref="B7:B8"/>
    <mergeCell ref="C7:C8"/>
    <mergeCell ref="D7:D8"/>
    <mergeCell ref="E7:E8"/>
    <mergeCell ref="H7:I7"/>
    <mergeCell ref="F7:F8"/>
    <mergeCell ref="J7:K7"/>
    <mergeCell ref="L7:M7"/>
    <mergeCell ref="N7:O7"/>
    <mergeCell ref="P7:Q7"/>
    <mergeCell ref="R7:S7"/>
  </mergeCells>
  <phoneticPr fontId="25" type="noConversion"/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A63A-801D-4D06-9845-5430F000E484}">
  <sheetPr filterMode="1"/>
  <dimension ref="A2:P27"/>
  <sheetViews>
    <sheetView workbookViewId="0">
      <selection activeCell="H34" sqref="H34"/>
    </sheetView>
  </sheetViews>
  <sheetFormatPr defaultRowHeight="15" x14ac:dyDescent="0.25"/>
  <sheetData>
    <row r="2" spans="1:16" x14ac:dyDescent="0.25">
      <c r="B2" t="s">
        <v>87</v>
      </c>
      <c r="C2">
        <v>10</v>
      </c>
      <c r="D2" t="str">
        <f>"a"&amp;B2</f>
        <v>aA</v>
      </c>
      <c r="E2">
        <v>23</v>
      </c>
      <c r="F2" s="78" t="str">
        <f>"=b"&amp;B2&amp;27</f>
        <v>=bA27</v>
      </c>
      <c r="G2">
        <v>36</v>
      </c>
      <c r="H2" s="78" t="str">
        <f>"=c"&amp;B2&amp;"27"</f>
        <v>=cA27</v>
      </c>
      <c r="I2">
        <v>49</v>
      </c>
      <c r="J2" s="78" t="str">
        <f>"=d"&amp;B2&amp;"27"</f>
        <v>=dA27</v>
      </c>
      <c r="K2">
        <v>62</v>
      </c>
      <c r="L2" s="78" t="str">
        <f>"=e"&amp;B2&amp;"27"</f>
        <v>=eA27</v>
      </c>
      <c r="M2">
        <v>75</v>
      </c>
      <c r="N2" s="78" t="str">
        <f>"=f"&amp;B2&amp;"27"</f>
        <v>=fA27</v>
      </c>
      <c r="O2">
        <v>88</v>
      </c>
      <c r="P2" s="78" t="str">
        <f>"=g"&amp;B2&amp;"27"</f>
        <v>=gA27</v>
      </c>
    </row>
    <row r="3" spans="1:16" hidden="1" x14ac:dyDescent="0.25">
      <c r="B3" t="s">
        <v>88</v>
      </c>
      <c r="D3" t="str">
        <f>"a"&amp;B3</f>
        <v>aB</v>
      </c>
      <c r="F3" t="str">
        <f t="shared" ref="F3:F27" si="0">"=b"&amp;B3&amp;27</f>
        <v>=bB27</v>
      </c>
      <c r="H3" t="str">
        <f t="shared" ref="H3:H27" si="1">"=c"&amp;B3&amp;"27"</f>
        <v>=cB27</v>
      </c>
      <c r="J3" t="str">
        <f t="shared" ref="J3:J27" si="2">"=d"&amp;B3&amp;"27"</f>
        <v>=dB27</v>
      </c>
      <c r="L3" t="str">
        <f t="shared" ref="L3:L27" si="3">"=e"&amp;B3&amp;"27"</f>
        <v>=eB27</v>
      </c>
      <c r="N3" t="str">
        <f t="shared" ref="N3:N27" si="4">"=f"&amp;B3&amp;"27"</f>
        <v>=fB27</v>
      </c>
      <c r="P3" t="str">
        <f t="shared" ref="P3:P27" si="5">"=g"&amp;B3&amp;"27"</f>
        <v>=gB27</v>
      </c>
    </row>
    <row r="4" spans="1:16" x14ac:dyDescent="0.25">
      <c r="B4" t="s">
        <v>89</v>
      </c>
      <c r="C4">
        <f>C2+1</f>
        <v>11</v>
      </c>
      <c r="D4" t="str">
        <f t="shared" ref="D4:D27" si="6">"a"&amp;B4</f>
        <v>ac</v>
      </c>
      <c r="E4">
        <f>E2+1</f>
        <v>24</v>
      </c>
      <c r="F4" s="78" t="str">
        <f t="shared" si="0"/>
        <v>=bc27</v>
      </c>
      <c r="G4">
        <f>G2+1</f>
        <v>37</v>
      </c>
      <c r="H4" s="78" t="str">
        <f t="shared" si="1"/>
        <v>=cc27</v>
      </c>
      <c r="I4">
        <f>I2+1</f>
        <v>50</v>
      </c>
      <c r="J4" s="78" t="str">
        <f t="shared" si="2"/>
        <v>=dc27</v>
      </c>
      <c r="K4">
        <f>K2+1</f>
        <v>63</v>
      </c>
      <c r="L4" s="78" t="str">
        <f t="shared" si="3"/>
        <v>=ec27</v>
      </c>
      <c r="M4">
        <f>M2+1</f>
        <v>76</v>
      </c>
      <c r="N4" s="78" t="str">
        <f t="shared" si="4"/>
        <v>=fc27</v>
      </c>
      <c r="O4">
        <f>O2+1</f>
        <v>89</v>
      </c>
      <c r="P4" s="78" t="str">
        <f t="shared" si="5"/>
        <v>=gc27</v>
      </c>
    </row>
    <row r="5" spans="1:16" hidden="1" x14ac:dyDescent="0.25">
      <c r="B5" t="s">
        <v>90</v>
      </c>
      <c r="D5" t="str">
        <f t="shared" si="6"/>
        <v>ad</v>
      </c>
      <c r="F5" t="str">
        <f t="shared" si="0"/>
        <v>=bd27</v>
      </c>
      <c r="H5" t="str">
        <f t="shared" si="1"/>
        <v>=cd27</v>
      </c>
      <c r="J5" t="str">
        <f t="shared" si="2"/>
        <v>=dd27</v>
      </c>
      <c r="L5" t="str">
        <f t="shared" si="3"/>
        <v>=ed27</v>
      </c>
      <c r="N5" t="str">
        <f t="shared" si="4"/>
        <v>=fd27</v>
      </c>
      <c r="P5" t="str">
        <f t="shared" si="5"/>
        <v>=gd27</v>
      </c>
    </row>
    <row r="6" spans="1:16" x14ac:dyDescent="0.25">
      <c r="B6" t="s">
        <v>91</v>
      </c>
      <c r="C6">
        <f>C4+1</f>
        <v>12</v>
      </c>
      <c r="D6" t="str">
        <f t="shared" si="6"/>
        <v>ae</v>
      </c>
      <c r="E6">
        <f>E4+1</f>
        <v>25</v>
      </c>
      <c r="F6" s="78" t="str">
        <f t="shared" si="0"/>
        <v>=be27</v>
      </c>
      <c r="G6">
        <f>G4+1</f>
        <v>38</v>
      </c>
      <c r="H6" s="78" t="str">
        <f t="shared" si="1"/>
        <v>=ce27</v>
      </c>
      <c r="I6">
        <f>I4+1</f>
        <v>51</v>
      </c>
      <c r="J6" s="78" t="str">
        <f t="shared" si="2"/>
        <v>=de27</v>
      </c>
      <c r="K6">
        <f>K4+1</f>
        <v>64</v>
      </c>
      <c r="L6" s="78" t="str">
        <f t="shared" si="3"/>
        <v>=ee27</v>
      </c>
      <c r="M6">
        <f>M4+1</f>
        <v>77</v>
      </c>
      <c r="N6" s="78" t="str">
        <f t="shared" si="4"/>
        <v>=fe27</v>
      </c>
      <c r="O6">
        <f>O4+1</f>
        <v>90</v>
      </c>
      <c r="P6" s="78" t="str">
        <f t="shared" si="5"/>
        <v>=ge27</v>
      </c>
    </row>
    <row r="7" spans="1:16" hidden="1" x14ac:dyDescent="0.25">
      <c r="B7" t="s">
        <v>92</v>
      </c>
      <c r="D7" t="str">
        <f t="shared" si="6"/>
        <v>af</v>
      </c>
      <c r="F7" t="str">
        <f t="shared" si="0"/>
        <v>=bf27</v>
      </c>
      <c r="H7" t="str">
        <f t="shared" si="1"/>
        <v>=cf27</v>
      </c>
      <c r="J7" t="str">
        <f t="shared" si="2"/>
        <v>=df27</v>
      </c>
      <c r="L7" t="str">
        <f t="shared" si="3"/>
        <v>=ef27</v>
      </c>
      <c r="N7" t="str">
        <f t="shared" si="4"/>
        <v>=ff27</v>
      </c>
      <c r="P7" t="str">
        <f t="shared" si="5"/>
        <v>=gf27</v>
      </c>
    </row>
    <row r="8" spans="1:16" x14ac:dyDescent="0.25">
      <c r="B8" t="s">
        <v>93</v>
      </c>
      <c r="C8">
        <f>C6+1</f>
        <v>13</v>
      </c>
      <c r="D8" t="str">
        <f t="shared" si="6"/>
        <v>ag</v>
      </c>
      <c r="E8">
        <f>E6+1</f>
        <v>26</v>
      </c>
      <c r="F8" s="78" t="str">
        <f t="shared" si="0"/>
        <v>=bg27</v>
      </c>
      <c r="G8">
        <f>G6+1</f>
        <v>39</v>
      </c>
      <c r="H8" s="78" t="str">
        <f t="shared" si="1"/>
        <v>=cg27</v>
      </c>
      <c r="I8">
        <f>I6+1</f>
        <v>52</v>
      </c>
      <c r="J8" s="78" t="str">
        <f t="shared" si="2"/>
        <v>=dg27</v>
      </c>
      <c r="K8">
        <f t="shared" ref="K8:M8" si="7">K6+1</f>
        <v>65</v>
      </c>
      <c r="L8" s="78" t="str">
        <f t="shared" si="3"/>
        <v>=eg27</v>
      </c>
      <c r="M8">
        <f t="shared" si="7"/>
        <v>78</v>
      </c>
      <c r="N8" s="78" t="str">
        <f t="shared" si="4"/>
        <v>=fg27</v>
      </c>
      <c r="O8">
        <f t="shared" ref="O8" si="8">O6+1</f>
        <v>91</v>
      </c>
      <c r="P8" s="78" t="str">
        <f t="shared" si="5"/>
        <v>=gg27</v>
      </c>
    </row>
    <row r="9" spans="1:16" hidden="1" x14ac:dyDescent="0.25">
      <c r="B9" t="s">
        <v>94</v>
      </c>
      <c r="D9" t="str">
        <f t="shared" si="6"/>
        <v>ah</v>
      </c>
      <c r="F9" t="str">
        <f t="shared" si="0"/>
        <v>=bh27</v>
      </c>
      <c r="H9" t="str">
        <f t="shared" si="1"/>
        <v>=ch27</v>
      </c>
      <c r="J9" t="str">
        <f t="shared" si="2"/>
        <v>=dh27</v>
      </c>
      <c r="L9" t="str">
        <f t="shared" si="3"/>
        <v>=eh27</v>
      </c>
      <c r="N9" t="str">
        <f t="shared" si="4"/>
        <v>=fh27</v>
      </c>
      <c r="P9" t="str">
        <f t="shared" si="5"/>
        <v>=gh27</v>
      </c>
    </row>
    <row r="10" spans="1:16" x14ac:dyDescent="0.25">
      <c r="A10">
        <v>1</v>
      </c>
      <c r="B10" t="s">
        <v>95</v>
      </c>
      <c r="C10">
        <f>C8+1</f>
        <v>14</v>
      </c>
      <c r="D10" s="78" t="str">
        <f t="shared" si="6"/>
        <v>ai</v>
      </c>
      <c r="E10">
        <f>E8+1</f>
        <v>27</v>
      </c>
      <c r="F10" s="78" t="str">
        <f t="shared" si="0"/>
        <v>=bi27</v>
      </c>
      <c r="G10">
        <f>G8+1</f>
        <v>40</v>
      </c>
      <c r="H10" s="78" t="str">
        <f t="shared" si="1"/>
        <v>=ci27</v>
      </c>
      <c r="I10">
        <f>I8+1</f>
        <v>53</v>
      </c>
      <c r="J10" s="78" t="str">
        <f t="shared" si="2"/>
        <v>=di27</v>
      </c>
      <c r="K10">
        <f t="shared" ref="K10:M10" si="9">K8+1</f>
        <v>66</v>
      </c>
      <c r="L10" s="78" t="str">
        <f t="shared" si="3"/>
        <v>=ei27</v>
      </c>
      <c r="M10">
        <f t="shared" si="9"/>
        <v>79</v>
      </c>
      <c r="N10" s="78" t="str">
        <f t="shared" si="4"/>
        <v>=fi27</v>
      </c>
      <c r="O10">
        <f t="shared" ref="O10" si="10">O8+1</f>
        <v>92</v>
      </c>
      <c r="P10" s="78" t="str">
        <f t="shared" si="5"/>
        <v>=gi27</v>
      </c>
    </row>
    <row r="11" spans="1:16" hidden="1" x14ac:dyDescent="0.25">
      <c r="B11" t="s">
        <v>96</v>
      </c>
      <c r="D11" t="str">
        <f t="shared" si="6"/>
        <v>aj</v>
      </c>
      <c r="F11" t="str">
        <f t="shared" si="0"/>
        <v>=bj27</v>
      </c>
      <c r="H11" t="str">
        <f t="shared" si="1"/>
        <v>=cj27</v>
      </c>
      <c r="J11" t="str">
        <f t="shared" si="2"/>
        <v>=dj27</v>
      </c>
      <c r="L11" t="str">
        <f t="shared" si="3"/>
        <v>=ej27</v>
      </c>
      <c r="N11" t="str">
        <f t="shared" si="4"/>
        <v>=fj27</v>
      </c>
      <c r="P11" t="str">
        <f t="shared" si="5"/>
        <v>=gj27</v>
      </c>
    </row>
    <row r="12" spans="1:16" x14ac:dyDescent="0.25">
      <c r="A12">
        <f>A10+1</f>
        <v>2</v>
      </c>
      <c r="B12" t="s">
        <v>97</v>
      </c>
      <c r="C12">
        <f>C10+1</f>
        <v>15</v>
      </c>
      <c r="D12" s="78" t="str">
        <f t="shared" si="6"/>
        <v>ak</v>
      </c>
      <c r="E12">
        <f>E10+1</f>
        <v>28</v>
      </c>
      <c r="F12" s="78" t="str">
        <f t="shared" si="0"/>
        <v>=bk27</v>
      </c>
      <c r="G12">
        <f>G10+1</f>
        <v>41</v>
      </c>
      <c r="H12" s="78" t="str">
        <f t="shared" si="1"/>
        <v>=ck27</v>
      </c>
      <c r="I12">
        <f>I10+1</f>
        <v>54</v>
      </c>
      <c r="J12" s="78" t="str">
        <f t="shared" si="2"/>
        <v>=dk27</v>
      </c>
      <c r="K12">
        <f>K10+1</f>
        <v>67</v>
      </c>
      <c r="L12" s="78" t="str">
        <f t="shared" si="3"/>
        <v>=ek27</v>
      </c>
      <c r="M12">
        <f>M10+1</f>
        <v>80</v>
      </c>
      <c r="N12" s="78" t="str">
        <f t="shared" si="4"/>
        <v>=fk27</v>
      </c>
      <c r="O12">
        <f>O10+1</f>
        <v>93</v>
      </c>
      <c r="P12" s="78" t="str">
        <f t="shared" si="5"/>
        <v>=gk27</v>
      </c>
    </row>
    <row r="13" spans="1:16" hidden="1" x14ac:dyDescent="0.25">
      <c r="B13" t="s">
        <v>98</v>
      </c>
      <c r="D13" t="str">
        <f t="shared" si="6"/>
        <v>al</v>
      </c>
      <c r="F13" t="str">
        <f t="shared" si="0"/>
        <v>=bl27</v>
      </c>
      <c r="H13" t="str">
        <f t="shared" si="1"/>
        <v>=cl27</v>
      </c>
      <c r="J13" t="str">
        <f t="shared" si="2"/>
        <v>=dl27</v>
      </c>
      <c r="L13" t="str">
        <f t="shared" si="3"/>
        <v>=el27</v>
      </c>
      <c r="N13" t="str">
        <f t="shared" si="4"/>
        <v>=fl27</v>
      </c>
      <c r="P13" t="str">
        <f t="shared" si="5"/>
        <v>=gl27</v>
      </c>
    </row>
    <row r="14" spans="1:16" x14ac:dyDescent="0.25">
      <c r="A14">
        <f>A12+1</f>
        <v>3</v>
      </c>
      <c r="B14" t="s">
        <v>99</v>
      </c>
      <c r="C14">
        <f>C12+1</f>
        <v>16</v>
      </c>
      <c r="D14" s="78" t="str">
        <f t="shared" si="6"/>
        <v>am</v>
      </c>
      <c r="E14">
        <f>E12+1</f>
        <v>29</v>
      </c>
      <c r="F14" s="78" t="str">
        <f t="shared" si="0"/>
        <v>=bm27</v>
      </c>
      <c r="G14">
        <f>G12+1</f>
        <v>42</v>
      </c>
      <c r="H14" s="78" t="str">
        <f t="shared" si="1"/>
        <v>=cm27</v>
      </c>
      <c r="I14">
        <f>I12+1</f>
        <v>55</v>
      </c>
      <c r="J14" s="78" t="str">
        <f t="shared" si="2"/>
        <v>=dm27</v>
      </c>
      <c r="K14">
        <f>K12+1</f>
        <v>68</v>
      </c>
      <c r="L14" s="78" t="str">
        <f t="shared" si="3"/>
        <v>=em27</v>
      </c>
      <c r="M14">
        <f>M12+1</f>
        <v>81</v>
      </c>
      <c r="N14" s="78" t="str">
        <f t="shared" si="4"/>
        <v>=fm27</v>
      </c>
      <c r="O14">
        <f>O12+1</f>
        <v>94</v>
      </c>
      <c r="P14" s="78" t="str">
        <f t="shared" si="5"/>
        <v>=gm27</v>
      </c>
    </row>
    <row r="15" spans="1:16" hidden="1" x14ac:dyDescent="0.25">
      <c r="B15" t="s">
        <v>100</v>
      </c>
      <c r="D15" t="str">
        <f t="shared" si="6"/>
        <v>an</v>
      </c>
      <c r="F15" t="str">
        <f t="shared" si="0"/>
        <v>=bn27</v>
      </c>
      <c r="H15" t="str">
        <f t="shared" si="1"/>
        <v>=cn27</v>
      </c>
      <c r="J15" t="str">
        <f t="shared" si="2"/>
        <v>=dn27</v>
      </c>
      <c r="L15" t="str">
        <f t="shared" si="3"/>
        <v>=en27</v>
      </c>
      <c r="N15" t="str">
        <f t="shared" si="4"/>
        <v>=fn27</v>
      </c>
      <c r="P15" t="str">
        <f t="shared" si="5"/>
        <v>=gn27</v>
      </c>
    </row>
    <row r="16" spans="1:16" x14ac:dyDescent="0.25">
      <c r="A16">
        <f t="shared" ref="A16" si="11">A14+1</f>
        <v>4</v>
      </c>
      <c r="B16" t="s">
        <v>101</v>
      </c>
      <c r="C16">
        <f>C14+1</f>
        <v>17</v>
      </c>
      <c r="D16" s="78" t="str">
        <f t="shared" si="6"/>
        <v>ao</v>
      </c>
      <c r="E16">
        <f>E14+1</f>
        <v>30</v>
      </c>
      <c r="F16" s="78" t="str">
        <f t="shared" si="0"/>
        <v>=bo27</v>
      </c>
      <c r="G16">
        <f>G14+1</f>
        <v>43</v>
      </c>
      <c r="H16" s="78" t="str">
        <f t="shared" si="1"/>
        <v>=co27</v>
      </c>
      <c r="I16">
        <f>I14+1</f>
        <v>56</v>
      </c>
      <c r="J16" s="78" t="str">
        <f t="shared" si="2"/>
        <v>=do27</v>
      </c>
      <c r="K16">
        <f t="shared" ref="K16:M16" si="12">K14+1</f>
        <v>69</v>
      </c>
      <c r="L16" s="78" t="str">
        <f t="shared" si="3"/>
        <v>=eo27</v>
      </c>
      <c r="M16">
        <f t="shared" si="12"/>
        <v>82</v>
      </c>
      <c r="N16" s="78" t="str">
        <f t="shared" si="4"/>
        <v>=fo27</v>
      </c>
      <c r="O16">
        <f t="shared" ref="O16" si="13">O14+1</f>
        <v>95</v>
      </c>
      <c r="P16" s="78" t="str">
        <f t="shared" si="5"/>
        <v>=go27</v>
      </c>
    </row>
    <row r="17" spans="1:16" hidden="1" x14ac:dyDescent="0.25">
      <c r="B17" t="s">
        <v>102</v>
      </c>
      <c r="D17" t="str">
        <f t="shared" si="6"/>
        <v>ap</v>
      </c>
      <c r="F17" t="str">
        <f t="shared" si="0"/>
        <v>=bp27</v>
      </c>
      <c r="H17" t="str">
        <f t="shared" si="1"/>
        <v>=cp27</v>
      </c>
      <c r="J17" t="str">
        <f t="shared" si="2"/>
        <v>=dp27</v>
      </c>
      <c r="L17" t="str">
        <f t="shared" si="3"/>
        <v>=ep27</v>
      </c>
      <c r="N17" t="str">
        <f t="shared" si="4"/>
        <v>=fp27</v>
      </c>
      <c r="P17" t="str">
        <f t="shared" si="5"/>
        <v>=gp27</v>
      </c>
    </row>
    <row r="18" spans="1:16" x14ac:dyDescent="0.25">
      <c r="A18">
        <f t="shared" ref="A18" si="14">A16+1</f>
        <v>5</v>
      </c>
      <c r="B18" t="s">
        <v>103</v>
      </c>
      <c r="C18">
        <f>C16+1</f>
        <v>18</v>
      </c>
      <c r="D18" s="78" t="str">
        <f t="shared" si="6"/>
        <v>aq</v>
      </c>
      <c r="E18">
        <f>E16+1</f>
        <v>31</v>
      </c>
      <c r="F18" s="78" t="str">
        <f t="shared" si="0"/>
        <v>=bq27</v>
      </c>
      <c r="G18">
        <f>G16+1</f>
        <v>44</v>
      </c>
      <c r="H18" s="78" t="str">
        <f t="shared" si="1"/>
        <v>=cq27</v>
      </c>
      <c r="I18">
        <f>I16+1</f>
        <v>57</v>
      </c>
      <c r="J18" s="78" t="str">
        <f t="shared" si="2"/>
        <v>=dq27</v>
      </c>
      <c r="K18">
        <f t="shared" ref="K18:M18" si="15">K16+1</f>
        <v>70</v>
      </c>
      <c r="L18" s="78" t="str">
        <f t="shared" si="3"/>
        <v>=eq27</v>
      </c>
      <c r="M18">
        <f t="shared" si="15"/>
        <v>83</v>
      </c>
      <c r="N18" s="78" t="str">
        <f t="shared" si="4"/>
        <v>=fq27</v>
      </c>
      <c r="O18">
        <f t="shared" ref="O18" si="16">O16+1</f>
        <v>96</v>
      </c>
      <c r="P18" s="78" t="str">
        <f t="shared" si="5"/>
        <v>=gq27</v>
      </c>
    </row>
    <row r="19" spans="1:16" hidden="1" x14ac:dyDescent="0.25">
      <c r="B19" t="s">
        <v>104</v>
      </c>
      <c r="D19" t="str">
        <f t="shared" si="6"/>
        <v>ar</v>
      </c>
      <c r="F19" t="str">
        <f t="shared" si="0"/>
        <v>=br27</v>
      </c>
      <c r="H19" t="str">
        <f t="shared" si="1"/>
        <v>=cr27</v>
      </c>
      <c r="J19" t="str">
        <f t="shared" si="2"/>
        <v>=dr27</v>
      </c>
      <c r="L19" t="str">
        <f t="shared" si="3"/>
        <v>=er27</v>
      </c>
      <c r="N19" t="str">
        <f t="shared" si="4"/>
        <v>=fr27</v>
      </c>
      <c r="P19" t="str">
        <f t="shared" si="5"/>
        <v>=gr27</v>
      </c>
    </row>
    <row r="20" spans="1:16" x14ac:dyDescent="0.25">
      <c r="A20">
        <f>A18+1</f>
        <v>6</v>
      </c>
      <c r="B20" t="s">
        <v>105</v>
      </c>
      <c r="C20">
        <f>C18+1</f>
        <v>19</v>
      </c>
      <c r="D20" s="78" t="str">
        <f t="shared" si="6"/>
        <v>as</v>
      </c>
      <c r="E20">
        <f>E18+1</f>
        <v>32</v>
      </c>
      <c r="F20" s="78" t="str">
        <f t="shared" si="0"/>
        <v>=bs27</v>
      </c>
      <c r="G20">
        <f>G18+1</f>
        <v>45</v>
      </c>
      <c r="H20" s="78" t="str">
        <f t="shared" si="1"/>
        <v>=cs27</v>
      </c>
      <c r="I20">
        <f>I18+1</f>
        <v>58</v>
      </c>
      <c r="J20" s="78" t="str">
        <f t="shared" si="2"/>
        <v>=ds27</v>
      </c>
      <c r="K20">
        <f>K18+1</f>
        <v>71</v>
      </c>
      <c r="L20" s="78" t="str">
        <f t="shared" si="3"/>
        <v>=es27</v>
      </c>
      <c r="M20">
        <f>M18+1</f>
        <v>84</v>
      </c>
      <c r="N20" s="78" t="str">
        <f t="shared" si="4"/>
        <v>=fs27</v>
      </c>
      <c r="O20">
        <f>O18+1</f>
        <v>97</v>
      </c>
      <c r="P20" s="78" t="str">
        <f t="shared" si="5"/>
        <v>=gs27</v>
      </c>
    </row>
    <row r="21" spans="1:16" hidden="1" x14ac:dyDescent="0.25">
      <c r="B21" t="s">
        <v>106</v>
      </c>
      <c r="D21" t="str">
        <f t="shared" si="6"/>
        <v>at</v>
      </c>
      <c r="F21" t="str">
        <f t="shared" si="0"/>
        <v>=bt27</v>
      </c>
      <c r="H21" t="str">
        <f t="shared" si="1"/>
        <v>=ct27</v>
      </c>
      <c r="J21" t="str">
        <f t="shared" si="2"/>
        <v>=dt27</v>
      </c>
      <c r="L21" t="str">
        <f t="shared" si="3"/>
        <v>=et27</v>
      </c>
      <c r="N21" t="str">
        <f t="shared" si="4"/>
        <v>=ft27</v>
      </c>
      <c r="P21" t="str">
        <f t="shared" si="5"/>
        <v>=gt27</v>
      </c>
    </row>
    <row r="22" spans="1:16" x14ac:dyDescent="0.25">
      <c r="A22">
        <f>A20+1</f>
        <v>7</v>
      </c>
      <c r="B22" t="s">
        <v>107</v>
      </c>
      <c r="C22">
        <f>C20+1</f>
        <v>20</v>
      </c>
      <c r="D22" s="78" t="str">
        <f t="shared" si="6"/>
        <v>au</v>
      </c>
      <c r="E22">
        <f>E20+1</f>
        <v>33</v>
      </c>
      <c r="F22" s="78" t="str">
        <f t="shared" si="0"/>
        <v>=bu27</v>
      </c>
      <c r="G22">
        <f>G20+1</f>
        <v>46</v>
      </c>
      <c r="H22" s="78" t="str">
        <f t="shared" si="1"/>
        <v>=cu27</v>
      </c>
      <c r="I22">
        <f>I20+1</f>
        <v>59</v>
      </c>
      <c r="J22" s="78" t="str">
        <f t="shared" si="2"/>
        <v>=du27</v>
      </c>
      <c r="K22">
        <f>K20+1</f>
        <v>72</v>
      </c>
      <c r="L22" s="78" t="str">
        <f t="shared" si="3"/>
        <v>=eu27</v>
      </c>
      <c r="M22">
        <f>M20+1</f>
        <v>85</v>
      </c>
      <c r="N22" s="78" t="str">
        <f t="shared" si="4"/>
        <v>=fu27</v>
      </c>
      <c r="O22">
        <f>O20+1</f>
        <v>98</v>
      </c>
      <c r="P22" s="78" t="str">
        <f t="shared" si="5"/>
        <v>=gu27</v>
      </c>
    </row>
    <row r="23" spans="1:16" hidden="1" x14ac:dyDescent="0.25">
      <c r="B23" t="s">
        <v>108</v>
      </c>
      <c r="D23" t="str">
        <f t="shared" si="6"/>
        <v>av</v>
      </c>
      <c r="F23" t="str">
        <f t="shared" si="0"/>
        <v>=bv27</v>
      </c>
      <c r="H23" t="str">
        <f t="shared" si="1"/>
        <v>=cv27</v>
      </c>
      <c r="J23" t="str">
        <f t="shared" si="2"/>
        <v>=dv27</v>
      </c>
      <c r="L23" t="str">
        <f t="shared" si="3"/>
        <v>=ev27</v>
      </c>
      <c r="N23" t="str">
        <f t="shared" si="4"/>
        <v>=fv27</v>
      </c>
      <c r="P23" t="str">
        <f t="shared" si="5"/>
        <v>=gv27</v>
      </c>
    </row>
    <row r="24" spans="1:16" x14ac:dyDescent="0.25">
      <c r="A24">
        <f t="shared" ref="A24" si="17">A22+1</f>
        <v>8</v>
      </c>
      <c r="B24" t="s">
        <v>109</v>
      </c>
      <c r="C24">
        <f>C22+1</f>
        <v>21</v>
      </c>
      <c r="D24" s="78" t="str">
        <f t="shared" si="6"/>
        <v>aw</v>
      </c>
      <c r="E24">
        <f>E22+1</f>
        <v>34</v>
      </c>
      <c r="F24" s="78" t="str">
        <f t="shared" si="0"/>
        <v>=bw27</v>
      </c>
      <c r="G24">
        <f>G22+1</f>
        <v>47</v>
      </c>
      <c r="H24" s="78" t="str">
        <f t="shared" si="1"/>
        <v>=cw27</v>
      </c>
      <c r="I24">
        <f>I22+1</f>
        <v>60</v>
      </c>
      <c r="J24" s="78" t="str">
        <f t="shared" si="2"/>
        <v>=dw27</v>
      </c>
      <c r="K24">
        <f t="shared" ref="K24:M24" si="18">K22+1</f>
        <v>73</v>
      </c>
      <c r="L24" s="78" t="str">
        <f t="shared" si="3"/>
        <v>=ew27</v>
      </c>
      <c r="M24">
        <f t="shared" si="18"/>
        <v>86</v>
      </c>
      <c r="N24" s="78" t="str">
        <f t="shared" si="4"/>
        <v>=fw27</v>
      </c>
      <c r="O24">
        <f t="shared" ref="O24" si="19">O22+1</f>
        <v>99</v>
      </c>
      <c r="P24" s="78" t="str">
        <f t="shared" si="5"/>
        <v>=gw27</v>
      </c>
    </row>
    <row r="25" spans="1:16" hidden="1" x14ac:dyDescent="0.25">
      <c r="B25" t="s">
        <v>110</v>
      </c>
      <c r="D25" t="str">
        <f t="shared" si="6"/>
        <v>ax</v>
      </c>
      <c r="F25" t="str">
        <f t="shared" si="0"/>
        <v>=bx27</v>
      </c>
      <c r="H25" t="str">
        <f t="shared" si="1"/>
        <v>=cx27</v>
      </c>
      <c r="J25" t="str">
        <f t="shared" si="2"/>
        <v>=dx27</v>
      </c>
      <c r="L25" t="str">
        <f t="shared" si="3"/>
        <v>=ex27</v>
      </c>
      <c r="N25" t="str">
        <f t="shared" si="4"/>
        <v>=fx27</v>
      </c>
      <c r="P25" t="str">
        <f t="shared" si="5"/>
        <v>=gx27</v>
      </c>
    </row>
    <row r="26" spans="1:16" x14ac:dyDescent="0.25">
      <c r="A26">
        <f t="shared" ref="A26" si="20">A24+1</f>
        <v>9</v>
      </c>
      <c r="B26" t="s">
        <v>111</v>
      </c>
      <c r="C26">
        <f>C24+1</f>
        <v>22</v>
      </c>
      <c r="D26" s="78" t="str">
        <f t="shared" si="6"/>
        <v>ay</v>
      </c>
      <c r="E26">
        <f>E24+1</f>
        <v>35</v>
      </c>
      <c r="F26" s="78" t="str">
        <f t="shared" si="0"/>
        <v>=by27</v>
      </c>
      <c r="G26">
        <f>G24+1</f>
        <v>48</v>
      </c>
      <c r="H26" s="78" t="str">
        <f t="shared" si="1"/>
        <v>=cy27</v>
      </c>
      <c r="I26">
        <f>I24+1</f>
        <v>61</v>
      </c>
      <c r="J26" s="78" t="str">
        <f t="shared" si="2"/>
        <v>=dy27</v>
      </c>
      <c r="K26">
        <f t="shared" ref="K26:M26" si="21">K24+1</f>
        <v>74</v>
      </c>
      <c r="L26" s="78" t="str">
        <f t="shared" si="3"/>
        <v>=ey27</v>
      </c>
      <c r="M26">
        <f t="shared" si="21"/>
        <v>87</v>
      </c>
      <c r="N26" s="78" t="str">
        <f t="shared" si="4"/>
        <v>=fy27</v>
      </c>
      <c r="O26">
        <f t="shared" ref="O26" si="22">O24+1</f>
        <v>100</v>
      </c>
      <c r="P26" s="78" t="str">
        <f t="shared" si="5"/>
        <v>=gy27</v>
      </c>
    </row>
    <row r="27" spans="1:16" hidden="1" x14ac:dyDescent="0.25">
      <c r="B27" t="s">
        <v>112</v>
      </c>
      <c r="D27" t="str">
        <f t="shared" si="6"/>
        <v>az</v>
      </c>
      <c r="F27" t="str">
        <f t="shared" si="0"/>
        <v>=bz27</v>
      </c>
      <c r="H27" t="str">
        <f t="shared" si="1"/>
        <v>=cz27</v>
      </c>
      <c r="J27" t="str">
        <f t="shared" si="2"/>
        <v>=dz27</v>
      </c>
      <c r="L27" t="str">
        <f t="shared" si="3"/>
        <v>=ez27</v>
      </c>
      <c r="N27" t="str">
        <f t="shared" si="4"/>
        <v>=fz27</v>
      </c>
      <c r="P27" t="str">
        <f t="shared" si="5"/>
        <v>=gz27</v>
      </c>
    </row>
  </sheetData>
  <autoFilter ref="A1:N27" xr:uid="{158D69E1-B38A-4447-B0C5-CD14E37BA646}">
    <filterColumn colId="12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CH64"/>
  <sheetViews>
    <sheetView showGridLines="0" topLeftCell="A40" zoomScale="55" zoomScaleNormal="55" workbookViewId="0">
      <selection activeCell="F57" sqref="F57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85" width="9.140625" style="3"/>
    <col min="86" max="86" width="3.42578125" style="3" customWidth="1"/>
    <col min="87" max="16384" width="9.140625" style="3"/>
  </cols>
  <sheetData>
    <row r="1" spans="2:86" ht="5.25" customHeight="1" x14ac:dyDescent="0.25"/>
    <row r="2" spans="2:86" ht="14.25" customHeight="1" x14ac:dyDescent="0.25">
      <c r="B2" s="111" t="s">
        <v>86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3"/>
    </row>
    <row r="3" spans="2:86" ht="10.5" customHeight="1" x14ac:dyDescent="0.25"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6"/>
    </row>
    <row r="4" spans="2:86" ht="51.75" customHeight="1" x14ac:dyDescent="0.25">
      <c r="B4" s="114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6"/>
    </row>
    <row r="5" spans="2:86" ht="49.5" customHeight="1" x14ac:dyDescent="0.25">
      <c r="B5" s="117" t="s">
        <v>83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118"/>
      <c r="BQ5" s="118"/>
      <c r="BR5" s="118"/>
      <c r="BS5" s="118"/>
      <c r="BT5" s="118"/>
      <c r="BU5" s="118"/>
      <c r="BV5" s="118"/>
      <c r="BW5" s="118"/>
      <c r="BX5" s="118"/>
      <c r="BY5" s="118"/>
      <c r="BZ5" s="118"/>
      <c r="CA5" s="118"/>
      <c r="CB5" s="118"/>
      <c r="CC5" s="118"/>
      <c r="CD5" s="118"/>
      <c r="CE5" s="118"/>
      <c r="CF5" s="118"/>
      <c r="CG5" s="118"/>
      <c r="CH5" s="119"/>
    </row>
    <row r="6" spans="2:86" ht="17.25" customHeight="1" x14ac:dyDescent="0.25">
      <c r="E6" s="5"/>
      <c r="F6" s="5"/>
    </row>
    <row r="7" spans="2:86" ht="15.75" customHeight="1" x14ac:dyDescent="0.25">
      <c r="E7" s="5"/>
      <c r="F7" s="5"/>
    </row>
    <row r="8" spans="2:86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86" ht="27" customHeight="1" x14ac:dyDescent="0.25">
      <c r="B9" s="8">
        <v>1</v>
      </c>
      <c r="C9" s="9">
        <f ca="1">'DISTRIBUIÇÃO CUSTO'!D34</f>
        <v>2.4045865350450363E-2</v>
      </c>
      <c r="D9" s="10">
        <f ca="1">C9</f>
        <v>2.4045865350450363E-2</v>
      </c>
      <c r="E9" s="11">
        <f ca="1">C9*$F$57</f>
        <v>857309.14770300733</v>
      </c>
      <c r="F9" s="11">
        <f ca="1">E9</f>
        <v>857309.14770300733</v>
      </c>
      <c r="G9" s="2"/>
    </row>
    <row r="10" spans="2:86" ht="27" customHeight="1" x14ac:dyDescent="0.25">
      <c r="B10" s="8">
        <v>2</v>
      </c>
      <c r="C10" s="9">
        <f ca="1">'DISTRIBUIÇÃO CUSTO'!D35</f>
        <v>2.7193723955008391E-2</v>
      </c>
      <c r="D10" s="10">
        <f ca="1">C10+D9</f>
        <v>5.1239589305458758E-2</v>
      </c>
      <c r="E10" s="11">
        <f ca="1">C10*$F$57</f>
        <v>969540.00061812927</v>
      </c>
      <c r="F10" s="11">
        <f ca="1">F9+E10</f>
        <v>1826849.1483211366</v>
      </c>
      <c r="G10" s="2"/>
    </row>
    <row r="11" spans="2:86" ht="27" customHeight="1" x14ac:dyDescent="0.25">
      <c r="B11" s="8">
        <v>3</v>
      </c>
      <c r="C11" s="9">
        <f ca="1">'DISTRIBUIÇÃO CUSTO'!D36</f>
        <v>2.7193723955008391E-2</v>
      </c>
      <c r="D11" s="10">
        <f t="shared" ref="D11:D55" ca="1" si="0">C11+D10</f>
        <v>7.8433313260467152E-2</v>
      </c>
      <c r="E11" s="11">
        <f ca="1">C11*$F$57</f>
        <v>969540.00061812927</v>
      </c>
      <c r="F11" s="11">
        <f ca="1">F10+E11</f>
        <v>2796389.1489392659</v>
      </c>
      <c r="G11" s="2"/>
    </row>
    <row r="12" spans="2:86" ht="27" customHeight="1" x14ac:dyDescent="0.25">
      <c r="B12" s="8">
        <v>4</v>
      </c>
      <c r="C12" s="9">
        <f ca="1">'DISTRIBUIÇÃO CUSTO'!D37</f>
        <v>2.4996612895816187E-2</v>
      </c>
      <c r="D12" s="10">
        <f t="shared" ca="1" si="0"/>
        <v>0.10342992615628334</v>
      </c>
      <c r="E12" s="11">
        <f ca="1">C12*$F$57</f>
        <v>891206.2254716407</v>
      </c>
      <c r="F12" s="11">
        <f t="shared" ref="F12:F55" ca="1" si="1">F11+E12</f>
        <v>3687595.3744109068</v>
      </c>
      <c r="G12" s="2"/>
    </row>
    <row r="13" spans="2:86" ht="27" customHeight="1" x14ac:dyDescent="0.25">
      <c r="B13" s="8">
        <v>5</v>
      </c>
      <c r="C13" s="9">
        <f ca="1">'DISTRIBUIÇÃO CUSTO'!D38</f>
        <v>2.4996612895816187E-2</v>
      </c>
      <c r="D13" s="10">
        <f t="shared" ca="1" si="0"/>
        <v>0.12842653905209953</v>
      </c>
      <c r="E13" s="11">
        <f ca="1">C13*$F$57</f>
        <v>891206.2254716407</v>
      </c>
      <c r="F13" s="11">
        <f t="shared" ca="1" si="1"/>
        <v>4578801.5998825477</v>
      </c>
      <c r="G13" s="2"/>
    </row>
    <row r="14" spans="2:86" ht="27" customHeight="1" x14ac:dyDescent="0.25">
      <c r="B14" s="8">
        <v>6</v>
      </c>
      <c r="C14" s="9">
        <f ca="1">'DISTRIBUIÇÃO CUSTO'!D39</f>
        <v>2.4996612895816187E-2</v>
      </c>
      <c r="D14" s="10">
        <f t="shared" ca="1" si="0"/>
        <v>0.15342315194791573</v>
      </c>
      <c r="E14" s="11">
        <f ca="1">C14*$F$57</f>
        <v>891206.2254716407</v>
      </c>
      <c r="F14" s="11">
        <f t="shared" ca="1" si="1"/>
        <v>5470007.8253541887</v>
      </c>
      <c r="G14" s="2"/>
    </row>
    <row r="15" spans="2:86" ht="27" customHeight="1" x14ac:dyDescent="0.25">
      <c r="B15" s="8">
        <v>7</v>
      </c>
      <c r="C15" s="9">
        <f ca="1">'DISTRIBUIÇÃO CUSTO'!D40</f>
        <v>1.8137736333725833E-2</v>
      </c>
      <c r="D15" s="10">
        <f t="shared" ca="1" si="0"/>
        <v>0.17156088828164157</v>
      </c>
      <c r="E15" s="11">
        <f ca="1">C15*$F$57</f>
        <v>646666.15448868135</v>
      </c>
      <c r="F15" s="11">
        <f t="shared" ca="1" si="1"/>
        <v>6116673.9798428696</v>
      </c>
      <c r="G15" s="2"/>
    </row>
    <row r="16" spans="2:86" ht="27" customHeight="1" x14ac:dyDescent="0.25">
      <c r="B16" s="8">
        <v>8</v>
      </c>
      <c r="C16" s="9">
        <f ca="1">'DISTRIBUIÇÃO CUSTO'!D41</f>
        <v>1.8137736333725833E-2</v>
      </c>
      <c r="D16" s="10">
        <f t="shared" ca="1" si="0"/>
        <v>0.18969862461536741</v>
      </c>
      <c r="E16" s="11">
        <f ca="1">C16*$F$57</f>
        <v>646666.15448868135</v>
      </c>
      <c r="F16" s="11">
        <f t="shared" ca="1" si="1"/>
        <v>6763340.1343315504</v>
      </c>
      <c r="G16" s="2"/>
    </row>
    <row r="17" spans="2:7" ht="27" customHeight="1" x14ac:dyDescent="0.25">
      <c r="B17" s="8">
        <v>9</v>
      </c>
      <c r="C17" s="9">
        <f ca="1">'DISTRIBUIÇÃO CUSTO'!D42</f>
        <v>1.8137736333725833E-2</v>
      </c>
      <c r="D17" s="10">
        <f t="shared" ca="1" si="0"/>
        <v>0.20783636094909325</v>
      </c>
      <c r="E17" s="11">
        <f ca="1">C17*$F$57</f>
        <v>646666.15448868135</v>
      </c>
      <c r="F17" s="11">
        <f t="shared" ca="1" si="1"/>
        <v>7410006.2888202313</v>
      </c>
      <c r="G17" s="2"/>
    </row>
    <row r="18" spans="2:7" ht="27" customHeight="1" x14ac:dyDescent="0.25">
      <c r="B18" s="8">
        <v>10</v>
      </c>
      <c r="C18" s="9">
        <f ca="1">'DISTRIBUIÇÃO CUSTO'!D43</f>
        <v>1.4842125021368733E-2</v>
      </c>
      <c r="D18" s="10">
        <f t="shared" ca="1" si="0"/>
        <v>0.22267848597046197</v>
      </c>
      <c r="E18" s="11">
        <f ca="1">C18*$F$57</f>
        <v>529167.46254394168</v>
      </c>
      <c r="F18" s="11">
        <f t="shared" ca="1" si="1"/>
        <v>7939173.7513641734</v>
      </c>
      <c r="G18" s="2"/>
    </row>
    <row r="19" spans="2:7" ht="27" customHeight="1" x14ac:dyDescent="0.25">
      <c r="B19" s="8">
        <v>11</v>
      </c>
      <c r="C19" s="9">
        <f ca="1">'DISTRIBUIÇÃO CUSTO'!D44</f>
        <v>1.4842125021368733E-2</v>
      </c>
      <c r="D19" s="10">
        <f t="shared" ca="1" si="0"/>
        <v>0.23752061099183069</v>
      </c>
      <c r="E19" s="11">
        <f ca="1">C19*$F$57</f>
        <v>529167.46254394168</v>
      </c>
      <c r="F19" s="11">
        <f t="shared" ca="1" si="1"/>
        <v>8468341.2139081154</v>
      </c>
      <c r="G19" s="2"/>
    </row>
    <row r="20" spans="2:7" ht="27" customHeight="1" x14ac:dyDescent="0.25">
      <c r="B20" s="8">
        <v>12</v>
      </c>
      <c r="C20" s="9">
        <f ca="1">'DISTRIBUIÇÃO CUSTO'!D45</f>
        <v>1.4842125021368733E-2</v>
      </c>
      <c r="D20" s="10">
        <f t="shared" ca="1" si="0"/>
        <v>0.25236273601319942</v>
      </c>
      <c r="E20" s="11">
        <f ca="1">C20*$F$57</f>
        <v>529167.46254394168</v>
      </c>
      <c r="F20" s="11">
        <f t="shared" ca="1" si="1"/>
        <v>8997508.6764520574</v>
      </c>
      <c r="G20" s="2"/>
    </row>
    <row r="21" spans="2:7" ht="27" customHeight="1" x14ac:dyDescent="0.25">
      <c r="B21" s="8">
        <v>13</v>
      </c>
      <c r="C21" s="9">
        <f ca="1">'DISTRIBUIÇÃO CUSTO'!D46</f>
        <v>2.0826767010198689E-2</v>
      </c>
      <c r="D21" s="10">
        <f t="shared" ca="1" si="0"/>
        <v>0.27318950302339812</v>
      </c>
      <c r="E21" s="11">
        <f ca="1">C21*$F$57</f>
        <v>742538.37883144163</v>
      </c>
      <c r="F21" s="11">
        <f t="shared" ca="1" si="1"/>
        <v>9740047.0552834999</v>
      </c>
      <c r="G21" s="2"/>
    </row>
    <row r="22" spans="2:7" ht="27" customHeight="1" x14ac:dyDescent="0.25">
      <c r="B22" s="8">
        <v>14</v>
      </c>
      <c r="C22" s="9">
        <f ca="1">'DISTRIBUIÇÃO CUSTO'!D47</f>
        <v>2.0826767010198689E-2</v>
      </c>
      <c r="D22" s="10">
        <f t="shared" ca="1" si="0"/>
        <v>0.29401627003359682</v>
      </c>
      <c r="E22" s="11">
        <f ca="1">C22*$F$57</f>
        <v>742538.37883144163</v>
      </c>
      <c r="F22" s="11">
        <f t="shared" ca="1" si="1"/>
        <v>10482585.434114942</v>
      </c>
      <c r="G22" s="2"/>
    </row>
    <row r="23" spans="2:7" ht="27" customHeight="1" x14ac:dyDescent="0.25">
      <c r="B23" s="8">
        <v>15</v>
      </c>
      <c r="C23" s="9">
        <f ca="1">'DISTRIBUIÇÃO CUSTO'!D48</f>
        <v>2.0826767010198689E-2</v>
      </c>
      <c r="D23" s="10">
        <f t="shared" ca="1" si="0"/>
        <v>0.31484303704379552</v>
      </c>
      <c r="E23" s="11">
        <f ca="1">C23*$F$57</f>
        <v>742538.37883144163</v>
      </c>
      <c r="F23" s="11">
        <f t="shared" ca="1" si="1"/>
        <v>11225123.812946385</v>
      </c>
      <c r="G23" s="2"/>
    </row>
    <row r="24" spans="2:7" ht="27" customHeight="1" x14ac:dyDescent="0.25">
      <c r="B24" s="8">
        <v>16</v>
      </c>
      <c r="C24" s="9">
        <f ca="1">'DISTRIBUIÇÃO CUSTO'!D49</f>
        <v>2.0826767010198689E-2</v>
      </c>
      <c r="D24" s="10">
        <f t="shared" ca="1" si="0"/>
        <v>0.33566980405399421</v>
      </c>
      <c r="E24" s="11">
        <f ca="1">C24*$F$57</f>
        <v>742538.37883144163</v>
      </c>
      <c r="F24" s="11">
        <f t="shared" ca="1" si="1"/>
        <v>11967662.191777827</v>
      </c>
      <c r="G24" s="2"/>
    </row>
    <row r="25" spans="2:7" ht="27" customHeight="1" x14ac:dyDescent="0.25">
      <c r="B25" s="8">
        <v>17</v>
      </c>
      <c r="C25" s="9">
        <f ca="1">'DISTRIBUIÇÃO CUSTO'!D50</f>
        <v>2.2008410756934313E-2</v>
      </c>
      <c r="D25" s="10">
        <f t="shared" ca="1" si="0"/>
        <v>0.35767821481092854</v>
      </c>
      <c r="E25" s="11">
        <f ca="1">C25*$F$57</f>
        <v>784667.61721144174</v>
      </c>
      <c r="F25" s="11">
        <f t="shared" ca="1" si="1"/>
        <v>12752329.80898927</v>
      </c>
      <c r="G25" s="2"/>
    </row>
    <row r="26" spans="2:7" ht="27" customHeight="1" x14ac:dyDescent="0.25">
      <c r="B26" s="8">
        <v>18</v>
      </c>
      <c r="C26" s="9">
        <f ca="1">'DISTRIBUIÇÃO CUSTO'!D51</f>
        <v>2.2008410756934313E-2</v>
      </c>
      <c r="D26" s="10">
        <f t="shared" ca="1" si="0"/>
        <v>0.37968662556786287</v>
      </c>
      <c r="E26" s="11">
        <f ca="1">C26*$F$57</f>
        <v>784667.61721144174</v>
      </c>
      <c r="F26" s="11">
        <f t="shared" ca="1" si="1"/>
        <v>13536997.426200712</v>
      </c>
      <c r="G26" s="2"/>
    </row>
    <row r="27" spans="2:7" ht="27" customHeight="1" x14ac:dyDescent="0.25">
      <c r="B27" s="8">
        <v>19</v>
      </c>
      <c r="C27" s="9">
        <f ca="1">'DISTRIBUIÇÃO CUSTO'!D52</f>
        <v>2.2008410756934313E-2</v>
      </c>
      <c r="D27" s="10">
        <f t="shared" ca="1" si="0"/>
        <v>0.40169503632479719</v>
      </c>
      <c r="E27" s="11">
        <f ca="1">C27*$F$57</f>
        <v>784667.61721144174</v>
      </c>
      <c r="F27" s="11">
        <f ca="1">F26+E27</f>
        <v>14321665.043412155</v>
      </c>
      <c r="G27" s="2"/>
    </row>
    <row r="28" spans="2:7" ht="27" customHeight="1" x14ac:dyDescent="0.25">
      <c r="B28" s="8">
        <v>20</v>
      </c>
      <c r="C28" s="9">
        <f ca="1">'DISTRIBUIÇÃO CUSTO'!D53</f>
        <v>2.2008410756934313E-2</v>
      </c>
      <c r="D28" s="10">
        <f t="shared" ca="1" si="0"/>
        <v>0.42370344708173152</v>
      </c>
      <c r="E28" s="11">
        <f ca="1">C28*$F$57</f>
        <v>784667.61721144174</v>
      </c>
      <c r="F28" s="11">
        <f t="shared" ca="1" si="1"/>
        <v>15106332.660623597</v>
      </c>
      <c r="G28" s="2"/>
    </row>
    <row r="29" spans="2:7" ht="27" customHeight="1" x14ac:dyDescent="0.25">
      <c r="B29" s="8">
        <v>21</v>
      </c>
      <c r="C29" s="9">
        <f ca="1">'DISTRIBUIÇÃO CUSTO'!D54</f>
        <v>2.4020199752219296E-2</v>
      </c>
      <c r="D29" s="10">
        <f t="shared" ca="1" si="0"/>
        <v>0.44772364683395083</v>
      </c>
      <c r="E29" s="11">
        <f ca="1">C29*$F$57</f>
        <v>856394.09009022941</v>
      </c>
      <c r="F29" s="11">
        <f t="shared" ca="1" si="1"/>
        <v>15962726.750713827</v>
      </c>
      <c r="G29" s="2"/>
    </row>
    <row r="30" spans="2:7" ht="27" customHeight="1" x14ac:dyDescent="0.25">
      <c r="B30" s="8">
        <v>22</v>
      </c>
      <c r="C30" s="9">
        <f ca="1">'DISTRIBUIÇÃO CUSTO'!D55</f>
        <v>2.4020199752219296E-2</v>
      </c>
      <c r="D30" s="10">
        <f t="shared" ca="1" si="0"/>
        <v>0.47174384658617013</v>
      </c>
      <c r="E30" s="11">
        <f ca="1">C30*$F$57</f>
        <v>856394.09009022941</v>
      </c>
      <c r="F30" s="11">
        <f t="shared" ca="1" si="1"/>
        <v>16819120.840804055</v>
      </c>
      <c r="G30" s="2"/>
    </row>
    <row r="31" spans="2:7" ht="27" customHeight="1" x14ac:dyDescent="0.25">
      <c r="B31" s="8">
        <v>23</v>
      </c>
      <c r="C31" s="9">
        <f ca="1">'DISTRIBUIÇÃO CUSTO'!D56</f>
        <v>2.4856617352662466E-2</v>
      </c>
      <c r="D31" s="10">
        <f t="shared" ca="1" si="0"/>
        <v>0.49660046393883261</v>
      </c>
      <c r="E31" s="11">
        <f ca="1">C31*$F$57</f>
        <v>886214.95324940444</v>
      </c>
      <c r="F31" s="11">
        <f t="shared" ca="1" si="1"/>
        <v>17705335.794053461</v>
      </c>
      <c r="G31" s="2"/>
    </row>
    <row r="32" spans="2:7" ht="27" customHeight="1" x14ac:dyDescent="0.25">
      <c r="B32" s="8">
        <v>24</v>
      </c>
      <c r="C32" s="9">
        <f ca="1">'DISTRIBUIÇÃO CUSTO'!D57</f>
        <v>2.9722164678433565E-2</v>
      </c>
      <c r="D32" s="10">
        <f t="shared" ca="1" si="0"/>
        <v>0.5263226286172662</v>
      </c>
      <c r="E32" s="11">
        <f ca="1">C32*$F$57</f>
        <v>1059686.6986065472</v>
      </c>
      <c r="F32" s="11">
        <f t="shared" ca="1" si="1"/>
        <v>18765022.492660008</v>
      </c>
      <c r="G32" s="2"/>
    </row>
    <row r="33" spans="2:7" ht="27" customHeight="1" x14ac:dyDescent="0.25">
      <c r="B33" s="8">
        <v>25</v>
      </c>
      <c r="C33" s="9">
        <f ca="1">'DISTRIBUIÇÃO CUSTO'!D58</f>
        <v>2.9722164678433565E-2</v>
      </c>
      <c r="D33" s="10">
        <f t="shared" ca="1" si="0"/>
        <v>0.55604479329569978</v>
      </c>
      <c r="E33" s="11">
        <f ca="1">C33*$F$57</f>
        <v>1059686.6986065472</v>
      </c>
      <c r="F33" s="11">
        <f t="shared" ca="1" si="1"/>
        <v>19824709.191266555</v>
      </c>
      <c r="G33" s="2"/>
    </row>
    <row r="34" spans="2:7" ht="27" customHeight="1" x14ac:dyDescent="0.25">
      <c r="B34" s="8">
        <v>26</v>
      </c>
      <c r="C34" s="9">
        <f ca="1">'DISTRIBUIÇÃO CUSTO'!D59</f>
        <v>2.2237989792925555E-2</v>
      </c>
      <c r="D34" s="10">
        <f t="shared" ca="1" si="0"/>
        <v>0.57828278308862535</v>
      </c>
      <c r="E34" s="11">
        <f ca="1">C34*$F$57</f>
        <v>792852.81682092231</v>
      </c>
      <c r="F34" s="11">
        <f t="shared" ca="1" si="1"/>
        <v>20617562.008087479</v>
      </c>
      <c r="G34" s="2"/>
    </row>
    <row r="35" spans="2:7" ht="27" customHeight="1" x14ac:dyDescent="0.25">
      <c r="B35" s="8">
        <v>27</v>
      </c>
      <c r="C35" s="9">
        <f ca="1">'DISTRIBUIÇÃO CUSTO'!D60</f>
        <v>2.3092892486878749E-2</v>
      </c>
      <c r="D35" s="10">
        <f t="shared" ca="1" si="0"/>
        <v>0.60137567557550409</v>
      </c>
      <c r="E35" s="11">
        <f ca="1">C35*$F$57</f>
        <v>823332.73048758903</v>
      </c>
      <c r="F35" s="11">
        <f t="shared" ca="1" si="1"/>
        <v>21440894.738575067</v>
      </c>
      <c r="G35" s="2"/>
    </row>
    <row r="36" spans="2:7" ht="27" customHeight="1" x14ac:dyDescent="0.25">
      <c r="B36" s="8">
        <v>28</v>
      </c>
      <c r="C36" s="9">
        <f ca="1">'DISTRIBUIÇÃO CUSTO'!D61</f>
        <v>2.3092892486878749E-2</v>
      </c>
      <c r="D36" s="10">
        <f t="shared" ca="1" si="0"/>
        <v>0.62446856806238282</v>
      </c>
      <c r="E36" s="11">
        <f ca="1">C36*$F$57</f>
        <v>823332.73048758903</v>
      </c>
      <c r="F36" s="11">
        <f t="shared" ca="1" si="1"/>
        <v>22264227.469062656</v>
      </c>
      <c r="G36" s="2"/>
    </row>
    <row r="37" spans="2:7" ht="27" customHeight="1" x14ac:dyDescent="0.25">
      <c r="B37" s="8">
        <v>29</v>
      </c>
      <c r="C37" s="9">
        <f ca="1">'DISTRIBUIÇÃO CUSTO'!D62</f>
        <v>2.6889602996538801E-2</v>
      </c>
      <c r="D37" s="10">
        <f t="shared" ca="1" si="0"/>
        <v>0.65135817105892158</v>
      </c>
      <c r="E37" s="11">
        <f ca="1">C37*$F$57</f>
        <v>958697.15192442224</v>
      </c>
      <c r="F37" s="11">
        <f t="shared" ca="1" si="1"/>
        <v>23222924.62098708</v>
      </c>
      <c r="G37" s="2"/>
    </row>
    <row r="38" spans="2:7" ht="27" customHeight="1" x14ac:dyDescent="0.25">
      <c r="B38" s="8">
        <v>30</v>
      </c>
      <c r="C38" s="9">
        <f ca="1">'DISTRIBUIÇÃO CUSTO'!D63</f>
        <v>2.6889602996538801E-2</v>
      </c>
      <c r="D38" s="10">
        <f t="shared" ca="1" si="0"/>
        <v>0.67824777405546033</v>
      </c>
      <c r="E38" s="11">
        <f ca="1">C38*$F$57</f>
        <v>958697.15192442224</v>
      </c>
      <c r="F38" s="11">
        <f t="shared" ca="1" si="1"/>
        <v>24181621.772911504</v>
      </c>
      <c r="G38" s="2"/>
    </row>
    <row r="39" spans="2:7" ht="27" customHeight="1" x14ac:dyDescent="0.25">
      <c r="B39" s="8">
        <v>31</v>
      </c>
      <c r="C39" s="9">
        <f ca="1">'DISTRIBUIÇÃO CUSTO'!D64</f>
        <v>2.6889602996538801E-2</v>
      </c>
      <c r="D39" s="10">
        <f t="shared" ca="1" si="0"/>
        <v>0.70513737705199908</v>
      </c>
      <c r="E39" s="11">
        <f ca="1">C39*$F$57</f>
        <v>958697.15192442224</v>
      </c>
      <c r="F39" s="11">
        <f t="shared" ca="1" si="1"/>
        <v>25140318.924835928</v>
      </c>
      <c r="G39" s="2"/>
    </row>
    <row r="40" spans="2:7" ht="27" customHeight="1" x14ac:dyDescent="0.25">
      <c r="B40" s="8">
        <v>32</v>
      </c>
      <c r="C40" s="9">
        <f ca="1">'DISTRIBUIÇÃO CUSTO'!D65</f>
        <v>2.5707959249803177E-2</v>
      </c>
      <c r="D40" s="10">
        <f t="shared" ca="1" si="0"/>
        <v>0.73084533630180226</v>
      </c>
      <c r="E40" s="11">
        <f ca="1">C40*$F$57</f>
        <v>916567.91354442225</v>
      </c>
      <c r="F40" s="11">
        <f t="shared" ca="1" si="1"/>
        <v>26056886.838380352</v>
      </c>
      <c r="G40" s="2"/>
    </row>
    <row r="41" spans="2:7" ht="27" customHeight="1" x14ac:dyDescent="0.25">
      <c r="B41" s="8">
        <v>33</v>
      </c>
      <c r="C41" s="9">
        <f ca="1">'DISTRIBUIÇÃO CUSTO'!D66</f>
        <v>2.7231793528045924E-2</v>
      </c>
      <c r="D41" s="10">
        <f t="shared" ca="1" si="0"/>
        <v>0.75807712982984821</v>
      </c>
      <c r="E41" s="11">
        <f ca="1">C41*$F$57</f>
        <v>970897.29813013645</v>
      </c>
      <c r="F41" s="11">
        <f t="shared" ca="1" si="1"/>
        <v>27027784.136510488</v>
      </c>
      <c r="G41" s="2"/>
    </row>
    <row r="42" spans="2:7" ht="27" customHeight="1" x14ac:dyDescent="0.25">
      <c r="B42" s="8">
        <v>34</v>
      </c>
      <c r="C42" s="9">
        <f ca="1">'DISTRIBUIÇÃO CUSTO'!D67</f>
        <v>2.7231793528045924E-2</v>
      </c>
      <c r="D42" s="10">
        <f t="shared" ca="1" si="0"/>
        <v>0.78530892335789415</v>
      </c>
      <c r="E42" s="11">
        <f ca="1">C42*$F$57</f>
        <v>970897.29813013645</v>
      </c>
      <c r="F42" s="11">
        <f t="shared" ca="1" si="1"/>
        <v>27998681.434640624</v>
      </c>
      <c r="G42" s="2"/>
    </row>
    <row r="43" spans="2:7" ht="27" customHeight="1" x14ac:dyDescent="0.25">
      <c r="B43" s="8">
        <v>35</v>
      </c>
      <c r="C43" s="9">
        <f ca="1">'DISTRIBUIÇÃO CUSTO'!D68</f>
        <v>2.6395375927602754E-2</v>
      </c>
      <c r="D43" s="10">
        <f t="shared" ca="1" si="0"/>
        <v>0.81170429928549692</v>
      </c>
      <c r="E43" s="11">
        <f ca="1">C43*$F$57</f>
        <v>941076.43497096142</v>
      </c>
      <c r="F43" s="11">
        <f t="shared" ca="1" si="1"/>
        <v>28939757.869611584</v>
      </c>
      <c r="G43" s="2"/>
    </row>
    <row r="44" spans="2:7" ht="27" customHeight="1" x14ac:dyDescent="0.25">
      <c r="B44" s="8">
        <v>36</v>
      </c>
      <c r="C44" s="9">
        <f ca="1">'DISTRIBUIÇÃO CUSTO'!D69</f>
        <v>2.6395375927602754E-2</v>
      </c>
      <c r="D44" s="10">
        <f t="shared" ca="1" si="0"/>
        <v>0.83809967521309969</v>
      </c>
      <c r="E44" s="11">
        <f ca="1">C44*$F$57</f>
        <v>941076.43497096142</v>
      </c>
      <c r="F44" s="11">
        <f t="shared" ca="1" si="1"/>
        <v>29880834.304582544</v>
      </c>
      <c r="G44" s="2"/>
    </row>
    <row r="45" spans="2:7" ht="27" customHeight="1" x14ac:dyDescent="0.25">
      <c r="B45" s="8">
        <v>37</v>
      </c>
      <c r="C45" s="9">
        <f ca="1">'DISTRIBUIÇÃO CUSTO'!D70</f>
        <v>2.3153875202596926E-2</v>
      </c>
      <c r="D45" s="10">
        <f t="shared" ca="1" si="0"/>
        <v>0.86125355041569662</v>
      </c>
      <c r="E45" s="11">
        <f ca="1">C45*$F$57</f>
        <v>825506.95209596143</v>
      </c>
      <c r="F45" s="11">
        <f t="shared" ca="1" si="1"/>
        <v>30706341.256678507</v>
      </c>
      <c r="G45" s="2"/>
    </row>
    <row r="46" spans="2:7" ht="27" customHeight="1" x14ac:dyDescent="0.25">
      <c r="B46" s="8">
        <v>38</v>
      </c>
      <c r="C46" s="9">
        <f ca="1">'DISTRIBUIÇÃO CUSTO'!D71</f>
        <v>1.8288327876825827E-2</v>
      </c>
      <c r="D46" s="10">
        <f t="shared" ca="1" si="0"/>
        <v>0.87954187829252239</v>
      </c>
      <c r="E46" s="11">
        <f ca="1">C46*$F$57</f>
        <v>652035.20673881867</v>
      </c>
      <c r="F46" s="11">
        <f t="shared" ca="1" si="1"/>
        <v>31358376.463417325</v>
      </c>
      <c r="G46" s="2"/>
    </row>
    <row r="47" spans="2:7" ht="27" customHeight="1" x14ac:dyDescent="0.25">
      <c r="B47" s="8">
        <v>39</v>
      </c>
      <c r="C47" s="9">
        <f ca="1">'DISTRIBUIÇÃO CUSTO'!D72</f>
        <v>1.7433425182872629E-2</v>
      </c>
      <c r="D47" s="10">
        <f t="shared" ca="1" si="0"/>
        <v>0.896975303475395</v>
      </c>
      <c r="E47" s="11">
        <f ca="1">C47*$F$57</f>
        <v>621555.29307215195</v>
      </c>
      <c r="F47" s="11">
        <f t="shared" ca="1" si="1"/>
        <v>31979931.756489478</v>
      </c>
      <c r="G47" s="2"/>
    </row>
    <row r="48" spans="2:7" ht="27" customHeight="1" x14ac:dyDescent="0.25">
      <c r="B48" s="8">
        <v>40</v>
      </c>
      <c r="C48" s="9">
        <f ca="1">'DISTRIBUIÇÃO CUSTO'!D73</f>
        <v>1.7433425182872629E-2</v>
      </c>
      <c r="D48" s="10">
        <f t="shared" ca="1" si="0"/>
        <v>0.91440872865826761</v>
      </c>
      <c r="E48" s="11">
        <f ca="1">C48*$F$57</f>
        <v>621555.29307215195</v>
      </c>
      <c r="F48" s="11">
        <f t="shared" ca="1" si="1"/>
        <v>32601487.049561631</v>
      </c>
      <c r="G48" s="2"/>
    </row>
    <row r="49" spans="2:86" ht="27" customHeight="1" x14ac:dyDescent="0.25">
      <c r="B49" s="8">
        <v>41</v>
      </c>
      <c r="C49" s="9">
        <f ca="1">'DISTRIBUIÇÃO CUSTO'!D74</f>
        <v>1.3184491852255592E-2</v>
      </c>
      <c r="D49" s="10">
        <f t="shared" ca="1" si="0"/>
        <v>0.92759322051052318</v>
      </c>
      <c r="E49" s="11">
        <f ca="1">C49*$F$57</f>
        <v>470067.73547215201</v>
      </c>
      <c r="F49" s="11">
        <f t="shared" ca="1" si="1"/>
        <v>33071554.785033785</v>
      </c>
      <c r="G49" s="2"/>
    </row>
    <row r="50" spans="2:86" ht="27" customHeight="1" x14ac:dyDescent="0.25">
      <c r="B50" s="8">
        <v>42</v>
      </c>
      <c r="C50" s="9">
        <f ca="1">'DISTRIBUIÇÃO CUSTO'!D75</f>
        <v>1.3184491852255592E-2</v>
      </c>
      <c r="D50" s="10">
        <f t="shared" ca="1" si="0"/>
        <v>0.94077771236277874</v>
      </c>
      <c r="E50" s="11">
        <f ca="1">C50*$F$57</f>
        <v>470067.73547215201</v>
      </c>
      <c r="F50" s="11">
        <f t="shared" ca="1" si="1"/>
        <v>33541622.520505935</v>
      </c>
      <c r="G50" s="2"/>
    </row>
    <row r="51" spans="2:86" ht="27" customHeight="1" x14ac:dyDescent="0.25">
      <c r="B51" s="8">
        <v>43</v>
      </c>
      <c r="C51" s="9">
        <f ca="1">'DISTRIBUIÇÃO CUSTO'!D76</f>
        <v>1.2287424734673745E-2</v>
      </c>
      <c r="D51" s="10">
        <f t="shared" ca="1" si="0"/>
        <v>0.95306513709745244</v>
      </c>
      <c r="E51" s="11">
        <f ca="1">C51*$F$57</f>
        <v>438084.53026003088</v>
      </c>
      <c r="F51" s="11">
        <f t="shared" ca="1" si="1"/>
        <v>33979707.050765969</v>
      </c>
      <c r="G51" s="2"/>
    </row>
    <row r="52" spans="2:86" ht="27" customHeight="1" x14ac:dyDescent="0.25">
      <c r="B52" s="8">
        <v>44</v>
      </c>
      <c r="C52" s="9">
        <f ca="1">'DISTRIBUIÇÃO CUSTO'!D77</f>
        <v>9.9965062918066037E-3</v>
      </c>
      <c r="D52" s="10">
        <f t="shared" ca="1" si="0"/>
        <v>0.96306164338925904</v>
      </c>
      <c r="E52" s="11">
        <f ca="1">C52*$F$57</f>
        <v>356406.23301069753</v>
      </c>
      <c r="F52" s="11">
        <f t="shared" ca="1" si="1"/>
        <v>34336113.283776663</v>
      </c>
      <c r="G52" s="2"/>
    </row>
    <row r="53" spans="2:86" ht="27" customHeight="1" x14ac:dyDescent="0.25">
      <c r="B53" s="8">
        <v>45</v>
      </c>
      <c r="C53" s="9">
        <f ca="1">'DISTRIBUIÇÃO CUSTO'!D78</f>
        <v>9.9965062918066037E-3</v>
      </c>
      <c r="D53" s="10">
        <f t="shared" ca="1" si="0"/>
        <v>0.97305814968106563</v>
      </c>
      <c r="E53" s="11">
        <f ca="1">C53*$F$57</f>
        <v>356406.23301069753</v>
      </c>
      <c r="F53" s="11">
        <f t="shared" ca="1" si="1"/>
        <v>34692519.516787358</v>
      </c>
      <c r="G53" s="2"/>
    </row>
    <row r="54" spans="2:86" ht="27" customHeight="1" x14ac:dyDescent="0.25">
      <c r="B54" s="8">
        <v>46</v>
      </c>
      <c r="C54" s="9">
        <f ca="1">'DISTRIBUIÇÃO CUSTO'!D79</f>
        <v>9.9965062918066037E-3</v>
      </c>
      <c r="D54" s="10">
        <f t="shared" ca="1" si="0"/>
        <v>0.98305465597287223</v>
      </c>
      <c r="E54" s="11">
        <f ca="1">C54*$F$57</f>
        <v>356406.23301069753</v>
      </c>
      <c r="F54" s="11">
        <f t="shared" ca="1" si="1"/>
        <v>35048925.749798052</v>
      </c>
      <c r="G54" s="2"/>
    </row>
    <row r="55" spans="2:86" ht="27" customHeight="1" x14ac:dyDescent="0.25">
      <c r="B55" s="8">
        <v>47</v>
      </c>
      <c r="C55" s="9">
        <f ca="1">'DISTRIBUIÇÃO CUSTO'!D80</f>
        <v>8.4726720135638537E-3</v>
      </c>
      <c r="D55" s="10">
        <f t="shared" ca="1" si="0"/>
        <v>0.99152732798643606</v>
      </c>
      <c r="E55" s="11">
        <f ca="1">C55*$F$57</f>
        <v>302076.84842498321</v>
      </c>
      <c r="F55" s="11">
        <f t="shared" ca="1" si="1"/>
        <v>35351002.598223038</v>
      </c>
      <c r="G55" s="2"/>
    </row>
    <row r="56" spans="2:86" ht="28.5" customHeight="1" x14ac:dyDescent="0.25">
      <c r="B56" s="8">
        <v>48</v>
      </c>
      <c r="C56" s="9">
        <f ca="1">'DISTRIBUIÇÃO CUSTO'!D81</f>
        <v>8.4726720135638537E-3</v>
      </c>
      <c r="D56" s="10">
        <f t="shared" ref="D56" ca="1" si="2">C56+D55</f>
        <v>0.99999999999999989</v>
      </c>
      <c r="E56" s="11">
        <f ca="1">C56*$F$57</f>
        <v>302076.84842498321</v>
      </c>
      <c r="F56" s="12">
        <f ca="1">F55+E56</f>
        <v>35653079.446648024</v>
      </c>
    </row>
    <row r="57" spans="2:86" ht="27" customHeight="1" x14ac:dyDescent="0.25">
      <c r="B57" s="13"/>
      <c r="C57" s="14"/>
      <c r="D57" s="15"/>
      <c r="E57" s="16" t="s">
        <v>45</v>
      </c>
      <c r="F57" s="12">
        <f ca="1">'DISTRIBUIÇÃO CUSTO'!C28</f>
        <v>35653079.446648009</v>
      </c>
    </row>
    <row r="58" spans="2:86" ht="15" customHeight="1" x14ac:dyDescent="0.25">
      <c r="B58" s="17"/>
    </row>
    <row r="59" spans="2:86" ht="15" customHeight="1" x14ac:dyDescent="0.25"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20"/>
      <c r="CF59" s="120"/>
      <c r="CG59" s="120"/>
      <c r="CH59" s="120"/>
    </row>
    <row r="60" spans="2:86" ht="9.9499999999999993" customHeight="1" x14ac:dyDescent="0.25">
      <c r="H60" s="18"/>
      <c r="I60" s="18"/>
    </row>
    <row r="61" spans="2:86" x14ac:dyDescent="0.25">
      <c r="H61" s="18"/>
    </row>
    <row r="64" spans="2:86" ht="65.45" customHeight="1" x14ac:dyDescent="0.25"/>
  </sheetData>
  <mergeCells count="3">
    <mergeCell ref="B2:CH4"/>
    <mergeCell ref="B5:CH5"/>
    <mergeCell ref="B59:CH59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PRAZO</vt:lpstr>
      <vt:lpstr>DISTRIBUIÇÃO CUSTO</vt:lpstr>
      <vt:lpstr>Planilha1</vt:lpstr>
      <vt:lpstr>CURVA PARAMÉTRICA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valquiria vansquelhe de oliveira</cp:lastModifiedBy>
  <dcterms:created xsi:type="dcterms:W3CDTF">2023-09-12T11:23:37Z</dcterms:created>
  <dcterms:modified xsi:type="dcterms:W3CDTF">2026-01-16T20:44:49Z</dcterms:modified>
</cp:coreProperties>
</file>