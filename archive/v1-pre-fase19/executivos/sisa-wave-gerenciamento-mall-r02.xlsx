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Sisa Construções\04. Custo\03.0 Custo - Orçamento Paramétrico\R02\"/>
    </mc:Choice>
  </mc:AlternateContent>
  <xr:revisionPtr revIDLastSave="0" documentId="13_ncr:1_{9377F431-F0A6-477E-9434-5210AB55515A}" xr6:coauthVersionLast="47" xr6:coauthVersionMax="47" xr10:uidLastSave="{00000000-0000-0000-0000-000000000000}"/>
  <bookViews>
    <workbookView xWindow="750" yWindow="75" windowWidth="25215" windowHeight="13800" tabRatio="849" activeTab="2" xr2:uid="{00000000-000D-0000-FFFF-FFFF00000000}"/>
  </bookViews>
  <sheets>
    <sheet name="DADOS_INICIAIS" sheetId="46" r:id="rId1"/>
    <sheet name="AREAS" sheetId="67" r:id="rId2"/>
    <sheet name="MOVIMENTAÇÃO_DE_TERRA" sheetId="47" r:id="rId3"/>
    <sheet name="CONTENÇÕES" sheetId="49" state="hidden" r:id="rId4"/>
    <sheet name="INFRAESTRUTURA" sheetId="21" r:id="rId5"/>
    <sheet name="SUPRAESTRUTURA" sheetId="48" r:id="rId6"/>
    <sheet name="ALVENARIA" sheetId="61" r:id="rId7"/>
    <sheet name="INSTALAÇÕES" sheetId="58" r:id="rId8"/>
    <sheet name="SISTEMAS ESPECIAIS" sheetId="59" r:id="rId9"/>
    <sheet name="IMPERMEABILIZAÇÃO" sheetId="62" r:id="rId10"/>
    <sheet name="AMBIENTES" sheetId="68" r:id="rId11"/>
    <sheet name="Rev. Internos Piso e Parede" sheetId="51" r:id="rId12"/>
    <sheet name="TETO" sheetId="63" r:id="rId13"/>
    <sheet name="Acabamentos de Piso e Parede" sheetId="53" r:id="rId14"/>
    <sheet name="PINTURA INTERNA" sheetId="64" r:id="rId15"/>
    <sheet name="ESQUADRIAS" sheetId="65" r:id="rId16"/>
    <sheet name="COBERTURA" sheetId="66" r:id="rId17"/>
    <sheet name="Rev. Fachada" sheetId="55" r:id="rId18"/>
    <sheet name="COMPLEMENTARES" sheetId="60" r:id="rId19"/>
    <sheet name="Auxiliar" sheetId="36" state="hidden" r:id="rId20"/>
  </sheets>
  <externalReferences>
    <externalReference r:id="rId21"/>
    <externalReference r:id="rId22"/>
    <externalReference r:id="rId23"/>
  </externalReferences>
  <definedNames>
    <definedName name="\0" localSheetId="16">#REF!</definedName>
    <definedName name="\0" localSheetId="18">#REF!</definedName>
    <definedName name="\0" localSheetId="0">#REF!</definedName>
    <definedName name="\0" localSheetId="7">#REF!</definedName>
    <definedName name="\0" localSheetId="2">#REF!</definedName>
    <definedName name="\0" localSheetId="8">#REF!</definedName>
    <definedName name="\0">#REF!</definedName>
    <definedName name="\1">#REF!</definedName>
    <definedName name="\a" localSheetId="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 localSheetId="0">#REF!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 hidden="1">#REF!</definedName>
    <definedName name="__" hidden="1">#REF!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 hidden="1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hidden="1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hidden="1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hidden="1">#REF!</definedName>
    <definedName name="__123Graph_ARE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hidden="1">#REF!</definedName>
    <definedName name="__123Graph_XRES" hidden="1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 hidden="1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hidden="1">{"'장비'!$A$3:$M$12"}</definedName>
    <definedName name="__PKG3" hidden="1">{"'장비'!$A$3:$M$12"}</definedName>
    <definedName name="__qqq222" hidden="1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 hidden="1">#REF!</definedName>
    <definedName name="_10__123Graph_CCHART_1" hidden="1">#REF!</definedName>
    <definedName name="_11.SERV.TECNIC">#REF!</definedName>
    <definedName name="_11__123Graph_DCHART_1" hidden="1">#REF!</definedName>
    <definedName name="_12.GAST_GERAIS">#REF!</definedName>
    <definedName name="_12__123Graph_XChart_1A" hidden="1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 hidden="1">#REF!</definedName>
    <definedName name="_2">#REF!</definedName>
    <definedName name="_2__123Graph_BCHART_1" hidden="1">#REF!</definedName>
    <definedName name="_25.PREP.TERREN">#REF!</definedName>
    <definedName name="_27.FUND._ESCOR">#REF!</definedName>
    <definedName name="_2F" hidden="1">#REF!</definedName>
    <definedName name="_3__123Graph_XCHART_1" hidden="1">#REF!</definedName>
    <definedName name="_31_32_33.C_A">#REF!</definedName>
    <definedName name="_41.ALVENARIA">#REF!</definedName>
    <definedName name="_47.IMP._ISOLA.">#REF!</definedName>
    <definedName name="_5__123Graph_A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 hidden="1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 hidden="1">#REF!</definedName>
    <definedName name="_71_73.I.ELET_H">#REF!</definedName>
    <definedName name="_77.OUTRAS_INST.">#REF!</definedName>
    <definedName name="_78.ELEVADORES">#REF!</definedName>
    <definedName name="_8__123Graph_BChart_1A" hidden="1">#REF!</definedName>
    <definedName name="_81.APAR._SANIT">#REF!</definedName>
    <definedName name="_83_85.PINT_LIM">#REF!</definedName>
    <definedName name="_9__123Graph_BCHART_2" hidden="1">#REF!</definedName>
    <definedName name="_ACR10">#REF!</definedName>
    <definedName name="_ACR15">#REF!</definedName>
    <definedName name="_acr20">#REF!</definedName>
    <definedName name="_acr5">#REF!</definedName>
    <definedName name="_AMO_UniqueIdentifier" hidden="1">"'54256040-62ff-475a-9348-dbdfce08df30'"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>#REF!</definedName>
    <definedName name="_Axe4">#REF!</definedName>
    <definedName name="_Builtin13" hidden="1">#REF!</definedName>
    <definedName name="_CAB1">#REF!</definedName>
    <definedName name="_CAB2">#REF!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hidden="1">#REF!</definedName>
    <definedName name="_Dist_Values" hidden="1">#REF!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hidden="1">#REF!</definedName>
    <definedName name="_fill1" hidden="1">#REF!</definedName>
    <definedName name="_FiltrarBancoDados2" hidden="1">#REF!</definedName>
    <definedName name="_xlnm._FilterDatabase" localSheetId="10" hidden="1">AMBIENTES!$A$10:$W$573</definedName>
    <definedName name="_xlnm._FilterDatabase" localSheetId="19" hidden="1">Auxiliar!$A$1:$D$68</definedName>
    <definedName name="_xlnm._FilterDatabase" localSheetId="0" hidden="1">DADOS_INICIAIS!#REF!</definedName>
    <definedName name="_xlnm._FilterDatabase" hidden="1">#REF!</definedName>
    <definedName name="_htm2">#REF!</definedName>
    <definedName name="_htn2">#REF!</definedName>
    <definedName name="_IA0542" hidden="1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hidden="1">255</definedName>
    <definedName name="_Parse_Out" hidden="1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 hidden="1">{"'장비'!$A$3:$M$12"}</definedName>
    <definedName name="_PKG3" hidden="1">{"'장비'!$A$3:$M$12"}</definedName>
    <definedName name="_qqq222" hidden="1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hidden="1">#REF!</definedName>
    <definedName name="_T">#REF!</definedName>
    <definedName name="_Table1_In1" hidden="1">#REF!</definedName>
    <definedName name="_Table1_Out" hidden="1">#REF!</definedName>
    <definedName name="_wer3" hidden="1">{#N/A,#N/A,FALSE,"Plan1";#N/A,#N/A,FALSE,"Plan2"}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hidden="1">#REF!</definedName>
    <definedName name="_xlcn.WorksheetConnection_ProjetocontrolefisicoefinanceiroRJ.xlsxTabela31" hidden="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 localSheetId="10">#REF!</definedName>
    <definedName name="aa" localSheetId="0">#REF!</definedName>
    <definedName name="aa">#REF!</definedName>
    <definedName name="aaa">#REF!</definedName>
    <definedName name="aaaa" localSheetId="10">#REF!</definedName>
    <definedName name="aaaa" localSheetId="16">'[1]M.O.'!#REF!</definedName>
    <definedName name="aaaa" localSheetId="18">'[1]M.O.'!#REF!</definedName>
    <definedName name="aaaa" localSheetId="0">'[1]M.O.'!#REF!</definedName>
    <definedName name="aaaa" localSheetId="7">'[1]M.O.'!#REF!</definedName>
    <definedName name="aaaa" localSheetId="2">'[1]M.O.'!#REF!</definedName>
    <definedName name="aaaa" localSheetId="8">'[1]M.O.'!#REF!</definedName>
    <definedName name="aaaa">'[1]M.O.'!#REF!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 hidden="1">{#N/A,#N/A,FALSE,"Plan1";#N/A,#N/A,FALSE,"Plan2"}</definedName>
    <definedName name="aaas">#REF!</definedName>
    <definedName name="AB">#REF!</definedName>
    <definedName name="Abat_ISS">#REF!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hidden="1">#REF!</definedName>
    <definedName name="abebqt">#REF!</definedName>
    <definedName name="abr17RJ">#REF!</definedName>
    <definedName name="ABRIL">#REF!</definedName>
    <definedName name="ABRIL2001">#REF!</definedName>
    <definedName name="ac" hidden="1">#REF!</definedName>
    <definedName name="Acabam.">#REF!</definedName>
    <definedName name="ACADUC">#REF!</definedName>
    <definedName name="ACBEB">#REF!</definedName>
    <definedName name="ACBOMB">#REF!</definedName>
    <definedName name="AccessDatabase" hidden="1">"C:\posec\DATABASE\vlv_list\vlvlist1.mdb"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hidden="1">#REF!</definedName>
    <definedName name="ACDER">#REF!</definedName>
    <definedName name="ACDIV">#REF!</definedName>
    <definedName name="ACDS" hidden="1">#REF!</definedName>
    <definedName name="ACEQP">#REF!</definedName>
    <definedName name="ACHAFQT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>#REF!</definedName>
    <definedName name="açoeeer" hidden="1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 hidden="1">#REF!</definedName>
    <definedName name="ACwvu.Ciclos." hidden="1">#REF!</definedName>
    <definedName name="ACwvu.Custos." hidden="1">#REF!</definedName>
    <definedName name="ACwvu.PLANILHA2." hidden="1">#REF!</definedName>
    <definedName name="ACwvu.Recursos." hidden="1">#REF!</definedName>
    <definedName name="ad" hidden="1">{#N/A,#N/A,FALSE,"Plan1";#N/A,#N/A,FALSE,"Plan2"}</definedName>
    <definedName name="adads" hidden="1">{#N/A,#N/A,FALSE,"Plan1";#N/A,#N/A,FALSE,"Plan2"}</definedName>
    <definedName name="adads2" hidden="1">{#N/A,#N/A,FALSE,"Plan1";#N/A,#N/A,FALSE,"Plan2"}</definedName>
    <definedName name="adced" hidden="1">{#N/A,#N/A,FALSE,"Plan1";#N/A,#N/A,FALSE,"Plan2"}</definedName>
    <definedName name="adced2" hidden="1">{#N/A,#N/A,FALSE,"Plan1";#N/A,#N/A,FALSE,"Plan2"}</definedName>
    <definedName name="ader" hidden="1">{#N/A,#N/A,FALSE,"Plan1";#N/A,#N/A,FALSE,"Plan2"}</definedName>
    <definedName name="ader2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hidden="1">{#N/A,#N/A,FALSE,"Plan1";#N/A,#N/A,FALSE,"Plan2"}</definedName>
    <definedName name="adf" hidden="1">{#N/A,#N/A,FALSE,"Plan1";#N/A,#N/A,FALSE,"Plan2"}</definedName>
    <definedName name="ADITIVO_BRUTO">#REF!</definedName>
    <definedName name="ADITIVO_LIQUIDO">#REF!</definedName>
    <definedName name="ADM.EXTERNA">#REF!</definedName>
    <definedName name="adsfr" hidden="1">{#N/A,#N/A,FALSE,"Plan1";#N/A,#N/A,FALSE,"Plan2"}</definedName>
    <definedName name="adssrgtg" hidden="1">{#N/A,#N/A,FALSE,"Plan1";#N/A,#N/A,FALSE,"Plan2"}</definedName>
    <definedName name="adtsetrr6t" hidden="1">{#N/A,#N/A,FALSE,"Plan1";#N/A,#N/A,FALSE,"Plan2"}</definedName>
    <definedName name="ADUCQT">#REF!</definedName>
    <definedName name="adwr" hidden="1">{#N/A,#N/A,FALSE,"Plan1";#N/A,#N/A,FALSE,"Plan2"}</definedName>
    <definedName name="aeiresft" hidden="1">{#N/A,#N/A,FALSE,"Plan1";#N/A,#N/A,FALSE,"Plan2"}</definedName>
    <definedName name="aEL3QE" hidden="1">{#N/A,#N/A,FALSE,"Plan1";#N/A,#N/A,FALSE,"Plan2"}</definedName>
    <definedName name="afeasfre" hidden="1">{#N/A,#N/A,FALSE,"Plan1";#N/A,#N/A,FALSE,"Plan2"}</definedName>
    <definedName name="agdsf" hidden="1">#REF!</definedName>
    <definedName name="ago17RJ">#REF!</definedName>
    <definedName name="AGOSTO">#REF!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hidden="1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 localSheetId="10">#REF!</definedName>
    <definedName name="angelo" localSheetId="16">[2]Geral!#REF!</definedName>
    <definedName name="angelo" localSheetId="18">[2]Geral!#REF!</definedName>
    <definedName name="angelo" localSheetId="0">[2]Geral!#REF!</definedName>
    <definedName name="angelo" localSheetId="7">[2]Geral!#REF!</definedName>
    <definedName name="angelo" localSheetId="2">[2]Geral!#REF!</definedName>
    <definedName name="angelo" localSheetId="8">[2]Geral!#REF!</definedName>
    <definedName name="angelo">[2]Geral!#REF!</definedName>
    <definedName name="anscount" hidden="1">3</definedName>
    <definedName name="AQE" hidden="1">{"'장비'!$A$3:$M$12"}</definedName>
    <definedName name="AQTEMP1">#REF!</definedName>
    <definedName name="AQTEMP2">#REF!</definedName>
    <definedName name="ArComprimido" hidden="1">{"'Estimativa de Lançamento-JAN'!$A$1:$AI$85"}</definedName>
    <definedName name="area" localSheetId="10">#REF!</definedName>
    <definedName name="area">#REF!</definedName>
    <definedName name="área">#REF!</definedName>
    <definedName name="_xlnm.Print_Area" localSheetId="13">'Acabamentos de Piso e Parede'!$A$1:$H$28</definedName>
    <definedName name="_xlnm.Print_Area" localSheetId="6">ALVENARIA!$A$1:$I$16</definedName>
    <definedName name="_xlnm.Print_Area" localSheetId="10">#REF!</definedName>
    <definedName name="_xlnm.Print_Area" localSheetId="16">COBERTURA!$A$1:$H$17</definedName>
    <definedName name="_xlnm.Print_Area" localSheetId="18">COMPLEMENTARES!$A$1:$G$18</definedName>
    <definedName name="_xlnm.Print_Area" localSheetId="3">CONTENÇÕES!$A$1:$I$45</definedName>
    <definedName name="_xlnm.Print_Area" localSheetId="0">DADOS_INICIAIS!$A$1:$H$40</definedName>
    <definedName name="_xlnm.Print_Area" localSheetId="15">ESQUADRIAS!$A$1:$I$24</definedName>
    <definedName name="_xlnm.Print_Area" localSheetId="9">IMPERMEABILIZAÇÃO!$A$1:$I$21</definedName>
    <definedName name="_xlnm.Print_Area" localSheetId="4">INFRAESTRUTURA!$A$1:$I$40</definedName>
    <definedName name="_xlnm.Print_Area" localSheetId="7">INSTALAÇÕES!$A$1:$E$34</definedName>
    <definedName name="_xlnm.Print_Area" localSheetId="2">MOVIMENTAÇÃO_DE_TERRA!$A$1:$G$25</definedName>
    <definedName name="_xlnm.Print_Area" localSheetId="14">'PINTURA INTERNA'!$A$1:$I$15</definedName>
    <definedName name="_xlnm.Print_Area" localSheetId="17">'Rev. Fachada'!$A$1:$H$25</definedName>
    <definedName name="_xlnm.Print_Area" localSheetId="11">'Rev. Internos Piso e Parede'!$A$1:$H$22</definedName>
    <definedName name="_xlnm.Print_Area" localSheetId="8">'SISTEMAS ESPECIAIS'!$A$1:$E$37</definedName>
    <definedName name="_xlnm.Print_Area" localSheetId="5">SUPRAESTRUTURA!$A$1:$I$18</definedName>
    <definedName name="_xlnm.Print_Area" localSheetId="12">TETO!$A$1:$I$16</definedName>
    <definedName name="_xlnm.Print_Area">#REF!</definedName>
    <definedName name="Área_impressão_IM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 hidden="1">"AS2DocumentBrowse"</definedName>
    <definedName name="asawe3" hidden="1">{#N/A,#N/A,FALSE,"Plan1";#N/A,#N/A,FALSE,"Plan2"}</definedName>
    <definedName name="ASD" hidden="1">17</definedName>
    <definedName name="ASDA" hidden="1">{#N/A,#N/A,FALSE,"Plan1";#N/A,#N/A,FALSE,"Plan2"}</definedName>
    <definedName name="asdade" hidden="1">{#N/A,#N/A,FALSE,"Plan1";#N/A,#N/A,FALSE,"Plan2"}</definedName>
    <definedName name="asdas" hidden="1">{#N/A,#N/A,FALSE,"Plan1";#N/A,#N/A,FALSE,"Plan2"}</definedName>
    <definedName name="asdawed" hidden="1">{#N/A,#N/A,FALSE,"Plan1";#N/A,#N/A,FALSE,"Plan2"}</definedName>
    <definedName name="ASDER" hidden="1">{#N/A,#N/A,FALSE,"Plan1";#N/A,#N/A,FALSE,"Plan2"}</definedName>
    <definedName name="asderr" hidden="1">{#N/A,#N/A,FALSE,"Plan1";#N/A,#N/A,FALSE,"Plan2"}</definedName>
    <definedName name="asdesre" hidden="1">{#N/A,#N/A,FALSE,"Plan1";#N/A,#N/A,FALSE,"Plan2"}</definedName>
    <definedName name="asdewr" hidden="1">{#N/A,#N/A,FALSE,"Plan1";#N/A,#N/A,FALSE,"Plan2"}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hidden="1">{#N/A,#N/A,FALSE,"Plan1";#N/A,#N/A,FALSE,"Plan2"}</definedName>
    <definedName name="asdg" hidden="1">{#N/A,#N/A,FALSE,"Plan1";#N/A,#N/A,FALSE,"Plan2"}</definedName>
    <definedName name="asdjksej" hidden="1">#REF!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hidden="1">{#N/A,#N/A,FALSE,"Plan1";#N/A,#N/A,FALSE,"Plan2"}</definedName>
    <definedName name="asdqwe" hidden="1">{#N/A,#N/A,FALSE,"Plan1";#N/A,#N/A,FALSE,"Plan2"}</definedName>
    <definedName name="asdsa" hidden="1">{#N/A,#N/A,FALSE,"Plan1";#N/A,#N/A,FALSE,"Plan2"}</definedName>
    <definedName name="asdser" hidden="1">{#N/A,#N/A,FALSE,"Plan1";#N/A,#N/A,FALSE,"Plan2"}</definedName>
    <definedName name="asdwef" hidden="1">{#N/A,#N/A,FALSE,"Plan1";#N/A,#N/A,FALSE,"Plan2"}</definedName>
    <definedName name="aseiuw" hidden="1">#REF!</definedName>
    <definedName name="ASET" hidden="1">{#N/A,#N/A,FALSE,"Plan1";#N/A,#N/A,FALSE,"Plan2"}</definedName>
    <definedName name="asfDSF" hidden="1">{#N/A,#N/A,FALSE,"Plan1";#N/A,#N/A,FALSE,"Plan2"}</definedName>
    <definedName name="ASFERTE" hidden="1">{#N/A,#N/A,FALSE,"Plan1";#N/A,#N/A,FALSE,"Plan2"}</definedName>
    <definedName name="asfl" hidden="1">{#N/A,#N/A,FALSE,"Plan1";#N/A,#N/A,FALSE,"Plan2"}</definedName>
    <definedName name="asfsz" hidden="1">{#N/A,#N/A,FALSE,"Plan1";#N/A,#N/A,FALSE,"Plan2"}</definedName>
    <definedName name="askserf" hidden="1">{#N/A,#N/A,FALSE,"Plan1";#N/A,#N/A,FALSE,"Plan2"}</definedName>
    <definedName name="ASSFSDF" hidden="1">{#N/A,#N/A,FALSE,"Plan1";#N/A,#N/A,FALSE,"Plan2"}</definedName>
    <definedName name="asw" hidden="1">{#N/A,#N/A,FALSE,"Plan1";#N/A,#N/A,FALSE,"Plan2"}</definedName>
    <definedName name="Até_Chaves">#REF!</definedName>
    <definedName name="ATIVOS" hidden="1">{#N/A,#N/A,FALSE,"F-01"}</definedName>
    <definedName name="Ato">#REF!</definedName>
    <definedName name="ATUAL">#REF!</definedName>
    <definedName name="aux" localSheetId="16">#REF!</definedName>
    <definedName name="aux" localSheetId="18">#REF!</definedName>
    <definedName name="aux" localSheetId="0">#REF!</definedName>
    <definedName name="aux" localSheetId="7">#REF!</definedName>
    <definedName name="aux" localSheetId="2">#REF!</definedName>
    <definedName name="aux" localSheetId="8">#REF!</definedName>
    <definedName name="aux">#REF!</definedName>
    <definedName name="AUXILIO">#REF!</definedName>
    <definedName name="avulsos">#REF!</definedName>
    <definedName name="awdjw" hidden="1">{#N/A,#N/A,FALSE,"Plan1";#N/A,#N/A,FALSE,"Plan2"}</definedName>
    <definedName name="aweqw4" hidden="1">{#N/A,#N/A,FALSE,"Plan1";#N/A,#N/A,FALSE,"Plan2"}</definedName>
    <definedName name="awssdwaer" hidden="1">{#N/A,#N/A,FALSE,"Plan1";#N/A,#N/A,FALSE,"Plan2"}</definedName>
    <definedName name="AZ" hidden="1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>#REF!</definedName>
    <definedName name="BDA" localSheetId="0">#REF!</definedName>
    <definedName name="BDA">#REF!</definedName>
    <definedName name="bdfjghf" hidden="1">{#N/A,#N/A,FALSE,"Plan1";#N/A,#N/A,FALSE,"Plan2"}</definedName>
    <definedName name="BDI" localSheetId="10">#REF!</definedName>
    <definedName name="BDI">#REF!</definedName>
    <definedName name="bdzbfbdr" hidden="1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 hidden="1">#REF!</definedName>
    <definedName name="BGG" hidden="1">{#N/A,#N/A,FALSE,"Plan1";#N/A,#N/A,FALSE,"Plan2"}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hidden="1">{#N/A,#N/A,FALSE,"Plan1";#N/A,#N/A,FALSE,"Plan2"}</definedName>
    <definedName name="bloco">#REF!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dgghrtfde" hidden="1">{#N/A,#N/A,FALSE,"Plan1";#N/A,#N/A,FALSE,"Plan2"}</definedName>
    <definedName name="bnkjhjhdfxgt" hidden="1">{#N/A,#N/A,FALSE,"Plan1";#N/A,#N/A,FALSE,"Plan2"}</definedName>
    <definedName name="BORBA2">#REF!</definedName>
    <definedName name="BORDA1">#N/A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 hidden="1">#REF!</definedName>
    <definedName name="bxnzfmkzxbhdf" hidden="1">{#N/A,#N/A,FALSE,"Plan1";#N/A,#N/A,FALSE,"Plan2"}</definedName>
    <definedName name="ca" localSheetId="10">#REF!</definedName>
    <definedName name="ca">#REF!</definedName>
    <definedName name="CAB">#N/A</definedName>
    <definedName name="CAFS">"Carlos Antonio Fernandes da Silva"</definedName>
    <definedName name="CAGR">#REF!</definedName>
    <definedName name="caixa">#REF!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 localSheetId="10">#REF!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 hidden="1">#REF!</definedName>
    <definedName name="CARLOS1">#REF!</definedName>
    <definedName name="CARTÃO4">#REF!</definedName>
    <definedName name="CAT6_IP" hidden="1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 hidden="1">{#N/A,#N/A,FALSE,"Plan1";#N/A,#N/A,FALSE,"Plan2"}</definedName>
    <definedName name="cccc" hidden="1">{#N/A,#N/A,FALSE,"Plan1";#N/A,#N/A,FALSE,"Plan2"}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hidden="1">{"HW",#N/A,FALSE,"1998"}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 hidden="1">{#N/A,#N/A,FALSE,"Plan1";#N/A,#N/A,FALSE,"Plan2"}</definedName>
    <definedName name="CDSGHE" hidden="1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hidden="1">{#N/A,#N/A,FALSE,"Plan1";#N/A,#N/A,FALSE,"Plan2"}</definedName>
    <definedName name="CHAFQT">#REF!</definedName>
    <definedName name="Chaves">#REF!</definedName>
    <definedName name="chfch" hidden="1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 hidden="1">{"Econ Consolidado",#N/A,FALSE,"Econ Consol";"Fluxo de Caixa",#N/A,FALSE,"Fluxo Caixa";"Investimentos",#N/A,FALSE,"Investimentos"}</definedName>
    <definedName name="ÇJsrejtçe" hidden="1">{#N/A,#N/A,FALSE,"Plan1";#N/A,#N/A,FALSE,"Plan2"}</definedName>
    <definedName name="çkaçekow" hidden="1">{#N/A,#N/A,FALSE,"Plan1";#N/A,#N/A,FALSE,"Plan2"}</definedName>
    <definedName name="ÇKSDOEKR" hidden="1">{#N/A,#N/A,FALSE,"Plan1";#N/A,#N/A,FALSE,"Plan2"}</definedName>
    <definedName name="çl" hidden="1">{#N/A,#N/A,FALSE,"Plan1";#N/A,#N/A,FALSE,"Plan2"}</definedName>
    <definedName name="çlassde" hidden="1">{#N/A,#N/A,FALSE,"Plan1";#N/A,#N/A,FALSE,"Plan2"}</definedName>
    <definedName name="Classificação">#REF!</definedName>
    <definedName name="çlçlç" hidden="1">{#N/A,#N/A,FALSE,"Plan1";#N/A,#N/A,FALSE,"Plan2"}</definedName>
    <definedName name="çld" hidden="1">{#N/A,#N/A,FALSE,"Plan1";#N/A,#N/A,FALSE,"Plan2"}</definedName>
    <definedName name="çlererr" hidden="1">{#N/A,#N/A,FALSE,"Plan1";#N/A,#N/A,FALSE,"Plan2"}</definedName>
    <definedName name="çlertert" hidden="1">{#N/A,#N/A,FALSE,"Plan1";#N/A,#N/A,FALSE,"Plan2"}</definedName>
    <definedName name="çlkdflçkrlr" hidden="1">#REF!</definedName>
    <definedName name="çll" hidden="1">{#N/A,#N/A,FALSE,"Plan1";#N/A,#N/A,FALSE,"Plan2"}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 hidden="1">{#N/A,#N/A,TRUE,"Quinzena 01 à 15-04-98 "}</definedName>
    <definedName name="cont" hidden="1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hidden="1">#REF!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hidden="1">{#N/A,#N/A,FALSE,"Plan1";#N/A,#N/A,FALSE,"Plan2"}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hidden="1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Chaves_MAP">#REF!</definedName>
    <definedName name="DatasOut13AteDez20">#REF!</definedName>
    <definedName name="DÇDL" hidden="1">{#N/A,#N/A,FALSE,"Plan1";#N/A,#N/A,FALSE,"Plan2"}</definedName>
    <definedName name="dchart26" hidden="1">#REF!</definedName>
    <definedName name="dchart31" hidden="1">#REF!</definedName>
    <definedName name="dcnsfgdjkgb" hidden="1">{#N/A,#N/A,FALSE,"Plan1";#N/A,#N/A,FALSE,"Plan2"}</definedName>
    <definedName name="DÇWK" hidden="1">{#N/A,#N/A,FALSE,"Plan1";#N/A,#N/A,FALSE,"Plan2"}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 hidden="1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 hidden="1">{#N/A,#N/A,FALSE,"Plan1";#N/A,#N/A,FALSE,"Plan2"}</definedName>
    <definedName name="ddfs" hidden="1">#REF!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hidden="1">{#N/A,#N/A,FALSE,"Plan1";#N/A,#N/A,FALSE,"Plan2"}</definedName>
    <definedName name="dede" hidden="1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 hidden="1">{#N/A,#N/A,FALSE,"Plan1";#N/A,#N/A,FALSE,"Plan2"}</definedName>
    <definedName name="desc" hidden="1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hidden="1">{#N/A,#N/A,FALSE,"명세표"}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hidden="1">{#N/A,#N/A,FALSE,"Plan1";#N/A,#N/A,FALSE,"Plan2"}</definedName>
    <definedName name="dfdrtrr" hidden="1">{#N/A,#N/A,FALSE,"Plan1";#N/A,#N/A,FALSE,"Plan2"}</definedName>
    <definedName name="DFDSG" hidden="1">{#N/A,#N/A,FALSE,"Plan1";#N/A,#N/A,FALSE,"Plan2"}</definedName>
    <definedName name="dfer" hidden="1">{#N/A,#N/A,FALSE,"Plan1";#N/A,#N/A,FALSE,"Plan2"}</definedName>
    <definedName name="dffbty" hidden="1">{#N/A,#N/A,FALSE,"Plan1";#N/A,#N/A,FALSE,"Plan2"}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hidden="1">{#N/A,#N/A,FALSE,"Plan1";#N/A,#N/A,FALSE,"Plan2"}</definedName>
    <definedName name="dfg" hidden="1">{#N/A,#N/A,FALSE,"Plan1";#N/A,#N/A,FALSE,"Plan2"}</definedName>
    <definedName name="dfgdf" hidden="1">{#N/A,#N/A,FALSE,"Plan1";#N/A,#N/A,FALSE,"Plan2"}</definedName>
    <definedName name="dfgdytygr" hidden="1">{#N/A,#N/A,FALSE,"Plan1";#N/A,#N/A,FALSE,"Plan2"}</definedName>
    <definedName name="dfgftrrdt5" hidden="1">{#N/A,#N/A,FALSE,"Plan1";#N/A,#N/A,FALSE,"Plan2"}</definedName>
    <definedName name="dfgh">#REF!</definedName>
    <definedName name="dfghjfhsg" hidden="1">{#N/A,#N/A,FALSE,"Plan1";#N/A,#N/A,FALSE,"Plan2"}</definedName>
    <definedName name="dfgj" hidden="1">{#N/A,#N/A,FALSE,"Plan1";#N/A,#N/A,FALSE,"Plan2"}</definedName>
    <definedName name="dfgjfttyd" hidden="1">{#N/A,#N/A,FALSE,"Plan1";#N/A,#N/A,FALSE,"Plan2"}</definedName>
    <definedName name="dfgjjtdrtg" hidden="1">{#N/A,#N/A,FALSE,"Plan1";#N/A,#N/A,FALSE,"Plan2"}</definedName>
    <definedName name="dfgt" hidden="1">{#N/A,#N/A,FALSE,"Plan1";#N/A,#N/A,FALSE,"Plan2"}</definedName>
    <definedName name="dfgtrkjhk" hidden="1">{#N/A,#N/A,FALSE,"Plan1";#N/A,#N/A,FALSE,"Plan2"}</definedName>
    <definedName name="dfgty" hidden="1">{#N/A,#N/A,FALSE,"Plan1";#N/A,#N/A,FALSE,"Plan2"}</definedName>
    <definedName name="dfhdgfdgf" hidden="1">{#N/A,#N/A,FALSE,"Plan1";#N/A,#N/A,FALSE,"Plan2"}</definedName>
    <definedName name="DFHDJGJFHJGF" hidden="1">{#N/A,#N/A,FALSE,"Plan1";#N/A,#N/A,FALSE,"Plan2"}</definedName>
    <definedName name="dfhdyg" hidden="1">{#N/A,#N/A,FALSE,"Plan1";#N/A,#N/A,FALSE,"Plan2"}</definedName>
    <definedName name="DFHGDHUR" hidden="1">{#N/A,#N/A,FALSE,"Plan1";#N/A,#N/A,FALSE,"Plan2"}</definedName>
    <definedName name="dfhgjfgdhfjdrf" hidden="1">{#N/A,#N/A,FALSE,"Plan1";#N/A,#N/A,FALSE,"Plan2"}</definedName>
    <definedName name="dfhgkhfut" hidden="1">{#N/A,#N/A,FALSE,"Plan1";#N/A,#N/A,FALSE,"Plan2"}</definedName>
    <definedName name="dfhgkjdhkjghjd" hidden="1">#REF!</definedName>
    <definedName name="dfhguitrhfg" hidden="1">{#N/A,#N/A,FALSE,"Plan1";#N/A,#N/A,FALSE,"Plan2"}</definedName>
    <definedName name="DFHKHDGKJHDKS" hidden="1">{#N/A,#N/A,FALSE,"Plan1";#N/A,#N/A,FALSE,"Plan2"}</definedName>
    <definedName name="dfijvnqienvvnjv">#REF!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hidden="1">{#N/A,#N/A,FALSE,"Plan1";#N/A,#N/A,FALSE,"Plan2"}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hidden="1">{#N/A,#N/A,FALSE,"Plan1";#N/A,#N/A,FALSE,"Plan2"}</definedName>
    <definedName name="dfnert" hidden="1">{#N/A,#N/A,FALSE,"Plan1";#N/A,#N/A,FALSE,"Plan2"}</definedName>
    <definedName name="dfrt" hidden="1">{#N/A,#N/A,FALSE,"Plan1";#N/A,#N/A,FALSE,"Plan2"}</definedName>
    <definedName name="dfsdr5tt" hidden="1">{#N/A,#N/A,FALSE,"Plan1";#N/A,#N/A,FALSE,"Plan2"}</definedName>
    <definedName name="dfsds" hidden="1">#REF!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hidden="1">{#N/A,#N/A,FALSE,"Plan1";#N/A,#N/A,FALSE,"Plan2"}</definedName>
    <definedName name="dfsf" hidden="1">{#N/A,#N/A,FALSE,"Plan1";#N/A,#N/A,FALSE,"Plan2"}</definedName>
    <definedName name="DFT" hidden="1">{#N/A,#N/A,FALSE,"Plan1";#N/A,#N/A,FALSE,"Plan2"}</definedName>
    <definedName name="DFTRTTY" hidden="1">{#N/A,#N/A,FALSE,"Plan1";#N/A,#N/A,FALSE,"Plan2"}</definedName>
    <definedName name="dfurghifdjyhits" hidden="1">{#N/A,#N/A,FALSE,"Plan1";#N/A,#N/A,FALSE,"Plan2"}</definedName>
    <definedName name="dfxgdrged" hidden="1">{#N/A,#N/A,FALSE,"Plan1";#N/A,#N/A,FALSE,"Plan2"}</definedName>
    <definedName name="dgfrtyt" hidden="1">{#N/A,#N/A,FALSE,"Plan1";#N/A,#N/A,FALSE,"Plan2"}</definedName>
    <definedName name="dggfdg" hidden="1">{#N/A,#N/A,FALSE,"Plan1";#N/A,#N/A,FALSE,"Plan2"}</definedName>
    <definedName name="dgldfhgkljslh" hidden="1">{#N/A,#N/A,FALSE,"Plan1";#N/A,#N/A,FALSE,"Plan2"}</definedName>
    <definedName name="dhfgdhrehrwe" hidden="1">{#N/A,#N/A,FALSE,"Plan1";#N/A,#N/A,FALSE,"Plan2"}</definedName>
    <definedName name="dhgfdgrfgdfgd" hidden="1">{#N/A,#N/A,FALSE,"Plan1";#N/A,#N/A,FALSE,"Plan2"}</definedName>
    <definedName name="dhkjfhdhfjdh" hidden="1">{#N/A,#N/A,FALSE,"Plan1";#N/A,#N/A,FALSE,"Plan2"}</definedName>
    <definedName name="DHTJRT" hidden="1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 hidden="1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 hidden="1">{#N/A,#N/A,FALSE,"Plan1";#N/A,#N/A,FALSE,"Plan2"}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hidden="1">{#N/A,#N/A,FALSE,"Plan1";#N/A,#N/A,FALSE,"Plan2"}</definedName>
    <definedName name="djfkhsdkjhf" hidden="1">{#N/A,#N/A,FALSE,"Plan1";#N/A,#N/A,FALSE,"Plan2"}</definedName>
    <definedName name="djfldjsgljslkjtg" hidden="1">{#N/A,#N/A,FALSE,"Plan1";#N/A,#N/A,FALSE,"Plan2"}</definedName>
    <definedName name="djflkdjgdth" hidden="1">{#N/A,#N/A,FALSE,"Plan1";#N/A,#N/A,FALSE,"Plan2"}</definedName>
    <definedName name="DJFLKDJGKTJYJT" hidden="1">{#N/A,#N/A,FALSE,"Plan1";#N/A,#N/A,FALSE,"Plan2"}</definedName>
    <definedName name="djgkfjgtiyty" hidden="1">{#N/A,#N/A,FALSE,"Plan1";#N/A,#N/A,FALSE,"Plan2"}</definedName>
    <definedName name="djrkehrjfhng" hidden="1">{#N/A,#N/A,FALSE,"Plan1";#N/A,#N/A,FALSE,"Plan2"}</definedName>
    <definedName name="djswfr" hidden="1">#REF!</definedName>
    <definedName name="djtkjldfr" hidden="1">{#N/A,#N/A,FALSE,"Plan1";#N/A,#N/A,FALSE,"Plan2"}</definedName>
    <definedName name="DJXDLFGDFG" hidden="1">{#N/A,#N/A,FALSE,"Plan1";#N/A,#N/A,FALSE,"Plan2"}</definedName>
    <definedName name="dkdkdkdkd" hidden="1">{#N/A,#N/A,FALSE,"명세표"}</definedName>
    <definedName name="dkfhskgf" hidden="1">{#N/A,#N/A,FALSE,"Plan1";#N/A,#N/A,FALSE,"Plan2"}</definedName>
    <definedName name="dkjfk" hidden="1">{#N/A,#N/A,FALSE,"Plan1";#N/A,#N/A,FALSE,"Plan2"}</definedName>
    <definedName name="DKLD" hidden="1">{#N/A,#N/A,FALSE,"Plan1";#N/A,#N/A,FALSE,"Plan2"}</definedName>
    <definedName name="DKLFJDKFD" hidden="1">{#N/A,#N/A,FALSE,"Plan1";#N/A,#N/A,FALSE,"Plan2"}</definedName>
    <definedName name="dklfjgirtgid" hidden="1">{#N/A,#N/A,FALSE,"Plan1";#N/A,#N/A,FALSE,"Plan2"}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hidden="1">{#N/A,#N/A,FALSE,"Plan1";#N/A,#N/A,FALSE,"Plan2"}</definedName>
    <definedName name="DNFJKDHTKRE" hidden="1">{#N/A,#N/A,FALSE,"Plan1";#N/A,#N/A,FALSE,"Plan2"}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 hidden="1">{#N/A,#N/A,FALSE,"Plan1";#N/A,#N/A,FALSE,"Plan2"}</definedName>
    <definedName name="DRRJR" hidden="1">{#N/A,#N/A,FALSE,"Plan1";#N/A,#N/A,FALSE,"Plan2"}</definedName>
    <definedName name="drtr" hidden="1">#REF!</definedName>
    <definedName name="drtrt" hidden="1">{"'Estimativa de Lançamento-JAN'!$A$1:$AI$85"}</definedName>
    <definedName name="dsdrf" hidden="1">{#N/A,#N/A,FALSE,"Plan1";#N/A,#N/A,FALSE,"Plan2"}</definedName>
    <definedName name="dsfdf" hidden="1">{#N/A,#N/A,FALSE,"Plan1";#N/A,#N/A,FALSE,"Plan2"}</definedName>
    <definedName name="dsfg" hidden="1">{#N/A,#N/A,FALSE,"Plan1";#N/A,#N/A,FALSE,"Plan2"}</definedName>
    <definedName name="DSFKDSKH" hidden="1">{#N/A,#N/A,FALSE,"Plan1";#N/A,#N/A,FALSE,"Plan2"}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hidden="1">{#N/A,#N/A,FALSE,"Plan1";#N/A,#N/A,FALSE,"Plan2"}</definedName>
    <definedName name="DSFSAD" hidden="1">{#N/A,#N/A,FALSE,"Plan1";#N/A,#N/A,FALSE,"Plan2"}</definedName>
    <definedName name="dsfsdf" hidden="1">{#N/A,#N/A,FALSE,"Plan1";#N/A,#N/A,FALSE,"Plan2"}</definedName>
    <definedName name="dsfsdgfb" hidden="1">{#N/A,#N/A,FALSE,"Plan1";#N/A,#N/A,FALSE,"Plan2"}</definedName>
    <definedName name="dsgfr" hidden="1">{#N/A,#N/A,FALSE,"Plan1";#N/A,#N/A,FALSE,"Plan2"}</definedName>
    <definedName name="dshfkhkrhesru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hidden="1">{#N/A,#N/A,FALSE,"Plan1";#N/A,#N/A,FALSE,"Plan2"}</definedName>
    <definedName name="dslfkf" hidden="1">4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hidden="1">{#N/A,#N/A,FALSE,"Plan1";#N/A,#N/A,FALSE,"Plan2"}</definedName>
    <definedName name="dtgsrytt" hidden="1">{#N/A,#N/A,FALSE,"Plan1";#N/A,#N/A,FALSE,"Plan2"}</definedName>
    <definedName name="dtrjkhtrgkfh" hidden="1">{#N/A,#N/A,FALSE,"Plan1";#N/A,#N/A,FALSE,"Plan2"}</definedName>
    <definedName name="dttjuk" hidden="1">{#N/A,#N/A,FALSE,"Plan1";#N/A,#N/A,FALSE,"Plan2"}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hidden="1">{#N/A,#N/A,FALSE,"Plan1";#N/A,#N/A,FALSE,"Plan2"}</definedName>
    <definedName name="dwqhdjwqgdwq">#REF!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hidden="1">{#N/A,#N/A,FALSE,"Plan1";#N/A,#N/A,FALSE,"Plan2"}</definedName>
    <definedName name="dzdfr" hidden="1">{#N/A,#N/A,FALSE,"Plan1";#N/A,#N/A,FALSE,"Plan2"}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10">#REF!</definedName>
    <definedName name="ea">#REF!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hidden="1">{#N/A,#N/A,FALSE,"F-01"}</definedName>
    <definedName name="ECEW_1" hidden="1">{#N/A,#N/A,FALSE,"F-01"}</definedName>
    <definedName name="echart31" hidden="1">#REF!</definedName>
    <definedName name="EcoPark">#REF!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hidden="1">{#N/A,#N/A,FALSE,"Plan1";#N/A,#N/A,FALSE,"Plan2"}</definedName>
    <definedName name="ee">#REF!</definedName>
    <definedName name="eee" localSheetId="10" hidden="1">{#N/A,#N/A,FALSE,"ET-CAPA";#N/A,#N/A,FALSE,"ET-PAG1";#N/A,#N/A,FALSE,"ET-PAG2";#N/A,#N/A,FALSE,"ET-PAG3";#N/A,#N/A,FALSE,"ET-PAG4";#N/A,#N/A,FALSE,"ET-PAG5"}</definedName>
    <definedName name="eee" localSheetId="16" hidden="1">{#N/A,#N/A,FALSE,"ET-CAPA";#N/A,#N/A,FALSE,"ET-PAG1";#N/A,#N/A,FALSE,"ET-PAG2";#N/A,#N/A,FALSE,"ET-PAG3";#N/A,#N/A,FALSE,"ET-PAG4";#N/A,#N/A,FALSE,"ET-PAG5"}</definedName>
    <definedName name="eee" localSheetId="18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7" hidden="1">{#N/A,#N/A,FALSE,"ET-CAPA";#N/A,#N/A,FALSE,"ET-PAG1";#N/A,#N/A,FALSE,"ET-PAG2";#N/A,#N/A,FALSE,"ET-PAG3";#N/A,#N/A,FALSE,"ET-PAG4";#N/A,#N/A,FALSE,"ET-PAG5"}</definedName>
    <definedName name="eee" localSheetId="2" hidden="1">{#N/A,#N/A,FALSE,"ET-CAPA";#N/A,#N/A,FALSE,"ET-PAG1";#N/A,#N/A,FALSE,"ET-PAG2";#N/A,#N/A,FALSE,"ET-PAG3";#N/A,#N/A,FALSE,"ET-PAG4";#N/A,#N/A,FALSE,"ET-PAG5"}</definedName>
    <definedName name="eee" localSheetId="8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">#REF!</definedName>
    <definedName name="efestfr" hidden="1">{#N/A,#N/A,FALSE,"Plan1";#N/A,#N/A,FALSE,"Plan2"}</definedName>
    <definedName name="EFICIÊNCIA">#REF!</definedName>
    <definedName name="Eficiência1">#REF!</definedName>
    <definedName name="efrdrt" hidden="1">{#N/A,#N/A,FALSE,"Plan1";#N/A,#N/A,FALSE,"Plan2"}</definedName>
    <definedName name="efrg" hidden="1">{#N/A,#N/A,FALSE,"Plan1";#N/A,#N/A,FALSE,"Plan2"}</definedName>
    <definedName name="efsgfr" hidden="1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hidden="1">{#N/A,#N/A,FALSE,"Plan1";#N/A,#N/A,FALSE,"Plan2"}</definedName>
    <definedName name="erne_cdi">#REF!</definedName>
    <definedName name="erne_hist">#REF!</definedName>
    <definedName name="erne_uss">#REF!</definedName>
    <definedName name="erte" hidden="1">#REF!</definedName>
    <definedName name="ESGFDSFD" hidden="1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 hidden="1">{#N/A,#N/A,FALSE,"Plan1";#N/A,#N/A,FALSE,"Plan2"}</definedName>
    <definedName name="EV__LASTREFTIME__" hidden="1">39965.7223611111</definedName>
    <definedName name="EVL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hidden="1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 hidden="1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 hidden="1">{"'Total'!$A$1","'Total'!$A$3"}</definedName>
    <definedName name="fasfasf" hidden="1">{#N/A,#N/A,TRUE,"Quinzena 01 à 15-04-98 "}</definedName>
    <definedName name="FATOR_K">#REF!</definedName>
    <definedName name="FATORK">#REF!</definedName>
    <definedName name="FBancaria">#REF!</definedName>
    <definedName name="fchart31" hidden="1">#REF!</definedName>
    <definedName name="fddhght" hidden="1">{#N/A,#N/A,FALSE,"Plan1";#N/A,#N/A,FALSE,"Plan2"}</definedName>
    <definedName name="fdfgd" hidden="1">{#N/A,#N/A,FALSE,"Plan1";#N/A,#N/A,FALSE,"Plan2"}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hidden="1">{#N/A,#N/A,FALSE,"Plan1";#N/A,#N/A,FALSE,"Plan2"}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hidden="1">{#N/A,#N/A,FALSE,"Plan1";#N/A,#N/A,FALSE,"Plan2"}</definedName>
    <definedName name="fdgfyhygfuj" hidden="1">{#N/A,#N/A,FALSE,"Plan1";#N/A,#N/A,FALSE,"Plan2"}</definedName>
    <definedName name="fdhgfdf" hidden="1">{#N/A,#N/A,FALSE,"Plan1";#N/A,#N/A,FALSE,"Plan2"}</definedName>
    <definedName name="fdjfgdfjg" hidden="1">{#N/A,#N/A,FALSE,"Plan1";#N/A,#N/A,FALSE,"Plan2"}</definedName>
    <definedName name="fdjghkshtygt" hidden="1">{#N/A,#N/A,FALSE,"Plan1";#N/A,#N/A,FALSE,"Plan2"}</definedName>
    <definedName name="fdnhgf" hidden="1">{"'Estimativa de Lançamento-JAN'!$A$1:$AI$85"}</definedName>
    <definedName name="fdsf" hidden="1">{#N/A,#N/A,FALSE,"Plan1";#N/A,#N/A,FALSE,"Plan2"}</definedName>
    <definedName name="FE">#REF!</definedName>
    <definedName name="fefefefe">#REF!</definedName>
    <definedName name="FER" hidden="1">#REF!</definedName>
    <definedName name="fev17RJ">#REF!</definedName>
    <definedName name="FEVEREIRO2001">#REF!</definedName>
    <definedName name="ff">#REF!</definedName>
    <definedName name="fffefes">#REF!</definedName>
    <definedName name="fffff" hidden="1">{#N/A,#N/A,FALSE,"Plan1";#N/A,#N/A,FALSE,"Plan2"}</definedName>
    <definedName name="FFFFFFF" localSheetId="16">#REF!</definedName>
    <definedName name="FFFFFFF" localSheetId="18">#REF!</definedName>
    <definedName name="FFFFFFF" localSheetId="0">#REF!</definedName>
    <definedName name="FFFFFFF" localSheetId="7">#REF!</definedName>
    <definedName name="FFFFFFF" localSheetId="2">#REF!</definedName>
    <definedName name="FFFFFFF" localSheetId="8">#REF!</definedName>
    <definedName name="FFFFFFF">#REF!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hidden="1">{#N/A,#N/A,FALSE,"Plan1";#N/A,#N/A,FALSE,"Plan2"}</definedName>
    <definedName name="fgg" hidden="1">{"'장비'!$A$3:$M$12"}</definedName>
    <definedName name="fghfh" hidden="1">{"'Estimativa de Lançamento-JAN'!$A$1:$AI$85"}</definedName>
    <definedName name="fghgfh" hidden="1">{#N/A,#N/A,FALSE,"Plan1";#N/A,#N/A,FALSE,"Plan2"}</definedName>
    <definedName name="FGJHFGK" hidden="1">{#N/A,#N/A,FALSE,"Plan1";#N/A,#N/A,FALSE,"Plan2"}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hidden="1">{#N/A,#N/A,FALSE,"Plan1";#N/A,#N/A,FALSE,"Plan2"}</definedName>
    <definedName name="fgty" hidden="1">#REF!</definedName>
    <definedName name="fhgjfgyt" hidden="1">{#N/A,#N/A,FALSE,"Plan1";#N/A,#N/A,FALSE,"Plan2"}</definedName>
    <definedName name="fhgjkhtrfg" hidden="1">{#N/A,#N/A,FALSE,"Plan1";#N/A,#N/A,FALSE,"Plan2"}</definedName>
    <definedName name="FHGTGSRSG" hidden="1">{#N/A,#N/A,FALSE,"Plan1";#N/A,#N/A,FALSE,"Plan2"}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hidden="1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 hidden="1">{#N/A,#N/A,FALSE,"Plan1";#N/A,#N/A,FALSE,"Plan2"}</definedName>
    <definedName name="fjfjg" hidden="1">{#N/A,#N/A,FALSE,"명세표"}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hidden="1">{#N/A,#N/A,FALSE,"Plan1";#N/A,#N/A,FALSE,"Plan2"}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hidden="1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 hidden="1">{#N/A,#N/A,FALSE,"Plan1";#N/A,#N/A,FALSE,"Plan2"}</definedName>
    <definedName name="frdtty" hidden="1">{#N/A,#N/A,FALSE,"Plan1";#N/A,#N/A,FALSE,"Plan2"}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hidden="1">{#N/A,#N/A,FALSE,"Plan1";#N/A,#N/A,FALSE,"Plan2"}</definedName>
    <definedName name="fuste">#REF!</definedName>
    <definedName name="fxjghkfg" hidden="1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 hidden="1">{#N/A,#N/A,FALSE,"Plan1";#N/A,#N/A,FALSE,"Plan2"}</definedName>
    <definedName name="gbdsjgsjfdgj" hidden="1">{#N/A,#N/A,FALSE,"Plan1";#N/A,#N/A,FALSE,"Plan2"}</definedName>
    <definedName name="gdfdhgfjgj" hidden="1">{#N/A,#N/A,FALSE,"Plan1";#N/A,#N/A,FALSE,"Plan2"}</definedName>
    <definedName name="gdfgdstggt" hidden="1">{#N/A,#N/A,FALSE,"Plan1";#N/A,#N/A,FALSE,"Plan2"}</definedName>
    <definedName name="GDFHGRJGFJDRF" hidden="1">{"Econ Consolidado",#N/A,FALSE,"Econ Consol";"Fluxo de Caixa",#N/A,FALSE,"Fluxo Caixa";"Investimentos",#N/A,FALSE,"Investimentos"}</definedName>
    <definedName name="gdfigfhuyuy" hidden="1">{#N/A,#N/A,FALSE,"Plan1";#N/A,#N/A,FALSE,"Plan2"}</definedName>
    <definedName name="gdfsgfew" hidden="1">{#N/A,#N/A,FALSE,"Plan1";#N/A,#N/A,FALSE,"Plan2"}</definedName>
    <definedName name="gdhfgdhfgf" hidden="1">{#N/A,#N/A,FALSE,"Plan1";#N/A,#N/A,FALSE,"Plan2"}</definedName>
    <definedName name="gdsfhefrwrw" hidden="1">{#N/A,#N/A,FALSE,"Plan1";#N/A,#N/A,FALSE,"Plan2"}</definedName>
    <definedName name="GER_TECNICO">#REF!</definedName>
    <definedName name="Gerentes">#REF!</definedName>
    <definedName name="geshrjhed" hidden="1">{#N/A,#N/A,FALSE,"Plan1";#N/A,#N/A,FALSE,"Plan2"}</definedName>
    <definedName name="gestao" hidden="1">OFFSET(INDEX(#REF!,MATCH(#REF!,#REF!,0)),1,0,COUNTA(#REF!)-1)</definedName>
    <definedName name="gfdcgnkf" hidden="1">{#N/A,#N/A,FALSE,"Plan1";#N/A,#N/A,FALSE,"Plan2"}</definedName>
    <definedName name="gfdjtgur" hidden="1">{#N/A,#N/A,FALSE,"Plan1";#N/A,#N/A,FALSE,"Plan2"}</definedName>
    <definedName name="gfdrtg" hidden="1">#REF!</definedName>
    <definedName name="gfgdhxgfdhf" hidden="1">{#N/A,#N/A,FALSE,"Plan1";#N/A,#N/A,FALSE,"Plan2"}</definedName>
    <definedName name="gfhfdtgjb" hidden="1">{#N/A,#N/A,FALSE,"Plan1";#N/A,#N/A,FALSE,"Plan2"}</definedName>
    <definedName name="gfjdshrtjhtged" hidden="1">{#N/A,#N/A,FALSE,"Plan1";#N/A,#N/A,FALSE,"Plan2"}</definedName>
    <definedName name="gfjgkddgfd" hidden="1">{#N/A,#N/A,FALSE,"Plan1";#N/A,#N/A,FALSE,"Plan2"}</definedName>
    <definedName name="gfsghjdgygr" hidden="1">{#N/A,#N/A,FALSE,"Plan1";#N/A,#N/A,FALSE,"Plan2"}</definedName>
    <definedName name="gftfy" hidden="1">{#N/A,#N/A,FALSE,"Plan1";#N/A,#N/A,FALSE,"Plan2"}</definedName>
    <definedName name="gfty" hidden="1">{#N/A,#N/A,FALSE,"Plan1";#N/A,#N/A,FALSE,"Plan2"}</definedName>
    <definedName name="GFUJU9" hidden="1">{#N/A,#N/A,FALSE,"Plan1";#N/A,#N/A,FALSE,"Plan2"}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hidden="1">{#N/A,#N/A,FALSE,"Plan1";#N/A,#N/A,FALSE,"Plan2"}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hidden="1">{"'장비'!$A$3:$M$12"}</definedName>
    <definedName name="ghfgdfrtert" hidden="1">{#N/A,#N/A,FALSE,"Plan1";#N/A,#N/A,FALSE,"Plan2"}</definedName>
    <definedName name="ghfhghft" hidden="1">{#N/A,#N/A,FALSE,"Plan1";#N/A,#N/A,FALSE,"Plan2"}</definedName>
    <definedName name="ghjg" hidden="1">{"'Estimativa de Lançamento-JAN'!$A$1:$AI$85"}</definedName>
    <definedName name="ghkfhgh" hidden="1">{#N/A,#N/A,FALSE,"Plan1";#N/A,#N/A,FALSE,"Plan2"}</definedName>
    <definedName name="ghkjh" hidden="1">{#N/A,#N/A,FALSE,"ENG'G(보호계전기)"}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hidden="1">{#N/A,#N/A,FALSE,"Plan1";#N/A,#N/A,FALSE,"Plan2"}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hidden="1">{#N/A,#N/A,FALSE,"Plan1";#N/A,#N/A,FALSE,"Plan2"}</definedName>
    <definedName name="glgl" hidden="1">{#N/A,#N/A,FALSE,"Plan1";#N/A,#N/A,FALSE,"Plan2"}</definedName>
    <definedName name="GLOBAL">#REF!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hidden="1">{#N/A,#N/A,FALSE,"Plan1";#N/A,#N/A,FALSE,"Plan2"}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hidden="1">{#N/A,#N/A,FALSE,"CCTV"}</definedName>
    <definedName name="h">#REF!</definedName>
    <definedName name="hbjgjuae">#REF!</definedName>
    <definedName name="hcjfkhdghfktg" hidden="1">{#N/A,#N/A,FALSE,"Plan1";#N/A,#N/A,FALSE,"Plan2"}</definedName>
    <definedName name="hckhjfdkgfdg" hidden="1">#REF!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hidden="1">{#N/A,#N/A,FALSE,"Plan1";#N/A,#N/A,FALSE,"Plan2"}</definedName>
    <definedName name="HDFGJKHKFDHTY" hidden="1">{#N/A,#N/A,FALSE,"Plan1";#N/A,#N/A,FALSE,"Plan2"}</definedName>
    <definedName name="hdfhdhrtgd" hidden="1">{#N/A,#N/A,FALSE,"Plan1";#N/A,#N/A,FALSE,"Plan2"}</definedName>
    <definedName name="hdfhftde" hidden="1">{#N/A,#N/A,FALSE,"Plan1";#N/A,#N/A,FALSE,"Plan2"}</definedName>
    <definedName name="hdfhgkdhgtrf" hidden="1">{#N/A,#N/A,FALSE,"Plan1";#N/A,#N/A,FALSE,"Plan2"}</definedName>
    <definedName name="hdfjhdkzhgdr" hidden="1">{#N/A,#N/A,FALSE,"Plan1";#N/A,#N/A,FALSE,"Plan2"}</definedName>
    <definedName name="hdfjkgvjgtd" hidden="1">{#N/A,#N/A,FALSE,"Plan1";#N/A,#N/A,FALSE,"Plan2"}</definedName>
    <definedName name="hdfjkhdhrute" hidden="1">{#N/A,#N/A,FALSE,"Plan1";#N/A,#N/A,FALSE,"Plan2"}</definedName>
    <definedName name="HDFKGVF" hidden="1">{#N/A,#N/A,FALSE,"Plan1";#N/A,#N/A,FALSE,"Plan2"}</definedName>
    <definedName name="hdgfhdgtdrt" hidden="1">{#N/A,#N/A,FALSE,"Plan1";#N/A,#N/A,FALSE,"Plan2"}</definedName>
    <definedName name="hdghgtgtrgd" hidden="1">{#N/A,#N/A,FALSE,"Plan1";#N/A,#N/A,FALSE,"Plan2"}</definedName>
    <definedName name="HDHDGHTUHDTG" hidden="1">{#N/A,#N/A,FALSE,"Plan1";#N/A,#N/A,FALSE,"Plan2"}</definedName>
    <definedName name="hdhghfthrrhy" hidden="1">{#N/A,#N/A,FALSE,"Plan1";#N/A,#N/A,FALSE,"Plan2"}</definedName>
    <definedName name="hdkfjhydjh" hidden="1">{#N/A,#N/A,FALSE,"Plan1";#N/A,#N/A,FALSE,"Plan2"}</definedName>
    <definedName name="hdsgfgrrdgr" hidden="1">{#N/A,#N/A,FALSE,"Plan1";#N/A,#N/A,FALSE,"Plan2"}</definedName>
    <definedName name="hdtertkkdsa" hidden="1">{#N/A,#N/A,FALSE,"Plan1";#N/A,#N/A,FALSE,"Plan2"}</definedName>
    <definedName name="Header">#REF!</definedName>
    <definedName name="HEDHA" hidden="1">{#N/A,#N/A,FALSE,"Plan1";#N/A,#N/A,FALSE,"Plan2"}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 hidden="1">{#N/A,#N/A,FALSE,"Plan1";#N/A,#N/A,FALSE,"Plan2"}</definedName>
    <definedName name="hersdtretyt" hidden="1">{#N/A,#N/A,FALSE,"Plan1";#N/A,#N/A,FALSE,"Plan2"}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hidden="1">{#N/A,#N/A,FALSE,"Plan1";#N/A,#N/A,FALSE,"Plan2"}</definedName>
    <definedName name="hfdkhgkfdhtj" hidden="1">{#N/A,#N/A,FALSE,"Plan1";#N/A,#N/A,FALSE,"Plan2"}</definedName>
    <definedName name="hfgfktgkhyt" hidden="1">{#N/A,#N/A,FALSE,"Plan1";#N/A,#N/A,FALSE,"Plan2"}</definedName>
    <definedName name="hfghdkhrgkjg" hidden="1">{#N/A,#N/A,FALSE,"Plan1";#N/A,#N/A,FALSE,"Plan2"}</definedName>
    <definedName name="hfighfth" hidden="1">{#N/A,#N/A,FALSE,"Plan1";#N/A,#N/A,FALSE,"Plan2"}</definedName>
    <definedName name="hfjghtfuyrf" hidden="1">{#N/A,#N/A,FALSE,"Plan1";#N/A,#N/A,FALSE,"Plan2"}</definedName>
    <definedName name="HFKJHDJGHFJ" hidden="1">{#N/A,#N/A,FALSE,"Plan1";#N/A,#N/A,FALSE,"Plan2"}</definedName>
    <definedName name="hgdesgfgsj" hidden="1">{#N/A,#N/A,FALSE,"Plan1";#N/A,#N/A,FALSE,"Plan2"}</definedName>
    <definedName name="hgdgfd" hidden="1">{#N/A,#N/A,FALSE,"Plan1";#N/A,#N/A,FALSE,"Plan2"}</definedName>
    <definedName name="hgfhjkdfhj" hidden="1">{#N/A,#N/A,FALSE,"Plan1";#N/A,#N/A,FALSE,"Plan2"}</definedName>
    <definedName name="hgg" hidden="1">{#N/A,#N/A,FALSE,"Plan1";#N/A,#N/A,FALSE,"Plan2"}</definedName>
    <definedName name="hgjdfgghg" hidden="1">{#N/A,#N/A,FALSE,"Plan1";#N/A,#N/A,FALSE,"Plan2"}</definedName>
    <definedName name="hgjkfdhg" hidden="1">{#N/A,#N/A,FALSE,"Plan1";#N/A,#N/A,FALSE,"Plan2"}</definedName>
    <definedName name="hgkdfhkfk" hidden="1">{#N/A,#N/A,FALSE,"Plan1";#N/A,#N/A,FALSE,"Plan2"}</definedName>
    <definedName name="hgkjhdfhtrdyt" hidden="1">{#N/A,#N/A,FALSE,"Plan1";#N/A,#N/A,FALSE,"Plan2"}</definedName>
    <definedName name="hgkjhdfkhgtfhg" hidden="1">{#N/A,#N/A,FALSE,"Plan1";#N/A,#N/A,FALSE,"Plan2"}</definedName>
    <definedName name="hgkjhkfhsdkdhgk" hidden="1">{#N/A,#N/A,FALSE,"Plan1";#N/A,#N/A,FALSE,"Plan2"}</definedName>
    <definedName name="hgsufgdhghd" hidden="1">{#N/A,#N/A,FALSE,"Plan1";#N/A,#N/A,FALSE,"Plan2"}</definedName>
    <definedName name="HHGFHTYUT" hidden="1">{#N/A,#N/A,FALSE,"Plan1";#N/A,#N/A,FALSE,"Plan2"}</definedName>
    <definedName name="hhh" hidden="1">{"'Total'!$A$1","'Total'!$A$3"}</definedName>
    <definedName name="HHIHLK" hidden="1">#REF!</definedName>
    <definedName name="hik" hidden="1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 hidden="1">{#N/A,#N/A,FALSE,"Plan1";#N/A,#N/A,FALSE,"Plan2"}</definedName>
    <definedName name="HJFDGD" hidden="1">{#N/A,#N/A,FALSE,"Plan1";#N/A,#N/A,FALSE,"Plan2"}</definedName>
    <definedName name="HJGASD" hidden="1">{#N/A,#N/A,FALSE,"Plan1";#N/A,#N/A,FALSE,"Plan2"}</definedName>
    <definedName name="HJGFGTFDG" hidden="1">{#N/A,#N/A,FALSE,"Plan1";#N/A,#N/A,FALSE,"Plan2"}</definedName>
    <definedName name="hjgfhdsgfhsd" hidden="1">{#N/A,#N/A,FALSE,"Plan1";#N/A,#N/A,FALSE,"Plan2"}</definedName>
    <definedName name="hjgxfjgdjyftr" hidden="1">{#N/A,#N/A,FALSE,"Plan1";#N/A,#N/A,FALSE,"Plan2"}</definedName>
    <definedName name="hjgyugasd" hidden="1">{#N/A,#N/A,FALSE,"Plan1";#N/A,#N/A,FALSE,"Plan2"}</definedName>
    <definedName name="hjjfyfy" hidden="1">{#N/A,#N/A,FALSE,"Plan1";#N/A,#N/A,FALSE,"Plan2"}</definedName>
    <definedName name="hjkchkvjhdjkgh" hidden="1">{#N/A,#N/A,FALSE,"Plan1";#N/A,#N/A,FALSE,"Plan2"}</definedName>
    <definedName name="hjkfjdyht" hidden="1">{#N/A,#N/A,FALSE,"Plan1";#N/A,#N/A,FALSE,"Plan2"}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hidden="1">{#N/A,#N/A,FALSE,"Plan1";#N/A,#N/A,FALSE,"Plan2"}</definedName>
    <definedName name="hjsdsdrjfrh" hidden="1">2</definedName>
    <definedName name="hjsrdfre" hidden="1">{"Econ Consolidado",#N/A,FALSE,"Econ Consol";"Fluxo de Caixa",#N/A,FALSE,"Fluxo Caixa";"Investimentos",#N/A,FALSE,"Investimentos"}</definedName>
    <definedName name="HKewewsr" hidden="1">{#N/A,#N/A,FALSE,"Plan1";#N/A,#N/A,FALSE,"Plan2"}</definedName>
    <definedName name="hkhdskacd" hidden="1">{#N/A,#N/A,FALSE,"Plan1";#N/A,#N/A,FALSE,"Plan2"}</definedName>
    <definedName name="hkjfgfhgfh" hidden="1">{#N/A,#N/A,FALSE,"Plan1";#N/A,#N/A,FALSE,"Plan2"}</definedName>
    <definedName name="hkjfhgjkfhghfg" hidden="1">{#N/A,#N/A,FALSE,"Plan1";#N/A,#N/A,FALSE,"Plan2"}</definedName>
    <definedName name="HKLZHFRH" hidden="1">{#N/A,#N/A,FALSE,"Plan1";#N/A,#N/A,FALSE,"Plan2"}</definedName>
    <definedName name="ho" hidden="1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 hidden="1">{#N/A,#N/A,FALSE,"Plan1";#N/A,#N/A,FALSE,"Plan2"}</definedName>
    <definedName name="hsdf" hidden="1">{#N/A,#N/A,FALSE,"Plan1";#N/A,#N/A,FALSE,"Plan2"}</definedName>
    <definedName name="hsdfgdgudrt" hidden="1">{#N/A,#N/A,FALSE,"Plan1";#N/A,#N/A,FALSE,"Plan2"}</definedName>
    <definedName name="hsdfjkdhur" hidden="1">{#N/A,#N/A,FALSE,"Plan1";#N/A,#N/A,FALSE,"Plan2"}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hidden="1">{#N/A,#N/A,FALSE,"Plan1";#N/A,#N/A,FALSE,"Plan2"}</definedName>
    <definedName name="hsdjffe" hidden="1">{#N/A,#N/A,FALSE,"Plan1";#N/A,#N/A,FALSE,"Plan2"}</definedName>
    <definedName name="HSFIHDTR" hidden="1">{"Econ Consolidado",#N/A,FALSE,"Econ Consol";"Fluxo de Caixa",#N/A,FALSE,"Fluxo Caixa";"Investimentos",#N/A,FALSE,"Investimentos"}</definedName>
    <definedName name="hsfjkdshrgf" hidden="1">{#N/A,#N/A,FALSE,"Plan1";#N/A,#N/A,FALSE,"Plan2"}</definedName>
    <definedName name="hthhrtetdre" hidden="1">{#N/A,#N/A,FALSE,"Plan1";#N/A,#N/A,FALSE,"Plan2"}</definedName>
    <definedName name="HTM">#REF!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hidden="1">{"'Estimativa de Lançamento-JAN'!$A$1:$AI$85"}</definedName>
    <definedName name="HTML3_CONTROL" hidden="1">{"'Estimativa de Lançamento-JAN'!$A$1:$AI$85"}</definedName>
    <definedName name="HTMLControl" hidden="1">{"'Edit'!$A$1:$V$2277"}</definedName>
    <definedName name="HTN">#REF!</definedName>
    <definedName name="HVJKHGKFXHFD" hidden="1">{#N/A,#N/A,FALSE,"Plan1";#N/A,#N/A,FALSE,"Plan2"}</definedName>
    <definedName name="hwekjhekhf" hidden="1">{#N/A,#N/A,FALSE,"Plan1";#N/A,#N/A,FALSE,"Plan2"}</definedName>
    <definedName name="HXFRE" hidden="1">{#N/A,#N/A,FALSE,"Plan1";#N/A,#N/A,FALSE,"Plan2"}</definedName>
    <definedName name="HXKJFGDKHG" hidden="1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 hidden="1">#REF!</definedName>
    <definedName name="icoa_cdi">#REF!</definedName>
    <definedName name="icoa_hist">#REF!</definedName>
    <definedName name="icoa_uss">#REF!</definedName>
    <definedName name="Identificação">#REF!</definedName>
    <definedName name="idfhgkjhfkthy" hidden="1">{#N/A,#N/A,FALSE,"Plan1";#N/A,#N/A,FALSE,"Plan2"}</definedName>
    <definedName name="ieroweft" hidden="1">{#N/A,#N/A,FALSE,"Plan1";#N/A,#N/A,FALSE,"Plan2"}</definedName>
    <definedName name="iewpotqi5poejy" hidden="1">{#N/A,#N/A,FALSE,"Plan1";#N/A,#N/A,FALSE,"Plan2"}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hidden="1">#REF!</definedName>
    <definedName name="ihfdkjhktgrd" hidden="1">{#N/A,#N/A,FALSE,"Plan1";#N/A,#N/A,FALSE,"Plan2"}</definedName>
    <definedName name="ihrtetw4r" hidden="1">{#N/A,#N/A,FALSE,"Plan1";#N/A,#N/A,FALSE,"Plan2"}</definedName>
    <definedName name="II">#REF!</definedName>
    <definedName name="IIASDSAWE" hidden="1">{"Econ Consolidado",#N/A,FALSE,"Econ Consol";"Fluxo de Caixa",#N/A,FALSE,"Fluxo Caixa";"Investimentos",#N/A,FALSE,"Investimentos"}</definedName>
    <definedName name="III">#REF!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hidden="1">{#N/A,#N/A,FALSE,"Plan1";#N/A,#N/A,FALSE,"Plan2"}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 hidden="1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 hidden="1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 hidden="1">{"'Edit'!$A$1:$V$2277"}</definedName>
    <definedName name="IO">196.003</definedName>
    <definedName name="ioeriotyt" hidden="1">{#N/A,#N/A,FALSE,"Plan1";#N/A,#N/A,FALSE,"Plan2"}</definedName>
    <definedName name="iohudtorh" hidden="1">{#N/A,#N/A,FALSE,"Plan1";#N/A,#N/A,FALSE,"Plan2"}</definedName>
    <definedName name="iojtkheayed" hidden="1">{#N/A,#N/A,FALSE,"Plan1";#N/A,#N/A,FALSE,"Plan2"}</definedName>
    <definedName name="iouweroieuw4" hidden="1">{#N/A,#N/A,FALSE,"Plan1";#N/A,#N/A,FALSE,"Plan2"}</definedName>
    <definedName name="iphifpgh" hidden="1">{#N/A,#N/A,FALSE,"Plan1";#N/A,#N/A,FALSE,"Plan2"}</definedName>
    <definedName name="IPMF">#REF!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 localSheetId="16">#REF!</definedName>
    <definedName name="item_1" localSheetId="18">#REF!</definedName>
    <definedName name="item_1" localSheetId="0">#REF!</definedName>
    <definedName name="item_1" localSheetId="7">#REF!</definedName>
    <definedName name="item_1" localSheetId="2">#REF!</definedName>
    <definedName name="item_1" localSheetId="8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 hidden="1">{#N/A,#N/A,FALSE,"Plan1";#N/A,#N/A,FALSE,"Plan2"}</definedName>
    <definedName name="iyuyheturtd" hidden="1">{#N/A,#N/A,FALSE,"Plan1";#N/A,#N/A,FALSE,"Plan2"}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hidden="1">{#N/A,#N/A,FALSE,"Plan1";#N/A,#N/A,FALSE,"Plan2"}</definedName>
    <definedName name="jan_05">#REF!</definedName>
    <definedName name="jan17RJ">#REF!</definedName>
    <definedName name="JANEIRO2001">#REF!</definedName>
    <definedName name="JASDJS" hidden="1">{#N/A,#N/A,FALSE,"Plan1";#N/A,#N/A,FALSE,"Plan2"}</definedName>
    <definedName name="jaskldjlse" hidden="1">{#N/A,#N/A,FALSE,"Plan1";#N/A,#N/A,FALSE,"Plan2"}</definedName>
    <definedName name="JASLDKLD" hidden="1">{#N/A,#N/A,FALSE,"Plan1";#N/A,#N/A,FALSE,"Plan2"}</definedName>
    <definedName name="jasoe" hidden="1">#REF!</definedName>
    <definedName name="jbzxffcbgdhgft" hidden="1">#REF!</definedName>
    <definedName name="JÇDFHDF" hidden="1">{"Econ Consolidado",#N/A,FALSE,"Econ Consol";"Fluxo de Caixa",#N/A,FALSE,"Fluxo Caixa";"Investimentos",#N/A,FALSE,"Investimentos"}</definedName>
    <definedName name="jdbgftbhr" hidden="1">{#N/A,#N/A,FALSE,"Plan1";#N/A,#N/A,FALSE,"Plan2"}</definedName>
    <definedName name="jdfgkrhgft" hidden="1">#REF!</definedName>
    <definedName name="jdfgldfjgklh" hidden="1">{#N/A,#N/A,FALSE,"Plan1";#N/A,#N/A,FALSE,"Plan2"}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hidden="1">{#N/A,#N/A,FALSE,"Plan1";#N/A,#N/A,FALSE,"Plan2"}</definedName>
    <definedName name="JDFJLDJR" hidden="1">{#N/A,#N/A,FALSE,"Plan1";#N/A,#N/A,FALSE,"Plan2"}</definedName>
    <definedName name="jdfkgitfgdrtt" hidden="1">{#N/A,#N/A,FALSE,"Plan1";#N/A,#N/A,FALSE,"Plan2"}</definedName>
    <definedName name="JDFKHFKJ" hidden="1">{#N/A,#N/A,FALSE,"Plan1";#N/A,#N/A,FALSE,"Plan2"}</definedName>
    <definedName name="jdfklgtdtr" hidden="1">{#N/A,#N/A,FALSE,"Plan1";#N/A,#N/A,FALSE,"Plan2"}</definedName>
    <definedName name="JDFKTHRT" hidden="1">{#N/A,#N/A,FALSE,"Plan1";#N/A,#N/A,FALSE,"Plan2"}</definedName>
    <definedName name="JDFLKJDRF" hidden="1">{#N/A,#N/A,FALSE,"Plan1";#N/A,#N/A,FALSE,"Plan2"}</definedName>
    <definedName name="jdfzlkjgfdht" hidden="1">{#N/A,#N/A,FALSE,"Plan1";#N/A,#N/A,FALSE,"Plan2"}</definedName>
    <definedName name="jdglhfghkt" hidden="1">{#N/A,#N/A,FALSE,"Plan1";#N/A,#N/A,FALSE,"Plan2"}</definedName>
    <definedName name="jdhfjdhgfd" hidden="1">{#N/A,#N/A,FALSE,"Plan1";#N/A,#N/A,FALSE,"Plan2"}</definedName>
    <definedName name="jdjdjdjd" hidden="1">{#N/A,#N/A,FALSE,"명세표"}</definedName>
    <definedName name="jdkfhgjhf" hidden="1">{#N/A,#N/A,FALSE,"Plan1";#N/A,#N/A,FALSE,"Plan2"}</definedName>
    <definedName name="jdkfjdtr" hidden="1">{#N/A,#N/A,FALSE,"Plan1";#N/A,#N/A,FALSE,"Plan2"}</definedName>
    <definedName name="jdljgftldjti5r" hidden="1">{#N/A,#N/A,FALSE,"Plan1";#N/A,#N/A,FALSE,"Plan2"}</definedName>
    <definedName name="JDLKJDASGF" hidden="1">{#N/A,#N/A,FALSE,"Plan1";#N/A,#N/A,FALSE,"Plan2"}</definedName>
    <definedName name="jdrfkdjfghrtfjg" hidden="1">{#N/A,#N/A,FALSE,"Plan1";#N/A,#N/A,FALSE,"Plan2"}</definedName>
    <definedName name="jdskfhdk" hidden="1">{#N/A,#N/A,FALSE,"Plan1";#N/A,#N/A,FALSE,"Plan2"}</definedName>
    <definedName name="JDSKLGKDRHGGF" hidden="1">{#N/A,#N/A,FALSE,"Plan1";#N/A,#N/A,FALSE,"Plan2"}</definedName>
    <definedName name="jefsgfr" hidden="1">{#N/A,#N/A,FALSE,"Plan1";#N/A,#N/A,FALSE,"Plan2"}</definedName>
    <definedName name="JERHIEHYURE" hidden="1">{#N/A,#N/A,FALSE,"Plan1";#N/A,#N/A,FALSE,"Plan2"}</definedName>
    <definedName name="jfddlsrtyty" hidden="1">{#N/A,#N/A,FALSE,"Plan1";#N/A,#N/A,FALSE,"Plan2"}</definedName>
    <definedName name="jfdjtgdjghitfyh" hidden="1">{#N/A,#N/A,FALSE,"Plan1";#N/A,#N/A,FALSE,"Plan2"}</definedName>
    <definedName name="jfdkgkftftg" hidden="1">{#N/A,#N/A,FALSE,"Plan1";#N/A,#N/A,FALSE,"Plan2"}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hidden="1">{#N/A,#N/A,FALSE,"Plan1";#N/A,#N/A,FALSE,"Plan2"}</definedName>
    <definedName name="jfgkflcnjkglc" hidden="1">{#N/A,#N/A,FALSE,"Plan1";#N/A,#N/A,FALSE,"Plan2"}</definedName>
    <definedName name="JFHRE" hidden="1">{#N/A,#N/A,FALSE,"Plan1";#N/A,#N/A,FALSE,"Plan2"}</definedName>
    <definedName name="jfkdls5jtirjd" hidden="1">{#N/A,#N/A,FALSE,"Plan1";#N/A,#N/A,FALSE,"Plan2"}</definedName>
    <definedName name="jfkljdkfcj" hidden="1">{#N/A,#N/A,FALSE,"Plan1";#N/A,#N/A,FALSE,"Plan2"}</definedName>
    <definedName name="jfkrhdtghdut" hidden="1">{#N/A,#N/A,FALSE,"Plan1";#N/A,#N/A,FALSE,"Plan2"}</definedName>
    <definedName name="JFRESR" hidden="1">{#N/A,#N/A,FALSE,"Plan1";#N/A,#N/A,FALSE,"Plan2"}</definedName>
    <definedName name="jgdfdgfjgdj" hidden="1">{#N/A,#N/A,FALSE,"Plan1";#N/A,#N/A,FALSE,"Plan2"}</definedName>
    <definedName name="jgdfght" hidden="1">{#N/A,#N/A,FALSE,"Plan1";#N/A,#N/A,FALSE,"Plan2"}</definedName>
    <definedName name="jgfgdsgfdhrf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hidden="1">{#N/A,#N/A,FALSE,"Plan1";#N/A,#N/A,FALSE,"Plan2"}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hidden="1">{#N/A,#N/A,FALSE,"Plan1";#N/A,#N/A,FALSE,"Plan2"}</definedName>
    <definedName name="jhdfjkhtrdhf" hidden="1">{#N/A,#N/A,FALSE,"Plan1";#N/A,#N/A,FALSE,"Plan2"}</definedName>
    <definedName name="jhdfuthr" hidden="1">{#N/A,#N/A,FALSE,"Plan1";#N/A,#N/A,FALSE,"Plan2"}</definedName>
    <definedName name="JHDFZGRDHF" hidden="1">{"Econ Consolidado",#N/A,FALSE,"Econ Consol";"Fluxo de Caixa",#N/A,FALSE,"Fluxo Caixa";"Investimentos",#N/A,FALSE,"Investimentos"}</definedName>
    <definedName name="JHERKHKFGH" hidden="1">{#N/A,#N/A,FALSE,"Plan1";#N/A,#N/A,FALSE,"Plan2"}</definedName>
    <definedName name="jhfhhztfhe" hidden="1">#REF!</definedName>
    <definedName name="JHGKJFJFJGL" hidden="1">{#N/A,#N/A,FALSE,"Plan1";#N/A,#N/A,FALSE,"Plan2"}</definedName>
    <definedName name="jhsdjkhfuks" hidden="1">{#N/A,#N/A,FALSE,"Plan1";#N/A,#N/A,FALSE,"Plan2"}</definedName>
    <definedName name="jisdrkje" hidden="1">{#N/A,#N/A,FALSE,"Plan1";#N/A,#N/A,FALSE,"Plan2"}</definedName>
    <definedName name="jishfrieyhtau" hidden="1">{#N/A,#N/A,FALSE,"Plan1";#N/A,#N/A,FALSE,"Plan2"}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hidden="1">{"'Apr-00'!$B$4:$AD$44"}</definedName>
    <definedName name="jjfdsktyhhy" hidden="1">{#N/A,#N/A,FALSE,"Plan1";#N/A,#N/A,FALSE,"Plan2"}</definedName>
    <definedName name="jjjjjjjjjjjjjjjjjjjj">#REF!</definedName>
    <definedName name="jjkjkjk" hidden="1">{#N/A,#N/A,FALSE,"Plan1";#N/A,#N/A,FALSE,"Plan2"}</definedName>
    <definedName name="JKDCK" hidden="1">{#N/A,#N/A,FALSE,"Plan1";#N/A,#N/A,FALSE,"Plan2"}</definedName>
    <definedName name="JKDFHKHFR" hidden="1">{#N/A,#N/A,FALSE,"Plan1";#N/A,#N/A,FALSE,"Plan2"}</definedName>
    <definedName name="JKDFTRDRJ" hidden="1">{#N/A,#N/A,FALSE,"Plan1";#N/A,#N/A,FALSE,"Plan2"}</definedName>
    <definedName name="jkdhfukhddf" hidden="1">{#N/A,#N/A,FALSE,"Plan1";#N/A,#N/A,FALSE,"Plan2"}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hidden="1">{#N/A,#N/A,FALSE,"Plan1";#N/A,#N/A,FALSE,"Plan2"}</definedName>
    <definedName name="jkfhjgkfhghh" hidden="1">{#N/A,#N/A,FALSE,"Plan1";#N/A,#N/A,FALSE,"Plan2"}</definedName>
    <definedName name="jkhderjkhes" hidden="1">{#N/A,#N/A,FALSE,"Plan1";#N/A,#N/A,FALSE,"Plan2"}</definedName>
    <definedName name="jkhdfhfd" hidden="1">{#N/A,#N/A,FALSE,"Plan1";#N/A,#N/A,FALSE,"Plan2"}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hidden="1">{#N/A,#N/A,FALSE,"Plan1";#N/A,#N/A,FALSE,"Plan2"}</definedName>
    <definedName name="JKHGDHFUHTG" hidden="1">{#N/A,#N/A,FALSE,"Plan1";#N/A,#N/A,FALSE,"Plan2"}</definedName>
    <definedName name="jkhsdzjkfyiu" hidden="1">{#N/A,#N/A,FALSE,"Plan1";#N/A,#N/A,FALSE,"Plan2"}</definedName>
    <definedName name="jkjsdkhfdhrf" hidden="1">{#N/A,#N/A,FALSE,"Plan1";#N/A,#N/A,FALSE,"Plan2"}</definedName>
    <definedName name="jklgfsjgtjtg" hidden="1">{#N/A,#N/A,FALSE,"Plan1";#N/A,#N/A,FALSE,"Plan2"}</definedName>
    <definedName name="jksldfjsdhf" hidden="1">{#N/A,#N/A,FALSE,"Plan1";#N/A,#N/A,FALSE,"Plan2"}</definedName>
    <definedName name="jkxhcjkhfr" hidden="1">{#N/A,#N/A,FALSE,"Plan1";#N/A,#N/A,FALSE,"Plan2"}</definedName>
    <definedName name="JNGCKFKJFGH" hidden="1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 hidden="1">{#N/A,#N/A,FALSE,"Plan1";#N/A,#N/A,FALSE,"Plan2"}</definedName>
    <definedName name="JSADKAH" hidden="1">{"Econ Consolidado",#N/A,FALSE,"Econ Consol";"Fluxo de Caixa",#N/A,FALSE,"Fluxo Caixa";"Investimentos",#N/A,FALSE,"Investimentos"}</definedName>
    <definedName name="JSDAJRE" hidden="1">{#N/A,#N/A,FALSE,"Plan1";#N/A,#N/A,FALSE,"Plan2"}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hidden="1">{#N/A,#N/A,FALSE,"Plan1";#N/A,#N/A,FALSE,"Plan2"}</definedName>
    <definedName name="jsdfkgnfr" hidden="1">#REF!</definedName>
    <definedName name="jsdfsdfd" hidden="1">{#N/A,#N/A,FALSE,"Plan1";#N/A,#N/A,FALSE,"Plan2"}</definedName>
    <definedName name="jsdljficd" hidden="1">{#N/A,#N/A,FALSE,"Plan1";#N/A,#N/A,FALSE,"Plan2"}</definedName>
    <definedName name="JSDTLFJDRG" hidden="1">{#N/A,#N/A,FALSE,"Plan1";#N/A,#N/A,FALSE,"Plan2"}</definedName>
    <definedName name="jsfjsjferwea" hidden="1">{#N/A,#N/A,FALSE,"Plan1";#N/A,#N/A,FALSE,"Plan2"}</definedName>
    <definedName name="jslrjer" hidden="1">{#N/A,#N/A,FALSE,"Plan1";#N/A,#N/A,FALSE,"Plan2"}</definedName>
    <definedName name="juklhkhdf" hidden="1">{#N/A,#N/A,FALSE,"Plan1";#N/A,#N/A,FALSE,"Plan2"}</definedName>
    <definedName name="jul17RJ">#REF!</definedName>
    <definedName name="JULHO">#REF!</definedName>
    <definedName name="JULHO2001">#REF!</definedName>
    <definedName name="JULHO99" hidden="1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 hidden="1">{#N/A,#N/A,FALSE,"Plan1";#N/A,#N/A,FALSE,"Plan2"}</definedName>
    <definedName name="JWEOITORU5Y" hidden="1">{#N/A,#N/A,FALSE,"Plan1";#N/A,#N/A,FALSE,"Plan2"}</definedName>
    <definedName name="jxdfjsrf" hidden="1">{#N/A,#N/A,FALSE,"Plan1";#N/A,#N/A,FALSE,"Plan2"}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hidden="1">#REF!</definedName>
    <definedName name="jzsdjkszl" hidden="1">{#N/A,#N/A,FALSE,"Plan1";#N/A,#N/A,FALSE,"Plan2"}</definedName>
    <definedName name="JZXFKLJLDJF" hidden="1">{#N/A,#N/A,FALSE,"Plan1";#N/A,#N/A,FALSE,"Plan2"}</definedName>
    <definedName name="jzxklfdlvgfg" hidden="1">{#N/A,#N/A,FALSE,"Plan1";#N/A,#N/A,FALSE,"Plan2"}</definedName>
    <definedName name="k" hidden="1">{#N/A,#N/A,FALSE,"Plan1";#N/A,#N/A,FALSE,"Plan2"}</definedName>
    <definedName name="K_1">#REF!</definedName>
    <definedName name="kaedkroswr" hidden="1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 hidden="1">{#N/A,#N/A,FALSE,"Plan1";#N/A,#N/A,FALSE,"Plan2"}</definedName>
    <definedName name="kçfdljtredr" hidden="1">{#N/A,#N/A,FALSE,"Plan1";#N/A,#N/A,FALSE,"Plan2"}</definedName>
    <definedName name="KCIVIL">#REF!</definedName>
    <definedName name="kclçkglf" hidden="1">{#N/A,#N/A,FALSE,"Plan1";#N/A,#N/A,FALSE,"Plan2"}</definedName>
    <definedName name="kçlkasçkere" hidden="1">{#N/A,#N/A,FALSE,"Plan1";#N/A,#N/A,FALSE,"Plan2"}</definedName>
    <definedName name="kdfbngtjkbf" hidden="1">{#N/A,#N/A,FALSE,"Plan1";#N/A,#N/A,FALSE,"Plan2"}</definedName>
    <definedName name="kdfhkghkrh" hidden="1">{#N/A,#N/A,FALSE,"Plan1";#N/A,#N/A,FALSE,"Plan2"}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hidden="1">{#N/A,#N/A,FALSE,"Plan1";#N/A,#N/A,FALSE,"Plan2"}</definedName>
    <definedName name="kdfljlfr" hidden="1">{#N/A,#N/A,FALSE,"Plan1";#N/A,#N/A,FALSE,"Plan2"}</definedName>
    <definedName name="kdhfgkdfhytgu" hidden="1">{#N/A,#N/A,FALSE,"Plan1";#N/A,#N/A,FALSE,"Plan2"}</definedName>
    <definedName name="kdhgftfg" hidden="1">{#N/A,#N/A,FALSE,"Plan1";#N/A,#N/A,FALSE,"Plan2"}</definedName>
    <definedName name="KDHKFGKKHGF" hidden="1">{#N/A,#N/A,FALSE,"Plan1";#N/A,#N/A,FALSE,"Plan2"}</definedName>
    <definedName name="kdjfdr" hidden="1">#REF!</definedName>
    <definedName name="kdjgkfjgd" hidden="1">{#N/A,#N/A,FALSE,"Plan1";#N/A,#N/A,FALSE,"Plan2"}</definedName>
    <definedName name="kdjglkdlgjd" hidden="1">{#N/A,#N/A,FALSE,"Plan1";#N/A,#N/A,FALSE,"Plan2"}</definedName>
    <definedName name="kdjsfkldjgkty" hidden="1">{#N/A,#N/A,FALSE,"Plan1";#N/A,#N/A,FALSE,"Plan2"}</definedName>
    <definedName name="KDJU" hidden="1">{"'장비'!$A$3:$M$12"}</definedName>
    <definedName name="kdkjhgdkfhjk" hidden="1">{#N/A,#N/A,FALSE,"Plan1";#N/A,#N/A,FALSE,"Plan2"}</definedName>
    <definedName name="kdsf" hidden="1">{#N/A,#N/A,FALSE,"Plan1";#N/A,#N/A,FALSE,"Plan2"}</definedName>
    <definedName name="kdsr" hidden="1">{#N/A,#N/A,FALSE,"Plan1";#N/A,#N/A,FALSE,"Plan2"}</definedName>
    <definedName name="kergtfdstr" hidden="1">{#N/A,#N/A,FALSE,"Plan1";#N/A,#N/A,FALSE,"Plan2"}</definedName>
    <definedName name="kesp">#REF!</definedName>
    <definedName name="KFDKTHGT" hidden="1">{#N/A,#N/A,FALSE,"Plan1";#N/A,#N/A,FALSE,"Plan2"}</definedName>
    <definedName name="kfdxlfdzs" hidden="1">{"Econ Consolidado",#N/A,FALSE,"Econ Consol";"Fluxo de Caixa",#N/A,FALSE,"Fluxo Caixa";"Investimentos",#N/A,FALSE,"Investimentos"}</definedName>
    <definedName name="kfgkhjkjhy" hidden="1">{#N/A,#N/A,FALSE,"Plan1";#N/A,#N/A,FALSE,"Plan2"}</definedName>
    <definedName name="KFJFDSDF" hidden="1">{#N/A,#N/A,FALSE,"Plan1";#N/A,#N/A,FALSE,"Plan2"}</definedName>
    <definedName name="kfnkeasd" hidden="1">{#N/A,#N/A,FALSE,"Plan1";#N/A,#N/A,FALSE,"Plan2"}</definedName>
    <definedName name="khdjkfkjhtg" hidden="1">{#N/A,#N/A,FALSE,"Plan1";#N/A,#N/A,FALSE,"Plan2"}</definedName>
    <definedName name="khdkfjhhfsdg" hidden="1">{#N/A,#N/A,FALSE,"Plan1";#N/A,#N/A,FALSE,"Plan2"}</definedName>
    <definedName name="khdkjfhgudytu" hidden="1">{#N/A,#N/A,FALSE,"Plan1";#N/A,#N/A,FALSE,"Plan2"}</definedName>
    <definedName name="khfdghhhgd" hidden="1">{#N/A,#N/A,FALSE,"Plan1";#N/A,#N/A,FALSE,"Plan2"}</definedName>
    <definedName name="khfdkjhsdjf" hidden="1">{#N/A,#N/A,FALSE,"Plan1";#N/A,#N/A,FALSE,"Plan2"}</definedName>
    <definedName name="khgdkftfy" hidden="1">{#N/A,#N/A,FALSE,"Plan1";#N/A,#N/A,FALSE,"Plan2"}</definedName>
    <definedName name="khgfhhtuhf" hidden="1">{#N/A,#N/A,FALSE,"Plan1";#N/A,#N/A,FALSE,"Plan2"}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hidden="1">{#N/A,#N/A,FALSE,"Plan1";#N/A,#N/A,FALSE,"Plan2"}</definedName>
    <definedName name="kieret" hidden="1">{#N/A,#N/A,FALSE,"Plan1";#N/A,#N/A,FALSE,"Plan2"}</definedName>
    <definedName name="kiweokwr" hidden="1">#REF!</definedName>
    <definedName name="kjchkfhsezk" hidden="1">{#N/A,#N/A,FALSE,"Plan1";#N/A,#N/A,FALSE,"Plan2"}</definedName>
    <definedName name="kjdghksef" hidden="1">{#N/A,#N/A,FALSE,"Plan1";#N/A,#N/A,FALSE,"Plan2"}</definedName>
    <definedName name="kjdkftyhtert" hidden="1">{#N/A,#N/A,FALSE,"Plan1";#N/A,#N/A,FALSE,"Plan2"}</definedName>
    <definedName name="kjdlfkjds" hidden="1">{#N/A,#N/A,FALSE,"Plan1";#N/A,#N/A,FALSE,"Plan2"}</definedName>
    <definedName name="kjdzhfytrfy" hidden="1">{#N/A,#N/A,FALSE,"Plan1";#N/A,#N/A,FALSE,"Plan2"}</definedName>
    <definedName name="kjhdfgjthdft" hidden="1">{#N/A,#N/A,FALSE,"Plan1";#N/A,#N/A,FALSE,"Plan2"}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hidden="1">{#N/A,#N/A,FALSE,"Plan1";#N/A,#N/A,FALSE,"Plan2"}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hidden="1">{#N/A,#N/A,FALSE,"Plan1";#N/A,#N/A,FALSE,"Plan2"}</definedName>
    <definedName name="kjl" hidden="1">{#N/A,#N/A,FALSE,"ENG'G(보호계전기)"}</definedName>
    <definedName name="KJOI" hidden="1">{#N/A,#N/A,FALSE,"Plan1";#N/A,#N/A,FALSE,"Plan2"}</definedName>
    <definedName name="kjqwerw" hidden="1">{#N/A,#N/A,FALSE,"Plan1";#N/A,#N/A,FALSE,"Plan2"}</definedName>
    <definedName name="kjsfert" hidden="1">{#N/A,#N/A,FALSE,"Plan1";#N/A,#N/A,FALSE,"Plan2"}</definedName>
    <definedName name="KJXCFKR" hidden="1">{#N/A,#N/A,FALSE,"Plan1";#N/A,#N/A,FALSE,"Plan2"}</definedName>
    <definedName name="KJXDFD" hidden="1">{#N/A,#N/A,FALSE,"Plan1";#N/A,#N/A,FALSE,"Plan2"}</definedName>
    <definedName name="kjydhfkjghkjfh" hidden="1">#REF!</definedName>
    <definedName name="kk">#REF!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hidden="1">{#N/A,#N/A,FALSE,"Plan1";#N/A,#N/A,FALSE,"Plan2"}</definedName>
    <definedName name="kkkkk" hidden="1">{#N/A,#N/A,FALSE,"Plan1";#N/A,#N/A,FALSE,"Plan2"}</definedName>
    <definedName name="kkkkkk" hidden="1">{#N/A,#N/A,FALSE,"Plan1";#N/A,#N/A,FALSE,"Plan2"}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hidden="1">{#N/A,#N/A,FALSE,"Plan1";#N/A,#N/A,FALSE,"Plan2"}</definedName>
    <definedName name="kksarde" hidden="1">{#N/A,#N/A,FALSE,"Plan1";#N/A,#N/A,FALSE,"Plan2"}</definedName>
    <definedName name="klaskldjsw" hidden="1">{#N/A,#N/A,FALSE,"Plan1";#N/A,#N/A,FALSE,"Plan2"}</definedName>
    <definedName name="klçkop" hidden="1">{#N/A,#N/A,FALSE,"Plan1";#N/A,#N/A,FALSE,"Plan2"}</definedName>
    <definedName name="KLDFNTRDT" hidden="1">{#N/A,#N/A,FALSE,"Plan1";#N/A,#N/A,FALSE,"Plan2"}</definedName>
    <definedName name="klhjsdklhdf" hidden="1">{#N/A,#N/A,FALSE,"Plan1";#N/A,#N/A,FALSE,"Plan2"}</definedName>
    <definedName name="KLHSKLRHWE" hidden="1">{#N/A,#N/A,FALSE,"Plan1";#N/A,#N/A,FALSE,"Plan2"}</definedName>
    <definedName name="KLJASKJD" hidden="1">{#N/A,#N/A,FALSE,"Plan1";#N/A,#N/A,FALSE,"Plan2"}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hidden="1">{#N/A,#N/A,FALSE,"Plan1";#N/A,#N/A,FALSE,"Plan2"}</definedName>
    <definedName name="kljflgjrf" hidden="1">{#N/A,#N/A,FALSE,"Plan1";#N/A,#N/A,FALSE,"Plan2"}</definedName>
    <definedName name="kljgfdfr" hidden="1">{#N/A,#N/A,FALSE,"Plan1";#N/A,#N/A,FALSE,"Plan2"}</definedName>
    <definedName name="kljgfjrt" hidden="1">{#N/A,#N/A,FALSE,"Plan1";#N/A,#N/A,FALSE,"Plan2"}</definedName>
    <definedName name="kljlkdfj" hidden="1">{#N/A,#N/A,FALSE,"Plan1";#N/A,#N/A,FALSE,"Plan2"}</definedName>
    <definedName name="kljsakjfr" hidden="1">{#N/A,#N/A,FALSE,"Plan1";#N/A,#N/A,FALSE,"Plan2"}</definedName>
    <definedName name="kljsdje" hidden="1">{#N/A,#N/A,FALSE,"Plan1";#N/A,#N/A,FALSE,"Plan2"}</definedName>
    <definedName name="kljsfwe" hidden="1">{#N/A,#N/A,FALSE,"Plan1";#N/A,#N/A,FALSE,"Plan2"}</definedName>
    <definedName name="klk" hidden="1">{#N/A,#N/A,FALSE,"Plan1";#N/A,#N/A,FALSE,"Plan2"}</definedName>
    <definedName name="KLKKLKÇJÇ" hidden="1">{#N/A,#N/A,FALSE,"Plan1";#N/A,#N/A,FALSE,"Plan2"}</definedName>
    <definedName name="KLSDFT" hidden="1">{#N/A,#N/A,FALSE,"Plan1";#N/A,#N/A,FALSE,"Plan2"}</definedName>
    <definedName name="KLSDHSJKHF" hidden="1">{#N/A,#N/A,FALSE,"Plan1";#N/A,#N/A,FALSE,"Plan2"}</definedName>
    <definedName name="klsdkre" hidden="1">{#N/A,#N/A,FALSE,"Plan1";#N/A,#N/A,FALSE,"Plan2"}</definedName>
    <definedName name="KLSIDJE" hidden="1">{#N/A,#N/A,FALSE,"Plan1";#N/A,#N/A,FALSE,"Plan2"}</definedName>
    <definedName name="klsjarsf" hidden="1">{#N/A,#N/A,FALSE,"Plan1";#N/A,#N/A,FALSE,"Plan2"}</definedName>
    <definedName name="klsjdwe" hidden="1">#REF!</definedName>
    <definedName name="klxhjfdkhser" hidden="1">{#N/A,#N/A,FALSE,"Plan1";#N/A,#N/A,FALSE,"Plan2"}</definedName>
    <definedName name="kopipnsdfne" hidden="1">{#N/A,#N/A,FALSE,"Plan1";#N/A,#N/A,FALSE,"Plan2"}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hidden="1">{#N/A,#N/A,FALSE,"Plan1";#N/A,#N/A,FALSE,"Plan2"}</definedName>
    <definedName name="ksdlkfsçzd" hidden="1">{#N/A,#N/A,FALSE,"Plan1";#N/A,#N/A,FALSE,"Plan2"}</definedName>
    <definedName name="KSDNFK">#REF!</definedName>
    <definedName name="ksdoçierfe" hidden="1">{#N/A,#N/A,FALSE,"Plan1";#N/A,#N/A,FALSE,"Plan2"}</definedName>
    <definedName name="ksdtrdrkf" hidden="1">{#N/A,#N/A,FALSE,"Plan1";#N/A,#N/A,FALSE,"Plan2"}</definedName>
    <definedName name="KSFÇJDFJL" hidden="1">{#N/A,#N/A,FALSE,"Plan1";#N/A,#N/A,FALSE,"Plan2"}</definedName>
    <definedName name="ksfhse" hidden="1">{#N/A,#N/A,FALSE,"Plan1";#N/A,#N/A,FALSE,"Plan2"}</definedName>
    <definedName name="KSRKOE" hidden="1">{#N/A,#N/A,FALSE,"Plan1";#N/A,#N/A,FALSE,"Plan2"}</definedName>
    <definedName name="KSWKE" hidden="1">{#N/A,#N/A,FALSE,"Plan1";#N/A,#N/A,FALSE,"Plan2"}</definedName>
    <definedName name="kubus">#REF!</definedName>
    <definedName name="kubus1">#REF!</definedName>
    <definedName name="kysdusf" hidden="1">{#N/A,#N/A,FALSE,"Plan1";#N/A,#N/A,FALSE,"Plan2"}</definedName>
    <definedName name="kzslçdkçle" hidden="1">{#N/A,#N/A,FALSE,"Plan1";#N/A,#N/A,FALSE,"Plan2"}</definedName>
    <definedName name="L_">#REF!</definedName>
    <definedName name="LAEKWRK" hidden="1">{#N/A,#N/A,FALSE,"Plan1";#N/A,#N/A,FALSE,"Plan2"}</definedName>
    <definedName name="laeqwep" hidden="1">#REF!</definedName>
    <definedName name="LAKDEWRF" hidden="1">{#N/A,#N/A,FALSE,"Plan1";#N/A,#N/A,FALSE,"Plan2"}</definedName>
    <definedName name="Lancamentos">#REF!</definedName>
    <definedName name="LARGURA">#REF!</definedName>
    <definedName name="LASÇDSRLF" hidden="1">{#N/A,#N/A,FALSE,"Plan1";#N/A,#N/A,FALSE,"Plan2"}</definedName>
    <definedName name="LASDAKWE" hidden="1">25</definedName>
    <definedName name="lasrlswer" hidden="1">{#N/A,#N/A,FALSE,"Plan1";#N/A,#N/A,FALSE,"Plan2"}</definedName>
    <definedName name="LAZER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hidden="1">{#N/A,#N/A,FALSE,"Plan1";#N/A,#N/A,FALSE,"Plan2"}</definedName>
    <definedName name="lçasser" hidden="1">{#N/A,#N/A,FALSE,"Plan1";#N/A,#N/A,FALSE,"Plan2"}</definedName>
    <definedName name="lcdgjtklfrn" hidden="1">{#N/A,#N/A,FALSE,"Plan1";#N/A,#N/A,FALSE,"Plan2"}</definedName>
    <definedName name="lçfklsdkçaer" hidden="1">{#N/A,#N/A,FALSE,"Plan1";#N/A,#N/A,FALSE,"Plan2"}</definedName>
    <definedName name="lçjkgf" hidden="1">{#N/A,#N/A,FALSE,"Plan1";#N/A,#N/A,FALSE,"Plan2"}</definedName>
    <definedName name="LÇJSLDFJ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hidden="1">{#N/A,#N/A,FALSE,"Plan1";#N/A,#N/A,FALSE,"Plan2"}</definedName>
    <definedName name="lçslrr4r" hidden="1">{#N/A,#N/A,FALSE,"Plan1";#N/A,#N/A,FALSE,"Plan2"}</definedName>
    <definedName name="ldfjgry" hidden="1">{#N/A,#N/A,FALSE,"Plan1";#N/A,#N/A,FALSE,"Plan2"}</definedName>
    <definedName name="ldfjgtilrf" hidden="1">{#N/A,#N/A,FALSE,"Plan1";#N/A,#N/A,FALSE,"Plan2"}</definedName>
    <definedName name="ldk" hidden="1">{#N/A,#N/A,FALSE,"Plan1";#N/A,#N/A,FALSE,"Plan2"}</definedName>
    <definedName name="ldkgkdfjgkh" hidden="1">{#N/A,#N/A,FALSE,"Plan1";#N/A,#N/A,FALSE,"Plan2"}</definedName>
    <definedName name="LDTJGR" hidden="1">{#N/A,#N/A,FALSE,"Plan1";#N/A,#N/A,FALSE,"Plan2"}</definedName>
    <definedName name="Leg" hidden="1">#REF!</definedName>
    <definedName name="legr_cdi">#REF!</definedName>
    <definedName name="legr_hist">#REF!</definedName>
    <definedName name="legr_uss">#REF!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 hidden="1">{#N/A,#N/A,FALSE,"Plan1";#N/A,#N/A,FALSE,"Plan2"}</definedName>
    <definedName name="LI">#REF!</definedName>
    <definedName name="LIDER_OPER">#REF!</definedName>
    <definedName name="lidfjgklruf" hidden="1">{#N/A,#N/A,FALSE,"Plan1";#N/A,#N/A,FALSE,"Plan2"}</definedName>
    <definedName name="LII">#REF!</definedName>
    <definedName name="LIII">#REF!</definedName>
    <definedName name="LIMBO">#REF!</definedName>
    <definedName name="limcount" hidden="1">3</definedName>
    <definedName name="LIN">#REF!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 hidden="1">{#N/A,#N/A,FALSE,"Plan1";#N/A,#N/A,FALSE,"Plan2"}</definedName>
    <definedName name="LJDFLJRL" hidden="1">{#N/A,#N/A,FALSE,"Plan1";#N/A,#N/A,FALSE,"Plan2"}</definedName>
    <definedName name="ljsdfrd" hidden="1">{#N/A,#N/A,FALSE,"Plan1";#N/A,#N/A,FALSE,"Plan2"}</definedName>
    <definedName name="LJSFLDJDLKFJG" hidden="1">#REF!</definedName>
    <definedName name="LK" hidden="1">{#N/A,#N/A,TRUE,"Quinzena 01 à 15-04-98 "}</definedName>
    <definedName name="lkasdkeo" hidden="1">{#N/A,#N/A,FALSE,"Plan1";#N/A,#N/A,FALSE,"Plan2"}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hidden="1">{#N/A,#N/A,FALSE,"Plan1";#N/A,#N/A,FALSE,"Plan2"}</definedName>
    <definedName name="lkt" hidden="1">{#N/A,#N/A,FALSE,"Plan1";#N/A,#N/A,FALSE,"Plan2"}</definedName>
    <definedName name="lktlyklt" hidden="1">{#N/A,#N/A,FALSE,"Plan1";#N/A,#N/A,FALSE,"Plan2"}</definedName>
    <definedName name="LKTTYT" hidden="1">{#N/A,#N/A,FALSE,"Plan1";#N/A,#N/A,FALSE,"Plan2"}</definedName>
    <definedName name="llgg" hidden="1">{#N/A,#N/A,FALSE,"Plan1";#N/A,#N/A,FALSE,"Plan2"}</definedName>
    <definedName name="LLL" hidden="1">{#N/A,#N/A,FALSE,"Plan1";#N/A,#N/A,FALSE,"Plan2"}</definedName>
    <definedName name="LM_AR" hidden="1">{#N/A,#N/A,FALSE,"F-01"}</definedName>
    <definedName name="LM_AT" hidden="1">{#N/A,#N/A,FALSE,"F-01"}</definedName>
    <definedName name="LM_INC" hidden="1">{#N/A,#N/A,FALSE,"F-01"}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 localSheetId="10">#REF!</definedName>
    <definedName name="LS" localSheetId="16">'[1]M.O.'!#REF!</definedName>
    <definedName name="LS" localSheetId="18">'[1]M.O.'!#REF!</definedName>
    <definedName name="LS" localSheetId="0">'[1]M.O.'!#REF!</definedName>
    <definedName name="LS" localSheetId="7">'[1]M.O.'!#REF!</definedName>
    <definedName name="LS" localSheetId="2">'[1]M.O.'!#REF!</definedName>
    <definedName name="LS" localSheetId="8">'[1]M.O.'!#REF!</definedName>
    <definedName name="LS">'[1]M.O.'!#REF!</definedName>
    <definedName name="LSDFKLDKFTR" hidden="1">{#N/A,#N/A,FALSE,"Plan1";#N/A,#N/A,FALSE,"Plan2"}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hidden="1">{#N/A,#N/A,FALSE,"Plan1";#N/A,#N/A,FALSE,"Plan2"}</definedName>
    <definedName name="lsdsder" hidden="1">{#N/A,#N/A,FALSE,"Plan1";#N/A,#N/A,FALSE,"Plan2"}</definedName>
    <definedName name="ltj6ljyhdjhngças" hidden="1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 hidden="1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 hidden="1">{#N/A,#N/A,FALSE,"Plan1";#N/A,#N/A,FALSE,"Plan2"}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hidden="1">{#N/A,#N/A,FALSE,"Plan1";#N/A,#N/A,FALSE,"Plan2"}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 hidden="1">{#N/A,#N/A,FALSE,"Plan1";#N/A,#N/A,FALSE,"Plan2"}</definedName>
    <definedName name="MDSÇLFJKJSD" hidden="1">{#N/A,#N/A,FALSE,"Plan1";#N/A,#N/A,FALSE,"Plan2"}</definedName>
    <definedName name="ME" hidden="1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 localSheetId="16">#REF!</definedName>
    <definedName name="MENU" localSheetId="18">#REF!</definedName>
    <definedName name="MENU" localSheetId="0">#REF!</definedName>
    <definedName name="MENU" localSheetId="7">#REF!</definedName>
    <definedName name="MENU" localSheetId="2">#REF!</definedName>
    <definedName name="MENU" localSheetId="8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 hidden="1">#REF!</definedName>
    <definedName name="Minha_Casa_Minha_Vida">#REF!</definedName>
    <definedName name="MLMÇLKJKI" hidden="1">{#N/A,#N/A,FALSE,"Plan1";#N/A,#N/A,FALSE,"Plan2"}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hidden="1">{"tabela",#N/A,FALSE,"Tabela";"decoração",#N/A,FALSE,"Decor.";"Informações",#N/A,FALSE,"Inform."}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hidden="1">{#N/A,#N/A,FALSE,"Plan1";#N/A,#N/A,FALSE,"Plan2"}</definedName>
    <definedName name="mncvbgcvmc" hidden="1">{#N/A,#N/A,FALSE,"Plan1";#N/A,#N/A,FALSE,"Plan2"}</definedName>
    <definedName name="MNDKZSFNCEA" hidden="1">{#N/A,#N/A,FALSE,"Plan1";#N/A,#N/A,FALSE,"Plan2"}</definedName>
    <definedName name="mnhdshfgfhd" hidden="1">{#N/A,#N/A,FALSE,"Plan1";#N/A,#N/A,FALSE,"Plan2"}</definedName>
    <definedName name="mo" localSheetId="10">#REF!</definedName>
    <definedName name="mo">#REF!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 hidden="1">{#N/A,#N/A,FALSE,"CCTV"}</definedName>
    <definedName name="MSDFJKDT" hidden="1">25</definedName>
    <definedName name="MSDRFSWER" hidden="1">{"Econ Consolidado",#N/A,FALSE,"Econ Consol";"Fluxo de Caixa",#N/A,FALSE,"Fluxo Caixa";"Investimentos",#N/A,FALSE,"Investimentos"}</definedName>
    <definedName name="MURBOMB">#REF!</definedName>
    <definedName name="mzshdjshjs" hidden="1">{#N/A,#N/A,FALSE,"Plan1";#N/A,#N/A,FALSE,"Plan2"}</definedName>
    <definedName name="na" hidden="1">{#N/A,#N/A,FALSE,"$170M Cash";#N/A,#N/A,FALSE,"$250M Cash";#N/A,#N/A,FALSE,"$325M Cash"}</definedName>
    <definedName name="ncdgrdhrtg" hidden="1">{#N/A,#N/A,FALSE,"Plan1";#N/A,#N/A,FALSE,"Plan2"}</definedName>
    <definedName name="nchngdfhgdh" hidden="1">{#N/A,#N/A,FALSE,"Plan1";#N/A,#N/A,FALSE,"Plan2"}</definedName>
    <definedName name="NCJFKNGJHF" hidden="1">{#N/A,#N/A,FALSE,"Plan1";#N/A,#N/A,FALSE,"Plan2"}</definedName>
    <definedName name="NDATA">#REF!</definedName>
    <definedName name="ndcxhgdhf" hidden="1">{#N/A,#N/A,FALSE,"Plan1";#N/A,#N/A,FALSE,"Plan2"}</definedName>
    <definedName name="ndfjnjkrhdgt" hidden="1">{#N/A,#N/A,FALSE,"Plan1";#N/A,#N/A,FALSE,"Plan2"}</definedName>
    <definedName name="ndfkghkjthfyst" hidden="1">{#N/A,#N/A,FALSE,"Plan1";#N/A,#N/A,FALSE,"Plan2"}</definedName>
    <definedName name="ndfldslvjnvberugberqubquierbv">#REF!</definedName>
    <definedName name="NDJGKFKGHUFG" hidden="1">{#N/A,#N/A,FALSE,"Plan1";#N/A,#N/A,FALSE,"Plan2"}</definedName>
    <definedName name="ndrjkt" hidden="1">{#N/A,#N/A,FALSE,"Plan1";#N/A,#N/A,FALSE,"Plan2"}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hidden="1">{#N/A,#N/A,FALSE,"CCTV"}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hidden="1">{#N/A,#N/A,FALSE,"Plan1";#N/A,#N/A,FALSE,"Plan2"}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hidden="1">{#N/A,#N/A,FALSE,"Plan1";#N/A,#N/A,FALSE,"Plan2"}</definedName>
    <definedName name="NJSDFHERTG" hidden="1">{#N/A,#N/A,FALSE,"Plan1";#N/A,#N/A,FALSE,"Plan2"}</definedName>
    <definedName name="nkfnsskdn" hidden="1">{#N/A,#N/A,FALSE,"Plan1";#N/A,#N/A,FALSE,"Plan2"}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 hidden="1">{#N/A,#N/A,FALSE,"Plan1";#N/A,#N/A,FALSE,"Plan2"}</definedName>
    <definedName name="nljsdfljfdsfr" hidden="1">{#N/A,#N/A,FALSE,"Plan1";#N/A,#N/A,FALSE,"Plan2"}</definedName>
    <definedName name="nm_k1">#REF!</definedName>
    <definedName name="nm_k2">#REF!</definedName>
    <definedName name="nm_k3">#REF!</definedName>
    <definedName name="nmjdfhxj" hidden="1">{#N/A,#N/A,FALSE,"Plan1";#N/A,#N/A,FALSE,"Plan2"}</definedName>
    <definedName name="nnmn" hidden="1">{#N/A,#N/A,FALSE,"Plan1";#N/A,#N/A,FALSE,"Plan2"}</definedName>
    <definedName name="nnn" hidden="1">{#N/A,#N/A,FALSE,"Plan1";#N/A,#N/A,FALSE,"Plan2"}</definedName>
    <definedName name="nnnnnnnnnnn" hidden="1">{"HW",#N/A,FALSE,"1998"}</definedName>
    <definedName name="NNNNNNNNNNNNNNN" hidden="1">{#N/A,#N/A,FALSE,"Plan1";#N/A,#N/A,FALSE,"Plan2"}</definedName>
    <definedName name="nnnnnnnnnnnnnnnnnnnn" hidden="1">{#N/A,#N/A,FALSE,"Plan1";#N/A,#N/A,FALSE,"Plan2"}</definedName>
    <definedName name="NNXFT" hidden="1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 hidden="1">{#N/A,#N/A,FALSE,"Plan1";#N/A,#N/A,FALSE,"Plan2"}</definedName>
    <definedName name="nsfljdiljrf" hidden="1">{#N/A,#N/A,FALSE,"Plan1";#N/A,#N/A,FALSE,"Plan2"}</definedName>
    <definedName name="NUCOPIAS">#REF!</definedName>
    <definedName name="NUMOBRA">#REF!</definedName>
    <definedName name="NutN">#REF!</definedName>
    <definedName name="nzxcnnjkd" hidden="1">{#N/A,#N/A,FALSE,"Plan1";#N/A,#N/A,FALSE,"Plan2"}</definedName>
    <definedName name="OAE" localSheetId="10">#REF!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 hidden="1">25</definedName>
    <definedName name="odfuudor" hidden="1">{#N/A,#N/A,FALSE,"Plan1";#N/A,#N/A,FALSE,"Plan2"}</definedName>
    <definedName name="ODH" hidden="1">#REF!</definedName>
    <definedName name="oficial_mes">#REF!</definedName>
    <definedName name="oficial2_mes">#REF!</definedName>
    <definedName name="oiditrot" hidden="1">{#N/A,#N/A,FALSE,"Plan1";#N/A,#N/A,FALSE,"Plan2"}</definedName>
    <definedName name="oio" hidden="1">{#N/A,#N/A,FALSE,"Plan1";#N/A,#N/A,FALSE,"Plan2"}</definedName>
    <definedName name="OITO">#REF!</definedName>
    <definedName name="oiufioorif" hidden="1">#REF!</definedName>
    <definedName name="OJÇLJ" hidden="1">{#N/A,#N/A,FALSE,"Plan1";#N/A,#N/A,FALSE,"Plan2"}</definedName>
    <definedName name="ojkdfit" hidden="1">{#N/A,#N/A,FALSE,"Plan1";#N/A,#N/A,FALSE,"Plan2"}</definedName>
    <definedName name="oMISSOS" hidden="1">#REF!</definedName>
    <definedName name="ONZE">#REF!</definedName>
    <definedName name="ooo" hidden="1">{#N/A,#N/A,FALSE,"Plan1";#N/A,#N/A,FALSE,"Plan2"}</definedName>
    <definedName name="OPASEDWED" hidden="1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 hidden="1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 hidden="1">{#N/A,#N/A,FALSE,"TABLE"}</definedName>
    <definedName name="osca_cdi">#REF!</definedName>
    <definedName name="osca_hist">#REF!</definedName>
    <definedName name="osca_uss">#REF!</definedName>
    <definedName name="otodgkrjglsrd" hidden="1">{#N/A,#N/A,FALSE,"Plan1";#N/A,#N/A,FALSE,"Plan2"}</definedName>
    <definedName name="OUERWRSR" hidden="1">{#N/A,#N/A,FALSE,"Plan1";#N/A,#N/A,FALSE,"Plan2"}</definedName>
    <definedName name="out17RJ">#REF!</definedName>
    <definedName name="outro" hidden="1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 hidden="1">"3HURD34M2XKWJ5V6M4BWCR5Q"</definedName>
    <definedName name="PAP">#REF!</definedName>
    <definedName name="PARAM_FIS_1">#REF!</definedName>
    <definedName name="PARAM_FIS_2">#REF!</definedName>
    <definedName name="ParamValues1" localSheetId="10">#REF!</definedName>
    <definedName name="ParamValues1">[3]ParamValues!$A$1:$A$39</definedName>
    <definedName name="Parao_E">#REF!</definedName>
    <definedName name="Parede1">#REF!</definedName>
    <definedName name="Parede2">#REF!</definedName>
    <definedName name="PAREDES">#REF!</definedName>
    <definedName name="PAV" localSheetId="16">#REF!</definedName>
    <definedName name="PAV" localSheetId="18">#REF!</definedName>
    <definedName name="PAV" localSheetId="0">#REF!</definedName>
    <definedName name="PAV" localSheetId="7">#REF!</definedName>
    <definedName name="PAV" localSheetId="2">#REF!</definedName>
    <definedName name="PAV" localSheetId="8">#REF!</definedName>
    <definedName name="PAV">#REF!</definedName>
    <definedName name="PAVILHAO">#REF!</definedName>
    <definedName name="PAVT">#REF!</definedName>
    <definedName name="pçgktr" hidden="1">#REF!</definedName>
    <definedName name="PDER">#REF!</definedName>
    <definedName name="PDIVERS">#REF!</definedName>
    <definedName name="PE">#REF!</definedName>
    <definedName name="PEMD">#REF!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ssoal">#REF!</definedName>
    <definedName name="petro2" hidden="1">#REF!</definedName>
    <definedName name="PhyG">#REF!</definedName>
    <definedName name="PhyGS">#REF!</definedName>
    <definedName name="PI">#REF!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 hidden="1">{#N/A,#N/A,TRUE,"Quinzena 01 à 15-04-98 "}</definedName>
    <definedName name="Placas_Areas" hidden="1">{#N/A,#N/A,TRUE,"Quinzena 01 à 15-04-98 "}</definedName>
    <definedName name="PLAN">#REF!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 hidden="1">{#N/A,#N/A,FALSE,"Plan1";#N/A,#N/A,FALSE,"Plan2"}</definedName>
    <definedName name="plaslrswe" hidden="1">{#N/A,#N/A,FALSE,"Plan1";#N/A,#N/A,FALSE,"Plan2"}</definedName>
    <definedName name="pls" hidden="1">#REF!</definedName>
    <definedName name="plsearpef" hidden="1">{#N/A,#N/A,FALSE,"Plan1";#N/A,#N/A,FALSE,"Plan2"}</definedName>
    <definedName name="plss" hidden="1">{#N/A,#N/A,FALSE,"Plan1";#N/A,#N/A,FALSE,"Plan2"}</definedName>
    <definedName name="PMUR">#REF!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EDITAL">#REF!</definedName>
    <definedName name="PRAZO_ORC">#REF!</definedName>
    <definedName name="prazo2">#REF!</definedName>
    <definedName name="PRE">#REF!</definedName>
    <definedName name="PREÇ">OFFSET(#REF!,0,0,COUNTA(#REF!),1)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 hidden="1">{#N/A,#N/A,FALSE,"$170M Cash";#N/A,#N/A,FALSE,"$250M Cash";#N/A,#N/A,FALSE,"$325M Cash"}</definedName>
    <definedName name="Print_Area_MI" localSheetId="10">#REF!</definedName>
    <definedName name="Print_Area_MI">#REF!</definedName>
    <definedName name="PRINT_TITLES_MI">#REF!</definedName>
    <definedName name="programa">#REF!</definedName>
    <definedName name="Programaa">#REF!</definedName>
    <definedName name="projeto_nome_com">IF((COUNTA(#REF!)-2)&gt;1,"TERRENO "&amp;VLOOKUP(#REF!,#REF!,8,0),VLOOKUP(#REF!,#REF!,3,0))</definedName>
    <definedName name="PROPAGANDA">#REF!</definedName>
    <definedName name="ptirigyiotut" hidden="1">{#N/A,#N/A,FALSE,"Plan1";#N/A,#N/A,FALSE,"Plan2"}</definedName>
    <definedName name="PWER3" hidden="1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 hidden="1">{#N/A,#N/A,FALSE,"명세표"}</definedName>
    <definedName name="QOAS_POAS">#REF!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 hidden="1">#REF!</definedName>
    <definedName name="QREAL_PCLIENTE">#REF!</definedName>
    <definedName name="QReal_PCliente1">#REF!</definedName>
    <definedName name="QSQWSE" hidden="1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P">#REF!</definedName>
    <definedName name="QUATRO">#REF!</definedName>
    <definedName name="QUINZE">#REF!</definedName>
    <definedName name="qwdqw" hidden="1">{#N/A,#N/A,FALSE,"Plan1";#N/A,#N/A,FALSE,"Plan2"}</definedName>
    <definedName name="qweqwe" hidden="1">{#N/A,#N/A,FALSE,"Plan1";#N/A,#N/A,FALSE,"Plan2"}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hidden="1">#REF!</definedName>
    <definedName name="qwqw" hidden="1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 hidden="1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10">#REF!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 hidden="1">{#N/A,#N/A,TRUE,"Quinzena 01 à 15-04-98 "}</definedName>
    <definedName name="REV" localSheetId="10">#REF!</definedName>
    <definedName name="REV">#REF!</definedName>
    <definedName name="RF" hidden="1">{#N/A,#N/A,FALSE,"CCTV"}</definedName>
    <definedName name="rgedrfrgfdg" hidden="1">{#N/A,#N/A,FALSE,"Plan1";#N/A,#N/A,FALSE,"Plan2"}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 hidden="1">#REF!</definedName>
    <definedName name="rrrrr" hidden="1">{"'장비'!$A$3:$M$12"}</definedName>
    <definedName name="rrrrrrrr" hidden="1">{"'장비'!$A$3:$M$12"}</definedName>
    <definedName name="rrrrrrrrrrr" hidden="1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 hidden="1">{"'장비'!$A$3:$M$12"}</definedName>
    <definedName name="s">#REF!</definedName>
    <definedName name="sa" localSheetId="10">#REF!</definedName>
    <definedName name="sa">#REF!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hidden="1">{#N/A,#N/A,FALSE,"Plan1";#N/A,#N/A,FALSE,"Plan2"}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hidden="1">{#N/A,#N/A,FALSE,"Plan1";#N/A,#N/A,FALSE,"Plan2"}</definedName>
    <definedName name="SADSRTR" hidden="1">{#N/A,#N/A,FALSE,"Plan1";#N/A,#N/A,FALSE,"Plan2"}</definedName>
    <definedName name="sadwde" hidden="1">{#N/A,#N/A,FALSE,"Plan1";#N/A,#N/A,FALSE,"Plan2"}</definedName>
    <definedName name="Salas">#REF!</definedName>
    <definedName name="sanjay" hidden="1">{#N/A,#N/A,FALSE,"TABLE"}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hidden="1">{#N/A,#N/A,FALSE,"Plan1";#N/A,#N/A,FALSE,"Plan2"}</definedName>
    <definedName name="sasads" hidden="1">{#N/A,#N/A,FALSE,"Plan1";#N/A,#N/A,FALSE,"Plan2"}</definedName>
    <definedName name="SC" hidden="1">#REF!</definedName>
    <definedName name="sçadldfsfd" hidden="1">25</definedName>
    <definedName name="sda">#REF!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hidden="1">{#N/A,#N/A,FALSE,"Plan1";#N/A,#N/A,FALSE,"Plan2"}</definedName>
    <definedName name="sdckd" hidden="1">{#N/A,#N/A,FALSE,"Plan1";#N/A,#N/A,FALSE,"Plan2"}</definedName>
    <definedName name="SDDFKSEDE" hidden="1">{#N/A,#N/A,FALSE,"Plan1";#N/A,#N/A,FALSE,"Plan2"}</definedName>
    <definedName name="sddkslker" hidden="1">{#N/A,#N/A,FALSE,"Plan1";#N/A,#N/A,FALSE,"Plan2"}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hidden="1">#REF!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hidden="1">{#N/A,#N/A,FALSE,"Plan1";#N/A,#N/A,FALSE,"Plan2"}</definedName>
    <definedName name="sdfdfc" hidden="1">{#N/A,#N/A,FALSE,"Plan1";#N/A,#N/A,FALSE,"Plan2"}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hidden="1">{#N/A,#N/A,FALSE,"Plan1";#N/A,#N/A,FALSE,"Plan2"}</definedName>
    <definedName name="sdfdsf" hidden="1">{#N/A,#N/A,FALSE,"Plan1";#N/A,#N/A,FALSE,"Plan2"}</definedName>
    <definedName name="sdfdsf\da" hidden="1">{#N/A,#N/A,FALSE,"Plan1";#N/A,#N/A,FALSE,"Plan2"}</definedName>
    <definedName name="SDFEDRT" hidden="1">{#N/A,#N/A,FALSE,"Plan1";#N/A,#N/A,FALSE,"Plan2"}</definedName>
    <definedName name="sdfer" hidden="1">{#N/A,#N/A,FALSE,"Plan1";#N/A,#N/A,FALSE,"Plan2"}</definedName>
    <definedName name="sdferr" hidden="1">{#N/A,#N/A,FALSE,"Plan1";#N/A,#N/A,FALSE,"Plan2"}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hidden="1">{#N/A,#N/A,FALSE,"Plan1";#N/A,#N/A,FALSE,"Plan2"}</definedName>
    <definedName name="sdfgtr" hidden="1">{#N/A,#N/A,FALSE,"Plan1";#N/A,#N/A,FALSE,"Plan2"}</definedName>
    <definedName name="sdfjdetrt" hidden="1">{#N/A,#N/A,FALSE,"Plan1";#N/A,#N/A,FALSE,"Plan2"}</definedName>
    <definedName name="SDFJDRTJEIDR" hidden="1">{#N/A,#N/A,FALSE,"Plan1";#N/A,#N/A,FALSE,"Plan2"}</definedName>
    <definedName name="sdfjergtij" hidden="1">{#N/A,#N/A,FALSE,"Plan1";#N/A,#N/A,FALSE,"Plan2"}</definedName>
    <definedName name="SDFOPJKWE" hidden="1">{#N/A,#N/A,FALSE,"Plan1";#N/A,#N/A,FALSE,"Plan2"}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hidden="1">{#N/A,#N/A,FALSE,"Plan1";#N/A,#N/A,FALSE,"Plan2"}</definedName>
    <definedName name="SDFRTKK" hidden="1">{#N/A,#N/A,FALSE,"Plan1";#N/A,#N/A,FALSE,"Plan2"}</definedName>
    <definedName name="SDFRTR" hidden="1">{#N/A,#N/A,FALSE,"Plan1";#N/A,#N/A,FALSE,"Plan2"}</definedName>
    <definedName name="sdfry6" hidden="1">{#N/A,#N/A,FALSE,"Plan1";#N/A,#N/A,FALSE,"Plan2"}</definedName>
    <definedName name="sdfsaf" hidden="1">{#N/A,#N/A,FALSE,"Plan1";#N/A,#N/A,FALSE,"Plan2"}</definedName>
    <definedName name="sdfsd" hidden="1">{"'Estimativa de Lançamento-JAN'!$A$1:$AI$85"}</definedName>
    <definedName name="sdfsdfg" hidden="1">{#N/A,#N/A,FALSE,"Plan1";#N/A,#N/A,FALSE,"Plan2"}</definedName>
    <definedName name="SDFSDFK" hidden="1">{#N/A,#N/A,FALSE,"Plan1";#N/A,#N/A,FALSE,"Plan2"}</definedName>
    <definedName name="sdfsdgftret" hidden="1">{#N/A,#N/A,FALSE,"Plan1";#N/A,#N/A,FALSE,"Plan2"}</definedName>
    <definedName name="sdfsdr" hidden="1">1</definedName>
    <definedName name="sdfsf" hidden="1">{#N/A,#N/A,FALSE,"Plan1";#N/A,#N/A,FALSE,"Plan2"}</definedName>
    <definedName name="SDFSFRT" hidden="1">{"Econ Consolidado",#N/A,FALSE,"Econ Consol";"Fluxo de Caixa",#N/A,FALSE,"Fluxo Caixa";"Investimentos",#N/A,FALSE,"Investimentos"}</definedName>
    <definedName name="sdfsr" hidden="1">{#N/A,#N/A,FALSE,"Plan1";#N/A,#N/A,FALSE,"Plan2"}</definedName>
    <definedName name="sdfty" hidden="1">{#N/A,#N/A,FALSE,"Plan1";#N/A,#N/A,FALSE,"Plan2"}</definedName>
    <definedName name="sdgdf" hidden="1">{#N/A,#N/A,FALSE,"Plan1";#N/A,#N/A,FALSE,"Plan2"}</definedName>
    <definedName name="sdgfrt" hidden="1">{#N/A,#N/A,FALSE,"Plan1";#N/A,#N/A,FALSE,"Plan2"}</definedName>
    <definedName name="sdgft" hidden="1">{#N/A,#N/A,FALSE,"Plan1";#N/A,#N/A,FALSE,"Plan2"}</definedName>
    <definedName name="sdgt" hidden="1">{#N/A,#N/A,FALSE,"Plan1";#N/A,#N/A,FALSE,"Plan2"}</definedName>
    <definedName name="sdgtry" hidden="1">#REF!</definedName>
    <definedName name="sdhfghdsfg" hidden="1">{#N/A,#N/A,FALSE,"Plan1";#N/A,#N/A,FALSE,"Plan2"}</definedName>
    <definedName name="SDHFJKHDFJRE" hidden="1">{#N/A,#N/A,FALSE,"Plan1";#N/A,#N/A,FALSE,"Plan2"}</definedName>
    <definedName name="SDHKFDRKGTR" hidden="1">{#N/A,#N/A,FALSE,"Plan1";#N/A,#N/A,FALSE,"Plan2"}</definedName>
    <definedName name="sdjdswger" hidden="1">{#N/A,#N/A,FALSE,"Plan1";#N/A,#N/A,FALSE,"Plan2"}</definedName>
    <definedName name="sdjfdf" hidden="1">{#N/A,#N/A,FALSE,"Plan1";#N/A,#N/A,FALSE,"Plan2"}</definedName>
    <definedName name="sdjfhdjk" hidden="1">{#N/A,#N/A,FALSE,"Plan1";#N/A,#N/A,FALSE,"Plan2"}</definedName>
    <definedName name="SDJFJDER" hidden="1">{#N/A,#N/A,FALSE,"Plan1";#N/A,#N/A,FALSE,"Plan2"}</definedName>
    <definedName name="sdjflsdjfl" hidden="1">{#N/A,#N/A,FALSE,"Plan1";#N/A,#N/A,FALSE,"Plan2"}</definedName>
    <definedName name="SDJHF" hidden="1">{#N/A,#N/A,FALSE,"Plan1";#N/A,#N/A,FALSE,"Plan2"}</definedName>
    <definedName name="sdjrderertrr" hidden="1">{#N/A,#N/A,FALSE,"Plan1";#N/A,#N/A,FALSE,"Plan2"}</definedName>
    <definedName name="sdkdjk" hidden="1">{#N/A,#N/A,FALSE,"Plan1";#N/A,#N/A,FALSE,"Plan2"}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hidden="1">{#N/A,#N/A,FALSE,"Plan1";#N/A,#N/A,FALSE,"Plan2"}</definedName>
    <definedName name="sdkk" hidden="1">{#N/A,#N/A,FALSE,"Plan1";#N/A,#N/A,FALSE,"Plan2"}</definedName>
    <definedName name="sdlfsdflj" hidden="1">{#N/A,#N/A,FALSE,"Plan1";#N/A,#N/A,FALSE,"Plan2"}</definedName>
    <definedName name="sdmfmdfsgfd" hidden="1">{#N/A,#N/A,FALSE,"Plan1";#N/A,#N/A,FALSE,"Plan2"}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hidden="1">{#N/A,#N/A,FALSE,"Plan1";#N/A,#N/A,FALSE,"Plan2"}</definedName>
    <definedName name="sdsd" hidden="1">{#N/A,#N/A,FALSE,"Plan1";#N/A,#N/A,FALSE,"Plan2"}</definedName>
    <definedName name="sdser" hidden="1">{#N/A,#N/A,FALSE,"Plan1";#N/A,#N/A,FALSE,"Plan2"}</definedName>
    <definedName name="sdsre" hidden="1">{#N/A,#N/A,FALSE,"Plan1";#N/A,#N/A,FALSE,"Plan2"}</definedName>
    <definedName name="sdss" hidden="1">{#N/A,#N/A,FALSE,"Plan1";#N/A,#N/A,FALSE,"Plan2"}</definedName>
    <definedName name="sdtrtg" hidden="1">#REF!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hidden="1">{"Econ Consolidado",#N/A,FALSE,"Econ Consol";"Fluxo de Caixa",#N/A,FALSE,"Fluxo Caixa";"Investimentos",#N/A,FALSE,"Investimentos"}</definedName>
    <definedName name="sdxfrt" hidden="1">{#N/A,#N/A,FALSE,"Plan1";#N/A,#N/A,FALSE,"Plan2"}</definedName>
    <definedName name="SDZFERF" hidden="1">{#N/A,#N/A,FALSE,"Plan1";#N/A,#N/A,FALSE,"Plan2"}</definedName>
    <definedName name="se">#REF!</definedName>
    <definedName name="SEDE">#REF!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10">#REF!</definedName>
    <definedName name="SEG">#REF!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 hidden="1">3</definedName>
    <definedName name="SEQUENCIA">#REF!</definedName>
    <definedName name="SEREWRSWE" hidden="1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 hidden="1">{#N/A,#N/A,FALSE,"Plan1";#N/A,#N/A,FALSE,"Plan2"}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hidden="1">{#N/A,#N/A,FALSE,"Plan1";#N/A,#N/A,FALSE,"Plan2"}</definedName>
    <definedName name="sfds" hidden="1">{#N/A,#N/A,FALSE,"Plan1";#N/A,#N/A,FALSE,"Plan2"}</definedName>
    <definedName name="sfdsd" hidden="1">{#N/A,#N/A,FALSE,"Plan1";#N/A,#N/A,FALSE,"Plan2"}</definedName>
    <definedName name="SFDSF" hidden="1">34</definedName>
    <definedName name="sfrsdrgt" hidden="1">{#N/A,#N/A,FALSE,"Plan1";#N/A,#N/A,FALSE,"Plan2"}</definedName>
    <definedName name="SFRT" hidden="1">{#N/A,#N/A,FALSE,"Plan1";#N/A,#N/A,FALSE,"Plan2"}</definedName>
    <definedName name="sfsdferf" hidden="1">{#N/A,#N/A,FALSE,"Plan1";#N/A,#N/A,FALSE,"Plan2"}</definedName>
    <definedName name="sfsdfs" hidden="1">34</definedName>
    <definedName name="SFSDS" hidden="1">{#N/A,#N/A,FALSE,"Plan1";#N/A,#N/A,FALSE,"Plan2"}</definedName>
    <definedName name="SGarantia">#REF!</definedName>
    <definedName name="sgtghty" hidden="1">{#N/A,#N/A,FALSE,"Plan1";#N/A,#N/A,FALSE,"Plan2"}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 localSheetId="10">#REF!</definedName>
    <definedName name="SIH">#REF!</definedName>
    <definedName name="SISTEM1">#REF!</definedName>
    <definedName name="SISTEM2">#REF!</definedName>
    <definedName name="SIV">#REF!</definedName>
    <definedName name="sjawe" hidden="1">{#N/A,#N/A,FALSE,"Plan1";#N/A,#N/A,FALSE,"Plan2"}</definedName>
    <definedName name="sjdffd" hidden="1">{#N/A,#N/A,FALSE,"Plan1";#N/A,#N/A,FALSE,"Plan2"}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hidden="1">{#N/A,#N/A,FALSE,"Plan1";#N/A,#N/A,FALSE,"Plan2"}</definedName>
    <definedName name="SJDKJDE" hidden="1">{"Econ Consolidado",#N/A,FALSE,"Econ Consol";"Fluxo de Caixa",#N/A,FALSE,"Fluxo Caixa";"Investimentos",#N/A,FALSE,"Investimentos"}</definedName>
    <definedName name="sjekwjri" hidden="1">{#N/A,#N/A,FALSE,"Plan1";#N/A,#N/A,FALSE,"Plan2"}</definedName>
    <definedName name="sjfkdhsfds" hidden="1">{#N/A,#N/A,FALSE,"Plan1";#N/A,#N/A,FALSE,"Plan2"}</definedName>
    <definedName name="sjkdljslkrje" hidden="1">{#N/A,#N/A,FALSE,"Plan1";#N/A,#N/A,FALSE,"Plan2"}</definedName>
    <definedName name="skadadaszs" hidden="1">{#N/A,#N/A,FALSE,"Plan1";#N/A,#N/A,FALSE,"Plan2"}</definedName>
    <definedName name="SKASH" hidden="1">{#N/A,#N/A,FALSE,"Plan1";#N/A,#N/A,FALSE,"Plan2"}</definedName>
    <definedName name="skldfrde" hidden="1">{#N/A,#N/A,FALSE,"Plan1";#N/A,#N/A,FALSE,"Plan2"}</definedName>
    <definedName name="skosroer" hidden="1">{#N/A,#N/A,FALSE,"Plan1";#N/A,#N/A,FALSE,"Plan2"}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>#REF!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hidden="1">{#N/A,#N/A,FALSE,"Plan1";#N/A,#N/A,FALSE,"Plan2"}</definedName>
    <definedName name="SR" hidden="1">#REF!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10">#REF!</definedName>
    <definedName name="ss">#REF!</definedName>
    <definedName name="sssss" hidden="1">#REF!</definedName>
    <definedName name="stake_cury">#REF!</definedName>
    <definedName name="status_projeto" hidden="1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 hidden="1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>#REF!</definedName>
    <definedName name="t_cc">#REF!</definedName>
    <definedName name="t_KSB1_Transport">#REF!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 localSheetId="10">#REF!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 hidden="1">{"'Edit'!$A$1:$V$2277"}</definedName>
    <definedName name="TESTANDO" hidden="1">{#N/A,#N/A,TRUE,"Quinzena 01 à 15-04-98 "}</definedName>
    <definedName name="teste">#REF!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 hidden="1">1</definedName>
    <definedName name="thjgsergsr" hidden="1">{#N/A,#N/A,FALSE,"Plan1";#N/A,#N/A,FALSE,"Plan2"}</definedName>
    <definedName name="THYJ" hidden="1">{#N/A,#N/A,FALSE,"Plan1";#N/A,#N/A,FALSE,"Plan2"}</definedName>
    <definedName name="tihjgih" hidden="1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_xlnm.Print_Titles" localSheetId="13">'Acabamentos de Piso e Parede'!$7:$11</definedName>
    <definedName name="_xlnm.Print_Titles" localSheetId="6">ALVENARIA!$2:$2</definedName>
    <definedName name="_xlnm.Print_Titles" localSheetId="10">#REF!</definedName>
    <definedName name="_xlnm.Print_Titles" localSheetId="16">COBERTURA!#REF!</definedName>
    <definedName name="_xlnm.Print_Titles" localSheetId="18">COMPLEMENTARES!#REF!</definedName>
    <definedName name="_xlnm.Print_Titles" localSheetId="3">CONTENÇÕES!$2:$2</definedName>
    <definedName name="_xlnm.Print_Titles" localSheetId="0">DADOS_INICIAIS!$1:$6</definedName>
    <definedName name="_xlnm.Print_Titles" localSheetId="15">ESQUADRIAS!$2:$2</definedName>
    <definedName name="_xlnm.Print_Titles" localSheetId="9">IMPERMEABILIZAÇÃO!$2:$2</definedName>
    <definedName name="_xlnm.Print_Titles" localSheetId="4">INFRAESTRUTURA!$2:$2</definedName>
    <definedName name="_xlnm.Print_Titles" localSheetId="7">INSTALAÇÕES!#REF!</definedName>
    <definedName name="_xlnm.Print_Titles" localSheetId="2">MOVIMENTAÇÃO_DE_TERRA!#REF!</definedName>
    <definedName name="_xlnm.Print_Titles" localSheetId="14">'PINTURA INTERNA'!$2:$2</definedName>
    <definedName name="_xlnm.Print_Titles" localSheetId="17">'Rev. Fachada'!$7:$11</definedName>
    <definedName name="_xlnm.Print_Titles" localSheetId="11">'Rev. Internos Piso e Parede'!$7:$11</definedName>
    <definedName name="_xlnm.Print_Titles" localSheetId="8">'SISTEMAS ESPECIAIS'!#REF!</definedName>
    <definedName name="_xlnm.Print_Titles" localSheetId="5">SUPRAESTRUTURA!$2:$2</definedName>
    <definedName name="_xlnm.Print_Titles" localSheetId="12">TETO!$2:$2</definedName>
    <definedName name="_xlnm.Print_Titles">#REF!</definedName>
    <definedName name="Títulos_impressão_IM">#REF!</definedName>
    <definedName name="TMO">#REF!</definedName>
    <definedName name="TOLTAL2">#REF!</definedName>
    <definedName name="TOT" localSheetId="16">#REF!</definedName>
    <definedName name="TOT" localSheetId="18">#REF!</definedName>
    <definedName name="TOT" localSheetId="0">#REF!</definedName>
    <definedName name="TOT" localSheetId="7">#REF!</definedName>
    <definedName name="TOT" localSheetId="2">#REF!</definedName>
    <definedName name="TOT" localSheetId="8">#REF!</definedName>
    <definedName name="TOT">#REF!</definedName>
    <definedName name="tot3estac">#REF!</definedName>
    <definedName name="TOTAIS">#REF!</definedName>
    <definedName name="Total" localSheetId="0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 hidden="1">{#N/A,#N/A,FALSE,"Plan1";#N/A,#N/A,FALSE,"Plan2"}</definedName>
    <definedName name="TRP" localSheetId="10">#REF!</definedName>
    <definedName name="TRP">#REF!</definedName>
    <definedName name="TTT">#REF!</definedName>
    <definedName name="TURNO">#REF!</definedName>
    <definedName name="tuyedjsksj" hidden="1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 hidden="1">{#N/A,#N/A,FALSE,"Plan1";#N/A,#N/A,FALSE,"Plan2"}</definedName>
    <definedName name="u" localSheetId="10" hidden="1">{#N/A,#N/A,FALSE,"ET-CAPA";#N/A,#N/A,FALSE,"ET-PAG1";#N/A,#N/A,FALSE,"ET-PAG2";#N/A,#N/A,FALSE,"ET-PAG3";#N/A,#N/A,FALSE,"ET-PAG4";#N/A,#N/A,FALSE,"ET-PAG5"}</definedName>
    <definedName name="u" localSheetId="16" hidden="1">{#N/A,#N/A,FALSE,"ET-CAPA";#N/A,#N/A,FALSE,"ET-PAG1";#N/A,#N/A,FALSE,"ET-PAG2";#N/A,#N/A,FALSE,"ET-PAG3";#N/A,#N/A,FALSE,"ET-PAG4";#N/A,#N/A,FALSE,"ET-PAG5"}</definedName>
    <definedName name="u" localSheetId="18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7" hidden="1">{#N/A,#N/A,FALSE,"ET-CAPA";#N/A,#N/A,FALSE,"ET-PAG1";#N/A,#N/A,FALSE,"ET-PAG2";#N/A,#N/A,FALSE,"ET-PAG3";#N/A,#N/A,FALSE,"ET-PAG4";#N/A,#N/A,FALSE,"ET-PAG5"}</definedName>
    <definedName name="u" localSheetId="2" hidden="1">{#N/A,#N/A,FALSE,"ET-CAPA";#N/A,#N/A,FALSE,"ET-PAG1";#N/A,#N/A,FALSE,"ET-PAG2";#N/A,#N/A,FALSE,"ET-PAG3";#N/A,#N/A,FALSE,"ET-PAG4";#N/A,#N/A,FALSE,"ET-PAG5"}</definedName>
    <definedName name="u" localSheetId="8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hidden="1">{#N/A,#N/A,FALSE,"Plan1";#N/A,#N/A,FALSE,"Plan2"}</definedName>
    <definedName name="ueiutriuef" hidden="1">{#N/A,#N/A,FALSE,"Plan1";#N/A,#N/A,FALSE,"Plan2"}</definedName>
    <definedName name="UENSIT">#REF!</definedName>
    <definedName name="UENSITS">#REF!</definedName>
    <definedName name="UHGSDUS" hidden="1">{#N/A,#N/A,FALSE,"Plan1";#N/A,#N/A,FALSE,"Plan2"}</definedName>
    <definedName name="UI" hidden="1">#REF!</definedName>
    <definedName name="UIHWER45R" hidden="1">{#N/A,#N/A,FALSE,"Plan1";#N/A,#N/A,FALSE,"Plan2"}</definedName>
    <definedName name="uiosderuiu" hidden="1">{#N/A,#N/A,FALSE,"Plan1";#N/A,#N/A,FALSE,"Plan2"}</definedName>
    <definedName name="UIOURET" hidden="1">{#N/A,#N/A,FALSE,"Plan1";#N/A,#N/A,FALSE,"Plan2"}</definedName>
    <definedName name="uiwuer" hidden="1">{#N/A,#N/A,FALSE,"Plan1";#N/A,#N/A,FALSE,"Plan2"}</definedName>
    <definedName name="UKHDFDSGUDFKD" hidden="1">{#N/A,#N/A,FALSE,"Plan1";#N/A,#N/A,FALSE,"Plan2"}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OFFSET(#REF!,0,0,COUNTA(#REF!),1)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hidden="1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 hidden="1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 hidden="1">{#N/A,#N/A,TRUE,"Quinzena 01 à 15-04-98 "}</definedName>
    <definedName name="versao_estudo">#REF!</definedName>
    <definedName name="vfbg">#REF!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hidden="1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 hidden="1">IF(#REF!="Ativa",OFFSET(INDEX(rng_list_classificacao,MATCH(#REF!,rng_list_classificacao,0)),1,0,COUNTA(rng_list_classificacao)-1),#REF!)</definedName>
    <definedName name="vld_regional" hidden="1">OFFSET(INDEX(rng_list_regional,MATCH(#REF!,rng_list_regional,0)),1,0,COUNTA(rng_list_regional)-1)</definedName>
    <definedName name="vld_segmento" hidden="1">IF(#REF!="Ativa",OFFSET(INDEX(rng_list_segmento,MATCH(#REF!,rng_list_segmento,0)),1,0,COUNTA(rng_list_segmento)-1),#REF!)</definedName>
    <definedName name="vld_sociedade" hidden="1">OFFSET(INDEX(rng_list_sociedade,MATCH(#REF!,rng_list_sociedade,0)),1,0,COUNTA(rng_list_sociedade)-1)</definedName>
    <definedName name="vld_status_empresa" hidden="1">OFFSET(INDEX(rng_list_status_empresa,MATCH(#REF!,rng_list_status_empresa,0)),1,0,COUNTA(rng_list_status_empresa)-1)</definedName>
    <definedName name="vld_status_lancamento" hidden="1">IF(#REF!="Ativa",OFFSET(INDEX(rng_list_status_lancamento,MATCH(#REF!,rng_list_status_lancamento,0)),1,0,COUNTA(rng_list_status_lancamento)-1),#REF!)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hidden="1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 hidden="1">{#N/A,#N/A,FALSE,"Plan1";#N/A,#N/A,FALSE,"Plan2"}</definedName>
    <definedName name="vvbb" hidden="1">{"tabela",#N/A,FALSE,"Tabela";"decoração",#N/A,FALSE,"Decor.";"Informações",#N/A,FALSE,"Inform."}</definedName>
    <definedName name="vvcbnb" hidden="1">{#N/A,#N/A,FALSE,"Plan1";#N/A,#N/A,FALSE,"Plan2"}</definedName>
    <definedName name="vvvvv" hidden="1">{"Econ Consolidado",#N/A,FALSE,"Econ Consol";"Fluxo de Caixa",#N/A,FALSE,"Fluxo Caixa";"Investimentos",#N/A,FALSE,"Investimentos"}</definedName>
    <definedName name="vvvvvv" hidden="1">{#N/A,#N/A,FALSE,"Plan1";#N/A,#N/A,FALSE,"Plan2"}</definedName>
    <definedName name="vvvvvvvvvvvvvvvvv" hidden="1">{"HW",#N/A,FALSE,"1998"}</definedName>
    <definedName name="VX" hidden="1">#REF!</definedName>
    <definedName name="w">#REF!</definedName>
    <definedName name="wacc">#REF!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hidden="1">#REF!</definedName>
    <definedName name="WE" hidden="1">#REF!</definedName>
    <definedName name="weki_9701.xls" hidden="1">#REF!</definedName>
    <definedName name="wekir9701.xls" hidden="1">#REF!</definedName>
    <definedName name="werw4tr" hidden="1">{#N/A,#N/A,FALSE,"Plan1";#N/A,#N/A,FALSE,"Plan2"}</definedName>
    <definedName name="wetoedjtkdr" hidden="1">{#N/A,#N/A,FALSE,"Plan1";#N/A,#N/A,FALSE,"Plan2"}</definedName>
    <definedName name="WHATS" hidden="1">{"'Edit'!$A$1:$V$2277"}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 hidden="1">{#N/A,#N/A,FALSE,"Plan1";#N/A,#N/A,FALSE,"Plan2"}</definedName>
    <definedName name="WLQ" hidden="1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 hidden="1">{#N/A,#N/A,FALSE,"CCTV"}</definedName>
    <definedName name="wrn.BM." hidden="1">{#N/A,#N/A,FALSE,"CCTV"}</definedName>
    <definedName name="wrn.Brita98.xls." hidden="1">{#N/A,#N/A,TRUE,"Quinzena 01 à 15-04-98 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hidden="1">{"EconCons",#N/A,TRUE,"Econômico - Consolidado";"CaixaCons",#N/A,TRUE,"Caixa - Consolidado";"InvestCons",#N/A,TRUE,"Invest Consolidado"}</definedName>
    <definedName name="wrn.Consolidado." hidden="1">{"Econ Consolidado",#N/A,FALSE,"Econ Consol";"Fluxo de Caixa",#N/A,FALSE,"Fluxo Caixa";"Investimentos",#N/A,FALSE,"Investimentos"}</definedName>
    <definedName name="wrn.GERAL." localSheetId="10" hidden="1">{#N/A,#N/A,FALSE,"ET-CAPA";#N/A,#N/A,FALSE,"ET-PAG1";#N/A,#N/A,FALSE,"ET-PAG2";#N/A,#N/A,FALSE,"ET-PAG3";#N/A,#N/A,FALSE,"ET-PAG4";#N/A,#N/A,FALSE,"ET-PAG5"}</definedName>
    <definedName name="wrn.GERAL." localSheetId="16" hidden="1">{#N/A,#N/A,FALSE,"ET-CAPA";#N/A,#N/A,FALSE,"ET-PAG1";#N/A,#N/A,FALSE,"ET-PAG2";#N/A,#N/A,FALSE,"ET-PAG3";#N/A,#N/A,FALSE,"ET-PAG4";#N/A,#N/A,FALSE,"ET-PAG5"}</definedName>
    <definedName name="wrn.GERAL." localSheetId="18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7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8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hidden="1">{"HW",#N/A,FALSE,"1998"}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hidden="1">{#N/A,#N/A,FALSE,"Plan1";#N/A,#N/A,FALSE,"Plan2"}</definedName>
    <definedName name="wrn.Imprimir." hidden="1">{"tabela",#N/A,FALSE,"Tabela";"decoração",#N/A,FALSE,"Decor.";"Informações",#N/A,FALSE,"Inform."}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hidden="1">{#N/A,#N/A,FALSE,"Global Wls Trend";#N/A,#N/A,FALSE,"Region Trend";#N/A,#N/A,FALSE,"PBU Trend"}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hidden="1">{#N/A,#N/A,FALSE,"F-01"}</definedName>
    <definedName name="wrn.Planiha._.de._.Medição._.F._.01._1" hidden="1">{#N/A,#N/A,FALSE,"F-01"}</definedName>
    <definedName name="wrn.Planilha_de_Medição_F_02" hidden="1">{#N/A,#N/A,FALSE,"F-01"}</definedName>
    <definedName name="wrn.print._.all." hidden="1">{#N/A,#N/A,FALSE,"$170M Cash";#N/A,#N/A,FALSE,"$250M Cash";#N/A,#N/A,FALSE,"$325M Cash"}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hidden="1">{#N/A,#N/A,FALSE,"TABLE"}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hidden="1">{#N/A,#N/A,FALSE,"명세표"}</definedName>
    <definedName name="wrn.Unidades." hidden="1">{"Rio Branco",#N/A,FALSE,"Rio Branco";"Itajaí",#N/A,FALSE,"Itajaí";"Pinheiro Machado",#N/A,FALSE,"PMachado";"Esteio",#N/A,FALSE,"Esteio"}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hidden="1">{#N/A,#N/A,FALSE,"Sheet1";#N/A,#N/A,FALSE,"Sheet2";#N/A,#N/A,FALSE,"TAB96-1"}</definedName>
    <definedName name="wrn.보호계전기." hidden="1">{#N/A,#N/A,FALSE,"ENG'G(보호계전기)"}</definedName>
    <definedName name="wrn.현장._.NCR._.분석." hidden="1">{#N/A,#N/A,FALSE,"현장 NCR 분석";#N/A,#N/A,FALSE,"현장품질감사";#N/A,#N/A,FALSE,"현장품질감사"}</definedName>
    <definedName name="wrn1.Cons." hidden="1">{"EconCons",#N/A,TRUE,"Econômico - Consolidado";"CaixaCons",#N/A,TRUE,"Caixa - Consolidado";"InvestCons",#N/A,TRUE,"Invest Consolidado"}</definedName>
    <definedName name="wrn1.print._.all." hidden="1">{#N/A,#N/A,FALSE,"$170M Cash";#N/A,#N/A,FALSE,"$250M Cash";#N/A,#N/A,FALSE,"$325M Cash"}</definedName>
    <definedName name="WRS" hidden="1">{"'장비'!$A$3:$M$12"}</definedName>
    <definedName name="wrt" hidden="1">{#N/A,#N/A,FALSE,"$170M Cash";#N/A,#N/A,FALSE,"$250M Cash";#N/A,#N/A,FALSE,"$325M Cash"}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 hidden="1">{#N/A,#N/A,FALSE,"Plan1";#N/A,#N/A,FALSE,"Plan2"}</definedName>
    <definedName name="xcgjkfghf" hidden="1">{#N/A,#N/A,FALSE,"Plan1";#N/A,#N/A,FALSE,"Plan2"}</definedName>
    <definedName name="XCGJKVHFDG" hidden="1">{#N/A,#N/A,FALSE,"Plan1";#N/A,#N/A,FALSE,"Plan2"}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 hidden="1">{#N/A,#N/A,FALSE,"Plan1";#N/A,#N/A,FALSE,"Plan2"}</definedName>
    <definedName name="xcndj" hidden="1">{#N/A,#N/A,FALSE,"Plan1";#N/A,#N/A,FALSE,"Plan2"}</definedName>
    <definedName name="XCV">#REF!</definedName>
    <definedName name="XCVGGT" hidden="1">{#N/A,#N/A,FALSE,"Plan1";#N/A,#N/A,FALSE,"Plan2"}</definedName>
    <definedName name="XCVI">#REF!</definedName>
    <definedName name="XCVII">#REF!</definedName>
    <definedName name="XCVIII">#REF!</definedName>
    <definedName name="xcvrg" hidden="1">{#N/A,#N/A,FALSE,"Plan1";#N/A,#N/A,FALSE,"Plan2"}</definedName>
    <definedName name="XDATA">#REF!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hidden="1">{#N/A,#N/A,FALSE,"Plan1";#N/A,#N/A,FALSE,"Plan2"}</definedName>
    <definedName name="xfdlfj" hidden="1">{#N/A,#N/A,FALSE,"Plan1";#N/A,#N/A,FALSE,"Plan2"}</definedName>
    <definedName name="xfdxfdf" hidden="1">{#N/A,#N/A,FALSE,"Plan1";#N/A,#N/A,FALSE,"Plan2"}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hidden="1">{#N/A,#N/A,FALSE,"Plan1";#N/A,#N/A,FALSE,"Plan2"}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hidden="1">{"Econ Consolidado",#N/A,FALSE,"Econ Consol";"Fluxo de Caixa",#N/A,FALSE,"Fluxo Caixa";"Investimentos",#N/A,FALSE,"Investimentos"}</definedName>
    <definedName name="xfvgcfgt" hidden="1">{#N/A,#N/A,FALSE,"Plan1";#N/A,#N/A,FALSE,"Plan2"}</definedName>
    <definedName name="xgrg" hidden="1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 hidden="1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1</definedName>
    <definedName name="XRefCopy2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 localSheetId="16">#REF!</definedName>
    <definedName name="xxxx" localSheetId="18">#REF!</definedName>
    <definedName name="xxxx" localSheetId="0">#REF!</definedName>
    <definedName name="xxxx" localSheetId="7">#REF!</definedName>
    <definedName name="xxxx" localSheetId="2">#REF!</definedName>
    <definedName name="xxxx" localSheetId="8">#REF!</definedName>
    <definedName name="xxxx">#REF!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 hidden="1">{#N/A,#N/A,FALSE,"Plan1";#N/A,#N/A,FALSE,"Plan2"}</definedName>
    <definedName name="xzfrt" hidden="1">{#N/A,#N/A,FALSE,"Plan1";#N/A,#N/A,FALSE,"Plan2"}</definedName>
    <definedName name="yeitrtged" hidden="1">{#N/A,#N/A,FALSE,"Plan1";#N/A,#N/A,FALSE,"Plan2"}</definedName>
    <definedName name="yhdfiuygrui" hidden="1">{#N/A,#N/A,FALSE,"Plan1";#N/A,#N/A,FALSE,"Plan2"}</definedName>
    <definedName name="YRGUYDRIY" hidden="1">{"Econ Consolidado",#N/A,FALSE,"Econ Consol";"Fluxo de Caixa",#N/A,FALSE,"Fluxo Caixa";"Investimentos",#N/A,FALSE,"Investimentos"}</definedName>
    <definedName name="ytdju">#REF!</definedName>
    <definedName name="yuegursdmksf" hidden="1">{#N/A,#N/A,FALSE,"Plan1";#N/A,#N/A,FALSE,"Plan2"}</definedName>
    <definedName name="yuekl4fr" hidden="1">{#N/A,#N/A,FALSE,"Plan1";#N/A,#N/A,FALSE,"Plan2"}</definedName>
    <definedName name="yureytuyrea" hidden="1">{#N/A,#N/A,FALSE,"Plan1";#N/A,#N/A,FALSE,"Plan2"}</definedName>
    <definedName name="z" hidden="1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hidden="1">{#N/A,#N/A,FALSE,"Plan1";#N/A,#N/A,FALSE,"Plan2"}</definedName>
    <definedName name="zcsdrfrt" hidden="1">{#N/A,#N/A,FALSE,"Plan1";#N/A,#N/A,FALSE,"Plan2"}</definedName>
    <definedName name="ZDRE" hidden="1">{#N/A,#N/A,FALSE,"Plan1";#N/A,#N/A,FALSE,"Plan2"}</definedName>
    <definedName name="ZEZE">#REF!</definedName>
    <definedName name="ZIN">#REF!</definedName>
    <definedName name="ZINS">#REF!</definedName>
    <definedName name="ZSADF" hidden="1">{#N/A,#N/A,FALSE,"Plan1";#N/A,#N/A,FALSE,"Plan2"}</definedName>
    <definedName name="zsads" hidden="1">{#N/A,#N/A,FALSE,"Plan1";#N/A,#N/A,FALSE,"Plan2"}</definedName>
    <definedName name="ZSDFSETR" hidden="1">#REF!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hidden="1">{#N/A,#N/A,FALSE,"Plan1";#N/A,#N/A,FALSE,"Plan2"}</definedName>
    <definedName name="zxcdsf" hidden="1">#REF!</definedName>
    <definedName name="zxcfdstrrt" hidden="1">{#N/A,#N/A,FALSE,"Plan1";#N/A,#N/A,FALSE,"Plan2"}</definedName>
    <definedName name="zxcx" hidden="1">{#N/A,#N/A,FALSE,"Plan1";#N/A,#N/A,FALSE,"Plan2"}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hidden="1">{#N/A,#N/A,FALSE,"Plan1";#N/A,#N/A,FALSE,"Plan2"}</definedName>
    <definedName name="ZZ">#REF!</definedName>
    <definedName name="zzdftr" hidden="1">{#N/A,#N/A,FALSE,"Plan1";#N/A,#N/A,FALSE,"Plan2"}</definedName>
    <definedName name="zzz">#REF!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hidden="1">{"'장비'!$A$3:$M$12"}</definedName>
    <definedName name="가나다" hidden="1">#REF!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hidden="1">#REF!</definedName>
    <definedName name="계약고햔황2" hidden="1">#REF!</definedName>
    <definedName name="계약고현황2" hidden="1">#REF!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hidden="1">{#N/A,#N/A,FALSE,"ENG'G(보호계전기)"}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hidden="1">#REF!</definedName>
    <definedName name="내역" hidden="1">{#N/A,#N/A,FALSE,"CCTV"}</definedName>
    <definedName name="ㄷㄳ" hidden="1">{"'장비'!$A$3:$M$12"}</definedName>
    <definedName name="ㄷㄷㄷㄷ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hidden="1">{"'장비'!$A$3:$M$12"}</definedName>
    <definedName name="ㄹㄹㄹ" hidden="1">#REF!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hidden="1">{#N/A,#N/A,FALSE,"현장 NCR 분석";#N/A,#N/A,FALSE,"현장품질감사";#N/A,#N/A,FALSE,"현장품질감사"}</definedName>
    <definedName name="ㅁ" hidden="1">{#N/A,#N/A,FALSE,"명세표"}</definedName>
    <definedName name="ㅁㄱ해ㅜ5" hidden="1">#REF!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hidden="1">{#N/A,#N/A,FALSE,"명세표"}</definedName>
    <definedName name="ㅁㅁㅁ" hidden="1">#REF!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hidden="1">{#N/A,#N/A,FALSE,"명세표"}</definedName>
    <definedName name="ㅂㅂㅂㅂ" hidden="1">{#N/A,#N/A,FALSE,"명세표"}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hidden="1">#REF!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부손익" hidden="1">{#N/A,#N/A,FALSE,"현장 NCR 분석";#N/A,#N/A,FALSE,"현장품질감사";#N/A,#N/A,FALSE,"현장품질감사"}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hidden="1">{"'장비'!$A$3:$M$12"}</definedName>
    <definedName name="ㅅㅅㅅㅅㅅ" hidden="1">{"'장비'!$A$3:$M$12"}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hidden="1">#REF!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산출" hidden="1">#REF!</definedName>
    <definedName name="새안" hidden="1">{#N/A,#N/A,FALSE,"TABLE"}</definedName>
    <definedName name="석항" hidden="1">{#N/A,#N/A,FALSE,"명세표"}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hidden="1">#REF!</definedName>
    <definedName name="쇼ㅗㅎ로" hidden="1">{"'장비'!$A$3:$M$12"}</definedName>
    <definedName name="수" hidden="1">#REF!</definedName>
    <definedName name="수당" hidden="1">#N/A</definedName>
    <definedName name="신설" hidden="1">{#N/A,#N/A,FALSE,"명세표"}</definedName>
    <definedName name="실적총괄1" hidden="1">#REF!</definedName>
    <definedName name="실총" hidden="1">#REF!</definedName>
    <definedName name="ㅇㄹㄹ" hidden="1">#REF!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hidden="1">#REF!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hidden="1">#REF!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hidden="1">{#N/A,#N/A,FALSE,"명세표"}</definedName>
    <definedName name="ㅈㅈㅈㅈ" hidden="1">{#N/A,#N/A,FALSE,"명세표"}</definedName>
    <definedName name="자미" hidden="1">{#N/A,#N/A,FALSE,"명세표"}</definedName>
    <definedName name="자운" hidden="1">#REF!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hidden="1">#REF!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hidden="1">#REF!</definedName>
    <definedName name="조직표현장" hidden="1">#REF!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hidden="1">{#N/A,#N/A,FALSE,"ENG'G(보호계전기)"}</definedName>
    <definedName name="집계" hidden="1">{#N/A,#N/A,FALSE,"명세표"}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hidden="1">{#N/A,#N/A,FALSE,"명세표"}</definedName>
    <definedName name="ㅋㅋㅋ" hidden="1">{#N/A,#N/A,FALSE,"명세표"}</definedName>
    <definedName name="ㅌㅌ" hidden="1">{#N/A,#N/A,FALSE,"명세표"}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hidden="1">{"'장비'!$A$3:$M$12"}</definedName>
    <definedName name="하하하" hidden="1">{#N/A,#N/A,FALSE,"명세표"}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hidden="1">{#N/A,#N/A,FALSE,"명세표"}</definedName>
    <definedName name="ㅏㅏㅏ" hidden="1">{#N/A,#N/A,FALSE,"명세표"}</definedName>
    <definedName name="ㅔㅔ" hidden="1">{#N/A,#N/A,FALSE,"명세표"}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hidden="1">{"'장비'!$A$3:$M$12"}</definedName>
    <definedName name="ㅗㅗ" hidden="1">{#N/A,#N/A,FALSE,"명세표"}</definedName>
    <definedName name="ㅗㅗㅗㅗㅗ" hidden="1">{"'장비'!$A$3:$M$12"}</definedName>
    <definedName name="ㅛ" hidden="1">{"'장비'!$A$3:$M$12"}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hidden="1">{"'장비'!$A$3:$M$12"}</definedName>
    <definedName name="ㅜ" hidden="1">{#N/A,#N/A,FALSE,"명세표"}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hidden="1">{#N/A,#N/A,FALSE,"명세표"}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48" l="1"/>
  <c r="F35" i="21"/>
  <c r="F13" i="21"/>
  <c r="F25" i="21"/>
  <c r="G21" i="53" l="1"/>
  <c r="G22" i="53"/>
  <c r="B19" i="51" l="1"/>
  <c r="D23" i="58"/>
  <c r="F14" i="65" l="1"/>
  <c r="B7" i="59"/>
  <c r="D10" i="63" l="1"/>
  <c r="D12" i="63"/>
  <c r="D10" i="61"/>
  <c r="F13" i="60"/>
  <c r="D12" i="60"/>
  <c r="F12" i="60" s="1"/>
  <c r="B13" i="60"/>
  <c r="D15" i="51"/>
  <c r="B15" i="51"/>
  <c r="B21" i="53"/>
  <c r="D12" i="66"/>
  <c r="G12" i="66" s="1"/>
  <c r="D9" i="60"/>
  <c r="D11" i="60"/>
  <c r="D14" i="60"/>
  <c r="D15" i="60"/>
  <c r="D16" i="60"/>
  <c r="D10" i="60"/>
  <c r="B30" i="55"/>
  <c r="G30" i="55" s="1"/>
  <c r="B29" i="55"/>
  <c r="D14" i="65"/>
  <c r="G14" i="65" s="1"/>
  <c r="D19" i="65"/>
  <c r="D15" i="66"/>
  <c r="D22" i="65" l="1"/>
  <c r="D21" i="65"/>
  <c r="G21" i="65" s="1"/>
  <c r="C28" i="65"/>
  <c r="D28" i="65" s="1"/>
  <c r="F17" i="65"/>
  <c r="F12" i="64"/>
  <c r="G12" i="64" s="1"/>
  <c r="D12" i="64"/>
  <c r="F13" i="64"/>
  <c r="L21" i="68"/>
  <c r="I21" i="68"/>
  <c r="K19" i="55"/>
  <c r="B15" i="55" s="1"/>
  <c r="C30" i="65"/>
  <c r="D30" i="65" s="1"/>
  <c r="D29" i="65"/>
  <c r="E31" i="65"/>
  <c r="E29" i="65"/>
  <c r="E32" i="65" s="1"/>
  <c r="D12" i="65" s="1"/>
  <c r="D31" i="65"/>
  <c r="B35" i="59"/>
  <c r="D32" i="65" l="1"/>
  <c r="D11" i="65" s="1"/>
  <c r="G11" i="65" s="1"/>
  <c r="D33" i="58" l="1"/>
  <c r="G15" i="66" l="1"/>
  <c r="D11" i="66"/>
  <c r="G26" i="53"/>
  <c r="G18" i="62"/>
  <c r="D18" i="62"/>
  <c r="F17" i="62"/>
  <c r="D16" i="62"/>
  <c r="D11" i="62"/>
  <c r="F13" i="62"/>
  <c r="D15" i="62"/>
  <c r="D13" i="63"/>
  <c r="B17" i="51"/>
  <c r="D14" i="61"/>
  <c r="D13" i="61"/>
  <c r="D11" i="61"/>
  <c r="D42" i="61"/>
  <c r="L17" i="68"/>
  <c r="B22" i="53" s="1"/>
  <c r="L18" i="68"/>
  <c r="L19" i="68"/>
  <c r="L20" i="68"/>
  <c r="L22" i="68"/>
  <c r="L23" i="68"/>
  <c r="L27" i="68"/>
  <c r="L28" i="68"/>
  <c r="L29" i="68"/>
  <c r="L30" i="68"/>
  <c r="L31" i="68"/>
  <c r="L32" i="68"/>
  <c r="F37" i="68"/>
  <c r="I37" i="68" s="1"/>
  <c r="F35" i="68"/>
  <c r="F36" i="68"/>
  <c r="F32" i="68"/>
  <c r="I32" i="68" s="1"/>
  <c r="D35" i="59"/>
  <c r="F24" i="68"/>
  <c r="I24" i="68" s="1"/>
  <c r="F28" i="68"/>
  <c r="I28" i="68" s="1"/>
  <c r="F26" i="68"/>
  <c r="I26" i="68" s="1"/>
  <c r="F25" i="68"/>
  <c r="F16" i="68"/>
  <c r="I16" i="68" s="1"/>
  <c r="F18" i="68"/>
  <c r="I18" i="68" s="1"/>
  <c r="F17" i="68"/>
  <c r="F13" i="68"/>
  <c r="L36" i="68"/>
  <c r="I36" i="68"/>
  <c r="L35" i="68"/>
  <c r="L34" i="68"/>
  <c r="I34" i="68"/>
  <c r="L33" i="68"/>
  <c r="I33" i="68"/>
  <c r="I31" i="68"/>
  <c r="I30" i="68"/>
  <c r="I29" i="68"/>
  <c r="I27" i="68"/>
  <c r="I25" i="68"/>
  <c r="I23" i="68"/>
  <c r="I22" i="68"/>
  <c r="I20" i="68"/>
  <c r="I19" i="68"/>
  <c r="I17" i="68"/>
  <c r="A17" i="68"/>
  <c r="I15" i="68"/>
  <c r="I14" i="68"/>
  <c r="I13" i="68"/>
  <c r="I12" i="68"/>
  <c r="I11" i="68"/>
  <c r="D36" i="61" l="1"/>
  <c r="B27" i="51"/>
  <c r="L26" i="68"/>
  <c r="L16" i="68"/>
  <c r="B15" i="53" s="1"/>
  <c r="D9" i="66"/>
  <c r="D10" i="66" s="1"/>
  <c r="D10" i="62"/>
  <c r="D11" i="63"/>
  <c r="I35" i="68"/>
  <c r="L12" i="68"/>
  <c r="B18" i="51" s="1"/>
  <c r="L11" i="68"/>
  <c r="M11" i="68" s="1"/>
  <c r="D42" i="59" l="1"/>
  <c r="D34" i="59"/>
  <c r="D17" i="59"/>
  <c r="D18" i="59"/>
  <c r="D19" i="59"/>
  <c r="D16" i="59"/>
  <c r="D20" i="59" s="1"/>
  <c r="G7" i="59"/>
  <c r="I9" i="59"/>
  <c r="H8" i="59"/>
  <c r="I7" i="59"/>
  <c r="I8" i="59" s="1"/>
  <c r="G9" i="59"/>
  <c r="B9" i="59" s="1"/>
  <c r="D32" i="58"/>
  <c r="D31" i="58"/>
  <c r="D30" i="58"/>
  <c r="D24" i="58"/>
  <c r="D22" i="58"/>
  <c r="D21" i="58"/>
  <c r="D20" i="58"/>
  <c r="D19" i="58"/>
  <c r="D8" i="58"/>
  <c r="D9" i="58"/>
  <c r="D10" i="58"/>
  <c r="D12" i="58"/>
  <c r="D13" i="58"/>
  <c r="D7" i="58"/>
  <c r="D10" i="48"/>
  <c r="D13" i="48"/>
  <c r="G13" i="48" s="1"/>
  <c r="D11" i="48"/>
  <c r="F16" i="48"/>
  <c r="D15" i="48"/>
  <c r="D34" i="58" l="1"/>
  <c r="G8" i="59"/>
  <c r="B8" i="59" s="1"/>
  <c r="D25" i="21" l="1"/>
  <c r="D26" i="21"/>
  <c r="G26" i="21"/>
  <c r="B26" i="21"/>
  <c r="B10" i="21"/>
  <c r="E28" i="67"/>
  <c r="D12" i="48" s="1"/>
  <c r="D22" i="21"/>
  <c r="G27" i="21"/>
  <c r="D12" i="21"/>
  <c r="B12" i="21" s="1"/>
  <c r="B24" i="21" s="1"/>
  <c r="D10" i="21"/>
  <c r="D24" i="47"/>
  <c r="G34" i="67"/>
  <c r="G31" i="67"/>
  <c r="H31" i="67"/>
  <c r="E31" i="67"/>
  <c r="G32" i="67"/>
  <c r="G19" i="67"/>
  <c r="H30" i="67"/>
  <c r="G30" i="67"/>
  <c r="H14" i="67"/>
  <c r="H17" i="67"/>
  <c r="H15" i="67"/>
  <c r="G15" i="67"/>
  <c r="G14" i="67"/>
  <c r="H13" i="67"/>
  <c r="G13" i="67"/>
  <c r="H12" i="67"/>
  <c r="G12" i="67"/>
  <c r="H18" i="67"/>
  <c r="G16" i="67"/>
  <c r="E6" i="67"/>
  <c r="E5" i="67" s="1"/>
  <c r="F37" i="46"/>
  <c r="F34" i="46"/>
  <c r="F35" i="46"/>
  <c r="F33" i="46"/>
  <c r="F28" i="46"/>
  <c r="F23" i="46"/>
  <c r="F21" i="46"/>
  <c r="F20" i="46"/>
  <c r="E19" i="46"/>
  <c r="F17" i="46"/>
  <c r="E17" i="46"/>
  <c r="D29" i="48"/>
  <c r="D30" i="48" s="1"/>
  <c r="B27" i="48"/>
  <c r="B26" i="48"/>
  <c r="F26" i="48" s="1"/>
  <c r="D28" i="48"/>
  <c r="F28" i="48"/>
  <c r="D28" i="21" l="1"/>
  <c r="G28" i="21" s="1"/>
  <c r="D45" i="21"/>
  <c r="D44" i="21"/>
  <c r="D23" i="21"/>
  <c r="D24" i="21" s="1"/>
  <c r="G24" i="21" s="1"/>
  <c r="D34" i="21"/>
  <c r="B22" i="21"/>
  <c r="D37" i="21"/>
  <c r="E6" i="21"/>
  <c r="F6" i="21" s="1"/>
  <c r="D35" i="21"/>
  <c r="D36" i="21" s="1"/>
  <c r="G25" i="21"/>
  <c r="G5" i="67"/>
  <c r="G28" i="48"/>
  <c r="G20" i="65"/>
  <c r="G29" i="21" l="1"/>
  <c r="D22" i="61"/>
  <c r="D23" i="61"/>
  <c r="D23" i="55" l="1"/>
  <c r="D16" i="55"/>
  <c r="G14" i="66"/>
  <c r="F63" i="48" l="1"/>
  <c r="G63" i="48" s="1"/>
  <c r="F62" i="48"/>
  <c r="F59" i="48"/>
  <c r="F60" i="48" s="1"/>
  <c r="D62" i="48"/>
  <c r="D59" i="48"/>
  <c r="F56" i="48"/>
  <c r="D58" i="48"/>
  <c r="D55" i="48"/>
  <c r="G55" i="48" s="1"/>
  <c r="D54" i="48"/>
  <c r="D53" i="48" s="1"/>
  <c r="F58" i="48"/>
  <c r="G58" i="48" l="1"/>
  <c r="D60" i="48"/>
  <c r="G60" i="48" s="1"/>
  <c r="G59" i="48"/>
  <c r="G54" i="48"/>
  <c r="G53" i="48"/>
  <c r="G62" i="48"/>
  <c r="G37" i="46" l="1"/>
  <c r="B14" i="21" l="1"/>
  <c r="D27" i="59" l="1"/>
  <c r="G18" i="53"/>
  <c r="D25" i="61" l="1"/>
  <c r="G25" i="61" s="1"/>
  <c r="D24" i="61"/>
  <c r="G24" i="61" s="1"/>
  <c r="F28" i="61"/>
  <c r="D21" i="61"/>
  <c r="D12" i="61"/>
  <c r="G23" i="61" l="1"/>
  <c r="F33" i="48"/>
  <c r="F32" i="48"/>
  <c r="F29" i="48"/>
  <c r="F24" i="48"/>
  <c r="D32" i="48"/>
  <c r="D14" i="48"/>
  <c r="F25" i="48"/>
  <c r="D24" i="48"/>
  <c r="D23" i="48"/>
  <c r="D22" i="48" s="1"/>
  <c r="F30" i="48" l="1"/>
  <c r="G30" i="48" s="1"/>
  <c r="G29" i="48"/>
  <c r="F9" i="60"/>
  <c r="G12" i="65"/>
  <c r="D15" i="55"/>
  <c r="D22" i="55"/>
  <c r="G13" i="65" l="1"/>
  <c r="G16" i="65"/>
  <c r="G16" i="51"/>
  <c r="G18" i="51"/>
  <c r="G17" i="51"/>
  <c r="G23" i="53"/>
  <c r="D18" i="51"/>
  <c r="D17" i="51"/>
  <c r="D10" i="64"/>
  <c r="G15" i="51" l="1"/>
  <c r="D11" i="64"/>
  <c r="G20" i="53"/>
  <c r="G17" i="53"/>
  <c r="G19" i="53"/>
  <c r="G16" i="53"/>
  <c r="D36" i="59"/>
  <c r="D33" i="59"/>
  <c r="D32" i="59"/>
  <c r="D30" i="59"/>
  <c r="D29" i="59"/>
  <c r="D26" i="59"/>
  <c r="D25" i="59"/>
  <c r="C28" i="59"/>
  <c r="G27" i="53" l="1"/>
  <c r="G19" i="65"/>
  <c r="G10" i="66"/>
  <c r="G11" i="66"/>
  <c r="G13" i="66"/>
  <c r="G9" i="66"/>
  <c r="F11" i="60"/>
  <c r="F14" i="60"/>
  <c r="F15" i="60"/>
  <c r="F16" i="60"/>
  <c r="F10" i="60"/>
  <c r="G17" i="65"/>
  <c r="F15" i="65"/>
  <c r="G10" i="65"/>
  <c r="H10" i="65" s="1"/>
  <c r="G22" i="65"/>
  <c r="G18" i="65"/>
  <c r="K23" i="65"/>
  <c r="L23" i="65" s="1"/>
  <c r="G11" i="64"/>
  <c r="K14" i="64"/>
  <c r="L14" i="64" s="1"/>
  <c r="K15" i="63"/>
  <c r="L15" i="63" s="1"/>
  <c r="G16" i="66" l="1"/>
  <c r="G18" i="66" s="1"/>
  <c r="H18" i="66" s="1"/>
  <c r="G15" i="55"/>
  <c r="G14" i="62"/>
  <c r="G29" i="55"/>
  <c r="G31" i="55" s="1"/>
  <c r="B16" i="55"/>
  <c r="G16" i="55" s="1"/>
  <c r="B23" i="55"/>
  <c r="G23" i="55" s="1"/>
  <c r="G15" i="65"/>
  <c r="G23" i="65" l="1"/>
  <c r="G25" i="65" s="1"/>
  <c r="H25" i="65" s="1"/>
  <c r="B22" i="55"/>
  <c r="G22" i="55" s="1"/>
  <c r="G24" i="55" s="1"/>
  <c r="G17" i="55"/>
  <c r="D28" i="59" l="1"/>
  <c r="D31" i="59"/>
  <c r="D9" i="59"/>
  <c r="D8" i="59"/>
  <c r="G11" i="62"/>
  <c r="F12" i="48"/>
  <c r="G12" i="48"/>
  <c r="D37" i="59" l="1"/>
  <c r="D10" i="59"/>
  <c r="D26" i="61"/>
  <c r="D27" i="61" s="1"/>
  <c r="G27" i="61" s="1"/>
  <c r="D7" i="59"/>
  <c r="D11" i="59" s="1"/>
  <c r="D25" i="58"/>
  <c r="D21" i="47" l="1"/>
  <c r="G17" i="62"/>
  <c r="G13" i="62"/>
  <c r="G15" i="62"/>
  <c r="K20" i="62"/>
  <c r="L20" i="62" s="1"/>
  <c r="F13" i="61"/>
  <c r="G12" i="61"/>
  <c r="G11" i="61"/>
  <c r="G22" i="61"/>
  <c r="G21" i="61"/>
  <c r="K15" i="61"/>
  <c r="L15" i="61" s="1"/>
  <c r="G11" i="48"/>
  <c r="F47" i="48"/>
  <c r="G47" i="48" s="1"/>
  <c r="F46" i="48"/>
  <c r="D46" i="48"/>
  <c r="F44" i="48"/>
  <c r="D44" i="48"/>
  <c r="D45" i="48" s="1"/>
  <c r="G45" i="48" s="1"/>
  <c r="F43" i="48"/>
  <c r="D43" i="48"/>
  <c r="D42" i="48"/>
  <c r="G42" i="48" s="1"/>
  <c r="D41" i="48"/>
  <c r="G41" i="48" s="1"/>
  <c r="D40" i="48"/>
  <c r="G40" i="48" s="1"/>
  <c r="G33" i="48"/>
  <c r="G24" i="48"/>
  <c r="G23" i="48"/>
  <c r="K17" i="48"/>
  <c r="L17" i="48" s="1"/>
  <c r="G16" i="48"/>
  <c r="G35" i="21"/>
  <c r="G13" i="21"/>
  <c r="G15" i="21"/>
  <c r="F15" i="47"/>
  <c r="E30" i="47"/>
  <c r="D30" i="47"/>
  <c r="D39" i="49"/>
  <c r="B39" i="49"/>
  <c r="F39" i="49" s="1"/>
  <c r="D37" i="49"/>
  <c r="D38" i="49" s="1"/>
  <c r="G38" i="49" s="1"/>
  <c r="D36" i="49"/>
  <c r="G36" i="49" s="1"/>
  <c r="D43" i="59"/>
  <c r="D14" i="58"/>
  <c r="F30" i="47" l="1"/>
  <c r="D22" i="47"/>
  <c r="D23" i="47" s="1"/>
  <c r="D45" i="59"/>
  <c r="E45" i="59" s="1"/>
  <c r="D26" i="48"/>
  <c r="D56" i="48"/>
  <c r="G22" i="46"/>
  <c r="D20" i="61"/>
  <c r="G20" i="61" s="1"/>
  <c r="G10" i="61"/>
  <c r="G14" i="61"/>
  <c r="G10" i="62"/>
  <c r="G16" i="62"/>
  <c r="D19" i="62"/>
  <c r="G19" i="62" s="1"/>
  <c r="F17" i="60"/>
  <c r="F19" i="60" s="1"/>
  <c r="G19" i="60" s="1"/>
  <c r="F31" i="47"/>
  <c r="H30" i="47"/>
  <c r="G46" i="48"/>
  <c r="G43" i="48"/>
  <c r="D39" i="48"/>
  <c r="G39" i="48" s="1"/>
  <c r="G22" i="48"/>
  <c r="G44" i="48"/>
  <c r="G25" i="48"/>
  <c r="G32" i="48"/>
  <c r="G10" i="48"/>
  <c r="G39" i="49"/>
  <c r="G37" i="49"/>
  <c r="D36" i="58"/>
  <c r="E36" i="58" s="1"/>
  <c r="G13" i="61" l="1"/>
  <c r="G15" i="61" s="1"/>
  <c r="G33" i="61" s="1"/>
  <c r="H33" i="61" s="1"/>
  <c r="D57" i="48"/>
  <c r="G56" i="48"/>
  <c r="B14" i="63"/>
  <c r="G14" i="63" s="1"/>
  <c r="G13" i="63"/>
  <c r="D29" i="61"/>
  <c r="G29" i="61" s="1"/>
  <c r="D28" i="61"/>
  <c r="D27" i="48"/>
  <c r="G26" i="48"/>
  <c r="E38" i="58"/>
  <c r="G48" i="48"/>
  <c r="G40" i="49"/>
  <c r="J32" i="55"/>
  <c r="A27" i="53"/>
  <c r="G27" i="48" l="1"/>
  <c r="D31" i="48"/>
  <c r="G31" i="48" s="1"/>
  <c r="G28" i="61"/>
  <c r="G30" i="61" s="1"/>
  <c r="J23" i="61"/>
  <c r="J24" i="61" s="1"/>
  <c r="G15" i="63"/>
  <c r="G17" i="63" s="1"/>
  <c r="G57" i="48"/>
  <c r="D61" i="48"/>
  <c r="G61" i="48" s="1"/>
  <c r="G34" i="55"/>
  <c r="H34" i="55" s="1"/>
  <c r="G30" i="53"/>
  <c r="H30" i="53" s="1"/>
  <c r="H17" i="63" l="1"/>
  <c r="H20" i="63" s="1"/>
  <c r="G36" i="61"/>
  <c r="H36" i="61" s="1"/>
  <c r="G64" i="48"/>
  <c r="G34" i="48"/>
  <c r="H32" i="53"/>
  <c r="J13" i="51"/>
  <c r="H35" i="55" l="1"/>
  <c r="D29" i="49"/>
  <c r="B29" i="49"/>
  <c r="F29" i="49" s="1"/>
  <c r="D27" i="49"/>
  <c r="G27" i="49" s="1"/>
  <c r="D26" i="49"/>
  <c r="G26" i="49" s="1"/>
  <c r="G20" i="49"/>
  <c r="D10" i="49"/>
  <c r="D11" i="49" s="1"/>
  <c r="D12" i="49" s="1"/>
  <c r="G12" i="49" s="1"/>
  <c r="G29" i="49" l="1"/>
  <c r="D28" i="49"/>
  <c r="G28" i="49" s="1"/>
  <c r="D15" i="49"/>
  <c r="D16" i="49" s="1"/>
  <c r="G16" i="49" s="1"/>
  <c r="D13" i="49"/>
  <c r="D14" i="49" s="1"/>
  <c r="B37" i="21"/>
  <c r="F37" i="21" s="1"/>
  <c r="G34" i="21"/>
  <c r="F16" i="47"/>
  <c r="D12" i="62" l="1"/>
  <c r="G15" i="48"/>
  <c r="G37" i="21"/>
  <c r="G12" i="21"/>
  <c r="G36" i="21"/>
  <c r="G38" i="21" s="1"/>
  <c r="G30" i="49"/>
  <c r="D17" i="49"/>
  <c r="B17" i="49"/>
  <c r="G14" i="49"/>
  <c r="D9" i="47"/>
  <c r="G12" i="62" l="1"/>
  <c r="G20" i="62" s="1"/>
  <c r="G22" i="62" s="1"/>
  <c r="H22" i="62" s="1"/>
  <c r="F22" i="47"/>
  <c r="F21" i="47"/>
  <c r="F9" i="47"/>
  <c r="F10" i="47" s="1"/>
  <c r="D18" i="49"/>
  <c r="G18" i="49" s="1"/>
  <c r="D19" i="49"/>
  <c r="G19" i="49" s="1"/>
  <c r="G17" i="49"/>
  <c r="H25" i="62" l="1"/>
  <c r="F23" i="47"/>
  <c r="G21" i="49"/>
  <c r="G46" i="49" s="1"/>
  <c r="H46" i="49" s="1"/>
  <c r="G14" i="48" l="1"/>
  <c r="G17" i="48" s="1"/>
  <c r="G67" i="48" s="1"/>
  <c r="H67" i="48" s="1"/>
  <c r="H11" i="36"/>
  <c r="H10" i="36"/>
  <c r="H9" i="36"/>
  <c r="H8" i="36"/>
  <c r="H7" i="36"/>
  <c r="H6" i="36"/>
  <c r="H12" i="36"/>
  <c r="H5" i="36"/>
  <c r="D16" i="21" l="1"/>
  <c r="G16" i="21" s="1"/>
  <c r="G14" i="21" l="1"/>
  <c r="G17" i="21" s="1"/>
  <c r="G41" i="21" s="1"/>
  <c r="H41" i="21" s="1"/>
  <c r="F24" i="47"/>
  <c r="F25" i="47" s="1"/>
  <c r="F33" i="47" s="1"/>
  <c r="G33" i="47" s="1"/>
  <c r="H5" i="67" l="1"/>
  <c r="I5" i="67" s="1"/>
  <c r="G19" i="51" l="1"/>
  <c r="B20" i="51" l="1"/>
  <c r="G20" i="51" l="1"/>
  <c r="J14" i="51" s="1"/>
  <c r="D13" i="64"/>
  <c r="G13" i="64" s="1"/>
  <c r="G14" i="64" s="1"/>
  <c r="G16" i="64" s="1"/>
  <c r="H16" i="64" s="1"/>
  <c r="H18" i="64" s="1"/>
  <c r="G21" i="51" l="1"/>
  <c r="G24" i="51" s="1"/>
  <c r="H24" i="51" s="1"/>
  <c r="H26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5" authorId="0" shapeId="0" xr:uid="{255BEB06-A237-439E-9203-EB5CCD91F641}">
      <text>
        <r>
          <rPr>
            <b/>
            <sz val="9"/>
            <color indexed="81"/>
            <rFont val="Segoe UI"/>
            <family val="2"/>
          </rPr>
          <t>TEMPO DE EXECUÇÃO DO SUBOLO</t>
        </r>
      </text>
    </comment>
    <comment ref="B23" authorId="0" shapeId="0" xr:uid="{24E26533-CC5C-4581-B306-D492C246179F}">
      <text>
        <r>
          <rPr>
            <b/>
            <sz val="9"/>
            <color indexed="81"/>
            <rFont val="Segoe UI"/>
            <family val="2"/>
          </rPr>
          <t>EMPOLAMENTO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3" authorId="0" shapeId="0" xr:uid="{D8DF5BAD-98F5-43BE-892A-4FA5FBCF8F29}">
      <text>
        <r>
          <rPr>
            <sz val="9"/>
            <color indexed="81"/>
            <rFont val="Segoe UI"/>
            <family val="2"/>
          </rPr>
          <t>30% de perda</t>
        </r>
      </text>
    </comment>
    <comment ref="G25" authorId="0" shapeId="0" xr:uid="{BE032D7C-9320-4BB5-838C-25C596BE17FB}">
      <text>
        <r>
          <rPr>
            <sz val="9"/>
            <color indexed="81"/>
            <rFont val="Segoe UI"/>
            <family val="2"/>
          </rPr>
          <t>30% de perda</t>
        </r>
      </text>
    </comment>
    <comment ref="G35" authorId="0" shapeId="0" xr:uid="{D8202987-3B4C-45BF-B1C8-25FB05DD6B6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36" authorId="0" shapeId="0" xr:uid="{3898590B-17B9-40D2-A0C6-EB5B71EBE615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0" authorId="0" shapeId="0" xr:uid="{7A7D1CAA-C999-4F28-8CCA-47A34CF3D7FD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10" authorId="0" shapeId="0" xr:uid="{D074337E-44C5-47F9-A8F8-6780F729DF55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12" authorId="0" shapeId="0" xr:uid="{3A59A200-8D3A-4012-A665-0423F25263A7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12" authorId="0" shapeId="0" xr:uid="{9AE509B4-3181-43D0-BD36-6FD2A5B68901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13" authorId="0" shapeId="0" xr:uid="{42D385EB-E97A-4FF8-9E25-D21E9843584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14" authorId="0" shapeId="0" xr:uid="{393D86CF-22CF-427B-9EAE-26D0BC5FE81B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22" authorId="0" shapeId="0" xr:uid="{D3A1D1C5-76BD-4435-935F-C7E4F70B0C4A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22" authorId="0" shapeId="0" xr:uid="{907FE9F7-0D4F-46D9-A2C0-C5B647773F5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24" authorId="0" shapeId="0" xr:uid="{5D1C62E2-BA6D-4CB7-883E-07C5706393A9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24" authorId="0" shapeId="0" xr:uid="{75A226B3-F4D8-4436-B76B-327301C9F037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29" authorId="0" shapeId="0" xr:uid="{F18420EE-B641-4973-84F8-1AFE5AFC91A5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31" authorId="0" shapeId="0" xr:uid="{CFAE0208-C94E-4720-A99A-392F739C2D0D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39" authorId="0" shapeId="0" xr:uid="{4ECB0ED9-6BCD-4505-A135-121E331946FF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39" authorId="0" shapeId="0" xr:uid="{81951B11-7B56-420D-ADD3-188465EF4D7F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44" authorId="0" shapeId="0" xr:uid="{E32EABE4-D24C-453B-9857-2D95D3F5FDBF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B53" authorId="0" shapeId="0" xr:uid="{A5B116E8-B653-4F25-BF25-2F85AD2A5008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53" authorId="0" shapeId="0" xr:uid="{AEB90F6D-E8CD-4DCC-9D59-AC6FB9ADEFF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55" authorId="0" shapeId="0" xr:uid="{7C934DBF-7F45-4419-B9D3-A49B4A1EC07E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G59" authorId="0" shapeId="0" xr:uid="{B5E182E8-9D95-4E0F-AA19-F669731AA80B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61" authorId="0" shapeId="0" xr:uid="{09657194-E7DE-4003-90B7-F70AC1A0E4D4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G67" authorId="0" shapeId="0" xr:uid="{9AA28148-10EA-4C94-BDBE-5135BF849D19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33" authorId="0" shapeId="0" xr:uid="{F99D21DE-C680-41FC-80BD-D01F80D77713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sharedStrings.xml><?xml version="1.0" encoding="utf-8"?>
<sst xmlns="http://schemas.openxmlformats.org/spreadsheetml/2006/main" count="1392" uniqueCount="479">
  <si>
    <t>Obra</t>
  </si>
  <si>
    <t>Revisão</t>
  </si>
  <si>
    <t>m²</t>
  </si>
  <si>
    <t>un</t>
  </si>
  <si>
    <t>m</t>
  </si>
  <si>
    <t>Parâmetro</t>
  </si>
  <si>
    <t>R$ / AC</t>
  </si>
  <si>
    <t>AT</t>
  </si>
  <si>
    <t>AC</t>
  </si>
  <si>
    <t>NP</t>
  </si>
  <si>
    <t>NPT</t>
  </si>
  <si>
    <t>APT</t>
  </si>
  <si>
    <t>PPT</t>
  </si>
  <si>
    <t>NS</t>
  </si>
  <si>
    <t>Descrição</t>
  </si>
  <si>
    <t>Identificador</t>
  </si>
  <si>
    <t>Valor total</t>
  </si>
  <si>
    <t>TOTAL</t>
  </si>
  <si>
    <t>Quantidade</t>
  </si>
  <si>
    <t>ESCAVAÇÃO E REATERRO DE VALAS</t>
  </si>
  <si>
    <t>Escavação mecanizada para blocos e baldrames</t>
  </si>
  <si>
    <t>Reaterro para blocos e baldrames</t>
  </si>
  <si>
    <t>m³</t>
  </si>
  <si>
    <t>Armação</t>
  </si>
  <si>
    <t>Concreto</t>
  </si>
  <si>
    <t>Mão de obra</t>
  </si>
  <si>
    <t>kg</t>
  </si>
  <si>
    <t>vb</t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</si>
  <si>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</si>
  <si>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</si>
  <si>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</si>
  <si>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</si>
  <si>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</si>
  <si>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</si>
  <si>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t>kg / m³</t>
  </si>
  <si>
    <t>AE</t>
  </si>
  <si>
    <t>AL</t>
  </si>
  <si>
    <t>m² / AC</t>
  </si>
  <si>
    <t>m³ / AC</t>
  </si>
  <si>
    <t>APE</t>
  </si>
  <si>
    <t>NPD</t>
  </si>
  <si>
    <t>ND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</si>
  <si>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</si>
  <si>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</si>
  <si>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</si>
  <si>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</si>
  <si>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</si>
  <si>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</si>
  <si>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</si>
  <si>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</si>
  <si>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</si>
  <si>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</si>
  <si>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</si>
  <si>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</si>
  <si>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</si>
  <si>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</si>
  <si>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</si>
  <si>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</si>
  <si>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</si>
  <si>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</si>
  <si>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</si>
  <si>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</si>
  <si>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</si>
  <si>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</si>
  <si>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</si>
  <si>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</si>
  <si>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</si>
  <si>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</si>
  <si>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</si>
  <si>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</si>
  <si>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</si>
  <si>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</si>
  <si>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</si>
  <si>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</si>
  <si>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</si>
  <si>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</si>
  <si>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</si>
  <si>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</si>
  <si>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</si>
  <si>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</si>
  <si>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</si>
  <si>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</si>
  <si>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</si>
  <si>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</si>
  <si>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</si>
  <si>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</si>
  <si>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</si>
  <si>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</si>
  <si>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</si>
  <si>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</si>
  <si>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</si>
  <si>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</si>
  <si>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</si>
  <si>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</si>
  <si>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</si>
  <si>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</si>
  <si>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</si>
  <si>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</si>
  <si>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</si>
  <si>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 xml:space="preserve">Concreto </t>
  </si>
  <si>
    <t>REGULARIZAÇÃO E APILOAMENTO DE FUNDO DE VALAS</t>
  </si>
  <si>
    <t>Mão de obra - estrutura em concreto armado</t>
  </si>
  <si>
    <t>R$ / APE</t>
  </si>
  <si>
    <t>TOTAL MOVIMENTAÇÃO DE TERRA</t>
  </si>
  <si>
    <t>TOTAL INFRAESTRUTURA</t>
  </si>
  <si>
    <t>TOTAL SUPRAESTRUTURA</t>
  </si>
  <si>
    <t>FUNDAÇÃO PROFUNDA</t>
  </si>
  <si>
    <t>Número de Estacas</t>
  </si>
  <si>
    <t>un / APE</t>
  </si>
  <si>
    <t>Mobilização</t>
  </si>
  <si>
    <t>FUNDAÇÃO RASA</t>
  </si>
  <si>
    <t>Fabricação, montagem e desmontagem de forma para blocos e baldrames resinado</t>
  </si>
  <si>
    <t>m³ / APE</t>
  </si>
  <si>
    <t>m² / APE</t>
  </si>
  <si>
    <t>Estaca Hélice Continua Diâmetro 60</t>
  </si>
  <si>
    <t>Armação 6,3mm</t>
  </si>
  <si>
    <t>Cubetas</t>
  </si>
  <si>
    <t>Empresa</t>
  </si>
  <si>
    <t>Preço unitário</t>
  </si>
  <si>
    <t>M</t>
  </si>
  <si>
    <t>M2</t>
  </si>
  <si>
    <t>MOVIMENTAÇÃO DE TERRA</t>
  </si>
  <si>
    <t>INFRAESTRUTURA</t>
  </si>
  <si>
    <t>UN</t>
  </si>
  <si>
    <t>Rebaixamento de lençol</t>
  </si>
  <si>
    <t>Armação 16mm</t>
  </si>
  <si>
    <t>DADOS OBRA</t>
  </si>
  <si>
    <t>Unidade</t>
  </si>
  <si>
    <t>ÁREA DO TERRENO</t>
  </si>
  <si>
    <t>ÁREA TOTAL CONSTRUÍDA</t>
  </si>
  <si>
    <t>NÚMERO TOTAL DE PAVIMENTOS</t>
  </si>
  <si>
    <t>NÚMERO DE PAVIMENTOS TIPO</t>
  </si>
  <si>
    <t>NÚMERO DE PAVIMENTOS TIPO DIFERENCIADOS</t>
  </si>
  <si>
    <t>NÚMERO DE PAVIMENTOS DUPLEX</t>
  </si>
  <si>
    <t>ÁREA DE PROJEÇÃO DA TORRE</t>
  </si>
  <si>
    <t>PERÍMETRO DE PROJEÇÃO DA TORRE</t>
  </si>
  <si>
    <t>ÁREA DE LAZER</t>
  </si>
  <si>
    <t xml:space="preserve">ÁREA DO EMBASAMENTO </t>
  </si>
  <si>
    <t>ÁREA DE SUBSOLOS</t>
  </si>
  <si>
    <t>S</t>
  </si>
  <si>
    <t>NÚMERO DE SUBSOLOS</t>
  </si>
  <si>
    <t>ÁREA DE PROJEÇÃO DO EMBASAMENTO</t>
  </si>
  <si>
    <t>PERÍMETRO DE PROJEÇÃO DE EMBAMENTO</t>
  </si>
  <si>
    <t>NÚMERO DE PAVIMENTOS DE EMBASAMENTO</t>
  </si>
  <si>
    <t>Movimentação de terra das estacas</t>
  </si>
  <si>
    <t>Escavação</t>
  </si>
  <si>
    <t>Preço unitário de escavação (R$ / m3)</t>
  </si>
  <si>
    <t>Volume total de escavação (m3)</t>
  </si>
  <si>
    <t>Altura do subsolo (m)</t>
  </si>
  <si>
    <t>Área de subsolo (m)</t>
  </si>
  <si>
    <t>ESCAVAÇÃO VERTICAL DE SUBSOLO</t>
  </si>
  <si>
    <t>Preço unitário de rebaixamento (R$ / dias)</t>
  </si>
  <si>
    <t>Quantidade (dias)</t>
  </si>
  <si>
    <t>REBAIXAMENTO DE LENÇOL FREÁTICO</t>
  </si>
  <si>
    <t>PE</t>
  </si>
  <si>
    <t>NE</t>
  </si>
  <si>
    <t>Movimentação de bota-fora</t>
  </si>
  <si>
    <t>m³ / Vol Escavação</t>
  </si>
  <si>
    <t>Área de lastro (m²)</t>
  </si>
  <si>
    <t>Preço unitário (R$ / m2)</t>
  </si>
  <si>
    <t>Preço unitário (R$ / m3)</t>
  </si>
  <si>
    <t>Estaca Hélice Continua Diâmetro 50</t>
  </si>
  <si>
    <t>Estaca Hélice Continua Diâmetro 40</t>
  </si>
  <si>
    <t xml:space="preserve">m/un </t>
  </si>
  <si>
    <t>un / APT*NPT</t>
  </si>
  <si>
    <t>un / AE</t>
  </si>
  <si>
    <t>CONTENÇÃO</t>
  </si>
  <si>
    <t>CORTINA DE ESTACAS</t>
  </si>
  <si>
    <t>PAREDE DIAFRAGMA</t>
  </si>
  <si>
    <t>TOTAL ALVENARIA</t>
  </si>
  <si>
    <t>Média</t>
  </si>
  <si>
    <t>R$ / m²</t>
  </si>
  <si>
    <t>Serviços complementares</t>
  </si>
  <si>
    <t>Alvenaria refratárias</t>
  </si>
  <si>
    <t>m² / APT</t>
  </si>
  <si>
    <t>Alvenaria cobertura / reservatório</t>
  </si>
  <si>
    <t xml:space="preserve">Alvenaria escadas </t>
  </si>
  <si>
    <t>m² / APT*(NPT+2ND)</t>
  </si>
  <si>
    <t>Alvenaria tipo</t>
  </si>
  <si>
    <t>m² / AL</t>
  </si>
  <si>
    <t>Alvenaria lazer</t>
  </si>
  <si>
    <t>m² / AE</t>
  </si>
  <si>
    <t>Alvenaria embasamento</t>
  </si>
  <si>
    <t>Referência</t>
  </si>
  <si>
    <t>ALVENARIA</t>
  </si>
  <si>
    <t>R00</t>
  </si>
  <si>
    <t>Data</t>
  </si>
  <si>
    <t>San Felicce</t>
  </si>
  <si>
    <t>Amalfi</t>
  </si>
  <si>
    <t>Cliente</t>
  </si>
  <si>
    <r>
      <rPr>
        <b/>
        <sz val="14"/>
        <color rgb="FF255AE5"/>
        <rFont val="Roboto"/>
      </rPr>
      <t>ORÇAMENTO PARAMÉTRICO</t>
    </r>
    <r>
      <rPr>
        <b/>
        <sz val="14"/>
        <color rgb="FF293549"/>
        <rFont val="Roboto"/>
      </rPr>
      <t xml:space="preserve">
</t>
    </r>
    <r>
      <rPr>
        <b/>
        <sz val="11"/>
        <color rgb="FFFF0000"/>
        <rFont val="Roboto"/>
      </rPr>
      <t>GERENCIAMENTO EXECUTIVO</t>
    </r>
  </si>
  <si>
    <t>TOTAL REVESTIMENTOS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</si>
  <si>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</si>
  <si>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Reboco</t>
  </si>
  <si>
    <t>Chapisco</t>
  </si>
  <si>
    <t>Manta acústica</t>
  </si>
  <si>
    <t>Contrapiso</t>
  </si>
  <si>
    <t>REVESTIMENTOS INTERNOS EM PISO E PAREDE</t>
  </si>
  <si>
    <t>Chapisco e reboco</t>
  </si>
  <si>
    <t>Estucamento</t>
  </si>
  <si>
    <t>Negativo</t>
  </si>
  <si>
    <t>COBERTURA</t>
  </si>
  <si>
    <t>TERREO</t>
  </si>
  <si>
    <t>VINILICO</t>
  </si>
  <si>
    <t>PAVER</t>
  </si>
  <si>
    <t>CERAMICA</t>
  </si>
  <si>
    <t>PORCELANATO</t>
  </si>
  <si>
    <t>TOTAL ACABAMENTOS</t>
  </si>
  <si>
    <t>Revestimentos de Parede</t>
  </si>
  <si>
    <t>Soleiras e peitoris</t>
  </si>
  <si>
    <t>Rodapés</t>
  </si>
  <si>
    <t xml:space="preserve">m² </t>
  </si>
  <si>
    <t>Paver</t>
  </si>
  <si>
    <t>Piscina</t>
  </si>
  <si>
    <t>Piso vinilico</t>
  </si>
  <si>
    <t xml:space="preserve">Porcelanato </t>
  </si>
  <si>
    <t>ACABAMENTOS EM PISO E PAREDE</t>
  </si>
  <si>
    <t>Pintura Interna</t>
  </si>
  <si>
    <t xml:space="preserve">Textura escadas </t>
  </si>
  <si>
    <t>Pintura acrílica antiderrapante</t>
  </si>
  <si>
    <t>Pintura piso epoxi</t>
  </si>
  <si>
    <t>TOTAL FACHADA</t>
  </si>
  <si>
    <t>-</t>
  </si>
  <si>
    <t>ACABAMENTOS ESPECIAIS</t>
  </si>
  <si>
    <t>EMBASAMENTO</t>
  </si>
  <si>
    <t>PINTURA</t>
  </si>
  <si>
    <t>REVESTIMENTOS ARGAMASSADOS</t>
  </si>
  <si>
    <t>TOTAL IMPERMEABILIZAÇÃO</t>
  </si>
  <si>
    <t>Proteção Mecânica</t>
  </si>
  <si>
    <t>Impermeabilização de peitoril</t>
  </si>
  <si>
    <t>Impermeabilizações com manta asfaltica</t>
  </si>
  <si>
    <t>Impermeabilizações cimenticias</t>
  </si>
  <si>
    <t>Ralos</t>
  </si>
  <si>
    <t>Baldrames</t>
  </si>
  <si>
    <t>Poço do elevador</t>
  </si>
  <si>
    <t>Regularização de Superfície</t>
  </si>
  <si>
    <t>IMPERMEABILIZAÇÃO</t>
  </si>
  <si>
    <t>Esquadrias de Madeira</t>
  </si>
  <si>
    <t>Portão de alumínio</t>
  </si>
  <si>
    <t>Gradil</t>
  </si>
  <si>
    <t>Guarda-corpo - vidro</t>
  </si>
  <si>
    <t>Serralherias</t>
  </si>
  <si>
    <t>PCF</t>
  </si>
  <si>
    <t>Esquadrias de Alumínio</t>
  </si>
  <si>
    <t>ESQUADRIAS</t>
  </si>
  <si>
    <t>TOTAL INSTALAÇÕES</t>
  </si>
  <si>
    <t>Instalações de Proteção e Aterramento - SPDA</t>
  </si>
  <si>
    <t>Instalações de GLP</t>
  </si>
  <si>
    <t>Instalações Preventivas</t>
  </si>
  <si>
    <t>INSTALAÇÕES PREVENTIVAS E GLP</t>
  </si>
  <si>
    <t>Mão de Obra para Instalações Hidráulicas</t>
  </si>
  <si>
    <t>Instalações Sanitárias</t>
  </si>
  <si>
    <t>Instalações de Águas Pluviais</t>
  </si>
  <si>
    <t>Instalações de Água Quente</t>
  </si>
  <si>
    <t>Instalações de Água Fria</t>
  </si>
  <si>
    <t>INSTALAÇÕES HIDROSSANITÁRIAS</t>
  </si>
  <si>
    <t>Mão de Obra para Instalações Elétricas</t>
  </si>
  <si>
    <t>Equipamentos e Iluminação</t>
  </si>
  <si>
    <t>Acabamentos Elétricos</t>
  </si>
  <si>
    <t>Quadros e Disjuntores</t>
  </si>
  <si>
    <t>Cabos e Fiações</t>
  </si>
  <si>
    <t>Eletrodutos e Eletrocalhas</t>
  </si>
  <si>
    <t>Entrada de Energia</t>
  </si>
  <si>
    <t>INSTALAÇÕES ELÉTRICAS</t>
  </si>
  <si>
    <t>INSTALAÇÕES</t>
  </si>
  <si>
    <t>TOTAL SISTEMAS ESPECIAIS</t>
  </si>
  <si>
    <t>Outros sistemas</t>
  </si>
  <si>
    <t>OUTROS SISTEMAS ESPECIAIS</t>
  </si>
  <si>
    <t>Equipamentos para Piscina</t>
  </si>
  <si>
    <t>Infra de carro elétrico</t>
  </si>
  <si>
    <t>Grupo de geradores</t>
  </si>
  <si>
    <t>Elevadores</t>
  </si>
  <si>
    <t>Preço Unitário</t>
  </si>
  <si>
    <t>EQUIPAMENTOS</t>
  </si>
  <si>
    <t>Automação, telecomunicação e sistemas de segurança</t>
  </si>
  <si>
    <t>TV e internet</t>
  </si>
  <si>
    <t>Interfone</t>
  </si>
  <si>
    <t>CFTV</t>
  </si>
  <si>
    <t>COMUNICAÇÃO</t>
  </si>
  <si>
    <t>Churrasqueiras</t>
  </si>
  <si>
    <t>Ventokit</t>
  </si>
  <si>
    <t>Instalação de Ar Condicionado</t>
  </si>
  <si>
    <t>Infraestrutura para Instalação de Ar Condicionado</t>
  </si>
  <si>
    <t>CLIMATIZAÇÃO, EXAUSTÃO MECÂNICA E PRESSURIZAÇÃO</t>
  </si>
  <si>
    <t>SISTEMAS ESPECIAIS</t>
  </si>
  <si>
    <t>TOTAL COMPLEMENTARES</t>
  </si>
  <si>
    <t>Limpeza</t>
  </si>
  <si>
    <t>Desmobilização</t>
  </si>
  <si>
    <t>Ligações definitivas</t>
  </si>
  <si>
    <t>Paisagismo</t>
  </si>
  <si>
    <t>Comunicação visual</t>
  </si>
  <si>
    <t>R$ / AL</t>
  </si>
  <si>
    <t>Móveis e decoração</t>
  </si>
  <si>
    <t>SERVIÇOS COMPLEMENTARES</t>
  </si>
  <si>
    <t>COMPLEMENTARES</t>
  </si>
  <si>
    <t>Connect</t>
  </si>
  <si>
    <t>Passe</t>
  </si>
  <si>
    <t>Arquitetura base</t>
  </si>
  <si>
    <t>UNIDADES RESIDENCIAIS</t>
  </si>
  <si>
    <t>UR</t>
  </si>
  <si>
    <t>Dormitórios</t>
  </si>
  <si>
    <t>Banheiros</t>
  </si>
  <si>
    <t>UNIDADES COMERCIAIS</t>
  </si>
  <si>
    <t>UC</t>
  </si>
  <si>
    <t>dorm</t>
  </si>
  <si>
    <t>ban</t>
  </si>
  <si>
    <t>Arquivo base</t>
  </si>
  <si>
    <t>PAREDE DE CONCRETO</t>
  </si>
  <si>
    <t>Lastro de concreto magto e=5cm</t>
  </si>
  <si>
    <t>Observação</t>
  </si>
  <si>
    <t>Concreto (40 Mpa)</t>
  </si>
  <si>
    <t>Apoio e arrasamento de estacas</t>
  </si>
  <si>
    <t>Perfuração de vigas</t>
  </si>
  <si>
    <t>R$ / NP</t>
  </si>
  <si>
    <t>Coeficiente originário do Gran Torino (R$ 160,00/un)</t>
  </si>
  <si>
    <t>Jogos</t>
  </si>
  <si>
    <t>SUPRAESTRUTURA - LAJE MACIÇA</t>
  </si>
  <si>
    <t>SUPRAESTRUTURA - LAJE TRELIÇADA</t>
  </si>
  <si>
    <t>Nova utiliza a verba de 1.500,00 por pav</t>
  </si>
  <si>
    <t>PAREDES E PAINÉIS</t>
  </si>
  <si>
    <t>ALVENARIA - DRTWALL</t>
  </si>
  <si>
    <t>Drywall tipo</t>
  </si>
  <si>
    <t>CHU</t>
  </si>
  <si>
    <t>m² * CHU</t>
  </si>
  <si>
    <t>perda</t>
  </si>
  <si>
    <t>m³ / Vol infra</t>
  </si>
  <si>
    <t>Escoramento</t>
  </si>
  <si>
    <t>Equipamentos para Sauna</t>
  </si>
  <si>
    <t>Escada pressurizada</t>
  </si>
  <si>
    <t>Bombas</t>
  </si>
  <si>
    <t>m / FORRO</t>
  </si>
  <si>
    <t>PINTURA INTERNA</t>
  </si>
  <si>
    <t>REVESTIMENTOS E ACABAMENTOS DE TETO</t>
  </si>
  <si>
    <t xml:space="preserve"> m² / AC</t>
  </si>
  <si>
    <t>Estrutura e telhamento</t>
  </si>
  <si>
    <t>Passarelas</t>
  </si>
  <si>
    <t>TELHADO</t>
  </si>
  <si>
    <t>Molduras ACM</t>
  </si>
  <si>
    <t>Textura</t>
  </si>
  <si>
    <t>Equipamento d ecarro eletrico</t>
  </si>
  <si>
    <t>Corrimão inox</t>
  </si>
  <si>
    <t>Trataamento de esgoto</t>
  </si>
  <si>
    <t>CARPETE</t>
  </si>
  <si>
    <t>PISO ALISADO</t>
  </si>
  <si>
    <t>PISO RANHURADO</t>
  </si>
  <si>
    <t>DECK</t>
  </si>
  <si>
    <t>PASTILHA</t>
  </si>
  <si>
    <t>Cerâmico</t>
  </si>
  <si>
    <t>Carpete</t>
  </si>
  <si>
    <t>Deck</t>
  </si>
  <si>
    <t>Polimento de concreto</t>
  </si>
  <si>
    <t>Ladrilho hidaraulico</t>
  </si>
  <si>
    <t>PISO ALISADO ESCADA</t>
  </si>
  <si>
    <t>Piso alisado</t>
  </si>
  <si>
    <t>TOTAL ESQUADRIAS</t>
  </si>
  <si>
    <t>PAS_CNC_ARQ_EP_R08</t>
  </si>
  <si>
    <t xml:space="preserve">un </t>
  </si>
  <si>
    <t>Emborrachado</t>
  </si>
  <si>
    <t>EMBORRACHADO</t>
  </si>
  <si>
    <t>Subestação</t>
  </si>
  <si>
    <t xml:space="preserve">Armação </t>
  </si>
  <si>
    <t>Quantitativos trazidos de preliminar de fundação</t>
  </si>
  <si>
    <t>SUPRAESTRUTURA - LAJE PROTENDIDA</t>
  </si>
  <si>
    <t>RS / m²</t>
  </si>
  <si>
    <t>kg / m²</t>
  </si>
  <si>
    <t>Protensão - lajes - materiais</t>
  </si>
  <si>
    <t>Protensão - lajes - cabos</t>
  </si>
  <si>
    <t>Protensão - lajes - serviços</t>
  </si>
  <si>
    <t>und / pav</t>
  </si>
  <si>
    <t>pav</t>
  </si>
  <si>
    <t>Chapisco e reboco molduras</t>
  </si>
  <si>
    <t>Textura molduras</t>
  </si>
  <si>
    <t>Cristalizante (reservatorios)</t>
  </si>
  <si>
    <t>Churrasqueiras pré-moldadas</t>
  </si>
  <si>
    <t>R$</t>
  </si>
  <si>
    <t>Tratamento de frisos</t>
  </si>
  <si>
    <t>m²/m</t>
  </si>
  <si>
    <t>Corrimão metálico</t>
  </si>
  <si>
    <t>Fechadura biométrica</t>
  </si>
  <si>
    <t>SUPRAESTRUTURA - LAJE CUBETAS PROTENDIDAS</t>
  </si>
  <si>
    <t>3º SUBSOLO</t>
  </si>
  <si>
    <t>2º SUBSOLO</t>
  </si>
  <si>
    <t>1º SUBSOLO</t>
  </si>
  <si>
    <t>MEZANINO</t>
  </si>
  <si>
    <t>SOBRELOJA</t>
  </si>
  <si>
    <t>LAZER</t>
  </si>
  <si>
    <t>TIPO (X22)</t>
  </si>
  <si>
    <t>LAZER SUPERIOR</t>
  </si>
  <si>
    <t>TIPO 2 (X16)</t>
  </si>
  <si>
    <t xml:space="preserve">BARRILETE 1 </t>
  </si>
  <si>
    <t>BARRILETE 2</t>
  </si>
  <si>
    <t>FASE</t>
  </si>
  <si>
    <t>FASE 1</t>
  </si>
  <si>
    <t>FASE 2</t>
  </si>
  <si>
    <t>FASE 3</t>
  </si>
  <si>
    <t>FASE 4</t>
  </si>
  <si>
    <t xml:space="preserve">MALL 1 </t>
  </si>
  <si>
    <t>MALL 2</t>
  </si>
  <si>
    <t>TIPO 2 (X18)</t>
  </si>
  <si>
    <t>WAV-FUN-EX-00001-MALL-IMPL-R01</t>
  </si>
  <si>
    <t>Estaca Escavada Diâmetro 50</t>
  </si>
  <si>
    <t>Concreto (25 Mpa)</t>
  </si>
  <si>
    <t>1 PAV</t>
  </si>
  <si>
    <t>2 PAV</t>
  </si>
  <si>
    <t>3 PAV</t>
  </si>
  <si>
    <t>COB</t>
  </si>
  <si>
    <t>Qauntitativo de projeto acrescido 71% para fase 2</t>
  </si>
  <si>
    <t>1 PV</t>
  </si>
  <si>
    <t>3PAV</t>
  </si>
  <si>
    <t>4 PARADAS</t>
  </si>
  <si>
    <t>Equipamentos para Espelho dagua</t>
  </si>
  <si>
    <t>LEVANTAMENTO QUANTITATIVO</t>
  </si>
  <si>
    <t>REVESTIMENTOS E ACABAMENTOS DE PISO</t>
  </si>
  <si>
    <t>LEVANTAMENTO DE PROJETO</t>
  </si>
  <si>
    <t>CONTRAPISO</t>
  </si>
  <si>
    <t>Pavimento</t>
  </si>
  <si>
    <t>Material</t>
  </si>
  <si>
    <t>Área (m²)</t>
  </si>
  <si>
    <t>Contrapiso (Sim/Não)</t>
  </si>
  <si>
    <t>Repetição</t>
  </si>
  <si>
    <t>Total</t>
  </si>
  <si>
    <t>Revestimento</t>
  </si>
  <si>
    <t>Área total</t>
  </si>
  <si>
    <t>Sim</t>
  </si>
  <si>
    <t>Não</t>
  </si>
  <si>
    <t>TÉRREO</t>
  </si>
  <si>
    <t>Local</t>
  </si>
  <si>
    <t>Piso</t>
  </si>
  <si>
    <t>Teto</t>
  </si>
  <si>
    <t>Calçada garden</t>
  </si>
  <si>
    <t>Interno lojas - fase 1</t>
  </si>
  <si>
    <t>Interno tecnicos - fase 1</t>
  </si>
  <si>
    <t>Escadas - fase 1</t>
  </si>
  <si>
    <t>Externo - fase 1</t>
  </si>
  <si>
    <t>Interno lojas - fase 2</t>
  </si>
  <si>
    <t>Externo - fase 2</t>
  </si>
  <si>
    <t>Escadas - fase 2</t>
  </si>
  <si>
    <t>Interno circ - fase 1</t>
  </si>
  <si>
    <t>Interno tecnicos - fase 2</t>
  </si>
  <si>
    <t>Interno circ - fase 2</t>
  </si>
  <si>
    <t>PAV 1 (MEZANINO)</t>
  </si>
  <si>
    <t>PAV 2 (SOBRELOJA)</t>
  </si>
  <si>
    <t>Equipamentos para Chafariz</t>
  </si>
  <si>
    <t>Concreto - fase 1</t>
  </si>
  <si>
    <t xml:space="preserve"> Telhado - fase 1</t>
  </si>
  <si>
    <t>PAV 3</t>
  </si>
  <si>
    <t>Pavimentos tec - fase 2</t>
  </si>
  <si>
    <t>Telhado - fase 2</t>
  </si>
  <si>
    <t>Porcelanato</t>
  </si>
  <si>
    <t>Gesso</t>
  </si>
  <si>
    <t>PISO</t>
  </si>
  <si>
    <t>TETO</t>
  </si>
  <si>
    <t>Calçada</t>
  </si>
  <si>
    <t>Forro acartonado</t>
  </si>
  <si>
    <t>m3</t>
  </si>
  <si>
    <t>Cristalização elementos aparentes</t>
  </si>
  <si>
    <t>Pergolados metalicos</t>
  </si>
  <si>
    <t>m2</t>
  </si>
  <si>
    <t>MALL</t>
  </si>
  <si>
    <t>PELE DE VIDO</t>
  </si>
  <si>
    <t>area</t>
  </si>
  <si>
    <t xml:space="preserve">TERREO -2 </t>
  </si>
  <si>
    <t>TERREO -1</t>
  </si>
  <si>
    <t xml:space="preserve">SOBRELOJS -2 </t>
  </si>
  <si>
    <t>SOBRELOJS -1</t>
  </si>
  <si>
    <t>BRISE</t>
  </si>
  <si>
    <t>Estacionamento</t>
  </si>
  <si>
    <t>Brise de madeira</t>
  </si>
  <si>
    <t>Pele de vidro</t>
  </si>
  <si>
    <t>Poras aluminio</t>
  </si>
  <si>
    <t xml:space="preserve">Estrutura metálica cobertura </t>
  </si>
  <si>
    <t>Moldura ACM metálica</t>
  </si>
  <si>
    <t xml:space="preserve">Louças e Metais </t>
  </si>
  <si>
    <t>Playground</t>
  </si>
  <si>
    <t>R$ / m2</t>
  </si>
  <si>
    <t>Pergolados madeira</t>
  </si>
  <si>
    <t>Polido</t>
  </si>
  <si>
    <t>Irrigação, iluminação e mobiliário externo</t>
  </si>
  <si>
    <t>Forro madeira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</si>
</sst>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D_M_-;\-* #,##0.00\ _D_M_-;_-* &quot;-&quot;??\ _D_M_-;_-@_-"/>
    <numFmt numFmtId="165" formatCode="_-* #.##0.00_-;\-* #.##0.00_-;_-* &quot;-&quot;??_-;_-@_-"/>
    <numFmt numFmtId="166" formatCode="_-* #,##0.0000_-;\-* #,##0.0000_-;_-* &quot;-&quot;??_-;_-@_-"/>
    <numFmt numFmtId="167" formatCode="_-* #,##0.00_-;\-* #,##0.00_-;_-* &quot;-&quot;??_-;_-@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Roboto"/>
    </font>
    <font>
      <sz val="10"/>
      <color rgb="FFFF0000"/>
      <name val="Roboto"/>
    </font>
    <font>
      <b/>
      <sz val="8"/>
      <color theme="0"/>
      <name val="Poppins"/>
    </font>
    <font>
      <sz val="10"/>
      <color rgb="FF121212"/>
      <name val="Poppins"/>
    </font>
    <font>
      <sz val="8"/>
      <color rgb="FF121212"/>
      <name val="Poppins"/>
    </font>
    <font>
      <b/>
      <sz val="10"/>
      <color theme="0"/>
      <name val="Poppins"/>
    </font>
    <font>
      <b/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8"/>
      <color rgb="FF002060"/>
      <name val="Poppins"/>
    </font>
    <font>
      <sz val="11"/>
      <color rgb="FF121212"/>
      <name val="Poppins"/>
    </font>
    <font>
      <sz val="8"/>
      <color theme="1"/>
      <name val="Poppins"/>
    </font>
    <font>
      <sz val="10"/>
      <color theme="1"/>
      <name val="Poppins"/>
    </font>
    <font>
      <sz val="10"/>
      <name val="Poppins"/>
    </font>
    <font>
      <b/>
      <sz val="11"/>
      <color theme="1"/>
      <name val="Poppins"/>
    </font>
    <font>
      <sz val="11"/>
      <color theme="1"/>
      <name val="Roboto"/>
    </font>
    <font>
      <b/>
      <u/>
      <sz val="11"/>
      <color theme="1"/>
      <name val="Poppins"/>
    </font>
    <font>
      <b/>
      <sz val="11"/>
      <color theme="0"/>
      <name val="Poppins"/>
    </font>
    <font>
      <b/>
      <sz val="9"/>
      <color indexed="81"/>
      <name val="Segoe UI"/>
      <family val="2"/>
    </font>
    <font>
      <b/>
      <sz val="10"/>
      <color theme="0"/>
      <name val="Roboto"/>
    </font>
    <font>
      <sz val="11"/>
      <color rgb="FFFF0000"/>
      <name val="Roboto"/>
    </font>
    <font>
      <sz val="11"/>
      <name val="Roboto"/>
    </font>
    <font>
      <sz val="11"/>
      <name val="Poppins"/>
    </font>
    <font>
      <b/>
      <sz val="11"/>
      <color theme="0"/>
      <name val="Roboto"/>
    </font>
    <font>
      <b/>
      <sz val="10"/>
      <color theme="1"/>
      <name val="Roboto"/>
    </font>
    <font>
      <sz val="10"/>
      <name val="Roboto"/>
    </font>
    <font>
      <b/>
      <u/>
      <sz val="10"/>
      <color theme="1"/>
      <name val="Roboto"/>
    </font>
    <font>
      <sz val="10"/>
      <color rgb="FF000000"/>
      <name val="Roboto"/>
    </font>
    <font>
      <b/>
      <sz val="14"/>
      <color rgb="FF293549"/>
      <name val="Roboto"/>
    </font>
    <font>
      <b/>
      <sz val="14"/>
      <color rgb="FF255AE5"/>
      <name val="Roboto"/>
    </font>
    <font>
      <b/>
      <sz val="11"/>
      <color rgb="FFFF0000"/>
      <name val="Roboto"/>
    </font>
    <font>
      <b/>
      <sz val="10"/>
      <color rgb="FFFF0000"/>
      <name val="Roboto"/>
    </font>
    <font>
      <sz val="9"/>
      <color indexed="81"/>
      <name val="Segoe UI"/>
      <family val="2"/>
    </font>
    <font>
      <sz val="11"/>
      <color rgb="FFFF0000"/>
      <name val="Poppins"/>
    </font>
    <font>
      <i/>
      <sz val="8"/>
      <color rgb="FF121212"/>
      <name val="Poppins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ECECE"/>
        <bgColor rgb="FFCECE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A5A5A5"/>
        <bgColor rgb="FFA5A5A5"/>
      </patternFill>
    </fill>
    <fill>
      <patternFill patternType="solid">
        <fgColor rgb="FF255AE5"/>
        <bgColor rgb="FF255AE5"/>
      </patternFill>
    </fill>
  </fills>
  <borders count="1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CECECE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indexed="64"/>
      </right>
      <top style="hair">
        <color rgb="FF000000"/>
      </top>
      <bottom/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/>
      <top style="hair">
        <color rgb="FF000000"/>
      </top>
      <bottom style="medium">
        <color indexed="64"/>
      </bottom>
      <diagonal/>
    </border>
    <border>
      <left/>
      <right/>
      <top style="hair">
        <color rgb="FF000000"/>
      </top>
      <bottom style="medium">
        <color indexed="64"/>
      </bottom>
      <diagonal/>
    </border>
    <border>
      <left style="thin">
        <color rgb="FF000000"/>
      </left>
      <right/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4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0" fillId="0" borderId="0" xfId="1" applyFont="1"/>
    <xf numFmtId="0" fontId="9" fillId="5" borderId="15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43" fontId="6" fillId="2" borderId="9" xfId="1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/>
    <xf numFmtId="0" fontId="9" fillId="5" borderId="16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43" fontId="6" fillId="2" borderId="10" xfId="1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0" fillId="2" borderId="17" xfId="0" applyFont="1" applyFill="1" applyBorder="1"/>
    <xf numFmtId="0" fontId="12" fillId="2" borderId="19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0" fillId="2" borderId="20" xfId="0" applyFont="1" applyFill="1" applyBorder="1"/>
    <xf numFmtId="0" fontId="14" fillId="2" borderId="20" xfId="0" applyFont="1" applyFill="1" applyBorder="1"/>
    <xf numFmtId="0" fontId="7" fillId="2" borderId="19" xfId="0" applyFont="1" applyFill="1" applyBorder="1"/>
    <xf numFmtId="0" fontId="5" fillId="6" borderId="15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 wrapText="1"/>
    </xf>
    <xf numFmtId="43" fontId="5" fillId="6" borderId="22" xfId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23" xfId="0" applyFont="1" applyFill="1" applyBorder="1" applyAlignment="1">
      <alignment vertical="center" wrapText="1"/>
    </xf>
    <xf numFmtId="43" fontId="7" fillId="2" borderId="4" xfId="1" applyFont="1" applyFill="1" applyBorder="1" applyAlignment="1">
      <alignment horizontal="center" vertical="center" wrapText="1"/>
    </xf>
    <xf numFmtId="43" fontId="7" fillId="2" borderId="24" xfId="1" applyFont="1" applyFill="1" applyBorder="1" applyAlignment="1">
      <alignment vertical="center" wrapText="1"/>
    </xf>
    <xf numFmtId="0" fontId="7" fillId="2" borderId="25" xfId="0" applyFont="1" applyFill="1" applyBorder="1" applyAlignment="1">
      <alignment vertical="center" wrapText="1"/>
    </xf>
    <xf numFmtId="43" fontId="7" fillId="2" borderId="5" xfId="1" applyFont="1" applyFill="1" applyBorder="1" applyAlignment="1">
      <alignment horizontal="center" vertical="center" wrapText="1"/>
    </xf>
    <xf numFmtId="43" fontId="7" fillId="2" borderId="13" xfId="1" applyFont="1" applyFill="1" applyBorder="1" applyAlignment="1">
      <alignment vertical="center" wrapText="1"/>
    </xf>
    <xf numFmtId="0" fontId="7" fillId="2" borderId="26" xfId="0" applyFont="1" applyFill="1" applyBorder="1" applyAlignment="1">
      <alignment vertical="center" wrapText="1"/>
    </xf>
    <xf numFmtId="43" fontId="7" fillId="2" borderId="27" xfId="1" applyFont="1" applyFill="1" applyBorder="1" applyAlignment="1">
      <alignment horizontal="center" vertical="center" wrapText="1"/>
    </xf>
    <xf numFmtId="43" fontId="7" fillId="2" borderId="14" xfId="1" applyFont="1" applyFill="1" applyBorder="1" applyAlignment="1">
      <alignment vertical="center" wrapText="1"/>
    </xf>
    <xf numFmtId="0" fontId="14" fillId="2" borderId="28" xfId="0" applyFont="1" applyFill="1" applyBorder="1"/>
    <xf numFmtId="0" fontId="14" fillId="2" borderId="29" xfId="0" applyFont="1" applyFill="1" applyBorder="1" applyAlignment="1">
      <alignment horizontal="center"/>
    </xf>
    <xf numFmtId="43" fontId="14" fillId="2" borderId="29" xfId="1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14" fillId="2" borderId="30" xfId="0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43" fontId="10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43" fontId="16" fillId="0" borderId="0" xfId="1" applyFont="1" applyAlignment="1">
      <alignment vertical="center"/>
    </xf>
    <xf numFmtId="9" fontId="3" fillId="0" borderId="0" xfId="6" applyFont="1" applyAlignment="1">
      <alignment vertical="center"/>
    </xf>
    <xf numFmtId="0" fontId="17" fillId="0" borderId="0" xfId="0" applyFont="1" applyAlignment="1">
      <alignment vertical="center"/>
    </xf>
    <xf numFmtId="43" fontId="17" fillId="5" borderId="0" xfId="1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43" fontId="17" fillId="0" borderId="0" xfId="1" applyFont="1" applyAlignment="1">
      <alignment vertical="center"/>
    </xf>
    <xf numFmtId="0" fontId="18" fillId="0" borderId="33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43" fontId="10" fillId="0" borderId="33" xfId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3" fontId="18" fillId="0" borderId="0" xfId="1" applyFont="1" applyBorder="1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1" applyFont="1" applyBorder="1" applyAlignment="1">
      <alignment horizontal="center" vertical="center" wrapText="1"/>
    </xf>
    <xf numFmtId="43" fontId="10" fillId="4" borderId="0" xfId="1" applyFont="1" applyFill="1" applyBorder="1" applyAlignment="1">
      <alignment vertical="center" wrapText="1"/>
    </xf>
    <xf numFmtId="43" fontId="10" fillId="4" borderId="10" xfId="1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 wrapText="1"/>
    </xf>
    <xf numFmtId="43" fontId="21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3" fontId="10" fillId="0" borderId="1" xfId="1" applyFont="1" applyBorder="1" applyAlignment="1">
      <alignment vertical="center" wrapText="1"/>
    </xf>
    <xf numFmtId="43" fontId="10" fillId="0" borderId="1" xfId="1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/>
    </xf>
    <xf numFmtId="43" fontId="10" fillId="0" borderId="10" xfId="1" applyFont="1" applyBorder="1" applyAlignment="1">
      <alignment horizontal="left" vertical="center" wrapText="1"/>
    </xf>
    <xf numFmtId="43" fontId="10" fillId="0" borderId="0" xfId="1" applyFont="1" applyBorder="1" applyAlignment="1">
      <alignment horizontal="left" vertical="center" wrapText="1"/>
    </xf>
    <xf numFmtId="43" fontId="10" fillId="4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horizontal="left" vertical="center" wrapText="1"/>
    </xf>
    <xf numFmtId="9" fontId="10" fillId="4" borderId="10" xfId="1" applyNumberFormat="1" applyFont="1" applyFill="1" applyBorder="1" applyAlignment="1">
      <alignment vertical="center" wrapText="1"/>
    </xf>
    <xf numFmtId="2" fontId="10" fillId="4" borderId="10" xfId="1" applyNumberFormat="1" applyFont="1" applyFill="1" applyBorder="1" applyAlignment="1">
      <alignment vertical="center" wrapText="1"/>
    </xf>
    <xf numFmtId="0" fontId="10" fillId="0" borderId="35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43" fontId="19" fillId="0" borderId="0" xfId="1" applyFont="1" applyAlignment="1">
      <alignment horizontal="center" vertical="center"/>
    </xf>
    <xf numFmtId="0" fontId="26" fillId="5" borderId="0" xfId="0" applyFont="1" applyFill="1" applyAlignment="1">
      <alignment vertical="center"/>
    </xf>
    <xf numFmtId="43" fontId="26" fillId="5" borderId="0" xfId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43" fontId="19" fillId="0" borderId="0" xfId="1" applyFont="1" applyBorder="1" applyAlignment="1">
      <alignment vertical="center"/>
    </xf>
    <xf numFmtId="43" fontId="19" fillId="0" borderId="0" xfId="1" applyFont="1" applyBorder="1" applyAlignment="1">
      <alignment horizontal="center" vertical="center"/>
    </xf>
    <xf numFmtId="44" fontId="10" fillId="0" borderId="1" xfId="10" applyFont="1" applyBorder="1" applyAlignment="1">
      <alignment horizontal="left" vertical="center" wrapText="1"/>
    </xf>
    <xf numFmtId="44" fontId="10" fillId="0" borderId="1" xfId="10" applyFont="1" applyBorder="1" applyAlignment="1">
      <alignment horizontal="center" vertical="center"/>
    </xf>
    <xf numFmtId="44" fontId="21" fillId="7" borderId="1" xfId="10" applyFont="1" applyFill="1" applyBorder="1" applyAlignment="1">
      <alignment horizontal="center" vertical="center"/>
    </xf>
    <xf numFmtId="44" fontId="27" fillId="8" borderId="6" xfId="10" applyFont="1" applyFill="1" applyBorder="1" applyAlignment="1">
      <alignment horizontal="center" vertical="center"/>
    </xf>
    <xf numFmtId="44" fontId="10" fillId="8" borderId="1" xfId="10" applyFont="1" applyFill="1" applyBorder="1" applyAlignment="1">
      <alignment horizontal="left" vertical="center" wrapText="1"/>
    </xf>
    <xf numFmtId="44" fontId="10" fillId="8" borderId="1" xfId="10" applyFont="1" applyFill="1" applyBorder="1" applyAlignment="1">
      <alignment horizontal="center" vertical="center"/>
    </xf>
    <xf numFmtId="44" fontId="19" fillId="0" borderId="0" xfId="10" applyFont="1" applyAlignment="1">
      <alignment vertical="center"/>
    </xf>
    <xf numFmtId="44" fontId="25" fillId="0" borderId="0" xfId="10" applyFont="1" applyAlignment="1">
      <alignment vertical="center"/>
    </xf>
    <xf numFmtId="44" fontId="26" fillId="5" borderId="0" xfId="10" applyFont="1" applyFill="1" applyBorder="1" applyAlignment="1">
      <alignment vertical="center"/>
    </xf>
    <xf numFmtId="44" fontId="26" fillId="0" borderId="0" xfId="10" applyFont="1" applyAlignment="1">
      <alignment vertical="center"/>
    </xf>
    <xf numFmtId="44" fontId="10" fillId="0" borderId="33" xfId="10" applyFont="1" applyBorder="1" applyAlignment="1">
      <alignment vertical="center"/>
    </xf>
    <xf numFmtId="44" fontId="18" fillId="0" borderId="0" xfId="10" applyFont="1" applyBorder="1" applyAlignment="1">
      <alignment vertical="center"/>
    </xf>
    <xf numFmtId="44" fontId="10" fillId="0" borderId="0" xfId="10" applyFont="1" applyAlignment="1">
      <alignment vertical="center"/>
    </xf>
    <xf numFmtId="44" fontId="21" fillId="7" borderId="1" xfId="10" applyFont="1" applyFill="1" applyBorder="1" applyAlignment="1">
      <alignment horizontal="center" vertical="center" wrapText="1"/>
    </xf>
    <xf numFmtId="44" fontId="18" fillId="0" borderId="0" xfId="10" applyFont="1" applyAlignment="1">
      <alignment vertical="center"/>
    </xf>
    <xf numFmtId="44" fontId="10" fillId="0" borderId="0" xfId="10" applyFont="1" applyBorder="1" applyAlignment="1">
      <alignment horizontal="center" vertical="center" wrapText="1"/>
    </xf>
    <xf numFmtId="44" fontId="17" fillId="0" borderId="0" xfId="10" applyFont="1" applyAlignment="1">
      <alignment vertical="center"/>
    </xf>
    <xf numFmtId="44" fontId="17" fillId="5" borderId="0" xfId="10" applyFont="1" applyFill="1" applyBorder="1" applyAlignment="1">
      <alignment vertical="center"/>
    </xf>
    <xf numFmtId="44" fontId="10" fillId="0" borderId="34" xfId="10" applyFont="1" applyBorder="1" applyAlignment="1">
      <alignment horizontal="center" vertical="center"/>
    </xf>
    <xf numFmtId="44" fontId="16" fillId="0" borderId="0" xfId="10" applyFont="1" applyAlignment="1">
      <alignment vertical="center"/>
    </xf>
    <xf numFmtId="44" fontId="23" fillId="8" borderId="6" xfId="1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28" fillId="9" borderId="6" xfId="1" applyFont="1" applyFill="1" applyBorder="1" applyAlignment="1">
      <alignment horizontal="center" vertical="center"/>
    </xf>
    <xf numFmtId="43" fontId="28" fillId="10" borderId="6" xfId="1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3" fontId="3" fillId="0" borderId="39" xfId="1" applyFont="1" applyBorder="1" applyAlignment="1">
      <alignment horizontal="center" vertical="center" wrapText="1"/>
    </xf>
    <xf numFmtId="43" fontId="28" fillId="10" borderId="40" xfId="1" applyFont="1" applyFill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43" fontId="3" fillId="0" borderId="43" xfId="1" applyFont="1" applyBorder="1" applyAlignment="1">
      <alignment horizontal="center" vertical="center" wrapText="1"/>
    </xf>
    <xf numFmtId="43" fontId="3" fillId="0" borderId="44" xfId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166" fontId="3" fillId="0" borderId="47" xfId="1" applyNumberFormat="1" applyFont="1" applyBorder="1" applyAlignment="1">
      <alignment horizontal="center" vertical="center"/>
    </xf>
    <xf numFmtId="43" fontId="3" fillId="0" borderId="47" xfId="1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28" fillId="9" borderId="50" xfId="0" applyFont="1" applyFill="1" applyBorder="1" applyAlignment="1">
      <alignment horizontal="center" vertical="center"/>
    </xf>
    <xf numFmtId="0" fontId="28" fillId="9" borderId="51" xfId="0" applyFont="1" applyFill="1" applyBorder="1" applyAlignment="1">
      <alignment horizontal="center" vertical="center"/>
    </xf>
    <xf numFmtId="0" fontId="28" fillId="9" borderId="54" xfId="0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43" fontId="28" fillId="0" borderId="0" xfId="1" applyFont="1" applyBorder="1" applyAlignment="1">
      <alignment horizontal="center" vertical="center"/>
    </xf>
    <xf numFmtId="43" fontId="28" fillId="0" borderId="0" xfId="1" applyFont="1" applyBorder="1" applyAlignment="1">
      <alignment vertical="center"/>
    </xf>
    <xf numFmtId="0" fontId="30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43" fontId="3" fillId="0" borderId="57" xfId="1" applyFont="1" applyBorder="1" applyAlignment="1">
      <alignment horizontal="center" vertical="center"/>
    </xf>
    <xf numFmtId="43" fontId="3" fillId="0" borderId="57" xfId="1" applyFont="1" applyBorder="1" applyAlignment="1">
      <alignment vertical="center"/>
    </xf>
    <xf numFmtId="0" fontId="30" fillId="0" borderId="58" xfId="0" applyFont="1" applyBorder="1" applyAlignment="1">
      <alignment vertical="center"/>
    </xf>
    <xf numFmtId="14" fontId="3" fillId="11" borderId="59" xfId="0" applyNumberFormat="1" applyFont="1" applyFill="1" applyBorder="1" applyAlignment="1">
      <alignment vertical="center"/>
    </xf>
    <xf numFmtId="14" fontId="3" fillId="11" borderId="60" xfId="0" applyNumberFormat="1" applyFont="1" applyFill="1" applyBorder="1" applyAlignment="1">
      <alignment vertical="center"/>
    </xf>
    <xf numFmtId="14" fontId="3" fillId="11" borderId="61" xfId="0" applyNumberFormat="1" applyFont="1" applyFill="1" applyBorder="1" applyAlignment="1">
      <alignment vertical="center"/>
    </xf>
    <xf numFmtId="0" fontId="3" fillId="12" borderId="62" xfId="0" applyFont="1" applyFill="1" applyBorder="1" applyAlignment="1">
      <alignment horizontal="left" vertical="center"/>
    </xf>
    <xf numFmtId="14" fontId="3" fillId="11" borderId="63" xfId="0" applyNumberFormat="1" applyFont="1" applyFill="1" applyBorder="1" applyAlignment="1">
      <alignment horizontal="left" vertical="center"/>
    </xf>
    <xf numFmtId="14" fontId="3" fillId="11" borderId="64" xfId="0" applyNumberFormat="1" applyFont="1" applyFill="1" applyBorder="1" applyAlignment="1">
      <alignment horizontal="left" vertical="center"/>
    </xf>
    <xf numFmtId="14" fontId="3" fillId="11" borderId="61" xfId="0" applyNumberFormat="1" applyFont="1" applyFill="1" applyBorder="1" applyAlignment="1">
      <alignment horizontal="left" vertical="center"/>
    </xf>
    <xf numFmtId="0" fontId="3" fillId="12" borderId="65" xfId="0" applyFont="1" applyFill="1" applyBorder="1" applyAlignment="1">
      <alignment vertical="center"/>
    </xf>
    <xf numFmtId="14" fontId="3" fillId="11" borderId="63" xfId="0" applyNumberFormat="1" applyFont="1" applyFill="1" applyBorder="1" applyAlignment="1">
      <alignment vertical="center"/>
    </xf>
    <xf numFmtId="14" fontId="3" fillId="11" borderId="64" xfId="0" applyNumberFormat="1" applyFont="1" applyFill="1" applyBorder="1" applyAlignment="1">
      <alignment vertical="center"/>
    </xf>
    <xf numFmtId="49" fontId="3" fillId="11" borderId="61" xfId="0" applyNumberFormat="1" applyFont="1" applyFill="1" applyBorder="1" applyAlignment="1">
      <alignment vertical="center"/>
    </xf>
    <xf numFmtId="0" fontId="31" fillId="12" borderId="65" xfId="0" applyFont="1" applyFill="1" applyBorder="1" applyAlignment="1">
      <alignment vertical="center"/>
    </xf>
    <xf numFmtId="0" fontId="3" fillId="11" borderId="66" xfId="0" applyFont="1" applyFill="1" applyBorder="1" applyAlignment="1">
      <alignment vertical="center"/>
    </xf>
    <xf numFmtId="0" fontId="3" fillId="11" borderId="67" xfId="0" applyFont="1" applyFill="1" applyBorder="1" applyAlignment="1">
      <alignment vertical="center"/>
    </xf>
    <xf numFmtId="0" fontId="3" fillId="11" borderId="61" xfId="0" applyFont="1" applyFill="1" applyBorder="1" applyAlignment="1">
      <alignment vertical="center"/>
    </xf>
    <xf numFmtId="0" fontId="31" fillId="12" borderId="68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3" fillId="12" borderId="0" xfId="0" applyFont="1" applyFill="1" applyAlignment="1">
      <alignment vertical="center"/>
    </xf>
    <xf numFmtId="0" fontId="29" fillId="0" borderId="69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3" fillId="12" borderId="69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" fillId="0" borderId="37" xfId="0" applyNumberFormat="1" applyFont="1" applyBorder="1" applyAlignment="1">
      <alignment vertical="center"/>
    </xf>
    <xf numFmtId="0" fontId="3" fillId="0" borderId="70" xfId="0" applyFont="1" applyBorder="1" applyAlignment="1">
      <alignment horizontal="center" vertical="center" wrapText="1"/>
    </xf>
    <xf numFmtId="166" fontId="3" fillId="0" borderId="71" xfId="1" applyNumberFormat="1" applyFont="1" applyBorder="1" applyAlignment="1">
      <alignment horizontal="center" vertical="center"/>
    </xf>
    <xf numFmtId="43" fontId="3" fillId="0" borderId="71" xfId="1" applyFont="1" applyBorder="1" applyAlignment="1">
      <alignment horizontal="center" vertical="center" wrapText="1"/>
    </xf>
    <xf numFmtId="43" fontId="3" fillId="0" borderId="72" xfId="1" applyFont="1" applyBorder="1" applyAlignment="1">
      <alignment horizontal="center" vertical="center" wrapText="1"/>
    </xf>
    <xf numFmtId="0" fontId="3" fillId="0" borderId="73" xfId="0" applyFont="1" applyBorder="1" applyAlignment="1">
      <alignment horizontal="left" vertical="center" wrapText="1"/>
    </xf>
    <xf numFmtId="0" fontId="3" fillId="0" borderId="74" xfId="0" applyFont="1" applyBorder="1" applyAlignment="1">
      <alignment horizontal="left" vertical="center" wrapText="1"/>
    </xf>
    <xf numFmtId="0" fontId="3" fillId="0" borderId="73" xfId="0" applyFont="1" applyBorder="1" applyAlignment="1">
      <alignment vertical="center" wrapText="1"/>
    </xf>
    <xf numFmtId="2" fontId="3" fillId="0" borderId="43" xfId="1" applyNumberFormat="1" applyFont="1" applyBorder="1" applyAlignment="1">
      <alignment horizontal="center" vertical="center" wrapText="1"/>
    </xf>
    <xf numFmtId="43" fontId="0" fillId="0" borderId="0" xfId="0" applyNumberFormat="1"/>
    <xf numFmtId="43" fontId="28" fillId="10" borderId="77" xfId="1" applyFont="1" applyFill="1" applyBorder="1" applyAlignment="1">
      <alignment horizontal="center" vertical="center"/>
    </xf>
    <xf numFmtId="166" fontId="29" fillId="0" borderId="71" xfId="1" applyNumberFormat="1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 wrapText="1"/>
    </xf>
    <xf numFmtId="43" fontId="29" fillId="0" borderId="72" xfId="1" applyFont="1" applyBorder="1" applyAlignment="1">
      <alignment horizontal="center" vertical="center" wrapText="1"/>
    </xf>
    <xf numFmtId="0" fontId="29" fillId="0" borderId="73" xfId="0" applyFont="1" applyBorder="1" applyAlignment="1">
      <alignment vertical="center" wrapText="1"/>
    </xf>
    <xf numFmtId="0" fontId="29" fillId="0" borderId="73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43" fontId="0" fillId="0" borderId="0" xfId="0" applyNumberFormat="1" applyAlignment="1">
      <alignment vertical="center"/>
    </xf>
    <xf numFmtId="43" fontId="35" fillId="0" borderId="0" xfId="1" applyFont="1" applyBorder="1" applyAlignment="1">
      <alignment vertical="center"/>
    </xf>
    <xf numFmtId="43" fontId="29" fillId="0" borderId="0" xfId="1" applyFont="1" applyFill="1" applyBorder="1" applyAlignment="1">
      <alignment horizontal="center" vertical="center" wrapText="1"/>
    </xf>
    <xf numFmtId="43" fontId="29" fillId="0" borderId="49" xfId="1" applyFont="1" applyFill="1" applyBorder="1" applyAlignment="1">
      <alignment horizontal="center" vertical="center" wrapText="1"/>
    </xf>
    <xf numFmtId="44" fontId="10" fillId="0" borderId="1" xfId="10" applyFont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2" borderId="79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vertical="center" wrapText="1"/>
    </xf>
    <xf numFmtId="0" fontId="6" fillId="2" borderId="8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14" fontId="6" fillId="2" borderId="2" xfId="0" applyNumberFormat="1" applyFont="1" applyFill="1" applyBorder="1" applyAlignment="1">
      <alignment vertical="center" wrapText="1"/>
    </xf>
    <xf numFmtId="0" fontId="6" fillId="2" borderId="79" xfId="0" applyFont="1" applyFill="1" applyBorder="1" applyAlignment="1">
      <alignment horizontal="center" vertical="center" wrapText="1"/>
    </xf>
    <xf numFmtId="43" fontId="37" fillId="4" borderId="10" xfId="1" applyFont="1" applyFill="1" applyBorder="1" applyAlignment="1">
      <alignment vertical="center" wrapText="1"/>
    </xf>
    <xf numFmtId="44" fontId="19" fillId="0" borderId="0" xfId="0" applyNumberFormat="1" applyFont="1" applyAlignment="1">
      <alignment vertical="center"/>
    </xf>
    <xf numFmtId="44" fontId="16" fillId="0" borderId="0" xfId="0" applyNumberFormat="1" applyFont="1" applyAlignment="1">
      <alignment vertical="center"/>
    </xf>
    <xf numFmtId="43" fontId="29" fillId="0" borderId="0" xfId="0" applyNumberFormat="1" applyFont="1" applyAlignment="1">
      <alignment vertical="center"/>
    </xf>
    <xf numFmtId="43" fontId="26" fillId="0" borderId="1" xfId="1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43" fontId="7" fillId="2" borderId="0" xfId="0" applyNumberFormat="1" applyFont="1" applyFill="1" applyAlignment="1">
      <alignment horizontal="center"/>
    </xf>
    <xf numFmtId="43" fontId="26" fillId="4" borderId="10" xfId="1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5" fillId="6" borderId="8" xfId="0" applyFont="1" applyFill="1" applyBorder="1" applyAlignment="1">
      <alignment horizontal="center" vertical="center" wrapText="1"/>
    </xf>
    <xf numFmtId="43" fontId="7" fillId="2" borderId="81" xfId="1" applyFont="1" applyFill="1" applyBorder="1" applyAlignment="1">
      <alignment horizontal="center" vertical="center" wrapText="1"/>
    </xf>
    <xf numFmtId="43" fontId="7" fillId="2" borderId="82" xfId="1" applyFont="1" applyFill="1" applyBorder="1" applyAlignment="1">
      <alignment horizontal="center" vertical="center" wrapText="1"/>
    </xf>
    <xf numFmtId="43" fontId="7" fillId="2" borderId="83" xfId="1" applyFont="1" applyFill="1" applyBorder="1" applyAlignment="1">
      <alignment horizontal="center" vertical="center" wrapText="1"/>
    </xf>
    <xf numFmtId="43" fontId="38" fillId="2" borderId="5" xfId="1" applyFont="1" applyFill="1" applyBorder="1" applyAlignment="1">
      <alignment horizontal="center" vertical="center" wrapText="1"/>
    </xf>
    <xf numFmtId="43" fontId="38" fillId="2" borderId="82" xfId="1" applyFont="1" applyFill="1" applyBorder="1" applyAlignment="1">
      <alignment horizontal="center" vertical="center" wrapText="1"/>
    </xf>
    <xf numFmtId="43" fontId="38" fillId="2" borderId="13" xfId="1" applyFont="1" applyFill="1" applyBorder="1" applyAlignment="1">
      <alignment vertical="center" wrapText="1"/>
    </xf>
    <xf numFmtId="0" fontId="38" fillId="2" borderId="25" xfId="0" applyFont="1" applyFill="1" applyBorder="1" applyAlignment="1">
      <alignment horizontal="right" vertical="center" wrapText="1"/>
    </xf>
    <xf numFmtId="43" fontId="38" fillId="2" borderId="82" xfId="1" applyFont="1" applyFill="1" applyBorder="1" applyAlignment="1">
      <alignment vertical="center" wrapText="1"/>
    </xf>
    <xf numFmtId="43" fontId="38" fillId="2" borderId="83" xfId="1" applyFont="1" applyFill="1" applyBorder="1" applyAlignment="1">
      <alignment vertical="center" wrapText="1"/>
    </xf>
    <xf numFmtId="0" fontId="0" fillId="0" borderId="0" xfId="0"/>
    <xf numFmtId="44" fontId="10" fillId="0" borderId="1" xfId="10" applyFont="1" applyFill="1" applyBorder="1" applyAlignment="1">
      <alignment horizontal="left" vertical="center" wrapText="1"/>
    </xf>
    <xf numFmtId="43" fontId="26" fillId="5" borderId="0" xfId="0" applyNumberFormat="1" applyFont="1" applyFill="1" applyAlignment="1">
      <alignment vertical="center"/>
    </xf>
    <xf numFmtId="0" fontId="9" fillId="12" borderId="90" xfId="0" applyFont="1" applyFill="1" applyBorder="1" applyAlignment="1">
      <alignment vertical="center" wrapText="1"/>
    </xf>
    <xf numFmtId="0" fontId="39" fillId="0" borderId="91" xfId="0" applyFont="1" applyBorder="1"/>
    <xf numFmtId="0" fontId="39" fillId="0" borderId="92" xfId="0" applyFont="1" applyBorder="1"/>
    <xf numFmtId="0" fontId="16" fillId="13" borderId="93" xfId="0" applyFont="1" applyFill="1" applyBorder="1" applyAlignment="1">
      <alignment horizontal="left" vertical="center" wrapText="1"/>
    </xf>
    <xf numFmtId="0" fontId="39" fillId="13" borderId="93" xfId="0" applyFont="1" applyFill="1" applyBorder="1"/>
    <xf numFmtId="167" fontId="39" fillId="13" borderId="93" xfId="0" applyNumberFormat="1" applyFont="1" applyFill="1" applyBorder="1"/>
    <xf numFmtId="0" fontId="39" fillId="13" borderId="94" xfId="0" applyFont="1" applyFill="1" applyBorder="1"/>
    <xf numFmtId="0" fontId="9" fillId="12" borderId="95" xfId="0" applyFont="1" applyFill="1" applyBorder="1" applyAlignment="1">
      <alignment vertical="center" wrapText="1"/>
    </xf>
    <xf numFmtId="0" fontId="39" fillId="0" borderId="61" xfId="0" applyFont="1" applyBorder="1"/>
    <xf numFmtId="0" fontId="39" fillId="0" borderId="64" xfId="0" applyFont="1" applyBorder="1"/>
    <xf numFmtId="0" fontId="16" fillId="13" borderId="64" xfId="0" applyFont="1" applyFill="1" applyBorder="1" applyAlignment="1">
      <alignment horizontal="left" vertical="center" wrapText="1"/>
    </xf>
    <xf numFmtId="0" fontId="39" fillId="13" borderId="64" xfId="0" applyFont="1" applyFill="1" applyBorder="1"/>
    <xf numFmtId="167" fontId="39" fillId="13" borderId="64" xfId="0" applyNumberFormat="1" applyFont="1" applyFill="1" applyBorder="1"/>
    <xf numFmtId="0" fontId="39" fillId="13" borderId="96" xfId="0" applyFont="1" applyFill="1" applyBorder="1"/>
    <xf numFmtId="0" fontId="9" fillId="12" borderId="97" xfId="0" applyFont="1" applyFill="1" applyBorder="1" applyAlignment="1">
      <alignment vertical="center" wrapText="1"/>
    </xf>
    <xf numFmtId="0" fontId="39" fillId="0" borderId="98" xfId="0" applyFont="1" applyBorder="1"/>
    <xf numFmtId="0" fontId="39" fillId="0" borderId="99" xfId="0" applyFont="1" applyBorder="1"/>
    <xf numFmtId="0" fontId="39" fillId="13" borderId="99" xfId="0" applyFont="1" applyFill="1" applyBorder="1"/>
    <xf numFmtId="167" fontId="39" fillId="13" borderId="99" xfId="0" applyNumberFormat="1" applyFont="1" applyFill="1" applyBorder="1"/>
    <xf numFmtId="0" fontId="39" fillId="13" borderId="100" xfId="0" applyFont="1" applyFill="1" applyBorder="1"/>
    <xf numFmtId="0" fontId="39" fillId="13" borderId="0" xfId="0" applyFont="1" applyFill="1"/>
    <xf numFmtId="167" fontId="39" fillId="13" borderId="0" xfId="0" applyNumberFormat="1" applyFont="1" applyFill="1"/>
    <xf numFmtId="0" fontId="39" fillId="13" borderId="101" xfId="0" applyFont="1" applyFill="1" applyBorder="1"/>
    <xf numFmtId="0" fontId="5" fillId="17" borderId="107" xfId="0" applyFont="1" applyFill="1" applyBorder="1" applyAlignment="1">
      <alignment horizontal="center" vertical="center"/>
    </xf>
    <xf numFmtId="0" fontId="5" fillId="17" borderId="108" xfId="0" applyFont="1" applyFill="1" applyBorder="1" applyAlignment="1">
      <alignment horizontal="center" vertical="center"/>
    </xf>
    <xf numFmtId="0" fontId="5" fillId="17" borderId="109" xfId="0" applyFont="1" applyFill="1" applyBorder="1" applyAlignment="1">
      <alignment horizontal="center" vertical="center"/>
    </xf>
    <xf numFmtId="167" fontId="5" fillId="17" borderId="109" xfId="0" applyNumberFormat="1" applyFont="1" applyFill="1" applyBorder="1" applyAlignment="1">
      <alignment horizontal="center" vertical="center"/>
    </xf>
    <xf numFmtId="0" fontId="5" fillId="17" borderId="110" xfId="0" applyFont="1" applyFill="1" applyBorder="1" applyAlignment="1">
      <alignment horizontal="center"/>
    </xf>
    <xf numFmtId="167" fontId="5" fillId="17" borderId="111" xfId="0" applyNumberFormat="1" applyFont="1" applyFill="1" applyBorder="1" applyAlignment="1">
      <alignment horizontal="center" vertical="center"/>
    </xf>
    <xf numFmtId="167" fontId="5" fillId="17" borderId="112" xfId="0" applyNumberFormat="1" applyFont="1" applyFill="1" applyBorder="1" applyAlignment="1">
      <alignment horizontal="center" vertical="center"/>
    </xf>
    <xf numFmtId="0" fontId="5" fillId="17" borderId="113" xfId="0" applyFont="1" applyFill="1" applyBorder="1" applyAlignment="1">
      <alignment horizontal="center" vertical="center"/>
    </xf>
    <xf numFmtId="0" fontId="5" fillId="17" borderId="114" xfId="0" applyFont="1" applyFill="1" applyBorder="1" applyAlignment="1">
      <alignment horizontal="center" vertical="center"/>
    </xf>
    <xf numFmtId="0" fontId="39" fillId="12" borderId="98" xfId="0" applyFont="1" applyFill="1" applyBorder="1"/>
    <xf numFmtId="167" fontId="39" fillId="12" borderId="98" xfId="0" applyNumberFormat="1" applyFont="1" applyFill="1" applyBorder="1"/>
    <xf numFmtId="0" fontId="39" fillId="12" borderId="115" xfId="0" applyFont="1" applyFill="1" applyBorder="1"/>
    <xf numFmtId="167" fontId="39" fillId="0" borderId="116" xfId="0" applyNumberFormat="1" applyFont="1" applyBorder="1"/>
    <xf numFmtId="167" fontId="39" fillId="0" borderId="117" xfId="0" applyNumberFormat="1" applyFont="1" applyBorder="1"/>
    <xf numFmtId="0" fontId="39" fillId="0" borderId="118" xfId="0" applyFont="1" applyBorder="1"/>
    <xf numFmtId="4" fontId="39" fillId="0" borderId="119" xfId="0" applyNumberFormat="1" applyFont="1" applyBorder="1"/>
    <xf numFmtId="0" fontId="39" fillId="12" borderId="120" xfId="0" applyFont="1" applyFill="1" applyBorder="1"/>
    <xf numFmtId="0" fontId="39" fillId="12" borderId="121" xfId="0" applyFont="1" applyFill="1" applyBorder="1"/>
    <xf numFmtId="0" fontId="39" fillId="12" borderId="122" xfId="0" applyFont="1" applyFill="1" applyBorder="1"/>
    <xf numFmtId="167" fontId="39" fillId="12" borderId="122" xfId="0" applyNumberFormat="1" applyFont="1" applyFill="1" applyBorder="1"/>
    <xf numFmtId="0" fontId="39" fillId="12" borderId="123" xfId="0" applyFont="1" applyFill="1" applyBorder="1"/>
    <xf numFmtId="167" fontId="39" fillId="0" borderId="124" xfId="0" applyNumberFormat="1" applyFont="1" applyBorder="1"/>
    <xf numFmtId="167" fontId="39" fillId="0" borderId="125" xfId="0" applyNumberFormat="1" applyFont="1" applyBorder="1"/>
    <xf numFmtId="0" fontId="39" fillId="0" borderId="126" xfId="0" applyFont="1" applyBorder="1"/>
    <xf numFmtId="4" fontId="39" fillId="0" borderId="127" xfId="0" applyNumberFormat="1" applyFont="1" applyBorder="1"/>
    <xf numFmtId="0" fontId="39" fillId="0" borderId="128" xfId="0" applyFont="1" applyBorder="1"/>
    <xf numFmtId="167" fontId="39" fillId="0" borderId="128" xfId="0" applyNumberFormat="1" applyFont="1" applyBorder="1"/>
    <xf numFmtId="167" fontId="5" fillId="17" borderId="129" xfId="0" applyNumberFormat="1" applyFont="1" applyFill="1" applyBorder="1" applyAlignment="1">
      <alignment horizontal="center" vertical="center"/>
    </xf>
    <xf numFmtId="167" fontId="39" fillId="0" borderId="130" xfId="0" applyNumberFormat="1" applyFont="1" applyBorder="1"/>
    <xf numFmtId="167" fontId="39" fillId="0" borderId="119" xfId="0" applyNumberFormat="1" applyFont="1" applyBorder="1"/>
    <xf numFmtId="167" fontId="39" fillId="0" borderId="118" xfId="0" applyNumberFormat="1" applyFont="1" applyBorder="1"/>
    <xf numFmtId="0" fontId="39" fillId="0" borderId="131" xfId="0" applyFont="1" applyBorder="1"/>
    <xf numFmtId="167" fontId="39" fillId="0" borderId="132" xfId="0" applyNumberFormat="1" applyFont="1" applyBorder="1"/>
    <xf numFmtId="167" fontId="39" fillId="0" borderId="123" xfId="0" applyNumberFormat="1" applyFont="1" applyBorder="1"/>
    <xf numFmtId="167" fontId="39" fillId="0" borderId="133" xfId="0" applyNumberFormat="1" applyFont="1" applyBorder="1"/>
    <xf numFmtId="167" fontId="39" fillId="0" borderId="0" xfId="0" applyNumberFormat="1" applyFont="1"/>
    <xf numFmtId="0" fontId="39" fillId="12" borderId="134" xfId="0" applyFont="1" applyFill="1" applyBorder="1"/>
    <xf numFmtId="0" fontId="39" fillId="12" borderId="135" xfId="0" applyFont="1" applyFill="1" applyBorder="1"/>
    <xf numFmtId="0" fontId="39" fillId="12" borderId="136" xfId="0" applyFont="1" applyFill="1" applyBorder="1"/>
    <xf numFmtId="167" fontId="39" fillId="12" borderId="136" xfId="0" applyNumberFormat="1" applyFont="1" applyFill="1" applyBorder="1"/>
    <xf numFmtId="0" fontId="39" fillId="12" borderId="137" xfId="0" applyFont="1" applyFill="1" applyBorder="1"/>
    <xf numFmtId="167" fontId="39" fillId="0" borderId="137" xfId="0" applyNumberFormat="1" applyFont="1" applyBorder="1"/>
    <xf numFmtId="0" fontId="0" fillId="0" borderId="0" xfId="0"/>
    <xf numFmtId="43" fontId="38" fillId="2" borderId="82" xfId="1" applyFont="1" applyFill="1" applyBorder="1" applyAlignment="1">
      <alignment vertical="center" wrapText="1"/>
    </xf>
    <xf numFmtId="43" fontId="38" fillId="2" borderId="86" xfId="1" applyFont="1" applyFill="1" applyBorder="1" applyAlignment="1">
      <alignment vertical="center" wrapText="1"/>
    </xf>
    <xf numFmtId="43" fontId="38" fillId="2" borderId="82" xfId="1" applyFont="1" applyFill="1" applyBorder="1" applyAlignment="1">
      <alignment horizontal="center" vertical="center" wrapText="1"/>
    </xf>
    <xf numFmtId="43" fontId="38" fillId="2" borderId="86" xfId="1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43" fontId="7" fillId="2" borderId="82" xfId="1" applyFont="1" applyFill="1" applyBorder="1" applyAlignment="1">
      <alignment horizontal="center" vertical="center" wrapText="1"/>
    </xf>
    <xf numFmtId="43" fontId="7" fillId="2" borderId="89" xfId="1" applyFont="1" applyFill="1" applyBorder="1" applyAlignment="1">
      <alignment horizontal="center" vertical="center" wrapText="1"/>
    </xf>
    <xf numFmtId="43" fontId="7" fillId="2" borderId="82" xfId="1" applyFont="1" applyFill="1" applyBorder="1" applyAlignment="1">
      <alignment vertical="center" wrapText="1"/>
    </xf>
    <xf numFmtId="43" fontId="7" fillId="2" borderId="89" xfId="1" applyFont="1" applyFill="1" applyBorder="1" applyAlignment="1">
      <alignment vertical="center" wrapText="1"/>
    </xf>
    <xf numFmtId="4" fontId="7" fillId="2" borderId="84" xfId="1" applyNumberFormat="1" applyFont="1" applyFill="1" applyBorder="1" applyAlignment="1">
      <alignment horizontal="center" vertical="center" wrapText="1"/>
    </xf>
    <xf numFmtId="4" fontId="7" fillId="2" borderId="87" xfId="1" applyNumberFormat="1" applyFont="1" applyFill="1" applyBorder="1" applyAlignment="1">
      <alignment horizontal="center" vertical="center" wrapText="1"/>
    </xf>
    <xf numFmtId="4" fontId="7" fillId="2" borderId="85" xfId="1" applyNumberFormat="1" applyFont="1" applyFill="1" applyBorder="1" applyAlignment="1">
      <alignment horizontal="center" vertical="center" wrapText="1"/>
    </xf>
    <xf numFmtId="4" fontId="7" fillId="2" borderId="88" xfId="1" applyNumberFormat="1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1" fillId="8" borderId="31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 wrapText="1"/>
    </xf>
    <xf numFmtId="167" fontId="41" fillId="16" borderId="102" xfId="0" applyNumberFormat="1" applyFont="1" applyFill="1" applyBorder="1" applyAlignment="1">
      <alignment horizontal="center"/>
    </xf>
    <xf numFmtId="0" fontId="40" fillId="0" borderId="104" xfId="0" applyFont="1" applyBorder="1"/>
    <xf numFmtId="0" fontId="11" fillId="14" borderId="100" xfId="0" applyFont="1" applyFill="1" applyBorder="1" applyAlignment="1">
      <alignment horizontal="center" vertical="center" wrapText="1"/>
    </xf>
    <xf numFmtId="0" fontId="40" fillId="0" borderId="0" xfId="0" applyFont="1"/>
    <xf numFmtId="0" fontId="40" fillId="0" borderId="101" xfId="0" applyFont="1" applyBorder="1"/>
    <xf numFmtId="0" fontId="11" fillId="15" borderId="100" xfId="0" applyFont="1" applyFill="1" applyBorder="1" applyAlignment="1">
      <alignment horizontal="center" vertical="center" wrapText="1"/>
    </xf>
    <xf numFmtId="0" fontId="41" fillId="16" borderId="102" xfId="0" applyFont="1" applyFill="1" applyBorder="1" applyAlignment="1">
      <alignment horizontal="center"/>
    </xf>
    <xf numFmtId="0" fontId="41" fillId="16" borderId="103" xfId="0" applyFont="1" applyFill="1" applyBorder="1" applyAlignment="1">
      <alignment horizontal="center"/>
    </xf>
    <xf numFmtId="0" fontId="40" fillId="0" borderId="103" xfId="0" applyFont="1" applyBorder="1"/>
    <xf numFmtId="0" fontId="41" fillId="16" borderId="105" xfId="0" applyFont="1" applyFill="1" applyBorder="1" applyAlignment="1">
      <alignment horizontal="center"/>
    </xf>
    <xf numFmtId="0" fontId="40" fillId="0" borderId="106" xfId="0" applyFont="1" applyBorder="1"/>
    <xf numFmtId="0" fontId="32" fillId="0" borderId="0" xfId="0" applyFont="1" applyAlignment="1">
      <alignment horizontal="left" vertical="center" wrapText="1"/>
    </xf>
    <xf numFmtId="0" fontId="0" fillId="0" borderId="0" xfId="0"/>
    <xf numFmtId="0" fontId="28" fillId="10" borderId="6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28" fillId="10" borderId="42" xfId="0" applyFont="1" applyFill="1" applyBorder="1" applyAlignment="1">
      <alignment horizontal="center" vertical="center" wrapText="1"/>
    </xf>
    <xf numFmtId="0" fontId="28" fillId="10" borderId="41" xfId="0" applyFont="1" applyFill="1" applyBorder="1" applyAlignment="1">
      <alignment horizontal="center" vertical="center" wrapText="1"/>
    </xf>
    <xf numFmtId="43" fontId="28" fillId="9" borderId="53" xfId="1" applyFont="1" applyFill="1" applyBorder="1" applyAlignment="1">
      <alignment horizontal="center" vertical="center"/>
    </xf>
    <xf numFmtId="43" fontId="28" fillId="9" borderId="52" xfId="1" applyFont="1" applyFill="1" applyBorder="1" applyAlignment="1">
      <alignment horizontal="center" vertical="center"/>
    </xf>
    <xf numFmtId="0" fontId="28" fillId="9" borderId="53" xfId="0" applyFont="1" applyFill="1" applyBorder="1" applyAlignment="1">
      <alignment horizontal="center" vertical="center"/>
    </xf>
    <xf numFmtId="0" fontId="28" fillId="9" borderId="52" xfId="0" applyFont="1" applyFill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28" fillId="10" borderId="78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</cellXfs>
  <cellStyles count="11">
    <cellStyle name="Moeda" xfId="10" builtinId="4"/>
    <cellStyle name="Normal" xfId="0" builtinId="0"/>
    <cellStyle name="Normal 2" xfId="2" xr:uid="{00000000-0005-0000-0000-000001000000}"/>
    <cellStyle name="Normal 3" xfId="7" xr:uid="{E04F1BAC-8E74-4A37-9445-C7335308FD48}"/>
    <cellStyle name="Normal 7" xfId="5" xr:uid="{B5D56057-44D1-4A2B-9814-263CBEA5E92D}"/>
    <cellStyle name="Porcentagem" xfId="6" builtinId="5"/>
    <cellStyle name="Vírgula" xfId="1" builtinId="3"/>
    <cellStyle name="Vírgula 2" xfId="3" xr:uid="{00000000-0005-0000-0000-000003000000}"/>
    <cellStyle name="Vírgula 3" xfId="4" xr:uid="{CB7286E0-BC89-40FF-A0E8-A589AC34F77F}"/>
    <cellStyle name="Vírgula 3 2" xfId="8" xr:uid="{D82165B7-4EED-487C-97CF-88B56AB4ACE7}"/>
    <cellStyle name="Vírgula 4" xfId="9" xr:uid="{36500701-2F34-46A0-BEC0-E5982B15FF0A}"/>
  </cellStyles>
  <dxfs count="0"/>
  <tableStyles count="0" defaultTableStyle="TableStyleMedium2" defaultPivotStyle="PivotStyleLight16"/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97595</xdr:colOff>
      <xdr:row>0</xdr:row>
      <xdr:rowOff>225491</xdr:rowOff>
    </xdr:from>
    <xdr:to>
      <xdr:col>7</xdr:col>
      <xdr:colOff>1521657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0A8EF1-5172-424E-904A-801C19B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045" y="225491"/>
          <a:ext cx="1424062" cy="239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156210</xdr:colOff>
      <xdr:row>1</xdr:row>
      <xdr:rowOff>8207</xdr:rowOff>
    </xdr:from>
    <xdr:to>
      <xdr:col>25</xdr:col>
      <xdr:colOff>339222</xdr:colOff>
      <xdr:row>13</xdr:row>
      <xdr:rowOff>118741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290124F-D2E3-4038-B1B0-A7ABFB21C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7630" y="198707"/>
          <a:ext cx="9317487" cy="2891834"/>
        </a:xfrm>
        <a:prstGeom prst="rect">
          <a:avLst/>
        </a:prstGeom>
      </xdr:spPr>
    </xdr:pic>
    <xdr:clientData/>
  </xdr:twoCellAnchor>
  <xdr:twoCellAnchor editAs="oneCell">
    <xdr:from>
      <xdr:col>10</xdr:col>
      <xdr:colOff>394334</xdr:colOff>
      <xdr:row>11</xdr:row>
      <xdr:rowOff>126350</xdr:rowOff>
    </xdr:from>
    <xdr:to>
      <xdr:col>17</xdr:col>
      <xdr:colOff>347354</xdr:colOff>
      <xdr:row>18</xdr:row>
      <xdr:rowOff>41910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A57A043-C32A-42FD-AFEB-BBBB38747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97414" y="2900030"/>
          <a:ext cx="4227840" cy="13100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723900</xdr:colOff>
      <xdr:row>8</xdr:row>
      <xdr:rowOff>257175</xdr:rowOff>
    </xdr:from>
    <xdr:to>
      <xdr:col>20</xdr:col>
      <xdr:colOff>338223</xdr:colOff>
      <xdr:row>26</xdr:row>
      <xdr:rowOff>78759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3774E41-7D23-4075-882C-EC0F27CF8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73525" y="2324100"/>
          <a:ext cx="7443873" cy="4686954"/>
        </a:xfrm>
        <a:prstGeom prst="rect">
          <a:avLst/>
        </a:prstGeom>
      </xdr:spPr>
    </xdr:pic>
    <xdr:clientData/>
  </xdr:twoCellAnchor>
  <xdr:twoCellAnchor editAs="oneCell">
    <xdr:from>
      <xdr:col>9</xdr:col>
      <xdr:colOff>108585</xdr:colOff>
      <xdr:row>32</xdr:row>
      <xdr:rowOff>255270</xdr:rowOff>
    </xdr:from>
    <xdr:to>
      <xdr:col>15</xdr:col>
      <xdr:colOff>568316</xdr:colOff>
      <xdr:row>41</xdr:row>
      <xdr:rowOff>181325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A2E5FEE-149E-4B34-A110-D001DF065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10685" y="7456170"/>
          <a:ext cx="4486901" cy="25111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3267075</xdr:colOff>
      <xdr:row>72</xdr:row>
      <xdr:rowOff>133350</xdr:rowOff>
    </xdr:from>
    <xdr:to>
      <xdr:col>3</xdr:col>
      <xdr:colOff>530078</xdr:colOff>
      <xdr:row>82</xdr:row>
      <xdr:rowOff>80269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BADF8D7-BD51-4796-A163-ED7D3A58E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7075" y="7296150"/>
          <a:ext cx="3498068" cy="1859539"/>
        </a:xfrm>
        <a:prstGeom prst="rect">
          <a:avLst/>
        </a:prstGeom>
      </xdr:spPr>
    </xdr:pic>
    <xdr:clientData/>
  </xdr:twoCellAnchor>
  <xdr:twoCellAnchor editAs="oneCell">
    <xdr:from>
      <xdr:col>8</xdr:col>
      <xdr:colOff>361950</xdr:colOff>
      <xdr:row>9</xdr:row>
      <xdr:rowOff>152400</xdr:rowOff>
    </xdr:from>
    <xdr:to>
      <xdr:col>13</xdr:col>
      <xdr:colOff>189084</xdr:colOff>
      <xdr:row>13</xdr:row>
      <xdr:rowOff>34427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48024F0-0426-4E85-AA3F-FB9022015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78200" y="2752725"/>
          <a:ext cx="3503784" cy="9831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4</xdr:col>
      <xdr:colOff>42475</xdr:colOff>
      <xdr:row>93</xdr:row>
      <xdr:rowOff>152661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3961D30-5F23-4403-AC95-B33AEE860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43275" y="9448800"/>
          <a:ext cx="4048690" cy="18671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3</xdr:col>
      <xdr:colOff>880638</xdr:colOff>
      <xdr:row>105</xdr:row>
      <xdr:rowOff>72637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5AF143A-4365-4247-A726-EB84D6570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43275" y="11734800"/>
          <a:ext cx="3781953" cy="177189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6</xdr:col>
      <xdr:colOff>1139724</xdr:colOff>
      <xdr:row>81</xdr:row>
      <xdr:rowOff>110744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3A92AA4-5A51-4C04-A069-EF9BC91FB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43775" y="7162800"/>
          <a:ext cx="3829584" cy="181952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6</xdr:col>
      <xdr:colOff>571956</xdr:colOff>
      <xdr:row>91</xdr:row>
      <xdr:rowOff>72584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DA098F8-139C-4A1B-8ACD-6F30BE0F5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3775" y="9448800"/>
          <a:ext cx="3267531" cy="13908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475129</xdr:colOff>
      <xdr:row>19</xdr:row>
      <xdr:rowOff>188259</xdr:rowOff>
    </xdr:from>
    <xdr:to>
      <xdr:col>16</xdr:col>
      <xdr:colOff>72146</xdr:colOff>
      <xdr:row>37</xdr:row>
      <xdr:rowOff>72525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FF5B279-C94F-4F0C-A9D8-922122366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4235" y="6580094"/>
          <a:ext cx="6287377" cy="5786292"/>
        </a:xfrm>
        <a:prstGeom prst="rect">
          <a:avLst/>
        </a:prstGeom>
      </xdr:spPr>
    </xdr:pic>
    <xdr:clientData/>
  </xdr:twoCellAnchor>
  <xdr:twoCellAnchor editAs="oneCell">
    <xdr:from>
      <xdr:col>7</xdr:col>
      <xdr:colOff>351528</xdr:colOff>
      <xdr:row>38</xdr:row>
      <xdr:rowOff>178162</xdr:rowOff>
    </xdr:from>
    <xdr:to>
      <xdr:col>13</xdr:col>
      <xdr:colOff>187082</xdr:colOff>
      <xdr:row>43</xdr:row>
      <xdr:rowOff>72464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E13CB62-E2C3-4F6E-89E3-6A411714E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9834" y="12397056"/>
          <a:ext cx="3483629" cy="156061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</xdr:row>
      <xdr:rowOff>66675</xdr:rowOff>
    </xdr:from>
    <xdr:ext cx="1381125" cy="228600"/>
    <xdr:pic>
      <xdr:nvPicPr>
        <xdr:cNvPr id="2" name="image1.png">
          <a:extLst>
            <a:ext uri="{FF2B5EF4-FFF2-40B4-BE49-F238E27FC236}">
              <a16:creationId xmlns:a16="http://schemas.microsoft.com/office/drawing/2014/main" id="{D485983B-B204-4355-8DC9-58C1C412499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725775" y="257175"/>
          <a:ext cx="1381125" cy="2286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8887FC87-A112-41C2-8D6C-E71A2E39EE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CD5673A-8A7E-4D4B-95CE-ED066E2308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11B8AAF6-A5B4-4006-9C3C-189C0CC6AA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1AAD-C2EE-4E14-BE9E-4A287CFE07C4}">
  <sheetPr>
    <pageSetUpPr fitToPage="1"/>
  </sheetPr>
  <dimension ref="A1:H40"/>
  <sheetViews>
    <sheetView view="pageBreakPreview" topLeftCell="E1" zoomScale="115" zoomScaleNormal="115" zoomScaleSheetLayoutView="115" workbookViewId="0">
      <selection activeCell="A27" sqref="A27:XFD27"/>
    </sheetView>
  </sheetViews>
  <sheetFormatPr defaultRowHeight="21.75" x14ac:dyDescent="0.6"/>
  <cols>
    <col min="1" max="1" width="19.140625" style="41" customWidth="1"/>
    <col min="2" max="2" width="83.7109375" style="42" customWidth="1"/>
    <col min="3" max="5" width="11.28515625" style="42" customWidth="1"/>
    <col min="6" max="6" width="11.28515625" style="43" customWidth="1"/>
    <col min="7" max="7" width="11.140625" style="44" customWidth="1"/>
    <col min="8" max="8" width="24" style="41" customWidth="1"/>
    <col min="9" max="10" width="9.28515625" bestFit="1" customWidth="1"/>
  </cols>
  <sheetData>
    <row r="1" spans="1:8" ht="18" customHeight="1" x14ac:dyDescent="0.6">
      <c r="A1" s="4" t="s">
        <v>0</v>
      </c>
      <c r="B1" s="5" t="s">
        <v>295</v>
      </c>
      <c r="C1" s="6"/>
      <c r="D1" s="6"/>
      <c r="E1" s="6"/>
      <c r="F1" s="7"/>
      <c r="G1" s="8"/>
      <c r="H1" s="9"/>
    </row>
    <row r="2" spans="1:8" ht="18" customHeight="1" x14ac:dyDescent="0.6">
      <c r="A2" s="10" t="s">
        <v>117</v>
      </c>
      <c r="B2" s="11" t="s">
        <v>296</v>
      </c>
      <c r="C2" s="12"/>
      <c r="D2" s="12"/>
      <c r="E2" s="12"/>
      <c r="F2" s="13"/>
      <c r="G2" s="14"/>
      <c r="H2" s="15"/>
    </row>
    <row r="3" spans="1:8" ht="18" customHeight="1" x14ac:dyDescent="0.6">
      <c r="A3" s="10" t="s">
        <v>1</v>
      </c>
      <c r="B3" s="11" t="s">
        <v>185</v>
      </c>
      <c r="C3" s="12"/>
      <c r="D3" s="12"/>
      <c r="E3" s="12"/>
      <c r="F3" s="13"/>
      <c r="G3" s="14"/>
      <c r="H3" s="15"/>
    </row>
    <row r="4" spans="1:8" ht="18" customHeight="1" x14ac:dyDescent="0.6">
      <c r="A4" s="10" t="s">
        <v>297</v>
      </c>
      <c r="B4" s="11" t="s">
        <v>355</v>
      </c>
      <c r="C4" s="12"/>
      <c r="D4" s="12"/>
      <c r="E4" s="12"/>
      <c r="F4" s="13"/>
      <c r="G4" s="14"/>
      <c r="H4" s="20"/>
    </row>
    <row r="5" spans="1:8" ht="25.15" customHeight="1" x14ac:dyDescent="0.25">
      <c r="A5" s="290" t="s">
        <v>126</v>
      </c>
      <c r="B5" s="291"/>
      <c r="C5" s="291"/>
      <c r="D5" s="291"/>
      <c r="E5" s="291"/>
      <c r="F5" s="291"/>
      <c r="G5" s="291"/>
      <c r="H5" s="292"/>
    </row>
    <row r="6" spans="1:8" ht="14.45" customHeight="1" thickBot="1" x14ac:dyDescent="0.65">
      <c r="A6" s="16"/>
      <c r="B6" s="17"/>
      <c r="C6" s="17"/>
      <c r="D6" s="17"/>
      <c r="E6" s="17"/>
      <c r="F6" s="18"/>
      <c r="G6" s="19"/>
      <c r="H6" s="20"/>
    </row>
    <row r="7" spans="1:8" x14ac:dyDescent="0.6">
      <c r="A7" s="22"/>
      <c r="B7" s="23" t="s">
        <v>14</v>
      </c>
      <c r="C7" s="24" t="s">
        <v>15</v>
      </c>
      <c r="D7" s="24" t="s">
        <v>127</v>
      </c>
      <c r="E7" s="207"/>
      <c r="F7" s="25" t="s">
        <v>18</v>
      </c>
      <c r="G7" s="26"/>
      <c r="H7" s="21"/>
    </row>
    <row r="8" spans="1:8" x14ac:dyDescent="0.6">
      <c r="A8" s="22"/>
      <c r="B8" s="27" t="s">
        <v>128</v>
      </c>
      <c r="C8" s="28" t="s">
        <v>7</v>
      </c>
      <c r="D8" s="28" t="s">
        <v>120</v>
      </c>
      <c r="E8" s="208"/>
      <c r="F8" s="29">
        <v>9027.7900000000009</v>
      </c>
      <c r="G8" s="26"/>
      <c r="H8" s="21"/>
    </row>
    <row r="9" spans="1:8" x14ac:dyDescent="0.6">
      <c r="A9" s="22"/>
      <c r="B9" s="30" t="s">
        <v>129</v>
      </c>
      <c r="C9" s="31" t="s">
        <v>8</v>
      </c>
      <c r="D9" s="31" t="s">
        <v>120</v>
      </c>
      <c r="E9" s="209"/>
      <c r="F9" s="32">
        <v>73831.22</v>
      </c>
      <c r="G9" s="26"/>
      <c r="H9" s="21"/>
    </row>
    <row r="10" spans="1:8" s="206" customFormat="1" x14ac:dyDescent="0.6">
      <c r="A10" s="22"/>
      <c r="B10" s="214" t="s">
        <v>380</v>
      </c>
      <c r="C10" s="211"/>
      <c r="D10" s="31" t="s">
        <v>120</v>
      </c>
      <c r="E10" s="286">
        <v>4679.95</v>
      </c>
      <c r="F10" s="287"/>
      <c r="G10" s="26"/>
      <c r="H10" s="21"/>
    </row>
    <row r="11" spans="1:8" s="206" customFormat="1" x14ac:dyDescent="0.6">
      <c r="A11" s="22"/>
      <c r="B11" s="214" t="s">
        <v>381</v>
      </c>
      <c r="C11" s="211"/>
      <c r="D11" s="31" t="s">
        <v>120</v>
      </c>
      <c r="E11" s="286">
        <v>4528.1400000000003</v>
      </c>
      <c r="F11" s="287"/>
      <c r="G11" s="26"/>
      <c r="H11" s="21"/>
    </row>
    <row r="12" spans="1:8" s="206" customFormat="1" x14ac:dyDescent="0.6">
      <c r="A12" s="22"/>
      <c r="B12" s="214" t="s">
        <v>382</v>
      </c>
      <c r="C12" s="211"/>
      <c r="D12" s="31" t="s">
        <v>120</v>
      </c>
      <c r="E12" s="286">
        <v>4528.1400000000003</v>
      </c>
      <c r="F12" s="287"/>
      <c r="G12" s="26"/>
      <c r="H12" s="21"/>
    </row>
    <row r="13" spans="1:8" s="206" customFormat="1" x14ac:dyDescent="0.6">
      <c r="A13" s="22"/>
      <c r="B13" s="214" t="s">
        <v>202</v>
      </c>
      <c r="C13" s="211"/>
      <c r="D13" s="31" t="s">
        <v>120</v>
      </c>
      <c r="E13" s="286">
        <v>5529.88</v>
      </c>
      <c r="F13" s="287"/>
      <c r="G13" s="26"/>
      <c r="H13" s="21"/>
    </row>
    <row r="14" spans="1:8" s="206" customFormat="1" x14ac:dyDescent="0.6">
      <c r="A14" s="22"/>
      <c r="B14" s="214" t="s">
        <v>383</v>
      </c>
      <c r="C14" s="211"/>
      <c r="D14" s="31" t="s">
        <v>120</v>
      </c>
      <c r="E14" s="286">
        <v>2740.07</v>
      </c>
      <c r="F14" s="287"/>
      <c r="G14" s="26"/>
      <c r="H14" s="21"/>
    </row>
    <row r="15" spans="1:8" s="206" customFormat="1" x14ac:dyDescent="0.6">
      <c r="A15" s="22"/>
      <c r="B15" s="214" t="s">
        <v>384</v>
      </c>
      <c r="C15" s="211"/>
      <c r="D15" s="31" t="s">
        <v>120</v>
      </c>
      <c r="E15" s="286">
        <v>4855.8500000000004</v>
      </c>
      <c r="F15" s="287"/>
      <c r="G15" s="26"/>
      <c r="H15" s="21"/>
    </row>
    <row r="16" spans="1:8" s="206" customFormat="1" x14ac:dyDescent="0.6">
      <c r="A16" s="22"/>
      <c r="B16" s="214" t="s">
        <v>385</v>
      </c>
      <c r="C16" s="211"/>
      <c r="D16" s="31" t="s">
        <v>120</v>
      </c>
      <c r="E16" s="286">
        <v>5014.3</v>
      </c>
      <c r="F16" s="287"/>
      <c r="G16" s="26"/>
      <c r="H16" s="21"/>
    </row>
    <row r="17" spans="1:8" s="206" customFormat="1" x14ac:dyDescent="0.6">
      <c r="A17" s="22"/>
      <c r="B17" s="214" t="s">
        <v>386</v>
      </c>
      <c r="C17" s="211"/>
      <c r="D17" s="31" t="s">
        <v>120</v>
      </c>
      <c r="E17" s="212">
        <f>618.71*22</f>
        <v>13611.62</v>
      </c>
      <c r="F17" s="213">
        <f>682.92*22</f>
        <v>15024.24</v>
      </c>
      <c r="G17" s="26"/>
      <c r="H17" s="21"/>
    </row>
    <row r="18" spans="1:8" s="206" customFormat="1" x14ac:dyDescent="0.6">
      <c r="A18" s="22"/>
      <c r="B18" s="214" t="s">
        <v>387</v>
      </c>
      <c r="C18" s="211"/>
      <c r="D18" s="31" t="s">
        <v>120</v>
      </c>
      <c r="E18" s="288">
        <v>1554.82</v>
      </c>
      <c r="F18" s="289"/>
      <c r="G18" s="26"/>
      <c r="H18" s="21"/>
    </row>
    <row r="19" spans="1:8" s="206" customFormat="1" x14ac:dyDescent="0.6">
      <c r="A19" s="22"/>
      <c r="B19" s="214" t="s">
        <v>389</v>
      </c>
      <c r="C19" s="211"/>
      <c r="D19" s="31" t="s">
        <v>120</v>
      </c>
      <c r="E19" s="212">
        <f>76.57*2</f>
        <v>153.13999999999999</v>
      </c>
      <c r="F19" s="213"/>
      <c r="G19" s="26"/>
      <c r="H19" s="21"/>
    </row>
    <row r="20" spans="1:8" s="206" customFormat="1" x14ac:dyDescent="0.6">
      <c r="A20" s="22"/>
      <c r="B20" s="214" t="s">
        <v>388</v>
      </c>
      <c r="C20" s="211"/>
      <c r="D20" s="31" t="s">
        <v>120</v>
      </c>
      <c r="E20" s="212"/>
      <c r="F20" s="213">
        <f>682.92*16</f>
        <v>10926.72</v>
      </c>
      <c r="G20" s="26"/>
      <c r="H20" s="21"/>
    </row>
    <row r="21" spans="1:8" s="206" customFormat="1" x14ac:dyDescent="0.6">
      <c r="A21" s="22"/>
      <c r="B21" s="214" t="s">
        <v>390</v>
      </c>
      <c r="C21" s="211"/>
      <c r="D21" s="31" t="s">
        <v>120</v>
      </c>
      <c r="E21" s="212"/>
      <c r="F21" s="213">
        <f>111.98*2</f>
        <v>223.96</v>
      </c>
      <c r="G21" s="26"/>
      <c r="H21" s="21"/>
    </row>
    <row r="22" spans="1:8" x14ac:dyDescent="0.6">
      <c r="A22" s="22"/>
      <c r="B22" s="30" t="s">
        <v>298</v>
      </c>
      <c r="C22" s="31" t="s">
        <v>299</v>
      </c>
      <c r="D22" s="31" t="s">
        <v>123</v>
      </c>
      <c r="E22" s="209"/>
      <c r="F22" s="32">
        <v>596</v>
      </c>
      <c r="G22" s="203">
        <f>F9-F34-F33</f>
        <v>50078.889999999992</v>
      </c>
      <c r="H22" s="21"/>
    </row>
    <row r="23" spans="1:8" x14ac:dyDescent="0.6">
      <c r="A23" s="22"/>
      <c r="B23" s="30" t="s">
        <v>300</v>
      </c>
      <c r="C23" s="31" t="s">
        <v>304</v>
      </c>
      <c r="D23" s="31" t="s">
        <v>123</v>
      </c>
      <c r="E23" s="209"/>
      <c r="F23" s="32">
        <f>480+90*2+30*3</f>
        <v>750</v>
      </c>
      <c r="G23" s="26"/>
      <c r="H23" s="21"/>
    </row>
    <row r="24" spans="1:8" x14ac:dyDescent="0.6">
      <c r="A24" s="22"/>
      <c r="B24" s="30" t="s">
        <v>301</v>
      </c>
      <c r="C24" s="31" t="s">
        <v>305</v>
      </c>
      <c r="D24" s="31" t="s">
        <v>123</v>
      </c>
      <c r="E24" s="209"/>
      <c r="F24" s="32"/>
      <c r="G24" s="26"/>
      <c r="H24" s="21"/>
    </row>
    <row r="25" spans="1:8" x14ac:dyDescent="0.6">
      <c r="A25" s="22"/>
      <c r="B25" s="30" t="s">
        <v>302</v>
      </c>
      <c r="C25" s="31" t="s">
        <v>303</v>
      </c>
      <c r="D25" s="31" t="s">
        <v>123</v>
      </c>
      <c r="E25" s="209"/>
      <c r="F25" s="32">
        <v>2</v>
      </c>
      <c r="G25" s="26"/>
      <c r="H25" s="21"/>
    </row>
    <row r="26" spans="1:8" x14ac:dyDescent="0.6">
      <c r="A26" s="22"/>
      <c r="B26" s="30" t="s">
        <v>279</v>
      </c>
      <c r="C26" s="31" t="s">
        <v>322</v>
      </c>
      <c r="D26" s="31" t="s">
        <v>123</v>
      </c>
      <c r="E26" s="209"/>
      <c r="F26" s="32"/>
      <c r="G26" s="26"/>
      <c r="H26" s="21"/>
    </row>
    <row r="27" spans="1:8" x14ac:dyDescent="0.6">
      <c r="A27" s="22"/>
      <c r="B27" s="30" t="s">
        <v>130</v>
      </c>
      <c r="C27" s="31" t="s">
        <v>9</v>
      </c>
      <c r="D27" s="31" t="s">
        <v>123</v>
      </c>
      <c r="E27" s="209"/>
      <c r="F27" s="32">
        <v>42</v>
      </c>
      <c r="G27" s="26"/>
      <c r="H27" s="21"/>
    </row>
    <row r="28" spans="1:8" x14ac:dyDescent="0.6">
      <c r="A28" s="22"/>
      <c r="B28" s="30" t="s">
        <v>131</v>
      </c>
      <c r="C28" s="31" t="s">
        <v>10</v>
      </c>
      <c r="D28" s="31" t="s">
        <v>123</v>
      </c>
      <c r="E28" s="209"/>
      <c r="F28" s="32">
        <f>22+16</f>
        <v>38</v>
      </c>
      <c r="G28" s="26"/>
      <c r="H28" s="21"/>
    </row>
    <row r="29" spans="1:8" x14ac:dyDescent="0.6">
      <c r="A29" s="22"/>
      <c r="B29" s="30" t="s">
        <v>132</v>
      </c>
      <c r="C29" s="31" t="s">
        <v>40</v>
      </c>
      <c r="D29" s="31" t="s">
        <v>123</v>
      </c>
      <c r="E29" s="209"/>
      <c r="F29" s="32">
        <v>1</v>
      </c>
      <c r="G29" s="26" t="s">
        <v>387</v>
      </c>
      <c r="H29" s="21"/>
    </row>
    <row r="30" spans="1:8" x14ac:dyDescent="0.6">
      <c r="A30" s="22"/>
      <c r="B30" s="30" t="s">
        <v>133</v>
      </c>
      <c r="C30" s="31" t="s">
        <v>41</v>
      </c>
      <c r="D30" s="31" t="s">
        <v>123</v>
      </c>
      <c r="E30" s="209"/>
      <c r="F30" s="32">
        <v>0</v>
      </c>
      <c r="G30" s="26"/>
      <c r="H30" s="21"/>
    </row>
    <row r="31" spans="1:8" x14ac:dyDescent="0.6">
      <c r="A31" s="22"/>
      <c r="B31" s="30" t="s">
        <v>134</v>
      </c>
      <c r="C31" s="31" t="s">
        <v>11</v>
      </c>
      <c r="D31" s="31" t="s">
        <v>120</v>
      </c>
      <c r="E31" s="209">
        <v>669.94600000000003</v>
      </c>
      <c r="F31" s="32">
        <v>690.61199999999997</v>
      </c>
      <c r="G31" s="26"/>
      <c r="H31" s="21"/>
    </row>
    <row r="32" spans="1:8" x14ac:dyDescent="0.6">
      <c r="A32" s="22"/>
      <c r="B32" s="30" t="s">
        <v>135</v>
      </c>
      <c r="C32" s="31" t="s">
        <v>12</v>
      </c>
      <c r="D32" s="31" t="s">
        <v>119</v>
      </c>
      <c r="E32" s="209">
        <v>112.63</v>
      </c>
      <c r="F32" s="32">
        <v>116.82</v>
      </c>
      <c r="G32" s="26"/>
      <c r="H32" s="21"/>
    </row>
    <row r="33" spans="1:8" x14ac:dyDescent="0.6">
      <c r="A33" s="22"/>
      <c r="B33" s="30" t="s">
        <v>136</v>
      </c>
      <c r="C33" s="31" t="s">
        <v>36</v>
      </c>
      <c r="D33" s="31" t="s">
        <v>120</v>
      </c>
      <c r="E33" s="209"/>
      <c r="F33" s="32">
        <f>5014.3-956.89+1554.82</f>
        <v>5612.2300000000005</v>
      </c>
      <c r="G33" s="26"/>
      <c r="H33" s="21"/>
    </row>
    <row r="34" spans="1:8" x14ac:dyDescent="0.6">
      <c r="A34" s="22"/>
      <c r="B34" s="30" t="s">
        <v>137</v>
      </c>
      <c r="C34" s="31" t="s">
        <v>35</v>
      </c>
      <c r="D34" s="31" t="s">
        <v>120</v>
      </c>
      <c r="E34" s="209"/>
      <c r="F34" s="32">
        <f>E13+E14+E15+E16</f>
        <v>18140.100000000002</v>
      </c>
      <c r="G34" s="26"/>
      <c r="H34" s="21"/>
    </row>
    <row r="35" spans="1:8" x14ac:dyDescent="0.6">
      <c r="A35" s="22"/>
      <c r="B35" s="30" t="s">
        <v>138</v>
      </c>
      <c r="C35" s="31" t="s">
        <v>139</v>
      </c>
      <c r="D35" s="31" t="s">
        <v>120</v>
      </c>
      <c r="E35" s="209"/>
      <c r="F35" s="32">
        <f>E10+E11+E12</f>
        <v>13736.23</v>
      </c>
      <c r="G35" s="26"/>
      <c r="H35" s="21"/>
    </row>
    <row r="36" spans="1:8" x14ac:dyDescent="0.6">
      <c r="A36" s="22"/>
      <c r="B36" s="30" t="s">
        <v>140</v>
      </c>
      <c r="C36" s="31" t="s">
        <v>13</v>
      </c>
      <c r="D36" s="31" t="s">
        <v>123</v>
      </c>
      <c r="E36" s="209"/>
      <c r="F36" s="32">
        <v>3</v>
      </c>
      <c r="G36" s="26"/>
      <c r="H36" s="21"/>
    </row>
    <row r="37" spans="1:8" x14ac:dyDescent="0.6">
      <c r="A37" s="22"/>
      <c r="B37" s="30" t="s">
        <v>141</v>
      </c>
      <c r="C37" s="31" t="s">
        <v>39</v>
      </c>
      <c r="D37" s="31" t="s">
        <v>120</v>
      </c>
      <c r="E37" s="209"/>
      <c r="F37" s="32">
        <f>E10</f>
        <v>4679.95</v>
      </c>
      <c r="G37" s="26">
        <f>F37/F9</f>
        <v>6.3387141645499009E-2</v>
      </c>
      <c r="H37" s="21"/>
    </row>
    <row r="38" spans="1:8" x14ac:dyDescent="0.6">
      <c r="A38" s="22"/>
      <c r="B38" s="30" t="s">
        <v>142</v>
      </c>
      <c r="C38" s="31" t="s">
        <v>154</v>
      </c>
      <c r="D38" s="31" t="s">
        <v>119</v>
      </c>
      <c r="E38" s="209"/>
      <c r="F38" s="32">
        <v>349.8</v>
      </c>
      <c r="G38" s="26"/>
      <c r="H38" s="21"/>
    </row>
    <row r="39" spans="1:8" ht="22.5" thickBot="1" x14ac:dyDescent="0.65">
      <c r="A39" s="22"/>
      <c r="B39" s="33" t="s">
        <v>143</v>
      </c>
      <c r="C39" s="34" t="s">
        <v>155</v>
      </c>
      <c r="D39" s="34" t="s">
        <v>123</v>
      </c>
      <c r="E39" s="210"/>
      <c r="F39" s="35">
        <v>4</v>
      </c>
      <c r="G39" s="26"/>
      <c r="H39" s="21"/>
    </row>
    <row r="40" spans="1:8" ht="22.5" thickBot="1" x14ac:dyDescent="0.65">
      <c r="A40" s="36"/>
      <c r="B40" s="37"/>
      <c r="C40" s="37"/>
      <c r="D40" s="37"/>
      <c r="E40" s="37"/>
      <c r="F40" s="38"/>
      <c r="G40" s="39"/>
      <c r="H40" s="40"/>
    </row>
  </sheetData>
  <mergeCells count="9">
    <mergeCell ref="E14:F14"/>
    <mergeCell ref="E15:F15"/>
    <mergeCell ref="E16:F16"/>
    <mergeCell ref="E18:F18"/>
    <mergeCell ref="A5:H5"/>
    <mergeCell ref="E10:F10"/>
    <mergeCell ref="E11:F11"/>
    <mergeCell ref="E12:F12"/>
    <mergeCell ref="E13:F13"/>
  </mergeCells>
  <pageMargins left="0.51181102362204722" right="0.51181102362204722" top="0.78740157480314965" bottom="0.78740157480314965" header="0.31496062992125984" footer="0.31496062992125984"/>
  <pageSetup paperSize="9" scale="5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BCA13-7FD1-4698-8E7F-C3F595F765B8}">
  <dimension ref="B2:J36"/>
  <sheetViews>
    <sheetView workbookViewId="0">
      <selection activeCell="H20" sqref="H20"/>
    </sheetView>
  </sheetViews>
  <sheetFormatPr defaultRowHeight="15" x14ac:dyDescent="0.25"/>
  <cols>
    <col min="2" max="2" width="58.42578125" customWidth="1"/>
    <col min="5" max="6" width="9.140625" style="206"/>
    <col min="7" max="7" width="9.42578125" bestFit="1" customWidth="1"/>
    <col min="8" max="8" width="9.140625" style="206"/>
  </cols>
  <sheetData>
    <row r="2" spans="2:10" ht="15.75" thickBot="1" x14ac:dyDescent="0.3"/>
    <row r="3" spans="2:10" ht="47.25" x14ac:dyDescent="0.25">
      <c r="B3" s="23" t="s">
        <v>391</v>
      </c>
      <c r="C3" s="24" t="s">
        <v>15</v>
      </c>
      <c r="D3" s="24" t="s">
        <v>127</v>
      </c>
      <c r="E3" s="207" t="s">
        <v>392</v>
      </c>
      <c r="F3" s="207" t="s">
        <v>393</v>
      </c>
      <c r="G3" s="207" t="s">
        <v>394</v>
      </c>
      <c r="H3" s="207" t="s">
        <v>395</v>
      </c>
      <c r="I3" s="25" t="s">
        <v>18</v>
      </c>
    </row>
    <row r="4" spans="2:10" ht="15.75" x14ac:dyDescent="0.25">
      <c r="B4" s="27" t="s">
        <v>128</v>
      </c>
      <c r="C4" s="28" t="s">
        <v>7</v>
      </c>
      <c r="D4" s="28" t="s">
        <v>120</v>
      </c>
      <c r="E4" s="208"/>
      <c r="F4" s="208"/>
      <c r="G4" s="208"/>
      <c r="H4" s="208"/>
      <c r="I4" s="29">
        <v>9821.77</v>
      </c>
    </row>
    <row r="5" spans="2:10" ht="15.75" x14ac:dyDescent="0.25">
      <c r="B5" s="30" t="s">
        <v>129</v>
      </c>
      <c r="C5" s="31" t="s">
        <v>8</v>
      </c>
      <c r="D5" s="31" t="s">
        <v>120</v>
      </c>
      <c r="E5" s="293">
        <f>E6</f>
        <v>7907.87</v>
      </c>
      <c r="F5" s="294"/>
      <c r="G5" s="209">
        <f>SUM(G6:G18)</f>
        <v>41187.084999999999</v>
      </c>
      <c r="H5" s="209">
        <f>SUM(H6:H18)</f>
        <v>32985.594999999994</v>
      </c>
      <c r="I5" s="32">
        <f>E5+G5+H5</f>
        <v>82080.549999999988</v>
      </c>
    </row>
    <row r="6" spans="2:10" s="206" customFormat="1" ht="15.75" x14ac:dyDescent="0.25">
      <c r="B6" s="214" t="s">
        <v>396</v>
      </c>
      <c r="C6" s="31"/>
      <c r="D6" s="31" t="s">
        <v>120</v>
      </c>
      <c r="E6" s="297">
        <f>7907.87</f>
        <v>7907.87</v>
      </c>
      <c r="F6" s="298"/>
      <c r="G6" s="209"/>
      <c r="H6" s="209"/>
      <c r="I6" s="32"/>
    </row>
    <row r="7" spans="2:10" s="206" customFormat="1" ht="15.75" x14ac:dyDescent="0.25">
      <c r="B7" s="214" t="s">
        <v>397</v>
      </c>
      <c r="C7" s="31"/>
      <c r="D7" s="31" t="s">
        <v>120</v>
      </c>
      <c r="E7" s="299"/>
      <c r="F7" s="300"/>
      <c r="G7" s="209"/>
      <c r="H7" s="209"/>
      <c r="I7" s="32"/>
    </row>
    <row r="8" spans="2:10" ht="15.75" x14ac:dyDescent="0.25">
      <c r="B8" s="214" t="s">
        <v>381</v>
      </c>
      <c r="C8" s="211"/>
      <c r="D8" s="31" t="s">
        <v>120</v>
      </c>
      <c r="E8" s="209"/>
      <c r="F8" s="209"/>
      <c r="G8" s="215">
        <v>6200.52</v>
      </c>
      <c r="H8" s="209"/>
      <c r="I8" s="32"/>
    </row>
    <row r="9" spans="2:10" ht="15.75" x14ac:dyDescent="0.25">
      <c r="B9" s="214" t="s">
        <v>382</v>
      </c>
      <c r="C9" s="211"/>
      <c r="D9" s="31" t="s">
        <v>120</v>
      </c>
      <c r="E9" s="209"/>
      <c r="F9" s="209"/>
      <c r="G9" s="215">
        <v>6027.62</v>
      </c>
      <c r="H9" s="209"/>
      <c r="I9" s="32"/>
    </row>
    <row r="10" spans="2:10" ht="15.75" x14ac:dyDescent="0.25">
      <c r="B10" s="214" t="s">
        <v>202</v>
      </c>
      <c r="C10" s="211"/>
      <c r="D10" s="31" t="s">
        <v>120</v>
      </c>
      <c r="E10" s="209"/>
      <c r="F10" s="209"/>
      <c r="G10" s="215">
        <v>6094.47</v>
      </c>
      <c r="H10" s="209"/>
      <c r="I10" s="32"/>
    </row>
    <row r="11" spans="2:10" ht="15.75" x14ac:dyDescent="0.25">
      <c r="B11" s="214" t="s">
        <v>383</v>
      </c>
      <c r="C11" s="211"/>
      <c r="D11" s="31" t="s">
        <v>120</v>
      </c>
      <c r="E11" s="209"/>
      <c r="F11" s="209"/>
      <c r="G11" s="215">
        <v>3047.1</v>
      </c>
      <c r="H11" s="209"/>
      <c r="I11" s="32"/>
    </row>
    <row r="12" spans="2:10" ht="15.75" x14ac:dyDescent="0.25">
      <c r="B12" s="214" t="s">
        <v>384</v>
      </c>
      <c r="C12" s="211"/>
      <c r="D12" s="31" t="s">
        <v>120</v>
      </c>
      <c r="E12" s="209"/>
      <c r="F12" s="209"/>
      <c r="G12" s="215">
        <f>4888.74/2</f>
        <v>2444.37</v>
      </c>
      <c r="H12" s="209">
        <f>G12</f>
        <v>2444.37</v>
      </c>
      <c r="I12" s="32"/>
    </row>
    <row r="13" spans="2:10" ht="15.75" x14ac:dyDescent="0.25">
      <c r="B13" s="214" t="s">
        <v>385</v>
      </c>
      <c r="C13" s="211"/>
      <c r="D13" s="31" t="s">
        <v>120</v>
      </c>
      <c r="E13" s="209"/>
      <c r="F13" s="209"/>
      <c r="G13" s="215">
        <f>4081.93/2</f>
        <v>2040.9649999999999</v>
      </c>
      <c r="H13" s="209">
        <f>G13</f>
        <v>2040.9649999999999</v>
      </c>
      <c r="I13" s="32"/>
    </row>
    <row r="14" spans="2:10" ht="15.75" x14ac:dyDescent="0.25">
      <c r="B14" s="214" t="s">
        <v>386</v>
      </c>
      <c r="C14" s="211"/>
      <c r="D14" s="31" t="s">
        <v>120</v>
      </c>
      <c r="E14" s="209"/>
      <c r="F14" s="209"/>
      <c r="G14" s="215">
        <f>623.83+627.62+631.03+634.26+638.35+641.69+645.05+648.44+651.67+655.18+658.44+662.44+665.81+669.25+671.62+676.07+679.55+683.1*5</f>
        <v>14495.800000000001</v>
      </c>
      <c r="H14" s="209">
        <f>74172.68-SUM(G8:G16)-H12-H13-H15-H16-H17-H18</f>
        <v>15235.879999999997</v>
      </c>
      <c r="I14" s="32"/>
      <c r="J14" s="176"/>
    </row>
    <row r="15" spans="2:10" ht="15.75" x14ac:dyDescent="0.25">
      <c r="B15" s="214" t="s">
        <v>387</v>
      </c>
      <c r="C15" s="211"/>
      <c r="D15" s="31" t="s">
        <v>120</v>
      </c>
      <c r="E15" s="209"/>
      <c r="F15" s="209"/>
      <c r="G15" s="215">
        <f>683.1</f>
        <v>683.1</v>
      </c>
      <c r="H15" s="209">
        <f>1579.52-G15</f>
        <v>896.42</v>
      </c>
      <c r="I15" s="32"/>
    </row>
    <row r="16" spans="2:10" ht="15.75" x14ac:dyDescent="0.25">
      <c r="B16" s="214" t="s">
        <v>389</v>
      </c>
      <c r="C16" s="211"/>
      <c r="D16" s="31" t="s">
        <v>120</v>
      </c>
      <c r="E16" s="209"/>
      <c r="F16" s="209"/>
      <c r="G16" s="215">
        <f>76.57*2</f>
        <v>153.13999999999999</v>
      </c>
      <c r="H16" s="209">
        <v>0</v>
      </c>
      <c r="I16" s="32"/>
    </row>
    <row r="17" spans="2:10" ht="15.75" x14ac:dyDescent="0.25">
      <c r="B17" s="214" t="s">
        <v>398</v>
      </c>
      <c r="C17" s="211"/>
      <c r="D17" s="31" t="s">
        <v>120</v>
      </c>
      <c r="E17" s="209"/>
      <c r="F17" s="209"/>
      <c r="G17" s="215"/>
      <c r="H17" s="209">
        <f>695.35*9+688.78+680.06+671.27+663.59+655.56+645.28+638.72+626.22+616.37</f>
        <v>12144</v>
      </c>
      <c r="I17" s="32"/>
      <c r="J17" s="176"/>
    </row>
    <row r="18" spans="2:10" ht="15.75" x14ac:dyDescent="0.25">
      <c r="B18" s="214" t="s">
        <v>390</v>
      </c>
      <c r="C18" s="211"/>
      <c r="D18" s="31" t="s">
        <v>120</v>
      </c>
      <c r="E18" s="209"/>
      <c r="F18" s="209"/>
      <c r="G18" s="215"/>
      <c r="H18" s="209">
        <f>111.98*2</f>
        <v>223.96</v>
      </c>
      <c r="I18" s="32"/>
    </row>
    <row r="19" spans="2:10" ht="15.75" x14ac:dyDescent="0.25">
      <c r="B19" s="30" t="s">
        <v>298</v>
      </c>
      <c r="C19" s="31" t="s">
        <v>299</v>
      </c>
      <c r="D19" s="31" t="s">
        <v>123</v>
      </c>
      <c r="E19" s="209">
        <v>0</v>
      </c>
      <c r="F19" s="209">
        <v>0</v>
      </c>
      <c r="G19" s="215">
        <f>22*10</f>
        <v>220</v>
      </c>
      <c r="H19" s="209">
        <v>382</v>
      </c>
      <c r="I19" s="32"/>
    </row>
    <row r="20" spans="2:10" ht="15.75" x14ac:dyDescent="0.25">
      <c r="B20" s="30" t="s">
        <v>300</v>
      </c>
      <c r="C20" s="31" t="s">
        <v>304</v>
      </c>
      <c r="D20" s="31" t="s">
        <v>123</v>
      </c>
      <c r="E20" s="209"/>
      <c r="F20" s="209"/>
      <c r="G20" s="215"/>
      <c r="H20" s="209"/>
      <c r="I20" s="32"/>
    </row>
    <row r="21" spans="2:10" ht="15.75" x14ac:dyDescent="0.25">
      <c r="B21" s="30" t="s">
        <v>301</v>
      </c>
      <c r="C21" s="31" t="s">
        <v>305</v>
      </c>
      <c r="D21" s="31" t="s">
        <v>123</v>
      </c>
      <c r="E21" s="209"/>
      <c r="F21" s="209"/>
      <c r="G21" s="215"/>
      <c r="H21" s="209"/>
      <c r="I21" s="32"/>
    </row>
    <row r="22" spans="2:10" ht="15.75" x14ac:dyDescent="0.25">
      <c r="B22" s="30" t="s">
        <v>302</v>
      </c>
      <c r="C22" s="31" t="s">
        <v>303</v>
      </c>
      <c r="D22" s="31" t="s">
        <v>123</v>
      </c>
      <c r="E22" s="295">
        <v>15</v>
      </c>
      <c r="F22" s="296"/>
      <c r="G22" s="215"/>
      <c r="H22" s="209"/>
      <c r="I22" s="32"/>
    </row>
    <row r="23" spans="2:10" ht="15.75" x14ac:dyDescent="0.25">
      <c r="B23" s="30" t="s">
        <v>279</v>
      </c>
      <c r="C23" s="31" t="s">
        <v>322</v>
      </c>
      <c r="D23" s="31" t="s">
        <v>123</v>
      </c>
      <c r="E23" s="209"/>
      <c r="F23" s="209"/>
      <c r="G23" s="215"/>
      <c r="H23" s="215"/>
      <c r="I23" s="32"/>
    </row>
    <row r="24" spans="2:10" ht="15.75" x14ac:dyDescent="0.25">
      <c r="B24" s="30" t="s">
        <v>130</v>
      </c>
      <c r="C24" s="31" t="s">
        <v>9</v>
      </c>
      <c r="D24" s="31" t="s">
        <v>123</v>
      </c>
      <c r="E24" s="209">
        <v>3</v>
      </c>
      <c r="F24" s="209">
        <v>3</v>
      </c>
      <c r="G24" s="215">
        <v>29</v>
      </c>
      <c r="H24" s="215">
        <v>43</v>
      </c>
      <c r="I24" s="32"/>
    </row>
    <row r="25" spans="2:10" ht="15.75" x14ac:dyDescent="0.25">
      <c r="B25" s="30" t="s">
        <v>131</v>
      </c>
      <c r="C25" s="31" t="s">
        <v>10</v>
      </c>
      <c r="D25" s="31" t="s">
        <v>123</v>
      </c>
      <c r="E25" s="209"/>
      <c r="F25" s="209"/>
      <c r="G25" s="215">
        <v>22</v>
      </c>
      <c r="H25" s="215">
        <v>40</v>
      </c>
      <c r="I25" s="32"/>
    </row>
    <row r="26" spans="2:10" ht="15.75" x14ac:dyDescent="0.25">
      <c r="B26" s="30" t="s">
        <v>132</v>
      </c>
      <c r="C26" s="31" t="s">
        <v>40</v>
      </c>
      <c r="D26" s="31" t="s">
        <v>123</v>
      </c>
      <c r="E26" s="209"/>
      <c r="F26" s="209"/>
      <c r="G26" s="215">
        <v>4</v>
      </c>
      <c r="H26" s="215">
        <v>3</v>
      </c>
      <c r="I26" s="32"/>
    </row>
    <row r="27" spans="2:10" ht="15.75" x14ac:dyDescent="0.25">
      <c r="B27" s="30" t="s">
        <v>133</v>
      </c>
      <c r="C27" s="31" t="s">
        <v>41</v>
      </c>
      <c r="D27" s="31" t="s">
        <v>123</v>
      </c>
      <c r="E27" s="209"/>
      <c r="F27" s="209"/>
      <c r="G27" s="215"/>
      <c r="H27" s="215"/>
      <c r="I27" s="32"/>
    </row>
    <row r="28" spans="2:10" ht="15.75" x14ac:dyDescent="0.25">
      <c r="B28" s="30" t="s">
        <v>134</v>
      </c>
      <c r="C28" s="31" t="s">
        <v>11</v>
      </c>
      <c r="D28" s="31" t="s">
        <v>120</v>
      </c>
      <c r="E28" s="293">
        <f>INFRAESTRUTURA!D8+INFRAESTRUTURA!D20</f>
        <v>4232.3999999999996</v>
      </c>
      <c r="F28" s="294"/>
      <c r="G28" s="215">
        <v>683.1</v>
      </c>
      <c r="H28" s="215">
        <v>695.35</v>
      </c>
      <c r="I28" s="32"/>
    </row>
    <row r="29" spans="2:10" ht="15.75" x14ac:dyDescent="0.25">
      <c r="B29" s="30" t="s">
        <v>135</v>
      </c>
      <c r="C29" s="31" t="s">
        <v>12</v>
      </c>
      <c r="D29" s="31" t="s">
        <v>119</v>
      </c>
      <c r="E29" s="293">
        <v>259.5</v>
      </c>
      <c r="F29" s="294"/>
      <c r="G29" s="215">
        <v>112.63</v>
      </c>
      <c r="H29" s="215">
        <v>116.82</v>
      </c>
      <c r="I29" s="32"/>
    </row>
    <row r="30" spans="2:10" ht="15.75" x14ac:dyDescent="0.25">
      <c r="B30" s="30" t="s">
        <v>136</v>
      </c>
      <c r="C30" s="31" t="s">
        <v>36</v>
      </c>
      <c r="D30" s="31" t="s">
        <v>120</v>
      </c>
      <c r="E30" s="209"/>
      <c r="F30" s="209"/>
      <c r="G30" s="215">
        <f>G13+G15</f>
        <v>2724.0650000000001</v>
      </c>
      <c r="H30" s="215">
        <f>H13+H15</f>
        <v>2937.3849999999998</v>
      </c>
      <c r="I30" s="32"/>
    </row>
    <row r="31" spans="2:10" ht="15.75" x14ac:dyDescent="0.25">
      <c r="B31" s="30" t="s">
        <v>137</v>
      </c>
      <c r="C31" s="31" t="s">
        <v>35</v>
      </c>
      <c r="D31" s="31" t="s">
        <v>120</v>
      </c>
      <c r="E31" s="293">
        <f>E6</f>
        <v>7907.87</v>
      </c>
      <c r="F31" s="294"/>
      <c r="G31" s="215">
        <f>G10+G11+G12+G13</f>
        <v>13626.904999999999</v>
      </c>
      <c r="H31" s="215">
        <f>H12+H13</f>
        <v>4485.335</v>
      </c>
      <c r="I31" s="32"/>
    </row>
    <row r="32" spans="2:10" ht="15.75" x14ac:dyDescent="0.25">
      <c r="B32" s="30" t="s">
        <v>138</v>
      </c>
      <c r="C32" s="31" t="s">
        <v>139</v>
      </c>
      <c r="D32" s="31" t="s">
        <v>120</v>
      </c>
      <c r="E32" s="209"/>
      <c r="F32" s="209"/>
      <c r="G32" s="215">
        <f>G8+G9</f>
        <v>12228.14</v>
      </c>
      <c r="H32" s="215"/>
      <c r="I32" s="32"/>
    </row>
    <row r="33" spans="2:9" ht="15.75" x14ac:dyDescent="0.25">
      <c r="B33" s="30" t="s">
        <v>140</v>
      </c>
      <c r="C33" s="31" t="s">
        <v>13</v>
      </c>
      <c r="D33" s="31" t="s">
        <v>123</v>
      </c>
      <c r="E33" s="209"/>
      <c r="F33" s="209"/>
      <c r="G33" s="215">
        <v>2</v>
      </c>
      <c r="H33" s="215"/>
      <c r="I33" s="32"/>
    </row>
    <row r="34" spans="2:9" ht="15.75" x14ac:dyDescent="0.25">
      <c r="B34" s="30" t="s">
        <v>141</v>
      </c>
      <c r="C34" s="31" t="s">
        <v>39</v>
      </c>
      <c r="D34" s="31" t="s">
        <v>120</v>
      </c>
      <c r="E34" s="293">
        <v>4232.97</v>
      </c>
      <c r="F34" s="294"/>
      <c r="G34" s="215">
        <f>G8</f>
        <v>6200.52</v>
      </c>
      <c r="H34" s="215"/>
      <c r="I34" s="32"/>
    </row>
    <row r="35" spans="2:9" ht="15.75" x14ac:dyDescent="0.25">
      <c r="B35" s="30" t="s">
        <v>142</v>
      </c>
      <c r="C35" s="31" t="s">
        <v>154</v>
      </c>
      <c r="D35" s="31" t="s">
        <v>119</v>
      </c>
      <c r="E35" s="209"/>
      <c r="F35" s="209"/>
      <c r="G35" s="215">
        <v>349.8</v>
      </c>
      <c r="H35" s="215"/>
      <c r="I35" s="32"/>
    </row>
    <row r="36" spans="2:9" ht="16.5" thickBot="1" x14ac:dyDescent="0.3">
      <c r="B36" s="33" t="s">
        <v>143</v>
      </c>
      <c r="C36" s="34" t="s">
        <v>155</v>
      </c>
      <c r="D36" s="34" t="s">
        <v>123</v>
      </c>
      <c r="E36" s="210"/>
      <c r="F36" s="210"/>
      <c r="G36" s="216">
        <v>4</v>
      </c>
      <c r="H36" s="216"/>
      <c r="I36" s="35"/>
    </row>
  </sheetData>
  <mergeCells count="7">
    <mergeCell ref="E34:F34"/>
    <mergeCell ref="E31:F31"/>
    <mergeCell ref="E5:F5"/>
    <mergeCell ref="E22:F22"/>
    <mergeCell ref="E6:F7"/>
    <mergeCell ref="E28:F28"/>
    <mergeCell ref="E29:F29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7BB-C74E-481B-9724-B93989582F70}">
  <sheetPr>
    <tabColor rgb="FF92D050"/>
  </sheetPr>
  <dimension ref="A1:K33"/>
  <sheetViews>
    <sheetView showGridLines="0" tabSelected="1" topLeftCell="A10" zoomScale="85" zoomScaleNormal="85" zoomScaleSheetLayoutView="95" workbookViewId="0">
      <selection activeCell="F23" sqref="F23:F24"/>
    </sheetView>
  </sheetViews>
  <sheetFormatPr defaultColWidth="9.140625" defaultRowHeight="19.5" x14ac:dyDescent="0.25"/>
  <cols>
    <col min="1" max="1" width="53" style="45" bestFit="1" customWidth="1"/>
    <col min="2" max="3" width="27" style="45" customWidth="1"/>
    <col min="4" max="4" width="27" style="46" customWidth="1"/>
    <col min="5" max="6" width="27" style="107" customWidth="1"/>
    <col min="7" max="7" width="31.7109375" style="107" customWidth="1"/>
    <col min="8" max="16384" width="9.140625" style="1"/>
  </cols>
  <sheetData>
    <row r="1" spans="1:9" x14ac:dyDescent="0.25">
      <c r="A1" s="48"/>
      <c r="B1" s="48"/>
      <c r="C1" s="48"/>
      <c r="D1" s="51"/>
      <c r="E1" s="104"/>
      <c r="F1" s="104"/>
      <c r="G1" s="104"/>
      <c r="I1" s="2"/>
    </row>
    <row r="2" spans="1:9" ht="28.5" x14ac:dyDescent="0.25">
      <c r="A2" s="305" t="s">
        <v>121</v>
      </c>
      <c r="B2" s="306"/>
      <c r="C2" s="306"/>
      <c r="D2" s="306"/>
      <c r="E2" s="306"/>
      <c r="F2" s="306"/>
      <c r="G2" s="307"/>
      <c r="I2" s="2"/>
    </row>
    <row r="3" spans="1:9" ht="28.5" customHeight="1" x14ac:dyDescent="0.25">
      <c r="A3" s="189" t="s">
        <v>186</v>
      </c>
      <c r="B3" s="195">
        <v>45643</v>
      </c>
      <c r="C3" s="193"/>
      <c r="D3" s="193"/>
      <c r="E3" s="193"/>
      <c r="F3" s="193"/>
      <c r="G3" s="194"/>
      <c r="I3" s="2"/>
    </row>
    <row r="4" spans="1:9" ht="28.5" customHeight="1" x14ac:dyDescent="0.25">
      <c r="A4" s="189" t="s">
        <v>306</v>
      </c>
      <c r="B4" s="196" t="s">
        <v>222</v>
      </c>
      <c r="C4" s="191"/>
      <c r="D4" s="191"/>
      <c r="E4" s="191"/>
      <c r="F4" s="191"/>
      <c r="G4" s="192"/>
      <c r="I4" s="2"/>
    </row>
    <row r="5" spans="1:9" x14ac:dyDescent="0.25">
      <c r="A5" s="50"/>
      <c r="B5" s="50"/>
      <c r="C5" s="50"/>
      <c r="D5" s="49"/>
      <c r="E5" s="105"/>
      <c r="F5" s="104"/>
      <c r="G5" s="104"/>
      <c r="I5" s="2"/>
    </row>
    <row r="6" spans="1:9" s="55" customFormat="1" ht="21.75" x14ac:dyDescent="0.25">
      <c r="A6" s="52" t="s">
        <v>150</v>
      </c>
      <c r="B6" s="53"/>
      <c r="C6" s="53"/>
      <c r="D6" s="54"/>
      <c r="E6" s="98"/>
      <c r="F6" s="98"/>
      <c r="G6" s="98"/>
    </row>
    <row r="7" spans="1:9" s="55" customFormat="1" ht="21.75" x14ac:dyDescent="0.25">
      <c r="A7" s="56"/>
      <c r="B7" s="57"/>
      <c r="C7" s="57"/>
      <c r="D7" s="58"/>
      <c r="E7" s="99"/>
      <c r="F7" s="100"/>
      <c r="G7" s="100"/>
    </row>
    <row r="8" spans="1:9" s="55" customFormat="1" ht="42" customHeight="1" x14ac:dyDescent="0.25">
      <c r="A8" s="63" t="s">
        <v>14</v>
      </c>
      <c r="B8" s="64" t="s">
        <v>149</v>
      </c>
      <c r="C8" s="64" t="s">
        <v>148</v>
      </c>
      <c r="D8" s="65" t="s">
        <v>147</v>
      </c>
      <c r="E8" s="101" t="s">
        <v>146</v>
      </c>
      <c r="F8" s="90" t="s">
        <v>16</v>
      </c>
      <c r="G8" s="90" t="s">
        <v>309</v>
      </c>
    </row>
    <row r="9" spans="1:9" s="55" customFormat="1" ht="21.75" x14ac:dyDescent="0.25">
      <c r="A9" s="66" t="s">
        <v>145</v>
      </c>
      <c r="B9" s="67">
        <v>0</v>
      </c>
      <c r="C9" s="67"/>
      <c r="D9" s="68">
        <f>C9*B9</f>
        <v>0</v>
      </c>
      <c r="E9" s="88">
        <v>0</v>
      </c>
      <c r="F9" s="89">
        <f>E9*D9*1.1</f>
        <v>0</v>
      </c>
      <c r="G9" s="67"/>
    </row>
    <row r="10" spans="1:9" s="55" customFormat="1" ht="21.75" x14ac:dyDescent="0.25">
      <c r="A10" s="304" t="s">
        <v>17</v>
      </c>
      <c r="B10" s="304"/>
      <c r="C10" s="304"/>
      <c r="D10" s="304"/>
      <c r="E10" s="304"/>
      <c r="F10" s="90">
        <f>SUM(F9:F9)</f>
        <v>0</v>
      </c>
      <c r="G10" s="90"/>
    </row>
    <row r="11" spans="1:9" s="55" customFormat="1" ht="21.75" x14ac:dyDescent="0.25">
      <c r="A11" s="308"/>
      <c r="B11" s="308"/>
      <c r="C11" s="308"/>
      <c r="D11" s="308"/>
      <c r="E11" s="308"/>
      <c r="F11" s="100"/>
      <c r="G11" s="100"/>
    </row>
    <row r="12" spans="1:9" s="55" customFormat="1" ht="21.75" x14ac:dyDescent="0.25">
      <c r="A12" s="52" t="s">
        <v>153</v>
      </c>
      <c r="B12" s="53"/>
      <c r="C12" s="53"/>
      <c r="D12" s="54"/>
      <c r="E12" s="98"/>
      <c r="F12" s="98"/>
      <c r="G12" s="98"/>
    </row>
    <row r="13" spans="1:9" s="55" customFormat="1" ht="21.75" x14ac:dyDescent="0.25">
      <c r="A13" s="56"/>
      <c r="B13" s="57"/>
      <c r="C13" s="57"/>
      <c r="D13" s="58"/>
      <c r="E13" s="99"/>
      <c r="F13" s="100"/>
      <c r="G13" s="100"/>
    </row>
    <row r="14" spans="1:9" s="55" customFormat="1" ht="42" customHeight="1" x14ac:dyDescent="0.25">
      <c r="A14" s="63" t="s">
        <v>14</v>
      </c>
      <c r="B14" s="64" t="s">
        <v>152</v>
      </c>
      <c r="C14" s="64"/>
      <c r="D14" s="65"/>
      <c r="E14" s="101" t="s">
        <v>151</v>
      </c>
      <c r="F14" s="90" t="s">
        <v>16</v>
      </c>
      <c r="G14" s="90" t="s">
        <v>309</v>
      </c>
    </row>
    <row r="15" spans="1:9" s="55" customFormat="1" ht="21.75" x14ac:dyDescent="0.25">
      <c r="A15" s="66" t="s">
        <v>124</v>
      </c>
      <c r="B15" s="67">
        <v>0</v>
      </c>
      <c r="C15" s="74"/>
      <c r="D15" s="75"/>
      <c r="E15" s="88">
        <v>200</v>
      </c>
      <c r="F15" s="89">
        <f>B15*E15*1.1</f>
        <v>0</v>
      </c>
      <c r="G15" s="67"/>
    </row>
    <row r="16" spans="1:9" s="55" customFormat="1" ht="21.75" x14ac:dyDescent="0.25">
      <c r="A16" s="304" t="s">
        <v>17</v>
      </c>
      <c r="B16" s="304"/>
      <c r="C16" s="304"/>
      <c r="D16" s="304"/>
      <c r="E16" s="304"/>
      <c r="F16" s="90">
        <f>SUM(F15:F15)</f>
        <v>0</v>
      </c>
      <c r="G16" s="90"/>
    </row>
    <row r="17" spans="1:11" s="55" customFormat="1" ht="21.75" x14ac:dyDescent="0.25">
      <c r="A17" s="308"/>
      <c r="B17" s="308"/>
      <c r="C17" s="308"/>
      <c r="D17" s="308"/>
      <c r="E17" s="308"/>
      <c r="F17" s="100"/>
      <c r="G17" s="100"/>
    </row>
    <row r="18" spans="1:11" s="55" customFormat="1" ht="21.75" x14ac:dyDescent="0.25">
      <c r="A18" s="52" t="s">
        <v>19</v>
      </c>
      <c r="B18" s="53"/>
      <c r="C18" s="53"/>
      <c r="D18" s="54"/>
      <c r="E18" s="98"/>
      <c r="F18" s="98"/>
      <c r="G18" s="98"/>
    </row>
    <row r="19" spans="1:11" s="55" customFormat="1" ht="21.75" x14ac:dyDescent="0.25">
      <c r="A19" s="56"/>
      <c r="B19" s="57"/>
      <c r="C19" s="57"/>
      <c r="D19" s="58"/>
      <c r="E19" s="99"/>
      <c r="F19" s="100"/>
      <c r="G19" s="100"/>
    </row>
    <row r="20" spans="1:11" s="55" customFormat="1" ht="42" customHeight="1" x14ac:dyDescent="0.25">
      <c r="A20" s="63" t="s">
        <v>14</v>
      </c>
      <c r="B20" s="309" t="s">
        <v>5</v>
      </c>
      <c r="C20" s="310"/>
      <c r="D20" s="65" t="s">
        <v>147</v>
      </c>
      <c r="E20" s="101" t="s">
        <v>160</v>
      </c>
      <c r="F20" s="90" t="s">
        <v>16</v>
      </c>
      <c r="G20" s="90" t="s">
        <v>309</v>
      </c>
    </row>
    <row r="21" spans="1:11" s="55" customFormat="1" ht="43.5" x14ac:dyDescent="0.25">
      <c r="A21" s="70" t="s">
        <v>20</v>
      </c>
      <c r="B21" s="62">
        <v>1.3</v>
      </c>
      <c r="C21" s="62" t="s">
        <v>325</v>
      </c>
      <c r="D21" s="72">
        <f>B21*INFRAESTRUTURA!D35</f>
        <v>275.10599999999999</v>
      </c>
      <c r="E21" s="88">
        <v>60</v>
      </c>
      <c r="F21" s="106">
        <f>E21*D21*1.1</f>
        <v>18156.996000000003</v>
      </c>
      <c r="G21" s="67"/>
    </row>
    <row r="22" spans="1:11" s="55" customFormat="1" ht="26.25" customHeight="1" x14ac:dyDescent="0.25">
      <c r="A22" s="70" t="s">
        <v>21</v>
      </c>
      <c r="B22" s="62">
        <v>0.6</v>
      </c>
      <c r="C22" s="62" t="s">
        <v>157</v>
      </c>
      <c r="D22" s="72">
        <f>D21-INFRAESTRUTURA!D35</f>
        <v>63.48599999999999</v>
      </c>
      <c r="E22" s="88">
        <v>20</v>
      </c>
      <c r="F22" s="106">
        <f>E22*D22*1.1</f>
        <v>1396.6919999999998</v>
      </c>
      <c r="G22" s="67"/>
    </row>
    <row r="23" spans="1:11" s="55" customFormat="1" ht="21.75" x14ac:dyDescent="0.25">
      <c r="A23" s="70" t="s">
        <v>156</v>
      </c>
      <c r="B23" s="62">
        <v>1.3</v>
      </c>
      <c r="C23" s="62"/>
      <c r="D23" s="72">
        <f>(D21-D22)*B23</f>
        <v>275.10599999999999</v>
      </c>
      <c r="E23" s="88">
        <v>20</v>
      </c>
      <c r="F23" s="106">
        <f>E23*D23*1.1</f>
        <v>6052.3320000000003</v>
      </c>
      <c r="G23" s="67"/>
    </row>
    <row r="24" spans="1:11" s="55" customFormat="1" ht="21.75" x14ac:dyDescent="0.25">
      <c r="A24" s="69" t="s">
        <v>144</v>
      </c>
      <c r="B24" s="61">
        <v>1</v>
      </c>
      <c r="C24" s="61" t="s">
        <v>22</v>
      </c>
      <c r="D24" s="73">
        <f>INFRAESTRUTURA!D13</f>
        <v>518</v>
      </c>
      <c r="E24" s="88">
        <v>20</v>
      </c>
      <c r="F24" s="106">
        <f>E24*D24*1.1</f>
        <v>11396.000000000002</v>
      </c>
      <c r="G24" s="67"/>
    </row>
    <row r="25" spans="1:11" s="55" customFormat="1" ht="21.75" x14ac:dyDescent="0.25">
      <c r="A25" s="304" t="s">
        <v>17</v>
      </c>
      <c r="B25" s="304"/>
      <c r="C25" s="304"/>
      <c r="D25" s="304"/>
      <c r="E25" s="304"/>
      <c r="F25" s="90">
        <f>SUM(F21:F24)</f>
        <v>37002.020000000004</v>
      </c>
      <c r="G25" s="90"/>
    </row>
    <row r="26" spans="1:11" x14ac:dyDescent="0.25">
      <c r="K26" s="47"/>
    </row>
    <row r="27" spans="1:11" ht="21.75" x14ac:dyDescent="0.25">
      <c r="A27" s="52" t="s">
        <v>100</v>
      </c>
      <c r="B27" s="53"/>
      <c r="C27" s="53"/>
      <c r="D27" s="54"/>
      <c r="E27" s="98"/>
      <c r="F27" s="98"/>
      <c r="G27" s="98"/>
    </row>
    <row r="28" spans="1:11" ht="21.75" x14ac:dyDescent="0.25">
      <c r="A28" s="56"/>
      <c r="B28" s="57"/>
      <c r="C28" s="57"/>
      <c r="D28" s="58"/>
      <c r="E28" s="99"/>
      <c r="F28" s="100"/>
      <c r="G28" s="100"/>
    </row>
    <row r="29" spans="1:11" ht="43.5" x14ac:dyDescent="0.25">
      <c r="A29" s="63" t="s">
        <v>14</v>
      </c>
      <c r="B29" s="309" t="s">
        <v>5</v>
      </c>
      <c r="C29" s="310"/>
      <c r="D29" s="65" t="s">
        <v>158</v>
      </c>
      <c r="E29" s="101" t="s">
        <v>159</v>
      </c>
      <c r="F29" s="90" t="s">
        <v>16</v>
      </c>
      <c r="G29" s="90" t="s">
        <v>309</v>
      </c>
    </row>
    <row r="30" spans="1:11" ht="21.75" x14ac:dyDescent="0.25">
      <c r="A30" s="70" t="s">
        <v>308</v>
      </c>
      <c r="B30" s="62">
        <v>0.8</v>
      </c>
      <c r="C30" s="62" t="s">
        <v>113</v>
      </c>
      <c r="D30" s="72">
        <f>B30*DADOS_INICIAIS!F37</f>
        <v>3743.96</v>
      </c>
      <c r="E30" s="88">
        <f>370*0.05</f>
        <v>18.5</v>
      </c>
      <c r="F30" s="106">
        <f>E30*D30*1.1</f>
        <v>76189.585999999996</v>
      </c>
      <c r="G30" s="67"/>
      <c r="H30" s="1">
        <f>F30/DADOS_INICIAIS!F37</f>
        <v>16.28</v>
      </c>
      <c r="I30" s="100"/>
    </row>
    <row r="31" spans="1:11" ht="21.75" x14ac:dyDescent="0.25">
      <c r="A31" s="304" t="s">
        <v>17</v>
      </c>
      <c r="B31" s="304"/>
      <c r="C31" s="304"/>
      <c r="D31" s="304"/>
      <c r="E31" s="304"/>
      <c r="F31" s="90">
        <f>SUM(F30:F30)</f>
        <v>76189.585999999996</v>
      </c>
      <c r="G31" s="90"/>
    </row>
    <row r="33" spans="1:8" ht="23.25" customHeight="1" x14ac:dyDescent="0.25">
      <c r="A33" s="301" t="s">
        <v>103</v>
      </c>
      <c r="B33" s="302"/>
      <c r="C33" s="302"/>
      <c r="D33" s="302"/>
      <c r="E33" s="303"/>
      <c r="F33" s="108">
        <f>F10+F16+F25+F31</f>
        <v>113191.606</v>
      </c>
      <c r="G33" s="108">
        <f>F33/AREAS!E6</f>
        <v>14.313791956620431</v>
      </c>
      <c r="H33" s="1" t="s">
        <v>458</v>
      </c>
    </row>
  </sheetData>
  <mergeCells count="10">
    <mergeCell ref="A33:E33"/>
    <mergeCell ref="A25:E25"/>
    <mergeCell ref="A2:G2"/>
    <mergeCell ref="A10:E10"/>
    <mergeCell ref="A11:E11"/>
    <mergeCell ref="B20:C20"/>
    <mergeCell ref="B29:C29"/>
    <mergeCell ref="A31:E31"/>
    <mergeCell ref="A16:E16"/>
    <mergeCell ref="A17:E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9B24-4A14-470C-9528-250F4A4412CB}">
  <sheetPr>
    <tabColor rgb="FFFF0000"/>
  </sheetPr>
  <dimension ref="A1:J46"/>
  <sheetViews>
    <sheetView showGridLines="0" zoomScale="80" zoomScaleNormal="80" zoomScaleSheetLayoutView="95" workbookViewId="0">
      <selection activeCell="I11" sqref="I11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15.1406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305" t="s">
        <v>166</v>
      </c>
      <c r="B3" s="316"/>
      <c r="C3" s="316"/>
      <c r="D3" s="306"/>
      <c r="E3" s="306"/>
      <c r="F3" s="306"/>
      <c r="G3" s="306"/>
      <c r="H3" s="307"/>
      <c r="J3" s="79"/>
    </row>
    <row r="4" spans="1:10" ht="19.5" x14ac:dyDescent="0.25">
      <c r="A4" s="189" t="s">
        <v>186</v>
      </c>
      <c r="B4" s="195"/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306</v>
      </c>
      <c r="B5" s="190"/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167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42" customHeight="1" x14ac:dyDescent="0.25">
      <c r="A9" s="63" t="s">
        <v>14</v>
      </c>
      <c r="B9" s="309" t="s">
        <v>5</v>
      </c>
      <c r="C9" s="310"/>
      <c r="D9" s="309" t="s">
        <v>18</v>
      </c>
      <c r="E9" s="310"/>
      <c r="F9" s="101" t="s">
        <v>118</v>
      </c>
      <c r="G9" s="90" t="s">
        <v>16</v>
      </c>
      <c r="H9" s="100"/>
    </row>
    <row r="10" spans="1:10" ht="21.75" x14ac:dyDescent="0.25">
      <c r="A10" s="66" t="s">
        <v>107</v>
      </c>
      <c r="B10" s="62">
        <v>0.15</v>
      </c>
      <c r="C10" s="62" t="s">
        <v>108</v>
      </c>
      <c r="D10" s="67">
        <f>B10*DADOS_INICIAIS!F37</f>
        <v>701.99249999999995</v>
      </c>
      <c r="E10" s="67" t="s">
        <v>3</v>
      </c>
      <c r="F10" s="92"/>
      <c r="G10" s="93"/>
      <c r="H10" s="102"/>
    </row>
    <row r="11" spans="1:10" ht="21.75" x14ac:dyDescent="0.25">
      <c r="A11" s="314" t="s">
        <v>162</v>
      </c>
      <c r="B11" s="76">
        <v>0.1</v>
      </c>
      <c r="C11" s="62"/>
      <c r="D11" s="67">
        <f>B11*$D$10</f>
        <v>70.199249999999992</v>
      </c>
      <c r="E11" s="67" t="s">
        <v>3</v>
      </c>
      <c r="F11" s="92"/>
      <c r="G11" s="93"/>
      <c r="H11" s="102"/>
    </row>
    <row r="12" spans="1:10" ht="21.75" x14ac:dyDescent="0.25">
      <c r="A12" s="315"/>
      <c r="B12" s="77">
        <v>20</v>
      </c>
      <c r="C12" s="62" t="s">
        <v>163</v>
      </c>
      <c r="D12" s="67">
        <f>B12*D11</f>
        <v>1403.9849999999999</v>
      </c>
      <c r="E12" s="67" t="s">
        <v>4</v>
      </c>
      <c r="F12" s="88"/>
      <c r="G12" s="89">
        <f>F12*D12</f>
        <v>0</v>
      </c>
      <c r="H12" s="102"/>
    </row>
    <row r="13" spans="1:10" ht="21.75" x14ac:dyDescent="0.25">
      <c r="A13" s="314" t="s">
        <v>161</v>
      </c>
      <c r="B13" s="76">
        <v>0.5</v>
      </c>
      <c r="C13" s="62"/>
      <c r="D13" s="67">
        <f>B13*$D$10</f>
        <v>350.99624999999997</v>
      </c>
      <c r="E13" s="67" t="s">
        <v>3</v>
      </c>
      <c r="F13" s="92"/>
      <c r="G13" s="93"/>
      <c r="H13" s="102"/>
    </row>
    <row r="14" spans="1:10" ht="21.75" x14ac:dyDescent="0.25">
      <c r="A14" s="315"/>
      <c r="B14" s="77">
        <v>20</v>
      </c>
      <c r="C14" s="62" t="s">
        <v>163</v>
      </c>
      <c r="D14" s="67">
        <f>B14*D13</f>
        <v>7019.9249999999993</v>
      </c>
      <c r="E14" s="67" t="s">
        <v>4</v>
      </c>
      <c r="F14" s="88"/>
      <c r="G14" s="89">
        <f>F14*D14</f>
        <v>0</v>
      </c>
      <c r="H14" s="102"/>
    </row>
    <row r="15" spans="1:10" ht="21.75" x14ac:dyDescent="0.25">
      <c r="A15" s="314" t="s">
        <v>114</v>
      </c>
      <c r="B15" s="76">
        <v>0.4</v>
      </c>
      <c r="C15" s="62" t="s">
        <v>108</v>
      </c>
      <c r="D15" s="67">
        <f>B15*$D$10</f>
        <v>280.79699999999997</v>
      </c>
      <c r="E15" s="67" t="s">
        <v>3</v>
      </c>
      <c r="F15" s="92"/>
      <c r="G15" s="93"/>
      <c r="H15" s="102"/>
    </row>
    <row r="16" spans="1:10" ht="21.75" x14ac:dyDescent="0.25">
      <c r="A16" s="315"/>
      <c r="B16" s="77">
        <v>20</v>
      </c>
      <c r="C16" s="62" t="s">
        <v>163</v>
      </c>
      <c r="D16" s="67">
        <f>B16*D15</f>
        <v>5615.94</v>
      </c>
      <c r="E16" s="67" t="s">
        <v>4</v>
      </c>
      <c r="F16" s="88"/>
      <c r="G16" s="89">
        <f>F16*D16</f>
        <v>0</v>
      </c>
      <c r="H16" s="102"/>
    </row>
    <row r="17" spans="1:8" ht="21.75" x14ac:dyDescent="0.25">
      <c r="A17" s="66" t="s">
        <v>24</v>
      </c>
      <c r="B17" s="62">
        <f>(PI()*0.4^2)/4*D14+(PI()*0.5^2)/4*D16+(PI()*0.6^2)/4*D12</f>
        <v>2381.8044393451432</v>
      </c>
      <c r="C17" s="62" t="s">
        <v>108</v>
      </c>
      <c r="D17" s="67">
        <f>(PI()*0.4^2)/4*D14+(PI()*0.5^2)/4*D16+(PI()*0.6^2)/4*D12</f>
        <v>2381.8044393451432</v>
      </c>
      <c r="E17" s="67" t="s">
        <v>22</v>
      </c>
      <c r="F17" s="88"/>
      <c r="G17" s="89">
        <f>F17*D17</f>
        <v>0</v>
      </c>
      <c r="H17" s="102"/>
    </row>
    <row r="18" spans="1:8" ht="21.75" x14ac:dyDescent="0.25">
      <c r="A18" s="66" t="s">
        <v>115</v>
      </c>
      <c r="B18" s="62">
        <v>1.6575131198547477</v>
      </c>
      <c r="C18" s="62" t="s">
        <v>34</v>
      </c>
      <c r="D18" s="67">
        <f>B18*D17</f>
        <v>3947.8721071428567</v>
      </c>
      <c r="E18" s="67" t="s">
        <v>26</v>
      </c>
      <c r="F18" s="88"/>
      <c r="G18" s="89">
        <f>F18*D18</f>
        <v>0</v>
      </c>
      <c r="H18" s="102"/>
    </row>
    <row r="19" spans="1:8" ht="21.75" x14ac:dyDescent="0.25">
      <c r="A19" s="66" t="s">
        <v>125</v>
      </c>
      <c r="B19" s="62">
        <v>10.178337551067401</v>
      </c>
      <c r="C19" s="62" t="s">
        <v>34</v>
      </c>
      <c r="D19" s="67">
        <f>B19*D17</f>
        <v>24242.809564285708</v>
      </c>
      <c r="E19" s="67" t="s">
        <v>26</v>
      </c>
      <c r="F19" s="88"/>
      <c r="G19" s="89">
        <f>F19*D19</f>
        <v>0</v>
      </c>
      <c r="H19" s="102"/>
    </row>
    <row r="20" spans="1:8" ht="21.75" x14ac:dyDescent="0.25">
      <c r="A20" s="66" t="s">
        <v>109</v>
      </c>
      <c r="B20" s="62">
        <v>1</v>
      </c>
      <c r="C20" s="62" t="s">
        <v>27</v>
      </c>
      <c r="D20" s="67">
        <v>1</v>
      </c>
      <c r="E20" s="67" t="s">
        <v>27</v>
      </c>
      <c r="F20" s="88"/>
      <c r="G20" s="89">
        <f>F20*D20</f>
        <v>0</v>
      </c>
      <c r="H20" s="102"/>
    </row>
    <row r="21" spans="1:8" ht="21.75" x14ac:dyDescent="0.25">
      <c r="A21" s="304" t="s">
        <v>17</v>
      </c>
      <c r="B21" s="304"/>
      <c r="C21" s="304"/>
      <c r="D21" s="304"/>
      <c r="E21" s="304"/>
      <c r="F21" s="304"/>
      <c r="G21" s="90">
        <f>SUM(G10:G20)</f>
        <v>0</v>
      </c>
      <c r="H21" s="103"/>
    </row>
    <row r="23" spans="1:8" ht="21.75" x14ac:dyDescent="0.25">
      <c r="A23" s="52" t="s">
        <v>307</v>
      </c>
      <c r="B23" s="52"/>
      <c r="C23" s="52"/>
      <c r="D23" s="53"/>
      <c r="E23" s="53"/>
      <c r="F23" s="98"/>
      <c r="G23" s="98"/>
      <c r="H23" s="98"/>
    </row>
    <row r="24" spans="1:8" ht="21.75" x14ac:dyDescent="0.25">
      <c r="A24" s="56"/>
      <c r="B24" s="56"/>
      <c r="C24" s="56"/>
      <c r="D24" s="57"/>
      <c r="E24" s="57"/>
      <c r="F24" s="99"/>
      <c r="G24" s="100"/>
      <c r="H24" s="100"/>
    </row>
    <row r="25" spans="1:8" ht="21.75" x14ac:dyDescent="0.25">
      <c r="A25" s="63" t="s">
        <v>14</v>
      </c>
      <c r="B25" s="309" t="s">
        <v>5</v>
      </c>
      <c r="C25" s="310"/>
      <c r="D25" s="309" t="s">
        <v>18</v>
      </c>
      <c r="E25" s="310"/>
      <c r="F25" s="101" t="s">
        <v>118</v>
      </c>
      <c r="G25" s="90" t="s">
        <v>16</v>
      </c>
      <c r="H25" s="100"/>
    </row>
    <row r="26" spans="1:8" ht="43.5" x14ac:dyDescent="0.25">
      <c r="A26" s="66" t="s">
        <v>111</v>
      </c>
      <c r="B26" s="62">
        <v>2.1</v>
      </c>
      <c r="C26" s="62" t="s">
        <v>113</v>
      </c>
      <c r="D26" s="67">
        <f>B26*DADOS_INICIAIS!F37</f>
        <v>9827.8950000000004</v>
      </c>
      <c r="E26" s="67" t="s">
        <v>2</v>
      </c>
      <c r="F26" s="88"/>
      <c r="G26" s="89">
        <f>F26*D26</f>
        <v>0</v>
      </c>
      <c r="H26" s="102"/>
    </row>
    <row r="27" spans="1:8" ht="21.75" x14ac:dyDescent="0.25">
      <c r="A27" s="66" t="s">
        <v>24</v>
      </c>
      <c r="B27" s="62">
        <v>0.65</v>
      </c>
      <c r="C27" s="62" t="s">
        <v>112</v>
      </c>
      <c r="D27" s="67">
        <f>B27*DADOS_INICIAIS!F37</f>
        <v>3041.9675000000002</v>
      </c>
      <c r="E27" s="67" t="s">
        <v>22</v>
      </c>
      <c r="F27" s="88"/>
      <c r="G27" s="89">
        <f>F27*D27</f>
        <v>0</v>
      </c>
      <c r="H27" s="102"/>
    </row>
    <row r="28" spans="1:8" ht="21.75" x14ac:dyDescent="0.25">
      <c r="A28" s="66" t="s">
        <v>23</v>
      </c>
      <c r="B28" s="62">
        <v>110</v>
      </c>
      <c r="C28" s="62" t="s">
        <v>34</v>
      </c>
      <c r="D28" s="67">
        <f>B28*D27</f>
        <v>334616.42500000005</v>
      </c>
      <c r="E28" s="67" t="s">
        <v>26</v>
      </c>
      <c r="F28" s="88"/>
      <c r="G28" s="89">
        <f>F28*D28</f>
        <v>0</v>
      </c>
      <c r="H28" s="102"/>
    </row>
    <row r="29" spans="1:8" ht="21.75" x14ac:dyDescent="0.25">
      <c r="A29" s="66" t="s">
        <v>25</v>
      </c>
      <c r="B29" s="62">
        <f>SUPRAESTRUTURA!B15*1.5</f>
        <v>315</v>
      </c>
      <c r="C29" s="62" t="s">
        <v>102</v>
      </c>
      <c r="D29" s="67">
        <f>DADOS_INICIAIS!F37</f>
        <v>4679.95</v>
      </c>
      <c r="E29" s="67" t="s">
        <v>2</v>
      </c>
      <c r="F29" s="88">
        <f>B29</f>
        <v>315</v>
      </c>
      <c r="G29" s="89">
        <f>F29*D29</f>
        <v>1474184.25</v>
      </c>
      <c r="H29" s="102"/>
    </row>
    <row r="30" spans="1:8" ht="21.75" x14ac:dyDescent="0.25">
      <c r="A30" s="304" t="s">
        <v>17</v>
      </c>
      <c r="B30" s="304"/>
      <c r="C30" s="304"/>
      <c r="D30" s="304"/>
      <c r="E30" s="304"/>
      <c r="F30" s="304"/>
      <c r="G30" s="90">
        <f>SUM(G26:G29)</f>
        <v>1474184.25</v>
      </c>
      <c r="H30" s="103"/>
    </row>
    <row r="33" spans="1:8" ht="21.75" x14ac:dyDescent="0.25">
      <c r="A33" s="52" t="s">
        <v>168</v>
      </c>
      <c r="B33" s="52"/>
      <c r="C33" s="52"/>
      <c r="D33" s="53"/>
      <c r="E33" s="53"/>
      <c r="F33" s="98"/>
      <c r="G33" s="98"/>
      <c r="H33" s="98"/>
    </row>
    <row r="34" spans="1:8" ht="21.75" x14ac:dyDescent="0.25">
      <c r="A34" s="56"/>
      <c r="B34" s="56"/>
      <c r="C34" s="56"/>
      <c r="D34" s="57"/>
      <c r="E34" s="57"/>
      <c r="F34" s="99"/>
      <c r="G34" s="100"/>
      <c r="H34" s="100"/>
    </row>
    <row r="35" spans="1:8" ht="21.75" x14ac:dyDescent="0.25">
      <c r="A35" s="63" t="s">
        <v>14</v>
      </c>
      <c r="B35" s="309" t="s">
        <v>5</v>
      </c>
      <c r="C35" s="310"/>
      <c r="D35" s="309" t="s">
        <v>18</v>
      </c>
      <c r="E35" s="310"/>
      <c r="F35" s="101" t="s">
        <v>118</v>
      </c>
      <c r="G35" s="90" t="s">
        <v>16</v>
      </c>
      <c r="H35" s="100"/>
    </row>
    <row r="36" spans="1:8" ht="43.5" x14ac:dyDescent="0.25">
      <c r="A36" s="66" t="s">
        <v>111</v>
      </c>
      <c r="B36" s="62">
        <v>2.1</v>
      </c>
      <c r="C36" s="62" t="s">
        <v>113</v>
      </c>
      <c r="D36" s="67">
        <f>B36*DADOS_INICIAIS!F47</f>
        <v>0</v>
      </c>
      <c r="E36" s="67" t="s">
        <v>2</v>
      </c>
      <c r="F36" s="88"/>
      <c r="G36" s="89">
        <f>F36*D36</f>
        <v>0</v>
      </c>
      <c r="H36" s="102"/>
    </row>
    <row r="37" spans="1:8" ht="21.75" x14ac:dyDescent="0.25">
      <c r="A37" s="66" t="s">
        <v>24</v>
      </c>
      <c r="B37" s="62">
        <v>0.65</v>
      </c>
      <c r="C37" s="62" t="s">
        <v>112</v>
      </c>
      <c r="D37" s="67">
        <f>B37*DADOS_INICIAIS!F47</f>
        <v>0</v>
      </c>
      <c r="E37" s="67" t="s">
        <v>22</v>
      </c>
      <c r="F37" s="88"/>
      <c r="G37" s="89">
        <f>F37*D37</f>
        <v>0</v>
      </c>
      <c r="H37" s="102"/>
    </row>
    <row r="38" spans="1:8" ht="21.75" x14ac:dyDescent="0.25">
      <c r="A38" s="66" t="s">
        <v>23</v>
      </c>
      <c r="B38" s="62">
        <v>110</v>
      </c>
      <c r="C38" s="62" t="s">
        <v>34</v>
      </c>
      <c r="D38" s="67">
        <f>B38*D37</f>
        <v>0</v>
      </c>
      <c r="E38" s="67" t="s">
        <v>26</v>
      </c>
      <c r="F38" s="88"/>
      <c r="G38" s="89">
        <f>F38*D38</f>
        <v>0</v>
      </c>
      <c r="H38" s="102"/>
    </row>
    <row r="39" spans="1:8" ht="21.75" x14ac:dyDescent="0.25">
      <c r="A39" s="66" t="s">
        <v>25</v>
      </c>
      <c r="B39" s="62">
        <f>SUPRAESTRUTURA!B74*1.5</f>
        <v>0</v>
      </c>
      <c r="C39" s="62" t="s">
        <v>102</v>
      </c>
      <c r="D39" s="67">
        <f>DADOS_INICIAIS!F47</f>
        <v>0</v>
      </c>
      <c r="E39" s="67" t="s">
        <v>2</v>
      </c>
      <c r="F39" s="88">
        <f>B39</f>
        <v>0</v>
      </c>
      <c r="G39" s="89">
        <f>F39*D39</f>
        <v>0</v>
      </c>
      <c r="H39" s="102"/>
    </row>
    <row r="40" spans="1:8" ht="21.75" x14ac:dyDescent="0.25">
      <c r="A40" s="304" t="s">
        <v>17</v>
      </c>
      <c r="B40" s="304"/>
      <c r="C40" s="304"/>
      <c r="D40" s="304"/>
      <c r="E40" s="304"/>
      <c r="F40" s="304"/>
      <c r="G40" s="90">
        <f>SUM(G36:G39)</f>
        <v>0</v>
      </c>
      <c r="H40" s="103"/>
    </row>
    <row r="45" spans="1:8" x14ac:dyDescent="0.25">
      <c r="D45" s="86"/>
      <c r="E45" s="87"/>
    </row>
    <row r="46" spans="1:8" ht="21.75" x14ac:dyDescent="0.25">
      <c r="A46" s="311" t="s">
        <v>104</v>
      </c>
      <c r="B46" s="312"/>
      <c r="C46" s="312"/>
      <c r="D46" s="312"/>
      <c r="E46" s="312"/>
      <c r="F46" s="313"/>
      <c r="G46" s="91">
        <f>G21+G30</f>
        <v>1474184.25</v>
      </c>
      <c r="H46" s="91">
        <f>G46/DADOS_INICIAIS!F9</f>
        <v>19.96694961833219</v>
      </c>
    </row>
  </sheetData>
  <mergeCells count="14">
    <mergeCell ref="A15:A16"/>
    <mergeCell ref="A3:H3"/>
    <mergeCell ref="B9:C9"/>
    <mergeCell ref="D9:E9"/>
    <mergeCell ref="A11:A12"/>
    <mergeCell ref="A13:A14"/>
    <mergeCell ref="A21:F21"/>
    <mergeCell ref="B25:C25"/>
    <mergeCell ref="D25:E25"/>
    <mergeCell ref="A30:F30"/>
    <mergeCell ref="A46:F46"/>
    <mergeCell ref="B35:C35"/>
    <mergeCell ref="D35:E35"/>
    <mergeCell ref="A40:F40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J45"/>
  <sheetViews>
    <sheetView showGridLines="0" topLeftCell="A16" zoomScale="80" zoomScaleNormal="80" zoomScaleSheetLayoutView="95" workbookViewId="0">
      <selection activeCell="G35" sqref="G35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9.5703125" style="94" customWidth="1"/>
    <col min="8" max="8" width="69.425781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305" t="s">
        <v>122</v>
      </c>
      <c r="B3" s="316"/>
      <c r="C3" s="316"/>
      <c r="D3" s="306"/>
      <c r="E3" s="306"/>
      <c r="F3" s="306"/>
      <c r="G3" s="306"/>
      <c r="H3" s="307"/>
      <c r="J3" s="79"/>
    </row>
    <row r="4" spans="1:10" ht="19.5" x14ac:dyDescent="0.25">
      <c r="A4" s="189" t="s">
        <v>186</v>
      </c>
      <c r="B4" s="195">
        <v>45643</v>
      </c>
      <c r="C4" s="193"/>
      <c r="D4" s="193"/>
      <c r="E4" s="193"/>
      <c r="F4" s="193"/>
      <c r="G4" s="193"/>
      <c r="H4" s="194"/>
      <c r="J4" s="79"/>
    </row>
    <row r="5" spans="1:10" ht="39" x14ac:dyDescent="0.25">
      <c r="A5" s="189" t="s">
        <v>306</v>
      </c>
      <c r="B5" s="196" t="s">
        <v>399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219">
        <f>D10+D22</f>
        <v>266</v>
      </c>
      <c r="F6" s="96">
        <f>E6/D10</f>
        <v>1.7051282051282051</v>
      </c>
      <c r="G6" s="97"/>
      <c r="H6" s="97"/>
      <c r="J6" s="79"/>
    </row>
    <row r="7" spans="1:10" ht="21.75" x14ac:dyDescent="0.25">
      <c r="A7" s="52" t="s">
        <v>106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>
        <v>2483</v>
      </c>
      <c r="E8" s="57"/>
      <c r="F8" s="99"/>
      <c r="G8" s="100"/>
      <c r="H8" s="100"/>
    </row>
    <row r="9" spans="1:10" ht="21.75" x14ac:dyDescent="0.25">
      <c r="A9" s="63" t="s">
        <v>14</v>
      </c>
      <c r="B9" s="309" t="s">
        <v>5</v>
      </c>
      <c r="C9" s="310"/>
      <c r="D9" s="309" t="s">
        <v>18</v>
      </c>
      <c r="E9" s="310"/>
      <c r="F9" s="101" t="s">
        <v>118</v>
      </c>
      <c r="G9" s="90" t="s">
        <v>16</v>
      </c>
      <c r="H9" s="90" t="s">
        <v>309</v>
      </c>
    </row>
    <row r="10" spans="1:10" ht="21.75" x14ac:dyDescent="0.25">
      <c r="A10" s="66" t="s">
        <v>107</v>
      </c>
      <c r="B10" s="62">
        <f>D10/AREAS!$E$34</f>
        <v>3.6853556722584849E-2</v>
      </c>
      <c r="C10" s="62" t="s">
        <v>108</v>
      </c>
      <c r="D10" s="67">
        <f>D11</f>
        <v>156</v>
      </c>
      <c r="E10" s="67" t="s">
        <v>3</v>
      </c>
      <c r="F10" s="92"/>
      <c r="G10" s="93"/>
      <c r="H10" s="67" t="s">
        <v>361</v>
      </c>
    </row>
    <row r="11" spans="1:10" ht="21.75" x14ac:dyDescent="0.25">
      <c r="A11" s="314" t="s">
        <v>400</v>
      </c>
      <c r="B11" s="76">
        <v>1</v>
      </c>
      <c r="C11" s="62"/>
      <c r="D11" s="67">
        <v>156</v>
      </c>
      <c r="E11" s="67" t="s">
        <v>3</v>
      </c>
      <c r="F11" s="92"/>
      <c r="G11" s="93"/>
      <c r="H11" s="67"/>
    </row>
    <row r="12" spans="1:10" ht="21.75" x14ac:dyDescent="0.25">
      <c r="A12" s="315"/>
      <c r="B12" s="77">
        <f>D12/D11</f>
        <v>16.893461538461541</v>
      </c>
      <c r="C12" s="62" t="s">
        <v>163</v>
      </c>
      <c r="D12" s="67">
        <f>45*6.34+16*14.34+54*20.34+42*24.34</f>
        <v>2635.38</v>
      </c>
      <c r="E12" s="67" t="s">
        <v>4</v>
      </c>
      <c r="F12" s="218">
        <v>75</v>
      </c>
      <c r="G12" s="89">
        <f>F12*D12*1.1</f>
        <v>217418.85</v>
      </c>
      <c r="H12" s="67"/>
    </row>
    <row r="13" spans="1:10" ht="21.75" x14ac:dyDescent="0.25">
      <c r="A13" s="66" t="s">
        <v>401</v>
      </c>
      <c r="B13" s="62">
        <v>1.1000000000000001</v>
      </c>
      <c r="C13" s="62" t="s">
        <v>324</v>
      </c>
      <c r="D13" s="67">
        <v>518</v>
      </c>
      <c r="E13" s="67" t="s">
        <v>22</v>
      </c>
      <c r="F13" s="218">
        <f>510+44</f>
        <v>554</v>
      </c>
      <c r="G13" s="89">
        <f>F13*D13*B13*1.1</f>
        <v>347236.12000000005</v>
      </c>
      <c r="H13" s="67"/>
    </row>
    <row r="14" spans="1:10" ht="21.75" x14ac:dyDescent="0.25">
      <c r="A14" s="66" t="s">
        <v>360</v>
      </c>
      <c r="B14" s="62">
        <f>D14/D13</f>
        <v>7.3285714285714283</v>
      </c>
      <c r="C14" s="62" t="s">
        <v>34</v>
      </c>
      <c r="D14" s="67">
        <v>3796.2</v>
      </c>
      <c r="E14" s="67" t="s">
        <v>26</v>
      </c>
      <c r="F14" s="88">
        <v>7.62</v>
      </c>
      <c r="G14" s="89">
        <f>F14*D14*1.1</f>
        <v>31819.7484</v>
      </c>
      <c r="H14" s="67"/>
    </row>
    <row r="15" spans="1:10" ht="21.75" x14ac:dyDescent="0.25">
      <c r="A15" s="66" t="s">
        <v>109</v>
      </c>
      <c r="B15" s="62">
        <v>1</v>
      </c>
      <c r="C15" s="62" t="s">
        <v>27</v>
      </c>
      <c r="D15" s="67">
        <v>1</v>
      </c>
      <c r="E15" s="67" t="s">
        <v>27</v>
      </c>
      <c r="F15" s="88">
        <v>14500</v>
      </c>
      <c r="G15" s="89">
        <f>F15*D15*1.1</f>
        <v>15950.000000000002</v>
      </c>
      <c r="H15" s="67"/>
    </row>
    <row r="16" spans="1:10" ht="21.75" x14ac:dyDescent="0.25">
      <c r="A16" s="66" t="s">
        <v>311</v>
      </c>
      <c r="B16" s="62"/>
      <c r="C16" s="62"/>
      <c r="D16" s="67">
        <f>D10</f>
        <v>156</v>
      </c>
      <c r="E16" s="67" t="s">
        <v>3</v>
      </c>
      <c r="F16" s="88">
        <v>300</v>
      </c>
      <c r="G16" s="89">
        <f>F16*D16*1</f>
        <v>46800</v>
      </c>
      <c r="H16" s="67"/>
    </row>
    <row r="17" spans="1:8" ht="21.75" x14ac:dyDescent="0.25">
      <c r="A17" s="304" t="s">
        <v>17</v>
      </c>
      <c r="B17" s="304"/>
      <c r="C17" s="304"/>
      <c r="D17" s="304"/>
      <c r="E17" s="304"/>
      <c r="F17" s="304"/>
      <c r="G17" s="90">
        <f>SUM(G10:G16)</f>
        <v>659224.71840000013</v>
      </c>
      <c r="H17" s="90"/>
    </row>
    <row r="19" spans="1:8" ht="21.75" x14ac:dyDescent="0.25">
      <c r="A19" s="52" t="s">
        <v>106</v>
      </c>
      <c r="B19" s="52"/>
      <c r="C19" s="52"/>
      <c r="D19" s="53"/>
      <c r="E19" s="53"/>
      <c r="F19" s="98"/>
      <c r="G19" s="98"/>
      <c r="H19" s="98"/>
    </row>
    <row r="20" spans="1:8" ht="21.75" x14ac:dyDescent="0.25">
      <c r="A20" s="56"/>
      <c r="B20" s="56"/>
      <c r="C20" s="56"/>
      <c r="D20" s="57">
        <v>1749.4</v>
      </c>
      <c r="E20" s="57"/>
      <c r="F20" s="99"/>
      <c r="G20" s="100"/>
      <c r="H20" s="100"/>
    </row>
    <row r="21" spans="1:8" ht="21.75" x14ac:dyDescent="0.25">
      <c r="A21" s="63" t="s">
        <v>14</v>
      </c>
      <c r="B21" s="309" t="s">
        <v>5</v>
      </c>
      <c r="C21" s="310"/>
      <c r="D21" s="309" t="s">
        <v>18</v>
      </c>
      <c r="E21" s="310"/>
      <c r="F21" s="101" t="s">
        <v>118</v>
      </c>
      <c r="G21" s="90" t="s">
        <v>16</v>
      </c>
      <c r="H21" s="90" t="s">
        <v>309</v>
      </c>
    </row>
    <row r="22" spans="1:8" ht="21.75" x14ac:dyDescent="0.25">
      <c r="A22" s="66" t="s">
        <v>107</v>
      </c>
      <c r="B22" s="62">
        <f>D22/AREAS!$E$34</f>
        <v>2.5986482304386754E-2</v>
      </c>
      <c r="C22" s="62" t="s">
        <v>108</v>
      </c>
      <c r="D22" s="67">
        <f>ROUND((D10/$D$8)*$D$20,0)</f>
        <v>110</v>
      </c>
      <c r="E22" s="67" t="s">
        <v>3</v>
      </c>
      <c r="F22" s="92"/>
      <c r="G22" s="93"/>
      <c r="H22" s="67" t="s">
        <v>361</v>
      </c>
    </row>
    <row r="23" spans="1:8" ht="21.75" x14ac:dyDescent="0.25">
      <c r="A23" s="314" t="s">
        <v>400</v>
      </c>
      <c r="B23" s="76">
        <v>1</v>
      </c>
      <c r="C23" s="62"/>
      <c r="D23" s="67">
        <f>D22</f>
        <v>110</v>
      </c>
      <c r="E23" s="67" t="s">
        <v>3</v>
      </c>
      <c r="F23" s="92"/>
      <c r="G23" s="93"/>
      <c r="H23" s="67"/>
    </row>
    <row r="24" spans="1:8" ht="21.75" x14ac:dyDescent="0.25">
      <c r="A24" s="315"/>
      <c r="B24" s="77">
        <f>B12</f>
        <v>16.893461538461541</v>
      </c>
      <c r="C24" s="62" t="s">
        <v>163</v>
      </c>
      <c r="D24" s="67">
        <f>B24*D23</f>
        <v>1858.2807692307695</v>
      </c>
      <c r="E24" s="67" t="s">
        <v>4</v>
      </c>
      <c r="F24" s="218">
        <v>75</v>
      </c>
      <c r="G24" s="89">
        <f>F24*D24*1.1</f>
        <v>153308.1634615385</v>
      </c>
      <c r="H24" s="67"/>
    </row>
    <row r="25" spans="1:8" ht="21.75" x14ac:dyDescent="0.25">
      <c r="A25" s="66" t="s">
        <v>401</v>
      </c>
      <c r="B25" s="62">
        <v>1.2</v>
      </c>
      <c r="C25" s="62" t="s">
        <v>324</v>
      </c>
      <c r="D25" s="67">
        <f>(D13/$D$8)*$D$20</f>
        <v>364.95739025372535</v>
      </c>
      <c r="E25" s="67" t="s">
        <v>22</v>
      </c>
      <c r="F25" s="218">
        <f>510+44</f>
        <v>554</v>
      </c>
      <c r="G25" s="89">
        <f>F25*D25*B25*1.1</f>
        <v>266886.04034474428</v>
      </c>
      <c r="H25" s="67"/>
    </row>
    <row r="26" spans="1:8" ht="21.75" x14ac:dyDescent="0.25">
      <c r="A26" s="66" t="s">
        <v>360</v>
      </c>
      <c r="B26" s="62">
        <f>D26/D25</f>
        <v>7.3285714285714283</v>
      </c>
      <c r="C26" s="62" t="s">
        <v>34</v>
      </c>
      <c r="D26" s="67">
        <f>(D14/$D$8)*$D$20</f>
        <v>2674.6163028594442</v>
      </c>
      <c r="E26" s="67" t="s">
        <v>26</v>
      </c>
      <c r="F26" s="88">
        <v>7.62</v>
      </c>
      <c r="G26" s="89">
        <f>F26*D26*1.1</f>
        <v>22418.633850567865</v>
      </c>
      <c r="H26" s="67"/>
    </row>
    <row r="27" spans="1:8" ht="21.75" x14ac:dyDescent="0.25">
      <c r="A27" s="66" t="s">
        <v>109</v>
      </c>
      <c r="B27" s="62">
        <v>1</v>
      </c>
      <c r="C27" s="62" t="s">
        <v>27</v>
      </c>
      <c r="D27" s="67">
        <v>0</v>
      </c>
      <c r="E27" s="67" t="s">
        <v>27</v>
      </c>
      <c r="F27" s="88">
        <v>14500</v>
      </c>
      <c r="G27" s="89">
        <f>F27*D27*1.1</f>
        <v>0</v>
      </c>
      <c r="H27" s="67"/>
    </row>
    <row r="28" spans="1:8" ht="21.75" x14ac:dyDescent="0.25">
      <c r="A28" s="66" t="s">
        <v>311</v>
      </c>
      <c r="B28" s="62"/>
      <c r="C28" s="62"/>
      <c r="D28" s="67">
        <f>D22</f>
        <v>110</v>
      </c>
      <c r="E28" s="67" t="s">
        <v>3</v>
      </c>
      <c r="F28" s="88">
        <v>300</v>
      </c>
      <c r="G28" s="89">
        <f>F28*D28*1</f>
        <v>33000</v>
      </c>
      <c r="H28" s="67"/>
    </row>
    <row r="29" spans="1:8" ht="21.75" x14ac:dyDescent="0.25">
      <c r="A29" s="304" t="s">
        <v>17</v>
      </c>
      <c r="B29" s="304"/>
      <c r="C29" s="304"/>
      <c r="D29" s="304"/>
      <c r="E29" s="304"/>
      <c r="F29" s="304"/>
      <c r="G29" s="90">
        <f>SUM(G22:G28)</f>
        <v>475612.83765685064</v>
      </c>
      <c r="H29" s="90"/>
    </row>
    <row r="31" spans="1:8" ht="21.75" x14ac:dyDescent="0.25">
      <c r="A31" s="52" t="s">
        <v>110</v>
      </c>
      <c r="B31" s="52"/>
      <c r="C31" s="52"/>
      <c r="D31" s="53"/>
      <c r="E31" s="53"/>
      <c r="F31" s="98"/>
      <c r="G31" s="98"/>
      <c r="H31" s="98"/>
    </row>
    <row r="32" spans="1:8" ht="21.75" x14ac:dyDescent="0.25">
      <c r="A32" s="56"/>
      <c r="B32" s="56"/>
      <c r="C32" s="56"/>
      <c r="D32" s="57"/>
      <c r="E32" s="57"/>
      <c r="F32" s="99"/>
      <c r="G32" s="100"/>
      <c r="H32" s="100"/>
    </row>
    <row r="33" spans="1:8" ht="21.75" x14ac:dyDescent="0.25">
      <c r="A33" s="63" t="s">
        <v>14</v>
      </c>
      <c r="B33" s="309" t="s">
        <v>5</v>
      </c>
      <c r="C33" s="310"/>
      <c r="D33" s="309" t="s">
        <v>18</v>
      </c>
      <c r="E33" s="310"/>
      <c r="F33" s="101" t="s">
        <v>118</v>
      </c>
      <c r="G33" s="90" t="s">
        <v>16</v>
      </c>
      <c r="H33" s="90" t="s">
        <v>309</v>
      </c>
    </row>
    <row r="34" spans="1:8" ht="43.5" x14ac:dyDescent="0.25">
      <c r="A34" s="66" t="s">
        <v>111</v>
      </c>
      <c r="B34" s="62">
        <v>0.2</v>
      </c>
      <c r="C34" s="62" t="s">
        <v>113</v>
      </c>
      <c r="D34" s="67">
        <f>B34*AREAS!E28</f>
        <v>846.48</v>
      </c>
      <c r="E34" s="67" t="s">
        <v>2</v>
      </c>
      <c r="F34" s="88">
        <v>68</v>
      </c>
      <c r="G34" s="89">
        <f>F34*D34*1.1</f>
        <v>63316.704000000005</v>
      </c>
      <c r="H34" s="67"/>
    </row>
    <row r="35" spans="1:8" ht="21.75" x14ac:dyDescent="0.25">
      <c r="A35" s="66" t="s">
        <v>310</v>
      </c>
      <c r="B35" s="62">
        <v>0.05</v>
      </c>
      <c r="C35" s="62" t="s">
        <v>112</v>
      </c>
      <c r="D35" s="67">
        <f>B35*AREAS!E28</f>
        <v>211.62</v>
      </c>
      <c r="E35" s="67" t="s">
        <v>22</v>
      </c>
      <c r="F35" s="218">
        <f>514+44</f>
        <v>558</v>
      </c>
      <c r="G35" s="89">
        <f>F35*D35*1.05*1.1</f>
        <v>136386.97380000004</v>
      </c>
      <c r="H35" s="67"/>
    </row>
    <row r="36" spans="1:8" ht="21.75" x14ac:dyDescent="0.25">
      <c r="A36" s="66" t="s">
        <v>23</v>
      </c>
      <c r="B36" s="62">
        <v>60</v>
      </c>
      <c r="C36" s="62" t="s">
        <v>34</v>
      </c>
      <c r="D36" s="67">
        <f>B36*D35</f>
        <v>12697.2</v>
      </c>
      <c r="E36" s="67" t="s">
        <v>26</v>
      </c>
      <c r="F36" s="88">
        <v>7.62</v>
      </c>
      <c r="G36" s="89">
        <f>F36*D36*1.1</f>
        <v>106427.93040000001</v>
      </c>
      <c r="H36" s="67"/>
    </row>
    <row r="37" spans="1:8" ht="21.75" x14ac:dyDescent="0.25">
      <c r="A37" s="66" t="s">
        <v>25</v>
      </c>
      <c r="B37" s="62">
        <f>SUPRAESTRUTURA!B15*1.5</f>
        <v>315</v>
      </c>
      <c r="C37" s="62" t="s">
        <v>102</v>
      </c>
      <c r="D37" s="67">
        <f>AREAS!E28</f>
        <v>4232.3999999999996</v>
      </c>
      <c r="E37" s="67" t="s">
        <v>2</v>
      </c>
      <c r="F37" s="88">
        <f>B37</f>
        <v>315</v>
      </c>
      <c r="G37" s="89">
        <f>F37*D37*1.1</f>
        <v>1466526.6</v>
      </c>
      <c r="H37" s="67"/>
    </row>
    <row r="38" spans="1:8" ht="21.75" x14ac:dyDescent="0.25">
      <c r="A38" s="304" t="s">
        <v>17</v>
      </c>
      <c r="B38" s="304"/>
      <c r="C38" s="304"/>
      <c r="D38" s="304"/>
      <c r="E38" s="304"/>
      <c r="F38" s="304"/>
      <c r="G38" s="90">
        <f>SUM(G34:G37)</f>
        <v>1772658.2082000002</v>
      </c>
      <c r="H38" s="90"/>
    </row>
    <row r="40" spans="1:8" x14ac:dyDescent="0.25">
      <c r="D40" s="86"/>
      <c r="E40" s="87"/>
    </row>
    <row r="41" spans="1:8" ht="21.75" x14ac:dyDescent="0.25">
      <c r="A41" s="311" t="s">
        <v>104</v>
      </c>
      <c r="B41" s="312"/>
      <c r="C41" s="312"/>
      <c r="D41" s="312"/>
      <c r="E41" s="312"/>
      <c r="F41" s="313"/>
      <c r="G41" s="91">
        <f>G17+G38+G29</f>
        <v>2907495.7642568508</v>
      </c>
      <c r="H41" s="91">
        <f>G41/AREAS!E6</f>
        <v>367.67116356956433</v>
      </c>
    </row>
    <row r="44" spans="1:8" x14ac:dyDescent="0.25">
      <c r="D44" s="81">
        <f>0.8*4*0.8*(D22+D10)</f>
        <v>680.96000000000015</v>
      </c>
    </row>
    <row r="45" spans="1:8" x14ac:dyDescent="0.25">
      <c r="D45" s="81">
        <f>0.8*0.8*0.8*(D22+D10)</f>
        <v>136.19200000000004</v>
      </c>
    </row>
  </sheetData>
  <mergeCells count="13">
    <mergeCell ref="A38:F38"/>
    <mergeCell ref="A41:F41"/>
    <mergeCell ref="A3:H3"/>
    <mergeCell ref="A17:F17"/>
    <mergeCell ref="D9:E9"/>
    <mergeCell ref="B9:C9"/>
    <mergeCell ref="A11:A12"/>
    <mergeCell ref="B33:C33"/>
    <mergeCell ref="D33:E33"/>
    <mergeCell ref="B21:C21"/>
    <mergeCell ref="D21:E21"/>
    <mergeCell ref="A23:A24"/>
    <mergeCell ref="A29:F2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ECC-E58E-429D-83BE-C07977C5DA4B}">
  <sheetPr>
    <tabColor rgb="FF92D050"/>
  </sheetPr>
  <dimension ref="A1:L96"/>
  <sheetViews>
    <sheetView showGridLines="0" zoomScale="80" zoomScaleNormal="80" zoomScaleSheetLayoutView="95" workbookViewId="0">
      <selection activeCell="G13" sqref="G13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6.85546875" style="55" customWidth="1"/>
    <col min="8" max="8" width="58.28515625" style="55" customWidth="1"/>
    <col min="9" max="9" width="14.57031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305" t="s">
        <v>28</v>
      </c>
      <c r="B3" s="316"/>
      <c r="C3" s="316"/>
      <c r="D3" s="306"/>
      <c r="E3" s="306"/>
      <c r="F3" s="306"/>
      <c r="G3" s="306"/>
      <c r="H3" s="307"/>
      <c r="J3" s="79"/>
    </row>
    <row r="4" spans="1:10" ht="19.5" x14ac:dyDescent="0.25">
      <c r="A4" s="189" t="s">
        <v>186</v>
      </c>
      <c r="B4" s="195">
        <v>45643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306</v>
      </c>
      <c r="B5" s="196" t="s">
        <v>222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316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309" t="s">
        <v>5</v>
      </c>
      <c r="C9" s="310"/>
      <c r="D9" s="309" t="s">
        <v>18</v>
      </c>
      <c r="E9" s="310"/>
      <c r="F9" s="65" t="s">
        <v>118</v>
      </c>
      <c r="G9" s="71" t="s">
        <v>16</v>
      </c>
      <c r="H9" s="90" t="s">
        <v>309</v>
      </c>
    </row>
    <row r="10" spans="1:10" ht="21.75" x14ac:dyDescent="0.25">
      <c r="A10" s="66" t="s">
        <v>29</v>
      </c>
      <c r="B10" s="62">
        <v>2</v>
      </c>
      <c r="C10" s="62" t="s">
        <v>315</v>
      </c>
      <c r="D10" s="67">
        <f>(D11/AREAS!E24)*B10</f>
        <v>8239.92</v>
      </c>
      <c r="E10" s="67" t="s">
        <v>2</v>
      </c>
      <c r="F10" s="88">
        <v>110</v>
      </c>
      <c r="G10" s="89">
        <f>F10*D10*1.1</f>
        <v>997030.32000000007</v>
      </c>
      <c r="H10" s="67"/>
    </row>
    <row r="11" spans="1:10" ht="21.75" x14ac:dyDescent="0.25">
      <c r="A11" s="78" t="s">
        <v>30</v>
      </c>
      <c r="B11" s="62">
        <v>2.5</v>
      </c>
      <c r="C11" s="62" t="s">
        <v>37</v>
      </c>
      <c r="D11" s="67">
        <f>(935+1934+1341+2243+775)*1.71</f>
        <v>12359.88</v>
      </c>
      <c r="E11" s="67" t="s">
        <v>2</v>
      </c>
      <c r="F11" s="88">
        <v>2.5</v>
      </c>
      <c r="G11" s="89">
        <f>F11*D11*1.1</f>
        <v>33989.67</v>
      </c>
      <c r="H11" s="67" t="s">
        <v>406</v>
      </c>
    </row>
    <row r="12" spans="1:10" ht="21.75" x14ac:dyDescent="0.25">
      <c r="A12" s="78" t="s">
        <v>326</v>
      </c>
      <c r="B12" s="62">
        <v>4</v>
      </c>
      <c r="C12" s="62" t="s">
        <v>165</v>
      </c>
      <c r="D12" s="67">
        <f>ROUNDUP(B12*AREAS!E28*B10,0)</f>
        <v>33860</v>
      </c>
      <c r="E12" s="67" t="s">
        <v>3</v>
      </c>
      <c r="F12" s="88">
        <f>17</f>
        <v>17</v>
      </c>
      <c r="G12" s="89">
        <f>F12*D12*1.1</f>
        <v>633182</v>
      </c>
      <c r="H12" s="67"/>
      <c r="I12" s="198"/>
    </row>
    <row r="13" spans="1:10" ht="21.75" x14ac:dyDescent="0.25">
      <c r="A13" s="66" t="s">
        <v>99</v>
      </c>
      <c r="B13" s="62">
        <v>0.2</v>
      </c>
      <c r="C13" s="62" t="s">
        <v>38</v>
      </c>
      <c r="D13" s="67">
        <f>(105.5+224+513+327+102.5)*1.71</f>
        <v>2175.12</v>
      </c>
      <c r="E13" s="67" t="s">
        <v>22</v>
      </c>
      <c r="F13" s="218">
        <f>514+44</f>
        <v>558</v>
      </c>
      <c r="G13" s="89">
        <f>F13*D13*1.05*1.1</f>
        <v>1401843.0888</v>
      </c>
      <c r="H13" s="67" t="s">
        <v>406</v>
      </c>
    </row>
    <row r="14" spans="1:10" ht="21.75" x14ac:dyDescent="0.25">
      <c r="A14" s="66" t="s">
        <v>31</v>
      </c>
      <c r="B14" s="62">
        <v>90</v>
      </c>
      <c r="C14" s="62" t="s">
        <v>34</v>
      </c>
      <c r="D14" s="67">
        <f>D13*B14</f>
        <v>195760.8</v>
      </c>
      <c r="E14" s="67" t="s">
        <v>26</v>
      </c>
      <c r="F14" s="88">
        <v>7.62</v>
      </c>
      <c r="G14" s="89">
        <f>F14*D14*1.1</f>
        <v>1640867.0256000001</v>
      </c>
      <c r="H14" s="67"/>
    </row>
    <row r="15" spans="1:10" ht="43.5" x14ac:dyDescent="0.25">
      <c r="A15" s="66" t="s">
        <v>101</v>
      </c>
      <c r="B15" s="62">
        <v>210</v>
      </c>
      <c r="C15" s="62" t="s">
        <v>6</v>
      </c>
      <c r="D15" s="67">
        <f>AREAS!E6</f>
        <v>7907.87</v>
      </c>
      <c r="E15" s="67" t="s">
        <v>2</v>
      </c>
      <c r="F15" s="88">
        <v>210</v>
      </c>
      <c r="G15" s="89">
        <f>F15*D15*1.1</f>
        <v>1826717.9700000002</v>
      </c>
      <c r="H15" s="67"/>
    </row>
    <row r="16" spans="1:10" ht="43.5" x14ac:dyDescent="0.25">
      <c r="A16" s="66" t="s">
        <v>312</v>
      </c>
      <c r="B16" s="62">
        <v>1500</v>
      </c>
      <c r="C16" s="62" t="s">
        <v>313</v>
      </c>
      <c r="D16" s="67">
        <v>1</v>
      </c>
      <c r="E16" s="67" t="s">
        <v>27</v>
      </c>
      <c r="F16" s="88">
        <f>B16*AREAS!E24</f>
        <v>4500</v>
      </c>
      <c r="G16" s="89">
        <f>F16*D16*1.1</f>
        <v>4950</v>
      </c>
      <c r="H16" s="67" t="s">
        <v>314</v>
      </c>
      <c r="I16" s="55" t="s">
        <v>318</v>
      </c>
    </row>
    <row r="17" spans="1:12" ht="21.75" x14ac:dyDescent="0.25">
      <c r="A17" s="304" t="s">
        <v>17</v>
      </c>
      <c r="B17" s="304"/>
      <c r="C17" s="304"/>
      <c r="D17" s="304"/>
      <c r="E17" s="304"/>
      <c r="F17" s="304"/>
      <c r="G17" s="90">
        <f>SUM(G10:G16)</f>
        <v>6538580.0744000003</v>
      </c>
      <c r="H17" s="90"/>
      <c r="K17" s="55">
        <f>4160+1440+1120+2880+4800+91680+4000</f>
        <v>110080</v>
      </c>
      <c r="L17" s="55">
        <f>K17/21</f>
        <v>5241.9047619047615</v>
      </c>
    </row>
    <row r="19" spans="1:12" ht="21.75" hidden="1" x14ac:dyDescent="0.25">
      <c r="A19" s="52" t="s">
        <v>379</v>
      </c>
      <c r="B19" s="52"/>
      <c r="C19" s="52"/>
      <c r="D19" s="53"/>
      <c r="E19" s="53"/>
      <c r="F19" s="54"/>
      <c r="G19" s="53"/>
      <c r="H19" s="53"/>
    </row>
    <row r="20" spans="1:12" ht="21.75" hidden="1" x14ac:dyDescent="0.25">
      <c r="A20" s="56"/>
      <c r="B20" s="56"/>
      <c r="C20" s="56"/>
      <c r="D20" s="57"/>
      <c r="E20" s="57"/>
      <c r="F20" s="58"/>
      <c r="G20" s="59"/>
      <c r="H20" s="59"/>
    </row>
    <row r="21" spans="1:12" ht="21.75" hidden="1" x14ac:dyDescent="0.25">
      <c r="A21" s="63" t="s">
        <v>14</v>
      </c>
      <c r="B21" s="309" t="s">
        <v>5</v>
      </c>
      <c r="C21" s="310"/>
      <c r="D21" s="309" t="s">
        <v>18</v>
      </c>
      <c r="E21" s="310"/>
      <c r="F21" s="65" t="s">
        <v>118</v>
      </c>
      <c r="G21" s="71" t="s">
        <v>16</v>
      </c>
      <c r="H21" s="90" t="s">
        <v>309</v>
      </c>
    </row>
    <row r="22" spans="1:12" ht="21.75" hidden="1" x14ac:dyDescent="0.25">
      <c r="A22" s="66" t="s">
        <v>29</v>
      </c>
      <c r="B22" s="62">
        <v>2</v>
      </c>
      <c r="C22" s="62" t="s">
        <v>315</v>
      </c>
      <c r="D22" s="67">
        <f>(D23/DADOS_INICIAIS!$F$27)*B22</f>
        <v>7383.1220000000003</v>
      </c>
      <c r="E22" s="67" t="s">
        <v>2</v>
      </c>
      <c r="F22" s="88">
        <v>110</v>
      </c>
      <c r="G22" s="89">
        <f>F22*D22*1.1</f>
        <v>893357.7620000001</v>
      </c>
      <c r="H22" s="67"/>
    </row>
    <row r="23" spans="1:12" ht="21.75" hidden="1" x14ac:dyDescent="0.25">
      <c r="A23" s="78" t="s">
        <v>30</v>
      </c>
      <c r="B23" s="62">
        <v>2.1</v>
      </c>
      <c r="C23" s="62" t="s">
        <v>37</v>
      </c>
      <c r="D23" s="67">
        <f>B23*DADOS_INICIAIS!$F$9</f>
        <v>155045.56200000001</v>
      </c>
      <c r="E23" s="67" t="s">
        <v>2</v>
      </c>
      <c r="F23" s="88">
        <v>2.5</v>
      </c>
      <c r="G23" s="89">
        <f>F23*D23*1.1</f>
        <v>426375.29550000007</v>
      </c>
      <c r="H23" s="67"/>
    </row>
    <row r="24" spans="1:12" ht="21.75" hidden="1" x14ac:dyDescent="0.25">
      <c r="A24" s="78" t="s">
        <v>326</v>
      </c>
      <c r="B24" s="62">
        <v>3</v>
      </c>
      <c r="C24" s="62" t="s">
        <v>164</v>
      </c>
      <c r="D24" s="67">
        <f>ROUNDUP(B24*DADOS_INICIAIS!$F$37*B22,0)</f>
        <v>28080</v>
      </c>
      <c r="E24" s="67" t="s">
        <v>3</v>
      </c>
      <c r="F24" s="88">
        <f>17</f>
        <v>17</v>
      </c>
      <c r="G24" s="89">
        <f>F24*D24*1.1</f>
        <v>525096</v>
      </c>
      <c r="H24" s="67"/>
    </row>
    <row r="25" spans="1:12" ht="21.75" hidden="1" x14ac:dyDescent="0.25">
      <c r="A25" s="66" t="s">
        <v>116</v>
      </c>
      <c r="B25" s="62">
        <v>25</v>
      </c>
      <c r="C25" s="62" t="s">
        <v>6</v>
      </c>
      <c r="D25" s="67">
        <v>1</v>
      </c>
      <c r="E25" s="67" t="s">
        <v>27</v>
      </c>
      <c r="F25" s="88">
        <f>B25*DADOS_INICIAIS!$F$9</f>
        <v>1845780.5</v>
      </c>
      <c r="G25" s="89">
        <f>F25*D25*1.1</f>
        <v>2030358.5500000003</v>
      </c>
      <c r="H25" s="67"/>
    </row>
    <row r="26" spans="1:12" ht="21.75" hidden="1" x14ac:dyDescent="0.25">
      <c r="A26" s="78" t="s">
        <v>365</v>
      </c>
      <c r="B26" s="204">
        <f>12.3*0.8</f>
        <v>9.8400000000000016</v>
      </c>
      <c r="C26" s="204" t="s">
        <v>363</v>
      </c>
      <c r="D26" s="67">
        <f>(DADOS_INICIAIS!$F$28+DADOS_INICIAIS!$F$29)*DADOS_INICIAIS!$F$31+DADOS_INICIAIS!$F$34</f>
        <v>45073.968000000001</v>
      </c>
      <c r="E26" s="67" t="s">
        <v>2</v>
      </c>
      <c r="F26" s="88">
        <f>B26</f>
        <v>9.8400000000000016</v>
      </c>
      <c r="G26" s="89">
        <f t="shared" ref="G26:G27" si="0">F26*D26*1.1</f>
        <v>487880.62963200011</v>
      </c>
      <c r="H26" s="67"/>
    </row>
    <row r="27" spans="1:12" ht="21.75" hidden="1" x14ac:dyDescent="0.25">
      <c r="A27" s="78" t="s">
        <v>366</v>
      </c>
      <c r="B27" s="204">
        <f>2.83*0.8</f>
        <v>2.2640000000000002</v>
      </c>
      <c r="C27" s="204" t="s">
        <v>364</v>
      </c>
      <c r="D27" s="67">
        <f>B27*D26</f>
        <v>102047.46355200002</v>
      </c>
      <c r="E27" s="67" t="s">
        <v>26</v>
      </c>
      <c r="F27" s="88">
        <v>12.3</v>
      </c>
      <c r="G27" s="89">
        <f t="shared" si="0"/>
        <v>1380702.1818585605</v>
      </c>
      <c r="H27" s="67"/>
    </row>
    <row r="28" spans="1:12" ht="21.75" hidden="1" x14ac:dyDescent="0.25">
      <c r="A28" s="66" t="s">
        <v>367</v>
      </c>
      <c r="B28" s="204">
        <v>9000</v>
      </c>
      <c r="C28" s="204" t="s">
        <v>368</v>
      </c>
      <c r="D28" s="67">
        <f>DADOS_INICIAIS!F27</f>
        <v>42</v>
      </c>
      <c r="E28" s="67" t="s">
        <v>369</v>
      </c>
      <c r="F28" s="88">
        <f>B28</f>
        <v>9000</v>
      </c>
      <c r="G28" s="89">
        <f>F28*D28*1.1</f>
        <v>415800.00000000006</v>
      </c>
      <c r="H28" s="67"/>
    </row>
    <row r="29" spans="1:12" ht="21.75" hidden="1" x14ac:dyDescent="0.25">
      <c r="A29" s="66" t="s">
        <v>99</v>
      </c>
      <c r="B29" s="62">
        <v>0.18</v>
      </c>
      <c r="C29" s="62" t="s">
        <v>38</v>
      </c>
      <c r="D29" s="67">
        <f>B29*DADOS_INICIAIS!$F$9</f>
        <v>13289.6196</v>
      </c>
      <c r="E29" s="67" t="s">
        <v>22</v>
      </c>
      <c r="F29" s="88">
        <f>535+45</f>
        <v>580</v>
      </c>
      <c r="G29" s="89">
        <f>F29*D29*1.05*1.1</f>
        <v>8902716.1700400002</v>
      </c>
      <c r="H29" s="67"/>
    </row>
    <row r="30" spans="1:12" ht="21.75" hidden="1" x14ac:dyDescent="0.25">
      <c r="A30" s="66" t="s">
        <v>372</v>
      </c>
      <c r="B30" s="76">
        <v>0.2</v>
      </c>
      <c r="C30" s="62"/>
      <c r="D30" s="67">
        <f>B30*D29</f>
        <v>2657.9239200000002</v>
      </c>
      <c r="E30" s="67" t="s">
        <v>22</v>
      </c>
      <c r="F30" s="88">
        <f>1.22*F29-F29</f>
        <v>127.60000000000002</v>
      </c>
      <c r="G30" s="89">
        <f>F30*D30*1.05*1.1</f>
        <v>391719.51148176019</v>
      </c>
      <c r="H30" s="67"/>
    </row>
    <row r="31" spans="1:12" ht="21.75" hidden="1" x14ac:dyDescent="0.25">
      <c r="A31" s="66" t="s">
        <v>31</v>
      </c>
      <c r="B31" s="62">
        <v>110</v>
      </c>
      <c r="C31" s="62" t="s">
        <v>34</v>
      </c>
      <c r="D31" s="67">
        <f>D29*B31-D27</f>
        <v>1359810.692448</v>
      </c>
      <c r="E31" s="67" t="s">
        <v>26</v>
      </c>
      <c r="F31" s="88">
        <v>7.62</v>
      </c>
      <c r="G31" s="89">
        <f>F31*D31*1.1</f>
        <v>11397933.224099137</v>
      </c>
      <c r="H31" s="67"/>
    </row>
    <row r="32" spans="1:12" ht="43.5" hidden="1" x14ac:dyDescent="0.25">
      <c r="A32" s="66" t="s">
        <v>101</v>
      </c>
      <c r="B32" s="62">
        <v>240</v>
      </c>
      <c r="C32" s="62" t="s">
        <v>6</v>
      </c>
      <c r="D32" s="67">
        <f>DADOS_INICIAIS!$F$9</f>
        <v>73831.22</v>
      </c>
      <c r="E32" s="67" t="s">
        <v>2</v>
      </c>
      <c r="F32" s="88">
        <f>B32</f>
        <v>240</v>
      </c>
      <c r="G32" s="89">
        <f>F32*D32*1.1</f>
        <v>19491442.080000002</v>
      </c>
      <c r="H32" s="67"/>
    </row>
    <row r="33" spans="1:8" ht="43.5" hidden="1" x14ac:dyDescent="0.25">
      <c r="A33" s="66" t="s">
        <v>312</v>
      </c>
      <c r="B33" s="62">
        <v>5300</v>
      </c>
      <c r="C33" s="62" t="s">
        <v>313</v>
      </c>
      <c r="D33" s="67">
        <v>1</v>
      </c>
      <c r="E33" s="67" t="s">
        <v>27</v>
      </c>
      <c r="F33" s="88">
        <f>B33*DADOS_INICIAIS!$F$27</f>
        <v>222600</v>
      </c>
      <c r="G33" s="89">
        <f>F33*D33*1.1</f>
        <v>244860.00000000003</v>
      </c>
      <c r="H33" s="67" t="s">
        <v>314</v>
      </c>
    </row>
    <row r="34" spans="1:8" ht="21.75" hidden="1" x14ac:dyDescent="0.25">
      <c r="A34" s="304" t="s">
        <v>17</v>
      </c>
      <c r="B34" s="304"/>
      <c r="C34" s="304"/>
      <c r="D34" s="304"/>
      <c r="E34" s="304"/>
      <c r="F34" s="304"/>
      <c r="G34" s="90">
        <f>SUM(G22:G33)</f>
        <v>46588241.404611461</v>
      </c>
      <c r="H34" s="90"/>
    </row>
    <row r="35" spans="1:8" hidden="1" x14ac:dyDescent="0.25"/>
    <row r="36" spans="1:8" ht="21.75" hidden="1" x14ac:dyDescent="0.25">
      <c r="A36" s="52" t="s">
        <v>317</v>
      </c>
      <c r="B36" s="52"/>
      <c r="C36" s="52"/>
      <c r="D36" s="53"/>
      <c r="E36" s="53"/>
      <c r="F36" s="54"/>
      <c r="G36" s="53"/>
      <c r="H36" s="53"/>
    </row>
    <row r="37" spans="1:8" ht="21.75" hidden="1" x14ac:dyDescent="0.25">
      <c r="A37" s="56"/>
      <c r="B37" s="56"/>
      <c r="C37" s="56"/>
      <c r="D37" s="57"/>
      <c r="E37" s="57"/>
      <c r="F37" s="58"/>
      <c r="G37" s="59"/>
      <c r="H37" s="59"/>
    </row>
    <row r="38" spans="1:8" ht="21.75" hidden="1" x14ac:dyDescent="0.25">
      <c r="A38" s="63" t="s">
        <v>14</v>
      </c>
      <c r="B38" s="309" t="s">
        <v>5</v>
      </c>
      <c r="C38" s="310"/>
      <c r="D38" s="309" t="s">
        <v>18</v>
      </c>
      <c r="E38" s="310"/>
      <c r="F38" s="65" t="s">
        <v>118</v>
      </c>
      <c r="G38" s="71" t="s">
        <v>16</v>
      </c>
      <c r="H38" s="90" t="s">
        <v>309</v>
      </c>
    </row>
    <row r="39" spans="1:8" ht="21.75" hidden="1" x14ac:dyDescent="0.25">
      <c r="A39" s="66" t="s">
        <v>29</v>
      </c>
      <c r="B39" s="197">
        <v>2</v>
      </c>
      <c r="C39" s="197" t="s">
        <v>315</v>
      </c>
      <c r="D39" s="67">
        <f>(D40/DADOS_INICIAIS!$F$27)*B39</f>
        <v>0</v>
      </c>
      <c r="E39" s="67" t="s">
        <v>2</v>
      </c>
      <c r="F39" s="88">
        <v>85</v>
      </c>
      <c r="G39" s="89">
        <f>F39*D39*1.1</f>
        <v>0</v>
      </c>
      <c r="H39" s="67"/>
    </row>
    <row r="40" spans="1:8" ht="21.75" hidden="1" x14ac:dyDescent="0.25">
      <c r="A40" s="78" t="s">
        <v>30</v>
      </c>
      <c r="B40" s="197">
        <v>2.1</v>
      </c>
      <c r="C40" s="197" t="s">
        <v>37</v>
      </c>
      <c r="D40" s="67">
        <f>B40*DADOS_INICIAIS!F50</f>
        <v>0</v>
      </c>
      <c r="E40" s="67" t="s">
        <v>2</v>
      </c>
      <c r="F40" s="88">
        <v>1.5</v>
      </c>
      <c r="G40" s="89">
        <f>F40*D40*1.1</f>
        <v>0</v>
      </c>
      <c r="H40" s="67"/>
    </row>
    <row r="41" spans="1:8" ht="21.75" hidden="1" x14ac:dyDescent="0.25">
      <c r="A41" s="78" t="s">
        <v>32</v>
      </c>
      <c r="B41" s="197">
        <v>2</v>
      </c>
      <c r="C41" s="197" t="s">
        <v>164</v>
      </c>
      <c r="D41" s="67">
        <f>B41*DADOS_INICIAIS!F59*DADOS_INICIAIS!F56</f>
        <v>0</v>
      </c>
      <c r="E41" s="67" t="s">
        <v>3</v>
      </c>
      <c r="F41" s="88">
        <v>17</v>
      </c>
      <c r="G41" s="89">
        <f>F41*D41*1.1</f>
        <v>0</v>
      </c>
      <c r="H41" s="67"/>
    </row>
    <row r="42" spans="1:8" ht="21.75" hidden="1" x14ac:dyDescent="0.25">
      <c r="A42" s="78" t="s">
        <v>33</v>
      </c>
      <c r="B42" s="197">
        <v>2</v>
      </c>
      <c r="C42" s="197" t="s">
        <v>165</v>
      </c>
      <c r="D42" s="67">
        <f>B42*DADOS_INICIAIS!F62</f>
        <v>0</v>
      </c>
      <c r="E42" s="67" t="s">
        <v>3</v>
      </c>
      <c r="F42" s="88">
        <v>17</v>
      </c>
      <c r="G42" s="89">
        <f>F42*D42*1.1</f>
        <v>0</v>
      </c>
      <c r="H42" s="67"/>
    </row>
    <row r="43" spans="1:8" ht="21.75" hidden="1" x14ac:dyDescent="0.25">
      <c r="A43" s="66" t="s">
        <v>116</v>
      </c>
      <c r="B43" s="197">
        <v>25</v>
      </c>
      <c r="C43" s="197" t="s">
        <v>6</v>
      </c>
      <c r="D43" s="67">
        <f>B43*DADOS_INICIAIS!F50</f>
        <v>0</v>
      </c>
      <c r="E43" s="67" t="s">
        <v>22</v>
      </c>
      <c r="F43" s="88">
        <f>B43</f>
        <v>25</v>
      </c>
      <c r="G43" s="89">
        <f>F43*D43*1.1</f>
        <v>0</v>
      </c>
      <c r="H43" s="67"/>
    </row>
    <row r="44" spans="1:8" ht="21.75" hidden="1" x14ac:dyDescent="0.25">
      <c r="A44" s="66" t="s">
        <v>99</v>
      </c>
      <c r="B44" s="197">
        <v>0.25</v>
      </c>
      <c r="C44" s="197" t="s">
        <v>38</v>
      </c>
      <c r="D44" s="67">
        <f>B44*DADOS_INICIAIS!F50</f>
        <v>0</v>
      </c>
      <c r="E44" s="67" t="s">
        <v>22</v>
      </c>
      <c r="F44" s="88">
        <f>575</f>
        <v>575</v>
      </c>
      <c r="G44" s="89">
        <f>F44*D44*1.05*1.1</f>
        <v>0</v>
      </c>
      <c r="H44" s="67"/>
    </row>
    <row r="45" spans="1:8" ht="21.75" hidden="1" x14ac:dyDescent="0.25">
      <c r="A45" s="66" t="s">
        <v>31</v>
      </c>
      <c r="B45" s="197">
        <v>110</v>
      </c>
      <c r="C45" s="197" t="s">
        <v>34</v>
      </c>
      <c r="D45" s="67">
        <f>D44*B45</f>
        <v>0</v>
      </c>
      <c r="E45" s="67" t="s">
        <v>26</v>
      </c>
      <c r="F45" s="88">
        <v>7.25</v>
      </c>
      <c r="G45" s="89">
        <f>F45*D45*1.1</f>
        <v>0</v>
      </c>
      <c r="H45" s="67"/>
    </row>
    <row r="46" spans="1:8" ht="43.5" hidden="1" x14ac:dyDescent="0.25">
      <c r="A46" s="66" t="s">
        <v>101</v>
      </c>
      <c r="B46" s="197">
        <v>240</v>
      </c>
      <c r="C46" s="197" t="s">
        <v>6</v>
      </c>
      <c r="D46" s="67">
        <f>DADOS_INICIAIS!F50</f>
        <v>0</v>
      </c>
      <c r="E46" s="67" t="s">
        <v>2</v>
      </c>
      <c r="F46" s="88">
        <f>B46</f>
        <v>240</v>
      </c>
      <c r="G46" s="89">
        <f>F46*D46*1.1</f>
        <v>0</v>
      </c>
      <c r="H46" s="67"/>
    </row>
    <row r="47" spans="1:8" ht="43.5" hidden="1" x14ac:dyDescent="0.25">
      <c r="A47" s="66" t="s">
        <v>312</v>
      </c>
      <c r="B47" s="197">
        <v>5300</v>
      </c>
      <c r="C47" s="197" t="s">
        <v>313</v>
      </c>
      <c r="D47" s="67">
        <v>1</v>
      </c>
      <c r="E47" s="67" t="s">
        <v>27</v>
      </c>
      <c r="F47" s="88">
        <f>B47*DADOS_INICIAIS!F55</f>
        <v>0</v>
      </c>
      <c r="G47" s="89">
        <f>F47*D47*1.1</f>
        <v>0</v>
      </c>
      <c r="H47" s="67" t="s">
        <v>314</v>
      </c>
    </row>
    <row r="48" spans="1:8" ht="21.75" hidden="1" x14ac:dyDescent="0.25">
      <c r="A48" s="304" t="s">
        <v>17</v>
      </c>
      <c r="B48" s="304"/>
      <c r="C48" s="304"/>
      <c r="D48" s="304"/>
      <c r="E48" s="304"/>
      <c r="F48" s="304"/>
      <c r="G48" s="90">
        <f>SUM(G39:G47)</f>
        <v>0</v>
      </c>
      <c r="H48" s="90"/>
    </row>
    <row r="49" spans="1:8" hidden="1" x14ac:dyDescent="0.25"/>
    <row r="50" spans="1:8" ht="21.75" hidden="1" x14ac:dyDescent="0.25">
      <c r="A50" s="52" t="s">
        <v>362</v>
      </c>
      <c r="B50" s="52"/>
      <c r="C50" s="52"/>
      <c r="D50" s="53"/>
      <c r="E50" s="53"/>
      <c r="F50" s="54"/>
      <c r="G50" s="53"/>
      <c r="H50" s="53"/>
    </row>
    <row r="51" spans="1:8" ht="21.75" hidden="1" x14ac:dyDescent="0.25">
      <c r="A51" s="56"/>
      <c r="B51" s="56"/>
      <c r="C51" s="56"/>
      <c r="D51" s="57"/>
      <c r="E51" s="57"/>
      <c r="F51" s="58"/>
      <c r="G51" s="59"/>
      <c r="H51" s="59"/>
    </row>
    <row r="52" spans="1:8" ht="21.75" hidden="1" x14ac:dyDescent="0.25">
      <c r="A52" s="63" t="s">
        <v>14</v>
      </c>
      <c r="B52" s="309" t="s">
        <v>5</v>
      </c>
      <c r="C52" s="310"/>
      <c r="D52" s="309" t="s">
        <v>18</v>
      </c>
      <c r="E52" s="310"/>
      <c r="F52" s="65" t="s">
        <v>118</v>
      </c>
      <c r="G52" s="71" t="s">
        <v>16</v>
      </c>
      <c r="H52" s="90" t="s">
        <v>309</v>
      </c>
    </row>
    <row r="53" spans="1:8" ht="21.75" hidden="1" x14ac:dyDescent="0.25">
      <c r="A53" s="66" t="s">
        <v>29</v>
      </c>
      <c r="B53" s="62">
        <v>3</v>
      </c>
      <c r="C53" s="62" t="s">
        <v>315</v>
      </c>
      <c r="D53" s="67">
        <f>(D54/DADOS_INICIAIS!$F$27)*B53</f>
        <v>13184.146428571428</v>
      </c>
      <c r="E53" s="67" t="s">
        <v>2</v>
      </c>
      <c r="F53" s="88">
        <v>85</v>
      </c>
      <c r="G53" s="89">
        <f t="shared" ref="G53:G58" si="1">F53*D53*1.1</f>
        <v>1232717.6910714286</v>
      </c>
      <c r="H53" s="67"/>
    </row>
    <row r="54" spans="1:8" ht="21.75" hidden="1" x14ac:dyDescent="0.25">
      <c r="A54" s="78" t="s">
        <v>30</v>
      </c>
      <c r="B54" s="62">
        <v>2.5</v>
      </c>
      <c r="C54" s="62" t="s">
        <v>37</v>
      </c>
      <c r="D54" s="67">
        <f>B54*DADOS_INICIAIS!$F$9</f>
        <v>184578.05</v>
      </c>
      <c r="E54" s="67" t="s">
        <v>2</v>
      </c>
      <c r="F54" s="88">
        <v>1.5</v>
      </c>
      <c r="G54" s="89">
        <f t="shared" si="1"/>
        <v>304553.78249999997</v>
      </c>
      <c r="H54" s="67"/>
    </row>
    <row r="55" spans="1:8" ht="21.75" hidden="1" x14ac:dyDescent="0.25">
      <c r="A55" s="78" t="s">
        <v>326</v>
      </c>
      <c r="B55" s="62">
        <v>4</v>
      </c>
      <c r="C55" s="62" t="s">
        <v>165</v>
      </c>
      <c r="D55" s="67">
        <f>ROUNDUP(B55*DADOS_INICIAIS!$F$37*B53,0)</f>
        <v>56160</v>
      </c>
      <c r="E55" s="67" t="s">
        <v>3</v>
      </c>
      <c r="F55" s="88">
        <v>17</v>
      </c>
      <c r="G55" s="89">
        <f t="shared" si="1"/>
        <v>1050192</v>
      </c>
      <c r="H55" s="67"/>
    </row>
    <row r="56" spans="1:8" ht="21.75" hidden="1" x14ac:dyDescent="0.25">
      <c r="A56" s="78" t="s">
        <v>365</v>
      </c>
      <c r="B56" s="204">
        <v>12.3</v>
      </c>
      <c r="C56" s="204" t="s">
        <v>363</v>
      </c>
      <c r="D56" s="67">
        <f>(DADOS_INICIAIS!$F$28+DADOS_INICIAIS!$F$29)*DADOS_INICIAIS!$F$31+DADOS_INICIAIS!$F$34</f>
        <v>45073.968000000001</v>
      </c>
      <c r="E56" s="67" t="s">
        <v>2</v>
      </c>
      <c r="F56" s="88">
        <f>B56</f>
        <v>12.3</v>
      </c>
      <c r="G56" s="89">
        <f t="shared" si="1"/>
        <v>609850.78704000008</v>
      </c>
      <c r="H56" s="67"/>
    </row>
    <row r="57" spans="1:8" ht="21.75" hidden="1" x14ac:dyDescent="0.25">
      <c r="A57" s="78" t="s">
        <v>366</v>
      </c>
      <c r="B57" s="204">
        <v>2.83</v>
      </c>
      <c r="C57" s="204" t="s">
        <v>364</v>
      </c>
      <c r="D57" s="67">
        <f>B57*D56</f>
        <v>127559.32944</v>
      </c>
      <c r="E57" s="67" t="s">
        <v>26</v>
      </c>
      <c r="F57" s="88">
        <v>12.3</v>
      </c>
      <c r="G57" s="89">
        <f t="shared" si="1"/>
        <v>1725877.7273232001</v>
      </c>
      <c r="H57" s="67"/>
    </row>
    <row r="58" spans="1:8" ht="21.75" hidden="1" x14ac:dyDescent="0.25">
      <c r="A58" s="66" t="s">
        <v>367</v>
      </c>
      <c r="B58" s="204">
        <v>9000</v>
      </c>
      <c r="C58" s="204" t="s">
        <v>368</v>
      </c>
      <c r="D58" s="67">
        <f>DADOS_INICIAIS!F27</f>
        <v>42</v>
      </c>
      <c r="E58" s="67" t="s">
        <v>369</v>
      </c>
      <c r="F58" s="88">
        <f>B58</f>
        <v>9000</v>
      </c>
      <c r="G58" s="89">
        <f t="shared" si="1"/>
        <v>415800.00000000006</v>
      </c>
      <c r="H58" s="67"/>
    </row>
    <row r="59" spans="1:8" ht="21.75" hidden="1" x14ac:dyDescent="0.25">
      <c r="A59" s="66" t="s">
        <v>99</v>
      </c>
      <c r="B59" s="204">
        <v>0.25</v>
      </c>
      <c r="C59" s="204" t="s">
        <v>38</v>
      </c>
      <c r="D59" s="67">
        <f>B59*DADOS_INICIAIS!$F$9</f>
        <v>18457.805</v>
      </c>
      <c r="E59" s="67" t="s">
        <v>22</v>
      </c>
      <c r="F59" s="88">
        <f>535+45</f>
        <v>580</v>
      </c>
      <c r="G59" s="89">
        <f>F59*D59*1.05*1.1</f>
        <v>12364883.569500003</v>
      </c>
      <c r="H59" s="67"/>
    </row>
    <row r="60" spans="1:8" ht="21.75" hidden="1" x14ac:dyDescent="0.25">
      <c r="A60" s="66" t="s">
        <v>372</v>
      </c>
      <c r="B60" s="76">
        <v>0.2</v>
      </c>
      <c r="C60" s="62"/>
      <c r="D60" s="67">
        <f>B60*D59</f>
        <v>3691.5610000000001</v>
      </c>
      <c r="E60" s="67" t="s">
        <v>22</v>
      </c>
      <c r="F60" s="88">
        <f>1.22*F59-F59</f>
        <v>127.60000000000002</v>
      </c>
      <c r="G60" s="89">
        <f>F60*D60*1.05*1.1</f>
        <v>544054.87705800019</v>
      </c>
      <c r="H60" s="67"/>
    </row>
    <row r="61" spans="1:8" ht="21.75" hidden="1" x14ac:dyDescent="0.25">
      <c r="A61" s="66" t="s">
        <v>31</v>
      </c>
      <c r="B61" s="204">
        <v>110</v>
      </c>
      <c r="C61" s="204" t="s">
        <v>34</v>
      </c>
      <c r="D61" s="67">
        <f>D59*B61-D57</f>
        <v>1902799.22056</v>
      </c>
      <c r="E61" s="67" t="s">
        <v>26</v>
      </c>
      <c r="F61" s="88">
        <v>7.62</v>
      </c>
      <c r="G61" s="89">
        <f>F61*D61*1.1</f>
        <v>15949263.066733921</v>
      </c>
      <c r="H61" s="67"/>
    </row>
    <row r="62" spans="1:8" ht="43.5" hidden="1" x14ac:dyDescent="0.25">
      <c r="A62" s="66" t="s">
        <v>101</v>
      </c>
      <c r="B62" s="62">
        <v>240</v>
      </c>
      <c r="C62" s="62" t="s">
        <v>6</v>
      </c>
      <c r="D62" s="67">
        <f>DADOS_INICIAIS!$F$9</f>
        <v>73831.22</v>
      </c>
      <c r="E62" s="67" t="s">
        <v>2</v>
      </c>
      <c r="F62" s="88">
        <f>B62</f>
        <v>240</v>
      </c>
      <c r="G62" s="89">
        <f>F62*D62*1.1</f>
        <v>19491442.080000002</v>
      </c>
      <c r="H62" s="67"/>
    </row>
    <row r="63" spans="1:8" ht="43.5" hidden="1" x14ac:dyDescent="0.25">
      <c r="A63" s="66" t="s">
        <v>312</v>
      </c>
      <c r="B63" s="62">
        <v>5300</v>
      </c>
      <c r="C63" s="62" t="s">
        <v>313</v>
      </c>
      <c r="D63" s="67">
        <v>1</v>
      </c>
      <c r="E63" s="67" t="s">
        <v>27</v>
      </c>
      <c r="F63" s="88">
        <f>B63*DADOS_INICIAIS!$F$27</f>
        <v>222600</v>
      </c>
      <c r="G63" s="89">
        <f>F63*D63*1.1</f>
        <v>244860.00000000003</v>
      </c>
      <c r="H63" s="67" t="s">
        <v>314</v>
      </c>
    </row>
    <row r="64" spans="1:8" ht="21.75" hidden="1" x14ac:dyDescent="0.25">
      <c r="A64" s="304" t="s">
        <v>17</v>
      </c>
      <c r="B64" s="304"/>
      <c r="C64" s="304"/>
      <c r="D64" s="304"/>
      <c r="E64" s="304"/>
      <c r="F64" s="304"/>
      <c r="G64" s="90">
        <f>SUM(G53:G63)</f>
        <v>53933495.581226557</v>
      </c>
      <c r="H64" s="90"/>
    </row>
    <row r="67" spans="1:8" ht="21.75" x14ac:dyDescent="0.25">
      <c r="A67" s="311" t="s">
        <v>105</v>
      </c>
      <c r="B67" s="312"/>
      <c r="C67" s="312"/>
      <c r="D67" s="312"/>
      <c r="E67" s="312"/>
      <c r="F67" s="313"/>
      <c r="G67" s="91">
        <f>G17</f>
        <v>6538580.0744000003</v>
      </c>
      <c r="H67" s="91">
        <f>G67/AREAS!E6</f>
        <v>826.84465910542292</v>
      </c>
    </row>
    <row r="69" spans="1:8" x14ac:dyDescent="0.25">
      <c r="G69" s="198"/>
    </row>
    <row r="72" spans="1:8" x14ac:dyDescent="0.25">
      <c r="E72" s="82" t="s">
        <v>404</v>
      </c>
    </row>
    <row r="73" spans="1:8" x14ac:dyDescent="0.25">
      <c r="B73" s="55" t="s">
        <v>202</v>
      </c>
    </row>
    <row r="84" spans="2:5" x14ac:dyDescent="0.25">
      <c r="B84" s="55" t="s">
        <v>402</v>
      </c>
      <c r="E84" s="82" t="s">
        <v>405</v>
      </c>
    </row>
    <row r="96" spans="2:5" x14ac:dyDescent="0.25">
      <c r="B96" s="55" t="s">
        <v>403</v>
      </c>
    </row>
  </sheetData>
  <mergeCells count="14">
    <mergeCell ref="A17:F17"/>
    <mergeCell ref="A67:F67"/>
    <mergeCell ref="A3:H3"/>
    <mergeCell ref="B9:C9"/>
    <mergeCell ref="D9:E9"/>
    <mergeCell ref="B21:C21"/>
    <mergeCell ref="D21:E21"/>
    <mergeCell ref="A34:F34"/>
    <mergeCell ref="B38:C38"/>
    <mergeCell ref="D38:E38"/>
    <mergeCell ref="A48:F48"/>
    <mergeCell ref="B52:C52"/>
    <mergeCell ref="D52:E52"/>
    <mergeCell ref="A64:F6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B6A5-65C9-4D4C-AA84-F8C8A6AE044E}">
  <sheetPr>
    <tabColor rgb="FF92D050"/>
  </sheetPr>
  <dimension ref="A1:L42"/>
  <sheetViews>
    <sheetView showGridLines="0" zoomScale="80" zoomScaleNormal="80" zoomScaleSheetLayoutView="95" workbookViewId="0">
      <selection activeCell="E43" sqref="E43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305" t="s">
        <v>319</v>
      </c>
      <c r="B3" s="316"/>
      <c r="C3" s="316"/>
      <c r="D3" s="306"/>
      <c r="E3" s="306"/>
      <c r="F3" s="306"/>
      <c r="G3" s="306"/>
      <c r="H3" s="307"/>
      <c r="J3" s="79"/>
    </row>
    <row r="4" spans="1:12" ht="19.5" x14ac:dyDescent="0.25">
      <c r="A4" s="189" t="s">
        <v>186</v>
      </c>
      <c r="B4" s="195">
        <v>45457</v>
      </c>
      <c r="C4" s="193"/>
      <c r="D4" s="193"/>
      <c r="E4" s="193"/>
      <c r="F4" s="193"/>
      <c r="G4" s="193"/>
      <c r="H4" s="194"/>
      <c r="J4" s="79"/>
    </row>
    <row r="5" spans="1:12" ht="19.5" x14ac:dyDescent="0.25">
      <c r="A5" s="189" t="s">
        <v>306</v>
      </c>
      <c r="B5" s="196" t="s">
        <v>222</v>
      </c>
      <c r="C5" s="191"/>
      <c r="D5" s="191"/>
      <c r="E5" s="191"/>
      <c r="F5" s="191"/>
      <c r="G5" s="191"/>
      <c r="H5" s="192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309" t="s">
        <v>5</v>
      </c>
      <c r="C9" s="310"/>
      <c r="D9" s="309" t="s">
        <v>18</v>
      </c>
      <c r="E9" s="310"/>
      <c r="F9" s="65" t="s">
        <v>118</v>
      </c>
      <c r="G9" s="71" t="s">
        <v>16</v>
      </c>
      <c r="H9" s="90" t="s">
        <v>309</v>
      </c>
    </row>
    <row r="10" spans="1:12" ht="21.75" x14ac:dyDescent="0.25">
      <c r="A10" s="66" t="s">
        <v>182</v>
      </c>
      <c r="B10" s="62">
        <v>0.5</v>
      </c>
      <c r="C10" s="62" t="s">
        <v>181</v>
      </c>
      <c r="D10" s="67">
        <f>B10*AREAS!E6*(1.33)</f>
        <v>5258.7335499999999</v>
      </c>
      <c r="E10" s="67" t="s">
        <v>2</v>
      </c>
      <c r="F10" s="88">
        <v>45</v>
      </c>
      <c r="G10" s="89">
        <f>F10*D10*1.1</f>
        <v>260307.31072500002</v>
      </c>
      <c r="H10" s="67"/>
    </row>
    <row r="11" spans="1:12" ht="21.75" x14ac:dyDescent="0.25">
      <c r="A11" s="66" t="s">
        <v>176</v>
      </c>
      <c r="B11" s="62">
        <v>0.2</v>
      </c>
      <c r="C11" s="62" t="s">
        <v>37</v>
      </c>
      <c r="D11" s="67">
        <f>559.33*1.67</f>
        <v>934.08109999999999</v>
      </c>
      <c r="E11" s="67" t="s">
        <v>2</v>
      </c>
      <c r="F11" s="88">
        <v>70</v>
      </c>
      <c r="G11" s="89">
        <f>F11*D11*1.05*1.1</f>
        <v>75520.456935000009</v>
      </c>
      <c r="H11" s="67"/>
    </row>
    <row r="12" spans="1:12" ht="21.75" x14ac:dyDescent="0.25">
      <c r="A12" s="66" t="s">
        <v>173</v>
      </c>
      <c r="B12" s="62">
        <v>1.75</v>
      </c>
      <c r="C12" s="62" t="s">
        <v>323</v>
      </c>
      <c r="D12" s="67">
        <f>B12*DADOS_INICIAIS!$F$26</f>
        <v>0</v>
      </c>
      <c r="E12" s="67" t="s">
        <v>356</v>
      </c>
      <c r="F12" s="88">
        <v>210</v>
      </c>
      <c r="G12" s="89">
        <f>F12*D12*1.1</f>
        <v>0</v>
      </c>
      <c r="H12" s="67"/>
    </row>
    <row r="13" spans="1:12" ht="21.75" x14ac:dyDescent="0.25">
      <c r="A13" s="66" t="s">
        <v>172</v>
      </c>
      <c r="B13" s="62">
        <v>12.5</v>
      </c>
      <c r="C13" s="62" t="s">
        <v>171</v>
      </c>
      <c r="D13" s="67">
        <f>D10+D11</f>
        <v>6192.8146500000003</v>
      </c>
      <c r="E13" s="67" t="s">
        <v>2</v>
      </c>
      <c r="F13" s="88">
        <f>B13</f>
        <v>12.5</v>
      </c>
      <c r="G13" s="89">
        <f>F13*D13*1.1</f>
        <v>85151.201437500014</v>
      </c>
      <c r="H13" s="67"/>
    </row>
    <row r="14" spans="1:12" ht="21.75" x14ac:dyDescent="0.25">
      <c r="A14" s="66" t="s">
        <v>25</v>
      </c>
      <c r="B14" s="62">
        <v>35</v>
      </c>
      <c r="C14" s="62" t="s">
        <v>171</v>
      </c>
      <c r="D14" s="67">
        <f>D10+D11</f>
        <v>6192.8146500000003</v>
      </c>
      <c r="E14" s="67" t="s">
        <v>2</v>
      </c>
      <c r="F14" s="88">
        <v>35</v>
      </c>
      <c r="G14" s="89">
        <f>F14*D14*1.1</f>
        <v>238423.36402500002</v>
      </c>
      <c r="H14" s="67"/>
    </row>
    <row r="15" spans="1:12" ht="21.75" x14ac:dyDescent="0.25">
      <c r="A15" s="304" t="s">
        <v>17</v>
      </c>
      <c r="B15" s="304"/>
      <c r="C15" s="304"/>
      <c r="D15" s="304"/>
      <c r="E15" s="304"/>
      <c r="F15" s="304"/>
      <c r="G15" s="90">
        <f>SUM(G10:G14)</f>
        <v>659402.33312249999</v>
      </c>
      <c r="H15" s="90"/>
      <c r="K15" s="55">
        <f>4160+1440+1120+2880+4800+91680+4000</f>
        <v>110080</v>
      </c>
      <c r="L15" s="55">
        <f>K15/21</f>
        <v>5241.9047619047615</v>
      </c>
    </row>
    <row r="17" spans="1:10" ht="21.75" hidden="1" x14ac:dyDescent="0.25">
      <c r="A17" s="52" t="s">
        <v>320</v>
      </c>
      <c r="B17" s="52"/>
      <c r="C17" s="52"/>
      <c r="D17" s="53"/>
      <c r="E17" s="53"/>
      <c r="F17" s="54"/>
      <c r="G17" s="53"/>
      <c r="H17" s="53"/>
    </row>
    <row r="18" spans="1:10" ht="21.75" hidden="1" x14ac:dyDescent="0.25">
      <c r="A18" s="56"/>
      <c r="B18" s="56"/>
      <c r="C18" s="56"/>
      <c r="D18" s="57"/>
      <c r="E18" s="57"/>
      <c r="F18" s="58"/>
      <c r="G18" s="59"/>
      <c r="H18" s="59"/>
    </row>
    <row r="19" spans="1:10" ht="21.75" hidden="1" x14ac:dyDescent="0.25">
      <c r="A19" s="63" t="s">
        <v>14</v>
      </c>
      <c r="B19" s="309" t="s">
        <v>5</v>
      </c>
      <c r="C19" s="310"/>
      <c r="D19" s="309" t="s">
        <v>18</v>
      </c>
      <c r="E19" s="310"/>
      <c r="F19" s="65" t="s">
        <v>118</v>
      </c>
      <c r="G19" s="71" t="s">
        <v>16</v>
      </c>
      <c r="H19" s="90" t="s">
        <v>309</v>
      </c>
    </row>
    <row r="20" spans="1:10" ht="21.75" hidden="1" x14ac:dyDescent="0.25">
      <c r="A20" s="66" t="s">
        <v>182</v>
      </c>
      <c r="B20" s="62">
        <v>1</v>
      </c>
      <c r="C20" s="62" t="s">
        <v>181</v>
      </c>
      <c r="D20" s="67">
        <f>B20*DADOS_INICIAIS!$F$34</f>
        <v>18140.100000000002</v>
      </c>
      <c r="E20" s="67" t="s">
        <v>2</v>
      </c>
      <c r="F20" s="88">
        <v>45</v>
      </c>
      <c r="G20" s="89">
        <f>F20*D20*1.1</f>
        <v>897934.95000000019</v>
      </c>
      <c r="H20" s="67"/>
    </row>
    <row r="21" spans="1:10" ht="21.75" hidden="1" x14ac:dyDescent="0.25">
      <c r="A21" s="78" t="s">
        <v>180</v>
      </c>
      <c r="B21" s="62">
        <v>0.4</v>
      </c>
      <c r="C21" s="62" t="s">
        <v>179</v>
      </c>
      <c r="D21" s="67">
        <f>B21*DADOS_INICIAIS!$F$33</f>
        <v>2244.8920000000003</v>
      </c>
      <c r="E21" s="67" t="s">
        <v>2</v>
      </c>
      <c r="F21" s="88">
        <v>45</v>
      </c>
      <c r="G21" s="89">
        <f>F21*D21*1.1</f>
        <v>111122.15400000002</v>
      </c>
      <c r="H21" s="67"/>
    </row>
    <row r="22" spans="1:10" ht="21.75" hidden="1" x14ac:dyDescent="0.25">
      <c r="A22" s="78" t="s">
        <v>178</v>
      </c>
      <c r="B22" s="62">
        <v>1.62</v>
      </c>
      <c r="C22" s="62" t="s">
        <v>177</v>
      </c>
      <c r="D22" s="67">
        <f>B22*(DADOS_INICIAIS!$F$31*(DADOS_INICIAIS!$F$28+DADOS_INICIAIS!$F$29))*0.3</f>
        <v>13089.859847999998</v>
      </c>
      <c r="E22" s="67" t="s">
        <v>3</v>
      </c>
      <c r="F22" s="88">
        <v>45</v>
      </c>
      <c r="G22" s="89">
        <f>F22*D22*1.1</f>
        <v>647948.06247599993</v>
      </c>
      <c r="H22" s="67"/>
    </row>
    <row r="23" spans="1:10" ht="21.75" hidden="1" x14ac:dyDescent="0.25">
      <c r="A23" s="78" t="s">
        <v>321</v>
      </c>
      <c r="B23" s="62">
        <v>1.65</v>
      </c>
      <c r="C23" s="62" t="s">
        <v>177</v>
      </c>
      <c r="D23" s="67">
        <f>B23*(DADOS_INICIAIS!$F$31*(DADOS_INICIAIS!$F$28+DADOS_INICIAIS!$F$29))*0.7</f>
        <v>31108.617539999992</v>
      </c>
      <c r="E23" s="67"/>
      <c r="F23" s="88">
        <v>220</v>
      </c>
      <c r="G23" s="89">
        <f t="shared" ref="G23:G28" si="0">F23*D23*1.1</f>
        <v>7528285.4446799988</v>
      </c>
      <c r="H23" s="67"/>
      <c r="J23" s="55">
        <f>D23/(D28+D23)</f>
        <v>0.38933366511398942</v>
      </c>
    </row>
    <row r="24" spans="1:10" ht="21.75" hidden="1" x14ac:dyDescent="0.25">
      <c r="A24" s="78" t="s">
        <v>176</v>
      </c>
      <c r="B24" s="62">
        <v>0.2</v>
      </c>
      <c r="C24" s="62" t="s">
        <v>37</v>
      </c>
      <c r="D24" s="67">
        <f>B24*DADOS_INICIAIS!$F$9</f>
        <v>14766.244000000001</v>
      </c>
      <c r="E24" s="67" t="s">
        <v>3</v>
      </c>
      <c r="F24" s="88">
        <v>70</v>
      </c>
      <c r="G24" s="89">
        <f t="shared" si="0"/>
        <v>1137000.7880000002</v>
      </c>
      <c r="H24" s="67"/>
      <c r="J24" s="55">
        <f>1-J23</f>
        <v>0.61066633488601063</v>
      </c>
    </row>
    <row r="25" spans="1:10" ht="21.75" hidden="1" x14ac:dyDescent="0.25">
      <c r="A25" s="66" t="s">
        <v>175</v>
      </c>
      <c r="B25" s="62">
        <v>0.8</v>
      </c>
      <c r="C25" s="62" t="s">
        <v>174</v>
      </c>
      <c r="D25" s="67">
        <f>B25*DADOS_INICIAIS!$F$31</f>
        <v>552.4896</v>
      </c>
      <c r="E25" s="67" t="s">
        <v>22</v>
      </c>
      <c r="F25" s="88">
        <v>45</v>
      </c>
      <c r="G25" s="89">
        <f t="shared" si="0"/>
        <v>27348.235200000003</v>
      </c>
      <c r="H25" s="67"/>
    </row>
    <row r="26" spans="1:10" ht="21.75" hidden="1" x14ac:dyDescent="0.25">
      <c r="A26" s="66" t="s">
        <v>173</v>
      </c>
      <c r="B26" s="62">
        <v>1.75</v>
      </c>
      <c r="C26" s="62" t="s">
        <v>323</v>
      </c>
      <c r="D26" s="67">
        <f>'SISTEMAS ESPECIAIS'!B10</f>
        <v>0</v>
      </c>
      <c r="E26" s="67" t="s">
        <v>356</v>
      </c>
      <c r="F26" s="88">
        <v>210</v>
      </c>
      <c r="G26" s="89"/>
      <c r="H26" s="67"/>
    </row>
    <row r="27" spans="1:10" ht="21.75" hidden="1" x14ac:dyDescent="0.25">
      <c r="A27" s="66" t="s">
        <v>373</v>
      </c>
      <c r="B27" s="62"/>
      <c r="C27" s="62"/>
      <c r="D27" s="67">
        <f>D26</f>
        <v>0</v>
      </c>
      <c r="E27" s="67" t="s">
        <v>3</v>
      </c>
      <c r="F27" s="88">
        <v>1800</v>
      </c>
      <c r="G27" s="89">
        <f t="shared" si="0"/>
        <v>0</v>
      </c>
      <c r="H27" s="67"/>
    </row>
    <row r="28" spans="1:10" ht="21.75" hidden="1" x14ac:dyDescent="0.25">
      <c r="A28" s="66" t="s">
        <v>172</v>
      </c>
      <c r="B28" s="62">
        <v>12.5</v>
      </c>
      <c r="C28" s="62" t="s">
        <v>171</v>
      </c>
      <c r="D28" s="67">
        <f>D21+D22+D20+D24+D25</f>
        <v>48793.585447999998</v>
      </c>
      <c r="E28" s="67" t="s">
        <v>26</v>
      </c>
      <c r="F28" s="88">
        <f>B28</f>
        <v>12.5</v>
      </c>
      <c r="G28" s="89">
        <f t="shared" si="0"/>
        <v>670911.79991000006</v>
      </c>
      <c r="H28" s="67"/>
    </row>
    <row r="29" spans="1:10" ht="21.75" hidden="1" x14ac:dyDescent="0.25">
      <c r="A29" s="66" t="s">
        <v>25</v>
      </c>
      <c r="B29" s="62">
        <v>35</v>
      </c>
      <c r="C29" s="62" t="s">
        <v>171</v>
      </c>
      <c r="D29" s="67">
        <f>D21+D22+D20+D24+D25</f>
        <v>48793.585447999998</v>
      </c>
      <c r="E29" s="67" t="s">
        <v>2</v>
      </c>
      <c r="F29" s="88">
        <v>35</v>
      </c>
      <c r="G29" s="89">
        <f>F29*D29*1.1</f>
        <v>1878553.039748</v>
      </c>
      <c r="H29" s="67"/>
    </row>
    <row r="30" spans="1:10" ht="21.75" hidden="1" x14ac:dyDescent="0.25">
      <c r="A30" s="304" t="s">
        <v>17</v>
      </c>
      <c r="B30" s="304"/>
      <c r="C30" s="304"/>
      <c r="D30" s="304"/>
      <c r="E30" s="304"/>
      <c r="F30" s="304"/>
      <c r="G30" s="90">
        <f>SUM(G20:G29)</f>
        <v>12899104.474013999</v>
      </c>
      <c r="H30" s="90"/>
    </row>
    <row r="33" spans="1:8" ht="21.75" x14ac:dyDescent="0.25">
      <c r="A33" s="311" t="s">
        <v>169</v>
      </c>
      <c r="B33" s="312"/>
      <c r="C33" s="312"/>
      <c r="D33" s="312"/>
      <c r="E33" s="312"/>
      <c r="F33" s="313"/>
      <c r="G33" s="91">
        <f>G15</f>
        <v>659402.33312249999</v>
      </c>
      <c r="H33" s="91">
        <f>G33/AREAS!E6</f>
        <v>83.385580835610597</v>
      </c>
    </row>
    <row r="36" spans="1:8" x14ac:dyDescent="0.25">
      <c r="D36" s="81">
        <f>D14*2</f>
        <v>12385.629300000001</v>
      </c>
      <c r="G36" s="198">
        <f>G33/1.1</f>
        <v>599456.66647499998</v>
      </c>
      <c r="H36" s="55">
        <f>G36/DADOS_INICIAIS!F9</f>
        <v>8.1192843146164986</v>
      </c>
    </row>
    <row r="38" spans="1:8" x14ac:dyDescent="0.25">
      <c r="A38" s="55">
        <v>1496.49</v>
      </c>
    </row>
    <row r="42" spans="1:8" x14ac:dyDescent="0.25">
      <c r="C42" s="55">
        <v>4139</v>
      </c>
      <c r="D42" s="81">
        <f>C42/INFRAESTRUTURA!D8</f>
        <v>1.666935159081756</v>
      </c>
    </row>
  </sheetData>
  <mergeCells count="8">
    <mergeCell ref="A30:F30"/>
    <mergeCell ref="A33:F33"/>
    <mergeCell ref="A3:H3"/>
    <mergeCell ref="B9:C9"/>
    <mergeCell ref="D9:E9"/>
    <mergeCell ref="A15:F15"/>
    <mergeCell ref="B19:C19"/>
    <mergeCell ref="D19:E1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1518-D0F4-4632-BC49-7307CA0DA86C}">
  <sheetPr>
    <tabColor rgb="FF92D050"/>
  </sheetPr>
  <dimension ref="A1:I38"/>
  <sheetViews>
    <sheetView showGridLines="0" topLeftCell="A19" zoomScale="85" zoomScaleNormal="85" zoomScaleSheetLayoutView="95" workbookViewId="0">
      <selection activeCell="D23" sqref="D23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7" x14ac:dyDescent="0.25">
      <c r="A1" s="48"/>
      <c r="B1" s="48"/>
      <c r="C1" s="48"/>
      <c r="D1" s="48"/>
      <c r="E1" s="48"/>
      <c r="G1" s="2"/>
    </row>
    <row r="2" spans="1:7" ht="28.5" x14ac:dyDescent="0.25">
      <c r="A2" s="305" t="s">
        <v>264</v>
      </c>
      <c r="B2" s="306"/>
      <c r="C2" s="306"/>
      <c r="D2" s="306"/>
      <c r="E2" s="307"/>
      <c r="G2" s="2"/>
    </row>
    <row r="3" spans="1:7" x14ac:dyDescent="0.25">
      <c r="A3" s="50"/>
      <c r="B3" s="50"/>
      <c r="C3" s="50"/>
      <c r="D3" s="48"/>
      <c r="E3" s="48"/>
      <c r="G3" s="2"/>
    </row>
    <row r="4" spans="1:7" s="55" customFormat="1" ht="21.75" x14ac:dyDescent="0.25">
      <c r="A4" s="52" t="s">
        <v>263</v>
      </c>
      <c r="B4" s="53"/>
      <c r="C4" s="53"/>
      <c r="D4" s="53"/>
      <c r="E4" s="53"/>
    </row>
    <row r="5" spans="1:7" s="55" customFormat="1" ht="21.75" x14ac:dyDescent="0.25">
      <c r="A5" s="56"/>
      <c r="B5" s="57"/>
      <c r="C5" s="57"/>
      <c r="D5" s="59"/>
      <c r="E5" s="59"/>
    </row>
    <row r="6" spans="1:7" s="55" customFormat="1" ht="42" customHeight="1" x14ac:dyDescent="0.25">
      <c r="A6" s="63" t="s">
        <v>14</v>
      </c>
      <c r="B6" s="309" t="s">
        <v>5</v>
      </c>
      <c r="C6" s="310"/>
      <c r="D6" s="71" t="s">
        <v>16</v>
      </c>
      <c r="E6" s="59"/>
    </row>
    <row r="7" spans="1:7" s="55" customFormat="1" ht="21.75" x14ac:dyDescent="0.25">
      <c r="A7" s="66" t="s">
        <v>262</v>
      </c>
      <c r="B7" s="62">
        <v>30</v>
      </c>
      <c r="C7" s="62" t="s">
        <v>6</v>
      </c>
      <c r="D7" s="89">
        <f>B7*AREAS!$E$6*1.1</f>
        <v>260959.71000000002</v>
      </c>
      <c r="E7" s="57"/>
    </row>
    <row r="8" spans="1:7" s="55" customFormat="1" ht="21.75" x14ac:dyDescent="0.25">
      <c r="A8" s="66" t="s">
        <v>261</v>
      </c>
      <c r="B8" s="62">
        <v>15</v>
      </c>
      <c r="C8" s="62" t="s">
        <v>6</v>
      </c>
      <c r="D8" s="89">
        <f>B8*AREAS!$E$6*1.1</f>
        <v>130479.85500000001</v>
      </c>
      <c r="E8" s="57"/>
    </row>
    <row r="9" spans="1:7" s="55" customFormat="1" ht="21.75" x14ac:dyDescent="0.25">
      <c r="A9" s="66" t="s">
        <v>260</v>
      </c>
      <c r="B9" s="62">
        <v>35</v>
      </c>
      <c r="C9" s="62" t="s">
        <v>6</v>
      </c>
      <c r="D9" s="89">
        <f>B9*AREAS!$E$6*1.1</f>
        <v>304452.99500000005</v>
      </c>
      <c r="E9" s="57"/>
    </row>
    <row r="10" spans="1:7" s="55" customFormat="1" ht="21.75" x14ac:dyDescent="0.25">
      <c r="A10" s="66" t="s">
        <v>259</v>
      </c>
      <c r="B10" s="62">
        <v>6</v>
      </c>
      <c r="C10" s="62" t="s">
        <v>6</v>
      </c>
      <c r="D10" s="89">
        <f>B10*AREAS!$E$6*1.1</f>
        <v>52191.942000000003</v>
      </c>
      <c r="E10" s="57"/>
    </row>
    <row r="11" spans="1:7" s="55" customFormat="1" ht="21.75" x14ac:dyDescent="0.25">
      <c r="A11" s="66" t="s">
        <v>258</v>
      </c>
      <c r="B11" s="62">
        <v>8</v>
      </c>
      <c r="C11" s="62" t="s">
        <v>6</v>
      </c>
      <c r="D11" s="89"/>
      <c r="E11" s="57"/>
    </row>
    <row r="12" spans="1:7" s="55" customFormat="1" ht="21.75" x14ac:dyDescent="0.25">
      <c r="A12" s="66" t="s">
        <v>257</v>
      </c>
      <c r="B12" s="62">
        <v>2</v>
      </c>
      <c r="C12" s="62" t="s">
        <v>6</v>
      </c>
      <c r="D12" s="89">
        <f>B12*AREAS!$E$6*1.1</f>
        <v>17397.314000000002</v>
      </c>
      <c r="E12" s="57"/>
    </row>
    <row r="13" spans="1:7" s="55" customFormat="1" ht="21.75" x14ac:dyDescent="0.25">
      <c r="A13" s="66" t="s">
        <v>256</v>
      </c>
      <c r="B13" s="62">
        <v>60</v>
      </c>
      <c r="C13" s="62" t="s">
        <v>6</v>
      </c>
      <c r="D13" s="89">
        <f>B13*AREAS!$E$6*1.1</f>
        <v>521919.42000000004</v>
      </c>
      <c r="E13" s="57"/>
    </row>
    <row r="14" spans="1:7" s="55" customFormat="1" ht="21.75" x14ac:dyDescent="0.25">
      <c r="A14" s="304" t="s">
        <v>17</v>
      </c>
      <c r="B14" s="304"/>
      <c r="C14" s="304"/>
      <c r="D14" s="90">
        <f>SUM(D7:D13)</f>
        <v>1287401.236</v>
      </c>
      <c r="E14" s="60"/>
    </row>
    <row r="15" spans="1:7" s="55" customFormat="1" ht="21.75" x14ac:dyDescent="0.25">
      <c r="A15" s="308"/>
      <c r="B15" s="308"/>
      <c r="C15" s="308"/>
      <c r="D15" s="100"/>
      <c r="E15" s="59"/>
    </row>
    <row r="16" spans="1:7" s="55" customFormat="1" ht="21.75" x14ac:dyDescent="0.25">
      <c r="A16" s="52" t="s">
        <v>255</v>
      </c>
      <c r="B16" s="53"/>
      <c r="C16" s="53"/>
      <c r="D16" s="98"/>
      <c r="E16" s="53"/>
    </row>
    <row r="17" spans="1:5" s="55" customFormat="1" ht="21.75" x14ac:dyDescent="0.25">
      <c r="A17" s="56"/>
      <c r="B17" s="57"/>
      <c r="C17" s="57"/>
      <c r="D17" s="100"/>
      <c r="E17" s="59"/>
    </row>
    <row r="18" spans="1:5" s="55" customFormat="1" ht="42" customHeight="1" x14ac:dyDescent="0.25">
      <c r="A18" s="63" t="s">
        <v>14</v>
      </c>
      <c r="B18" s="309" t="s">
        <v>5</v>
      </c>
      <c r="C18" s="310"/>
      <c r="D18" s="90" t="s">
        <v>16</v>
      </c>
      <c r="E18" s="59"/>
    </row>
    <row r="19" spans="1:5" s="55" customFormat="1" ht="21.75" x14ac:dyDescent="0.25">
      <c r="A19" s="66" t="s">
        <v>254</v>
      </c>
      <c r="B19" s="62">
        <v>20</v>
      </c>
      <c r="C19" s="62" t="s">
        <v>6</v>
      </c>
      <c r="D19" s="89">
        <f>B19*AREAS!$E$6*1.1</f>
        <v>173973.14</v>
      </c>
      <c r="E19" s="57"/>
    </row>
    <row r="20" spans="1:5" s="55" customFormat="1" ht="21.75" x14ac:dyDescent="0.25">
      <c r="A20" s="66" t="s">
        <v>253</v>
      </c>
      <c r="B20" s="62">
        <v>10</v>
      </c>
      <c r="C20" s="62" t="s">
        <v>6</v>
      </c>
      <c r="D20" s="89">
        <f>B20*AREAS!$E$6*1.1</f>
        <v>86986.57</v>
      </c>
      <c r="E20" s="57"/>
    </row>
    <row r="21" spans="1:5" s="55" customFormat="1" ht="21.75" x14ac:dyDescent="0.25">
      <c r="A21" s="66" t="s">
        <v>252</v>
      </c>
      <c r="B21" s="62">
        <v>10</v>
      </c>
      <c r="C21" s="62" t="s">
        <v>6</v>
      </c>
      <c r="D21" s="89">
        <f>B21*AREAS!$E$6*1.1</f>
        <v>86986.57</v>
      </c>
      <c r="E21" s="57"/>
    </row>
    <row r="22" spans="1:5" s="55" customFormat="1" ht="21.75" x14ac:dyDescent="0.25">
      <c r="A22" s="66" t="s">
        <v>251</v>
      </c>
      <c r="B22" s="62">
        <v>15</v>
      </c>
      <c r="C22" s="62" t="s">
        <v>6</v>
      </c>
      <c r="D22" s="89">
        <f>B22*AREAS!$E$6*1.1</f>
        <v>130479.85500000001</v>
      </c>
      <c r="E22" s="57"/>
    </row>
    <row r="23" spans="1:5" s="55" customFormat="1" ht="21.75" x14ac:dyDescent="0.25">
      <c r="A23" s="66" t="s">
        <v>472</v>
      </c>
      <c r="B23" s="62">
        <v>50</v>
      </c>
      <c r="C23" s="62" t="s">
        <v>6</v>
      </c>
      <c r="D23" s="89">
        <f>B23*AREAS!$E$6*1.1</f>
        <v>434932.85000000003</v>
      </c>
      <c r="E23" s="57"/>
    </row>
    <row r="24" spans="1:5" s="55" customFormat="1" ht="21.75" x14ac:dyDescent="0.25">
      <c r="A24" s="66" t="s">
        <v>250</v>
      </c>
      <c r="B24" s="62">
        <v>55</v>
      </c>
      <c r="C24" s="62" t="s">
        <v>6</v>
      </c>
      <c r="D24" s="89">
        <f>B24*AREAS!$E$6*1.1</f>
        <v>478426.13500000001</v>
      </c>
      <c r="E24" s="57"/>
    </row>
    <row r="25" spans="1:5" s="55" customFormat="1" ht="21.75" x14ac:dyDescent="0.25">
      <c r="A25" s="304" t="s">
        <v>17</v>
      </c>
      <c r="B25" s="304"/>
      <c r="C25" s="304"/>
      <c r="D25" s="90">
        <f>SUM(D19:D24)</f>
        <v>1391785.12</v>
      </c>
      <c r="E25" s="60"/>
    </row>
    <row r="26" spans="1:5" s="55" customFormat="1" ht="21.75" x14ac:dyDescent="0.25">
      <c r="A26" s="308"/>
      <c r="B26" s="308"/>
      <c r="C26" s="308"/>
      <c r="D26" s="100"/>
      <c r="E26" s="59"/>
    </row>
    <row r="27" spans="1:5" s="55" customFormat="1" ht="21.75" x14ac:dyDescent="0.25">
      <c r="A27" s="52" t="s">
        <v>249</v>
      </c>
      <c r="B27" s="53"/>
      <c r="C27" s="53"/>
      <c r="D27" s="98"/>
      <c r="E27" s="53"/>
    </row>
    <row r="28" spans="1:5" s="55" customFormat="1" ht="21.75" x14ac:dyDescent="0.25">
      <c r="A28" s="56"/>
      <c r="B28" s="57"/>
      <c r="C28" s="57"/>
      <c r="D28" s="100"/>
      <c r="E28" s="59"/>
    </row>
    <row r="29" spans="1:5" s="55" customFormat="1" ht="42" customHeight="1" x14ac:dyDescent="0.25">
      <c r="A29" s="63" t="s">
        <v>14</v>
      </c>
      <c r="B29" s="309" t="s">
        <v>5</v>
      </c>
      <c r="C29" s="310"/>
      <c r="D29" s="90" t="s">
        <v>16</v>
      </c>
      <c r="E29" s="59"/>
    </row>
    <row r="30" spans="1:5" s="55" customFormat="1" ht="26.25" customHeight="1" x14ac:dyDescent="0.25">
      <c r="A30" s="70" t="s">
        <v>248</v>
      </c>
      <c r="B30" s="62">
        <v>9.5</v>
      </c>
      <c r="C30" s="62" t="s">
        <v>6</v>
      </c>
      <c r="D30" s="89">
        <f>B30*AREAS!$E$6*1.1</f>
        <v>82637.241500000004</v>
      </c>
      <c r="E30" s="57"/>
    </row>
    <row r="31" spans="1:5" s="55" customFormat="1" ht="26.25" customHeight="1" x14ac:dyDescent="0.25">
      <c r="A31" s="70" t="s">
        <v>247</v>
      </c>
      <c r="B31" s="62">
        <v>2</v>
      </c>
      <c r="C31" s="62" t="s">
        <v>6</v>
      </c>
      <c r="D31" s="89">
        <f>B31*AREAS!$E$6*1.1</f>
        <v>17397.314000000002</v>
      </c>
      <c r="E31" s="57"/>
    </row>
    <row r="32" spans="1:5" s="55" customFormat="1" ht="21.75" x14ac:dyDescent="0.25">
      <c r="A32" s="70" t="s">
        <v>246</v>
      </c>
      <c r="B32" s="62">
        <v>4</v>
      </c>
      <c r="C32" s="62" t="s">
        <v>6</v>
      </c>
      <c r="D32" s="89">
        <f>B32*AREAS!$E$6*1.1</f>
        <v>34794.628000000004</v>
      </c>
      <c r="E32" s="57"/>
    </row>
    <row r="33" spans="1:9" s="55" customFormat="1" ht="21.75" x14ac:dyDescent="0.25">
      <c r="A33" s="70" t="s">
        <v>25</v>
      </c>
      <c r="B33" s="62">
        <v>12</v>
      </c>
      <c r="C33" s="62"/>
      <c r="D33" s="89">
        <f>B33*AREAS!$E$6*1.1</f>
        <v>104383.88400000001</v>
      </c>
      <c r="E33" s="57"/>
    </row>
    <row r="34" spans="1:9" s="55" customFormat="1" ht="21.75" x14ac:dyDescent="0.25">
      <c r="A34" s="304" t="s">
        <v>17</v>
      </c>
      <c r="B34" s="304"/>
      <c r="C34" s="304"/>
      <c r="D34" s="90">
        <f>SUM(D30:D33)</f>
        <v>239213.0675</v>
      </c>
      <c r="E34" s="60"/>
    </row>
    <row r="35" spans="1:9" x14ac:dyDescent="0.25">
      <c r="D35" s="107"/>
      <c r="I35" s="47"/>
    </row>
    <row r="36" spans="1:9" ht="23.25" customHeight="1" x14ac:dyDescent="0.25">
      <c r="A36" s="301" t="s">
        <v>245</v>
      </c>
      <c r="B36" s="302"/>
      <c r="C36" s="302"/>
      <c r="D36" s="108">
        <f>D14+D25+D34</f>
        <v>2918399.4235</v>
      </c>
      <c r="E36" s="108">
        <f>D36/AREAS!$E$6</f>
        <v>369.05</v>
      </c>
    </row>
    <row r="38" spans="1:9" x14ac:dyDescent="0.25">
      <c r="E38" s="199">
        <f>E36/1.1</f>
        <v>335.5</v>
      </c>
    </row>
  </sheetData>
  <mergeCells count="10">
    <mergeCell ref="A36:C36"/>
    <mergeCell ref="A34:C34"/>
    <mergeCell ref="A2:E2"/>
    <mergeCell ref="A14:C14"/>
    <mergeCell ref="A15:C15"/>
    <mergeCell ref="B6:C6"/>
    <mergeCell ref="B18:C18"/>
    <mergeCell ref="B29:C29"/>
    <mergeCell ref="A25:C25"/>
    <mergeCell ref="A26:C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5187-AAF1-4E2E-B3CF-221688C97F2B}">
  <sheetPr>
    <tabColor rgb="FF92D050"/>
  </sheetPr>
  <dimension ref="A1:K45"/>
  <sheetViews>
    <sheetView showGridLines="0" topLeftCell="A34" zoomScale="85" zoomScaleNormal="85" zoomScaleSheetLayoutView="95" workbookViewId="0">
      <selection activeCell="D7" sqref="D7:D8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11" x14ac:dyDescent="0.25">
      <c r="A1" s="48"/>
      <c r="B1" s="48"/>
      <c r="C1" s="48"/>
      <c r="D1" s="48"/>
      <c r="E1" s="48"/>
      <c r="G1" s="2"/>
    </row>
    <row r="2" spans="1:11" ht="28.5" x14ac:dyDescent="0.25">
      <c r="A2" s="305" t="s">
        <v>284</v>
      </c>
      <c r="B2" s="306"/>
      <c r="C2" s="306"/>
      <c r="D2" s="306"/>
      <c r="E2" s="307"/>
      <c r="G2" s="2"/>
    </row>
    <row r="3" spans="1:11" x14ac:dyDescent="0.25">
      <c r="A3" s="50"/>
      <c r="B3" s="50"/>
      <c r="C3" s="50"/>
      <c r="D3" s="48"/>
      <c r="E3" s="48"/>
      <c r="G3" s="2"/>
    </row>
    <row r="4" spans="1:11" s="55" customFormat="1" ht="21.75" x14ac:dyDescent="0.25">
      <c r="A4" s="52" t="s">
        <v>283</v>
      </c>
      <c r="B4" s="53"/>
      <c r="C4" s="53"/>
      <c r="D4" s="53"/>
      <c r="E4" s="53"/>
    </row>
    <row r="5" spans="1:11" s="55" customFormat="1" ht="21.75" x14ac:dyDescent="0.25">
      <c r="A5" s="56"/>
      <c r="B5" s="57"/>
      <c r="C5" s="57"/>
      <c r="D5" s="59"/>
      <c r="E5" s="59"/>
    </row>
    <row r="6" spans="1:11" s="55" customFormat="1" ht="42" customHeight="1" x14ac:dyDescent="0.25">
      <c r="A6" s="63" t="s">
        <v>14</v>
      </c>
      <c r="B6" s="65" t="s">
        <v>18</v>
      </c>
      <c r="C6" s="71" t="s">
        <v>272</v>
      </c>
      <c r="D6" s="71" t="s">
        <v>16</v>
      </c>
      <c r="E6" s="59"/>
      <c r="G6" s="55" t="s">
        <v>202</v>
      </c>
      <c r="H6" s="55" t="s">
        <v>407</v>
      </c>
      <c r="I6" s="55" t="s">
        <v>403</v>
      </c>
      <c r="J6" s="55" t="s">
        <v>408</v>
      </c>
      <c r="K6" s="55" t="s">
        <v>405</v>
      </c>
    </row>
    <row r="7" spans="1:11" s="55" customFormat="1" ht="43.5" x14ac:dyDescent="0.25">
      <c r="A7" s="66" t="s">
        <v>282</v>
      </c>
      <c r="B7" s="67">
        <f>SUM(G7:J7)</f>
        <v>35</v>
      </c>
      <c r="C7" s="188">
        <v>1500</v>
      </c>
      <c r="D7" s="89">
        <f>B7*C7*1.1</f>
        <v>57750.000000000007</v>
      </c>
      <c r="E7" s="57"/>
      <c r="G7" s="55">
        <f>17+8</f>
        <v>25</v>
      </c>
      <c r="H7" s="55">
        <v>0</v>
      </c>
      <c r="I7" s="55">
        <f>2+2+3+3</f>
        <v>10</v>
      </c>
    </row>
    <row r="8" spans="1:11" s="55" customFormat="1" ht="21.75" x14ac:dyDescent="0.25">
      <c r="A8" s="66" t="s">
        <v>281</v>
      </c>
      <c r="B8" s="67">
        <f>SUM(G8:O8)</f>
        <v>35</v>
      </c>
      <c r="C8" s="188">
        <v>5000</v>
      </c>
      <c r="D8" s="89">
        <f>B8*C8*1.1</f>
        <v>192500.00000000003</v>
      </c>
      <c r="E8" s="57"/>
      <c r="G8" s="55">
        <f>G7</f>
        <v>25</v>
      </c>
      <c r="H8" s="55">
        <f>H7</f>
        <v>0</v>
      </c>
      <c r="I8" s="55">
        <f>I7</f>
        <v>10</v>
      </c>
    </row>
    <row r="9" spans="1:11" s="55" customFormat="1" ht="21.75" x14ac:dyDescent="0.25">
      <c r="A9" s="66" t="s">
        <v>280</v>
      </c>
      <c r="B9" s="67">
        <f>SUM(G9:O9)</f>
        <v>31</v>
      </c>
      <c r="C9" s="188">
        <v>900</v>
      </c>
      <c r="D9" s="89">
        <f>B9*C9*1.1</f>
        <v>30690.000000000004</v>
      </c>
      <c r="E9" s="57"/>
      <c r="G9" s="55">
        <f>6+11</f>
        <v>17</v>
      </c>
      <c r="I9" s="55">
        <f>7+7</f>
        <v>14</v>
      </c>
    </row>
    <row r="10" spans="1:11" s="55" customFormat="1" ht="21.75" x14ac:dyDescent="0.25">
      <c r="A10" s="66" t="s">
        <v>279</v>
      </c>
      <c r="B10" s="67">
        <v>0</v>
      </c>
      <c r="C10" s="188">
        <v>2600</v>
      </c>
      <c r="D10" s="89">
        <f>B10*C10*1.1</f>
        <v>0</v>
      </c>
      <c r="E10" s="57"/>
    </row>
    <row r="11" spans="1:11" s="55" customFormat="1" ht="21.75" x14ac:dyDescent="0.25">
      <c r="A11" s="304" t="s">
        <v>17</v>
      </c>
      <c r="B11" s="304"/>
      <c r="C11" s="304"/>
      <c r="D11" s="90">
        <f>SUM(D7:D10)</f>
        <v>280940.00000000006</v>
      </c>
      <c r="E11" s="60"/>
    </row>
    <row r="12" spans="1:11" s="55" customFormat="1" ht="21.75" x14ac:dyDescent="0.25">
      <c r="A12" s="308"/>
      <c r="B12" s="308"/>
      <c r="C12" s="308"/>
      <c r="D12" s="59"/>
      <c r="E12" s="59"/>
    </row>
    <row r="13" spans="1:11" s="55" customFormat="1" ht="21.75" x14ac:dyDescent="0.25">
      <c r="A13" s="52" t="s">
        <v>278</v>
      </c>
      <c r="B13" s="53"/>
      <c r="C13" s="53"/>
      <c r="D13" s="53"/>
      <c r="E13" s="53"/>
    </row>
    <row r="14" spans="1:11" s="55" customFormat="1" ht="21.75" x14ac:dyDescent="0.25">
      <c r="A14" s="56"/>
      <c r="B14" s="57"/>
      <c r="C14" s="57"/>
      <c r="D14" s="59"/>
      <c r="E14" s="59"/>
    </row>
    <row r="15" spans="1:11" s="55" customFormat="1" ht="42" customHeight="1" x14ac:dyDescent="0.25">
      <c r="A15" s="63" t="s">
        <v>14</v>
      </c>
      <c r="B15" s="309" t="s">
        <v>5</v>
      </c>
      <c r="C15" s="310"/>
      <c r="D15" s="71" t="s">
        <v>16</v>
      </c>
      <c r="E15" s="59"/>
    </row>
    <row r="16" spans="1:11" s="55" customFormat="1" ht="21.75" x14ac:dyDescent="0.25">
      <c r="A16" s="66" t="s">
        <v>277</v>
      </c>
      <c r="B16" s="62">
        <v>5</v>
      </c>
      <c r="C16" s="62" t="s">
        <v>6</v>
      </c>
      <c r="D16" s="89">
        <f>B16*AREAS!$E$6*1.1</f>
        <v>43493.285000000003</v>
      </c>
      <c r="E16" s="57"/>
    </row>
    <row r="17" spans="1:5" s="55" customFormat="1" ht="21.75" x14ac:dyDescent="0.25">
      <c r="A17" s="66" t="s">
        <v>276</v>
      </c>
      <c r="B17" s="62">
        <v>0</v>
      </c>
      <c r="C17" s="62" t="s">
        <v>6</v>
      </c>
      <c r="D17" s="89">
        <f>B17*AREAS!$E$6*1.1</f>
        <v>0</v>
      </c>
      <c r="E17" s="57"/>
    </row>
    <row r="18" spans="1:5" s="55" customFormat="1" ht="21.75" x14ac:dyDescent="0.25">
      <c r="A18" s="66" t="s">
        <v>275</v>
      </c>
      <c r="B18" s="62">
        <v>4</v>
      </c>
      <c r="C18" s="62" t="s">
        <v>6</v>
      </c>
      <c r="D18" s="89">
        <f>B18*AREAS!$E$6*1.1</f>
        <v>34794.628000000004</v>
      </c>
      <c r="E18" s="57"/>
    </row>
    <row r="19" spans="1:5" s="55" customFormat="1" ht="43.5" x14ac:dyDescent="0.25">
      <c r="A19" s="66" t="s">
        <v>274</v>
      </c>
      <c r="B19" s="62">
        <v>10</v>
      </c>
      <c r="C19" s="62" t="s">
        <v>6</v>
      </c>
      <c r="D19" s="89">
        <f>B19*AREAS!$E$6*1.1</f>
        <v>86986.57</v>
      </c>
      <c r="E19" s="57"/>
    </row>
    <row r="20" spans="1:5" s="55" customFormat="1" ht="21.75" x14ac:dyDescent="0.25">
      <c r="A20" s="304" t="s">
        <v>17</v>
      </c>
      <c r="B20" s="304"/>
      <c r="C20" s="304"/>
      <c r="D20" s="90">
        <f>SUM(D16:D19)</f>
        <v>165274.48300000001</v>
      </c>
      <c r="E20" s="60"/>
    </row>
    <row r="21" spans="1:5" s="55" customFormat="1" ht="21.75" x14ac:dyDescent="0.25">
      <c r="A21" s="308"/>
      <c r="B21" s="308"/>
      <c r="C21" s="308"/>
      <c r="D21" s="59"/>
      <c r="E21" s="59"/>
    </row>
    <row r="22" spans="1:5" s="55" customFormat="1" ht="21.75" x14ac:dyDescent="0.25">
      <c r="A22" s="52" t="s">
        <v>273</v>
      </c>
      <c r="B22" s="53"/>
      <c r="C22" s="53"/>
      <c r="D22" s="53"/>
      <c r="E22" s="53"/>
    </row>
    <row r="23" spans="1:5" s="55" customFormat="1" ht="21.75" x14ac:dyDescent="0.25">
      <c r="A23" s="56"/>
      <c r="B23" s="57"/>
      <c r="C23" s="57"/>
      <c r="D23" s="59"/>
      <c r="E23" s="59"/>
    </row>
    <row r="24" spans="1:5" s="55" customFormat="1" ht="42" customHeight="1" x14ac:dyDescent="0.25">
      <c r="A24" s="63" t="s">
        <v>14</v>
      </c>
      <c r="B24" s="65" t="s">
        <v>18</v>
      </c>
      <c r="C24" s="71" t="s">
        <v>272</v>
      </c>
      <c r="D24" s="71" t="s">
        <v>16</v>
      </c>
      <c r="E24" s="59"/>
    </row>
    <row r="25" spans="1:5" s="55" customFormat="1" ht="26.25" customHeight="1" x14ac:dyDescent="0.25">
      <c r="A25" s="70" t="s">
        <v>271</v>
      </c>
      <c r="B25" s="67">
        <v>4</v>
      </c>
      <c r="C25" s="188">
        <v>151569.28</v>
      </c>
      <c r="D25" s="89">
        <f t="shared" ref="D25:D36" si="0">B25*C25*1.1</f>
        <v>666904.83200000005</v>
      </c>
      <c r="E25" s="57" t="s">
        <v>409</v>
      </c>
    </row>
    <row r="26" spans="1:5" s="55" customFormat="1" ht="26.25" customHeight="1" x14ac:dyDescent="0.25">
      <c r="A26" s="70" t="s">
        <v>270</v>
      </c>
      <c r="B26" s="67">
        <v>0</v>
      </c>
      <c r="C26" s="188">
        <v>80000</v>
      </c>
      <c r="D26" s="89">
        <f t="shared" si="0"/>
        <v>0</v>
      </c>
      <c r="E26" s="57"/>
    </row>
    <row r="27" spans="1:5" s="55" customFormat="1" ht="26.25" customHeight="1" x14ac:dyDescent="0.25">
      <c r="A27" s="70" t="s">
        <v>359</v>
      </c>
      <c r="B27" s="67">
        <v>1</v>
      </c>
      <c r="C27" s="188">
        <v>350000</v>
      </c>
      <c r="D27" s="89">
        <f t="shared" si="0"/>
        <v>385000.00000000006</v>
      </c>
      <c r="E27" s="57"/>
    </row>
    <row r="28" spans="1:5" s="55" customFormat="1" ht="26.25" customHeight="1" x14ac:dyDescent="0.25">
      <c r="A28" s="70" t="s">
        <v>328</v>
      </c>
      <c r="B28" s="67">
        <v>0</v>
      </c>
      <c r="C28" s="188">
        <f>50*DADOS_INICIAIS!F9</f>
        <v>3691561</v>
      </c>
      <c r="D28" s="89">
        <f t="shared" si="0"/>
        <v>0</v>
      </c>
      <c r="E28" s="57"/>
    </row>
    <row r="29" spans="1:5" s="55" customFormat="1" ht="26.25" customHeight="1" x14ac:dyDescent="0.25">
      <c r="A29" s="70" t="s">
        <v>329</v>
      </c>
      <c r="B29" s="67">
        <v>1</v>
      </c>
      <c r="C29" s="188">
        <v>4500</v>
      </c>
      <c r="D29" s="89">
        <f t="shared" si="0"/>
        <v>4950</v>
      </c>
      <c r="E29" s="57"/>
    </row>
    <row r="30" spans="1:5" s="55" customFormat="1" ht="26.25" customHeight="1" x14ac:dyDescent="0.25">
      <c r="A30" s="70" t="s">
        <v>341</v>
      </c>
      <c r="B30" s="67">
        <v>0</v>
      </c>
      <c r="C30" s="188">
        <v>110000</v>
      </c>
      <c r="D30" s="89">
        <f t="shared" si="0"/>
        <v>0</v>
      </c>
      <c r="E30" s="57"/>
    </row>
    <row r="31" spans="1:5" s="55" customFormat="1" ht="26.25" customHeight="1" x14ac:dyDescent="0.25">
      <c r="A31" s="70" t="s">
        <v>269</v>
      </c>
      <c r="B31" s="67">
        <v>0</v>
      </c>
      <c r="C31" s="188">
        <v>547</v>
      </c>
      <c r="D31" s="89">
        <f t="shared" si="0"/>
        <v>0</v>
      </c>
      <c r="E31" s="57"/>
    </row>
    <row r="32" spans="1:5" s="55" customFormat="1" ht="26.25" customHeight="1" x14ac:dyDescent="0.25">
      <c r="A32" s="70" t="s">
        <v>339</v>
      </c>
      <c r="B32" s="67">
        <v>0</v>
      </c>
      <c r="C32" s="188">
        <v>10500</v>
      </c>
      <c r="D32" s="89">
        <f t="shared" si="0"/>
        <v>0</v>
      </c>
      <c r="E32" s="57"/>
    </row>
    <row r="33" spans="1:9" s="55" customFormat="1" ht="26.25" customHeight="1" x14ac:dyDescent="0.25">
      <c r="A33" s="70" t="s">
        <v>327</v>
      </c>
      <c r="B33" s="67">
        <v>0</v>
      </c>
      <c r="C33" s="188">
        <v>8500</v>
      </c>
      <c r="D33" s="89">
        <f t="shared" si="0"/>
        <v>0</v>
      </c>
      <c r="E33" s="57"/>
    </row>
    <row r="34" spans="1:9" s="55" customFormat="1" ht="26.25" customHeight="1" x14ac:dyDescent="0.25">
      <c r="A34" s="70" t="s">
        <v>410</v>
      </c>
      <c r="B34" s="67">
        <v>1</v>
      </c>
      <c r="C34" s="188">
        <v>25000</v>
      </c>
      <c r="D34" s="89">
        <f t="shared" ref="D34" si="1">B34*C34*1.1</f>
        <v>27500.000000000004</v>
      </c>
      <c r="E34" s="57"/>
    </row>
    <row r="35" spans="1:9" s="55" customFormat="1" ht="26.25" customHeight="1" x14ac:dyDescent="0.25">
      <c r="A35" s="70" t="s">
        <v>442</v>
      </c>
      <c r="B35" s="67">
        <f>2+4</f>
        <v>6</v>
      </c>
      <c r="C35" s="188">
        <v>12000</v>
      </c>
      <c r="D35" s="89">
        <f t="shared" ref="D35" si="2">B35*C35*1.1</f>
        <v>79200</v>
      </c>
      <c r="E35" s="57"/>
    </row>
    <row r="36" spans="1:9" s="55" customFormat="1" ht="26.25" customHeight="1" x14ac:dyDescent="0.25">
      <c r="A36" s="70" t="s">
        <v>268</v>
      </c>
      <c r="B36" s="67">
        <v>0</v>
      </c>
      <c r="C36" s="188">
        <v>25000</v>
      </c>
      <c r="D36" s="89">
        <f t="shared" si="0"/>
        <v>0</v>
      </c>
      <c r="E36" s="57"/>
    </row>
    <row r="37" spans="1:9" s="55" customFormat="1" ht="21.75" x14ac:dyDescent="0.25">
      <c r="A37" s="304" t="s">
        <v>17</v>
      </c>
      <c r="B37" s="304"/>
      <c r="C37" s="304"/>
      <c r="D37" s="90">
        <f>SUM(D25:D36)</f>
        <v>1163554.8320000002</v>
      </c>
      <c r="E37" s="60"/>
    </row>
    <row r="38" spans="1:9" x14ac:dyDescent="0.25">
      <c r="I38" s="47"/>
    </row>
    <row r="39" spans="1:9" s="55" customFormat="1" ht="21.75" x14ac:dyDescent="0.25">
      <c r="A39" s="52" t="s">
        <v>267</v>
      </c>
      <c r="B39" s="53"/>
      <c r="C39" s="53"/>
      <c r="D39" s="53"/>
      <c r="E39" s="53"/>
    </row>
    <row r="40" spans="1:9" s="55" customFormat="1" ht="21.75" x14ac:dyDescent="0.25">
      <c r="A40" s="56"/>
      <c r="B40" s="57"/>
      <c r="C40" s="57"/>
      <c r="D40" s="59"/>
      <c r="E40" s="59"/>
    </row>
    <row r="41" spans="1:9" s="55" customFormat="1" ht="40.5" customHeight="1" x14ac:dyDescent="0.25">
      <c r="A41" s="63" t="s">
        <v>14</v>
      </c>
      <c r="B41" s="309" t="s">
        <v>5</v>
      </c>
      <c r="C41" s="310"/>
      <c r="D41" s="71" t="s">
        <v>16</v>
      </c>
      <c r="E41" s="59"/>
    </row>
    <row r="42" spans="1:9" s="55" customFormat="1" ht="26.25" customHeight="1" x14ac:dyDescent="0.25">
      <c r="A42" s="70" t="s">
        <v>266</v>
      </c>
      <c r="B42" s="62">
        <v>30</v>
      </c>
      <c r="C42" s="62" t="s">
        <v>6</v>
      </c>
      <c r="D42" s="89">
        <f>B42*AREAS!E6*1.1</f>
        <v>260959.71000000002</v>
      </c>
      <c r="E42" s="102"/>
    </row>
    <row r="43" spans="1:9" s="55" customFormat="1" ht="21.75" x14ac:dyDescent="0.25">
      <c r="A43" s="304" t="s">
        <v>17</v>
      </c>
      <c r="B43" s="304"/>
      <c r="C43" s="304"/>
      <c r="D43" s="90">
        <f>SUM(D42:D42)</f>
        <v>260959.71000000002</v>
      </c>
      <c r="E43" s="103"/>
    </row>
    <row r="44" spans="1:9" x14ac:dyDescent="0.25">
      <c r="D44" s="107"/>
      <c r="E44" s="107"/>
      <c r="I44" s="47"/>
    </row>
    <row r="45" spans="1:9" ht="23.25" customHeight="1" x14ac:dyDescent="0.25">
      <c r="A45" s="301" t="s">
        <v>265</v>
      </c>
      <c r="B45" s="302"/>
      <c r="C45" s="303"/>
      <c r="D45" s="108">
        <f>D11+D20+D37+D43</f>
        <v>1870729.0250000001</v>
      </c>
      <c r="E45" s="108">
        <f>D45/AREAS!E6</f>
        <v>236.56547527968974</v>
      </c>
    </row>
  </sheetData>
  <mergeCells count="10">
    <mergeCell ref="A37:C37"/>
    <mergeCell ref="A45:C45"/>
    <mergeCell ref="B41:C41"/>
    <mergeCell ref="A43:C43"/>
    <mergeCell ref="A2:E2"/>
    <mergeCell ref="A11:C11"/>
    <mergeCell ref="A12:C12"/>
    <mergeCell ref="B15:C15"/>
    <mergeCell ref="A20:C20"/>
    <mergeCell ref="A21:C2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20EE-5AC6-4766-BCD9-F110DF8BD5BE}">
  <sheetPr>
    <tabColor rgb="FF92D050"/>
  </sheetPr>
  <dimension ref="A1:L25"/>
  <sheetViews>
    <sheetView showGridLines="0" topLeftCell="A4" zoomScale="80" zoomScaleNormal="80" zoomScaleSheetLayoutView="95" workbookViewId="0">
      <selection activeCell="G10" sqref="G10:G19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305" t="s">
        <v>236</v>
      </c>
      <c r="B3" s="316"/>
      <c r="C3" s="316"/>
      <c r="D3" s="306"/>
      <c r="E3" s="306"/>
      <c r="F3" s="306"/>
      <c r="G3" s="306"/>
      <c r="H3" s="307"/>
      <c r="J3" s="79"/>
    </row>
    <row r="4" spans="1:10" ht="19.5" x14ac:dyDescent="0.25">
      <c r="A4" s="189" t="s">
        <v>186</v>
      </c>
      <c r="B4" s="195">
        <v>45457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306</v>
      </c>
      <c r="B5" s="196" t="s">
        <v>222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309" t="s">
        <v>5</v>
      </c>
      <c r="C9" s="310"/>
      <c r="D9" s="309" t="s">
        <v>18</v>
      </c>
      <c r="E9" s="310"/>
      <c r="F9" s="65" t="s">
        <v>118</v>
      </c>
      <c r="G9" s="71" t="s">
        <v>16</v>
      </c>
      <c r="H9" s="90" t="s">
        <v>309</v>
      </c>
    </row>
    <row r="10" spans="1:10" ht="21.75" x14ac:dyDescent="0.25">
      <c r="A10" s="66" t="s">
        <v>235</v>
      </c>
      <c r="B10" s="62">
        <v>25</v>
      </c>
      <c r="C10" s="62" t="s">
        <v>171</v>
      </c>
      <c r="D10" s="67">
        <f>D15+D16</f>
        <v>953.63900000000001</v>
      </c>
      <c r="E10" s="67" t="s">
        <v>2</v>
      </c>
      <c r="F10" s="88">
        <v>22</v>
      </c>
      <c r="G10" s="89">
        <f t="shared" ref="G10:G19" si="0">F10*D10*1.1</f>
        <v>23078.063800000004</v>
      </c>
      <c r="H10" s="67"/>
    </row>
    <row r="11" spans="1:10" ht="21.75" x14ac:dyDescent="0.25">
      <c r="A11" s="78" t="s">
        <v>234</v>
      </c>
      <c r="B11" s="62">
        <v>45</v>
      </c>
      <c r="C11" s="62" t="s">
        <v>171</v>
      </c>
      <c r="D11" s="67">
        <f>((2.15*2.15)+(2.15+2.15)*2*1.8)*4</f>
        <v>80.41</v>
      </c>
      <c r="E11" s="67" t="s">
        <v>2</v>
      </c>
      <c r="F11" s="88">
        <v>41</v>
      </c>
      <c r="G11" s="89">
        <f t="shared" si="0"/>
        <v>3626.4910000000004</v>
      </c>
      <c r="H11" s="67"/>
    </row>
    <row r="12" spans="1:10" ht="21.75" x14ac:dyDescent="0.25">
      <c r="A12" s="78" t="s">
        <v>233</v>
      </c>
      <c r="B12" s="62">
        <v>30</v>
      </c>
      <c r="C12" s="62" t="s">
        <v>171</v>
      </c>
      <c r="D12" s="67">
        <f>INFRAESTRUTURA!D34</f>
        <v>846.48</v>
      </c>
      <c r="E12" s="67" t="s">
        <v>2</v>
      </c>
      <c r="F12" s="88">
        <v>35</v>
      </c>
      <c r="G12" s="89">
        <f t="shared" si="0"/>
        <v>32589.480000000003</v>
      </c>
      <c r="H12" s="67"/>
    </row>
    <row r="13" spans="1:10" ht="21.75" x14ac:dyDescent="0.25">
      <c r="A13" s="66" t="s">
        <v>232</v>
      </c>
      <c r="B13" s="62">
        <v>0.25</v>
      </c>
      <c r="C13" s="62" t="s">
        <v>6</v>
      </c>
      <c r="D13" s="67">
        <v>1</v>
      </c>
      <c r="E13" s="67" t="s">
        <v>27</v>
      </c>
      <c r="F13" s="88">
        <f>B13*AREAS!E6</f>
        <v>1976.9675</v>
      </c>
      <c r="G13" s="89">
        <f t="shared" si="0"/>
        <v>2174.6642500000003</v>
      </c>
      <c r="H13" s="67"/>
    </row>
    <row r="14" spans="1:10" ht="21.75" x14ac:dyDescent="0.25">
      <c r="A14" s="66" t="s">
        <v>375</v>
      </c>
      <c r="B14" s="62">
        <v>0.15</v>
      </c>
      <c r="C14" s="62" t="s">
        <v>376</v>
      </c>
      <c r="D14" s="67"/>
      <c r="E14" s="67" t="s">
        <v>4</v>
      </c>
      <c r="F14" s="88">
        <v>60</v>
      </c>
      <c r="G14" s="89">
        <f>D14*B14*F14*1.1</f>
        <v>0</v>
      </c>
      <c r="H14" s="67"/>
    </row>
    <row r="15" spans="1:10" ht="21.75" x14ac:dyDescent="0.25">
      <c r="A15" s="66" t="s">
        <v>231</v>
      </c>
      <c r="B15" s="62">
        <v>0.3</v>
      </c>
      <c r="C15" s="62" t="s">
        <v>37</v>
      </c>
      <c r="D15" s="67">
        <f>(16.02*2+40.71+31.48*2)*1.2</f>
        <v>162.852</v>
      </c>
      <c r="E15" s="67" t="s">
        <v>2</v>
      </c>
      <c r="F15" s="88">
        <v>60</v>
      </c>
      <c r="G15" s="89">
        <f>F15*D15</f>
        <v>9771.1200000000008</v>
      </c>
      <c r="H15" s="67"/>
    </row>
    <row r="16" spans="1:10" ht="21.75" x14ac:dyDescent="0.25">
      <c r="A16" s="66" t="s">
        <v>230</v>
      </c>
      <c r="B16" s="62">
        <v>0.1</v>
      </c>
      <c r="C16" s="62" t="s">
        <v>37</v>
      </c>
      <c r="D16" s="67">
        <f>B16*AREAS!E6</f>
        <v>790.78700000000003</v>
      </c>
      <c r="E16" s="67" t="s">
        <v>2</v>
      </c>
      <c r="F16" s="88">
        <v>110</v>
      </c>
      <c r="G16" s="89">
        <f t="shared" si="0"/>
        <v>95685.227000000014</v>
      </c>
      <c r="H16" s="67"/>
    </row>
    <row r="17" spans="1:12" ht="21.75" x14ac:dyDescent="0.25">
      <c r="A17" s="66" t="s">
        <v>229</v>
      </c>
      <c r="B17" s="62">
        <v>0.6</v>
      </c>
      <c r="C17" s="62" t="s">
        <v>6</v>
      </c>
      <c r="D17" s="67">
        <v>1</v>
      </c>
      <c r="E17" s="67" t="s">
        <v>27</v>
      </c>
      <c r="F17" s="88">
        <f>B17*AREAS!E6</f>
        <v>4744.7219999999998</v>
      </c>
      <c r="G17" s="89">
        <f t="shared" si="0"/>
        <v>5219.1941999999999</v>
      </c>
      <c r="H17" s="67"/>
    </row>
    <row r="18" spans="1:12" ht="21.75" x14ac:dyDescent="0.25">
      <c r="A18" s="66" t="s">
        <v>455</v>
      </c>
      <c r="B18" s="62"/>
      <c r="C18" s="62"/>
      <c r="D18" s="67">
        <f>SUPRAESTRUTURA!D13*0.4</f>
        <v>870.048</v>
      </c>
      <c r="E18" s="67" t="s">
        <v>454</v>
      </c>
      <c r="F18" s="88">
        <v>60</v>
      </c>
      <c r="G18" s="89">
        <f t="shared" si="0"/>
        <v>57423.168000000005</v>
      </c>
      <c r="H18" s="67"/>
    </row>
    <row r="19" spans="1:12" ht="21.75" x14ac:dyDescent="0.25">
      <c r="A19" s="66" t="s">
        <v>228</v>
      </c>
      <c r="B19" s="62">
        <v>28</v>
      </c>
      <c r="C19" s="62" t="s">
        <v>171</v>
      </c>
      <c r="D19" s="67">
        <f>D16</f>
        <v>790.78700000000003</v>
      </c>
      <c r="E19" s="67" t="s">
        <v>2</v>
      </c>
      <c r="F19" s="88">
        <v>28</v>
      </c>
      <c r="G19" s="89">
        <f t="shared" si="0"/>
        <v>24356.239600000001</v>
      </c>
      <c r="H19" s="67"/>
    </row>
    <row r="20" spans="1:12" ht="21.75" x14ac:dyDescent="0.25">
      <c r="A20" s="304" t="s">
        <v>17</v>
      </c>
      <c r="B20" s="304"/>
      <c r="C20" s="304"/>
      <c r="D20" s="304"/>
      <c r="E20" s="304"/>
      <c r="F20" s="304"/>
      <c r="G20" s="90">
        <f>SUM(G10:G19)</f>
        <v>253923.64785000001</v>
      </c>
      <c r="H20" s="90"/>
      <c r="K20" s="55">
        <f>4160+1440+1120+2880+4800+91680+4000</f>
        <v>110080</v>
      </c>
      <c r="L20" s="55">
        <f>K20/21</f>
        <v>5241.9047619047615</v>
      </c>
    </row>
    <row r="22" spans="1:12" ht="21.75" x14ac:dyDescent="0.25">
      <c r="A22" s="311" t="s">
        <v>227</v>
      </c>
      <c r="B22" s="312"/>
      <c r="C22" s="312"/>
      <c r="D22" s="312"/>
      <c r="E22" s="312"/>
      <c r="F22" s="313"/>
      <c r="G22" s="91">
        <f>G20</f>
        <v>253923.64785000001</v>
      </c>
      <c r="H22" s="91">
        <f>G22/AREAS!E6</f>
        <v>32.110245597107692</v>
      </c>
    </row>
    <row r="25" spans="1:12" x14ac:dyDescent="0.25">
      <c r="H25" s="198">
        <f>H22/1.1</f>
        <v>29.191132361006989</v>
      </c>
    </row>
  </sheetData>
  <mergeCells count="5">
    <mergeCell ref="A22:F22"/>
    <mergeCell ref="A3:H3"/>
    <mergeCell ref="B9:C9"/>
    <mergeCell ref="D9:E9"/>
    <mergeCell ref="A20:F20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5FD3B-69D6-4FC8-9C27-8AD2E318CB32}">
  <sheetPr>
    <tabColor rgb="FF0070C0"/>
  </sheetPr>
  <dimension ref="A1:W574"/>
  <sheetViews>
    <sheetView showGridLines="0" topLeftCell="B8" zoomScale="85" zoomScaleNormal="85" workbookViewId="0">
      <selection activeCell="G41" sqref="G41"/>
    </sheetView>
  </sheetViews>
  <sheetFormatPr defaultColWidth="14.42578125" defaultRowHeight="15" customHeight="1" x14ac:dyDescent="0.25"/>
  <cols>
    <col min="1" max="1" width="12.28515625" style="217" customWidth="1"/>
    <col min="2" max="2" width="26.140625" style="217" customWidth="1"/>
    <col min="3" max="3" width="38.28515625" style="217" customWidth="1"/>
    <col min="4" max="4" width="24.42578125" style="217" customWidth="1"/>
    <col min="5" max="5" width="19.85546875" style="217" customWidth="1"/>
    <col min="6" max="6" width="19.7109375" style="217" customWidth="1"/>
    <col min="7" max="7" width="15.7109375" style="217" customWidth="1"/>
    <col min="8" max="8" width="17.28515625" style="217" customWidth="1"/>
    <col min="9" max="9" width="15.7109375" style="217" customWidth="1"/>
    <col min="10" max="10" width="8.85546875" style="217" customWidth="1"/>
    <col min="11" max="12" width="20.7109375" style="217" customWidth="1"/>
    <col min="13" max="13" width="22.5703125" style="217" customWidth="1"/>
    <col min="14" max="23" width="8.7109375" style="217" customWidth="1"/>
    <col min="24" max="16384" width="14.42578125" style="217"/>
  </cols>
  <sheetData>
    <row r="1" spans="1:23" ht="15" customHeight="1" x14ac:dyDescent="0.25">
      <c r="A1" s="220" t="s">
        <v>0</v>
      </c>
      <c r="B1" s="221"/>
      <c r="C1" s="222"/>
      <c r="D1" s="223"/>
      <c r="E1" s="224"/>
      <c r="F1" s="225"/>
      <c r="G1" s="224"/>
      <c r="H1" s="225"/>
      <c r="I1" s="225"/>
      <c r="J1" s="224"/>
      <c r="K1" s="224"/>
      <c r="L1" s="225"/>
      <c r="M1" s="226"/>
    </row>
    <row r="2" spans="1:23" ht="15" customHeight="1" x14ac:dyDescent="0.25">
      <c r="A2" s="227" t="s">
        <v>117</v>
      </c>
      <c r="B2" s="228"/>
      <c r="C2" s="229"/>
      <c r="D2" s="230"/>
      <c r="E2" s="231"/>
      <c r="F2" s="232"/>
      <c r="G2" s="231"/>
      <c r="H2" s="232"/>
      <c r="I2" s="232"/>
      <c r="J2" s="231"/>
      <c r="K2" s="231"/>
      <c r="L2" s="232"/>
      <c r="M2" s="233"/>
    </row>
    <row r="3" spans="1:23" ht="15" customHeight="1" x14ac:dyDescent="0.25">
      <c r="A3" s="227" t="s">
        <v>1</v>
      </c>
      <c r="B3" s="228"/>
      <c r="C3" s="229"/>
      <c r="D3" s="230"/>
      <c r="E3" s="231"/>
      <c r="F3" s="232"/>
      <c r="G3" s="231"/>
      <c r="H3" s="232"/>
      <c r="I3" s="232"/>
      <c r="J3" s="231"/>
      <c r="K3" s="231"/>
      <c r="L3" s="232"/>
      <c r="M3" s="233"/>
    </row>
    <row r="4" spans="1:23" ht="15" customHeight="1" x14ac:dyDescent="0.25">
      <c r="A4" s="234" t="s">
        <v>186</v>
      </c>
      <c r="B4" s="235"/>
      <c r="C4" s="236"/>
      <c r="D4" s="230"/>
      <c r="E4" s="237"/>
      <c r="F4" s="238"/>
      <c r="G4" s="237"/>
      <c r="H4" s="238"/>
      <c r="I4" s="238"/>
      <c r="J4" s="237"/>
      <c r="K4" s="237"/>
      <c r="L4" s="238"/>
      <c r="M4" s="233"/>
    </row>
    <row r="5" spans="1:23" ht="26.25" customHeight="1" x14ac:dyDescent="0.25">
      <c r="A5" s="319" t="s">
        <v>411</v>
      </c>
      <c r="B5" s="320"/>
      <c r="C5" s="320"/>
      <c r="D5" s="320"/>
      <c r="E5" s="320"/>
      <c r="F5" s="320"/>
      <c r="G5" s="320"/>
      <c r="H5" s="320"/>
      <c r="I5" s="320"/>
      <c r="J5" s="320"/>
      <c r="K5" s="320"/>
      <c r="L5" s="320"/>
      <c r="M5" s="321"/>
    </row>
    <row r="6" spans="1:23" ht="14.25" customHeight="1" x14ac:dyDescent="0.25">
      <c r="A6" s="239"/>
      <c r="B6" s="240"/>
      <c r="C6" s="240"/>
      <c r="D6" s="240"/>
      <c r="E6" s="240"/>
      <c r="F6" s="241"/>
      <c r="G6" s="240"/>
      <c r="H6" s="241"/>
      <c r="I6" s="241"/>
      <c r="J6" s="240"/>
      <c r="K6" s="240"/>
      <c r="L6" s="241"/>
      <c r="M6" s="242"/>
    </row>
    <row r="7" spans="1:23" ht="26.25" customHeight="1" x14ac:dyDescent="0.25">
      <c r="A7" s="322" t="s">
        <v>412</v>
      </c>
      <c r="B7" s="320"/>
      <c r="C7" s="320"/>
      <c r="D7" s="320"/>
      <c r="E7" s="320"/>
      <c r="F7" s="320"/>
      <c r="G7" s="320"/>
      <c r="H7" s="320"/>
      <c r="I7" s="320"/>
      <c r="J7" s="320"/>
      <c r="K7" s="320"/>
      <c r="L7" s="320"/>
      <c r="M7" s="321"/>
    </row>
    <row r="8" spans="1:23" ht="14.25" customHeight="1" thickBot="1" x14ac:dyDescent="0.3">
      <c r="A8" s="239"/>
      <c r="B8" s="240"/>
      <c r="C8" s="240"/>
      <c r="D8" s="240"/>
      <c r="E8" s="240"/>
      <c r="F8" s="241"/>
      <c r="G8" s="240"/>
      <c r="H8" s="241"/>
      <c r="I8" s="241"/>
      <c r="J8" s="240"/>
      <c r="K8" s="240"/>
      <c r="L8" s="241"/>
      <c r="M8" s="242"/>
      <c r="N8" s="240"/>
      <c r="O8" s="240"/>
      <c r="P8" s="240"/>
      <c r="Q8" s="240"/>
      <c r="R8" s="240"/>
      <c r="S8" s="240"/>
      <c r="T8" s="240"/>
      <c r="U8" s="240"/>
      <c r="V8" s="240"/>
      <c r="W8" s="240"/>
    </row>
    <row r="9" spans="1:23" ht="14.25" customHeight="1" thickBot="1" x14ac:dyDescent="0.3">
      <c r="A9" s="239"/>
      <c r="B9" s="323" t="s">
        <v>413</v>
      </c>
      <c r="C9" s="324"/>
      <c r="D9" s="325"/>
      <c r="E9" s="325"/>
      <c r="F9" s="325"/>
      <c r="G9" s="325"/>
      <c r="H9" s="325"/>
      <c r="I9" s="318"/>
      <c r="J9" s="240"/>
      <c r="K9" s="326" t="s">
        <v>414</v>
      </c>
      <c r="L9" s="327"/>
      <c r="M9" s="242"/>
    </row>
    <row r="10" spans="1:23" ht="14.25" customHeight="1" x14ac:dyDescent="0.45">
      <c r="A10" s="239"/>
      <c r="B10" s="243" t="s">
        <v>415</v>
      </c>
      <c r="C10" s="244" t="s">
        <v>426</v>
      </c>
      <c r="D10" s="245" t="s">
        <v>427</v>
      </c>
      <c r="E10" s="245" t="s">
        <v>428</v>
      </c>
      <c r="F10" s="246" t="s">
        <v>417</v>
      </c>
      <c r="G10" s="247" t="s">
        <v>418</v>
      </c>
      <c r="H10" s="248" t="s">
        <v>419</v>
      </c>
      <c r="I10" s="249" t="s">
        <v>420</v>
      </c>
      <c r="J10" s="240"/>
      <c r="K10" s="250" t="s">
        <v>421</v>
      </c>
      <c r="L10" s="251" t="s">
        <v>422</v>
      </c>
      <c r="M10" s="242"/>
    </row>
    <row r="11" spans="1:23" ht="14.25" customHeight="1" x14ac:dyDescent="0.25">
      <c r="A11" s="239"/>
      <c r="B11" s="259" t="s">
        <v>425</v>
      </c>
      <c r="C11" s="260" t="s">
        <v>430</v>
      </c>
      <c r="D11" s="252" t="s">
        <v>448</v>
      </c>
      <c r="E11" s="252" t="s">
        <v>449</v>
      </c>
      <c r="F11" s="253">
        <v>1077.0758000000001</v>
      </c>
      <c r="G11" s="254" t="s">
        <v>423</v>
      </c>
      <c r="H11" s="255">
        <v>1</v>
      </c>
      <c r="I11" s="256">
        <f>F11*H11</f>
        <v>1077.0758000000001</v>
      </c>
      <c r="J11" s="240"/>
      <c r="K11" s="257" t="s">
        <v>196</v>
      </c>
      <c r="L11" s="258">
        <f>SUMIF(G:G,"Sim",I:I)</f>
        <v>8639.820099999999</v>
      </c>
      <c r="M11" s="242">
        <f>L11/AREAS!E6</f>
        <v>1.0925597031817669</v>
      </c>
    </row>
    <row r="12" spans="1:23" ht="14.25" customHeight="1" thickBot="1" x14ac:dyDescent="0.3">
      <c r="A12" s="239"/>
      <c r="B12" s="259" t="s">
        <v>425</v>
      </c>
      <c r="C12" s="260" t="s">
        <v>431</v>
      </c>
      <c r="D12" s="261" t="s">
        <v>448</v>
      </c>
      <c r="E12" s="261" t="s">
        <v>449</v>
      </c>
      <c r="F12" s="262">
        <v>405.26589999999999</v>
      </c>
      <c r="G12" s="254" t="s">
        <v>423</v>
      </c>
      <c r="H12" s="264">
        <v>1</v>
      </c>
      <c r="I12" s="265">
        <f t="shared" ref="I12:I37" si="0">F12*H12</f>
        <v>405.26589999999999</v>
      </c>
      <c r="J12" s="240"/>
      <c r="K12" s="266" t="s">
        <v>195</v>
      </c>
      <c r="L12" s="267">
        <f>SUMIFS(I:I,G:G,"Sim",C:C,"*APT*")</f>
        <v>0</v>
      </c>
      <c r="M12" s="242"/>
    </row>
    <row r="13" spans="1:23" ht="14.25" customHeight="1" thickBot="1" x14ac:dyDescent="0.3">
      <c r="A13" s="239"/>
      <c r="B13" s="259" t="s">
        <v>425</v>
      </c>
      <c r="C13" s="260" t="s">
        <v>432</v>
      </c>
      <c r="D13" s="261" t="s">
        <v>448</v>
      </c>
      <c r="E13" s="261"/>
      <c r="F13" s="262">
        <f>(1.2*0.22*18+1.2*0.18*19)*2+(1.2*0.22*35+1.2*0.18*36)+2.73*2</f>
        <v>40.188000000000002</v>
      </c>
      <c r="G13" s="263" t="s">
        <v>423</v>
      </c>
      <c r="H13" s="264">
        <v>1</v>
      </c>
      <c r="I13" s="265">
        <f t="shared" si="0"/>
        <v>40.188000000000002</v>
      </c>
      <c r="J13" s="240"/>
      <c r="K13" s="268"/>
      <c r="L13" s="269"/>
      <c r="M13" s="242"/>
    </row>
    <row r="14" spans="1:23" ht="14.25" customHeight="1" thickBot="1" x14ac:dyDescent="0.3">
      <c r="A14" s="239"/>
      <c r="B14" s="259" t="s">
        <v>425</v>
      </c>
      <c r="C14" s="260" t="s">
        <v>433</v>
      </c>
      <c r="D14" s="261" t="s">
        <v>448</v>
      </c>
      <c r="E14" s="261" t="s">
        <v>449</v>
      </c>
      <c r="F14" s="262">
        <v>996.36040000000003</v>
      </c>
      <c r="G14" s="263" t="s">
        <v>423</v>
      </c>
      <c r="H14" s="264">
        <v>1</v>
      </c>
      <c r="I14" s="265">
        <f t="shared" si="0"/>
        <v>996.36040000000003</v>
      </c>
      <c r="J14" s="240"/>
      <c r="K14" s="317" t="s">
        <v>450</v>
      </c>
      <c r="L14" s="318"/>
      <c r="M14" s="242"/>
    </row>
    <row r="15" spans="1:23" ht="14.25" customHeight="1" x14ac:dyDescent="0.25">
      <c r="A15" s="239"/>
      <c r="B15" s="259" t="s">
        <v>425</v>
      </c>
      <c r="C15" s="260" t="s">
        <v>429</v>
      </c>
      <c r="D15" s="261" t="s">
        <v>452</v>
      </c>
      <c r="E15" s="261"/>
      <c r="F15" s="262">
        <v>2360.4380999999998</v>
      </c>
      <c r="G15" s="263" t="s">
        <v>424</v>
      </c>
      <c r="H15" s="264">
        <v>1</v>
      </c>
      <c r="I15" s="265">
        <f t="shared" si="0"/>
        <v>2360.4380999999998</v>
      </c>
      <c r="J15" s="240"/>
      <c r="K15" s="270" t="s">
        <v>416</v>
      </c>
      <c r="L15" s="249" t="s">
        <v>422</v>
      </c>
      <c r="M15" s="242"/>
    </row>
    <row r="16" spans="1:23" ht="14.25" customHeight="1" x14ac:dyDescent="0.25">
      <c r="A16" s="239"/>
      <c r="B16" s="259" t="s">
        <v>425</v>
      </c>
      <c r="C16" s="260" t="s">
        <v>434</v>
      </c>
      <c r="D16" s="261" t="s">
        <v>448</v>
      </c>
      <c r="E16" s="261" t="s">
        <v>449</v>
      </c>
      <c r="F16" s="262">
        <f>101.93+27.4+31.4*3+85.26+71.53+31.4*3+27.4*2+106.46+40.54+20.34+20.34+40.54+16.04*2+3.15</f>
        <v>792.7700000000001</v>
      </c>
      <c r="G16" s="263" t="s">
        <v>423</v>
      </c>
      <c r="H16" s="264">
        <v>1</v>
      </c>
      <c r="I16" s="265">
        <f t="shared" si="0"/>
        <v>792.7700000000001</v>
      </c>
      <c r="J16" s="240"/>
      <c r="K16" s="271" t="s">
        <v>448</v>
      </c>
      <c r="L16" s="272">
        <f t="shared" ref="L16:L23" si="1">SUMIF(D:D,K16,I:I)</f>
        <v>8639.820099999999</v>
      </c>
      <c r="M16" s="242"/>
    </row>
    <row r="17" spans="1:13" ht="14.25" customHeight="1" x14ac:dyDescent="0.25">
      <c r="A17" s="239" t="str">
        <f>IF(C16="*&amp;APTO&amp;*","OK","")</f>
        <v/>
      </c>
      <c r="B17" s="259" t="s">
        <v>425</v>
      </c>
      <c r="C17" s="260" t="s">
        <v>438</v>
      </c>
      <c r="D17" s="261" t="s">
        <v>448</v>
      </c>
      <c r="E17" s="261" t="s">
        <v>449</v>
      </c>
      <c r="F17" s="262">
        <f>93.12+77.28+16</f>
        <v>186.4</v>
      </c>
      <c r="G17" s="263" t="s">
        <v>423</v>
      </c>
      <c r="H17" s="264">
        <v>1</v>
      </c>
      <c r="I17" s="265">
        <f t="shared" si="0"/>
        <v>186.4</v>
      </c>
      <c r="J17" s="240"/>
      <c r="K17" s="261" t="s">
        <v>452</v>
      </c>
      <c r="L17" s="272">
        <f t="shared" si="1"/>
        <v>2360.4380999999998</v>
      </c>
      <c r="M17" s="242"/>
    </row>
    <row r="18" spans="1:13" ht="14.25" customHeight="1" x14ac:dyDescent="0.25">
      <c r="A18" s="239"/>
      <c r="B18" s="259" t="s">
        <v>425</v>
      </c>
      <c r="C18" s="260" t="s">
        <v>436</v>
      </c>
      <c r="D18" s="261" t="s">
        <v>448</v>
      </c>
      <c r="E18" s="261"/>
      <c r="F18" s="262">
        <f>(1.2*0.22*18+1.2*0.18*19+2.4*1.2)*4+(1.2*0.22*16+1.2*0.18*17+1.2*1.2*4)*2+(1.2*0.22*18+1.2*0.18*19+2+1.2*1.2)</f>
        <v>86.552000000000007</v>
      </c>
      <c r="G18" s="263" t="s">
        <v>423</v>
      </c>
      <c r="H18" s="264">
        <v>1</v>
      </c>
      <c r="I18" s="265">
        <f t="shared" si="0"/>
        <v>86.552000000000007</v>
      </c>
      <c r="J18" s="240"/>
      <c r="K18" s="273" t="s">
        <v>476</v>
      </c>
      <c r="L18" s="272">
        <f t="shared" si="1"/>
        <v>1477</v>
      </c>
      <c r="M18" s="242"/>
    </row>
    <row r="19" spans="1:13" ht="14.25" customHeight="1" x14ac:dyDescent="0.25">
      <c r="A19" s="239"/>
      <c r="B19" s="259" t="s">
        <v>425</v>
      </c>
      <c r="C19" s="260" t="s">
        <v>435</v>
      </c>
      <c r="D19" s="261" t="s">
        <v>448</v>
      </c>
      <c r="E19" s="261" t="s">
        <v>449</v>
      </c>
      <c r="F19" s="262">
        <v>426.43</v>
      </c>
      <c r="G19" s="263" t="s">
        <v>423</v>
      </c>
      <c r="H19" s="264">
        <v>1</v>
      </c>
      <c r="I19" s="265">
        <f t="shared" si="0"/>
        <v>426.43</v>
      </c>
      <c r="J19" s="240"/>
      <c r="K19" s="273"/>
      <c r="L19" s="272">
        <f t="shared" si="1"/>
        <v>0</v>
      </c>
      <c r="M19" s="242"/>
    </row>
    <row r="20" spans="1:13" ht="14.25" customHeight="1" x14ac:dyDescent="0.25">
      <c r="A20" s="239"/>
      <c r="B20" s="259" t="s">
        <v>425</v>
      </c>
      <c r="C20" s="260" t="s">
        <v>439</v>
      </c>
      <c r="D20" s="261" t="s">
        <v>448</v>
      </c>
      <c r="E20" s="261" t="s">
        <v>449</v>
      </c>
      <c r="F20" s="262">
        <v>182.3</v>
      </c>
      <c r="G20" s="263" t="s">
        <v>423</v>
      </c>
      <c r="H20" s="264">
        <v>1</v>
      </c>
      <c r="I20" s="265">
        <f t="shared" si="0"/>
        <v>182.3</v>
      </c>
      <c r="J20" s="240"/>
      <c r="K20" s="273"/>
      <c r="L20" s="272">
        <f t="shared" si="1"/>
        <v>0</v>
      </c>
      <c r="M20" s="242"/>
    </row>
    <row r="21" spans="1:13" s="285" customFormat="1" ht="14.25" customHeight="1" x14ac:dyDescent="0.25">
      <c r="A21" s="239"/>
      <c r="B21" s="259" t="s">
        <v>425</v>
      </c>
      <c r="C21" s="260" t="s">
        <v>466</v>
      </c>
      <c r="D21" s="261" t="s">
        <v>476</v>
      </c>
      <c r="E21" s="261"/>
      <c r="F21" s="262">
        <v>1477</v>
      </c>
      <c r="G21" s="263" t="s">
        <v>424</v>
      </c>
      <c r="H21" s="264">
        <v>1</v>
      </c>
      <c r="I21" s="265">
        <f t="shared" ref="I21" si="2">F21*H21</f>
        <v>1477</v>
      </c>
      <c r="J21" s="240"/>
      <c r="K21" s="273"/>
      <c r="L21" s="272">
        <f t="shared" si="1"/>
        <v>0</v>
      </c>
      <c r="M21" s="242"/>
    </row>
    <row r="22" spans="1:13" ht="14.25" customHeight="1" x14ac:dyDescent="0.25">
      <c r="A22" s="239"/>
      <c r="B22" s="259" t="s">
        <v>440</v>
      </c>
      <c r="C22" s="260" t="s">
        <v>430</v>
      </c>
      <c r="D22" s="261" t="s">
        <v>448</v>
      </c>
      <c r="E22" s="261" t="s">
        <v>449</v>
      </c>
      <c r="F22" s="262">
        <v>592.01</v>
      </c>
      <c r="G22" s="263" t="s">
        <v>423</v>
      </c>
      <c r="H22" s="264">
        <v>1</v>
      </c>
      <c r="I22" s="265">
        <f t="shared" si="0"/>
        <v>592.01</v>
      </c>
      <c r="J22" s="240"/>
      <c r="K22" s="273"/>
      <c r="L22" s="272">
        <f t="shared" si="1"/>
        <v>0</v>
      </c>
      <c r="M22" s="242"/>
    </row>
    <row r="23" spans="1:13" ht="14.25" customHeight="1" thickBot="1" x14ac:dyDescent="0.3">
      <c r="A23" s="239"/>
      <c r="B23" s="259" t="s">
        <v>440</v>
      </c>
      <c r="C23" s="260" t="s">
        <v>431</v>
      </c>
      <c r="D23" s="261" t="s">
        <v>448</v>
      </c>
      <c r="E23" s="261" t="s">
        <v>449</v>
      </c>
      <c r="F23" s="262">
        <v>265.02999999999997</v>
      </c>
      <c r="G23" s="263" t="s">
        <v>423</v>
      </c>
      <c r="H23" s="264">
        <v>1</v>
      </c>
      <c r="I23" s="265">
        <f t="shared" si="0"/>
        <v>265.02999999999997</v>
      </c>
      <c r="J23" s="240"/>
      <c r="K23" s="273"/>
      <c r="L23" s="272">
        <f t="shared" si="1"/>
        <v>0</v>
      </c>
      <c r="M23" s="242"/>
    </row>
    <row r="24" spans="1:13" ht="14.25" customHeight="1" thickBot="1" x14ac:dyDescent="0.3">
      <c r="A24" s="239"/>
      <c r="B24" s="259" t="s">
        <v>440</v>
      </c>
      <c r="C24" s="260" t="s">
        <v>432</v>
      </c>
      <c r="D24" s="261" t="s">
        <v>448</v>
      </c>
      <c r="E24" s="261"/>
      <c r="F24" s="262">
        <f>(1.2*0.22*18+1.2*0.18*19)*2+(1.2*0.22*35+1.2*0.18*36)+2.73*2</f>
        <v>40.188000000000002</v>
      </c>
      <c r="G24" s="263" t="s">
        <v>423</v>
      </c>
      <c r="H24" s="264">
        <v>1</v>
      </c>
      <c r="I24" s="265">
        <f t="shared" si="0"/>
        <v>40.188000000000002</v>
      </c>
      <c r="J24" s="240"/>
      <c r="K24" s="317" t="s">
        <v>451</v>
      </c>
      <c r="L24" s="318"/>
      <c r="M24" s="242"/>
    </row>
    <row r="25" spans="1:13" ht="14.25" customHeight="1" x14ac:dyDescent="0.25">
      <c r="A25" s="239"/>
      <c r="B25" s="259" t="s">
        <v>440</v>
      </c>
      <c r="C25" s="260" t="s">
        <v>434</v>
      </c>
      <c r="D25" s="261" t="s">
        <v>448</v>
      </c>
      <c r="E25" s="261" t="s">
        <v>449</v>
      </c>
      <c r="F25" s="262">
        <f>49.64+23.6*2+27.4+48.79</f>
        <v>173.03</v>
      </c>
      <c r="G25" s="263" t="s">
        <v>423</v>
      </c>
      <c r="H25" s="264">
        <v>1</v>
      </c>
      <c r="I25" s="265">
        <f t="shared" si="0"/>
        <v>173.03</v>
      </c>
      <c r="J25" s="240"/>
      <c r="K25" s="270" t="s">
        <v>416</v>
      </c>
      <c r="L25" s="249" t="s">
        <v>422</v>
      </c>
      <c r="M25" s="242"/>
    </row>
    <row r="26" spans="1:13" ht="14.25" customHeight="1" x14ac:dyDescent="0.25">
      <c r="A26" s="239"/>
      <c r="B26" s="259" t="s">
        <v>440</v>
      </c>
      <c r="C26" s="260" t="s">
        <v>438</v>
      </c>
      <c r="D26" s="261" t="s">
        <v>448</v>
      </c>
      <c r="E26" s="261" t="s">
        <v>449</v>
      </c>
      <c r="F26" s="262">
        <f>39.36*2</f>
        <v>78.72</v>
      </c>
      <c r="G26" s="263" t="s">
        <v>423</v>
      </c>
      <c r="H26" s="264">
        <v>1</v>
      </c>
      <c r="I26" s="265">
        <f t="shared" si="0"/>
        <v>78.72</v>
      </c>
      <c r="J26" s="240"/>
      <c r="K26" s="271" t="s">
        <v>449</v>
      </c>
      <c r="L26" s="272">
        <f t="shared" ref="L26:L36" si="3">SUMIF(E:E,K26,I:I)</f>
        <v>8171.1721000000007</v>
      </c>
      <c r="M26" s="242"/>
    </row>
    <row r="27" spans="1:13" ht="14.25" customHeight="1" x14ac:dyDescent="0.25">
      <c r="A27" s="239"/>
      <c r="B27" s="259" t="s">
        <v>440</v>
      </c>
      <c r="C27" s="260" t="s">
        <v>439</v>
      </c>
      <c r="D27" s="261" t="s">
        <v>448</v>
      </c>
      <c r="E27" s="261" t="s">
        <v>449</v>
      </c>
      <c r="F27" s="262">
        <v>182.3</v>
      </c>
      <c r="G27" s="263" t="s">
        <v>423</v>
      </c>
      <c r="H27" s="264">
        <v>1</v>
      </c>
      <c r="I27" s="265">
        <f t="shared" si="0"/>
        <v>182.3</v>
      </c>
      <c r="J27" s="240"/>
      <c r="K27" s="273" t="s">
        <v>199</v>
      </c>
      <c r="L27" s="272">
        <f t="shared" si="3"/>
        <v>0</v>
      </c>
      <c r="M27" s="242"/>
    </row>
    <row r="28" spans="1:13" ht="14.25" customHeight="1" x14ac:dyDescent="0.25">
      <c r="A28" s="239"/>
      <c r="B28" s="259" t="s">
        <v>440</v>
      </c>
      <c r="C28" s="260" t="s">
        <v>436</v>
      </c>
      <c r="D28" s="261" t="s">
        <v>448</v>
      </c>
      <c r="E28" s="261"/>
      <c r="F28" s="262">
        <f>(1.2*0.22*18+1.2*0.18*19+2.4*1.2)*2+(1.2*0.22*16+1.2*0.18*17+1.2*1.2*4)*2+(1.2*0.22*18+1.2*0.18*19+2+1.2*1.2)</f>
        <v>63.080000000000005</v>
      </c>
      <c r="G28" s="263" t="s">
        <v>423</v>
      </c>
      <c r="H28" s="264">
        <v>1</v>
      </c>
      <c r="I28" s="265">
        <f t="shared" si="0"/>
        <v>63.080000000000005</v>
      </c>
      <c r="J28" s="240"/>
      <c r="K28" s="273"/>
      <c r="L28" s="272">
        <f t="shared" si="3"/>
        <v>0</v>
      </c>
      <c r="M28" s="242"/>
    </row>
    <row r="29" spans="1:13" ht="14.25" customHeight="1" x14ac:dyDescent="0.25">
      <c r="A29" s="239"/>
      <c r="B29" s="259" t="s">
        <v>441</v>
      </c>
      <c r="C29" s="260" t="s">
        <v>430</v>
      </c>
      <c r="D29" s="261" t="s">
        <v>448</v>
      </c>
      <c r="E29" s="261" t="s">
        <v>449</v>
      </c>
      <c r="F29" s="262">
        <v>1744.6</v>
      </c>
      <c r="G29" s="263" t="s">
        <v>423</v>
      </c>
      <c r="H29" s="264">
        <v>1</v>
      </c>
      <c r="I29" s="265">
        <f t="shared" si="0"/>
        <v>1744.6</v>
      </c>
      <c r="J29" s="240"/>
      <c r="K29" s="273"/>
      <c r="L29" s="272">
        <f t="shared" si="3"/>
        <v>0</v>
      </c>
      <c r="M29" s="242"/>
    </row>
    <row r="30" spans="1:13" ht="14.25" customHeight="1" x14ac:dyDescent="0.25">
      <c r="A30" s="239"/>
      <c r="B30" s="259" t="s">
        <v>441</v>
      </c>
      <c r="C30" s="260" t="s">
        <v>437</v>
      </c>
      <c r="D30" s="261" t="s">
        <v>448</v>
      </c>
      <c r="E30" s="261"/>
      <c r="F30" s="262">
        <v>128.74</v>
      </c>
      <c r="G30" s="263" t="s">
        <v>423</v>
      </c>
      <c r="H30" s="264">
        <v>1</v>
      </c>
      <c r="I30" s="265">
        <f t="shared" si="0"/>
        <v>128.74</v>
      </c>
      <c r="J30" s="240"/>
      <c r="K30" s="273"/>
      <c r="L30" s="272">
        <f t="shared" si="3"/>
        <v>0</v>
      </c>
      <c r="M30" s="242"/>
    </row>
    <row r="31" spans="1:13" ht="14.25" customHeight="1" x14ac:dyDescent="0.25">
      <c r="A31" s="239"/>
      <c r="B31" s="259" t="s">
        <v>441</v>
      </c>
      <c r="C31" s="260" t="s">
        <v>434</v>
      </c>
      <c r="D31" s="261" t="s">
        <v>448</v>
      </c>
      <c r="E31" s="261" t="s">
        <v>449</v>
      </c>
      <c r="F31" s="262">
        <v>1068.8800000000001</v>
      </c>
      <c r="G31" s="263" t="s">
        <v>423</v>
      </c>
      <c r="H31" s="264">
        <v>1</v>
      </c>
      <c r="I31" s="265">
        <f t="shared" si="0"/>
        <v>1068.8800000000001</v>
      </c>
      <c r="J31" s="240"/>
      <c r="K31" s="273"/>
      <c r="L31" s="272">
        <f t="shared" si="3"/>
        <v>0</v>
      </c>
      <c r="M31" s="242"/>
    </row>
    <row r="32" spans="1:13" ht="14.25" customHeight="1" x14ac:dyDescent="0.25">
      <c r="A32" s="239"/>
      <c r="B32" s="259" t="s">
        <v>441</v>
      </c>
      <c r="C32" s="260" t="s">
        <v>436</v>
      </c>
      <c r="D32" s="261" t="s">
        <v>448</v>
      </c>
      <c r="E32" s="261"/>
      <c r="F32" s="262">
        <f>(1.2*0.22*18+1.2*0.18*19+2.4*1.2)*2+(1.2*0.22*16+1.2*0.18*17+1.2*1.2*4)*2+(1.2*0.22*18+1.2*0.18*19+2+1.2*1.2)</f>
        <v>63.080000000000005</v>
      </c>
      <c r="G32" s="263" t="s">
        <v>423</v>
      </c>
      <c r="H32" s="264">
        <v>1</v>
      </c>
      <c r="I32" s="265">
        <f t="shared" si="0"/>
        <v>63.080000000000005</v>
      </c>
      <c r="J32" s="240"/>
      <c r="K32" s="273"/>
      <c r="L32" s="272">
        <f t="shared" si="3"/>
        <v>0</v>
      </c>
      <c r="M32" s="242"/>
    </row>
    <row r="33" spans="1:13" ht="14.25" customHeight="1" x14ac:dyDescent="0.25">
      <c r="A33" s="239"/>
      <c r="B33" s="259" t="s">
        <v>445</v>
      </c>
      <c r="C33" s="260" t="s">
        <v>443</v>
      </c>
      <c r="D33" s="261"/>
      <c r="E33" s="261"/>
      <c r="F33" s="262">
        <v>2042.13</v>
      </c>
      <c r="G33" s="263" t="s">
        <v>424</v>
      </c>
      <c r="H33" s="264">
        <v>1</v>
      </c>
      <c r="I33" s="265">
        <f t="shared" si="0"/>
        <v>2042.13</v>
      </c>
      <c r="J33" s="240"/>
      <c r="K33" s="273"/>
      <c r="L33" s="265">
        <f t="shared" si="3"/>
        <v>0</v>
      </c>
      <c r="M33" s="242"/>
    </row>
    <row r="34" spans="1:13" ht="14.25" customHeight="1" x14ac:dyDescent="0.25">
      <c r="A34" s="239"/>
      <c r="B34" s="259" t="s">
        <v>445</v>
      </c>
      <c r="C34" s="260" t="s">
        <v>444</v>
      </c>
      <c r="D34" s="261"/>
      <c r="E34" s="261"/>
      <c r="F34" s="262">
        <v>917.6</v>
      </c>
      <c r="G34" s="263" t="s">
        <v>424</v>
      </c>
      <c r="H34" s="264">
        <v>1</v>
      </c>
      <c r="I34" s="265">
        <f t="shared" si="0"/>
        <v>917.6</v>
      </c>
      <c r="J34" s="240"/>
      <c r="K34" s="273"/>
      <c r="L34" s="265">
        <f t="shared" si="3"/>
        <v>0</v>
      </c>
      <c r="M34" s="242"/>
    </row>
    <row r="35" spans="1:13" ht="14.25" customHeight="1" x14ac:dyDescent="0.25">
      <c r="A35" s="239"/>
      <c r="B35" s="259" t="s">
        <v>445</v>
      </c>
      <c r="C35" s="260" t="s">
        <v>446</v>
      </c>
      <c r="D35" s="261" t="s">
        <v>448</v>
      </c>
      <c r="E35" s="261"/>
      <c r="F35" s="262">
        <f>23.41*2</f>
        <v>46.82</v>
      </c>
      <c r="G35" s="263" t="s">
        <v>423</v>
      </c>
      <c r="H35" s="264">
        <v>1</v>
      </c>
      <c r="I35" s="265">
        <f t="shared" si="0"/>
        <v>46.82</v>
      </c>
      <c r="J35" s="240"/>
      <c r="K35" s="273"/>
      <c r="L35" s="265">
        <f t="shared" si="3"/>
        <v>0</v>
      </c>
      <c r="M35" s="242"/>
    </row>
    <row r="36" spans="1:13" ht="14.25" customHeight="1" x14ac:dyDescent="0.25">
      <c r="A36" s="239"/>
      <c r="B36" s="259" t="s">
        <v>445</v>
      </c>
      <c r="C36" s="260" t="s">
        <v>447</v>
      </c>
      <c r="D36" s="261"/>
      <c r="E36" s="261"/>
      <c r="F36" s="262">
        <f>1.985*2</f>
        <v>3.97</v>
      </c>
      <c r="G36" s="263" t="s">
        <v>424</v>
      </c>
      <c r="H36" s="264">
        <v>1</v>
      </c>
      <c r="I36" s="265">
        <f t="shared" si="0"/>
        <v>3.97</v>
      </c>
      <c r="J36" s="240"/>
      <c r="K36" s="273"/>
      <c r="L36" s="265">
        <f t="shared" si="3"/>
        <v>0</v>
      </c>
      <c r="M36" s="242"/>
    </row>
    <row r="37" spans="1:13" ht="14.25" customHeight="1" x14ac:dyDescent="0.25">
      <c r="A37" s="239"/>
      <c r="B37" s="259" t="s">
        <v>405</v>
      </c>
      <c r="C37" s="260" t="s">
        <v>447</v>
      </c>
      <c r="D37" s="261"/>
      <c r="E37" s="261"/>
      <c r="F37" s="262">
        <f>25.08*2</f>
        <v>50.16</v>
      </c>
      <c r="G37" s="263" t="s">
        <v>424</v>
      </c>
      <c r="H37" s="264">
        <v>1</v>
      </c>
      <c r="I37" s="265">
        <f t="shared" si="0"/>
        <v>50.16</v>
      </c>
      <c r="J37" s="240"/>
      <c r="K37" s="257"/>
      <c r="L37" s="265"/>
      <c r="M37" s="242"/>
    </row>
    <row r="38" spans="1:13" ht="14.25" customHeight="1" x14ac:dyDescent="0.25">
      <c r="A38" s="239"/>
      <c r="B38" s="259"/>
      <c r="C38" s="260"/>
      <c r="D38" s="261"/>
      <c r="E38" s="261"/>
      <c r="F38" s="262"/>
      <c r="G38" s="263"/>
      <c r="H38" s="276"/>
      <c r="I38" s="275"/>
      <c r="J38" s="240"/>
      <c r="K38" s="274"/>
      <c r="L38" s="275"/>
      <c r="M38" s="242"/>
    </row>
    <row r="39" spans="1:13" ht="14.25" customHeight="1" x14ac:dyDescent="0.25">
      <c r="A39" s="239"/>
      <c r="B39" s="259"/>
      <c r="C39" s="260"/>
      <c r="D39" s="261"/>
      <c r="E39" s="261"/>
      <c r="F39" s="262"/>
      <c r="G39" s="263"/>
      <c r="H39" s="276"/>
      <c r="I39" s="275"/>
      <c r="J39" s="240"/>
      <c r="K39" s="274"/>
      <c r="L39" s="275"/>
      <c r="M39" s="242"/>
    </row>
    <row r="40" spans="1:13" ht="14.25" customHeight="1" x14ac:dyDescent="0.25">
      <c r="A40" s="239"/>
      <c r="B40" s="259"/>
      <c r="C40" s="260"/>
      <c r="D40" s="261"/>
      <c r="E40" s="261"/>
      <c r="F40" s="262"/>
      <c r="G40" s="263"/>
      <c r="H40" s="276"/>
      <c r="I40" s="275"/>
      <c r="J40" s="240"/>
      <c r="K40" s="274"/>
      <c r="L40" s="275"/>
      <c r="M40" s="242"/>
    </row>
    <row r="41" spans="1:13" ht="14.25" customHeight="1" thickBot="1" x14ac:dyDescent="0.3">
      <c r="A41" s="239"/>
      <c r="B41" s="259"/>
      <c r="C41" s="260"/>
      <c r="D41" s="261"/>
      <c r="E41" s="261"/>
      <c r="F41" s="262"/>
      <c r="G41" s="263"/>
      <c r="H41" s="276"/>
      <c r="I41" s="275"/>
      <c r="J41" s="240"/>
      <c r="K41" s="266"/>
      <c r="L41" s="277"/>
      <c r="M41" s="242"/>
    </row>
    <row r="42" spans="1:13" ht="14.25" customHeight="1" x14ac:dyDescent="0.25">
      <c r="A42" s="239"/>
      <c r="B42" s="259"/>
      <c r="C42" s="260"/>
      <c r="D42" s="261"/>
      <c r="E42" s="261"/>
      <c r="F42" s="262"/>
      <c r="G42" s="263"/>
      <c r="H42" s="276"/>
      <c r="I42" s="275"/>
      <c r="J42" s="240"/>
      <c r="L42" s="278"/>
      <c r="M42" s="242"/>
    </row>
    <row r="43" spans="1:13" ht="14.25" customHeight="1" thickBot="1" x14ac:dyDescent="0.3">
      <c r="A43" s="240"/>
      <c r="B43" s="279"/>
      <c r="C43" s="280"/>
      <c r="D43" s="281"/>
      <c r="E43" s="281"/>
      <c r="F43" s="282"/>
      <c r="G43" s="283"/>
      <c r="H43" s="284"/>
      <c r="I43" s="277"/>
      <c r="J43" s="240"/>
      <c r="L43" s="278"/>
      <c r="M43" s="240"/>
    </row>
    <row r="44" spans="1:13" ht="14.25" customHeight="1" x14ac:dyDescent="0.25">
      <c r="A44" s="240"/>
      <c r="F44" s="278"/>
      <c r="H44" s="278"/>
      <c r="I44" s="278"/>
      <c r="J44" s="240"/>
      <c r="L44" s="278"/>
      <c r="M44" s="240"/>
    </row>
    <row r="45" spans="1:13" ht="14.25" customHeight="1" x14ac:dyDescent="0.25">
      <c r="A45" s="240"/>
      <c r="F45" s="278"/>
      <c r="H45" s="278"/>
      <c r="I45" s="278"/>
      <c r="J45" s="240"/>
      <c r="L45" s="278"/>
      <c r="M45" s="240"/>
    </row>
    <row r="46" spans="1:13" ht="14.25" customHeight="1" x14ac:dyDescent="0.25">
      <c r="A46" s="240"/>
      <c r="F46" s="278"/>
      <c r="H46" s="278"/>
      <c r="I46" s="278"/>
      <c r="J46" s="240"/>
      <c r="L46" s="278"/>
      <c r="M46" s="240"/>
    </row>
    <row r="47" spans="1:13" ht="14.25" customHeight="1" x14ac:dyDescent="0.25">
      <c r="A47" s="240"/>
      <c r="F47" s="278"/>
      <c r="H47" s="278"/>
      <c r="I47" s="278"/>
      <c r="J47" s="240"/>
      <c r="L47" s="278"/>
      <c r="M47" s="240"/>
    </row>
    <row r="48" spans="1:13" ht="14.25" customHeight="1" x14ac:dyDescent="0.25">
      <c r="A48" s="240"/>
      <c r="F48" s="278"/>
      <c r="H48" s="278"/>
      <c r="I48" s="278"/>
      <c r="J48" s="240"/>
      <c r="L48" s="278"/>
      <c r="M48" s="240"/>
    </row>
    <row r="49" spans="1:13" ht="14.25" customHeight="1" x14ac:dyDescent="0.25">
      <c r="A49" s="240"/>
      <c r="F49" s="278"/>
      <c r="H49" s="278"/>
      <c r="I49" s="278"/>
      <c r="J49" s="240"/>
      <c r="L49" s="278"/>
      <c r="M49" s="240"/>
    </row>
    <row r="50" spans="1:13" ht="14.25" customHeight="1" x14ac:dyDescent="0.25">
      <c r="A50" s="240"/>
      <c r="F50" s="278"/>
      <c r="H50" s="278"/>
      <c r="I50" s="278"/>
      <c r="J50" s="240"/>
      <c r="L50" s="278"/>
      <c r="M50" s="240"/>
    </row>
    <row r="51" spans="1:13" ht="14.25" customHeight="1" x14ac:dyDescent="0.25">
      <c r="A51" s="240"/>
      <c r="F51" s="278"/>
      <c r="H51" s="278"/>
      <c r="I51" s="278"/>
      <c r="J51" s="240"/>
      <c r="L51" s="278"/>
      <c r="M51" s="240"/>
    </row>
    <row r="52" spans="1:13" ht="14.25" customHeight="1" x14ac:dyDescent="0.25">
      <c r="A52" s="240"/>
      <c r="F52" s="278"/>
      <c r="H52" s="278"/>
      <c r="I52" s="278"/>
      <c r="J52" s="240"/>
      <c r="L52" s="278"/>
      <c r="M52" s="240"/>
    </row>
    <row r="53" spans="1:13" ht="14.25" customHeight="1" x14ac:dyDescent="0.25">
      <c r="A53" s="240"/>
      <c r="F53" s="278"/>
      <c r="H53" s="278"/>
      <c r="I53" s="278"/>
      <c r="J53" s="240"/>
      <c r="L53" s="278"/>
      <c r="M53" s="240"/>
    </row>
    <row r="54" spans="1:13" ht="14.25" customHeight="1" x14ac:dyDescent="0.25">
      <c r="A54" s="240"/>
      <c r="F54" s="278"/>
      <c r="H54" s="278"/>
      <c r="I54" s="278"/>
      <c r="J54" s="240"/>
      <c r="L54" s="278"/>
      <c r="M54" s="240"/>
    </row>
    <row r="55" spans="1:13" ht="14.25" customHeight="1" x14ac:dyDescent="0.25">
      <c r="A55" s="240"/>
      <c r="F55" s="278"/>
      <c r="H55" s="278"/>
      <c r="I55" s="278"/>
      <c r="J55" s="240"/>
      <c r="L55" s="278"/>
      <c r="M55" s="240"/>
    </row>
    <row r="56" spans="1:13" ht="14.25" customHeight="1" x14ac:dyDescent="0.25">
      <c r="A56" s="240"/>
      <c r="F56" s="278"/>
      <c r="H56" s="278"/>
      <c r="I56" s="278"/>
      <c r="J56" s="240"/>
      <c r="L56" s="278"/>
      <c r="M56" s="240"/>
    </row>
    <row r="57" spans="1:13" ht="14.25" customHeight="1" x14ac:dyDescent="0.25">
      <c r="A57" s="240"/>
      <c r="F57" s="278"/>
      <c r="H57" s="278"/>
      <c r="I57" s="278"/>
      <c r="J57" s="240"/>
      <c r="L57" s="278"/>
      <c r="M57" s="240"/>
    </row>
    <row r="58" spans="1:13" ht="14.25" customHeight="1" x14ac:dyDescent="0.25">
      <c r="A58" s="240"/>
      <c r="F58" s="278"/>
      <c r="H58" s="278"/>
      <c r="I58" s="278"/>
      <c r="J58" s="240"/>
      <c r="L58" s="278"/>
      <c r="M58" s="240"/>
    </row>
    <row r="59" spans="1:13" ht="14.25" customHeight="1" x14ac:dyDescent="0.25">
      <c r="A59" s="240"/>
      <c r="F59" s="278"/>
      <c r="H59" s="278"/>
      <c r="I59" s="278"/>
      <c r="J59" s="240"/>
      <c r="L59" s="278"/>
      <c r="M59" s="240"/>
    </row>
    <row r="60" spans="1:13" ht="14.25" customHeight="1" x14ac:dyDescent="0.25">
      <c r="A60" s="240"/>
      <c r="F60" s="278"/>
      <c r="H60" s="278"/>
      <c r="I60" s="278"/>
      <c r="J60" s="240"/>
      <c r="L60" s="278"/>
      <c r="M60" s="240"/>
    </row>
    <row r="61" spans="1:13" ht="14.25" customHeight="1" x14ac:dyDescent="0.25">
      <c r="A61" s="240"/>
      <c r="F61" s="278"/>
      <c r="H61" s="278"/>
      <c r="I61" s="278"/>
      <c r="J61" s="240"/>
      <c r="L61" s="278"/>
      <c r="M61" s="240"/>
    </row>
    <row r="62" spans="1:13" ht="14.25" customHeight="1" x14ac:dyDescent="0.25">
      <c r="A62" s="240"/>
      <c r="F62" s="278"/>
      <c r="H62" s="278"/>
      <c r="I62" s="278"/>
      <c r="J62" s="240"/>
      <c r="L62" s="278"/>
      <c r="M62" s="240"/>
    </row>
    <row r="63" spans="1:13" ht="14.25" customHeight="1" x14ac:dyDescent="0.25">
      <c r="A63" s="240"/>
      <c r="F63" s="278"/>
      <c r="H63" s="278"/>
      <c r="I63" s="278"/>
      <c r="J63" s="240"/>
      <c r="L63" s="278"/>
      <c r="M63" s="240"/>
    </row>
    <row r="64" spans="1:13" ht="14.25" customHeight="1" x14ac:dyDescent="0.25">
      <c r="A64" s="240"/>
      <c r="F64" s="278"/>
      <c r="H64" s="278"/>
      <c r="I64" s="278"/>
      <c r="J64" s="240"/>
      <c r="L64" s="278"/>
      <c r="M64" s="240"/>
    </row>
    <row r="65" spans="1:13" ht="14.25" customHeight="1" x14ac:dyDescent="0.25">
      <c r="A65" s="240"/>
      <c r="F65" s="278"/>
      <c r="H65" s="278"/>
      <c r="I65" s="278"/>
      <c r="J65" s="240"/>
      <c r="L65" s="278"/>
      <c r="M65" s="240"/>
    </row>
    <row r="66" spans="1:13" ht="14.25" customHeight="1" x14ac:dyDescent="0.25">
      <c r="A66" s="240"/>
      <c r="F66" s="278"/>
      <c r="H66" s="278"/>
      <c r="I66" s="278"/>
      <c r="J66" s="240"/>
      <c r="L66" s="278"/>
      <c r="M66" s="240"/>
    </row>
    <row r="67" spans="1:13" ht="14.25" customHeight="1" x14ac:dyDescent="0.25">
      <c r="A67" s="240"/>
      <c r="F67" s="278"/>
      <c r="H67" s="278"/>
      <c r="I67" s="278"/>
      <c r="J67" s="240"/>
      <c r="L67" s="278"/>
      <c r="M67" s="240"/>
    </row>
    <row r="68" spans="1:13" ht="14.25" customHeight="1" x14ac:dyDescent="0.25">
      <c r="A68" s="240"/>
      <c r="F68" s="278"/>
      <c r="H68" s="278"/>
      <c r="I68" s="278"/>
      <c r="J68" s="240"/>
      <c r="L68" s="278"/>
      <c r="M68" s="240"/>
    </row>
    <row r="69" spans="1:13" ht="14.25" customHeight="1" x14ac:dyDescent="0.25">
      <c r="A69" s="240"/>
      <c r="F69" s="278"/>
      <c r="H69" s="278"/>
      <c r="I69" s="278"/>
      <c r="J69" s="240"/>
      <c r="L69" s="278"/>
      <c r="M69" s="240"/>
    </row>
    <row r="70" spans="1:13" ht="14.25" customHeight="1" x14ac:dyDescent="0.25">
      <c r="A70" s="240"/>
      <c r="F70" s="278"/>
      <c r="H70" s="278"/>
      <c r="I70" s="278"/>
      <c r="J70" s="240"/>
      <c r="L70" s="278"/>
      <c r="M70" s="240"/>
    </row>
    <row r="71" spans="1:13" ht="14.25" customHeight="1" x14ac:dyDescent="0.25">
      <c r="A71" s="240"/>
      <c r="F71" s="278"/>
      <c r="H71" s="278"/>
      <c r="I71" s="278"/>
      <c r="J71" s="240"/>
      <c r="L71" s="278"/>
      <c r="M71" s="240"/>
    </row>
    <row r="72" spans="1:13" ht="14.25" customHeight="1" x14ac:dyDescent="0.25">
      <c r="A72" s="240"/>
      <c r="F72" s="278"/>
      <c r="H72" s="278"/>
      <c r="I72" s="278"/>
      <c r="J72" s="240"/>
      <c r="L72" s="278"/>
      <c r="M72" s="240"/>
    </row>
    <row r="73" spans="1:13" ht="14.25" customHeight="1" x14ac:dyDescent="0.25">
      <c r="A73" s="240"/>
      <c r="F73" s="278"/>
      <c r="H73" s="278"/>
      <c r="I73" s="278"/>
      <c r="J73" s="240"/>
      <c r="L73" s="278"/>
      <c r="M73" s="240"/>
    </row>
    <row r="74" spans="1:13" ht="14.25" customHeight="1" x14ac:dyDescent="0.25">
      <c r="A74" s="240"/>
      <c r="F74" s="278"/>
      <c r="H74" s="278"/>
      <c r="I74" s="278"/>
      <c r="J74" s="240"/>
      <c r="L74" s="278"/>
      <c r="M74" s="240"/>
    </row>
    <row r="75" spans="1:13" ht="14.25" customHeight="1" x14ac:dyDescent="0.25">
      <c r="A75" s="240"/>
      <c r="F75" s="278"/>
      <c r="H75" s="278"/>
      <c r="I75" s="278"/>
      <c r="J75" s="240"/>
      <c r="L75" s="278"/>
      <c r="M75" s="240"/>
    </row>
    <row r="76" spans="1:13" ht="14.25" customHeight="1" x14ac:dyDescent="0.25">
      <c r="A76" s="240"/>
      <c r="F76" s="278"/>
      <c r="H76" s="278"/>
      <c r="I76" s="278"/>
      <c r="J76" s="240"/>
      <c r="L76" s="278"/>
      <c r="M76" s="240"/>
    </row>
    <row r="77" spans="1:13" ht="14.25" customHeight="1" x14ac:dyDescent="0.25">
      <c r="A77" s="240"/>
      <c r="F77" s="278"/>
      <c r="H77" s="278"/>
      <c r="I77" s="278"/>
      <c r="J77" s="240"/>
      <c r="L77" s="278"/>
      <c r="M77" s="240"/>
    </row>
    <row r="78" spans="1:13" ht="14.25" customHeight="1" x14ac:dyDescent="0.25">
      <c r="A78" s="240"/>
      <c r="F78" s="278"/>
      <c r="H78" s="278"/>
      <c r="I78" s="278"/>
      <c r="J78" s="240"/>
      <c r="L78" s="278"/>
      <c r="M78" s="240"/>
    </row>
    <row r="79" spans="1:13" ht="14.25" customHeight="1" x14ac:dyDescent="0.25">
      <c r="A79" s="240"/>
      <c r="F79" s="278"/>
      <c r="H79" s="278"/>
      <c r="I79" s="278"/>
      <c r="J79" s="240"/>
      <c r="L79" s="278"/>
      <c r="M79" s="240"/>
    </row>
    <row r="80" spans="1:13" ht="14.25" customHeight="1" x14ac:dyDescent="0.25">
      <c r="A80" s="240"/>
      <c r="F80" s="278"/>
      <c r="H80" s="278"/>
      <c r="I80" s="278"/>
      <c r="J80" s="240"/>
      <c r="L80" s="278"/>
      <c r="M80" s="240"/>
    </row>
    <row r="81" spans="1:13" ht="14.25" customHeight="1" x14ac:dyDescent="0.25">
      <c r="A81" s="240"/>
      <c r="F81" s="278"/>
      <c r="H81" s="278"/>
      <c r="I81" s="278"/>
      <c r="J81" s="240"/>
      <c r="L81" s="278"/>
      <c r="M81" s="240"/>
    </row>
    <row r="82" spans="1:13" ht="14.25" customHeight="1" x14ac:dyDescent="0.25">
      <c r="A82" s="240"/>
      <c r="F82" s="278"/>
      <c r="H82" s="278"/>
      <c r="I82" s="278"/>
      <c r="J82" s="240"/>
      <c r="L82" s="278"/>
      <c r="M82" s="240"/>
    </row>
    <row r="83" spans="1:13" ht="14.25" customHeight="1" x14ac:dyDescent="0.25">
      <c r="A83" s="240"/>
      <c r="F83" s="278"/>
      <c r="H83" s="278"/>
      <c r="I83" s="278"/>
      <c r="J83" s="240"/>
      <c r="L83" s="278"/>
      <c r="M83" s="240"/>
    </row>
    <row r="84" spans="1:13" ht="14.25" customHeight="1" x14ac:dyDescent="0.25">
      <c r="A84" s="240"/>
      <c r="F84" s="278"/>
      <c r="H84" s="278"/>
      <c r="I84" s="278"/>
      <c r="J84" s="240"/>
      <c r="L84" s="278"/>
      <c r="M84" s="240"/>
    </row>
    <row r="85" spans="1:13" ht="14.25" customHeight="1" x14ac:dyDescent="0.25">
      <c r="A85" s="240"/>
      <c r="F85" s="278"/>
      <c r="H85" s="278"/>
      <c r="I85" s="278"/>
      <c r="J85" s="240"/>
      <c r="L85" s="278"/>
      <c r="M85" s="240"/>
    </row>
    <row r="86" spans="1:13" ht="14.25" customHeight="1" x14ac:dyDescent="0.25">
      <c r="A86" s="240"/>
      <c r="F86" s="278"/>
      <c r="H86" s="278"/>
      <c r="I86" s="278"/>
      <c r="J86" s="240"/>
      <c r="L86" s="278"/>
      <c r="M86" s="240"/>
    </row>
    <row r="87" spans="1:13" ht="14.25" customHeight="1" x14ac:dyDescent="0.25">
      <c r="A87" s="240"/>
      <c r="F87" s="278"/>
      <c r="H87" s="278"/>
      <c r="I87" s="278"/>
      <c r="J87" s="240"/>
      <c r="L87" s="278"/>
      <c r="M87" s="240"/>
    </row>
    <row r="88" spans="1:13" ht="14.25" customHeight="1" x14ac:dyDescent="0.25">
      <c r="A88" s="240"/>
      <c r="F88" s="278"/>
      <c r="H88" s="278"/>
      <c r="I88" s="278"/>
      <c r="J88" s="240"/>
      <c r="L88" s="278"/>
      <c r="M88" s="240"/>
    </row>
    <row r="89" spans="1:13" ht="14.25" customHeight="1" x14ac:dyDescent="0.25">
      <c r="A89" s="240"/>
      <c r="F89" s="278"/>
      <c r="H89" s="278"/>
      <c r="I89" s="278"/>
      <c r="J89" s="240"/>
      <c r="L89" s="278"/>
      <c r="M89" s="240"/>
    </row>
    <row r="90" spans="1:13" ht="14.25" customHeight="1" x14ac:dyDescent="0.25">
      <c r="A90" s="240"/>
      <c r="F90" s="278"/>
      <c r="H90" s="278"/>
      <c r="I90" s="278"/>
      <c r="J90" s="240"/>
      <c r="L90" s="278"/>
      <c r="M90" s="240"/>
    </row>
    <row r="91" spans="1:13" ht="14.25" customHeight="1" x14ac:dyDescent="0.25">
      <c r="A91" s="240"/>
      <c r="F91" s="278"/>
      <c r="H91" s="278"/>
      <c r="I91" s="278"/>
      <c r="J91" s="240"/>
      <c r="L91" s="278"/>
      <c r="M91" s="240"/>
    </row>
    <row r="92" spans="1:13" ht="14.25" customHeight="1" x14ac:dyDescent="0.25">
      <c r="A92" s="240"/>
      <c r="F92" s="278"/>
      <c r="H92" s="278"/>
      <c r="I92" s="278"/>
      <c r="J92" s="240"/>
      <c r="L92" s="278"/>
      <c r="M92" s="240"/>
    </row>
    <row r="93" spans="1:13" ht="14.25" customHeight="1" x14ac:dyDescent="0.25">
      <c r="A93" s="240"/>
      <c r="F93" s="278"/>
      <c r="H93" s="278"/>
      <c r="I93" s="278"/>
      <c r="J93" s="240"/>
      <c r="L93" s="278"/>
      <c r="M93" s="240"/>
    </row>
    <row r="94" spans="1:13" ht="14.25" customHeight="1" x14ac:dyDescent="0.25">
      <c r="A94" s="240"/>
      <c r="F94" s="278"/>
      <c r="H94" s="278"/>
      <c r="I94" s="278"/>
      <c r="J94" s="240"/>
      <c r="L94" s="278"/>
      <c r="M94" s="240"/>
    </row>
    <row r="95" spans="1:13" ht="14.25" customHeight="1" x14ac:dyDescent="0.25">
      <c r="A95" s="240"/>
      <c r="F95" s="278"/>
      <c r="H95" s="278"/>
      <c r="I95" s="278"/>
      <c r="J95" s="240"/>
      <c r="L95" s="278"/>
      <c r="M95" s="240"/>
    </row>
    <row r="96" spans="1:13" ht="14.25" customHeight="1" x14ac:dyDescent="0.25">
      <c r="A96" s="240"/>
      <c r="F96" s="278"/>
      <c r="H96" s="278"/>
      <c r="I96" s="278"/>
      <c r="J96" s="240"/>
      <c r="L96" s="278"/>
      <c r="M96" s="240"/>
    </row>
    <row r="97" spans="1:13" ht="14.25" customHeight="1" x14ac:dyDescent="0.25">
      <c r="A97" s="240"/>
      <c r="F97" s="278"/>
      <c r="H97" s="278"/>
      <c r="I97" s="278"/>
      <c r="J97" s="240"/>
      <c r="L97" s="278"/>
      <c r="M97" s="240"/>
    </row>
    <row r="98" spans="1:13" ht="14.25" customHeight="1" x14ac:dyDescent="0.25">
      <c r="A98" s="240"/>
      <c r="F98" s="278"/>
      <c r="H98" s="278"/>
      <c r="I98" s="278"/>
      <c r="J98" s="240"/>
      <c r="L98" s="278"/>
      <c r="M98" s="240"/>
    </row>
    <row r="99" spans="1:13" ht="14.25" customHeight="1" x14ac:dyDescent="0.25">
      <c r="A99" s="240"/>
      <c r="F99" s="278"/>
      <c r="H99" s="278"/>
      <c r="I99" s="278"/>
      <c r="J99" s="240"/>
      <c r="L99" s="278"/>
      <c r="M99" s="240"/>
    </row>
    <row r="100" spans="1:13" ht="14.25" customHeight="1" x14ac:dyDescent="0.25">
      <c r="A100" s="240"/>
      <c r="F100" s="278"/>
      <c r="H100" s="278"/>
      <c r="I100" s="278"/>
      <c r="J100" s="240"/>
      <c r="L100" s="278"/>
      <c r="M100" s="240"/>
    </row>
    <row r="101" spans="1:13" ht="14.25" customHeight="1" x14ac:dyDescent="0.25">
      <c r="A101" s="240"/>
      <c r="F101" s="278"/>
      <c r="H101" s="278"/>
      <c r="I101" s="278"/>
      <c r="J101" s="240"/>
      <c r="L101" s="278"/>
      <c r="M101" s="240"/>
    </row>
    <row r="102" spans="1:13" ht="14.25" customHeight="1" x14ac:dyDescent="0.25">
      <c r="A102" s="240"/>
      <c r="F102" s="278"/>
      <c r="H102" s="278"/>
      <c r="I102" s="278"/>
      <c r="J102" s="240"/>
      <c r="L102" s="278"/>
      <c r="M102" s="240"/>
    </row>
    <row r="103" spans="1:13" ht="14.25" customHeight="1" x14ac:dyDescent="0.25">
      <c r="A103" s="240"/>
      <c r="F103" s="278"/>
      <c r="H103" s="278"/>
      <c r="I103" s="278"/>
      <c r="J103" s="240"/>
      <c r="L103" s="278"/>
      <c r="M103" s="240"/>
    </row>
    <row r="104" spans="1:13" ht="14.25" customHeight="1" x14ac:dyDescent="0.25">
      <c r="A104" s="240"/>
      <c r="F104" s="278"/>
      <c r="H104" s="278"/>
      <c r="I104" s="278"/>
      <c r="J104" s="240"/>
      <c r="L104" s="278"/>
      <c r="M104" s="240"/>
    </row>
    <row r="105" spans="1:13" ht="14.25" customHeight="1" x14ac:dyDescent="0.25">
      <c r="A105" s="240"/>
      <c r="F105" s="278"/>
      <c r="H105" s="278"/>
      <c r="I105" s="278"/>
      <c r="J105" s="240"/>
      <c r="L105" s="278"/>
      <c r="M105" s="240"/>
    </row>
    <row r="106" spans="1:13" ht="14.25" customHeight="1" x14ac:dyDescent="0.25">
      <c r="A106" s="240"/>
      <c r="F106" s="278"/>
      <c r="H106" s="278"/>
      <c r="I106" s="278"/>
      <c r="J106" s="240"/>
      <c r="L106" s="278"/>
      <c r="M106" s="240"/>
    </row>
    <row r="107" spans="1:13" ht="14.25" customHeight="1" x14ac:dyDescent="0.25">
      <c r="A107" s="240"/>
      <c r="F107" s="278"/>
      <c r="H107" s="278"/>
      <c r="I107" s="278"/>
      <c r="J107" s="240"/>
      <c r="L107" s="278"/>
      <c r="M107" s="240"/>
    </row>
    <row r="108" spans="1:13" ht="14.25" customHeight="1" x14ac:dyDescent="0.25">
      <c r="A108" s="240"/>
      <c r="F108" s="278"/>
      <c r="H108" s="278"/>
      <c r="I108" s="278"/>
      <c r="J108" s="240"/>
      <c r="L108" s="278"/>
      <c r="M108" s="240"/>
    </row>
    <row r="109" spans="1:13" ht="14.25" customHeight="1" x14ac:dyDescent="0.25">
      <c r="A109" s="240"/>
      <c r="F109" s="278"/>
      <c r="H109" s="278"/>
      <c r="I109" s="278"/>
      <c r="J109" s="240"/>
      <c r="L109" s="278"/>
      <c r="M109" s="240"/>
    </row>
    <row r="110" spans="1:13" ht="14.25" customHeight="1" x14ac:dyDescent="0.25">
      <c r="A110" s="240"/>
      <c r="F110" s="278"/>
      <c r="H110" s="278"/>
      <c r="I110" s="278"/>
      <c r="J110" s="240"/>
      <c r="L110" s="278"/>
      <c r="M110" s="240"/>
    </row>
    <row r="111" spans="1:13" ht="14.25" customHeight="1" x14ac:dyDescent="0.25">
      <c r="A111" s="240"/>
      <c r="F111" s="278"/>
      <c r="H111" s="278"/>
      <c r="I111" s="278"/>
      <c r="J111" s="240"/>
      <c r="L111" s="278"/>
      <c r="M111" s="240"/>
    </row>
    <row r="112" spans="1:13" ht="14.25" customHeight="1" x14ac:dyDescent="0.25">
      <c r="A112" s="240"/>
      <c r="F112" s="278"/>
      <c r="H112" s="278"/>
      <c r="I112" s="278"/>
      <c r="J112" s="240"/>
      <c r="L112" s="278"/>
      <c r="M112" s="240"/>
    </row>
    <row r="113" spans="1:13" ht="14.25" customHeight="1" x14ac:dyDescent="0.25">
      <c r="A113" s="240"/>
      <c r="F113" s="278"/>
      <c r="H113" s="278"/>
      <c r="I113" s="278"/>
      <c r="J113" s="240"/>
      <c r="L113" s="278"/>
      <c r="M113" s="240"/>
    </row>
    <row r="114" spans="1:13" ht="14.25" customHeight="1" x14ac:dyDescent="0.25">
      <c r="A114" s="240"/>
      <c r="F114" s="278"/>
      <c r="H114" s="278"/>
      <c r="I114" s="278"/>
      <c r="J114" s="240"/>
      <c r="L114" s="278"/>
      <c r="M114" s="240"/>
    </row>
    <row r="115" spans="1:13" ht="14.25" customHeight="1" x14ac:dyDescent="0.25">
      <c r="A115" s="240"/>
      <c r="F115" s="278"/>
      <c r="H115" s="278"/>
      <c r="I115" s="278"/>
      <c r="J115" s="240"/>
      <c r="L115" s="278"/>
      <c r="M115" s="240"/>
    </row>
    <row r="116" spans="1:13" ht="14.25" customHeight="1" x14ac:dyDescent="0.25">
      <c r="A116" s="240"/>
      <c r="F116" s="278"/>
      <c r="H116" s="278"/>
      <c r="I116" s="278"/>
      <c r="J116" s="240"/>
      <c r="L116" s="278"/>
      <c r="M116" s="240"/>
    </row>
    <row r="117" spans="1:13" ht="14.25" customHeight="1" x14ac:dyDescent="0.25">
      <c r="A117" s="240"/>
      <c r="F117" s="278"/>
      <c r="H117" s="278"/>
      <c r="I117" s="278"/>
      <c r="J117" s="240"/>
      <c r="L117" s="278"/>
      <c r="M117" s="240"/>
    </row>
    <row r="118" spans="1:13" ht="14.25" customHeight="1" x14ac:dyDescent="0.25">
      <c r="A118" s="240"/>
      <c r="F118" s="278"/>
      <c r="H118" s="278"/>
      <c r="I118" s="278"/>
      <c r="J118" s="240"/>
      <c r="L118" s="278"/>
      <c r="M118" s="240"/>
    </row>
    <row r="119" spans="1:13" ht="14.25" customHeight="1" x14ac:dyDescent="0.25">
      <c r="A119" s="240"/>
      <c r="F119" s="278"/>
      <c r="H119" s="278"/>
      <c r="I119" s="278"/>
      <c r="J119" s="240"/>
      <c r="L119" s="278"/>
      <c r="M119" s="240"/>
    </row>
    <row r="120" spans="1:13" ht="14.25" customHeight="1" x14ac:dyDescent="0.25">
      <c r="A120" s="240"/>
      <c r="F120" s="278"/>
      <c r="H120" s="278"/>
      <c r="I120" s="278"/>
      <c r="J120" s="240"/>
      <c r="L120" s="278"/>
      <c r="M120" s="240"/>
    </row>
    <row r="121" spans="1:13" ht="14.25" customHeight="1" x14ac:dyDescent="0.25">
      <c r="A121" s="240"/>
      <c r="F121" s="278"/>
      <c r="H121" s="278"/>
      <c r="I121" s="278"/>
      <c r="J121" s="240"/>
      <c r="L121" s="278"/>
      <c r="M121" s="240"/>
    </row>
    <row r="122" spans="1:13" ht="14.25" customHeight="1" x14ac:dyDescent="0.25">
      <c r="A122" s="240"/>
      <c r="F122" s="278"/>
      <c r="H122" s="278"/>
      <c r="I122" s="278"/>
      <c r="J122" s="240"/>
      <c r="L122" s="278"/>
      <c r="M122" s="240"/>
    </row>
    <row r="123" spans="1:13" ht="14.25" customHeight="1" x14ac:dyDescent="0.25">
      <c r="A123" s="240"/>
      <c r="F123" s="278"/>
      <c r="H123" s="278"/>
      <c r="I123" s="278"/>
      <c r="J123" s="240"/>
      <c r="L123" s="278"/>
      <c r="M123" s="240"/>
    </row>
    <row r="124" spans="1:13" ht="14.25" customHeight="1" x14ac:dyDescent="0.25">
      <c r="A124" s="240"/>
      <c r="F124" s="278"/>
      <c r="H124" s="278"/>
      <c r="I124" s="278"/>
      <c r="J124" s="240"/>
      <c r="L124" s="278"/>
      <c r="M124" s="240"/>
    </row>
    <row r="125" spans="1:13" ht="14.25" customHeight="1" x14ac:dyDescent="0.25">
      <c r="A125" s="240"/>
      <c r="F125" s="278"/>
      <c r="H125" s="278"/>
      <c r="I125" s="278"/>
      <c r="J125" s="240"/>
      <c r="L125" s="278"/>
      <c r="M125" s="240"/>
    </row>
    <row r="126" spans="1:13" ht="14.25" customHeight="1" x14ac:dyDescent="0.25">
      <c r="A126" s="240"/>
      <c r="F126" s="278"/>
      <c r="H126" s="278"/>
      <c r="I126" s="278"/>
      <c r="J126" s="240"/>
      <c r="L126" s="278"/>
      <c r="M126" s="240"/>
    </row>
    <row r="127" spans="1:13" ht="14.25" customHeight="1" x14ac:dyDescent="0.25">
      <c r="A127" s="240"/>
      <c r="F127" s="278"/>
      <c r="H127" s="278"/>
      <c r="I127" s="278"/>
      <c r="J127" s="240"/>
      <c r="L127" s="278"/>
      <c r="M127" s="240"/>
    </row>
    <row r="128" spans="1:13" ht="14.25" customHeight="1" x14ac:dyDescent="0.25">
      <c r="A128" s="240"/>
      <c r="F128" s="278"/>
      <c r="H128" s="278"/>
      <c r="I128" s="278"/>
      <c r="J128" s="240"/>
      <c r="L128" s="278"/>
      <c r="M128" s="240"/>
    </row>
    <row r="129" spans="1:13" ht="14.25" customHeight="1" x14ac:dyDescent="0.25">
      <c r="A129" s="240"/>
      <c r="F129" s="278"/>
      <c r="H129" s="278"/>
      <c r="I129" s="278"/>
      <c r="J129" s="240"/>
      <c r="L129" s="278"/>
      <c r="M129" s="240"/>
    </row>
    <row r="130" spans="1:13" ht="14.25" customHeight="1" x14ac:dyDescent="0.25">
      <c r="A130" s="240"/>
      <c r="F130" s="278"/>
      <c r="H130" s="278"/>
      <c r="I130" s="278"/>
      <c r="J130" s="240"/>
      <c r="L130" s="278"/>
      <c r="M130" s="240"/>
    </row>
    <row r="131" spans="1:13" ht="14.25" customHeight="1" x14ac:dyDescent="0.25">
      <c r="A131" s="240"/>
      <c r="F131" s="278"/>
      <c r="H131" s="278"/>
      <c r="I131" s="278"/>
      <c r="J131" s="240"/>
      <c r="L131" s="278"/>
      <c r="M131" s="240"/>
    </row>
    <row r="132" spans="1:13" ht="14.25" customHeight="1" x14ac:dyDescent="0.25">
      <c r="A132" s="240"/>
      <c r="F132" s="278"/>
      <c r="H132" s="278"/>
      <c r="I132" s="278"/>
      <c r="J132" s="240"/>
      <c r="L132" s="278"/>
      <c r="M132" s="240"/>
    </row>
    <row r="133" spans="1:13" ht="14.25" customHeight="1" x14ac:dyDescent="0.25">
      <c r="A133" s="240"/>
      <c r="F133" s="278"/>
      <c r="H133" s="278"/>
      <c r="I133" s="278"/>
      <c r="J133" s="240"/>
      <c r="L133" s="278"/>
      <c r="M133" s="240"/>
    </row>
    <row r="134" spans="1:13" ht="14.25" customHeight="1" x14ac:dyDescent="0.25">
      <c r="A134" s="240"/>
      <c r="F134" s="278"/>
      <c r="H134" s="278"/>
      <c r="I134" s="278"/>
      <c r="J134" s="240"/>
      <c r="L134" s="278"/>
      <c r="M134" s="240"/>
    </row>
    <row r="135" spans="1:13" ht="14.25" customHeight="1" x14ac:dyDescent="0.25">
      <c r="A135" s="240"/>
      <c r="F135" s="278"/>
      <c r="H135" s="278"/>
      <c r="I135" s="278"/>
      <c r="J135" s="240"/>
      <c r="L135" s="278"/>
      <c r="M135" s="240"/>
    </row>
    <row r="136" spans="1:13" ht="14.25" customHeight="1" x14ac:dyDescent="0.25">
      <c r="A136" s="240"/>
      <c r="F136" s="278"/>
      <c r="H136" s="278"/>
      <c r="I136" s="278"/>
      <c r="J136" s="240"/>
      <c r="L136" s="278"/>
      <c r="M136" s="240"/>
    </row>
    <row r="137" spans="1:13" ht="14.25" customHeight="1" x14ac:dyDescent="0.25">
      <c r="A137" s="240"/>
      <c r="F137" s="278"/>
      <c r="H137" s="278"/>
      <c r="I137" s="278"/>
      <c r="J137" s="240"/>
      <c r="L137" s="278"/>
      <c r="M137" s="240"/>
    </row>
    <row r="138" spans="1:13" ht="14.25" customHeight="1" x14ac:dyDescent="0.25">
      <c r="A138" s="240"/>
      <c r="F138" s="278"/>
      <c r="H138" s="278"/>
      <c r="I138" s="278"/>
      <c r="J138" s="240"/>
      <c r="L138" s="278"/>
      <c r="M138" s="240"/>
    </row>
    <row r="139" spans="1:13" ht="14.25" customHeight="1" x14ac:dyDescent="0.25">
      <c r="A139" s="240"/>
      <c r="F139" s="278"/>
      <c r="H139" s="278"/>
      <c r="I139" s="278"/>
      <c r="J139" s="240"/>
      <c r="L139" s="278"/>
      <c r="M139" s="240"/>
    </row>
    <row r="140" spans="1:13" ht="14.25" customHeight="1" x14ac:dyDescent="0.25">
      <c r="A140" s="240"/>
      <c r="F140" s="278"/>
      <c r="H140" s="278"/>
      <c r="I140" s="278"/>
      <c r="J140" s="240"/>
      <c r="L140" s="278"/>
      <c r="M140" s="240"/>
    </row>
    <row r="141" spans="1:13" ht="14.25" customHeight="1" x14ac:dyDescent="0.25">
      <c r="A141" s="240"/>
      <c r="F141" s="278"/>
      <c r="H141" s="278"/>
      <c r="I141" s="278"/>
      <c r="J141" s="240"/>
      <c r="L141" s="278"/>
      <c r="M141" s="240"/>
    </row>
    <row r="142" spans="1:13" ht="14.25" customHeight="1" x14ac:dyDescent="0.25">
      <c r="A142" s="240"/>
      <c r="F142" s="278"/>
      <c r="H142" s="278"/>
      <c r="I142" s="278"/>
      <c r="J142" s="240"/>
      <c r="L142" s="278"/>
      <c r="M142" s="240"/>
    </row>
    <row r="143" spans="1:13" ht="14.25" customHeight="1" x14ac:dyDescent="0.25">
      <c r="A143" s="240"/>
      <c r="F143" s="278"/>
      <c r="H143" s="278"/>
      <c r="I143" s="278"/>
      <c r="J143" s="240"/>
      <c r="L143" s="278"/>
      <c r="M143" s="240"/>
    </row>
    <row r="144" spans="1:13" ht="14.25" customHeight="1" x14ac:dyDescent="0.25">
      <c r="A144" s="240"/>
      <c r="F144" s="278"/>
      <c r="H144" s="278"/>
      <c r="I144" s="278"/>
      <c r="J144" s="240"/>
      <c r="L144" s="278"/>
      <c r="M144" s="240"/>
    </row>
    <row r="145" spans="1:13" ht="14.25" customHeight="1" x14ac:dyDescent="0.25">
      <c r="A145" s="240"/>
      <c r="F145" s="278"/>
      <c r="H145" s="278"/>
      <c r="I145" s="278"/>
      <c r="J145" s="240"/>
      <c r="L145" s="278"/>
      <c r="M145" s="240"/>
    </row>
    <row r="146" spans="1:13" ht="14.25" customHeight="1" x14ac:dyDescent="0.25">
      <c r="A146" s="240"/>
      <c r="F146" s="278"/>
      <c r="H146" s="278"/>
      <c r="I146" s="278"/>
      <c r="J146" s="240"/>
      <c r="L146" s="278"/>
      <c r="M146" s="240"/>
    </row>
    <row r="147" spans="1:13" ht="14.25" customHeight="1" x14ac:dyDescent="0.25">
      <c r="A147" s="240"/>
      <c r="F147" s="278"/>
      <c r="H147" s="278"/>
      <c r="I147" s="278"/>
      <c r="J147" s="240"/>
      <c r="L147" s="278"/>
      <c r="M147" s="240"/>
    </row>
    <row r="148" spans="1:13" ht="14.25" customHeight="1" x14ac:dyDescent="0.25">
      <c r="A148" s="240"/>
      <c r="F148" s="278"/>
      <c r="H148" s="278"/>
      <c r="I148" s="278"/>
      <c r="J148" s="240"/>
      <c r="L148" s="278"/>
      <c r="M148" s="240"/>
    </row>
    <row r="149" spans="1:13" ht="14.25" customHeight="1" x14ac:dyDescent="0.25">
      <c r="A149" s="240"/>
      <c r="F149" s="278"/>
      <c r="H149" s="278"/>
      <c r="I149" s="278"/>
      <c r="J149" s="240"/>
      <c r="L149" s="278"/>
      <c r="M149" s="240"/>
    </row>
    <row r="150" spans="1:13" ht="14.25" customHeight="1" x14ac:dyDescent="0.25">
      <c r="A150" s="240"/>
      <c r="F150" s="278"/>
      <c r="H150" s="278"/>
      <c r="I150" s="278"/>
      <c r="J150" s="240"/>
      <c r="L150" s="278"/>
      <c r="M150" s="240"/>
    </row>
    <row r="151" spans="1:13" ht="14.25" customHeight="1" x14ac:dyDescent="0.25">
      <c r="A151" s="240"/>
      <c r="F151" s="278"/>
      <c r="H151" s="278"/>
      <c r="I151" s="278"/>
      <c r="J151" s="240"/>
      <c r="L151" s="278"/>
      <c r="M151" s="240"/>
    </row>
    <row r="152" spans="1:13" ht="14.25" customHeight="1" x14ac:dyDescent="0.25">
      <c r="A152" s="240"/>
      <c r="F152" s="278"/>
      <c r="H152" s="278"/>
      <c r="I152" s="278"/>
      <c r="J152" s="240"/>
      <c r="L152" s="278"/>
      <c r="M152" s="240"/>
    </row>
    <row r="153" spans="1:13" ht="14.25" customHeight="1" x14ac:dyDescent="0.25">
      <c r="A153" s="240"/>
      <c r="F153" s="278"/>
      <c r="H153" s="278"/>
      <c r="I153" s="278"/>
      <c r="J153" s="240"/>
      <c r="L153" s="278"/>
      <c r="M153" s="240"/>
    </row>
    <row r="154" spans="1:13" ht="14.25" customHeight="1" x14ac:dyDescent="0.25">
      <c r="A154" s="240"/>
      <c r="F154" s="278"/>
      <c r="H154" s="278"/>
      <c r="I154" s="278"/>
      <c r="J154" s="240"/>
      <c r="L154" s="278"/>
      <c r="M154" s="240"/>
    </row>
    <row r="155" spans="1:13" ht="14.25" customHeight="1" x14ac:dyDescent="0.25">
      <c r="A155" s="240"/>
      <c r="F155" s="278"/>
      <c r="H155" s="278"/>
      <c r="I155" s="278"/>
      <c r="J155" s="240"/>
      <c r="L155" s="278"/>
      <c r="M155" s="240"/>
    </row>
    <row r="156" spans="1:13" ht="14.25" customHeight="1" x14ac:dyDescent="0.25">
      <c r="A156" s="240"/>
      <c r="F156" s="278"/>
      <c r="H156" s="278"/>
      <c r="I156" s="278"/>
      <c r="J156" s="240"/>
      <c r="L156" s="278"/>
      <c r="M156" s="240"/>
    </row>
    <row r="157" spans="1:13" ht="14.25" customHeight="1" x14ac:dyDescent="0.25">
      <c r="A157" s="240"/>
      <c r="F157" s="278"/>
      <c r="H157" s="278"/>
      <c r="I157" s="278"/>
      <c r="J157" s="240"/>
      <c r="L157" s="278"/>
      <c r="M157" s="240"/>
    </row>
    <row r="158" spans="1:13" ht="14.25" customHeight="1" x14ac:dyDescent="0.25">
      <c r="A158" s="240"/>
      <c r="F158" s="278"/>
      <c r="H158" s="278"/>
      <c r="I158" s="278"/>
      <c r="J158" s="240"/>
      <c r="L158" s="278"/>
      <c r="M158" s="240"/>
    </row>
    <row r="159" spans="1:13" ht="14.25" customHeight="1" x14ac:dyDescent="0.25">
      <c r="A159" s="240"/>
      <c r="F159" s="278"/>
      <c r="H159" s="278"/>
      <c r="I159" s="278"/>
      <c r="J159" s="240"/>
      <c r="L159" s="278"/>
      <c r="M159" s="240"/>
    </row>
    <row r="160" spans="1:13" ht="14.25" customHeight="1" x14ac:dyDescent="0.25">
      <c r="A160" s="240"/>
      <c r="F160" s="278"/>
      <c r="H160" s="278"/>
      <c r="I160" s="278"/>
      <c r="J160" s="240"/>
      <c r="L160" s="278"/>
      <c r="M160" s="240"/>
    </row>
    <row r="161" spans="1:13" ht="14.25" customHeight="1" x14ac:dyDescent="0.25">
      <c r="A161" s="240"/>
      <c r="F161" s="278"/>
      <c r="H161" s="278"/>
      <c r="I161" s="278"/>
      <c r="J161" s="240"/>
      <c r="L161" s="278"/>
      <c r="M161" s="240"/>
    </row>
    <row r="162" spans="1:13" ht="14.25" customHeight="1" x14ac:dyDescent="0.25">
      <c r="A162" s="240"/>
      <c r="F162" s="278"/>
      <c r="H162" s="278"/>
      <c r="I162" s="278"/>
      <c r="J162" s="240"/>
      <c r="L162" s="278"/>
      <c r="M162" s="240"/>
    </row>
    <row r="163" spans="1:13" ht="14.25" customHeight="1" x14ac:dyDescent="0.25">
      <c r="A163" s="240"/>
      <c r="F163" s="278"/>
      <c r="H163" s="278"/>
      <c r="I163" s="278"/>
      <c r="J163" s="240"/>
      <c r="L163" s="278"/>
      <c r="M163" s="240"/>
    </row>
    <row r="164" spans="1:13" ht="14.25" customHeight="1" x14ac:dyDescent="0.25">
      <c r="A164" s="240"/>
      <c r="F164" s="278"/>
      <c r="H164" s="278"/>
      <c r="I164" s="278"/>
      <c r="J164" s="240"/>
      <c r="L164" s="278"/>
      <c r="M164" s="240"/>
    </row>
    <row r="165" spans="1:13" ht="14.25" customHeight="1" x14ac:dyDescent="0.25">
      <c r="A165" s="240"/>
      <c r="F165" s="278"/>
      <c r="H165" s="278"/>
      <c r="I165" s="278"/>
      <c r="J165" s="240"/>
      <c r="L165" s="278"/>
      <c r="M165" s="240"/>
    </row>
    <row r="166" spans="1:13" ht="14.25" customHeight="1" x14ac:dyDescent="0.25">
      <c r="A166" s="240"/>
      <c r="F166" s="278"/>
      <c r="H166" s="278"/>
      <c r="I166" s="278"/>
      <c r="J166" s="240"/>
      <c r="L166" s="278"/>
      <c r="M166" s="240"/>
    </row>
    <row r="167" spans="1:13" ht="14.25" customHeight="1" x14ac:dyDescent="0.25">
      <c r="A167" s="240"/>
      <c r="F167" s="278"/>
      <c r="H167" s="278"/>
      <c r="I167" s="278"/>
      <c r="J167" s="240"/>
      <c r="L167" s="278"/>
      <c r="M167" s="240"/>
    </row>
    <row r="168" spans="1:13" ht="14.25" customHeight="1" x14ac:dyDescent="0.25">
      <c r="A168" s="240"/>
      <c r="F168" s="278"/>
      <c r="H168" s="278"/>
      <c r="I168" s="278"/>
      <c r="J168" s="240"/>
      <c r="L168" s="278"/>
      <c r="M168" s="240"/>
    </row>
    <row r="169" spans="1:13" ht="14.25" customHeight="1" x14ac:dyDescent="0.25">
      <c r="A169" s="240"/>
      <c r="F169" s="278"/>
      <c r="H169" s="278"/>
      <c r="I169" s="278"/>
      <c r="J169" s="240"/>
      <c r="L169" s="278"/>
      <c r="M169" s="240"/>
    </row>
    <row r="170" spans="1:13" ht="14.25" customHeight="1" x14ac:dyDescent="0.25">
      <c r="A170" s="240"/>
      <c r="F170" s="278"/>
      <c r="H170" s="278"/>
      <c r="I170" s="278"/>
      <c r="J170" s="240"/>
      <c r="L170" s="278"/>
      <c r="M170" s="240"/>
    </row>
    <row r="171" spans="1:13" ht="14.25" customHeight="1" x14ac:dyDescent="0.25">
      <c r="A171" s="240"/>
      <c r="F171" s="278"/>
      <c r="H171" s="278"/>
      <c r="I171" s="278"/>
      <c r="J171" s="240"/>
      <c r="L171" s="278"/>
      <c r="M171" s="240"/>
    </row>
    <row r="172" spans="1:13" ht="14.25" customHeight="1" x14ac:dyDescent="0.25">
      <c r="A172" s="240"/>
      <c r="F172" s="278"/>
      <c r="H172" s="278"/>
      <c r="I172" s="278"/>
      <c r="J172" s="240"/>
      <c r="L172" s="278"/>
      <c r="M172" s="240"/>
    </row>
    <row r="173" spans="1:13" ht="14.25" customHeight="1" x14ac:dyDescent="0.25">
      <c r="A173" s="240"/>
      <c r="F173" s="278"/>
      <c r="H173" s="278"/>
      <c r="I173" s="278"/>
      <c r="J173" s="240"/>
      <c r="L173" s="278"/>
      <c r="M173" s="240"/>
    </row>
    <row r="174" spans="1:13" ht="14.25" customHeight="1" x14ac:dyDescent="0.25">
      <c r="A174" s="240"/>
      <c r="F174" s="278"/>
      <c r="H174" s="278"/>
      <c r="I174" s="278"/>
      <c r="J174" s="240"/>
      <c r="L174" s="278"/>
      <c r="M174" s="240"/>
    </row>
    <row r="175" spans="1:13" ht="14.25" customHeight="1" x14ac:dyDescent="0.25">
      <c r="A175" s="240"/>
      <c r="F175" s="278"/>
      <c r="H175" s="278"/>
      <c r="I175" s="278"/>
      <c r="J175" s="240"/>
      <c r="L175" s="278"/>
      <c r="M175" s="240"/>
    </row>
    <row r="176" spans="1:13" ht="14.25" customHeight="1" x14ac:dyDescent="0.25">
      <c r="A176" s="240"/>
      <c r="F176" s="278"/>
      <c r="H176" s="278"/>
      <c r="I176" s="278"/>
      <c r="J176" s="240"/>
      <c r="L176" s="278"/>
      <c r="M176" s="240"/>
    </row>
    <row r="177" spans="1:13" ht="14.25" customHeight="1" x14ac:dyDescent="0.25">
      <c r="A177" s="240"/>
      <c r="F177" s="278"/>
      <c r="H177" s="278"/>
      <c r="I177" s="278"/>
      <c r="J177" s="240"/>
      <c r="L177" s="278"/>
      <c r="M177" s="240"/>
    </row>
    <row r="178" spans="1:13" ht="14.25" customHeight="1" x14ac:dyDescent="0.25">
      <c r="A178" s="240"/>
      <c r="F178" s="278"/>
      <c r="H178" s="278"/>
      <c r="I178" s="278"/>
      <c r="J178" s="240"/>
      <c r="L178" s="278"/>
      <c r="M178" s="240"/>
    </row>
    <row r="179" spans="1:13" ht="14.25" customHeight="1" x14ac:dyDescent="0.25">
      <c r="A179" s="240"/>
      <c r="F179" s="278"/>
      <c r="H179" s="278"/>
      <c r="I179" s="278"/>
      <c r="J179" s="240"/>
      <c r="L179" s="278"/>
      <c r="M179" s="240"/>
    </row>
    <row r="180" spans="1:13" ht="14.25" customHeight="1" x14ac:dyDescent="0.25">
      <c r="A180" s="240"/>
      <c r="F180" s="278"/>
      <c r="H180" s="278"/>
      <c r="I180" s="278"/>
      <c r="J180" s="240"/>
      <c r="L180" s="278"/>
      <c r="M180" s="240"/>
    </row>
    <row r="181" spans="1:13" ht="14.25" customHeight="1" x14ac:dyDescent="0.25">
      <c r="A181" s="240"/>
      <c r="F181" s="278"/>
      <c r="H181" s="278"/>
      <c r="I181" s="278"/>
      <c r="J181" s="240"/>
      <c r="L181" s="278"/>
      <c r="M181" s="240"/>
    </row>
    <row r="182" spans="1:13" ht="14.25" customHeight="1" x14ac:dyDescent="0.25">
      <c r="A182" s="240"/>
      <c r="F182" s="278"/>
      <c r="H182" s="278"/>
      <c r="I182" s="278"/>
      <c r="J182" s="240"/>
      <c r="L182" s="278"/>
      <c r="M182" s="240"/>
    </row>
    <row r="183" spans="1:13" ht="14.25" customHeight="1" x14ac:dyDescent="0.25">
      <c r="A183" s="240"/>
      <c r="F183" s="278"/>
      <c r="H183" s="278"/>
      <c r="I183" s="278"/>
      <c r="J183" s="240"/>
      <c r="L183" s="278"/>
      <c r="M183" s="240"/>
    </row>
    <row r="184" spans="1:13" ht="14.25" customHeight="1" x14ac:dyDescent="0.25">
      <c r="A184" s="240"/>
      <c r="F184" s="278"/>
      <c r="H184" s="278"/>
      <c r="I184" s="278"/>
      <c r="J184" s="240"/>
      <c r="L184" s="278"/>
      <c r="M184" s="240"/>
    </row>
    <row r="185" spans="1:13" ht="14.25" customHeight="1" x14ac:dyDescent="0.25">
      <c r="A185" s="240"/>
      <c r="F185" s="278"/>
      <c r="H185" s="278"/>
      <c r="I185" s="278"/>
      <c r="J185" s="240"/>
      <c r="L185" s="278"/>
      <c r="M185" s="240"/>
    </row>
    <row r="186" spans="1:13" ht="14.25" customHeight="1" x14ac:dyDescent="0.25">
      <c r="A186" s="240"/>
      <c r="F186" s="278"/>
      <c r="H186" s="278"/>
      <c r="I186" s="278"/>
      <c r="J186" s="240"/>
      <c r="L186" s="278"/>
      <c r="M186" s="240"/>
    </row>
    <row r="187" spans="1:13" ht="14.25" customHeight="1" x14ac:dyDescent="0.25">
      <c r="A187" s="240"/>
      <c r="F187" s="278"/>
      <c r="H187" s="278"/>
      <c r="I187" s="278"/>
      <c r="J187" s="240"/>
      <c r="L187" s="278"/>
      <c r="M187" s="240"/>
    </row>
    <row r="188" spans="1:13" ht="14.25" customHeight="1" x14ac:dyDescent="0.25">
      <c r="A188" s="240"/>
      <c r="F188" s="278"/>
      <c r="H188" s="278"/>
      <c r="I188" s="278"/>
      <c r="J188" s="240"/>
      <c r="L188" s="278"/>
      <c r="M188" s="240"/>
    </row>
    <row r="189" spans="1:13" ht="14.25" customHeight="1" x14ac:dyDescent="0.25">
      <c r="A189" s="240"/>
      <c r="F189" s="278"/>
      <c r="H189" s="278"/>
      <c r="I189" s="278"/>
      <c r="J189" s="240"/>
      <c r="L189" s="278"/>
      <c r="M189" s="240"/>
    </row>
    <row r="190" spans="1:13" ht="14.25" customHeight="1" x14ac:dyDescent="0.25">
      <c r="A190" s="240"/>
      <c r="F190" s="278"/>
      <c r="H190" s="278"/>
      <c r="I190" s="278"/>
      <c r="J190" s="240"/>
      <c r="L190" s="278"/>
      <c r="M190" s="240"/>
    </row>
    <row r="191" spans="1:13" ht="14.25" customHeight="1" x14ac:dyDescent="0.25">
      <c r="A191" s="240"/>
      <c r="F191" s="278"/>
      <c r="H191" s="278"/>
      <c r="I191" s="278"/>
      <c r="J191" s="240"/>
      <c r="L191" s="278"/>
      <c r="M191" s="240"/>
    </row>
    <row r="192" spans="1:13" ht="14.25" customHeight="1" x14ac:dyDescent="0.25">
      <c r="A192" s="240"/>
      <c r="F192" s="278"/>
      <c r="H192" s="278"/>
      <c r="I192" s="278"/>
      <c r="J192" s="240"/>
      <c r="L192" s="278"/>
      <c r="M192" s="240"/>
    </row>
    <row r="193" spans="1:13" ht="14.25" customHeight="1" x14ac:dyDescent="0.25">
      <c r="A193" s="240"/>
      <c r="F193" s="278"/>
      <c r="H193" s="278"/>
      <c r="I193" s="278"/>
      <c r="J193" s="240"/>
      <c r="L193" s="278"/>
      <c r="M193" s="240"/>
    </row>
    <row r="194" spans="1:13" ht="14.25" customHeight="1" x14ac:dyDescent="0.25">
      <c r="A194" s="240"/>
      <c r="F194" s="278"/>
      <c r="H194" s="278"/>
      <c r="I194" s="278"/>
      <c r="J194" s="240"/>
      <c r="L194" s="278"/>
      <c r="M194" s="240"/>
    </row>
    <row r="195" spans="1:13" ht="14.25" customHeight="1" x14ac:dyDescent="0.25">
      <c r="A195" s="240"/>
      <c r="F195" s="278"/>
      <c r="H195" s="278"/>
      <c r="I195" s="278"/>
      <c r="J195" s="240"/>
      <c r="L195" s="278"/>
      <c r="M195" s="240"/>
    </row>
    <row r="196" spans="1:13" ht="14.25" customHeight="1" x14ac:dyDescent="0.25">
      <c r="A196" s="240"/>
      <c r="F196" s="278"/>
      <c r="H196" s="278"/>
      <c r="I196" s="278"/>
      <c r="J196" s="240"/>
      <c r="L196" s="278"/>
      <c r="M196" s="240"/>
    </row>
    <row r="197" spans="1:13" ht="14.25" customHeight="1" x14ac:dyDescent="0.25">
      <c r="A197" s="240"/>
      <c r="F197" s="278"/>
      <c r="H197" s="278"/>
      <c r="I197" s="278"/>
      <c r="J197" s="240"/>
      <c r="L197" s="278"/>
      <c r="M197" s="240"/>
    </row>
    <row r="198" spans="1:13" ht="14.25" customHeight="1" x14ac:dyDescent="0.25">
      <c r="A198" s="240"/>
      <c r="F198" s="278"/>
      <c r="H198" s="278"/>
      <c r="I198" s="278"/>
      <c r="J198" s="240"/>
      <c r="L198" s="278"/>
      <c r="M198" s="240"/>
    </row>
    <row r="199" spans="1:13" ht="14.25" customHeight="1" x14ac:dyDescent="0.25">
      <c r="A199" s="240"/>
      <c r="F199" s="278"/>
      <c r="H199" s="278"/>
      <c r="I199" s="278"/>
      <c r="J199" s="240"/>
      <c r="L199" s="278"/>
      <c r="M199" s="240"/>
    </row>
    <row r="200" spans="1:13" ht="14.25" customHeight="1" x14ac:dyDescent="0.25">
      <c r="A200" s="240"/>
      <c r="F200" s="278"/>
      <c r="H200" s="278"/>
      <c r="I200" s="278"/>
      <c r="J200" s="240"/>
      <c r="L200" s="278"/>
      <c r="M200" s="240"/>
    </row>
    <row r="201" spans="1:13" ht="14.25" customHeight="1" x14ac:dyDescent="0.25">
      <c r="A201" s="240"/>
      <c r="F201" s="278"/>
      <c r="H201" s="278"/>
      <c r="I201" s="278"/>
      <c r="J201" s="240"/>
      <c r="L201" s="278"/>
      <c r="M201" s="240"/>
    </row>
    <row r="202" spans="1:13" ht="14.25" customHeight="1" x14ac:dyDescent="0.25">
      <c r="A202" s="240"/>
      <c r="F202" s="278"/>
      <c r="H202" s="278"/>
      <c r="I202" s="278"/>
      <c r="J202" s="240"/>
      <c r="L202" s="278"/>
      <c r="M202" s="240"/>
    </row>
    <row r="203" spans="1:13" ht="14.25" customHeight="1" x14ac:dyDescent="0.25">
      <c r="A203" s="240"/>
      <c r="F203" s="278"/>
      <c r="H203" s="278"/>
      <c r="I203" s="278"/>
      <c r="J203" s="240"/>
      <c r="L203" s="278"/>
      <c r="M203" s="240"/>
    </row>
    <row r="204" spans="1:13" ht="14.25" customHeight="1" x14ac:dyDescent="0.25">
      <c r="A204" s="240"/>
      <c r="F204" s="278"/>
      <c r="H204" s="278"/>
      <c r="I204" s="278"/>
      <c r="J204" s="240"/>
      <c r="L204" s="278"/>
      <c r="M204" s="240"/>
    </row>
    <row r="205" spans="1:13" ht="14.25" customHeight="1" x14ac:dyDescent="0.25">
      <c r="A205" s="240"/>
      <c r="F205" s="278"/>
      <c r="H205" s="278"/>
      <c r="I205" s="278"/>
      <c r="J205" s="240"/>
      <c r="L205" s="278"/>
      <c r="M205" s="240"/>
    </row>
    <row r="206" spans="1:13" ht="14.25" customHeight="1" x14ac:dyDescent="0.25">
      <c r="A206" s="240"/>
      <c r="F206" s="278"/>
      <c r="H206" s="278"/>
      <c r="I206" s="278"/>
      <c r="J206" s="240"/>
      <c r="L206" s="278"/>
      <c r="M206" s="240"/>
    </row>
    <row r="207" spans="1:13" ht="14.25" customHeight="1" x14ac:dyDescent="0.25">
      <c r="A207" s="240"/>
      <c r="F207" s="278"/>
      <c r="H207" s="278"/>
      <c r="I207" s="278"/>
      <c r="J207" s="240"/>
      <c r="L207" s="278"/>
      <c r="M207" s="240"/>
    </row>
    <row r="208" spans="1:13" ht="14.25" customHeight="1" x14ac:dyDescent="0.25">
      <c r="A208" s="240"/>
      <c r="F208" s="278"/>
      <c r="H208" s="278"/>
      <c r="I208" s="278"/>
      <c r="J208" s="240"/>
      <c r="L208" s="278"/>
      <c r="M208" s="240"/>
    </row>
    <row r="209" spans="1:13" ht="14.25" customHeight="1" x14ac:dyDescent="0.25">
      <c r="A209" s="240"/>
      <c r="F209" s="278"/>
      <c r="H209" s="278"/>
      <c r="I209" s="278"/>
      <c r="J209" s="240"/>
      <c r="L209" s="278"/>
      <c r="M209" s="240"/>
    </row>
    <row r="210" spans="1:13" ht="14.25" customHeight="1" x14ac:dyDescent="0.25">
      <c r="A210" s="240"/>
      <c r="F210" s="278"/>
      <c r="H210" s="278"/>
      <c r="I210" s="278"/>
      <c r="J210" s="240"/>
      <c r="L210" s="278"/>
      <c r="M210" s="240"/>
    </row>
    <row r="211" spans="1:13" ht="14.25" customHeight="1" x14ac:dyDescent="0.25">
      <c r="A211" s="240"/>
      <c r="F211" s="278"/>
      <c r="H211" s="278"/>
      <c r="I211" s="278"/>
      <c r="J211" s="240"/>
      <c r="L211" s="278"/>
      <c r="M211" s="240"/>
    </row>
    <row r="212" spans="1:13" ht="14.25" customHeight="1" x14ac:dyDescent="0.25">
      <c r="A212" s="240"/>
      <c r="F212" s="278"/>
      <c r="H212" s="278"/>
      <c r="I212" s="278"/>
      <c r="J212" s="240"/>
      <c r="L212" s="278"/>
      <c r="M212" s="240"/>
    </row>
    <row r="213" spans="1:13" ht="14.25" customHeight="1" x14ac:dyDescent="0.25">
      <c r="A213" s="240"/>
      <c r="F213" s="278"/>
      <c r="H213" s="278"/>
      <c r="I213" s="278"/>
      <c r="J213" s="240"/>
      <c r="L213" s="278"/>
      <c r="M213" s="240"/>
    </row>
    <row r="214" spans="1:13" ht="14.25" customHeight="1" x14ac:dyDescent="0.25">
      <c r="A214" s="240"/>
      <c r="F214" s="278"/>
      <c r="H214" s="278"/>
      <c r="I214" s="278"/>
      <c r="J214" s="240"/>
      <c r="L214" s="278"/>
      <c r="M214" s="240"/>
    </row>
    <row r="215" spans="1:13" ht="14.25" customHeight="1" x14ac:dyDescent="0.25">
      <c r="A215" s="240"/>
      <c r="F215" s="278"/>
      <c r="H215" s="278"/>
      <c r="I215" s="278"/>
      <c r="J215" s="240"/>
      <c r="L215" s="278"/>
      <c r="M215" s="240"/>
    </row>
    <row r="216" spans="1:13" ht="14.25" customHeight="1" x14ac:dyDescent="0.25">
      <c r="A216" s="240"/>
      <c r="F216" s="278"/>
      <c r="H216" s="278"/>
      <c r="I216" s="278"/>
      <c r="J216" s="240"/>
      <c r="L216" s="278"/>
      <c r="M216" s="240"/>
    </row>
    <row r="217" spans="1:13" ht="14.25" customHeight="1" x14ac:dyDescent="0.25">
      <c r="A217" s="240"/>
      <c r="F217" s="278"/>
      <c r="H217" s="278"/>
      <c r="I217" s="278"/>
      <c r="J217" s="240"/>
      <c r="L217" s="278"/>
      <c r="M217" s="240"/>
    </row>
    <row r="218" spans="1:13" ht="14.25" customHeight="1" x14ac:dyDescent="0.25">
      <c r="A218" s="240"/>
      <c r="F218" s="278"/>
      <c r="H218" s="278"/>
      <c r="I218" s="278"/>
      <c r="J218" s="240"/>
      <c r="L218" s="278"/>
      <c r="M218" s="240"/>
    </row>
    <row r="219" spans="1:13" ht="14.25" customHeight="1" x14ac:dyDescent="0.25">
      <c r="A219" s="240"/>
      <c r="F219" s="278"/>
      <c r="H219" s="278"/>
      <c r="I219" s="278"/>
      <c r="J219" s="240"/>
      <c r="L219" s="278"/>
      <c r="M219" s="240"/>
    </row>
    <row r="220" spans="1:13" ht="14.25" customHeight="1" x14ac:dyDescent="0.25">
      <c r="A220" s="240"/>
      <c r="F220" s="278"/>
      <c r="H220" s="278"/>
      <c r="I220" s="278"/>
      <c r="J220" s="240"/>
      <c r="L220" s="278"/>
      <c r="M220" s="240"/>
    </row>
    <row r="221" spans="1:13" ht="14.25" customHeight="1" x14ac:dyDescent="0.25">
      <c r="A221" s="240"/>
      <c r="F221" s="278"/>
      <c r="H221" s="278"/>
      <c r="I221" s="278"/>
      <c r="J221" s="240"/>
      <c r="L221" s="278"/>
      <c r="M221" s="240"/>
    </row>
    <row r="222" spans="1:13" ht="14.25" customHeight="1" x14ac:dyDescent="0.25">
      <c r="A222" s="240"/>
      <c r="F222" s="278"/>
      <c r="H222" s="278"/>
      <c r="I222" s="278"/>
      <c r="J222" s="240"/>
      <c r="L222" s="278"/>
      <c r="M222" s="240"/>
    </row>
    <row r="223" spans="1:13" ht="14.25" customHeight="1" x14ac:dyDescent="0.25">
      <c r="A223" s="240"/>
      <c r="F223" s="278"/>
      <c r="H223" s="278"/>
      <c r="I223" s="278"/>
      <c r="J223" s="240"/>
      <c r="L223" s="278"/>
      <c r="M223" s="240"/>
    </row>
    <row r="224" spans="1:13" ht="14.25" customHeight="1" x14ac:dyDescent="0.25">
      <c r="A224" s="240"/>
      <c r="F224" s="278"/>
      <c r="H224" s="278"/>
      <c r="I224" s="278"/>
      <c r="J224" s="240"/>
      <c r="L224" s="278"/>
      <c r="M224" s="240"/>
    </row>
    <row r="225" spans="1:13" ht="14.25" customHeight="1" x14ac:dyDescent="0.25">
      <c r="A225" s="240"/>
      <c r="F225" s="278"/>
      <c r="H225" s="278"/>
      <c r="I225" s="278"/>
      <c r="J225" s="240"/>
      <c r="L225" s="278"/>
      <c r="M225" s="240"/>
    </row>
    <row r="226" spans="1:13" ht="14.25" customHeight="1" x14ac:dyDescent="0.25">
      <c r="A226" s="240"/>
      <c r="F226" s="278"/>
      <c r="H226" s="278"/>
      <c r="I226" s="278"/>
      <c r="J226" s="240"/>
      <c r="L226" s="278"/>
      <c r="M226" s="240"/>
    </row>
    <row r="227" spans="1:13" ht="14.25" customHeight="1" x14ac:dyDescent="0.25">
      <c r="A227" s="240"/>
      <c r="F227" s="278"/>
      <c r="H227" s="278"/>
      <c r="I227" s="278"/>
      <c r="J227" s="240"/>
      <c r="L227" s="278"/>
      <c r="M227" s="240"/>
    </row>
    <row r="228" spans="1:13" ht="14.25" customHeight="1" x14ac:dyDescent="0.25">
      <c r="A228" s="240"/>
      <c r="F228" s="278"/>
      <c r="H228" s="278"/>
      <c r="I228" s="278"/>
      <c r="J228" s="240"/>
      <c r="L228" s="278"/>
      <c r="M228" s="240"/>
    </row>
    <row r="229" spans="1:13" ht="14.25" customHeight="1" x14ac:dyDescent="0.25">
      <c r="A229" s="240"/>
      <c r="F229" s="278"/>
      <c r="H229" s="278"/>
      <c r="I229" s="278"/>
      <c r="J229" s="240"/>
      <c r="L229" s="278"/>
      <c r="M229" s="240"/>
    </row>
    <row r="230" spans="1:13" ht="14.25" customHeight="1" x14ac:dyDescent="0.25">
      <c r="A230" s="240"/>
      <c r="F230" s="278"/>
      <c r="H230" s="278"/>
      <c r="I230" s="278"/>
      <c r="J230" s="240"/>
      <c r="L230" s="278"/>
      <c r="M230" s="240"/>
    </row>
    <row r="231" spans="1:13" ht="14.25" customHeight="1" x14ac:dyDescent="0.25">
      <c r="A231" s="240"/>
      <c r="F231" s="278"/>
      <c r="H231" s="278"/>
      <c r="I231" s="278"/>
      <c r="J231" s="240"/>
      <c r="L231" s="278"/>
      <c r="M231" s="240"/>
    </row>
    <row r="232" spans="1:13" ht="14.25" customHeight="1" x14ac:dyDescent="0.25">
      <c r="A232" s="240"/>
      <c r="F232" s="278"/>
      <c r="H232" s="278"/>
      <c r="I232" s="278"/>
      <c r="J232" s="240"/>
      <c r="L232" s="278"/>
      <c r="M232" s="240"/>
    </row>
    <row r="233" spans="1:13" ht="14.25" customHeight="1" x14ac:dyDescent="0.25">
      <c r="A233" s="240"/>
      <c r="F233" s="278"/>
      <c r="H233" s="278"/>
      <c r="I233" s="278"/>
      <c r="J233" s="240"/>
      <c r="L233" s="278"/>
      <c r="M233" s="240"/>
    </row>
    <row r="234" spans="1:13" ht="14.25" customHeight="1" x14ac:dyDescent="0.25">
      <c r="A234" s="240"/>
      <c r="F234" s="278"/>
      <c r="H234" s="278"/>
      <c r="I234" s="278"/>
      <c r="J234" s="240"/>
      <c r="L234" s="278"/>
      <c r="M234" s="240"/>
    </row>
    <row r="235" spans="1:13" ht="14.25" customHeight="1" x14ac:dyDescent="0.25">
      <c r="A235" s="240"/>
      <c r="F235" s="278"/>
      <c r="H235" s="278"/>
      <c r="I235" s="278"/>
      <c r="J235" s="240"/>
      <c r="L235" s="278"/>
      <c r="M235" s="240"/>
    </row>
    <row r="236" spans="1:13" ht="14.25" customHeight="1" x14ac:dyDescent="0.25">
      <c r="A236" s="240"/>
      <c r="F236" s="278"/>
      <c r="H236" s="278"/>
      <c r="I236" s="278"/>
      <c r="J236" s="240"/>
      <c r="L236" s="278"/>
      <c r="M236" s="240"/>
    </row>
    <row r="237" spans="1:13" ht="14.25" customHeight="1" x14ac:dyDescent="0.25">
      <c r="A237" s="240"/>
      <c r="F237" s="278"/>
      <c r="H237" s="278"/>
      <c r="I237" s="278"/>
      <c r="J237" s="240"/>
      <c r="L237" s="278"/>
      <c r="M237" s="240"/>
    </row>
    <row r="238" spans="1:13" ht="14.25" customHeight="1" x14ac:dyDescent="0.25">
      <c r="A238" s="240"/>
      <c r="F238" s="278"/>
      <c r="H238" s="278"/>
      <c r="I238" s="278"/>
      <c r="J238" s="240"/>
      <c r="L238" s="278"/>
      <c r="M238" s="240"/>
    </row>
    <row r="239" spans="1:13" ht="14.25" customHeight="1" x14ac:dyDescent="0.25">
      <c r="A239" s="240"/>
      <c r="F239" s="278"/>
      <c r="H239" s="278"/>
      <c r="I239" s="278"/>
      <c r="J239" s="240"/>
      <c r="L239" s="278"/>
      <c r="M239" s="240"/>
    </row>
    <row r="240" spans="1:13" ht="14.25" customHeight="1" x14ac:dyDescent="0.25">
      <c r="A240" s="240"/>
      <c r="F240" s="278"/>
      <c r="H240" s="278"/>
      <c r="I240" s="278"/>
      <c r="J240" s="240"/>
      <c r="L240" s="278"/>
      <c r="M240" s="240"/>
    </row>
    <row r="241" spans="1:13" ht="14.25" customHeight="1" x14ac:dyDescent="0.25">
      <c r="A241" s="240"/>
      <c r="F241" s="278"/>
      <c r="H241" s="278"/>
      <c r="I241" s="278"/>
      <c r="J241" s="240"/>
      <c r="L241" s="278"/>
      <c r="M241" s="240"/>
    </row>
    <row r="242" spans="1:13" ht="14.25" customHeight="1" x14ac:dyDescent="0.25">
      <c r="A242" s="240"/>
      <c r="F242" s="278"/>
      <c r="H242" s="278"/>
      <c r="I242" s="278"/>
      <c r="J242" s="240"/>
      <c r="L242" s="278"/>
      <c r="M242" s="240"/>
    </row>
    <row r="243" spans="1:13" ht="14.25" customHeight="1" x14ac:dyDescent="0.25">
      <c r="A243" s="240"/>
      <c r="F243" s="278"/>
      <c r="H243" s="278"/>
      <c r="I243" s="278"/>
      <c r="J243" s="240"/>
      <c r="L243" s="278"/>
      <c r="M243" s="240"/>
    </row>
    <row r="244" spans="1:13" ht="14.25" customHeight="1" x14ac:dyDescent="0.25">
      <c r="A244" s="240"/>
      <c r="F244" s="278"/>
      <c r="H244" s="278"/>
      <c r="I244" s="278"/>
      <c r="J244" s="240"/>
      <c r="L244" s="278"/>
      <c r="M244" s="240"/>
    </row>
    <row r="245" spans="1:13" ht="14.25" customHeight="1" x14ac:dyDescent="0.25">
      <c r="A245" s="240"/>
      <c r="F245" s="278"/>
      <c r="H245" s="278"/>
      <c r="I245" s="278"/>
      <c r="J245" s="240"/>
      <c r="L245" s="278"/>
      <c r="M245" s="240"/>
    </row>
    <row r="246" spans="1:13" ht="14.25" customHeight="1" x14ac:dyDescent="0.25">
      <c r="A246" s="240"/>
      <c r="F246" s="278"/>
      <c r="H246" s="278"/>
      <c r="I246" s="278"/>
      <c r="J246" s="240"/>
      <c r="L246" s="278"/>
      <c r="M246" s="240"/>
    </row>
    <row r="247" spans="1:13" ht="14.25" customHeight="1" x14ac:dyDescent="0.25">
      <c r="A247" s="240"/>
      <c r="F247" s="278"/>
      <c r="H247" s="278"/>
      <c r="I247" s="278"/>
      <c r="J247" s="240"/>
      <c r="L247" s="278"/>
      <c r="M247" s="240"/>
    </row>
    <row r="248" spans="1:13" ht="14.25" customHeight="1" x14ac:dyDescent="0.25">
      <c r="A248" s="240"/>
      <c r="F248" s="278"/>
      <c r="H248" s="278"/>
      <c r="I248" s="278"/>
      <c r="J248" s="240"/>
      <c r="L248" s="278"/>
      <c r="M248" s="240"/>
    </row>
    <row r="249" spans="1:13" ht="14.25" customHeight="1" x14ac:dyDescent="0.25">
      <c r="A249" s="240"/>
      <c r="F249" s="278"/>
      <c r="H249" s="278"/>
      <c r="I249" s="278"/>
      <c r="J249" s="240"/>
      <c r="L249" s="278"/>
      <c r="M249" s="240"/>
    </row>
    <row r="250" spans="1:13" ht="14.25" customHeight="1" x14ac:dyDescent="0.25">
      <c r="A250" s="240"/>
      <c r="F250" s="278"/>
      <c r="H250" s="278"/>
      <c r="I250" s="278"/>
      <c r="J250" s="240"/>
      <c r="L250" s="278"/>
      <c r="M250" s="240"/>
    </row>
    <row r="251" spans="1:13" ht="14.25" customHeight="1" x14ac:dyDescent="0.25">
      <c r="A251" s="240"/>
      <c r="F251" s="278"/>
      <c r="H251" s="278"/>
      <c r="I251" s="278"/>
      <c r="J251" s="240"/>
      <c r="L251" s="278"/>
      <c r="M251" s="240"/>
    </row>
    <row r="252" spans="1:13" ht="14.25" customHeight="1" x14ac:dyDescent="0.25">
      <c r="A252" s="240"/>
      <c r="F252" s="278"/>
      <c r="H252" s="278"/>
      <c r="I252" s="278"/>
      <c r="J252" s="240"/>
      <c r="L252" s="278"/>
      <c r="M252" s="240"/>
    </row>
    <row r="253" spans="1:13" ht="14.25" customHeight="1" x14ac:dyDescent="0.25">
      <c r="A253" s="240"/>
      <c r="F253" s="278"/>
      <c r="H253" s="278"/>
      <c r="I253" s="278"/>
      <c r="J253" s="240"/>
      <c r="L253" s="278"/>
      <c r="M253" s="240"/>
    </row>
    <row r="254" spans="1:13" ht="14.25" customHeight="1" x14ac:dyDescent="0.25">
      <c r="A254" s="240"/>
      <c r="F254" s="278"/>
      <c r="H254" s="278"/>
      <c r="I254" s="278"/>
      <c r="J254" s="240"/>
      <c r="L254" s="278"/>
      <c r="M254" s="240"/>
    </row>
    <row r="255" spans="1:13" ht="14.25" customHeight="1" x14ac:dyDescent="0.25">
      <c r="A255" s="240"/>
      <c r="F255" s="278"/>
      <c r="H255" s="278"/>
      <c r="I255" s="278"/>
      <c r="J255" s="240"/>
      <c r="L255" s="278"/>
      <c r="M255" s="240"/>
    </row>
    <row r="256" spans="1:13" ht="14.25" customHeight="1" x14ac:dyDescent="0.25">
      <c r="A256" s="240"/>
      <c r="F256" s="278"/>
      <c r="H256" s="278"/>
      <c r="I256" s="278"/>
      <c r="J256" s="240"/>
      <c r="L256" s="278"/>
      <c r="M256" s="240"/>
    </row>
    <row r="257" spans="1:13" ht="14.25" customHeight="1" x14ac:dyDescent="0.25">
      <c r="A257" s="240"/>
      <c r="F257" s="278"/>
      <c r="H257" s="278"/>
      <c r="I257" s="278"/>
      <c r="J257" s="240"/>
      <c r="L257" s="278"/>
      <c r="M257" s="240"/>
    </row>
    <row r="258" spans="1:13" ht="14.25" customHeight="1" x14ac:dyDescent="0.25">
      <c r="A258" s="240"/>
      <c r="F258" s="278"/>
      <c r="H258" s="278"/>
      <c r="I258" s="278"/>
      <c r="J258" s="240"/>
      <c r="L258" s="278"/>
      <c r="M258" s="240"/>
    </row>
    <row r="259" spans="1:13" ht="14.25" customHeight="1" x14ac:dyDescent="0.25">
      <c r="A259" s="240"/>
      <c r="F259" s="278"/>
      <c r="H259" s="278"/>
      <c r="I259" s="278"/>
      <c r="J259" s="240"/>
      <c r="L259" s="278"/>
      <c r="M259" s="240"/>
    </row>
    <row r="260" spans="1:13" ht="14.25" customHeight="1" x14ac:dyDescent="0.25">
      <c r="A260" s="240"/>
      <c r="F260" s="278"/>
      <c r="H260" s="278"/>
      <c r="I260" s="278"/>
      <c r="J260" s="240"/>
      <c r="L260" s="278"/>
      <c r="M260" s="240"/>
    </row>
    <row r="261" spans="1:13" ht="14.25" customHeight="1" x14ac:dyDescent="0.25">
      <c r="A261" s="240"/>
      <c r="F261" s="278"/>
      <c r="H261" s="278"/>
      <c r="I261" s="278"/>
      <c r="J261" s="240"/>
      <c r="L261" s="278"/>
      <c r="M261" s="240"/>
    </row>
    <row r="262" spans="1:13" ht="14.25" customHeight="1" x14ac:dyDescent="0.25">
      <c r="A262" s="240"/>
      <c r="F262" s="278"/>
      <c r="H262" s="278"/>
      <c r="I262" s="278"/>
      <c r="J262" s="240"/>
      <c r="L262" s="278"/>
      <c r="M262" s="240"/>
    </row>
    <row r="263" spans="1:13" ht="14.25" customHeight="1" x14ac:dyDescent="0.25">
      <c r="A263" s="240"/>
      <c r="F263" s="278"/>
      <c r="H263" s="278"/>
      <c r="I263" s="278"/>
      <c r="J263" s="240"/>
      <c r="L263" s="278"/>
      <c r="M263" s="240"/>
    </row>
    <row r="264" spans="1:13" ht="14.25" customHeight="1" x14ac:dyDescent="0.25">
      <c r="A264" s="240"/>
      <c r="F264" s="278"/>
      <c r="H264" s="278"/>
      <c r="I264" s="278"/>
      <c r="J264" s="240"/>
      <c r="L264" s="278"/>
      <c r="M264" s="240"/>
    </row>
    <row r="265" spans="1:13" ht="14.25" customHeight="1" x14ac:dyDescent="0.25">
      <c r="A265" s="240"/>
      <c r="F265" s="278"/>
      <c r="H265" s="278"/>
      <c r="I265" s="278"/>
      <c r="J265" s="240"/>
      <c r="L265" s="278"/>
      <c r="M265" s="240"/>
    </row>
    <row r="266" spans="1:13" ht="14.25" customHeight="1" x14ac:dyDescent="0.25">
      <c r="A266" s="240"/>
      <c r="F266" s="278"/>
      <c r="H266" s="278"/>
      <c r="I266" s="278"/>
      <c r="J266" s="240"/>
      <c r="L266" s="278"/>
      <c r="M266" s="240"/>
    </row>
    <row r="267" spans="1:13" ht="14.25" customHeight="1" x14ac:dyDescent="0.25">
      <c r="A267" s="240"/>
      <c r="F267" s="278"/>
      <c r="H267" s="278"/>
      <c r="I267" s="278"/>
      <c r="J267" s="240"/>
      <c r="L267" s="278"/>
      <c r="M267" s="240"/>
    </row>
    <row r="268" spans="1:13" ht="14.25" customHeight="1" x14ac:dyDescent="0.25">
      <c r="A268" s="240"/>
      <c r="F268" s="278"/>
      <c r="H268" s="278"/>
      <c r="I268" s="278"/>
      <c r="J268" s="240"/>
      <c r="L268" s="278"/>
      <c r="M268" s="240"/>
    </row>
    <row r="269" spans="1:13" ht="14.25" customHeight="1" x14ac:dyDescent="0.25">
      <c r="A269" s="240"/>
      <c r="F269" s="278"/>
      <c r="H269" s="278"/>
      <c r="I269" s="278"/>
      <c r="J269" s="240"/>
      <c r="L269" s="278"/>
      <c r="M269" s="240"/>
    </row>
    <row r="270" spans="1:13" ht="14.25" customHeight="1" x14ac:dyDescent="0.25">
      <c r="A270" s="240"/>
      <c r="F270" s="278"/>
      <c r="H270" s="278"/>
      <c r="I270" s="278"/>
      <c r="J270" s="240"/>
      <c r="L270" s="278"/>
      <c r="M270" s="240"/>
    </row>
    <row r="271" spans="1:13" ht="14.25" customHeight="1" x14ac:dyDescent="0.25">
      <c r="A271" s="240"/>
      <c r="F271" s="278"/>
      <c r="H271" s="278"/>
      <c r="I271" s="278"/>
      <c r="J271" s="240"/>
      <c r="L271" s="278"/>
      <c r="M271" s="240"/>
    </row>
    <row r="272" spans="1:13" ht="14.25" customHeight="1" x14ac:dyDescent="0.25">
      <c r="A272" s="240"/>
      <c r="F272" s="278"/>
      <c r="H272" s="278"/>
      <c r="I272" s="278"/>
      <c r="J272" s="240"/>
      <c r="L272" s="278"/>
      <c r="M272" s="240"/>
    </row>
    <row r="273" spans="1:13" ht="14.25" customHeight="1" x14ac:dyDescent="0.25">
      <c r="A273" s="240"/>
      <c r="F273" s="278"/>
      <c r="H273" s="278"/>
      <c r="I273" s="278"/>
      <c r="J273" s="240"/>
      <c r="L273" s="278"/>
      <c r="M273" s="240"/>
    </row>
    <row r="274" spans="1:13" ht="14.25" customHeight="1" x14ac:dyDescent="0.25">
      <c r="A274" s="240"/>
      <c r="F274" s="278"/>
      <c r="H274" s="278"/>
      <c r="I274" s="278"/>
      <c r="J274" s="240"/>
      <c r="L274" s="278"/>
      <c r="M274" s="240"/>
    </row>
    <row r="275" spans="1:13" ht="14.25" customHeight="1" x14ac:dyDescent="0.25">
      <c r="A275" s="240"/>
      <c r="F275" s="278"/>
      <c r="H275" s="278"/>
      <c r="I275" s="278"/>
      <c r="J275" s="240"/>
      <c r="L275" s="278"/>
      <c r="M275" s="240"/>
    </row>
    <row r="276" spans="1:13" ht="14.25" customHeight="1" x14ac:dyDescent="0.25">
      <c r="A276" s="240"/>
      <c r="F276" s="278"/>
      <c r="H276" s="278"/>
      <c r="I276" s="278"/>
      <c r="J276" s="240"/>
      <c r="L276" s="278"/>
      <c r="M276" s="240"/>
    </row>
    <row r="277" spans="1:13" ht="14.25" customHeight="1" x14ac:dyDescent="0.25">
      <c r="A277" s="240"/>
      <c r="F277" s="278"/>
      <c r="H277" s="278"/>
      <c r="I277" s="278"/>
      <c r="J277" s="240"/>
      <c r="L277" s="278"/>
      <c r="M277" s="240"/>
    </row>
    <row r="278" spans="1:13" ht="14.25" customHeight="1" x14ac:dyDescent="0.25">
      <c r="A278" s="240"/>
      <c r="F278" s="278"/>
      <c r="H278" s="278"/>
      <c r="I278" s="278"/>
      <c r="J278" s="240"/>
      <c r="L278" s="278"/>
      <c r="M278" s="240"/>
    </row>
    <row r="279" spans="1:13" ht="14.25" customHeight="1" x14ac:dyDescent="0.25">
      <c r="A279" s="240"/>
      <c r="F279" s="278"/>
      <c r="H279" s="278"/>
      <c r="I279" s="278"/>
      <c r="J279" s="240"/>
      <c r="L279" s="278"/>
      <c r="M279" s="240"/>
    </row>
    <row r="280" spans="1:13" ht="14.25" customHeight="1" x14ac:dyDescent="0.25">
      <c r="A280" s="240"/>
      <c r="F280" s="278"/>
      <c r="H280" s="278"/>
      <c r="I280" s="278"/>
      <c r="J280" s="240"/>
      <c r="L280" s="278"/>
      <c r="M280" s="240"/>
    </row>
    <row r="281" spans="1:13" ht="14.25" customHeight="1" x14ac:dyDescent="0.25">
      <c r="A281" s="240"/>
      <c r="F281" s="278"/>
      <c r="H281" s="278"/>
      <c r="I281" s="278"/>
      <c r="J281" s="240"/>
      <c r="L281" s="278"/>
      <c r="M281" s="240"/>
    </row>
    <row r="282" spans="1:13" ht="14.25" customHeight="1" x14ac:dyDescent="0.25">
      <c r="A282" s="240"/>
      <c r="F282" s="278"/>
      <c r="H282" s="278"/>
      <c r="I282" s="278"/>
      <c r="J282" s="240"/>
      <c r="L282" s="278"/>
      <c r="M282" s="240"/>
    </row>
    <row r="283" spans="1:13" ht="14.25" customHeight="1" x14ac:dyDescent="0.25">
      <c r="A283" s="240"/>
      <c r="F283" s="278"/>
      <c r="H283" s="278"/>
      <c r="I283" s="278"/>
      <c r="J283" s="240"/>
      <c r="L283" s="278"/>
      <c r="M283" s="240"/>
    </row>
    <row r="284" spans="1:13" ht="14.25" customHeight="1" x14ac:dyDescent="0.25">
      <c r="A284" s="240"/>
      <c r="F284" s="278"/>
      <c r="H284" s="278"/>
      <c r="I284" s="278"/>
      <c r="J284" s="240"/>
      <c r="L284" s="278"/>
      <c r="M284" s="240"/>
    </row>
    <row r="285" spans="1:13" ht="14.25" customHeight="1" x14ac:dyDescent="0.25">
      <c r="A285" s="240"/>
      <c r="F285" s="278"/>
      <c r="H285" s="278"/>
      <c r="I285" s="278"/>
      <c r="J285" s="240"/>
      <c r="L285" s="278"/>
      <c r="M285" s="240"/>
    </row>
    <row r="286" spans="1:13" ht="14.25" customHeight="1" x14ac:dyDescent="0.25">
      <c r="A286" s="240"/>
      <c r="F286" s="278"/>
      <c r="H286" s="278"/>
      <c r="I286" s="278"/>
      <c r="J286" s="240"/>
      <c r="L286" s="278"/>
      <c r="M286" s="240"/>
    </row>
    <row r="287" spans="1:13" ht="14.25" customHeight="1" x14ac:dyDescent="0.25">
      <c r="A287" s="240"/>
      <c r="F287" s="278"/>
      <c r="H287" s="278"/>
      <c r="I287" s="278"/>
      <c r="J287" s="240"/>
      <c r="L287" s="278"/>
      <c r="M287" s="240"/>
    </row>
    <row r="288" spans="1:13" ht="14.25" customHeight="1" x14ac:dyDescent="0.25">
      <c r="A288" s="240"/>
      <c r="F288" s="278"/>
      <c r="H288" s="278"/>
      <c r="I288" s="278"/>
      <c r="J288" s="240"/>
      <c r="L288" s="278"/>
      <c r="M288" s="240"/>
    </row>
    <row r="289" spans="1:13" ht="14.25" customHeight="1" x14ac:dyDescent="0.25">
      <c r="A289" s="240"/>
      <c r="F289" s="278"/>
      <c r="H289" s="278"/>
      <c r="I289" s="278"/>
      <c r="J289" s="240"/>
      <c r="L289" s="278"/>
      <c r="M289" s="240"/>
    </row>
    <row r="290" spans="1:13" ht="14.25" customHeight="1" x14ac:dyDescent="0.25">
      <c r="A290" s="240"/>
      <c r="F290" s="278"/>
      <c r="H290" s="278"/>
      <c r="I290" s="278"/>
      <c r="J290" s="240"/>
      <c r="L290" s="278"/>
      <c r="M290" s="240"/>
    </row>
    <row r="291" spans="1:13" ht="14.25" customHeight="1" x14ac:dyDescent="0.25">
      <c r="A291" s="240"/>
      <c r="F291" s="278"/>
      <c r="H291" s="278"/>
      <c r="I291" s="278"/>
      <c r="J291" s="240"/>
      <c r="L291" s="278"/>
      <c r="M291" s="240"/>
    </row>
    <row r="292" spans="1:13" ht="14.25" customHeight="1" x14ac:dyDescent="0.25">
      <c r="A292" s="240"/>
      <c r="F292" s="278"/>
      <c r="H292" s="278"/>
      <c r="I292" s="278"/>
      <c r="J292" s="240"/>
      <c r="L292" s="278"/>
      <c r="M292" s="240"/>
    </row>
    <row r="293" spans="1:13" ht="14.25" customHeight="1" x14ac:dyDescent="0.25">
      <c r="A293" s="240"/>
      <c r="F293" s="278"/>
      <c r="H293" s="278"/>
      <c r="I293" s="278"/>
      <c r="J293" s="240"/>
      <c r="L293" s="278"/>
      <c r="M293" s="240"/>
    </row>
    <row r="294" spans="1:13" ht="14.25" customHeight="1" x14ac:dyDescent="0.25">
      <c r="A294" s="240"/>
      <c r="F294" s="278"/>
      <c r="H294" s="278"/>
      <c r="I294" s="278"/>
      <c r="J294" s="240"/>
      <c r="L294" s="278"/>
      <c r="M294" s="240"/>
    </row>
    <row r="295" spans="1:13" ht="14.25" customHeight="1" x14ac:dyDescent="0.25">
      <c r="A295" s="240"/>
      <c r="F295" s="278"/>
      <c r="H295" s="278"/>
      <c r="I295" s="278"/>
      <c r="J295" s="240"/>
      <c r="L295" s="278"/>
      <c r="M295" s="240"/>
    </row>
    <row r="296" spans="1:13" ht="14.25" customHeight="1" x14ac:dyDescent="0.25">
      <c r="A296" s="240"/>
      <c r="F296" s="278"/>
      <c r="H296" s="278"/>
      <c r="I296" s="278"/>
      <c r="J296" s="240"/>
      <c r="L296" s="278"/>
      <c r="M296" s="240"/>
    </row>
    <row r="297" spans="1:13" ht="14.25" customHeight="1" x14ac:dyDescent="0.25">
      <c r="A297" s="240"/>
      <c r="F297" s="278"/>
      <c r="H297" s="278"/>
      <c r="I297" s="278"/>
      <c r="J297" s="240"/>
      <c r="L297" s="278"/>
      <c r="M297" s="240"/>
    </row>
    <row r="298" spans="1:13" ht="14.25" customHeight="1" x14ac:dyDescent="0.25">
      <c r="A298" s="240"/>
      <c r="F298" s="278"/>
      <c r="H298" s="278"/>
      <c r="I298" s="278"/>
      <c r="J298" s="240"/>
      <c r="L298" s="278"/>
      <c r="M298" s="240"/>
    </row>
    <row r="299" spans="1:13" ht="14.25" customHeight="1" x14ac:dyDescent="0.25">
      <c r="A299" s="240"/>
      <c r="F299" s="278"/>
      <c r="H299" s="278"/>
      <c r="I299" s="278"/>
      <c r="J299" s="240"/>
      <c r="L299" s="278"/>
      <c r="M299" s="240"/>
    </row>
    <row r="300" spans="1:13" ht="14.25" customHeight="1" x14ac:dyDescent="0.25">
      <c r="A300" s="240"/>
      <c r="F300" s="278"/>
      <c r="H300" s="278"/>
      <c r="I300" s="278"/>
      <c r="J300" s="240"/>
      <c r="L300" s="278"/>
      <c r="M300" s="240"/>
    </row>
    <row r="301" spans="1:13" ht="14.25" customHeight="1" x14ac:dyDescent="0.25">
      <c r="A301" s="240"/>
      <c r="F301" s="278"/>
      <c r="H301" s="278"/>
      <c r="I301" s="278"/>
      <c r="J301" s="240"/>
      <c r="L301" s="278"/>
      <c r="M301" s="240"/>
    </row>
    <row r="302" spans="1:13" ht="14.25" customHeight="1" x14ac:dyDescent="0.25">
      <c r="A302" s="240"/>
      <c r="F302" s="278"/>
      <c r="H302" s="278"/>
      <c r="I302" s="278"/>
      <c r="J302" s="240"/>
      <c r="L302" s="278"/>
      <c r="M302" s="240"/>
    </row>
    <row r="303" spans="1:13" ht="14.25" customHeight="1" x14ac:dyDescent="0.25">
      <c r="A303" s="240"/>
      <c r="F303" s="278"/>
      <c r="H303" s="278"/>
      <c r="I303" s="278"/>
      <c r="J303" s="240"/>
      <c r="L303" s="278"/>
      <c r="M303" s="240"/>
    </row>
    <row r="304" spans="1:13" ht="14.25" customHeight="1" x14ac:dyDescent="0.25">
      <c r="A304" s="240"/>
      <c r="F304" s="278"/>
      <c r="H304" s="278"/>
      <c r="I304" s="278"/>
      <c r="J304" s="240"/>
      <c r="L304" s="278"/>
      <c r="M304" s="240"/>
    </row>
    <row r="305" spans="1:13" ht="14.25" customHeight="1" x14ac:dyDescent="0.25">
      <c r="A305" s="240"/>
      <c r="F305" s="278"/>
      <c r="H305" s="278"/>
      <c r="I305" s="278"/>
      <c r="J305" s="240"/>
      <c r="L305" s="278"/>
      <c r="M305" s="240"/>
    </row>
    <row r="306" spans="1:13" ht="14.25" customHeight="1" x14ac:dyDescent="0.25">
      <c r="A306" s="240"/>
      <c r="F306" s="278"/>
      <c r="H306" s="278"/>
      <c r="I306" s="278"/>
      <c r="J306" s="240"/>
      <c r="L306" s="278"/>
      <c r="M306" s="240"/>
    </row>
    <row r="307" spans="1:13" ht="14.25" customHeight="1" x14ac:dyDescent="0.25">
      <c r="A307" s="240"/>
      <c r="F307" s="278"/>
      <c r="H307" s="278"/>
      <c r="I307" s="278"/>
      <c r="J307" s="240"/>
      <c r="L307" s="278"/>
      <c r="M307" s="240"/>
    </row>
    <row r="308" spans="1:13" ht="14.25" customHeight="1" x14ac:dyDescent="0.25">
      <c r="A308" s="240"/>
      <c r="F308" s="278"/>
      <c r="H308" s="278"/>
      <c r="I308" s="278"/>
      <c r="J308" s="240"/>
      <c r="L308" s="278"/>
      <c r="M308" s="240"/>
    </row>
    <row r="309" spans="1:13" ht="14.25" customHeight="1" x14ac:dyDescent="0.25">
      <c r="A309" s="240"/>
      <c r="F309" s="278"/>
      <c r="H309" s="278"/>
      <c r="I309" s="278"/>
      <c r="J309" s="240"/>
      <c r="L309" s="278"/>
      <c r="M309" s="240"/>
    </row>
    <row r="310" spans="1:13" ht="14.25" customHeight="1" x14ac:dyDescent="0.25">
      <c r="A310" s="240"/>
      <c r="F310" s="278"/>
      <c r="H310" s="278"/>
      <c r="I310" s="278"/>
      <c r="J310" s="240"/>
      <c r="L310" s="278"/>
      <c r="M310" s="240"/>
    </row>
    <row r="311" spans="1:13" ht="14.25" customHeight="1" x14ac:dyDescent="0.25">
      <c r="A311" s="240"/>
      <c r="F311" s="278"/>
      <c r="H311" s="278"/>
      <c r="I311" s="278"/>
      <c r="J311" s="240"/>
      <c r="L311" s="278"/>
      <c r="M311" s="240"/>
    </row>
    <row r="312" spans="1:13" ht="14.25" customHeight="1" x14ac:dyDescent="0.25">
      <c r="A312" s="240"/>
      <c r="F312" s="278"/>
      <c r="H312" s="278"/>
      <c r="I312" s="278"/>
      <c r="J312" s="240"/>
      <c r="L312" s="278"/>
      <c r="M312" s="240"/>
    </row>
    <row r="313" spans="1:13" ht="14.25" customHeight="1" x14ac:dyDescent="0.25">
      <c r="A313" s="240"/>
      <c r="F313" s="278"/>
      <c r="H313" s="278"/>
      <c r="I313" s="278"/>
      <c r="J313" s="240"/>
      <c r="L313" s="278"/>
      <c r="M313" s="240"/>
    </row>
    <row r="314" spans="1:13" ht="14.25" customHeight="1" x14ac:dyDescent="0.25">
      <c r="A314" s="240"/>
      <c r="F314" s="278"/>
      <c r="H314" s="278"/>
      <c r="I314" s="278"/>
      <c r="J314" s="240"/>
      <c r="L314" s="278"/>
      <c r="M314" s="240"/>
    </row>
    <row r="315" spans="1:13" ht="14.25" customHeight="1" x14ac:dyDescent="0.25">
      <c r="A315" s="240"/>
      <c r="F315" s="278"/>
      <c r="H315" s="278"/>
      <c r="I315" s="278"/>
      <c r="J315" s="240"/>
      <c r="L315" s="278"/>
      <c r="M315" s="240"/>
    </row>
    <row r="316" spans="1:13" ht="14.25" customHeight="1" x14ac:dyDescent="0.25">
      <c r="A316" s="240"/>
      <c r="F316" s="278"/>
      <c r="H316" s="278"/>
      <c r="I316" s="278"/>
      <c r="J316" s="240"/>
      <c r="L316" s="278"/>
      <c r="M316" s="240"/>
    </row>
    <row r="317" spans="1:13" ht="14.25" customHeight="1" x14ac:dyDescent="0.25">
      <c r="A317" s="240"/>
      <c r="F317" s="278"/>
      <c r="H317" s="278"/>
      <c r="I317" s="278"/>
      <c r="J317" s="240"/>
      <c r="L317" s="278"/>
      <c r="M317" s="240"/>
    </row>
    <row r="318" spans="1:13" ht="14.25" customHeight="1" x14ac:dyDescent="0.25">
      <c r="A318" s="240"/>
      <c r="F318" s="278"/>
      <c r="H318" s="278"/>
      <c r="I318" s="278"/>
      <c r="J318" s="240"/>
      <c r="L318" s="278"/>
      <c r="M318" s="240"/>
    </row>
    <row r="319" spans="1:13" ht="14.25" customHeight="1" x14ac:dyDescent="0.25">
      <c r="A319" s="240"/>
      <c r="F319" s="278"/>
      <c r="H319" s="278"/>
      <c r="I319" s="278"/>
      <c r="J319" s="240"/>
      <c r="L319" s="278"/>
      <c r="M319" s="240"/>
    </row>
    <row r="320" spans="1:13" ht="14.25" customHeight="1" x14ac:dyDescent="0.25">
      <c r="A320" s="240"/>
      <c r="F320" s="278"/>
      <c r="H320" s="278"/>
      <c r="I320" s="278"/>
      <c r="J320" s="240"/>
      <c r="L320" s="278"/>
      <c r="M320" s="240"/>
    </row>
    <row r="321" spans="1:13" ht="14.25" customHeight="1" x14ac:dyDescent="0.25">
      <c r="A321" s="240"/>
      <c r="F321" s="278"/>
      <c r="H321" s="278"/>
      <c r="I321" s="278"/>
      <c r="J321" s="240"/>
      <c r="L321" s="278"/>
      <c r="M321" s="240"/>
    </row>
    <row r="322" spans="1:13" ht="14.25" customHeight="1" x14ac:dyDescent="0.25">
      <c r="A322" s="240"/>
      <c r="F322" s="278"/>
      <c r="H322" s="278"/>
      <c r="I322" s="278"/>
      <c r="J322" s="240"/>
      <c r="L322" s="278"/>
      <c r="M322" s="240"/>
    </row>
    <row r="323" spans="1:13" ht="14.25" customHeight="1" x14ac:dyDescent="0.25">
      <c r="A323" s="240"/>
      <c r="F323" s="278"/>
      <c r="H323" s="278"/>
      <c r="I323" s="278"/>
      <c r="J323" s="240"/>
      <c r="L323" s="278"/>
      <c r="M323" s="240"/>
    </row>
    <row r="324" spans="1:13" ht="14.25" customHeight="1" x14ac:dyDescent="0.25">
      <c r="A324" s="240"/>
      <c r="F324" s="278"/>
      <c r="H324" s="278"/>
      <c r="I324" s="278"/>
      <c r="J324" s="240"/>
      <c r="L324" s="278"/>
      <c r="M324" s="240"/>
    </row>
    <row r="325" spans="1:13" ht="14.25" customHeight="1" x14ac:dyDescent="0.25">
      <c r="A325" s="240"/>
      <c r="F325" s="278"/>
      <c r="H325" s="278"/>
      <c r="I325" s="278"/>
      <c r="J325" s="240"/>
      <c r="L325" s="278"/>
      <c r="M325" s="240"/>
    </row>
    <row r="326" spans="1:13" ht="14.25" customHeight="1" x14ac:dyDescent="0.25">
      <c r="A326" s="240"/>
      <c r="F326" s="278"/>
      <c r="H326" s="278"/>
      <c r="I326" s="278"/>
      <c r="J326" s="240"/>
      <c r="L326" s="278"/>
      <c r="M326" s="240"/>
    </row>
    <row r="327" spans="1:13" ht="14.25" customHeight="1" x14ac:dyDescent="0.25">
      <c r="A327" s="240"/>
      <c r="F327" s="278"/>
      <c r="H327" s="278"/>
      <c r="I327" s="278"/>
      <c r="J327" s="240"/>
      <c r="L327" s="278"/>
      <c r="M327" s="240"/>
    </row>
    <row r="328" spans="1:13" ht="14.25" customHeight="1" x14ac:dyDescent="0.25">
      <c r="A328" s="240"/>
      <c r="F328" s="278"/>
      <c r="H328" s="278"/>
      <c r="I328" s="278"/>
      <c r="J328" s="240"/>
      <c r="L328" s="278"/>
      <c r="M328" s="240"/>
    </row>
    <row r="329" spans="1:13" ht="14.25" customHeight="1" x14ac:dyDescent="0.25">
      <c r="A329" s="240"/>
      <c r="F329" s="278"/>
      <c r="H329" s="278"/>
      <c r="I329" s="278"/>
      <c r="J329" s="240"/>
      <c r="L329" s="278"/>
      <c r="M329" s="240"/>
    </row>
    <row r="330" spans="1:13" ht="14.25" customHeight="1" x14ac:dyDescent="0.25">
      <c r="A330" s="240"/>
      <c r="F330" s="278"/>
      <c r="H330" s="278"/>
      <c r="I330" s="278"/>
      <c r="J330" s="240"/>
      <c r="L330" s="278"/>
      <c r="M330" s="240"/>
    </row>
    <row r="331" spans="1:13" ht="14.25" customHeight="1" x14ac:dyDescent="0.25">
      <c r="A331" s="240"/>
      <c r="F331" s="278"/>
      <c r="H331" s="278"/>
      <c r="I331" s="278"/>
      <c r="J331" s="240"/>
      <c r="L331" s="278"/>
      <c r="M331" s="240"/>
    </row>
    <row r="332" spans="1:13" ht="14.25" customHeight="1" x14ac:dyDescent="0.25">
      <c r="A332" s="240"/>
      <c r="F332" s="278"/>
      <c r="H332" s="278"/>
      <c r="I332" s="278"/>
      <c r="J332" s="240"/>
      <c r="L332" s="278"/>
      <c r="M332" s="240"/>
    </row>
    <row r="333" spans="1:13" ht="14.25" customHeight="1" x14ac:dyDescent="0.25">
      <c r="A333" s="240"/>
      <c r="F333" s="278"/>
      <c r="H333" s="278"/>
      <c r="I333" s="278"/>
      <c r="J333" s="240"/>
      <c r="L333" s="278"/>
      <c r="M333" s="240"/>
    </row>
    <row r="334" spans="1:13" ht="14.25" customHeight="1" x14ac:dyDescent="0.25">
      <c r="A334" s="240"/>
      <c r="F334" s="278"/>
      <c r="H334" s="278"/>
      <c r="I334" s="278"/>
      <c r="J334" s="240"/>
      <c r="L334" s="278"/>
      <c r="M334" s="240"/>
    </row>
    <row r="335" spans="1:13" ht="14.25" customHeight="1" x14ac:dyDescent="0.25">
      <c r="A335" s="240"/>
      <c r="F335" s="278"/>
      <c r="H335" s="278"/>
      <c r="I335" s="278"/>
      <c r="J335" s="240"/>
      <c r="L335" s="278"/>
      <c r="M335" s="240"/>
    </row>
    <row r="336" spans="1:13" ht="14.25" customHeight="1" x14ac:dyDescent="0.25">
      <c r="A336" s="240"/>
      <c r="F336" s="278"/>
      <c r="H336" s="278"/>
      <c r="I336" s="278"/>
      <c r="J336" s="240"/>
      <c r="L336" s="278"/>
      <c r="M336" s="240"/>
    </row>
    <row r="337" spans="1:13" ht="14.25" customHeight="1" x14ac:dyDescent="0.25">
      <c r="A337" s="240"/>
      <c r="F337" s="278"/>
      <c r="H337" s="278"/>
      <c r="I337" s="278"/>
      <c r="J337" s="240"/>
      <c r="L337" s="278"/>
      <c r="M337" s="240"/>
    </row>
    <row r="338" spans="1:13" ht="14.25" customHeight="1" x14ac:dyDescent="0.25">
      <c r="A338" s="240"/>
      <c r="F338" s="278"/>
      <c r="H338" s="278"/>
      <c r="I338" s="278"/>
      <c r="J338" s="240"/>
      <c r="L338" s="278"/>
      <c r="M338" s="240"/>
    </row>
    <row r="339" spans="1:13" ht="14.25" customHeight="1" x14ac:dyDescent="0.25">
      <c r="A339" s="240"/>
      <c r="F339" s="278"/>
      <c r="H339" s="278"/>
      <c r="I339" s="278"/>
      <c r="J339" s="240"/>
      <c r="L339" s="278"/>
      <c r="M339" s="240"/>
    </row>
    <row r="340" spans="1:13" ht="14.25" customHeight="1" x14ac:dyDescent="0.25">
      <c r="A340" s="240"/>
      <c r="F340" s="278"/>
      <c r="H340" s="278"/>
      <c r="I340" s="278"/>
      <c r="J340" s="240"/>
      <c r="L340" s="278"/>
      <c r="M340" s="240"/>
    </row>
    <row r="341" spans="1:13" ht="14.25" customHeight="1" x14ac:dyDescent="0.25">
      <c r="A341" s="240"/>
      <c r="F341" s="278"/>
      <c r="H341" s="278"/>
      <c r="I341" s="278"/>
      <c r="J341" s="240"/>
      <c r="L341" s="278"/>
      <c r="M341" s="240"/>
    </row>
    <row r="342" spans="1:13" ht="14.25" customHeight="1" x14ac:dyDescent="0.25">
      <c r="A342" s="240"/>
      <c r="F342" s="278"/>
      <c r="H342" s="278"/>
      <c r="I342" s="278"/>
      <c r="J342" s="240"/>
      <c r="L342" s="278"/>
      <c r="M342" s="240"/>
    </row>
    <row r="343" spans="1:13" ht="14.25" customHeight="1" x14ac:dyDescent="0.25">
      <c r="A343" s="240"/>
      <c r="F343" s="278"/>
      <c r="H343" s="278"/>
      <c r="I343" s="278"/>
      <c r="J343" s="240"/>
      <c r="L343" s="278"/>
      <c r="M343" s="240"/>
    </row>
    <row r="344" spans="1:13" ht="14.25" customHeight="1" x14ac:dyDescent="0.25">
      <c r="A344" s="240"/>
      <c r="F344" s="278"/>
      <c r="H344" s="278"/>
      <c r="I344" s="278"/>
      <c r="J344" s="240"/>
      <c r="L344" s="278"/>
      <c r="M344" s="240"/>
    </row>
    <row r="345" spans="1:13" ht="14.25" customHeight="1" x14ac:dyDescent="0.25">
      <c r="A345" s="240"/>
      <c r="F345" s="278"/>
      <c r="H345" s="278"/>
      <c r="I345" s="278"/>
      <c r="J345" s="240"/>
      <c r="L345" s="278"/>
      <c r="M345" s="240"/>
    </row>
    <row r="346" spans="1:13" ht="14.25" customHeight="1" x14ac:dyDescent="0.25">
      <c r="A346" s="240"/>
      <c r="F346" s="278"/>
      <c r="H346" s="278"/>
      <c r="I346" s="278"/>
      <c r="J346" s="240"/>
      <c r="L346" s="278"/>
      <c r="M346" s="240"/>
    </row>
    <row r="347" spans="1:13" ht="14.25" customHeight="1" x14ac:dyDescent="0.25">
      <c r="A347" s="240"/>
      <c r="F347" s="278"/>
      <c r="H347" s="278"/>
      <c r="I347" s="278"/>
      <c r="J347" s="240"/>
      <c r="L347" s="278"/>
      <c r="M347" s="240"/>
    </row>
    <row r="348" spans="1:13" ht="14.25" customHeight="1" x14ac:dyDescent="0.25">
      <c r="A348" s="240"/>
      <c r="F348" s="278"/>
      <c r="H348" s="278"/>
      <c r="I348" s="278"/>
      <c r="J348" s="240"/>
      <c r="L348" s="278"/>
      <c r="M348" s="240"/>
    </row>
    <row r="349" spans="1:13" ht="14.25" customHeight="1" x14ac:dyDescent="0.25">
      <c r="A349" s="240"/>
      <c r="F349" s="278"/>
      <c r="H349" s="278"/>
      <c r="I349" s="278"/>
      <c r="J349" s="240"/>
      <c r="L349" s="278"/>
      <c r="M349" s="240"/>
    </row>
    <row r="350" spans="1:13" ht="14.25" customHeight="1" x14ac:dyDescent="0.25">
      <c r="A350" s="240"/>
      <c r="F350" s="278"/>
      <c r="H350" s="278"/>
      <c r="I350" s="278"/>
      <c r="J350" s="240"/>
      <c r="L350" s="278"/>
      <c r="M350" s="240"/>
    </row>
    <row r="351" spans="1:13" ht="14.25" customHeight="1" x14ac:dyDescent="0.25">
      <c r="A351" s="240"/>
      <c r="F351" s="278"/>
      <c r="H351" s="278"/>
      <c r="I351" s="278"/>
      <c r="J351" s="240"/>
      <c r="L351" s="278"/>
      <c r="M351" s="240"/>
    </row>
    <row r="352" spans="1:13" ht="14.25" customHeight="1" x14ac:dyDescent="0.25">
      <c r="A352" s="240"/>
      <c r="F352" s="278"/>
      <c r="H352" s="278"/>
      <c r="I352" s="278"/>
      <c r="J352" s="240"/>
      <c r="L352" s="278"/>
      <c r="M352" s="240"/>
    </row>
    <row r="353" spans="1:13" ht="14.25" customHeight="1" x14ac:dyDescent="0.25">
      <c r="A353" s="240"/>
      <c r="F353" s="278"/>
      <c r="H353" s="278"/>
      <c r="I353" s="278"/>
      <c r="J353" s="240"/>
      <c r="L353" s="278"/>
      <c r="M353" s="240"/>
    </row>
    <row r="354" spans="1:13" ht="14.25" customHeight="1" x14ac:dyDescent="0.25">
      <c r="A354" s="240"/>
      <c r="F354" s="278"/>
      <c r="H354" s="278"/>
      <c r="I354" s="278"/>
      <c r="J354" s="240"/>
      <c r="L354" s="278"/>
      <c r="M354" s="240"/>
    </row>
    <row r="355" spans="1:13" ht="14.25" customHeight="1" x14ac:dyDescent="0.25">
      <c r="A355" s="240"/>
      <c r="F355" s="278"/>
      <c r="H355" s="278"/>
      <c r="I355" s="278"/>
      <c r="J355" s="240"/>
      <c r="L355" s="278"/>
      <c r="M355" s="240"/>
    </row>
    <row r="356" spans="1:13" ht="14.25" customHeight="1" x14ac:dyDescent="0.25">
      <c r="A356" s="240"/>
      <c r="F356" s="278"/>
      <c r="H356" s="278"/>
      <c r="I356" s="278"/>
      <c r="J356" s="240"/>
      <c r="L356" s="278"/>
      <c r="M356" s="240"/>
    </row>
    <row r="357" spans="1:13" ht="14.25" customHeight="1" x14ac:dyDescent="0.25">
      <c r="A357" s="240"/>
      <c r="F357" s="278"/>
      <c r="H357" s="278"/>
      <c r="I357" s="278"/>
      <c r="J357" s="240"/>
      <c r="L357" s="278"/>
      <c r="M357" s="240"/>
    </row>
    <row r="358" spans="1:13" ht="14.25" customHeight="1" x14ac:dyDescent="0.25">
      <c r="A358" s="240"/>
      <c r="F358" s="278"/>
      <c r="H358" s="278"/>
      <c r="I358" s="278"/>
      <c r="J358" s="240"/>
      <c r="L358" s="278"/>
      <c r="M358" s="240"/>
    </row>
    <row r="359" spans="1:13" ht="14.25" customHeight="1" x14ac:dyDescent="0.25">
      <c r="A359" s="240"/>
      <c r="F359" s="278"/>
      <c r="H359" s="278"/>
      <c r="I359" s="278"/>
      <c r="J359" s="240"/>
      <c r="L359" s="278"/>
      <c r="M359" s="240"/>
    </row>
    <row r="360" spans="1:13" ht="14.25" customHeight="1" x14ac:dyDescent="0.25">
      <c r="A360" s="240"/>
      <c r="F360" s="278"/>
      <c r="H360" s="278"/>
      <c r="I360" s="278"/>
      <c r="J360" s="240"/>
      <c r="L360" s="278"/>
      <c r="M360" s="240"/>
    </row>
    <row r="361" spans="1:13" ht="14.25" customHeight="1" x14ac:dyDescent="0.25">
      <c r="A361" s="240"/>
      <c r="F361" s="278"/>
      <c r="H361" s="278"/>
      <c r="I361" s="278"/>
      <c r="J361" s="240"/>
      <c r="L361" s="278"/>
      <c r="M361" s="240"/>
    </row>
    <row r="362" spans="1:13" ht="14.25" customHeight="1" x14ac:dyDescent="0.25">
      <c r="A362" s="240"/>
      <c r="F362" s="278"/>
      <c r="H362" s="278"/>
      <c r="I362" s="278"/>
      <c r="J362" s="240"/>
      <c r="L362" s="278"/>
      <c r="M362" s="240"/>
    </row>
    <row r="363" spans="1:13" ht="14.25" customHeight="1" x14ac:dyDescent="0.25">
      <c r="A363" s="240"/>
      <c r="F363" s="278"/>
      <c r="H363" s="278"/>
      <c r="I363" s="278"/>
      <c r="J363" s="240"/>
      <c r="L363" s="278"/>
      <c r="M363" s="240"/>
    </row>
    <row r="364" spans="1:13" ht="14.25" customHeight="1" x14ac:dyDescent="0.25">
      <c r="A364" s="240"/>
      <c r="F364" s="278"/>
      <c r="H364" s="278"/>
      <c r="I364" s="278"/>
      <c r="J364" s="240"/>
      <c r="L364" s="278"/>
      <c r="M364" s="240"/>
    </row>
    <row r="365" spans="1:13" ht="14.25" customHeight="1" x14ac:dyDescent="0.25">
      <c r="A365" s="240"/>
      <c r="F365" s="278"/>
      <c r="H365" s="278"/>
      <c r="I365" s="278"/>
      <c r="J365" s="240"/>
      <c r="L365" s="278"/>
      <c r="M365" s="240"/>
    </row>
    <row r="366" spans="1:13" ht="14.25" customHeight="1" x14ac:dyDescent="0.25">
      <c r="A366" s="240"/>
      <c r="F366" s="278"/>
      <c r="H366" s="278"/>
      <c r="I366" s="278"/>
      <c r="J366" s="240"/>
      <c r="L366" s="278"/>
      <c r="M366" s="240"/>
    </row>
    <row r="367" spans="1:13" ht="14.25" customHeight="1" x14ac:dyDescent="0.25">
      <c r="A367" s="240"/>
      <c r="F367" s="278"/>
      <c r="H367" s="278"/>
      <c r="I367" s="278"/>
      <c r="J367" s="240"/>
      <c r="L367" s="278"/>
      <c r="M367" s="240"/>
    </row>
    <row r="368" spans="1:13" ht="14.25" customHeight="1" x14ac:dyDescent="0.25">
      <c r="A368" s="240"/>
      <c r="F368" s="278"/>
      <c r="H368" s="278"/>
      <c r="I368" s="278"/>
      <c r="J368" s="240"/>
      <c r="L368" s="278"/>
      <c r="M368" s="240"/>
    </row>
    <row r="369" spans="1:13" ht="14.25" customHeight="1" x14ac:dyDescent="0.25">
      <c r="A369" s="240"/>
      <c r="F369" s="278"/>
      <c r="H369" s="278"/>
      <c r="I369" s="278"/>
      <c r="J369" s="240"/>
      <c r="L369" s="278"/>
      <c r="M369" s="240"/>
    </row>
    <row r="370" spans="1:13" ht="14.25" customHeight="1" x14ac:dyDescent="0.25">
      <c r="A370" s="240"/>
      <c r="F370" s="278"/>
      <c r="H370" s="278"/>
      <c r="I370" s="278"/>
      <c r="J370" s="240"/>
      <c r="L370" s="278"/>
      <c r="M370" s="240"/>
    </row>
    <row r="371" spans="1:13" ht="14.25" customHeight="1" x14ac:dyDescent="0.25">
      <c r="A371" s="240"/>
      <c r="F371" s="278"/>
      <c r="H371" s="278"/>
      <c r="I371" s="278"/>
      <c r="J371" s="240"/>
      <c r="L371" s="278"/>
      <c r="M371" s="240"/>
    </row>
    <row r="372" spans="1:13" ht="14.25" customHeight="1" x14ac:dyDescent="0.25">
      <c r="A372" s="240"/>
      <c r="F372" s="278"/>
      <c r="H372" s="278"/>
      <c r="I372" s="278"/>
      <c r="J372" s="240"/>
      <c r="L372" s="278"/>
      <c r="M372" s="240"/>
    </row>
    <row r="373" spans="1:13" ht="14.25" customHeight="1" x14ac:dyDescent="0.25">
      <c r="A373" s="240"/>
      <c r="F373" s="278"/>
      <c r="H373" s="278"/>
      <c r="I373" s="278"/>
      <c r="J373" s="240"/>
      <c r="L373" s="278"/>
      <c r="M373" s="240"/>
    </row>
    <row r="374" spans="1:13" ht="14.25" customHeight="1" x14ac:dyDescent="0.25">
      <c r="A374" s="240"/>
      <c r="F374" s="278"/>
      <c r="H374" s="278"/>
      <c r="I374" s="278"/>
      <c r="J374" s="240"/>
      <c r="L374" s="278"/>
      <c r="M374" s="240"/>
    </row>
    <row r="375" spans="1:13" ht="14.25" customHeight="1" x14ac:dyDescent="0.25">
      <c r="A375" s="240"/>
      <c r="F375" s="278"/>
      <c r="H375" s="278"/>
      <c r="I375" s="278"/>
      <c r="J375" s="240"/>
      <c r="L375" s="278"/>
      <c r="M375" s="240"/>
    </row>
    <row r="376" spans="1:13" ht="14.25" customHeight="1" x14ac:dyDescent="0.25">
      <c r="A376" s="240"/>
      <c r="F376" s="278"/>
      <c r="H376" s="278"/>
      <c r="I376" s="278"/>
      <c r="J376" s="240"/>
      <c r="L376" s="278"/>
      <c r="M376" s="240"/>
    </row>
    <row r="377" spans="1:13" ht="14.25" customHeight="1" x14ac:dyDescent="0.25">
      <c r="A377" s="240"/>
      <c r="F377" s="278"/>
      <c r="H377" s="278"/>
      <c r="I377" s="278"/>
      <c r="J377" s="240"/>
      <c r="L377" s="278"/>
      <c r="M377" s="240"/>
    </row>
    <row r="378" spans="1:13" ht="14.25" customHeight="1" x14ac:dyDescent="0.25">
      <c r="A378" s="240"/>
      <c r="F378" s="278"/>
      <c r="H378" s="278"/>
      <c r="I378" s="278"/>
      <c r="J378" s="240"/>
      <c r="L378" s="278"/>
      <c r="M378" s="240"/>
    </row>
    <row r="379" spans="1:13" ht="14.25" customHeight="1" x14ac:dyDescent="0.25">
      <c r="A379" s="240"/>
      <c r="F379" s="278"/>
      <c r="H379" s="278"/>
      <c r="I379" s="278"/>
      <c r="J379" s="240"/>
      <c r="L379" s="278"/>
      <c r="M379" s="240"/>
    </row>
    <row r="380" spans="1:13" ht="14.25" customHeight="1" x14ac:dyDescent="0.25">
      <c r="A380" s="240"/>
      <c r="F380" s="278"/>
      <c r="H380" s="278"/>
      <c r="I380" s="278"/>
      <c r="J380" s="240"/>
      <c r="L380" s="278"/>
      <c r="M380" s="240"/>
    </row>
    <row r="381" spans="1:13" ht="14.25" customHeight="1" x14ac:dyDescent="0.25">
      <c r="A381" s="240"/>
      <c r="F381" s="278"/>
      <c r="H381" s="278"/>
      <c r="I381" s="278"/>
      <c r="J381" s="240"/>
      <c r="L381" s="278"/>
      <c r="M381" s="240"/>
    </row>
    <row r="382" spans="1:13" ht="14.25" customHeight="1" x14ac:dyDescent="0.25">
      <c r="A382" s="240"/>
      <c r="F382" s="278"/>
      <c r="H382" s="278"/>
      <c r="I382" s="278"/>
      <c r="J382" s="240"/>
      <c r="L382" s="278"/>
      <c r="M382" s="240"/>
    </row>
    <row r="383" spans="1:13" ht="14.25" customHeight="1" x14ac:dyDescent="0.25">
      <c r="A383" s="240"/>
      <c r="F383" s="278"/>
      <c r="H383" s="278"/>
      <c r="I383" s="278"/>
      <c r="J383" s="240"/>
      <c r="L383" s="278"/>
      <c r="M383" s="240"/>
    </row>
    <row r="384" spans="1:13" ht="14.25" customHeight="1" x14ac:dyDescent="0.25">
      <c r="A384" s="240"/>
      <c r="F384" s="278"/>
      <c r="H384" s="278"/>
      <c r="I384" s="278"/>
      <c r="J384" s="240"/>
      <c r="L384" s="278"/>
      <c r="M384" s="240"/>
    </row>
    <row r="385" spans="1:13" ht="14.25" customHeight="1" x14ac:dyDescent="0.25">
      <c r="A385" s="240"/>
      <c r="F385" s="278"/>
      <c r="H385" s="278"/>
      <c r="I385" s="278"/>
      <c r="J385" s="240"/>
      <c r="L385" s="278"/>
      <c r="M385" s="240"/>
    </row>
    <row r="386" spans="1:13" ht="14.25" customHeight="1" x14ac:dyDescent="0.25">
      <c r="A386" s="240"/>
      <c r="F386" s="278"/>
      <c r="H386" s="278"/>
      <c r="I386" s="278"/>
      <c r="J386" s="240"/>
      <c r="L386" s="278"/>
      <c r="M386" s="240"/>
    </row>
    <row r="387" spans="1:13" ht="14.25" customHeight="1" x14ac:dyDescent="0.25">
      <c r="A387" s="240"/>
      <c r="F387" s="278"/>
      <c r="H387" s="278"/>
      <c r="I387" s="278"/>
      <c r="J387" s="240"/>
      <c r="L387" s="278"/>
      <c r="M387" s="240"/>
    </row>
    <row r="388" spans="1:13" ht="14.25" customHeight="1" x14ac:dyDescent="0.25">
      <c r="A388" s="240"/>
      <c r="F388" s="278"/>
      <c r="H388" s="278"/>
      <c r="I388" s="278"/>
      <c r="J388" s="240"/>
      <c r="L388" s="278"/>
      <c r="M388" s="240"/>
    </row>
    <row r="389" spans="1:13" ht="14.25" customHeight="1" x14ac:dyDescent="0.25">
      <c r="A389" s="240"/>
      <c r="F389" s="278"/>
      <c r="H389" s="278"/>
      <c r="I389" s="278"/>
      <c r="J389" s="240"/>
      <c r="L389" s="278"/>
      <c r="M389" s="240"/>
    </row>
    <row r="390" spans="1:13" ht="14.25" customHeight="1" x14ac:dyDescent="0.25">
      <c r="A390" s="240"/>
      <c r="F390" s="278"/>
      <c r="H390" s="278"/>
      <c r="I390" s="278"/>
      <c r="J390" s="240"/>
      <c r="L390" s="278"/>
      <c r="M390" s="240"/>
    </row>
    <row r="391" spans="1:13" ht="14.25" customHeight="1" x14ac:dyDescent="0.25">
      <c r="A391" s="240"/>
      <c r="F391" s="278"/>
      <c r="H391" s="278"/>
      <c r="I391" s="278"/>
      <c r="J391" s="240"/>
      <c r="L391" s="278"/>
      <c r="M391" s="240"/>
    </row>
    <row r="392" spans="1:13" ht="14.25" customHeight="1" x14ac:dyDescent="0.25">
      <c r="A392" s="240"/>
      <c r="F392" s="278"/>
      <c r="H392" s="278"/>
      <c r="I392" s="278"/>
      <c r="J392" s="240"/>
      <c r="L392" s="278"/>
      <c r="M392" s="240"/>
    </row>
    <row r="393" spans="1:13" ht="14.25" customHeight="1" x14ac:dyDescent="0.25">
      <c r="A393" s="240"/>
      <c r="F393" s="278"/>
      <c r="H393" s="278"/>
      <c r="I393" s="278"/>
      <c r="J393" s="240"/>
      <c r="L393" s="278"/>
      <c r="M393" s="240"/>
    </row>
    <row r="394" spans="1:13" ht="14.25" customHeight="1" x14ac:dyDescent="0.25">
      <c r="A394" s="240"/>
      <c r="F394" s="278"/>
      <c r="H394" s="278"/>
      <c r="I394" s="278"/>
      <c r="J394" s="240"/>
      <c r="L394" s="278"/>
      <c r="M394" s="240"/>
    </row>
    <row r="395" spans="1:13" ht="14.25" customHeight="1" x14ac:dyDescent="0.25">
      <c r="A395" s="240"/>
      <c r="F395" s="278"/>
      <c r="H395" s="278"/>
      <c r="I395" s="278"/>
      <c r="J395" s="240"/>
      <c r="L395" s="278"/>
      <c r="M395" s="240"/>
    </row>
    <row r="396" spans="1:13" ht="14.25" customHeight="1" x14ac:dyDescent="0.25">
      <c r="A396" s="240"/>
      <c r="F396" s="278"/>
      <c r="H396" s="278"/>
      <c r="I396" s="278"/>
      <c r="J396" s="240"/>
      <c r="L396" s="278"/>
      <c r="M396" s="240"/>
    </row>
    <row r="397" spans="1:13" ht="14.25" customHeight="1" x14ac:dyDescent="0.25">
      <c r="A397" s="240"/>
      <c r="F397" s="278"/>
      <c r="H397" s="278"/>
      <c r="I397" s="278"/>
      <c r="J397" s="240"/>
      <c r="L397" s="278"/>
      <c r="M397" s="240"/>
    </row>
    <row r="398" spans="1:13" ht="14.25" customHeight="1" x14ac:dyDescent="0.25">
      <c r="A398" s="240"/>
      <c r="F398" s="278"/>
      <c r="H398" s="278"/>
      <c r="I398" s="278"/>
      <c r="J398" s="240"/>
      <c r="L398" s="278"/>
      <c r="M398" s="240"/>
    </row>
    <row r="399" spans="1:13" ht="14.25" customHeight="1" x14ac:dyDescent="0.25">
      <c r="A399" s="240"/>
      <c r="F399" s="278"/>
      <c r="H399" s="278"/>
      <c r="I399" s="278"/>
      <c r="J399" s="240"/>
      <c r="L399" s="278"/>
      <c r="M399" s="240"/>
    </row>
    <row r="400" spans="1:13" ht="14.25" customHeight="1" x14ac:dyDescent="0.25">
      <c r="A400" s="240"/>
      <c r="F400" s="278"/>
      <c r="H400" s="278"/>
      <c r="I400" s="278"/>
      <c r="J400" s="240"/>
      <c r="L400" s="278"/>
      <c r="M400" s="240"/>
    </row>
    <row r="401" spans="1:13" ht="14.25" customHeight="1" x14ac:dyDescent="0.25">
      <c r="A401" s="240"/>
      <c r="F401" s="278"/>
      <c r="H401" s="278"/>
      <c r="I401" s="278"/>
      <c r="J401" s="240"/>
      <c r="L401" s="278"/>
      <c r="M401" s="240"/>
    </row>
    <row r="402" spans="1:13" ht="14.25" customHeight="1" x14ac:dyDescent="0.25">
      <c r="A402" s="240"/>
      <c r="F402" s="278"/>
      <c r="H402" s="278"/>
      <c r="I402" s="278"/>
      <c r="J402" s="240"/>
      <c r="L402" s="278"/>
      <c r="M402" s="240"/>
    </row>
    <row r="403" spans="1:13" ht="14.25" customHeight="1" x14ac:dyDescent="0.25">
      <c r="A403" s="240"/>
      <c r="F403" s="278"/>
      <c r="H403" s="278"/>
      <c r="I403" s="278"/>
      <c r="J403" s="240"/>
      <c r="L403" s="278"/>
      <c r="M403" s="240"/>
    </row>
    <row r="404" spans="1:13" ht="14.25" customHeight="1" x14ac:dyDescent="0.25">
      <c r="A404" s="240"/>
      <c r="F404" s="278"/>
      <c r="H404" s="278"/>
      <c r="I404" s="278"/>
      <c r="J404" s="240"/>
      <c r="L404" s="278"/>
      <c r="M404" s="240"/>
    </row>
    <row r="405" spans="1:13" ht="14.25" customHeight="1" x14ac:dyDescent="0.25">
      <c r="A405" s="240"/>
      <c r="F405" s="278"/>
      <c r="H405" s="278"/>
      <c r="I405" s="278"/>
      <c r="J405" s="240"/>
      <c r="L405" s="278"/>
      <c r="M405" s="240"/>
    </row>
    <row r="406" spans="1:13" ht="14.25" customHeight="1" x14ac:dyDescent="0.25">
      <c r="A406" s="240"/>
      <c r="F406" s="278"/>
      <c r="H406" s="278"/>
      <c r="I406" s="278"/>
      <c r="J406" s="240"/>
      <c r="L406" s="278"/>
      <c r="M406" s="240"/>
    </row>
    <row r="407" spans="1:13" ht="14.25" customHeight="1" x14ac:dyDescent="0.25">
      <c r="A407" s="240"/>
      <c r="F407" s="278"/>
      <c r="H407" s="278"/>
      <c r="I407" s="278"/>
      <c r="J407" s="240"/>
      <c r="L407" s="278"/>
      <c r="M407" s="240"/>
    </row>
    <row r="408" spans="1:13" ht="14.25" customHeight="1" x14ac:dyDescent="0.25">
      <c r="A408" s="240"/>
      <c r="F408" s="278"/>
      <c r="H408" s="278"/>
      <c r="I408" s="278"/>
      <c r="J408" s="240"/>
      <c r="L408" s="278"/>
      <c r="M408" s="240"/>
    </row>
    <row r="409" spans="1:13" ht="14.25" customHeight="1" x14ac:dyDescent="0.25">
      <c r="A409" s="240"/>
      <c r="F409" s="278"/>
      <c r="H409" s="278"/>
      <c r="I409" s="278"/>
      <c r="J409" s="240"/>
      <c r="L409" s="278"/>
      <c r="M409" s="240"/>
    </row>
    <row r="410" spans="1:13" ht="14.25" customHeight="1" x14ac:dyDescent="0.25">
      <c r="A410" s="240"/>
      <c r="F410" s="278"/>
      <c r="H410" s="278"/>
      <c r="I410" s="278"/>
      <c r="J410" s="240"/>
      <c r="L410" s="278"/>
      <c r="M410" s="240"/>
    </row>
    <row r="411" spans="1:13" ht="14.25" customHeight="1" x14ac:dyDescent="0.25">
      <c r="A411" s="240"/>
      <c r="F411" s="278"/>
      <c r="H411" s="278"/>
      <c r="I411" s="278"/>
      <c r="J411" s="240"/>
      <c r="L411" s="278"/>
      <c r="M411" s="240"/>
    </row>
    <row r="412" spans="1:13" ht="14.25" customHeight="1" x14ac:dyDescent="0.25">
      <c r="A412" s="240"/>
      <c r="F412" s="278"/>
      <c r="H412" s="278"/>
      <c r="I412" s="278"/>
      <c r="J412" s="240"/>
      <c r="L412" s="278"/>
      <c r="M412" s="240"/>
    </row>
    <row r="413" spans="1:13" ht="14.25" customHeight="1" x14ac:dyDescent="0.25">
      <c r="A413" s="240"/>
      <c r="F413" s="278"/>
      <c r="H413" s="278"/>
      <c r="I413" s="278"/>
      <c r="J413" s="240"/>
      <c r="L413" s="278"/>
      <c r="M413" s="240"/>
    </row>
    <row r="414" spans="1:13" ht="14.25" customHeight="1" x14ac:dyDescent="0.25">
      <c r="A414" s="240"/>
      <c r="F414" s="278"/>
      <c r="H414" s="278"/>
      <c r="I414" s="278"/>
      <c r="J414" s="240"/>
      <c r="L414" s="278"/>
      <c r="M414" s="240"/>
    </row>
    <row r="415" spans="1:13" ht="14.25" customHeight="1" x14ac:dyDescent="0.25">
      <c r="A415" s="240"/>
      <c r="F415" s="278"/>
      <c r="H415" s="278"/>
      <c r="I415" s="278"/>
      <c r="J415" s="240"/>
      <c r="L415" s="278"/>
      <c r="M415" s="240"/>
    </row>
    <row r="416" spans="1:13" ht="14.25" customHeight="1" x14ac:dyDescent="0.25">
      <c r="A416" s="240"/>
      <c r="F416" s="278"/>
      <c r="H416" s="278"/>
      <c r="I416" s="278"/>
      <c r="J416" s="240"/>
      <c r="L416" s="278"/>
      <c r="M416" s="240"/>
    </row>
    <row r="417" spans="1:13" ht="14.25" customHeight="1" x14ac:dyDescent="0.25">
      <c r="A417" s="240"/>
      <c r="F417" s="278"/>
      <c r="H417" s="278"/>
      <c r="I417" s="278"/>
      <c r="J417" s="240"/>
      <c r="L417" s="278"/>
      <c r="M417" s="240"/>
    </row>
    <row r="418" spans="1:13" ht="14.25" customHeight="1" x14ac:dyDescent="0.25">
      <c r="A418" s="240"/>
      <c r="F418" s="278"/>
      <c r="H418" s="278"/>
      <c r="I418" s="278"/>
      <c r="J418" s="240"/>
      <c r="L418" s="278"/>
      <c r="M418" s="240"/>
    </row>
    <row r="419" spans="1:13" ht="14.25" customHeight="1" x14ac:dyDescent="0.25">
      <c r="A419" s="240"/>
      <c r="F419" s="278"/>
      <c r="H419" s="278"/>
      <c r="I419" s="278"/>
      <c r="J419" s="240"/>
      <c r="L419" s="278"/>
      <c r="M419" s="240"/>
    </row>
    <row r="420" spans="1:13" ht="14.25" customHeight="1" x14ac:dyDescent="0.25">
      <c r="A420" s="240"/>
      <c r="F420" s="278"/>
      <c r="H420" s="278"/>
      <c r="I420" s="278"/>
      <c r="J420" s="240"/>
      <c r="L420" s="278"/>
      <c r="M420" s="240"/>
    </row>
    <row r="421" spans="1:13" ht="14.25" customHeight="1" x14ac:dyDescent="0.25">
      <c r="A421" s="240"/>
      <c r="F421" s="278"/>
      <c r="H421" s="278"/>
      <c r="I421" s="278"/>
      <c r="J421" s="240"/>
      <c r="L421" s="278"/>
      <c r="M421" s="240"/>
    </row>
    <row r="422" spans="1:13" ht="14.25" customHeight="1" x14ac:dyDescent="0.25">
      <c r="A422" s="240"/>
      <c r="F422" s="278"/>
      <c r="H422" s="278"/>
      <c r="I422" s="278"/>
      <c r="J422" s="240"/>
      <c r="L422" s="278"/>
      <c r="M422" s="240"/>
    </row>
    <row r="423" spans="1:13" ht="14.25" customHeight="1" x14ac:dyDescent="0.25">
      <c r="A423" s="240"/>
      <c r="F423" s="278"/>
      <c r="H423" s="278"/>
      <c r="I423" s="278"/>
      <c r="J423" s="240"/>
      <c r="L423" s="278"/>
      <c r="M423" s="240"/>
    </row>
    <row r="424" spans="1:13" ht="14.25" customHeight="1" x14ac:dyDescent="0.25">
      <c r="A424" s="240"/>
      <c r="F424" s="278"/>
      <c r="H424" s="278"/>
      <c r="I424" s="278"/>
      <c r="J424" s="240"/>
      <c r="L424" s="278"/>
      <c r="M424" s="240"/>
    </row>
    <row r="425" spans="1:13" ht="14.25" customHeight="1" x14ac:dyDescent="0.25">
      <c r="A425" s="240"/>
      <c r="F425" s="278"/>
      <c r="H425" s="278"/>
      <c r="I425" s="278"/>
      <c r="J425" s="240"/>
      <c r="L425" s="278"/>
      <c r="M425" s="240"/>
    </row>
    <row r="426" spans="1:13" ht="14.25" customHeight="1" x14ac:dyDescent="0.25">
      <c r="A426" s="240"/>
      <c r="F426" s="278"/>
      <c r="H426" s="278"/>
      <c r="I426" s="278"/>
      <c r="J426" s="240"/>
      <c r="L426" s="278"/>
      <c r="M426" s="240"/>
    </row>
    <row r="427" spans="1:13" ht="14.25" customHeight="1" x14ac:dyDescent="0.25">
      <c r="A427" s="240"/>
      <c r="F427" s="278"/>
      <c r="H427" s="278"/>
      <c r="I427" s="278"/>
      <c r="J427" s="240"/>
      <c r="L427" s="278"/>
      <c r="M427" s="240"/>
    </row>
    <row r="428" spans="1:13" ht="14.25" customHeight="1" x14ac:dyDescent="0.25">
      <c r="A428" s="240"/>
      <c r="F428" s="278"/>
      <c r="H428" s="278"/>
      <c r="I428" s="278"/>
      <c r="J428" s="240"/>
      <c r="L428" s="278"/>
      <c r="M428" s="240"/>
    </row>
    <row r="429" spans="1:13" ht="14.25" customHeight="1" x14ac:dyDescent="0.25">
      <c r="A429" s="240"/>
      <c r="F429" s="278"/>
      <c r="H429" s="278"/>
      <c r="I429" s="278"/>
      <c r="J429" s="240"/>
      <c r="L429" s="278"/>
      <c r="M429" s="240"/>
    </row>
    <row r="430" spans="1:13" ht="14.25" customHeight="1" x14ac:dyDescent="0.25">
      <c r="A430" s="240"/>
      <c r="F430" s="278"/>
      <c r="H430" s="278"/>
      <c r="I430" s="278"/>
      <c r="J430" s="240"/>
      <c r="L430" s="278"/>
      <c r="M430" s="240"/>
    </row>
    <row r="431" spans="1:13" ht="14.25" customHeight="1" x14ac:dyDescent="0.25">
      <c r="A431" s="240"/>
      <c r="F431" s="278"/>
      <c r="H431" s="278"/>
      <c r="I431" s="278"/>
      <c r="J431" s="240"/>
      <c r="L431" s="278"/>
      <c r="M431" s="240"/>
    </row>
    <row r="432" spans="1:13" ht="14.25" customHeight="1" x14ac:dyDescent="0.25">
      <c r="A432" s="240"/>
      <c r="F432" s="278"/>
      <c r="H432" s="278"/>
      <c r="I432" s="278"/>
      <c r="J432" s="240"/>
      <c r="L432" s="278"/>
      <c r="M432" s="240"/>
    </row>
    <row r="433" spans="1:13" ht="14.25" customHeight="1" x14ac:dyDescent="0.25">
      <c r="A433" s="240"/>
      <c r="F433" s="278"/>
      <c r="H433" s="278"/>
      <c r="I433" s="278"/>
      <c r="J433" s="240"/>
      <c r="L433" s="278"/>
      <c r="M433" s="240"/>
    </row>
    <row r="434" spans="1:13" ht="14.25" customHeight="1" x14ac:dyDescent="0.25">
      <c r="A434" s="240"/>
      <c r="F434" s="278"/>
      <c r="H434" s="278"/>
      <c r="I434" s="278"/>
      <c r="J434" s="240"/>
      <c r="L434" s="278"/>
      <c r="M434" s="240"/>
    </row>
    <row r="435" spans="1:13" ht="14.25" customHeight="1" x14ac:dyDescent="0.25">
      <c r="A435" s="240"/>
      <c r="F435" s="278"/>
      <c r="H435" s="278"/>
      <c r="I435" s="278"/>
      <c r="J435" s="240"/>
      <c r="L435" s="278"/>
      <c r="M435" s="240"/>
    </row>
    <row r="436" spans="1:13" ht="14.25" customHeight="1" x14ac:dyDescent="0.25">
      <c r="A436" s="240"/>
      <c r="F436" s="278"/>
      <c r="H436" s="278"/>
      <c r="I436" s="278"/>
      <c r="J436" s="240"/>
      <c r="L436" s="278"/>
      <c r="M436" s="240"/>
    </row>
    <row r="437" spans="1:13" ht="14.25" customHeight="1" x14ac:dyDescent="0.25">
      <c r="A437" s="240"/>
      <c r="F437" s="278"/>
      <c r="H437" s="278"/>
      <c r="I437" s="278"/>
      <c r="J437" s="240"/>
      <c r="L437" s="278"/>
      <c r="M437" s="240"/>
    </row>
    <row r="438" spans="1:13" ht="14.25" customHeight="1" x14ac:dyDescent="0.25">
      <c r="A438" s="240"/>
      <c r="F438" s="278"/>
      <c r="H438" s="278"/>
      <c r="I438" s="278"/>
      <c r="J438" s="240"/>
      <c r="L438" s="278"/>
      <c r="M438" s="240"/>
    </row>
    <row r="439" spans="1:13" ht="14.25" customHeight="1" x14ac:dyDescent="0.25">
      <c r="A439" s="240"/>
      <c r="F439" s="278"/>
      <c r="H439" s="278"/>
      <c r="I439" s="278"/>
      <c r="J439" s="240"/>
      <c r="L439" s="278"/>
      <c r="M439" s="240"/>
    </row>
    <row r="440" spans="1:13" ht="14.25" customHeight="1" x14ac:dyDescent="0.25">
      <c r="A440" s="240"/>
      <c r="F440" s="278"/>
      <c r="H440" s="278"/>
      <c r="I440" s="278"/>
      <c r="J440" s="240"/>
      <c r="L440" s="278"/>
      <c r="M440" s="240"/>
    </row>
    <row r="441" spans="1:13" ht="14.25" customHeight="1" x14ac:dyDescent="0.25">
      <c r="A441" s="240"/>
      <c r="F441" s="278"/>
      <c r="H441" s="278"/>
      <c r="I441" s="278"/>
      <c r="J441" s="240"/>
      <c r="L441" s="278"/>
      <c r="M441" s="240"/>
    </row>
    <row r="442" spans="1:13" ht="14.25" customHeight="1" x14ac:dyDescent="0.25">
      <c r="A442" s="240"/>
      <c r="F442" s="278"/>
      <c r="H442" s="278"/>
      <c r="I442" s="278"/>
      <c r="J442" s="240"/>
      <c r="L442" s="278"/>
      <c r="M442" s="240"/>
    </row>
    <row r="443" spans="1:13" ht="14.25" customHeight="1" x14ac:dyDescent="0.25">
      <c r="A443" s="240"/>
      <c r="F443" s="278"/>
      <c r="H443" s="278"/>
      <c r="I443" s="278"/>
      <c r="J443" s="240"/>
      <c r="L443" s="278"/>
      <c r="M443" s="240"/>
    </row>
    <row r="444" spans="1:13" ht="14.25" customHeight="1" x14ac:dyDescent="0.25">
      <c r="A444" s="240"/>
      <c r="F444" s="278"/>
      <c r="H444" s="278"/>
      <c r="I444" s="278"/>
      <c r="J444" s="240"/>
      <c r="L444" s="278"/>
      <c r="M444" s="240"/>
    </row>
    <row r="445" spans="1:13" ht="14.25" customHeight="1" x14ac:dyDescent="0.25">
      <c r="A445" s="240"/>
      <c r="F445" s="278"/>
      <c r="H445" s="278"/>
      <c r="I445" s="278"/>
      <c r="J445" s="240"/>
      <c r="L445" s="278"/>
      <c r="M445" s="240"/>
    </row>
    <row r="446" spans="1:13" ht="14.25" customHeight="1" x14ac:dyDescent="0.25">
      <c r="A446" s="240"/>
      <c r="F446" s="278"/>
      <c r="H446" s="278"/>
      <c r="I446" s="278"/>
      <c r="J446" s="240"/>
      <c r="L446" s="278"/>
      <c r="M446" s="240"/>
    </row>
    <row r="447" spans="1:13" ht="14.25" customHeight="1" x14ac:dyDescent="0.25">
      <c r="A447" s="240"/>
      <c r="F447" s="278"/>
      <c r="H447" s="278"/>
      <c r="I447" s="278"/>
      <c r="J447" s="240"/>
      <c r="L447" s="278"/>
      <c r="M447" s="240"/>
    </row>
    <row r="448" spans="1:13" ht="14.25" customHeight="1" x14ac:dyDescent="0.25">
      <c r="A448" s="240"/>
      <c r="F448" s="278"/>
      <c r="H448" s="278"/>
      <c r="I448" s="278"/>
      <c r="J448" s="240"/>
      <c r="L448" s="278"/>
      <c r="M448" s="240"/>
    </row>
    <row r="449" spans="1:13" ht="14.25" customHeight="1" x14ac:dyDescent="0.25">
      <c r="A449" s="240"/>
      <c r="F449" s="278"/>
      <c r="H449" s="278"/>
      <c r="I449" s="278"/>
      <c r="J449" s="240"/>
      <c r="L449" s="278"/>
      <c r="M449" s="240"/>
    </row>
    <row r="450" spans="1:13" ht="14.25" customHeight="1" x14ac:dyDescent="0.25">
      <c r="A450" s="240"/>
      <c r="F450" s="278"/>
      <c r="H450" s="278"/>
      <c r="I450" s="278"/>
      <c r="J450" s="240"/>
      <c r="L450" s="278"/>
      <c r="M450" s="240"/>
    </row>
    <row r="451" spans="1:13" ht="14.25" customHeight="1" x14ac:dyDescent="0.25">
      <c r="A451" s="240"/>
      <c r="F451" s="278"/>
      <c r="H451" s="278"/>
      <c r="I451" s="278"/>
      <c r="J451" s="240"/>
      <c r="L451" s="278"/>
      <c r="M451" s="240"/>
    </row>
    <row r="452" spans="1:13" ht="14.25" customHeight="1" x14ac:dyDescent="0.25">
      <c r="A452" s="240"/>
      <c r="F452" s="278"/>
      <c r="H452" s="278"/>
      <c r="I452" s="278"/>
      <c r="J452" s="240"/>
      <c r="L452" s="278"/>
      <c r="M452" s="240"/>
    </row>
    <row r="453" spans="1:13" ht="14.25" customHeight="1" x14ac:dyDescent="0.25">
      <c r="A453" s="240"/>
      <c r="F453" s="278"/>
      <c r="H453" s="278"/>
      <c r="I453" s="278"/>
      <c r="J453" s="240"/>
      <c r="L453" s="278"/>
      <c r="M453" s="240"/>
    </row>
    <row r="454" spans="1:13" ht="14.25" customHeight="1" x14ac:dyDescent="0.25">
      <c r="A454" s="240"/>
      <c r="F454" s="278"/>
      <c r="H454" s="278"/>
      <c r="I454" s="278"/>
      <c r="J454" s="240"/>
      <c r="L454" s="278"/>
      <c r="M454" s="240"/>
    </row>
    <row r="455" spans="1:13" ht="14.25" customHeight="1" x14ac:dyDescent="0.25">
      <c r="A455" s="240"/>
      <c r="F455" s="278"/>
      <c r="H455" s="278"/>
      <c r="I455" s="278"/>
      <c r="J455" s="240"/>
      <c r="L455" s="278"/>
      <c r="M455" s="240"/>
    </row>
    <row r="456" spans="1:13" ht="14.25" customHeight="1" x14ac:dyDescent="0.25">
      <c r="A456" s="240"/>
      <c r="F456" s="278"/>
      <c r="H456" s="278"/>
      <c r="I456" s="278"/>
      <c r="J456" s="240"/>
      <c r="L456" s="278"/>
      <c r="M456" s="240"/>
    </row>
    <row r="457" spans="1:13" ht="14.25" customHeight="1" x14ac:dyDescent="0.25">
      <c r="A457" s="240"/>
      <c r="F457" s="278"/>
      <c r="H457" s="278"/>
      <c r="I457" s="278"/>
      <c r="J457" s="240"/>
      <c r="L457" s="278"/>
      <c r="M457" s="240"/>
    </row>
    <row r="458" spans="1:13" ht="14.25" customHeight="1" x14ac:dyDescent="0.25">
      <c r="A458" s="240"/>
      <c r="F458" s="278"/>
      <c r="H458" s="278"/>
      <c r="I458" s="278"/>
      <c r="J458" s="240"/>
      <c r="L458" s="278"/>
      <c r="M458" s="240"/>
    </row>
    <row r="459" spans="1:13" ht="14.25" customHeight="1" x14ac:dyDescent="0.25">
      <c r="A459" s="240"/>
      <c r="F459" s="278"/>
      <c r="H459" s="278"/>
      <c r="I459" s="278"/>
      <c r="J459" s="240"/>
      <c r="L459" s="278"/>
      <c r="M459" s="240"/>
    </row>
    <row r="460" spans="1:13" ht="14.25" customHeight="1" x14ac:dyDescent="0.25">
      <c r="A460" s="240"/>
      <c r="F460" s="278"/>
      <c r="H460" s="278"/>
      <c r="I460" s="278"/>
      <c r="J460" s="240"/>
      <c r="L460" s="278"/>
      <c r="M460" s="240"/>
    </row>
    <row r="461" spans="1:13" ht="14.25" customHeight="1" x14ac:dyDescent="0.25">
      <c r="A461" s="240"/>
      <c r="F461" s="278"/>
      <c r="H461" s="278"/>
      <c r="I461" s="278"/>
      <c r="J461" s="240"/>
      <c r="L461" s="278"/>
      <c r="M461" s="240"/>
    </row>
    <row r="462" spans="1:13" ht="14.25" customHeight="1" x14ac:dyDescent="0.25">
      <c r="A462" s="240"/>
      <c r="F462" s="278"/>
      <c r="H462" s="278"/>
      <c r="I462" s="278"/>
      <c r="J462" s="240"/>
      <c r="L462" s="278"/>
      <c r="M462" s="240"/>
    </row>
    <row r="463" spans="1:13" ht="14.25" customHeight="1" x14ac:dyDescent="0.25">
      <c r="A463" s="240"/>
      <c r="F463" s="278"/>
      <c r="H463" s="278"/>
      <c r="I463" s="278"/>
      <c r="J463" s="240"/>
      <c r="L463" s="278"/>
      <c r="M463" s="240"/>
    </row>
    <row r="464" spans="1:13" ht="14.25" customHeight="1" x14ac:dyDescent="0.25">
      <c r="A464" s="240"/>
      <c r="F464" s="278"/>
      <c r="H464" s="278"/>
      <c r="I464" s="278"/>
      <c r="J464" s="240"/>
      <c r="L464" s="278"/>
      <c r="M464" s="240"/>
    </row>
    <row r="465" spans="1:13" ht="14.25" customHeight="1" x14ac:dyDescent="0.25">
      <c r="A465" s="240"/>
      <c r="F465" s="278"/>
      <c r="H465" s="278"/>
      <c r="I465" s="278"/>
      <c r="J465" s="240"/>
      <c r="L465" s="278"/>
      <c r="M465" s="240"/>
    </row>
    <row r="466" spans="1:13" ht="14.25" customHeight="1" x14ac:dyDescent="0.25">
      <c r="A466" s="240"/>
      <c r="F466" s="278"/>
      <c r="H466" s="278"/>
      <c r="I466" s="278"/>
      <c r="J466" s="240"/>
      <c r="L466" s="278"/>
      <c r="M466" s="240"/>
    </row>
    <row r="467" spans="1:13" ht="14.25" customHeight="1" x14ac:dyDescent="0.25">
      <c r="A467" s="240"/>
      <c r="F467" s="278"/>
      <c r="H467" s="278"/>
      <c r="I467" s="278"/>
      <c r="J467" s="240"/>
      <c r="L467" s="278"/>
      <c r="M467" s="240"/>
    </row>
    <row r="468" spans="1:13" ht="14.25" customHeight="1" x14ac:dyDescent="0.25">
      <c r="A468" s="240"/>
      <c r="F468" s="278"/>
      <c r="H468" s="278"/>
      <c r="I468" s="278"/>
      <c r="J468" s="240"/>
      <c r="L468" s="278"/>
      <c r="M468" s="240"/>
    </row>
    <row r="469" spans="1:13" ht="14.25" customHeight="1" x14ac:dyDescent="0.25">
      <c r="A469" s="240"/>
      <c r="F469" s="278"/>
      <c r="H469" s="278"/>
      <c r="I469" s="278"/>
      <c r="J469" s="240"/>
      <c r="L469" s="278"/>
      <c r="M469" s="240"/>
    </row>
    <row r="470" spans="1:13" ht="14.25" customHeight="1" x14ac:dyDescent="0.25">
      <c r="A470" s="240"/>
      <c r="F470" s="278"/>
      <c r="H470" s="278"/>
      <c r="I470" s="278"/>
      <c r="J470" s="240"/>
      <c r="L470" s="278"/>
      <c r="M470" s="240"/>
    </row>
    <row r="471" spans="1:13" ht="14.25" customHeight="1" x14ac:dyDescent="0.25">
      <c r="A471" s="240"/>
      <c r="F471" s="278"/>
      <c r="H471" s="278"/>
      <c r="I471" s="278"/>
      <c r="J471" s="240"/>
      <c r="L471" s="278"/>
      <c r="M471" s="240"/>
    </row>
    <row r="472" spans="1:13" ht="14.25" customHeight="1" x14ac:dyDescent="0.25">
      <c r="A472" s="240"/>
      <c r="F472" s="278"/>
      <c r="H472" s="278"/>
      <c r="I472" s="278"/>
      <c r="J472" s="240"/>
      <c r="L472" s="278"/>
      <c r="M472" s="240"/>
    </row>
    <row r="473" spans="1:13" ht="14.25" customHeight="1" x14ac:dyDescent="0.25">
      <c r="A473" s="240"/>
      <c r="F473" s="278"/>
      <c r="H473" s="278"/>
      <c r="I473" s="278"/>
      <c r="J473" s="240"/>
      <c r="L473" s="278"/>
      <c r="M473" s="240"/>
    </row>
    <row r="474" spans="1:13" ht="14.25" customHeight="1" x14ac:dyDescent="0.25">
      <c r="A474" s="240"/>
      <c r="F474" s="278"/>
      <c r="H474" s="278"/>
      <c r="I474" s="278"/>
      <c r="J474" s="240"/>
      <c r="L474" s="278"/>
      <c r="M474" s="240"/>
    </row>
    <row r="475" spans="1:13" ht="14.25" customHeight="1" x14ac:dyDescent="0.25">
      <c r="A475" s="240"/>
      <c r="F475" s="278"/>
      <c r="H475" s="278"/>
      <c r="I475" s="278"/>
      <c r="J475" s="240"/>
      <c r="L475" s="278"/>
      <c r="M475" s="240"/>
    </row>
    <row r="476" spans="1:13" ht="14.25" customHeight="1" x14ac:dyDescent="0.25">
      <c r="A476" s="240"/>
      <c r="F476" s="278"/>
      <c r="H476" s="278"/>
      <c r="I476" s="278"/>
      <c r="J476" s="240"/>
      <c r="L476" s="278"/>
      <c r="M476" s="240"/>
    </row>
    <row r="477" spans="1:13" ht="14.25" customHeight="1" x14ac:dyDescent="0.25">
      <c r="A477" s="240"/>
      <c r="F477" s="278"/>
      <c r="H477" s="278"/>
      <c r="I477" s="278"/>
      <c r="J477" s="240"/>
      <c r="L477" s="278"/>
      <c r="M477" s="240"/>
    </row>
    <row r="478" spans="1:13" ht="14.25" customHeight="1" x14ac:dyDescent="0.25">
      <c r="A478" s="240"/>
      <c r="F478" s="278"/>
      <c r="H478" s="278"/>
      <c r="I478" s="278"/>
      <c r="J478" s="240"/>
      <c r="L478" s="278"/>
      <c r="M478" s="240"/>
    </row>
    <row r="479" spans="1:13" ht="14.25" customHeight="1" x14ac:dyDescent="0.25">
      <c r="A479" s="240"/>
      <c r="F479" s="278"/>
      <c r="H479" s="278"/>
      <c r="I479" s="278"/>
      <c r="J479" s="240"/>
      <c r="L479" s="278"/>
      <c r="M479" s="240"/>
    </row>
    <row r="480" spans="1:13" ht="14.25" customHeight="1" x14ac:dyDescent="0.25">
      <c r="A480" s="240"/>
      <c r="F480" s="278"/>
      <c r="H480" s="278"/>
      <c r="I480" s="278"/>
      <c r="J480" s="240"/>
      <c r="L480" s="278"/>
      <c r="M480" s="240"/>
    </row>
    <row r="481" spans="1:13" ht="14.25" customHeight="1" x14ac:dyDescent="0.25">
      <c r="A481" s="240"/>
      <c r="F481" s="278"/>
      <c r="H481" s="278"/>
      <c r="I481" s="278"/>
      <c r="J481" s="240"/>
      <c r="L481" s="278"/>
      <c r="M481" s="240"/>
    </row>
    <row r="482" spans="1:13" ht="14.25" customHeight="1" x14ac:dyDescent="0.25">
      <c r="A482" s="240"/>
      <c r="F482" s="278"/>
      <c r="H482" s="278"/>
      <c r="I482" s="278"/>
      <c r="J482" s="240"/>
      <c r="L482" s="278"/>
      <c r="M482" s="240"/>
    </row>
    <row r="483" spans="1:13" ht="14.25" customHeight="1" x14ac:dyDescent="0.25">
      <c r="A483" s="240"/>
      <c r="F483" s="278"/>
      <c r="H483" s="278"/>
      <c r="I483" s="278"/>
      <c r="J483" s="240"/>
      <c r="L483" s="278"/>
      <c r="M483" s="240"/>
    </row>
    <row r="484" spans="1:13" ht="14.25" customHeight="1" x14ac:dyDescent="0.25">
      <c r="A484" s="240"/>
      <c r="F484" s="278"/>
      <c r="H484" s="278"/>
      <c r="I484" s="278"/>
      <c r="J484" s="240"/>
      <c r="L484" s="278"/>
      <c r="M484" s="240"/>
    </row>
    <row r="485" spans="1:13" ht="14.25" customHeight="1" x14ac:dyDescent="0.25">
      <c r="A485" s="240"/>
      <c r="F485" s="278"/>
      <c r="H485" s="278"/>
      <c r="I485" s="278"/>
      <c r="J485" s="240"/>
      <c r="L485" s="278"/>
      <c r="M485" s="240"/>
    </row>
    <row r="486" spans="1:13" ht="14.25" customHeight="1" x14ac:dyDescent="0.25">
      <c r="A486" s="240"/>
      <c r="F486" s="278"/>
      <c r="H486" s="278"/>
      <c r="I486" s="278"/>
      <c r="J486" s="240"/>
      <c r="L486" s="278"/>
      <c r="M486" s="240"/>
    </row>
    <row r="487" spans="1:13" ht="14.25" customHeight="1" x14ac:dyDescent="0.25">
      <c r="A487" s="240"/>
      <c r="F487" s="278"/>
      <c r="H487" s="278"/>
      <c r="I487" s="278"/>
      <c r="J487" s="240"/>
      <c r="L487" s="278"/>
      <c r="M487" s="240"/>
    </row>
    <row r="488" spans="1:13" ht="14.25" customHeight="1" x14ac:dyDescent="0.25">
      <c r="A488" s="240"/>
      <c r="F488" s="278"/>
      <c r="H488" s="278"/>
      <c r="I488" s="278"/>
      <c r="J488" s="240"/>
      <c r="L488" s="278"/>
      <c r="M488" s="240"/>
    </row>
    <row r="489" spans="1:13" ht="14.25" customHeight="1" x14ac:dyDescent="0.25">
      <c r="A489" s="240"/>
      <c r="F489" s="278"/>
      <c r="H489" s="278"/>
      <c r="I489" s="278"/>
      <c r="J489" s="240"/>
      <c r="L489" s="278"/>
      <c r="M489" s="240"/>
    </row>
    <row r="490" spans="1:13" ht="14.25" customHeight="1" x14ac:dyDescent="0.25">
      <c r="A490" s="240"/>
      <c r="F490" s="278"/>
      <c r="H490" s="278"/>
      <c r="I490" s="278"/>
      <c r="J490" s="240"/>
      <c r="L490" s="278"/>
      <c r="M490" s="240"/>
    </row>
    <row r="491" spans="1:13" ht="14.25" customHeight="1" x14ac:dyDescent="0.25">
      <c r="A491" s="240"/>
      <c r="F491" s="278"/>
      <c r="H491" s="278"/>
      <c r="I491" s="278"/>
      <c r="J491" s="240"/>
      <c r="L491" s="278"/>
      <c r="M491" s="240"/>
    </row>
    <row r="492" spans="1:13" ht="14.25" customHeight="1" x14ac:dyDescent="0.25">
      <c r="A492" s="240"/>
      <c r="F492" s="278"/>
      <c r="H492" s="278"/>
      <c r="I492" s="278"/>
      <c r="J492" s="240"/>
      <c r="L492" s="278"/>
      <c r="M492" s="240"/>
    </row>
    <row r="493" spans="1:13" ht="14.25" customHeight="1" x14ac:dyDescent="0.25">
      <c r="A493" s="240"/>
      <c r="F493" s="278"/>
      <c r="H493" s="278"/>
      <c r="I493" s="278"/>
      <c r="J493" s="240"/>
      <c r="L493" s="278"/>
      <c r="M493" s="240"/>
    </row>
    <row r="494" spans="1:13" ht="14.25" customHeight="1" x14ac:dyDescent="0.25">
      <c r="A494" s="240"/>
      <c r="F494" s="278"/>
      <c r="H494" s="278"/>
      <c r="I494" s="278"/>
      <c r="J494" s="240"/>
      <c r="L494" s="278"/>
      <c r="M494" s="240"/>
    </row>
    <row r="495" spans="1:13" ht="14.25" customHeight="1" x14ac:dyDescent="0.25">
      <c r="A495" s="240"/>
      <c r="F495" s="278"/>
      <c r="H495" s="278"/>
      <c r="I495" s="278"/>
      <c r="J495" s="240"/>
      <c r="L495" s="278"/>
      <c r="M495" s="240"/>
    </row>
    <row r="496" spans="1:13" ht="14.25" customHeight="1" x14ac:dyDescent="0.25">
      <c r="A496" s="240"/>
      <c r="F496" s="278"/>
      <c r="H496" s="278"/>
      <c r="I496" s="278"/>
      <c r="J496" s="240"/>
      <c r="L496" s="278"/>
      <c r="M496" s="240"/>
    </row>
    <row r="497" spans="1:13" ht="14.25" customHeight="1" x14ac:dyDescent="0.25">
      <c r="A497" s="240"/>
      <c r="F497" s="278"/>
      <c r="H497" s="278"/>
      <c r="I497" s="278"/>
      <c r="J497" s="240"/>
      <c r="L497" s="278"/>
      <c r="M497" s="240"/>
    </row>
    <row r="498" spans="1:13" ht="14.25" customHeight="1" x14ac:dyDescent="0.25">
      <c r="A498" s="240"/>
      <c r="F498" s="278"/>
      <c r="H498" s="278"/>
      <c r="I498" s="278"/>
      <c r="J498" s="240"/>
      <c r="L498" s="278"/>
      <c r="M498" s="240"/>
    </row>
    <row r="499" spans="1:13" ht="14.25" customHeight="1" x14ac:dyDescent="0.25">
      <c r="A499" s="240"/>
      <c r="F499" s="278"/>
      <c r="H499" s="278"/>
      <c r="I499" s="278"/>
      <c r="J499" s="240"/>
      <c r="L499" s="278"/>
      <c r="M499" s="240"/>
    </row>
    <row r="500" spans="1:13" ht="14.25" customHeight="1" x14ac:dyDescent="0.25">
      <c r="A500" s="240"/>
      <c r="F500" s="278"/>
      <c r="H500" s="278"/>
      <c r="I500" s="278"/>
      <c r="J500" s="240"/>
      <c r="L500" s="278"/>
      <c r="M500" s="240"/>
    </row>
    <row r="501" spans="1:13" ht="14.25" customHeight="1" x14ac:dyDescent="0.25">
      <c r="A501" s="240"/>
      <c r="F501" s="278"/>
      <c r="H501" s="278"/>
      <c r="I501" s="278"/>
      <c r="J501" s="240"/>
      <c r="L501" s="278"/>
      <c r="M501" s="240"/>
    </row>
    <row r="502" spans="1:13" ht="14.25" customHeight="1" x14ac:dyDescent="0.25">
      <c r="A502" s="240"/>
      <c r="F502" s="278"/>
      <c r="H502" s="278"/>
      <c r="I502" s="278"/>
      <c r="J502" s="240"/>
      <c r="L502" s="278"/>
      <c r="M502" s="240"/>
    </row>
    <row r="503" spans="1:13" ht="14.25" customHeight="1" x14ac:dyDescent="0.25">
      <c r="A503" s="240"/>
      <c r="F503" s="278"/>
      <c r="H503" s="278"/>
      <c r="I503" s="278"/>
      <c r="J503" s="240"/>
      <c r="L503" s="278"/>
      <c r="M503" s="240"/>
    </row>
    <row r="504" spans="1:13" ht="14.25" customHeight="1" x14ac:dyDescent="0.25">
      <c r="A504" s="240"/>
      <c r="F504" s="278"/>
      <c r="H504" s="278"/>
      <c r="I504" s="278"/>
      <c r="J504" s="240"/>
      <c r="L504" s="278"/>
      <c r="M504" s="240"/>
    </row>
    <row r="505" spans="1:13" ht="14.25" customHeight="1" x14ac:dyDescent="0.25">
      <c r="A505" s="240"/>
      <c r="F505" s="278"/>
      <c r="H505" s="278"/>
      <c r="I505" s="278"/>
      <c r="J505" s="240"/>
      <c r="L505" s="278"/>
      <c r="M505" s="240"/>
    </row>
    <row r="506" spans="1:13" ht="14.25" customHeight="1" x14ac:dyDescent="0.25">
      <c r="A506" s="240"/>
      <c r="F506" s="278"/>
      <c r="H506" s="278"/>
      <c r="I506" s="278"/>
      <c r="J506" s="240"/>
      <c r="L506" s="278"/>
      <c r="M506" s="240"/>
    </row>
    <row r="507" spans="1:13" ht="14.25" customHeight="1" x14ac:dyDescent="0.25">
      <c r="A507" s="240"/>
      <c r="F507" s="278"/>
      <c r="H507" s="278"/>
      <c r="I507" s="278"/>
      <c r="J507" s="240"/>
      <c r="L507" s="278"/>
      <c r="M507" s="240"/>
    </row>
    <row r="508" spans="1:13" ht="14.25" customHeight="1" x14ac:dyDescent="0.25">
      <c r="A508" s="240"/>
      <c r="F508" s="278"/>
      <c r="H508" s="278"/>
      <c r="I508" s="278"/>
      <c r="J508" s="240"/>
      <c r="L508" s="278"/>
      <c r="M508" s="240"/>
    </row>
    <row r="509" spans="1:13" ht="14.25" customHeight="1" x14ac:dyDescent="0.25">
      <c r="A509" s="240"/>
      <c r="F509" s="278"/>
      <c r="H509" s="278"/>
      <c r="I509" s="278"/>
      <c r="J509" s="240"/>
      <c r="L509" s="278"/>
      <c r="M509" s="240"/>
    </row>
    <row r="510" spans="1:13" ht="14.25" customHeight="1" x14ac:dyDescent="0.25">
      <c r="A510" s="240"/>
      <c r="F510" s="278"/>
      <c r="H510" s="278"/>
      <c r="I510" s="278"/>
      <c r="J510" s="240"/>
      <c r="L510" s="278"/>
      <c r="M510" s="240"/>
    </row>
    <row r="511" spans="1:13" ht="14.25" customHeight="1" x14ac:dyDescent="0.25">
      <c r="A511" s="240"/>
      <c r="F511" s="278"/>
      <c r="H511" s="278"/>
      <c r="I511" s="278"/>
      <c r="J511" s="240"/>
      <c r="L511" s="278"/>
      <c r="M511" s="240"/>
    </row>
    <row r="512" spans="1:13" ht="14.25" customHeight="1" x14ac:dyDescent="0.25">
      <c r="A512" s="240"/>
      <c r="F512" s="278"/>
      <c r="H512" s="278"/>
      <c r="I512" s="278"/>
      <c r="J512" s="240"/>
      <c r="L512" s="278"/>
      <c r="M512" s="240"/>
    </row>
    <row r="513" spans="1:13" ht="14.25" customHeight="1" x14ac:dyDescent="0.25">
      <c r="A513" s="240"/>
      <c r="F513" s="278"/>
      <c r="H513" s="278"/>
      <c r="I513" s="278"/>
      <c r="J513" s="240"/>
      <c r="L513" s="278"/>
      <c r="M513" s="240"/>
    </row>
    <row r="514" spans="1:13" ht="14.25" customHeight="1" x14ac:dyDescent="0.25">
      <c r="A514" s="240"/>
      <c r="F514" s="278"/>
      <c r="H514" s="278"/>
      <c r="I514" s="278"/>
      <c r="J514" s="240"/>
      <c r="L514" s="278"/>
      <c r="M514" s="240"/>
    </row>
    <row r="515" spans="1:13" ht="14.25" customHeight="1" x14ac:dyDescent="0.25">
      <c r="A515" s="240"/>
      <c r="F515" s="278"/>
      <c r="H515" s="278"/>
      <c r="I515" s="278"/>
      <c r="J515" s="240"/>
      <c r="L515" s="278"/>
      <c r="M515" s="240"/>
    </row>
    <row r="516" spans="1:13" ht="14.25" customHeight="1" x14ac:dyDescent="0.25">
      <c r="A516" s="240"/>
      <c r="F516" s="278"/>
      <c r="H516" s="278"/>
      <c r="I516" s="278"/>
      <c r="J516" s="240"/>
      <c r="L516" s="278"/>
      <c r="M516" s="240"/>
    </row>
    <row r="517" spans="1:13" ht="14.25" customHeight="1" x14ac:dyDescent="0.25">
      <c r="A517" s="240"/>
      <c r="F517" s="278"/>
      <c r="H517" s="278"/>
      <c r="I517" s="278"/>
      <c r="J517" s="240"/>
      <c r="L517" s="278"/>
      <c r="M517" s="240"/>
    </row>
    <row r="518" spans="1:13" ht="14.25" customHeight="1" x14ac:dyDescent="0.25">
      <c r="A518" s="240"/>
      <c r="F518" s="278"/>
      <c r="H518" s="278"/>
      <c r="I518" s="278"/>
      <c r="J518" s="240"/>
      <c r="L518" s="278"/>
      <c r="M518" s="240"/>
    </row>
    <row r="519" spans="1:13" ht="14.25" customHeight="1" x14ac:dyDescent="0.25">
      <c r="A519" s="240"/>
      <c r="F519" s="278"/>
      <c r="H519" s="278"/>
      <c r="I519" s="278"/>
      <c r="J519" s="240"/>
      <c r="L519" s="278"/>
      <c r="M519" s="240"/>
    </row>
    <row r="520" spans="1:13" ht="14.25" customHeight="1" x14ac:dyDescent="0.25">
      <c r="A520" s="240"/>
      <c r="F520" s="278"/>
      <c r="H520" s="278"/>
      <c r="I520" s="278"/>
      <c r="J520" s="240"/>
      <c r="L520" s="278"/>
      <c r="M520" s="240"/>
    </row>
    <row r="521" spans="1:13" ht="14.25" customHeight="1" x14ac:dyDescent="0.25">
      <c r="A521" s="240"/>
      <c r="F521" s="278"/>
      <c r="H521" s="278"/>
      <c r="I521" s="278"/>
      <c r="J521" s="240"/>
      <c r="L521" s="278"/>
      <c r="M521" s="240"/>
    </row>
    <row r="522" spans="1:13" ht="14.25" customHeight="1" x14ac:dyDescent="0.25">
      <c r="A522" s="240"/>
      <c r="F522" s="278"/>
      <c r="H522" s="278"/>
      <c r="I522" s="278"/>
      <c r="J522" s="240"/>
      <c r="L522" s="278"/>
      <c r="M522" s="240"/>
    </row>
    <row r="523" spans="1:13" ht="14.25" customHeight="1" x14ac:dyDescent="0.25">
      <c r="A523" s="240"/>
      <c r="F523" s="278"/>
      <c r="H523" s="278"/>
      <c r="I523" s="278"/>
      <c r="J523" s="240"/>
      <c r="L523" s="278"/>
      <c r="M523" s="240"/>
    </row>
    <row r="524" spans="1:13" ht="14.25" customHeight="1" x14ac:dyDescent="0.25">
      <c r="A524" s="240"/>
      <c r="F524" s="278"/>
      <c r="H524" s="278"/>
      <c r="I524" s="278"/>
      <c r="J524" s="240"/>
      <c r="L524" s="278"/>
      <c r="M524" s="240"/>
    </row>
    <row r="525" spans="1:13" ht="14.25" customHeight="1" x14ac:dyDescent="0.25">
      <c r="A525" s="240"/>
      <c r="F525" s="278"/>
      <c r="H525" s="278"/>
      <c r="I525" s="278"/>
      <c r="J525" s="240"/>
      <c r="L525" s="278"/>
      <c r="M525" s="240"/>
    </row>
    <row r="526" spans="1:13" ht="14.25" customHeight="1" x14ac:dyDescent="0.25">
      <c r="A526" s="240"/>
      <c r="F526" s="278"/>
      <c r="H526" s="278"/>
      <c r="I526" s="278"/>
      <c r="J526" s="240"/>
      <c r="L526" s="278"/>
      <c r="M526" s="240"/>
    </row>
    <row r="527" spans="1:13" ht="14.25" customHeight="1" x14ac:dyDescent="0.25">
      <c r="A527" s="240"/>
      <c r="F527" s="278"/>
      <c r="H527" s="278"/>
      <c r="I527" s="278"/>
      <c r="J527" s="240"/>
      <c r="L527" s="278"/>
      <c r="M527" s="240"/>
    </row>
    <row r="528" spans="1:13" ht="14.25" customHeight="1" x14ac:dyDescent="0.25">
      <c r="A528" s="240"/>
      <c r="F528" s="278"/>
      <c r="H528" s="278"/>
      <c r="I528" s="278"/>
      <c r="J528" s="240"/>
      <c r="L528" s="278"/>
      <c r="M528" s="240"/>
    </row>
    <row r="529" spans="1:13" ht="14.25" customHeight="1" x14ac:dyDescent="0.25">
      <c r="A529" s="240"/>
      <c r="F529" s="278"/>
      <c r="H529" s="278"/>
      <c r="I529" s="278"/>
      <c r="J529" s="240"/>
      <c r="L529" s="278"/>
      <c r="M529" s="240"/>
    </row>
    <row r="530" spans="1:13" ht="14.25" customHeight="1" x14ac:dyDescent="0.25">
      <c r="A530" s="240"/>
      <c r="F530" s="278"/>
      <c r="H530" s="278"/>
      <c r="I530" s="278"/>
      <c r="J530" s="240"/>
      <c r="L530" s="278"/>
      <c r="M530" s="240"/>
    </row>
    <row r="531" spans="1:13" ht="14.25" customHeight="1" x14ac:dyDescent="0.25">
      <c r="A531" s="240"/>
      <c r="F531" s="278"/>
      <c r="H531" s="278"/>
      <c r="I531" s="278"/>
      <c r="J531" s="240"/>
      <c r="L531" s="278"/>
      <c r="M531" s="240"/>
    </row>
    <row r="532" spans="1:13" ht="14.25" customHeight="1" x14ac:dyDescent="0.25">
      <c r="A532" s="240"/>
      <c r="F532" s="278"/>
      <c r="H532" s="278"/>
      <c r="I532" s="278"/>
      <c r="J532" s="240"/>
      <c r="L532" s="278"/>
      <c r="M532" s="240"/>
    </row>
    <row r="533" spans="1:13" ht="14.25" customHeight="1" x14ac:dyDescent="0.25">
      <c r="A533" s="240"/>
      <c r="F533" s="278"/>
      <c r="H533" s="278"/>
      <c r="I533" s="278"/>
      <c r="J533" s="240"/>
      <c r="L533" s="278"/>
      <c r="M533" s="240"/>
    </row>
    <row r="534" spans="1:13" ht="14.25" customHeight="1" x14ac:dyDescent="0.25">
      <c r="A534" s="240"/>
      <c r="F534" s="278"/>
      <c r="H534" s="278"/>
      <c r="I534" s="278"/>
      <c r="J534" s="240"/>
      <c r="L534" s="278"/>
      <c r="M534" s="240"/>
    </row>
    <row r="535" spans="1:13" ht="14.25" customHeight="1" x14ac:dyDescent="0.25">
      <c r="A535" s="240"/>
      <c r="F535" s="278"/>
      <c r="H535" s="278"/>
      <c r="I535" s="278"/>
      <c r="J535" s="240"/>
      <c r="L535" s="278"/>
      <c r="M535" s="240"/>
    </row>
    <row r="536" spans="1:13" ht="14.25" customHeight="1" x14ac:dyDescent="0.25">
      <c r="A536" s="240"/>
      <c r="F536" s="278"/>
      <c r="H536" s="278"/>
      <c r="I536" s="278"/>
      <c r="J536" s="240"/>
      <c r="L536" s="278"/>
      <c r="M536" s="240"/>
    </row>
    <row r="537" spans="1:13" ht="14.25" customHeight="1" x14ac:dyDescent="0.25">
      <c r="A537" s="240"/>
      <c r="F537" s="278"/>
      <c r="H537" s="278"/>
      <c r="I537" s="278"/>
      <c r="J537" s="240"/>
      <c r="L537" s="278"/>
      <c r="M537" s="240"/>
    </row>
    <row r="538" spans="1:13" ht="14.25" customHeight="1" x14ac:dyDescent="0.25">
      <c r="A538" s="240"/>
      <c r="F538" s="278"/>
      <c r="H538" s="278"/>
      <c r="I538" s="278"/>
      <c r="J538" s="240"/>
      <c r="L538" s="278"/>
      <c r="M538" s="240"/>
    </row>
    <row r="539" spans="1:13" ht="14.25" customHeight="1" x14ac:dyDescent="0.25">
      <c r="A539" s="240"/>
      <c r="F539" s="278"/>
      <c r="H539" s="278"/>
      <c r="I539" s="278"/>
      <c r="J539" s="240"/>
      <c r="L539" s="278"/>
      <c r="M539" s="240"/>
    </row>
    <row r="540" spans="1:13" ht="14.25" customHeight="1" x14ac:dyDescent="0.25">
      <c r="A540" s="240"/>
      <c r="F540" s="278"/>
      <c r="H540" s="278"/>
      <c r="I540" s="278"/>
      <c r="J540" s="240"/>
      <c r="L540" s="278"/>
      <c r="M540" s="240"/>
    </row>
    <row r="541" spans="1:13" ht="14.25" customHeight="1" x14ac:dyDescent="0.25">
      <c r="A541" s="240"/>
      <c r="F541" s="278"/>
      <c r="H541" s="278"/>
      <c r="I541" s="278"/>
      <c r="J541" s="240"/>
      <c r="L541" s="278"/>
      <c r="M541" s="240"/>
    </row>
    <row r="542" spans="1:13" ht="14.25" customHeight="1" x14ac:dyDescent="0.25">
      <c r="A542" s="240"/>
      <c r="F542" s="278"/>
      <c r="H542" s="278"/>
      <c r="I542" s="278"/>
      <c r="J542" s="240"/>
      <c r="L542" s="278"/>
      <c r="M542" s="240"/>
    </row>
    <row r="543" spans="1:13" ht="14.25" customHeight="1" x14ac:dyDescent="0.25">
      <c r="A543" s="240"/>
      <c r="F543" s="278"/>
      <c r="H543" s="278"/>
      <c r="I543" s="278"/>
      <c r="J543" s="240"/>
      <c r="L543" s="278"/>
      <c r="M543" s="240"/>
    </row>
    <row r="544" spans="1:13" ht="14.25" customHeight="1" x14ac:dyDescent="0.25">
      <c r="A544" s="240"/>
      <c r="F544" s="278"/>
      <c r="H544" s="278"/>
      <c r="I544" s="278"/>
      <c r="J544" s="240"/>
      <c r="L544" s="278"/>
      <c r="M544" s="240"/>
    </row>
    <row r="545" spans="1:13" ht="14.25" customHeight="1" x14ac:dyDescent="0.25">
      <c r="A545" s="240"/>
      <c r="F545" s="278"/>
      <c r="H545" s="278"/>
      <c r="I545" s="278"/>
      <c r="J545" s="240"/>
      <c r="L545" s="278"/>
      <c r="M545" s="240"/>
    </row>
    <row r="546" spans="1:13" ht="14.25" customHeight="1" x14ac:dyDescent="0.25">
      <c r="A546" s="240"/>
      <c r="F546" s="278"/>
      <c r="H546" s="278"/>
      <c r="I546" s="278"/>
      <c r="J546" s="240"/>
      <c r="L546" s="278"/>
      <c r="M546" s="240"/>
    </row>
    <row r="547" spans="1:13" ht="14.25" customHeight="1" x14ac:dyDescent="0.25">
      <c r="A547" s="240"/>
      <c r="F547" s="278"/>
      <c r="H547" s="278"/>
      <c r="I547" s="278"/>
      <c r="J547" s="240"/>
      <c r="L547" s="278"/>
      <c r="M547" s="240"/>
    </row>
    <row r="548" spans="1:13" ht="14.25" customHeight="1" x14ac:dyDescent="0.25">
      <c r="A548" s="240"/>
      <c r="F548" s="278"/>
      <c r="H548" s="278"/>
      <c r="I548" s="278"/>
      <c r="J548" s="240"/>
      <c r="L548" s="278"/>
      <c r="M548" s="240"/>
    </row>
    <row r="549" spans="1:13" ht="14.25" customHeight="1" x14ac:dyDescent="0.25">
      <c r="A549" s="240"/>
      <c r="F549" s="278"/>
      <c r="H549" s="278"/>
      <c r="I549" s="278"/>
      <c r="J549" s="240"/>
      <c r="L549" s="278"/>
      <c r="M549" s="240"/>
    </row>
    <row r="550" spans="1:13" ht="14.25" customHeight="1" x14ac:dyDescent="0.25">
      <c r="A550" s="240"/>
      <c r="F550" s="278"/>
      <c r="H550" s="278"/>
      <c r="I550" s="278"/>
      <c r="J550" s="240"/>
      <c r="L550" s="278"/>
      <c r="M550" s="240"/>
    </row>
    <row r="551" spans="1:13" ht="14.25" customHeight="1" x14ac:dyDescent="0.25">
      <c r="A551" s="240"/>
      <c r="F551" s="278"/>
      <c r="H551" s="278"/>
      <c r="I551" s="278"/>
      <c r="J551" s="240"/>
      <c r="L551" s="278"/>
      <c r="M551" s="240"/>
    </row>
    <row r="552" spans="1:13" ht="14.25" customHeight="1" x14ac:dyDescent="0.25">
      <c r="A552" s="240"/>
      <c r="F552" s="278"/>
      <c r="H552" s="278"/>
      <c r="I552" s="278"/>
      <c r="J552" s="240"/>
      <c r="L552" s="278"/>
      <c r="M552" s="240"/>
    </row>
    <row r="553" spans="1:13" ht="14.25" customHeight="1" x14ac:dyDescent="0.25">
      <c r="A553" s="240"/>
      <c r="F553" s="278"/>
      <c r="H553" s="278"/>
      <c r="I553" s="278"/>
      <c r="J553" s="240"/>
      <c r="L553" s="278"/>
      <c r="M553" s="240"/>
    </row>
    <row r="554" spans="1:13" ht="14.25" customHeight="1" x14ac:dyDescent="0.25">
      <c r="A554" s="240"/>
      <c r="F554" s="278"/>
      <c r="H554" s="278"/>
      <c r="I554" s="278"/>
      <c r="J554" s="240"/>
      <c r="L554" s="278"/>
      <c r="M554" s="240"/>
    </row>
    <row r="555" spans="1:13" ht="14.25" customHeight="1" x14ac:dyDescent="0.25">
      <c r="A555" s="240"/>
      <c r="F555" s="278"/>
      <c r="H555" s="278"/>
      <c r="I555" s="278"/>
      <c r="J555" s="240"/>
      <c r="L555" s="278"/>
      <c r="M555" s="240"/>
    </row>
    <row r="556" spans="1:13" ht="14.25" customHeight="1" x14ac:dyDescent="0.25">
      <c r="A556" s="240"/>
      <c r="F556" s="278"/>
      <c r="H556" s="278"/>
      <c r="I556" s="278"/>
      <c r="J556" s="240"/>
      <c r="L556" s="278"/>
      <c r="M556" s="240"/>
    </row>
    <row r="557" spans="1:13" ht="14.25" customHeight="1" x14ac:dyDescent="0.25">
      <c r="A557" s="240"/>
      <c r="F557" s="278"/>
      <c r="H557" s="278"/>
      <c r="I557" s="278"/>
      <c r="J557" s="240"/>
      <c r="L557" s="278"/>
      <c r="M557" s="240"/>
    </row>
    <row r="558" spans="1:13" ht="14.25" customHeight="1" x14ac:dyDescent="0.25">
      <c r="A558" s="240"/>
      <c r="F558" s="278"/>
      <c r="H558" s="278"/>
      <c r="I558" s="278"/>
      <c r="J558" s="240"/>
      <c r="L558" s="278"/>
      <c r="M558" s="240"/>
    </row>
    <row r="559" spans="1:13" ht="14.25" customHeight="1" x14ac:dyDescent="0.25">
      <c r="A559" s="240"/>
      <c r="F559" s="278"/>
      <c r="H559" s="278"/>
      <c r="I559" s="278"/>
      <c r="J559" s="240"/>
      <c r="L559" s="278"/>
      <c r="M559" s="240"/>
    </row>
    <row r="560" spans="1:13" ht="14.25" customHeight="1" x14ac:dyDescent="0.25">
      <c r="A560" s="240"/>
      <c r="F560" s="278"/>
      <c r="H560" s="278"/>
      <c r="I560" s="278"/>
      <c r="J560" s="240"/>
      <c r="L560" s="278"/>
      <c r="M560" s="240"/>
    </row>
    <row r="561" spans="1:13" ht="14.25" customHeight="1" x14ac:dyDescent="0.25">
      <c r="A561" s="240"/>
      <c r="F561" s="278"/>
      <c r="H561" s="278"/>
      <c r="I561" s="278"/>
      <c r="J561" s="240"/>
      <c r="L561" s="278"/>
      <c r="M561" s="240"/>
    </row>
    <row r="562" spans="1:13" ht="14.25" customHeight="1" x14ac:dyDescent="0.25">
      <c r="A562" s="240"/>
      <c r="F562" s="278"/>
      <c r="H562" s="278"/>
      <c r="I562" s="278"/>
      <c r="J562" s="240"/>
      <c r="L562" s="278"/>
      <c r="M562" s="240"/>
    </row>
    <row r="563" spans="1:13" ht="14.25" customHeight="1" x14ac:dyDescent="0.25">
      <c r="A563" s="240"/>
      <c r="F563" s="278"/>
      <c r="H563" s="278"/>
      <c r="I563" s="278"/>
      <c r="J563" s="240"/>
      <c r="L563" s="278"/>
      <c r="M563" s="240"/>
    </row>
    <row r="564" spans="1:13" ht="14.25" customHeight="1" x14ac:dyDescent="0.25">
      <c r="A564" s="240"/>
      <c r="F564" s="278"/>
      <c r="H564" s="278"/>
      <c r="I564" s="278"/>
      <c r="J564" s="240"/>
      <c r="L564" s="278"/>
      <c r="M564" s="240"/>
    </row>
    <row r="565" spans="1:13" ht="14.25" customHeight="1" x14ac:dyDescent="0.25">
      <c r="A565" s="240"/>
      <c r="F565" s="278"/>
      <c r="H565" s="278"/>
      <c r="I565" s="278"/>
      <c r="J565" s="240"/>
      <c r="L565" s="278"/>
      <c r="M565" s="240"/>
    </row>
    <row r="566" spans="1:13" ht="14.25" customHeight="1" x14ac:dyDescent="0.25">
      <c r="A566" s="240"/>
      <c r="F566" s="278"/>
      <c r="H566" s="278"/>
      <c r="I566" s="278"/>
      <c r="J566" s="240"/>
      <c r="L566" s="278"/>
      <c r="M566" s="240"/>
    </row>
    <row r="567" spans="1:13" ht="14.25" customHeight="1" x14ac:dyDescent="0.25">
      <c r="A567" s="240"/>
      <c r="F567" s="278"/>
      <c r="H567" s="278"/>
      <c r="I567" s="278"/>
      <c r="J567" s="240"/>
      <c r="L567" s="278"/>
      <c r="M567" s="240"/>
    </row>
    <row r="568" spans="1:13" ht="14.25" customHeight="1" x14ac:dyDescent="0.25">
      <c r="A568" s="240"/>
      <c r="F568" s="278"/>
      <c r="H568" s="278"/>
      <c r="I568" s="278"/>
      <c r="J568" s="240"/>
      <c r="L568" s="278"/>
      <c r="M568" s="240"/>
    </row>
    <row r="569" spans="1:13" ht="14.25" customHeight="1" x14ac:dyDescent="0.25">
      <c r="A569" s="240"/>
      <c r="F569" s="278"/>
      <c r="H569" s="278"/>
      <c r="I569" s="278"/>
      <c r="J569" s="240"/>
      <c r="L569" s="278"/>
      <c r="M569" s="240"/>
    </row>
    <row r="570" spans="1:13" ht="14.25" customHeight="1" x14ac:dyDescent="0.25">
      <c r="A570" s="240"/>
      <c r="F570" s="278"/>
      <c r="H570" s="278"/>
      <c r="I570" s="278"/>
      <c r="J570" s="240"/>
      <c r="L570" s="278"/>
      <c r="M570" s="240"/>
    </row>
    <row r="571" spans="1:13" ht="14.25" customHeight="1" x14ac:dyDescent="0.25">
      <c r="A571" s="240"/>
      <c r="F571" s="278"/>
      <c r="H571" s="278"/>
      <c r="I571" s="278"/>
      <c r="J571" s="240"/>
      <c r="L571" s="278"/>
      <c r="M571" s="240"/>
    </row>
    <row r="572" spans="1:13" ht="14.25" customHeight="1" x14ac:dyDescent="0.25">
      <c r="A572" s="240"/>
      <c r="F572" s="278"/>
      <c r="H572" s="278"/>
      <c r="I572" s="278"/>
      <c r="J572" s="240"/>
      <c r="L572" s="278"/>
      <c r="M572" s="240"/>
    </row>
    <row r="573" spans="1:13" ht="14.25" customHeight="1" x14ac:dyDescent="0.25">
      <c r="A573" s="240"/>
      <c r="F573" s="278"/>
      <c r="H573" s="278"/>
      <c r="I573" s="278"/>
      <c r="J573" s="240"/>
      <c r="M573" s="240"/>
    </row>
    <row r="574" spans="1:13" ht="15" customHeight="1" x14ac:dyDescent="0.25">
      <c r="F574" s="278"/>
      <c r="H574" s="278"/>
      <c r="I574" s="278"/>
    </row>
  </sheetData>
  <autoFilter ref="A10:W573" xr:uid="{1E78B0CF-4527-4C3B-87EB-C6D71FD221F1}"/>
  <mergeCells count="6">
    <mergeCell ref="K24:L24"/>
    <mergeCell ref="A5:M5"/>
    <mergeCell ref="A7:M7"/>
    <mergeCell ref="B9:I9"/>
    <mergeCell ref="K9:L9"/>
    <mergeCell ref="K14:L14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A413-B84E-4F21-BDF8-BE523108E400}">
  <sheetPr>
    <tabColor rgb="FF92D050"/>
  </sheetPr>
  <dimension ref="A1:J27"/>
  <sheetViews>
    <sheetView showGridLines="0" zoomScale="87" zoomScaleNormal="87" zoomScaleSheetLayoutView="95" workbookViewId="0">
      <selection activeCell="G29" sqref="G29"/>
    </sheetView>
  </sheetViews>
  <sheetFormatPr defaultColWidth="9.140625" defaultRowHeight="12.75" x14ac:dyDescent="0.25"/>
  <cols>
    <col min="1" max="1" width="45" style="1" bestFit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5.140625" style="1" customWidth="1"/>
    <col min="7" max="7" width="17.7109375" style="1" customWidth="1"/>
    <col min="8" max="8" width="13.140625" style="1" bestFit="1" customWidth="1"/>
    <col min="9" max="9" width="9.140625" style="1"/>
    <col min="10" max="10" width="12.85546875" style="1" bestFit="1" customWidth="1"/>
    <col min="11" max="16384" width="9.140625" style="1"/>
  </cols>
  <sheetData>
    <row r="1" spans="1:10" x14ac:dyDescent="0.25">
      <c r="B1" s="2"/>
      <c r="C1" s="1"/>
      <c r="D1" s="1"/>
      <c r="G1" s="161"/>
      <c r="H1" s="161"/>
      <c r="I1" s="2"/>
    </row>
    <row r="2" spans="1:10" ht="12.75" customHeight="1" x14ac:dyDescent="0.25">
      <c r="A2" s="328" t="s">
        <v>190</v>
      </c>
      <c r="B2" s="2"/>
      <c r="C2" s="1"/>
      <c r="D2" s="1"/>
      <c r="G2" s="166"/>
      <c r="H2" s="166"/>
      <c r="I2" s="2"/>
    </row>
    <row r="3" spans="1:10" ht="12.75" customHeight="1" x14ac:dyDescent="0.25">
      <c r="A3" s="329"/>
      <c r="B3" s="2"/>
      <c r="C3" s="1"/>
      <c r="D3" s="1"/>
      <c r="G3" s="166"/>
      <c r="H3" s="166"/>
      <c r="I3" s="2"/>
    </row>
    <row r="4" spans="1:10" ht="12.75" customHeight="1" x14ac:dyDescent="0.25">
      <c r="A4" s="329"/>
      <c r="B4" s="2"/>
      <c r="C4" s="1"/>
      <c r="D4" s="1"/>
      <c r="G4" s="166"/>
      <c r="H4" s="166"/>
      <c r="I4" s="2"/>
    </row>
    <row r="5" spans="1:10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0" x14ac:dyDescent="0.25">
      <c r="A6" s="162"/>
      <c r="B6" s="2"/>
      <c r="C6" s="1"/>
      <c r="D6" s="1"/>
      <c r="G6" s="161"/>
      <c r="H6" s="161"/>
      <c r="I6" s="2"/>
    </row>
    <row r="7" spans="1:10" x14ac:dyDescent="0.25">
      <c r="A7" s="160" t="s">
        <v>189</v>
      </c>
      <c r="B7" s="159" t="s">
        <v>188</v>
      </c>
      <c r="C7" s="158"/>
      <c r="D7" s="158"/>
      <c r="E7" s="158"/>
      <c r="F7" s="158"/>
      <c r="G7" s="158"/>
      <c r="H7" s="157"/>
      <c r="I7" s="2"/>
    </row>
    <row r="8" spans="1:10" x14ac:dyDescent="0.25">
      <c r="A8" s="156" t="s">
        <v>0</v>
      </c>
      <c r="B8" s="155" t="s">
        <v>187</v>
      </c>
      <c r="C8" s="154"/>
      <c r="D8" s="154"/>
      <c r="E8" s="154"/>
      <c r="F8" s="154"/>
      <c r="G8" s="154"/>
      <c r="H8" s="153"/>
      <c r="I8" s="2"/>
    </row>
    <row r="9" spans="1:10" ht="15" customHeight="1" x14ac:dyDescent="0.25">
      <c r="A9" s="152" t="s">
        <v>186</v>
      </c>
      <c r="B9" s="151">
        <v>45397</v>
      </c>
      <c r="C9" s="150"/>
      <c r="D9" s="150"/>
      <c r="E9" s="150"/>
      <c r="F9" s="150"/>
      <c r="G9" s="150"/>
      <c r="H9" s="149"/>
    </row>
    <row r="10" spans="1:10" x14ac:dyDescent="0.25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0" x14ac:dyDescent="0.25">
      <c r="A12" s="144" t="s">
        <v>197</v>
      </c>
      <c r="B12" s="143"/>
      <c r="C12" s="142"/>
      <c r="D12" s="141"/>
      <c r="E12" s="140"/>
      <c r="F12" s="140"/>
      <c r="G12" s="140"/>
      <c r="H12" s="139"/>
    </row>
    <row r="13" spans="1:10" ht="15.95" customHeight="1" x14ac:dyDescent="0.25">
      <c r="A13" s="138"/>
      <c r="B13" s="137"/>
      <c r="C13" s="136"/>
      <c r="D13" s="135"/>
      <c r="E13" s="135"/>
      <c r="F13" s="135"/>
      <c r="H13" s="131"/>
      <c r="J13" s="115">
        <f>SUM(G15:G18)</f>
        <v>716428.57000000007</v>
      </c>
    </row>
    <row r="14" spans="1:10" ht="15.95" customHeight="1" x14ac:dyDescent="0.25">
      <c r="A14" s="134" t="s">
        <v>14</v>
      </c>
      <c r="B14" s="335" t="s">
        <v>18</v>
      </c>
      <c r="C14" s="336"/>
      <c r="D14" s="337" t="s">
        <v>5</v>
      </c>
      <c r="E14" s="338"/>
      <c r="F14" s="133" t="s">
        <v>183</v>
      </c>
      <c r="G14" s="132" t="s">
        <v>16</v>
      </c>
      <c r="H14" s="131"/>
      <c r="J14" s="115">
        <f>G19+G20</f>
        <v>705964.17265000008</v>
      </c>
    </row>
    <row r="15" spans="1:10" ht="15.95" customHeight="1" x14ac:dyDescent="0.25">
      <c r="A15" s="174" t="s">
        <v>350</v>
      </c>
      <c r="B15" s="124">
        <f>AMBIENTES!L18</f>
        <v>1477</v>
      </c>
      <c r="C15" s="129" t="s">
        <v>2</v>
      </c>
      <c r="D15" s="128">
        <f>(16.5+550*0.1)*1.3</f>
        <v>92.95</v>
      </c>
      <c r="E15" s="130" t="s">
        <v>171</v>
      </c>
      <c r="F15" s="126" t="s">
        <v>170</v>
      </c>
      <c r="G15" s="125">
        <f>D15*B15*1.1</f>
        <v>151015.86500000002</v>
      </c>
      <c r="H15" s="131"/>
    </row>
    <row r="16" spans="1:10" ht="15.95" customHeight="1" x14ac:dyDescent="0.25">
      <c r="A16" s="174" t="s">
        <v>353</v>
      </c>
      <c r="B16" s="124">
        <v>0</v>
      </c>
      <c r="C16" s="129" t="s">
        <v>2</v>
      </c>
      <c r="D16" s="128">
        <v>25</v>
      </c>
      <c r="E16" s="130" t="s">
        <v>171</v>
      </c>
      <c r="F16" s="126" t="s">
        <v>170</v>
      </c>
      <c r="G16" s="125">
        <f>D16*B16*1.1</f>
        <v>0</v>
      </c>
      <c r="H16" s="131"/>
    </row>
    <row r="17" spans="1:8" ht="15.95" customHeight="1" x14ac:dyDescent="0.25">
      <c r="A17" s="172" t="s">
        <v>196</v>
      </c>
      <c r="B17" s="124">
        <f>AREAS!E6</f>
        <v>7907.87</v>
      </c>
      <c r="C17" s="129" t="s">
        <v>2</v>
      </c>
      <c r="D17" s="128">
        <f>B17/DADOS_INICIAIS!F9</f>
        <v>0.10710739982354348</v>
      </c>
      <c r="E17" s="130" t="s">
        <v>192</v>
      </c>
      <c r="F17" s="126" t="s">
        <v>170</v>
      </c>
      <c r="G17" s="125">
        <f>+B17*65*1.1</f>
        <v>565412.70500000007</v>
      </c>
      <c r="H17" s="131"/>
    </row>
    <row r="18" spans="1:8" ht="15.95" customHeight="1" x14ac:dyDescent="0.25">
      <c r="A18" s="172" t="s">
        <v>195</v>
      </c>
      <c r="B18" s="124">
        <f>AMBIENTES!L12</f>
        <v>0</v>
      </c>
      <c r="C18" s="129" t="s">
        <v>2</v>
      </c>
      <c r="D18" s="128">
        <f>B18/DADOS_INICIAIS!F9</f>
        <v>0</v>
      </c>
      <c r="E18" s="130" t="s">
        <v>192</v>
      </c>
      <c r="F18" s="126" t="s">
        <v>170</v>
      </c>
      <c r="G18" s="125">
        <f>+B18*25*1.1</f>
        <v>0</v>
      </c>
      <c r="H18" s="131"/>
    </row>
    <row r="19" spans="1:8" ht="27" customHeight="1" x14ac:dyDescent="0.25">
      <c r="A19" s="173" t="s">
        <v>194</v>
      </c>
      <c r="B19" s="171">
        <f>ALVENARIA!D14*2-'Rev. Fachada'!B15</f>
        <v>11668.829300000001</v>
      </c>
      <c r="C19" s="170" t="s">
        <v>2</v>
      </c>
      <c r="D19" s="169">
        <v>2</v>
      </c>
      <c r="E19" s="127" t="s">
        <v>192</v>
      </c>
      <c r="F19" s="168" t="s">
        <v>170</v>
      </c>
      <c r="G19" s="125">
        <f>+B19*5*1.1</f>
        <v>64178.561150000009</v>
      </c>
      <c r="H19" s="123"/>
    </row>
    <row r="20" spans="1:8" ht="27" customHeight="1" x14ac:dyDescent="0.25">
      <c r="A20" s="172" t="s">
        <v>193</v>
      </c>
      <c r="B20" s="171">
        <f>B19</f>
        <v>11668.829300000001</v>
      </c>
      <c r="C20" s="170" t="s">
        <v>2</v>
      </c>
      <c r="D20" s="169">
        <v>2</v>
      </c>
      <c r="E20" s="127" t="s">
        <v>192</v>
      </c>
      <c r="F20" s="168" t="s">
        <v>170</v>
      </c>
      <c r="G20" s="125">
        <f>50*B20*1.1</f>
        <v>641785.61150000012</v>
      </c>
      <c r="H20" s="123"/>
    </row>
    <row r="21" spans="1:8" ht="15.95" customHeight="1" x14ac:dyDescent="0.25">
      <c r="A21" s="333" t="s">
        <v>17</v>
      </c>
      <c r="B21" s="334"/>
      <c r="C21" s="334"/>
      <c r="D21" s="334"/>
      <c r="E21" s="334"/>
      <c r="F21" s="334"/>
      <c r="G21" s="122">
        <f>SUM(G15:G20)</f>
        <v>1422392.7426500001</v>
      </c>
      <c r="H21" s="121"/>
    </row>
    <row r="22" spans="1:8" ht="15.95" customHeight="1" x14ac:dyDescent="0.25">
      <c r="A22" s="331"/>
      <c r="B22" s="332"/>
      <c r="C22" s="332"/>
      <c r="D22" s="332"/>
      <c r="E22" s="332"/>
      <c r="F22" s="332"/>
      <c r="G22" s="167"/>
      <c r="H22" s="118"/>
    </row>
    <row r="24" spans="1:8" x14ac:dyDescent="0.25">
      <c r="A24" s="330" t="s">
        <v>191</v>
      </c>
      <c r="B24" s="330"/>
      <c r="C24" s="330"/>
      <c r="D24" s="330"/>
      <c r="E24" s="330"/>
      <c r="F24" s="330"/>
      <c r="G24" s="117">
        <f>G21</f>
        <v>1422392.7426500001</v>
      </c>
      <c r="H24" s="116">
        <f>G24/AREAS!E6</f>
        <v>179.87052678534172</v>
      </c>
    </row>
    <row r="26" spans="1:8" x14ac:dyDescent="0.25">
      <c r="H26" s="115">
        <f>H24/1.1</f>
        <v>163.51866071394701</v>
      </c>
    </row>
    <row r="27" spans="1:8" x14ac:dyDescent="0.25">
      <c r="B27" s="114">
        <f>B19+'Rev. Fachada'!B15</f>
        <v>12385.629300000001</v>
      </c>
    </row>
  </sheetData>
  <mergeCells count="6">
    <mergeCell ref="A2:A4"/>
    <mergeCell ref="A24:F24"/>
    <mergeCell ref="A22:F22"/>
    <mergeCell ref="A21:F21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BA5-59B3-4B37-8482-3A07D04C966C}">
  <sheetPr>
    <tabColor rgb="FF92D050"/>
  </sheetPr>
  <dimension ref="A1:L20"/>
  <sheetViews>
    <sheetView showGridLines="0" zoomScale="80" zoomScaleNormal="80" zoomScaleSheetLayoutView="95" workbookViewId="0">
      <selection activeCell="F22" sqref="F22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305" t="s">
        <v>332</v>
      </c>
      <c r="B3" s="316"/>
      <c r="C3" s="316"/>
      <c r="D3" s="306"/>
      <c r="E3" s="306"/>
      <c r="F3" s="306"/>
      <c r="G3" s="306"/>
      <c r="H3" s="307"/>
      <c r="J3" s="79"/>
    </row>
    <row r="4" spans="1:12" ht="19.5" x14ac:dyDescent="0.25">
      <c r="A4" s="189" t="s">
        <v>186</v>
      </c>
      <c r="B4" s="195">
        <v>45457</v>
      </c>
      <c r="C4" s="193"/>
      <c r="D4" s="193"/>
      <c r="E4" s="193"/>
      <c r="F4" s="193"/>
      <c r="G4" s="193"/>
      <c r="H4" s="194"/>
      <c r="J4" s="79"/>
    </row>
    <row r="5" spans="1:12" ht="19.5" x14ac:dyDescent="0.25">
      <c r="A5" s="189" t="s">
        <v>306</v>
      </c>
      <c r="B5" s="196" t="s">
        <v>222</v>
      </c>
      <c r="C5" s="191"/>
      <c r="D5" s="191"/>
      <c r="E5" s="191"/>
      <c r="F5" s="191"/>
      <c r="G5" s="191"/>
      <c r="H5" s="192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309" t="s">
        <v>5</v>
      </c>
      <c r="C9" s="310"/>
      <c r="D9" s="309" t="s">
        <v>18</v>
      </c>
      <c r="E9" s="310"/>
      <c r="F9" s="65" t="s">
        <v>118</v>
      </c>
      <c r="G9" s="71" t="s">
        <v>16</v>
      </c>
      <c r="H9" s="90" t="s">
        <v>309</v>
      </c>
    </row>
    <row r="10" spans="1:12" ht="21.75" x14ac:dyDescent="0.25">
      <c r="A10" s="66" t="s">
        <v>453</v>
      </c>
      <c r="B10" s="62">
        <v>0.8</v>
      </c>
      <c r="C10" s="62" t="s">
        <v>37</v>
      </c>
      <c r="D10" s="67">
        <f>AREAS!$E$6*TETO!B10*0.6</f>
        <v>3795.7775999999999</v>
      </c>
      <c r="E10" s="67" t="s">
        <v>2</v>
      </c>
      <c r="F10" s="88">
        <v>120</v>
      </c>
      <c r="G10" s="89"/>
      <c r="H10" s="67"/>
    </row>
    <row r="11" spans="1:12" ht="21.75" x14ac:dyDescent="0.25">
      <c r="A11" s="78" t="s">
        <v>200</v>
      </c>
      <c r="B11" s="62">
        <v>1.2</v>
      </c>
      <c r="C11" s="62" t="s">
        <v>330</v>
      </c>
      <c r="D11" s="67">
        <f>D10*B11</f>
        <v>4554.9331199999997</v>
      </c>
      <c r="E11" s="67" t="s">
        <v>2</v>
      </c>
      <c r="F11" s="88">
        <v>22</v>
      </c>
      <c r="G11" s="89"/>
      <c r="H11" s="67"/>
    </row>
    <row r="12" spans="1:12" ht="21.75" x14ac:dyDescent="0.25">
      <c r="A12" s="66" t="s">
        <v>478</v>
      </c>
      <c r="B12" s="62"/>
      <c r="C12" s="62" t="s">
        <v>37</v>
      </c>
      <c r="D12" s="67">
        <f>AREAS!$E$6*TETO!B10*0.4</f>
        <v>2530.5184000000004</v>
      </c>
      <c r="E12" s="67" t="s">
        <v>2</v>
      </c>
      <c r="F12" s="88">
        <v>579</v>
      </c>
      <c r="G12" s="89"/>
      <c r="H12" s="67"/>
    </row>
    <row r="13" spans="1:12" ht="21.75" x14ac:dyDescent="0.25">
      <c r="A13" s="78" t="s">
        <v>199</v>
      </c>
      <c r="B13" s="62">
        <v>0.1</v>
      </c>
      <c r="C13" s="62" t="s">
        <v>37</v>
      </c>
      <c r="D13" s="67">
        <f>AREAS!$E$6*TETO!B13</f>
        <v>790.78700000000003</v>
      </c>
      <c r="E13" s="67" t="s">
        <v>2</v>
      </c>
      <c r="F13" s="88">
        <v>24</v>
      </c>
      <c r="G13" s="89">
        <f>F13*D13*1.1</f>
        <v>20876.7768</v>
      </c>
      <c r="H13" s="67"/>
    </row>
    <row r="14" spans="1:12" ht="21.75" x14ac:dyDescent="0.25">
      <c r="A14" s="66" t="s">
        <v>198</v>
      </c>
      <c r="B14" s="62">
        <f>1-B10-B13</f>
        <v>9.999999999999995E-2</v>
      </c>
      <c r="C14" s="62" t="s">
        <v>37</v>
      </c>
      <c r="D14" s="67">
        <v>0</v>
      </c>
      <c r="E14" s="67" t="s">
        <v>2</v>
      </c>
      <c r="F14" s="88">
        <v>91</v>
      </c>
      <c r="G14" s="89">
        <f>F14*D14*1.05*1.1</f>
        <v>0</v>
      </c>
      <c r="H14" s="67"/>
    </row>
    <row r="15" spans="1:12" ht="21.75" x14ac:dyDescent="0.25">
      <c r="A15" s="304" t="s">
        <v>17</v>
      </c>
      <c r="B15" s="304"/>
      <c r="C15" s="304"/>
      <c r="D15" s="304"/>
      <c r="E15" s="304"/>
      <c r="F15" s="304"/>
      <c r="G15" s="90">
        <f>SUM(G10:G14)</f>
        <v>20876.7768</v>
      </c>
      <c r="H15" s="90"/>
      <c r="K15" s="55">
        <f>4160+1440+1120+2880+4800+91680+4000</f>
        <v>110080</v>
      </c>
      <c r="L15" s="55">
        <f>K15/21</f>
        <v>5241.9047619047615</v>
      </c>
    </row>
    <row r="17" spans="1:8" ht="21.75" x14ac:dyDescent="0.25">
      <c r="A17" s="311" t="s">
        <v>227</v>
      </c>
      <c r="B17" s="312"/>
      <c r="C17" s="312"/>
      <c r="D17" s="312"/>
      <c r="E17" s="312"/>
      <c r="F17" s="313"/>
      <c r="G17" s="91">
        <f>G15</f>
        <v>20876.7768</v>
      </c>
      <c r="H17" s="91">
        <f>G17/AREAS!E6</f>
        <v>2.64</v>
      </c>
    </row>
    <row r="20" spans="1:8" x14ac:dyDescent="0.25">
      <c r="H20" s="198">
        <f>H17/1.1</f>
        <v>2.4</v>
      </c>
    </row>
  </sheetData>
  <mergeCells count="5">
    <mergeCell ref="A3:H3"/>
    <mergeCell ref="B9:C9"/>
    <mergeCell ref="D9:E9"/>
    <mergeCell ref="A15:F15"/>
    <mergeCell ref="A17:F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6FD0-B245-4D99-99B5-C3B4613FC83E}">
  <sheetPr>
    <tabColor rgb="FF92D050"/>
  </sheetPr>
  <dimension ref="A1:K85"/>
  <sheetViews>
    <sheetView showGridLines="0" topLeftCell="A7" zoomScaleNormal="100" zoomScaleSheetLayoutView="95" workbookViewId="0">
      <selection activeCell="G21" sqref="G21"/>
    </sheetView>
  </sheetViews>
  <sheetFormatPr defaultColWidth="9.140625" defaultRowHeight="12.75" x14ac:dyDescent="0.25"/>
  <cols>
    <col min="1" max="1" width="47.42578125" style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2.85546875" style="1" customWidth="1"/>
    <col min="7" max="7" width="17" style="1" customWidth="1"/>
    <col min="8" max="8" width="11.85546875" style="1" customWidth="1"/>
    <col min="9" max="9" width="13.85546875" style="1" bestFit="1" customWidth="1"/>
    <col min="10" max="10" width="11" style="1" bestFit="1" customWidth="1"/>
    <col min="11" max="11" width="13.85546875" style="1" bestFit="1" customWidth="1"/>
    <col min="12" max="16384" width="9.140625" style="1"/>
  </cols>
  <sheetData>
    <row r="1" spans="1:11" x14ac:dyDescent="0.25">
      <c r="B1" s="2"/>
      <c r="C1" s="1"/>
      <c r="D1" s="1"/>
      <c r="G1" s="161"/>
      <c r="H1" s="161"/>
      <c r="I1" s="2"/>
    </row>
    <row r="2" spans="1:11" ht="12.75" customHeight="1" x14ac:dyDescent="0.25">
      <c r="A2" s="328" t="s">
        <v>190</v>
      </c>
      <c r="B2" s="2"/>
      <c r="C2" s="1"/>
      <c r="D2" s="1"/>
      <c r="G2" s="166"/>
      <c r="H2" s="166"/>
      <c r="I2" s="2"/>
    </row>
    <row r="3" spans="1:11" ht="12.75" customHeight="1" x14ac:dyDescent="0.25">
      <c r="A3" s="329"/>
      <c r="B3" s="2"/>
      <c r="C3" s="1"/>
      <c r="D3" s="1"/>
      <c r="G3" s="166"/>
      <c r="H3" s="166"/>
      <c r="I3" s="2"/>
    </row>
    <row r="4" spans="1:11" ht="12.75" customHeight="1" x14ac:dyDescent="0.25">
      <c r="A4" s="329"/>
      <c r="B4" s="2"/>
      <c r="C4" s="1"/>
      <c r="D4" s="1"/>
      <c r="G4" s="166"/>
      <c r="H4" s="166"/>
      <c r="I4" s="2"/>
    </row>
    <row r="5" spans="1:11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1" x14ac:dyDescent="0.25">
      <c r="A6" s="162"/>
      <c r="B6" s="2"/>
      <c r="C6" s="1"/>
      <c r="D6" s="1"/>
      <c r="G6" s="161"/>
      <c r="H6" s="161"/>
      <c r="I6" s="2"/>
    </row>
    <row r="7" spans="1:11" x14ac:dyDescent="0.25">
      <c r="A7" s="160" t="s">
        <v>189</v>
      </c>
      <c r="B7" s="159" t="s">
        <v>188</v>
      </c>
      <c r="C7" s="158"/>
      <c r="D7" s="158"/>
      <c r="E7" s="158"/>
      <c r="F7" s="158"/>
      <c r="G7" s="158"/>
      <c r="H7" s="157"/>
      <c r="I7" s="2"/>
    </row>
    <row r="8" spans="1:11" x14ac:dyDescent="0.25">
      <c r="A8" s="156" t="s">
        <v>0</v>
      </c>
      <c r="B8" s="155" t="s">
        <v>187</v>
      </c>
      <c r="C8" s="154"/>
      <c r="D8" s="154"/>
      <c r="E8" s="154"/>
      <c r="F8" s="154"/>
      <c r="G8" s="154"/>
      <c r="H8" s="153"/>
      <c r="I8" s="2"/>
    </row>
    <row r="9" spans="1:11" ht="15" customHeight="1" x14ac:dyDescent="0.25">
      <c r="A9" s="152" t="s">
        <v>186</v>
      </c>
      <c r="B9" s="151">
        <v>45397</v>
      </c>
      <c r="C9" s="150"/>
      <c r="D9" s="150"/>
      <c r="E9" s="150"/>
      <c r="F9" s="150"/>
      <c r="G9" s="150"/>
      <c r="H9" s="149"/>
    </row>
    <row r="10" spans="1:11" x14ac:dyDescent="0.25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1" x14ac:dyDescent="0.25">
      <c r="A12" s="144" t="s">
        <v>216</v>
      </c>
      <c r="B12" s="143"/>
      <c r="C12" s="142"/>
      <c r="D12" s="141"/>
      <c r="E12" s="140"/>
      <c r="F12" s="140"/>
      <c r="G12" s="140"/>
      <c r="H12" s="139"/>
    </row>
    <row r="13" spans="1:11" ht="15.95" customHeight="1" x14ac:dyDescent="0.25">
      <c r="A13" s="138"/>
      <c r="B13" s="137"/>
      <c r="C13" s="136"/>
      <c r="D13" s="135"/>
      <c r="E13" s="135"/>
      <c r="F13" s="135"/>
      <c r="H13" s="131"/>
    </row>
    <row r="14" spans="1:11" ht="15.95" customHeight="1" x14ac:dyDescent="0.25">
      <c r="A14" s="134" t="s">
        <v>14</v>
      </c>
      <c r="B14" s="335" t="s">
        <v>18</v>
      </c>
      <c r="C14" s="336"/>
      <c r="D14" s="337" t="s">
        <v>5</v>
      </c>
      <c r="E14" s="338"/>
      <c r="F14" s="133" t="s">
        <v>183</v>
      </c>
      <c r="G14" s="132" t="s">
        <v>16</v>
      </c>
      <c r="H14" s="131"/>
      <c r="I14" s="2"/>
    </row>
    <row r="15" spans="1:11" ht="15.95" customHeight="1" x14ac:dyDescent="0.25">
      <c r="A15" s="172" t="s">
        <v>215</v>
      </c>
      <c r="B15" s="180">
        <f>AMBIENTES!L16</f>
        <v>8639.820099999999</v>
      </c>
      <c r="C15" s="170" t="s">
        <v>211</v>
      </c>
      <c r="D15" s="178">
        <v>125</v>
      </c>
      <c r="E15" s="127" t="s">
        <v>171</v>
      </c>
      <c r="F15" s="168" t="s">
        <v>170</v>
      </c>
      <c r="G15" s="125"/>
      <c r="H15" s="131"/>
      <c r="K15" s="115"/>
    </row>
    <row r="16" spans="1:11" ht="15.95" customHeight="1" x14ac:dyDescent="0.25">
      <c r="A16" s="172" t="s">
        <v>347</v>
      </c>
      <c r="B16" s="180"/>
      <c r="C16" s="170" t="s">
        <v>211</v>
      </c>
      <c r="D16" s="178">
        <v>98</v>
      </c>
      <c r="E16" s="127" t="s">
        <v>171</v>
      </c>
      <c r="F16" s="168" t="s">
        <v>170</v>
      </c>
      <c r="G16" s="125">
        <f t="shared" ref="G16:G23" si="0">+D16*B16*1.1</f>
        <v>0</v>
      </c>
      <c r="H16" s="131"/>
      <c r="K16" s="115"/>
    </row>
    <row r="17" spans="1:11" ht="15.95" customHeight="1" x14ac:dyDescent="0.25">
      <c r="A17" s="172" t="s">
        <v>214</v>
      </c>
      <c r="B17" s="180"/>
      <c r="C17" s="170" t="s">
        <v>211</v>
      </c>
      <c r="D17" s="178">
        <v>150</v>
      </c>
      <c r="E17" s="127" t="s">
        <v>171</v>
      </c>
      <c r="F17" s="168" t="s">
        <v>170</v>
      </c>
      <c r="G17" s="125">
        <f t="shared" si="0"/>
        <v>0</v>
      </c>
      <c r="H17" s="131"/>
      <c r="K17" s="115"/>
    </row>
    <row r="18" spans="1:11" ht="15.95" customHeight="1" x14ac:dyDescent="0.25">
      <c r="A18" s="172" t="s">
        <v>357</v>
      </c>
      <c r="B18" s="180"/>
      <c r="C18" s="170" t="s">
        <v>211</v>
      </c>
      <c r="D18" s="178">
        <v>350</v>
      </c>
      <c r="E18" s="127" t="s">
        <v>171</v>
      </c>
      <c r="F18" s="168" t="s">
        <v>170</v>
      </c>
      <c r="G18" s="125">
        <f t="shared" ref="G18" si="1">+D18*B18*1.1</f>
        <v>0</v>
      </c>
      <c r="H18" s="131"/>
      <c r="K18" s="115"/>
    </row>
    <row r="19" spans="1:11" ht="15.95" customHeight="1" x14ac:dyDescent="0.25">
      <c r="A19" s="172" t="s">
        <v>348</v>
      </c>
      <c r="B19" s="180"/>
      <c r="C19" s="170" t="s">
        <v>211</v>
      </c>
      <c r="D19" s="178">
        <v>350</v>
      </c>
      <c r="E19" s="127" t="s">
        <v>171</v>
      </c>
      <c r="F19" s="168" t="s">
        <v>170</v>
      </c>
      <c r="G19" s="125">
        <f t="shared" si="0"/>
        <v>0</v>
      </c>
      <c r="H19" s="131"/>
      <c r="K19" s="115"/>
    </row>
    <row r="20" spans="1:11" ht="15.95" customHeight="1" x14ac:dyDescent="0.25">
      <c r="A20" s="182" t="s">
        <v>213</v>
      </c>
      <c r="B20" s="180"/>
      <c r="C20" s="170" t="s">
        <v>211</v>
      </c>
      <c r="D20" s="178">
        <v>300</v>
      </c>
      <c r="E20" s="127" t="s">
        <v>171</v>
      </c>
      <c r="F20" s="168" t="s">
        <v>170</v>
      </c>
      <c r="G20" s="125">
        <f t="shared" si="0"/>
        <v>0</v>
      </c>
      <c r="H20" s="131"/>
    </row>
    <row r="21" spans="1:11" ht="15.95" customHeight="1" x14ac:dyDescent="0.25">
      <c r="A21" s="182" t="s">
        <v>349</v>
      </c>
      <c r="B21" s="180">
        <f>68.87*2+40.57</f>
        <v>178.31</v>
      </c>
      <c r="C21" s="170" t="s">
        <v>211</v>
      </c>
      <c r="D21" s="178">
        <v>450</v>
      </c>
      <c r="E21" s="127" t="s">
        <v>171</v>
      </c>
      <c r="F21" s="168" t="s">
        <v>170</v>
      </c>
      <c r="G21" s="125">
        <f t="shared" si="0"/>
        <v>88263.450000000012</v>
      </c>
      <c r="H21" s="131"/>
    </row>
    <row r="22" spans="1:11" ht="15.95" customHeight="1" x14ac:dyDescent="0.25">
      <c r="A22" s="172" t="s">
        <v>212</v>
      </c>
      <c r="B22" s="180">
        <f>AMBIENTES!L17</f>
        <v>2360.4380999999998</v>
      </c>
      <c r="C22" s="170" t="s">
        <v>211</v>
      </c>
      <c r="D22" s="178">
        <v>60</v>
      </c>
      <c r="E22" s="127" t="s">
        <v>171</v>
      </c>
      <c r="F22" s="168" t="s">
        <v>170</v>
      </c>
      <c r="G22" s="125">
        <f t="shared" si="0"/>
        <v>155788.91460000002</v>
      </c>
      <c r="H22" s="131"/>
    </row>
    <row r="23" spans="1:11" ht="15.95" customHeight="1" x14ac:dyDescent="0.25">
      <c r="A23" s="172" t="s">
        <v>351</v>
      </c>
      <c r="B23" s="180"/>
      <c r="C23" s="170" t="s">
        <v>211</v>
      </c>
      <c r="D23" s="178">
        <v>180</v>
      </c>
      <c r="E23" s="127" t="s">
        <v>171</v>
      </c>
      <c r="F23" s="168" t="s">
        <v>170</v>
      </c>
      <c r="G23" s="125">
        <f t="shared" si="0"/>
        <v>0</v>
      </c>
      <c r="H23" s="131"/>
    </row>
    <row r="24" spans="1:11" ht="15.95" customHeight="1" x14ac:dyDescent="0.25">
      <c r="A24" s="182" t="s">
        <v>210</v>
      </c>
      <c r="B24" s="180">
        <v>1</v>
      </c>
      <c r="C24" s="170" t="s">
        <v>27</v>
      </c>
      <c r="D24" s="178">
        <v>30</v>
      </c>
      <c r="E24" s="127" t="s">
        <v>6</v>
      </c>
      <c r="F24" s="168" t="s">
        <v>170</v>
      </c>
      <c r="G24" s="125"/>
      <c r="H24" s="131"/>
    </row>
    <row r="25" spans="1:11" ht="15.95" customHeight="1" x14ac:dyDescent="0.25">
      <c r="A25" s="181" t="s">
        <v>209</v>
      </c>
      <c r="B25" s="180">
        <v>1</v>
      </c>
      <c r="C25" s="170" t="s">
        <v>27</v>
      </c>
      <c r="D25" s="178">
        <v>20</v>
      </c>
      <c r="E25" s="127" t="s">
        <v>6</v>
      </c>
      <c r="F25" s="168" t="s">
        <v>170</v>
      </c>
      <c r="G25" s="125"/>
      <c r="H25" s="131"/>
    </row>
    <row r="26" spans="1:11" ht="15.95" customHeight="1" x14ac:dyDescent="0.25">
      <c r="A26" s="179" t="s">
        <v>208</v>
      </c>
      <c r="B26" s="171"/>
      <c r="C26" s="170" t="s">
        <v>27</v>
      </c>
      <c r="D26" s="178">
        <v>30</v>
      </c>
      <c r="E26" s="127" t="s">
        <v>6</v>
      </c>
      <c r="F26" s="168" t="s">
        <v>170</v>
      </c>
      <c r="G26" s="125">
        <f>D26*DADOS_INICIAIS!$F$9*1.1*B26</f>
        <v>0</v>
      </c>
      <c r="H26" s="123"/>
    </row>
    <row r="27" spans="1:11" ht="15.95" customHeight="1" x14ac:dyDescent="0.25">
      <c r="A27" s="341">
        <f>20*40</f>
        <v>800</v>
      </c>
      <c r="B27" s="330"/>
      <c r="C27" s="330"/>
      <c r="D27" s="330"/>
      <c r="E27" s="330"/>
      <c r="F27" s="330"/>
      <c r="G27" s="177">
        <f>SUM(G15:G26)</f>
        <v>244052.36460000003</v>
      </c>
      <c r="H27" s="121"/>
    </row>
    <row r="28" spans="1:11" ht="15.95" customHeight="1" x14ac:dyDescent="0.25">
      <c r="A28" s="339"/>
      <c r="B28" s="340"/>
      <c r="C28" s="340"/>
      <c r="D28" s="340"/>
      <c r="E28" s="340"/>
      <c r="F28" s="340"/>
      <c r="G28" s="167"/>
      <c r="H28" s="118"/>
    </row>
    <row r="29" spans="1:11" ht="15.95" customHeight="1" x14ac:dyDescent="0.25">
      <c r="A29" s="120"/>
      <c r="B29" s="119"/>
      <c r="C29" s="119"/>
      <c r="D29" s="119"/>
      <c r="E29" s="119"/>
      <c r="F29" s="119"/>
      <c r="G29" s="167"/>
      <c r="H29" s="118"/>
    </row>
    <row r="30" spans="1:11" x14ac:dyDescent="0.25">
      <c r="A30" s="330" t="s">
        <v>207</v>
      </c>
      <c r="B30" s="330"/>
      <c r="C30" s="330"/>
      <c r="D30" s="330"/>
      <c r="E30" s="330"/>
      <c r="F30" s="330"/>
      <c r="G30" s="117">
        <f>G27</f>
        <v>244052.36460000003</v>
      </c>
      <c r="H30" s="116">
        <f>G30/AREAS!E6</f>
        <v>30.861959617444398</v>
      </c>
    </row>
    <row r="32" spans="1:11" ht="15" x14ac:dyDescent="0.25">
      <c r="B32"/>
      <c r="C32"/>
      <c r="D32"/>
      <c r="E32"/>
      <c r="F32"/>
      <c r="G32"/>
      <c r="H32" s="176">
        <f>H30/1.1</f>
        <v>28.056326924949452</v>
      </c>
    </row>
    <row r="33" spans="1:11" ht="15" x14ac:dyDescent="0.25">
      <c r="A33" s="200" t="s">
        <v>206</v>
      </c>
      <c r="B33" s="115">
        <v>2612.64</v>
      </c>
      <c r="D33"/>
      <c r="E33"/>
      <c r="F33"/>
      <c r="G33"/>
      <c r="H33" s="113"/>
    </row>
    <row r="34" spans="1:11" ht="15" x14ac:dyDescent="0.25">
      <c r="A34" s="184" t="s">
        <v>205</v>
      </c>
      <c r="B34" s="115">
        <v>29.99</v>
      </c>
      <c r="D34"/>
      <c r="E34"/>
      <c r="F34"/>
      <c r="G34"/>
      <c r="H34"/>
    </row>
    <row r="35" spans="1:11" ht="15" x14ac:dyDescent="0.25">
      <c r="A35" s="183" t="s">
        <v>342</v>
      </c>
      <c r="B35" s="1">
        <v>181.54000000000002</v>
      </c>
      <c r="D35"/>
      <c r="E35"/>
      <c r="F35"/>
      <c r="G35"/>
      <c r="H35" s="176"/>
      <c r="K35" s="115"/>
    </row>
    <row r="36" spans="1:11" ht="15" x14ac:dyDescent="0.25">
      <c r="A36" s="1" t="s">
        <v>343</v>
      </c>
      <c r="B36" s="2">
        <v>6243.04</v>
      </c>
      <c r="D36"/>
      <c r="E36"/>
      <c r="F36"/>
      <c r="G36"/>
      <c r="H36" s="176"/>
    </row>
    <row r="37" spans="1:11" ht="15" x14ac:dyDescent="0.25">
      <c r="A37" s="1" t="s">
        <v>203</v>
      </c>
      <c r="B37" s="1">
        <v>4526.1499999999996</v>
      </c>
      <c r="D37"/>
      <c r="E37"/>
      <c r="F37"/>
      <c r="G37"/>
      <c r="H37" s="176"/>
    </row>
    <row r="38" spans="1:11" ht="15" x14ac:dyDescent="0.25">
      <c r="A38" s="1" t="s">
        <v>344</v>
      </c>
      <c r="B38" s="2">
        <v>280.79000000000002</v>
      </c>
      <c r="D38"/>
      <c r="E38"/>
      <c r="F38"/>
      <c r="G38"/>
      <c r="H38"/>
    </row>
    <row r="39" spans="1:11" ht="15" x14ac:dyDescent="0.25">
      <c r="A39" s="1" t="s">
        <v>204</v>
      </c>
      <c r="B39" s="1">
        <v>134.38999999999999</v>
      </c>
      <c r="D39"/>
      <c r="E39"/>
      <c r="F39"/>
      <c r="G39"/>
      <c r="H39"/>
    </row>
    <row r="40" spans="1:11" ht="15" x14ac:dyDescent="0.25">
      <c r="A40" s="1" t="s">
        <v>345</v>
      </c>
      <c r="B40" s="1">
        <v>58.41</v>
      </c>
      <c r="C40"/>
      <c r="D40"/>
      <c r="E40"/>
      <c r="F40"/>
      <c r="G40"/>
      <c r="H40"/>
    </row>
    <row r="41" spans="1:11" ht="15" x14ac:dyDescent="0.25">
      <c r="A41" s="1" t="s">
        <v>346</v>
      </c>
      <c r="B41" s="1">
        <v>54.76</v>
      </c>
      <c r="C41"/>
      <c r="D41"/>
      <c r="E41"/>
      <c r="F41"/>
      <c r="G41"/>
      <c r="H41"/>
    </row>
    <row r="42" spans="1:11" ht="15" x14ac:dyDescent="0.25">
      <c r="A42" s="1" t="s">
        <v>352</v>
      </c>
      <c r="B42" s="114">
        <v>448.72</v>
      </c>
      <c r="C42"/>
      <c r="D42"/>
      <c r="E42"/>
      <c r="F42"/>
      <c r="G42"/>
      <c r="H42"/>
    </row>
    <row r="43" spans="1:11" ht="15" x14ac:dyDescent="0.25">
      <c r="A43" s="1" t="s">
        <v>358</v>
      </c>
      <c r="B43" s="114">
        <v>138.18</v>
      </c>
      <c r="C43"/>
      <c r="D43"/>
      <c r="E43"/>
      <c r="F43"/>
      <c r="G43"/>
      <c r="H43"/>
    </row>
    <row r="44" spans="1:11" ht="15" x14ac:dyDescent="0.25">
      <c r="B44"/>
      <c r="C44"/>
      <c r="D44"/>
      <c r="E44"/>
      <c r="F44"/>
      <c r="G44"/>
      <c r="H44"/>
    </row>
    <row r="45" spans="1:11" ht="15" x14ac:dyDescent="0.25">
      <c r="C45"/>
      <c r="D45"/>
      <c r="E45"/>
      <c r="F45"/>
      <c r="G45"/>
      <c r="H45"/>
    </row>
    <row r="46" spans="1:11" ht="15" x14ac:dyDescent="0.25">
      <c r="C46"/>
      <c r="D46"/>
      <c r="E46"/>
      <c r="F46"/>
      <c r="G46"/>
      <c r="H46"/>
    </row>
    <row r="47" spans="1:11" ht="15" x14ac:dyDescent="0.25">
      <c r="C47"/>
      <c r="D47"/>
      <c r="E47"/>
      <c r="F47"/>
      <c r="G47"/>
      <c r="H47"/>
    </row>
    <row r="48" spans="1:11" ht="15" x14ac:dyDescent="0.25">
      <c r="C48"/>
      <c r="D48"/>
      <c r="E48"/>
      <c r="F48"/>
      <c r="G48"/>
      <c r="H48"/>
    </row>
    <row r="49" spans="2:8" ht="15" x14ac:dyDescent="0.25">
      <c r="C49"/>
      <c r="D49"/>
      <c r="E49"/>
      <c r="F49"/>
      <c r="G49"/>
      <c r="H49"/>
    </row>
    <row r="50" spans="2:8" ht="15" x14ac:dyDescent="0.25">
      <c r="C50"/>
      <c r="D50"/>
      <c r="E50"/>
      <c r="F50"/>
      <c r="G50"/>
      <c r="H50"/>
    </row>
    <row r="51" spans="2:8" ht="15" x14ac:dyDescent="0.25">
      <c r="C51"/>
      <c r="D51"/>
      <c r="E51"/>
      <c r="F51"/>
      <c r="G51"/>
      <c r="H51"/>
    </row>
    <row r="52" spans="2:8" ht="15" x14ac:dyDescent="0.25">
      <c r="C52"/>
      <c r="D52"/>
      <c r="E52"/>
      <c r="F52"/>
      <c r="G52"/>
      <c r="H52"/>
    </row>
    <row r="53" spans="2:8" ht="15" x14ac:dyDescent="0.25">
      <c r="C53"/>
      <c r="D53"/>
      <c r="E53"/>
      <c r="F53"/>
      <c r="G53"/>
      <c r="H53"/>
    </row>
    <row r="54" spans="2:8" ht="15" x14ac:dyDescent="0.25">
      <c r="C54"/>
      <c r="D54"/>
      <c r="E54"/>
      <c r="F54"/>
      <c r="G54"/>
      <c r="H54"/>
    </row>
    <row r="55" spans="2:8" ht="15" x14ac:dyDescent="0.25">
      <c r="C55"/>
      <c r="D55"/>
      <c r="E55"/>
      <c r="F55"/>
      <c r="G55"/>
      <c r="H55"/>
    </row>
    <row r="56" spans="2:8" ht="15" x14ac:dyDescent="0.25">
      <c r="C56"/>
      <c r="D56"/>
      <c r="E56"/>
      <c r="F56"/>
      <c r="G56"/>
      <c r="H56"/>
    </row>
    <row r="57" spans="2:8" ht="15" x14ac:dyDescent="0.25">
      <c r="B57"/>
      <c r="C57"/>
      <c r="D57"/>
      <c r="E57"/>
      <c r="F57"/>
      <c r="G57"/>
      <c r="H57"/>
    </row>
    <row r="58" spans="2:8" ht="15" x14ac:dyDescent="0.25">
      <c r="C58"/>
      <c r="D58"/>
      <c r="E58"/>
      <c r="F58"/>
      <c r="G58"/>
      <c r="H58"/>
    </row>
    <row r="59" spans="2:8" ht="15" x14ac:dyDescent="0.25">
      <c r="C59"/>
      <c r="D59"/>
      <c r="E59"/>
      <c r="F59"/>
      <c r="G59"/>
      <c r="H59"/>
    </row>
    <row r="60" spans="2:8" ht="15" x14ac:dyDescent="0.25">
      <c r="C60"/>
      <c r="D60"/>
      <c r="E60"/>
      <c r="F60"/>
      <c r="G60"/>
      <c r="H60"/>
    </row>
    <row r="61" spans="2:8" ht="15" x14ac:dyDescent="0.25">
      <c r="C61"/>
      <c r="D61"/>
      <c r="E61"/>
      <c r="F61"/>
      <c r="G61"/>
      <c r="H61"/>
    </row>
    <row r="62" spans="2:8" ht="15" x14ac:dyDescent="0.25">
      <c r="C62"/>
      <c r="D62"/>
      <c r="E62"/>
      <c r="F62"/>
      <c r="G62"/>
      <c r="H62"/>
    </row>
    <row r="63" spans="2:8" ht="15" x14ac:dyDescent="0.25">
      <c r="B63"/>
      <c r="C63"/>
      <c r="D63"/>
      <c r="E63"/>
      <c r="F63"/>
      <c r="G63"/>
      <c r="H63"/>
    </row>
    <row r="64" spans="2:8" ht="15" x14ac:dyDescent="0.25">
      <c r="C64"/>
      <c r="D64"/>
      <c r="E64"/>
      <c r="F64"/>
      <c r="G64"/>
      <c r="H64"/>
    </row>
    <row r="65" spans="2:8" ht="15" x14ac:dyDescent="0.25">
      <c r="C65"/>
      <c r="D65"/>
      <c r="E65"/>
      <c r="F65"/>
      <c r="G65"/>
      <c r="H65"/>
    </row>
    <row r="66" spans="2:8" ht="15" x14ac:dyDescent="0.25">
      <c r="C66"/>
      <c r="D66"/>
      <c r="E66"/>
      <c r="F66"/>
      <c r="G66"/>
      <c r="H66"/>
    </row>
    <row r="67" spans="2:8" ht="15" x14ac:dyDescent="0.25">
      <c r="C67"/>
      <c r="D67"/>
      <c r="E67"/>
      <c r="F67"/>
      <c r="G67"/>
      <c r="H67"/>
    </row>
    <row r="68" spans="2:8" ht="15" x14ac:dyDescent="0.25">
      <c r="B68"/>
      <c r="C68"/>
      <c r="D68"/>
      <c r="E68"/>
      <c r="F68"/>
      <c r="G68"/>
      <c r="H68"/>
    </row>
    <row r="69" spans="2:8" ht="15" x14ac:dyDescent="0.25">
      <c r="C69"/>
      <c r="D69"/>
      <c r="E69"/>
      <c r="F69"/>
      <c r="G69"/>
      <c r="H69"/>
    </row>
    <row r="70" spans="2:8" ht="15" x14ac:dyDescent="0.25">
      <c r="B70"/>
      <c r="C70"/>
      <c r="D70"/>
      <c r="E70"/>
      <c r="F70"/>
      <c r="G70"/>
      <c r="H70"/>
    </row>
    <row r="71" spans="2:8" ht="15" x14ac:dyDescent="0.25">
      <c r="C71"/>
      <c r="D71"/>
      <c r="E71"/>
      <c r="F71"/>
      <c r="G71"/>
      <c r="H71"/>
    </row>
    <row r="72" spans="2:8" ht="15" x14ac:dyDescent="0.25">
      <c r="C72"/>
      <c r="D72"/>
      <c r="E72"/>
      <c r="F72"/>
      <c r="G72"/>
      <c r="H72"/>
    </row>
    <row r="73" spans="2:8" ht="15" x14ac:dyDescent="0.25">
      <c r="C73"/>
      <c r="D73"/>
      <c r="E73"/>
      <c r="F73"/>
      <c r="G73"/>
      <c r="H73"/>
    </row>
    <row r="74" spans="2:8" ht="15" x14ac:dyDescent="0.25">
      <c r="C74"/>
      <c r="D74"/>
      <c r="E74"/>
      <c r="F74"/>
      <c r="G74"/>
      <c r="H74"/>
    </row>
    <row r="75" spans="2:8" ht="15" x14ac:dyDescent="0.25">
      <c r="B75"/>
      <c r="C75"/>
      <c r="D75"/>
      <c r="E75"/>
      <c r="F75"/>
      <c r="G75"/>
      <c r="H75"/>
    </row>
    <row r="76" spans="2:8" ht="15" x14ac:dyDescent="0.25">
      <c r="C76"/>
      <c r="D76"/>
      <c r="E76"/>
      <c r="F76"/>
      <c r="G76"/>
      <c r="H76"/>
    </row>
    <row r="77" spans="2:8" ht="15" x14ac:dyDescent="0.25">
      <c r="C77"/>
      <c r="D77"/>
      <c r="E77"/>
      <c r="F77"/>
      <c r="G77"/>
      <c r="H77"/>
    </row>
    <row r="78" spans="2:8" ht="15" x14ac:dyDescent="0.25">
      <c r="C78"/>
      <c r="D78"/>
      <c r="E78"/>
      <c r="F78"/>
      <c r="G78"/>
      <c r="H78"/>
    </row>
    <row r="79" spans="2:8" ht="15" x14ac:dyDescent="0.25">
      <c r="C79"/>
      <c r="D79"/>
      <c r="E79"/>
      <c r="F79"/>
      <c r="G79"/>
      <c r="H79"/>
    </row>
    <row r="80" spans="2:8" ht="15" x14ac:dyDescent="0.25">
      <c r="B80"/>
      <c r="C80"/>
      <c r="D80"/>
      <c r="E80"/>
      <c r="F80"/>
      <c r="G80"/>
      <c r="H80"/>
    </row>
    <row r="81" spans="3:8" ht="15" x14ac:dyDescent="0.25">
      <c r="C81"/>
      <c r="D81"/>
      <c r="E81"/>
      <c r="F81"/>
      <c r="G81"/>
      <c r="H81"/>
    </row>
    <row r="82" spans="3:8" ht="15" x14ac:dyDescent="0.25">
      <c r="C82"/>
      <c r="D82"/>
      <c r="E82"/>
      <c r="F82"/>
      <c r="G82"/>
      <c r="H82"/>
    </row>
    <row r="83" spans="3:8" ht="15" x14ac:dyDescent="0.25">
      <c r="C83"/>
      <c r="D83"/>
      <c r="E83"/>
      <c r="F83"/>
      <c r="G83"/>
      <c r="H83"/>
    </row>
    <row r="84" spans="3:8" ht="15" x14ac:dyDescent="0.25">
      <c r="C84"/>
      <c r="D84"/>
      <c r="E84"/>
      <c r="F84"/>
      <c r="G84"/>
      <c r="H84"/>
    </row>
    <row r="85" spans="3:8" ht="15" x14ac:dyDescent="0.25">
      <c r="C85"/>
      <c r="D85"/>
      <c r="E85"/>
      <c r="F85"/>
      <c r="G85"/>
      <c r="H85"/>
    </row>
  </sheetData>
  <mergeCells count="6">
    <mergeCell ref="A30:F30"/>
    <mergeCell ref="A28:F28"/>
    <mergeCell ref="A27:F27"/>
    <mergeCell ref="A2:A4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F737-6C6E-4935-8874-7DD67B74A44A}">
  <sheetPr>
    <tabColor rgb="FF92D050"/>
  </sheetPr>
  <dimension ref="A1:L18"/>
  <sheetViews>
    <sheetView showGridLines="0" zoomScale="80" zoomScaleNormal="80" zoomScaleSheetLayoutView="95" workbookViewId="0">
      <selection activeCell="G13" sqref="G13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305" t="s">
        <v>331</v>
      </c>
      <c r="B3" s="316"/>
      <c r="C3" s="316"/>
      <c r="D3" s="306"/>
      <c r="E3" s="306"/>
      <c r="F3" s="306"/>
      <c r="G3" s="306"/>
      <c r="H3" s="307"/>
      <c r="J3" s="79"/>
    </row>
    <row r="4" spans="1:12" ht="19.5" x14ac:dyDescent="0.25">
      <c r="A4" s="189" t="s">
        <v>186</v>
      </c>
      <c r="B4" s="195">
        <v>45457</v>
      </c>
      <c r="C4" s="193"/>
      <c r="D4" s="193"/>
      <c r="E4" s="193"/>
      <c r="F4" s="193"/>
      <c r="G4" s="193"/>
      <c r="H4" s="194"/>
      <c r="J4" s="79"/>
    </row>
    <row r="5" spans="1:12" ht="19.5" x14ac:dyDescent="0.25">
      <c r="A5" s="189" t="s">
        <v>306</v>
      </c>
      <c r="B5" s="196" t="s">
        <v>222</v>
      </c>
      <c r="C5" s="191"/>
      <c r="D5" s="191"/>
      <c r="E5" s="191"/>
      <c r="F5" s="191"/>
      <c r="G5" s="191"/>
      <c r="H5" s="192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309" t="s">
        <v>5</v>
      </c>
      <c r="C9" s="310"/>
      <c r="D9" s="309" t="s">
        <v>18</v>
      </c>
      <c r="E9" s="310"/>
      <c r="F9" s="65" t="s">
        <v>118</v>
      </c>
      <c r="G9" s="71" t="s">
        <v>16</v>
      </c>
      <c r="H9" s="90" t="s">
        <v>309</v>
      </c>
    </row>
    <row r="10" spans="1:12" ht="21.75" x14ac:dyDescent="0.25">
      <c r="A10" s="66" t="s">
        <v>220</v>
      </c>
      <c r="B10" s="62">
        <v>25</v>
      </c>
      <c r="C10" s="62" t="s">
        <v>171</v>
      </c>
      <c r="D10" s="67">
        <f>'Rev. Internos Piso e Parede'!B15</f>
        <v>1477</v>
      </c>
      <c r="E10" s="67" t="s">
        <v>2</v>
      </c>
      <c r="F10" s="88">
        <v>110</v>
      </c>
      <c r="G10" s="89"/>
      <c r="H10" s="67"/>
    </row>
    <row r="11" spans="1:12" ht="21.75" x14ac:dyDescent="0.25">
      <c r="A11" s="78" t="s">
        <v>219</v>
      </c>
      <c r="B11" s="62">
        <v>45</v>
      </c>
      <c r="C11" s="62" t="s">
        <v>171</v>
      </c>
      <c r="D11" s="67">
        <f>'Rev. Internos Piso e Parede'!B16</f>
        <v>0</v>
      </c>
      <c r="E11" s="67" t="s">
        <v>2</v>
      </c>
      <c r="F11" s="88">
        <v>65</v>
      </c>
      <c r="G11" s="89">
        <f>F11*D11*1.1</f>
        <v>0</v>
      </c>
      <c r="H11" s="67"/>
    </row>
    <row r="12" spans="1:12" ht="21.75" x14ac:dyDescent="0.25">
      <c r="A12" s="78" t="s">
        <v>218</v>
      </c>
      <c r="B12" s="62">
        <v>15</v>
      </c>
      <c r="C12" s="62" t="s">
        <v>6</v>
      </c>
      <c r="D12" s="67">
        <f>ALVENARIA!D11*2</f>
        <v>1868.1622</v>
      </c>
      <c r="E12" s="67" t="s">
        <v>2</v>
      </c>
      <c r="F12" s="88">
        <f>1.2+6.87+20</f>
        <v>28.07</v>
      </c>
      <c r="G12" s="89">
        <f>F12*D12*1.1</f>
        <v>57683.244249400006</v>
      </c>
      <c r="H12" s="67"/>
    </row>
    <row r="13" spans="1:12" ht="21.75" x14ac:dyDescent="0.25">
      <c r="A13" s="66" t="s">
        <v>217</v>
      </c>
      <c r="B13" s="62">
        <v>50</v>
      </c>
      <c r="C13" s="62" t="s">
        <v>6</v>
      </c>
      <c r="D13" s="67">
        <f>'Rev. Internos Piso e Parede'!B20-'PINTURA INTERNA'!D12</f>
        <v>9800.6671000000006</v>
      </c>
      <c r="E13" s="67" t="s">
        <v>2</v>
      </c>
      <c r="F13" s="88">
        <f>1.2+3.2+6.74+32</f>
        <v>43.14</v>
      </c>
      <c r="G13" s="89">
        <f>F13*D13*1.1</f>
        <v>465080.85656340007</v>
      </c>
      <c r="H13" s="67"/>
    </row>
    <row r="14" spans="1:12" ht="21.75" x14ac:dyDescent="0.25">
      <c r="A14" s="304" t="s">
        <v>17</v>
      </c>
      <c r="B14" s="304"/>
      <c r="C14" s="304"/>
      <c r="D14" s="304"/>
      <c r="E14" s="304"/>
      <c r="F14" s="304"/>
      <c r="G14" s="90">
        <f>SUM(G10:G13)</f>
        <v>522764.10081280005</v>
      </c>
      <c r="H14" s="90"/>
      <c r="K14" s="55">
        <f>4160+1440+1120+2880+4800+91680+4000</f>
        <v>110080</v>
      </c>
      <c r="L14" s="55">
        <f>K14/21</f>
        <v>5241.9047619047615</v>
      </c>
    </row>
    <row r="16" spans="1:12" ht="21.75" x14ac:dyDescent="0.25">
      <c r="A16" s="311" t="s">
        <v>227</v>
      </c>
      <c r="B16" s="312"/>
      <c r="C16" s="312"/>
      <c r="D16" s="312"/>
      <c r="E16" s="312"/>
      <c r="F16" s="313"/>
      <c r="G16" s="91">
        <f>G14</f>
        <v>522764.10081280005</v>
      </c>
      <c r="H16" s="91">
        <f>G16/AREAS!E6</f>
        <v>66.106815212288524</v>
      </c>
    </row>
    <row r="18" spans="8:8" x14ac:dyDescent="0.25">
      <c r="H18" s="198">
        <f>H16/1.1</f>
        <v>60.097104738444109</v>
      </c>
    </row>
  </sheetData>
  <mergeCells count="5">
    <mergeCell ref="A3:H3"/>
    <mergeCell ref="B9:C9"/>
    <mergeCell ref="D9:E9"/>
    <mergeCell ref="A14:F14"/>
    <mergeCell ref="A16:F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C23D-4848-47C0-9462-ED4026A4C01F}">
  <sheetPr>
    <tabColor rgb="FF92D050"/>
  </sheetPr>
  <dimension ref="A1:L32"/>
  <sheetViews>
    <sheetView showGridLines="0" topLeftCell="A5" zoomScale="80" zoomScaleNormal="80" zoomScaleSheetLayoutView="95" workbookViewId="0">
      <selection activeCell="G21" sqref="G21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305" t="s">
        <v>244</v>
      </c>
      <c r="B3" s="316"/>
      <c r="C3" s="316"/>
      <c r="D3" s="306"/>
      <c r="E3" s="306"/>
      <c r="F3" s="306"/>
      <c r="G3" s="306"/>
      <c r="H3" s="307"/>
      <c r="J3" s="79"/>
    </row>
    <row r="4" spans="1:10" ht="19.5" x14ac:dyDescent="0.25">
      <c r="A4" s="189" t="s">
        <v>186</v>
      </c>
      <c r="B4" s="195">
        <v>45460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306</v>
      </c>
      <c r="B5" s="196" t="s">
        <v>222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244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309" t="s">
        <v>5</v>
      </c>
      <c r="C9" s="310"/>
      <c r="D9" s="309" t="s">
        <v>18</v>
      </c>
      <c r="E9" s="310"/>
      <c r="F9" s="65" t="s">
        <v>118</v>
      </c>
      <c r="G9" s="71" t="s">
        <v>16</v>
      </c>
      <c r="H9" s="90" t="s">
        <v>309</v>
      </c>
    </row>
    <row r="10" spans="1:10" ht="21.75" x14ac:dyDescent="0.25">
      <c r="A10" s="66" t="s">
        <v>243</v>
      </c>
      <c r="B10" s="62">
        <v>0.15</v>
      </c>
      <c r="C10" s="62" t="s">
        <v>333</v>
      </c>
      <c r="D10" s="201"/>
      <c r="E10" s="67" t="s">
        <v>2</v>
      </c>
      <c r="F10" s="88">
        <v>1100</v>
      </c>
      <c r="G10" s="89">
        <f>F10*D10*1.1</f>
        <v>0</v>
      </c>
      <c r="H10" s="67">
        <f>G10/DADOS_INICIAIS!F9</f>
        <v>0</v>
      </c>
    </row>
    <row r="11" spans="1:10" ht="21.75" x14ac:dyDescent="0.25">
      <c r="A11" s="202" t="s">
        <v>468</v>
      </c>
      <c r="B11" s="62"/>
      <c r="C11" s="62"/>
      <c r="D11" s="201">
        <f>D32</f>
        <v>2871.7831000000001</v>
      </c>
      <c r="E11" s="67" t="s">
        <v>2</v>
      </c>
      <c r="F11" s="88">
        <v>1100</v>
      </c>
      <c r="G11" s="89">
        <f>F11*D11*1.1</f>
        <v>3474857.5510000004</v>
      </c>
      <c r="H11" s="67"/>
    </row>
    <row r="12" spans="1:10" ht="21.75" x14ac:dyDescent="0.25">
      <c r="A12" s="202" t="s">
        <v>467</v>
      </c>
      <c r="B12" s="62"/>
      <c r="C12" s="62"/>
      <c r="D12" s="201">
        <f>E32</f>
        <v>551.24</v>
      </c>
      <c r="E12" s="67" t="s">
        <v>2</v>
      </c>
      <c r="F12" s="88">
        <v>1500</v>
      </c>
      <c r="G12" s="89">
        <f>F12*D12*1.1</f>
        <v>909546.00000000012</v>
      </c>
      <c r="H12" s="67"/>
    </row>
    <row r="13" spans="1:10" ht="21.75" x14ac:dyDescent="0.25">
      <c r="A13" s="78" t="s">
        <v>238</v>
      </c>
      <c r="B13" s="62"/>
      <c r="C13" s="62"/>
      <c r="D13" s="67">
        <v>0</v>
      </c>
      <c r="E13" s="67" t="s">
        <v>3</v>
      </c>
      <c r="F13" s="88">
        <v>18000</v>
      </c>
      <c r="G13" s="89">
        <f>F13*D13*1.1</f>
        <v>0</v>
      </c>
      <c r="H13" s="67"/>
    </row>
    <row r="14" spans="1:10" ht="21.75" x14ac:dyDescent="0.25">
      <c r="A14" s="78" t="s">
        <v>240</v>
      </c>
      <c r="B14" s="62"/>
      <c r="C14" s="62"/>
      <c r="D14" s="67">
        <f>(2.16*4*2*3+(3.48*4+1.08*4)*2*3+2.16*4*2*3+(3.72*2+2.52*2+2.4)*2)+(4.82+5)*2+(3.66*2+5.3)*3+5.41*2+4.72*2+40.7*2</f>
        <v>402.04000000000008</v>
      </c>
      <c r="E14" s="67" t="s">
        <v>4</v>
      </c>
      <c r="F14" s="88">
        <f>950*1.1</f>
        <v>1045</v>
      </c>
      <c r="G14" s="89">
        <f>F14*D14*1.1</f>
        <v>462144.98000000016</v>
      </c>
      <c r="H14" s="67"/>
    </row>
    <row r="15" spans="1:10" ht="21.75" x14ac:dyDescent="0.25">
      <c r="A15" s="78" t="s">
        <v>239</v>
      </c>
      <c r="B15" s="62"/>
      <c r="C15" s="62"/>
      <c r="D15" s="67"/>
      <c r="E15" s="67" t="s">
        <v>4</v>
      </c>
      <c r="F15" s="88">
        <f>680*1.1</f>
        <v>748.00000000000011</v>
      </c>
      <c r="G15" s="89">
        <f t="shared" ref="G15:G22" si="0">F15*D15*1.1</f>
        <v>0</v>
      </c>
      <c r="H15" s="67"/>
    </row>
    <row r="16" spans="1:10" ht="21.75" x14ac:dyDescent="0.25">
      <c r="A16" s="78" t="s">
        <v>340</v>
      </c>
      <c r="B16" s="62"/>
      <c r="C16" s="62"/>
      <c r="D16" s="67"/>
      <c r="E16" s="67" t="s">
        <v>4</v>
      </c>
      <c r="F16" s="88">
        <v>150</v>
      </c>
      <c r="G16" s="89">
        <f t="shared" si="0"/>
        <v>0</v>
      </c>
      <c r="H16" s="67"/>
    </row>
    <row r="17" spans="1:12" ht="21.75" x14ac:dyDescent="0.25">
      <c r="A17" s="78" t="s">
        <v>241</v>
      </c>
      <c r="B17" s="62">
        <v>10</v>
      </c>
      <c r="C17" s="62" t="s">
        <v>6</v>
      </c>
      <c r="D17" s="67">
        <v>1</v>
      </c>
      <c r="E17" s="67" t="s">
        <v>27</v>
      </c>
      <c r="F17" s="88">
        <f>B17*AREAS!E6</f>
        <v>79078.7</v>
      </c>
      <c r="G17" s="89">
        <f t="shared" si="0"/>
        <v>86986.57</v>
      </c>
      <c r="H17" s="67"/>
    </row>
    <row r="18" spans="1:12" ht="28.5" customHeight="1" x14ac:dyDescent="0.25">
      <c r="A18" s="78" t="s">
        <v>242</v>
      </c>
      <c r="B18" s="62"/>
      <c r="C18" s="62"/>
      <c r="D18" s="67">
        <v>6</v>
      </c>
      <c r="E18" s="67" t="s">
        <v>3</v>
      </c>
      <c r="F18" s="88">
        <v>1750</v>
      </c>
      <c r="G18" s="89">
        <f t="shared" si="0"/>
        <v>11550.000000000002</v>
      </c>
      <c r="H18" s="67"/>
    </row>
    <row r="19" spans="1:12" ht="21.75" x14ac:dyDescent="0.25">
      <c r="A19" s="78" t="s">
        <v>377</v>
      </c>
      <c r="B19" s="62"/>
      <c r="C19" s="62"/>
      <c r="D19" s="67">
        <f>((3.97+2.95)*4)*1.1</f>
        <v>30.448</v>
      </c>
      <c r="E19" s="67" t="s">
        <v>4</v>
      </c>
      <c r="F19" s="88">
        <v>120</v>
      </c>
      <c r="G19" s="89">
        <f t="shared" si="0"/>
        <v>4019.1360000000004</v>
      </c>
      <c r="H19" s="67"/>
    </row>
    <row r="20" spans="1:12" ht="21.75" x14ac:dyDescent="0.25">
      <c r="A20" s="78" t="s">
        <v>378</v>
      </c>
      <c r="B20" s="62"/>
      <c r="C20" s="62"/>
      <c r="D20" s="67"/>
      <c r="E20" s="67"/>
      <c r="F20" s="88">
        <v>1400</v>
      </c>
      <c r="G20" s="89">
        <f t="shared" si="0"/>
        <v>0</v>
      </c>
      <c r="H20" s="67"/>
    </row>
    <row r="21" spans="1:12" ht="21.75" x14ac:dyDescent="0.25">
      <c r="A21" s="66" t="s">
        <v>469</v>
      </c>
      <c r="B21" s="62"/>
      <c r="C21" s="62"/>
      <c r="D21" s="67">
        <f>10+1+1+3+6+2+7+7</f>
        <v>37</v>
      </c>
      <c r="E21" s="67" t="s">
        <v>3</v>
      </c>
      <c r="F21" s="88">
        <v>850</v>
      </c>
      <c r="G21" s="89">
        <f t="shared" ref="G21" si="1">F21*D21*1.1</f>
        <v>34595</v>
      </c>
      <c r="H21" s="67"/>
    </row>
    <row r="22" spans="1:12" ht="21.75" x14ac:dyDescent="0.25">
      <c r="A22" s="66" t="s">
        <v>237</v>
      </c>
      <c r="B22" s="62"/>
      <c r="C22" s="62"/>
      <c r="D22" s="67">
        <f>6+1+2+3+2+2+2+2+3+2</f>
        <v>25</v>
      </c>
      <c r="E22" s="67" t="s">
        <v>3</v>
      </c>
      <c r="F22" s="88">
        <v>1200</v>
      </c>
      <c r="G22" s="89">
        <f t="shared" si="0"/>
        <v>33000</v>
      </c>
      <c r="H22" s="67"/>
    </row>
    <row r="23" spans="1:12" ht="21.75" x14ac:dyDescent="0.25">
      <c r="A23" s="304" t="s">
        <v>17</v>
      </c>
      <c r="B23" s="304"/>
      <c r="C23" s="304"/>
      <c r="D23" s="304"/>
      <c r="E23" s="304"/>
      <c r="F23" s="304"/>
      <c r="G23" s="90">
        <f>SUM(G10:G22)</f>
        <v>5016699.2370000016</v>
      </c>
      <c r="H23" s="90"/>
      <c r="K23" s="55">
        <f>4160+1440+1120+2880+4800+91680+4000</f>
        <v>110080</v>
      </c>
      <c r="L23" s="55">
        <f>K23/21</f>
        <v>5241.9047619047615</v>
      </c>
    </row>
    <row r="25" spans="1:12" ht="21.75" x14ac:dyDescent="0.25">
      <c r="A25" s="311" t="s">
        <v>354</v>
      </c>
      <c r="B25" s="312"/>
      <c r="C25" s="312"/>
      <c r="D25" s="312"/>
      <c r="E25" s="312"/>
      <c r="F25" s="313"/>
      <c r="G25" s="91">
        <f>G23</f>
        <v>5016699.2370000016</v>
      </c>
      <c r="H25" s="91">
        <f>G25/AREAS!E6</f>
        <v>634.39323572592889</v>
      </c>
    </row>
    <row r="27" spans="1:12" x14ac:dyDescent="0.25">
      <c r="C27" s="55" t="s">
        <v>459</v>
      </c>
      <c r="D27" s="81" t="s">
        <v>460</v>
      </c>
      <c r="E27" s="81" t="s">
        <v>465</v>
      </c>
    </row>
    <row r="28" spans="1:12" x14ac:dyDescent="0.25">
      <c r="B28" s="55" t="s">
        <v>461</v>
      </c>
      <c r="C28" s="55">
        <f>57.14*2+22.5</f>
        <v>136.78</v>
      </c>
      <c r="D28" s="81">
        <f>C28*6.22</f>
        <v>850.77159999999992</v>
      </c>
    </row>
    <row r="29" spans="1:12" x14ac:dyDescent="0.25">
      <c r="B29" s="55" t="s">
        <v>462</v>
      </c>
      <c r="D29" s="81">
        <f>16.97+94.95+752.7875+96.26+75.8068</f>
        <v>1036.7743</v>
      </c>
      <c r="E29" s="82">
        <f>146.42*2</f>
        <v>292.83999999999997</v>
      </c>
    </row>
    <row r="30" spans="1:12" x14ac:dyDescent="0.25">
      <c r="B30" s="55" t="s">
        <v>463</v>
      </c>
      <c r="C30" s="55">
        <f>29.94*2</f>
        <v>59.88</v>
      </c>
      <c r="D30" s="81">
        <f>C30*7.14</f>
        <v>427.54320000000001</v>
      </c>
    </row>
    <row r="31" spans="1:12" x14ac:dyDescent="0.25">
      <c r="B31" s="55" t="s">
        <v>464</v>
      </c>
      <c r="D31" s="81">
        <f>495.794+2.54+58.36</f>
        <v>556.69399999999996</v>
      </c>
      <c r="E31" s="82">
        <f>129.2*2</f>
        <v>258.39999999999998</v>
      </c>
    </row>
    <row r="32" spans="1:12" x14ac:dyDescent="0.25">
      <c r="D32" s="81">
        <f>SUM(D28:D31)</f>
        <v>2871.7831000000001</v>
      </c>
      <c r="E32" s="81">
        <f>SUM(E28:E31)</f>
        <v>551.24</v>
      </c>
    </row>
  </sheetData>
  <mergeCells count="5">
    <mergeCell ref="A3:H3"/>
    <mergeCell ref="B9:C9"/>
    <mergeCell ref="D9:E9"/>
    <mergeCell ref="A23:F23"/>
    <mergeCell ref="A25:F25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B461-4C5C-413C-82B5-048D21A64C5E}">
  <sheetPr>
    <tabColor rgb="FF92D050"/>
  </sheetPr>
  <dimension ref="A1:J18"/>
  <sheetViews>
    <sheetView showGridLines="0" zoomScale="85" zoomScaleNormal="85" zoomScaleSheetLayoutView="95" workbookViewId="0">
      <selection activeCell="G12" sqref="G9:G12"/>
    </sheetView>
  </sheetViews>
  <sheetFormatPr defaultColWidth="9.140625" defaultRowHeight="19.5" x14ac:dyDescent="0.25"/>
  <cols>
    <col min="1" max="1" width="53" style="45" bestFit="1" customWidth="1"/>
    <col min="2" max="7" width="27" style="45" customWidth="1"/>
    <col min="8" max="8" width="14" style="45" customWidth="1"/>
    <col min="9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H1" s="48"/>
      <c r="J1" s="2"/>
    </row>
    <row r="2" spans="1:10" ht="28.5" x14ac:dyDescent="0.25">
      <c r="A2" s="305" t="s">
        <v>201</v>
      </c>
      <c r="B2" s="306"/>
      <c r="C2" s="306"/>
      <c r="D2" s="306"/>
      <c r="E2" s="306"/>
      <c r="F2" s="306"/>
      <c r="G2" s="306"/>
      <c r="H2" s="307"/>
      <c r="J2" s="2"/>
    </row>
    <row r="3" spans="1:10" s="55" customFormat="1" x14ac:dyDescent="0.25">
      <c r="A3" s="189" t="s">
        <v>186</v>
      </c>
      <c r="B3" s="195">
        <v>45460</v>
      </c>
      <c r="C3" s="193"/>
      <c r="D3" s="193"/>
      <c r="E3" s="193"/>
      <c r="F3" s="193"/>
      <c r="G3" s="193"/>
      <c r="H3" s="194"/>
      <c r="J3" s="79"/>
    </row>
    <row r="4" spans="1:10" s="55" customFormat="1" x14ac:dyDescent="0.25">
      <c r="A4" s="189" t="s">
        <v>306</v>
      </c>
      <c r="B4" s="196" t="s">
        <v>222</v>
      </c>
      <c r="C4" s="191"/>
      <c r="D4" s="191"/>
      <c r="E4" s="191"/>
      <c r="F4" s="191"/>
      <c r="G4" s="191"/>
      <c r="H4" s="192"/>
      <c r="J4" s="79"/>
    </row>
    <row r="5" spans="1:10" x14ac:dyDescent="0.25">
      <c r="A5" s="50"/>
      <c r="B5" s="50"/>
      <c r="C5" s="50"/>
      <c r="D5" s="50"/>
      <c r="E5" s="50"/>
      <c r="F5" s="50"/>
      <c r="G5" s="48"/>
      <c r="H5" s="48"/>
      <c r="J5" s="2"/>
    </row>
    <row r="6" spans="1:10" s="55" customFormat="1" ht="21.75" x14ac:dyDescent="0.25">
      <c r="A6" s="52" t="s">
        <v>336</v>
      </c>
      <c r="B6" s="53"/>
      <c r="C6" s="53"/>
      <c r="D6" s="53"/>
      <c r="E6" s="53"/>
      <c r="F6" s="53"/>
      <c r="G6" s="53"/>
      <c r="H6" s="53"/>
    </row>
    <row r="7" spans="1:10" s="55" customFormat="1" ht="21.75" x14ac:dyDescent="0.25">
      <c r="A7" s="56"/>
      <c r="B7" s="57"/>
      <c r="C7" s="57"/>
      <c r="D7" s="57"/>
      <c r="E7" s="57"/>
      <c r="F7" s="57"/>
      <c r="G7" s="59"/>
      <c r="H7" s="59"/>
    </row>
    <row r="8" spans="1:10" s="55" customFormat="1" ht="42" customHeight="1" x14ac:dyDescent="0.25">
      <c r="A8" s="63" t="s">
        <v>14</v>
      </c>
      <c r="B8" s="309" t="s">
        <v>5</v>
      </c>
      <c r="C8" s="310"/>
      <c r="D8" s="309" t="s">
        <v>18</v>
      </c>
      <c r="E8" s="310"/>
      <c r="F8" s="65" t="s">
        <v>118</v>
      </c>
      <c r="G8" s="71" t="s">
        <v>16</v>
      </c>
      <c r="H8" s="90" t="s">
        <v>309</v>
      </c>
    </row>
    <row r="9" spans="1:10" s="55" customFormat="1" ht="21.75" x14ac:dyDescent="0.25">
      <c r="A9" s="66" t="s">
        <v>334</v>
      </c>
      <c r="B9" s="62"/>
      <c r="C9" s="62"/>
      <c r="D9" s="67">
        <f>AMBIENTES!F34+AMBIENTES!F36+AMBIENTES!F37</f>
        <v>971.73</v>
      </c>
      <c r="E9" s="67" t="s">
        <v>2</v>
      </c>
      <c r="F9" s="88">
        <v>500</v>
      </c>
      <c r="G9" s="89">
        <f>F9*D9*1.1</f>
        <v>534451.5</v>
      </c>
      <c r="H9" s="67"/>
    </row>
    <row r="10" spans="1:10" s="55" customFormat="1" ht="21.75" x14ac:dyDescent="0.25">
      <c r="A10" s="66" t="s">
        <v>172</v>
      </c>
      <c r="B10" s="62"/>
      <c r="C10" s="62"/>
      <c r="D10" s="67">
        <f>D9</f>
        <v>971.73</v>
      </c>
      <c r="E10" s="67" t="s">
        <v>2</v>
      </c>
      <c r="F10" s="188">
        <v>45</v>
      </c>
      <c r="G10" s="89">
        <f>F10*D10*1.1</f>
        <v>48100.635000000002</v>
      </c>
      <c r="H10" s="67"/>
    </row>
    <row r="11" spans="1:10" s="55" customFormat="1" ht="21.75" x14ac:dyDescent="0.25">
      <c r="A11" s="66" t="s">
        <v>456</v>
      </c>
      <c r="B11" s="62"/>
      <c r="C11" s="62"/>
      <c r="D11" s="67">
        <f>132.31*2</f>
        <v>264.62</v>
      </c>
      <c r="E11" s="67" t="s">
        <v>2</v>
      </c>
      <c r="F11" s="67">
        <v>350</v>
      </c>
      <c r="G11" s="89">
        <f t="shared" ref="G11:G13" si="0">F11*D11*1.1</f>
        <v>101878.70000000001</v>
      </c>
      <c r="H11" s="67"/>
    </row>
    <row r="12" spans="1:10" s="55" customFormat="1" ht="21.75" x14ac:dyDescent="0.25">
      <c r="A12" s="66" t="s">
        <v>475</v>
      </c>
      <c r="B12" s="62"/>
      <c r="C12" s="62"/>
      <c r="D12" s="67">
        <f>17.44*4</f>
        <v>69.760000000000005</v>
      </c>
      <c r="E12" s="67" t="s">
        <v>2</v>
      </c>
      <c r="F12" s="67">
        <v>280</v>
      </c>
      <c r="G12" s="89">
        <f t="shared" ref="G12" si="1">F12*D12*1.1</f>
        <v>21486.080000000005</v>
      </c>
      <c r="H12" s="67"/>
    </row>
    <row r="13" spans="1:10" s="55" customFormat="1" ht="21.75" x14ac:dyDescent="0.25">
      <c r="A13" s="66" t="s">
        <v>335</v>
      </c>
      <c r="B13" s="62"/>
      <c r="C13" s="62"/>
      <c r="D13" s="67"/>
      <c r="E13" s="67"/>
      <c r="F13" s="67"/>
      <c r="G13" s="89">
        <f t="shared" si="0"/>
        <v>0</v>
      </c>
      <c r="H13" s="67"/>
    </row>
    <row r="14" spans="1:10" s="55" customFormat="1" ht="21.75" x14ac:dyDescent="0.25">
      <c r="A14" s="66" t="s">
        <v>470</v>
      </c>
      <c r="B14" s="62"/>
      <c r="C14" s="62"/>
      <c r="D14" s="67">
        <v>365</v>
      </c>
      <c r="E14" s="67" t="s">
        <v>457</v>
      </c>
      <c r="F14" s="67">
        <v>800</v>
      </c>
      <c r="G14" s="89">
        <f>F14*D14*1.1</f>
        <v>321200</v>
      </c>
      <c r="H14" s="67"/>
    </row>
    <row r="15" spans="1:10" s="55" customFormat="1" ht="21.75" x14ac:dyDescent="0.25">
      <c r="A15" s="66" t="s">
        <v>471</v>
      </c>
      <c r="B15" s="62"/>
      <c r="C15" s="62"/>
      <c r="D15" s="67">
        <f>520+AREAS!E29+147*2</f>
        <v>1073.5</v>
      </c>
      <c r="E15" s="67" t="s">
        <v>4</v>
      </c>
      <c r="F15" s="67">
        <v>52.5</v>
      </c>
      <c r="G15" s="89">
        <f>F15*D15*1.1</f>
        <v>61994.625000000007</v>
      </c>
      <c r="H15" s="67"/>
    </row>
    <row r="16" spans="1:10" s="55" customFormat="1" ht="21.75" x14ac:dyDescent="0.25">
      <c r="A16" s="304" t="s">
        <v>17</v>
      </c>
      <c r="B16" s="304"/>
      <c r="C16" s="304"/>
      <c r="D16" s="110"/>
      <c r="E16" s="110"/>
      <c r="F16" s="110"/>
      <c r="G16" s="90">
        <f>SUM(G9:G14)</f>
        <v>1027116.9149999999</v>
      </c>
      <c r="H16" s="90"/>
    </row>
    <row r="17" spans="1:8" s="55" customFormat="1" ht="21.75" x14ac:dyDescent="0.25">
      <c r="A17" s="308"/>
      <c r="B17" s="308"/>
      <c r="C17" s="308"/>
      <c r="D17" s="111"/>
      <c r="E17" s="111"/>
      <c r="F17" s="111"/>
      <c r="G17" s="59"/>
      <c r="H17" s="59"/>
    </row>
    <row r="18" spans="1:8" ht="23.25" customHeight="1" x14ac:dyDescent="0.25">
      <c r="A18" s="301" t="s">
        <v>285</v>
      </c>
      <c r="B18" s="302"/>
      <c r="C18" s="303"/>
      <c r="D18" s="109"/>
      <c r="E18" s="109"/>
      <c r="F18" s="109"/>
      <c r="G18" s="108">
        <f>G16</f>
        <v>1027116.9149999999</v>
      </c>
      <c r="H18" s="108">
        <f>G18/AREAS!E6</f>
        <v>129.88540719561652</v>
      </c>
    </row>
  </sheetData>
  <mergeCells count="6">
    <mergeCell ref="A18:C18"/>
    <mergeCell ref="A2:H2"/>
    <mergeCell ref="B8:C8"/>
    <mergeCell ref="D8:E8"/>
    <mergeCell ref="A16:C16"/>
    <mergeCell ref="A17:C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37A4-6D6F-45D4-B218-2ECBFC9788BF}">
  <sheetPr>
    <tabColor rgb="FF92D050"/>
  </sheetPr>
  <dimension ref="A1:L42"/>
  <sheetViews>
    <sheetView showGridLines="0" topLeftCell="A16" zoomScale="130" zoomScaleNormal="130" zoomScaleSheetLayoutView="95" workbookViewId="0">
      <selection activeCell="G24" sqref="G24"/>
    </sheetView>
  </sheetViews>
  <sheetFormatPr defaultColWidth="9.140625" defaultRowHeight="12.75" x14ac:dyDescent="0.25"/>
  <cols>
    <col min="1" max="1" width="48.7109375" style="1" customWidth="1"/>
    <col min="2" max="2" width="15.85546875" style="114" customWidth="1"/>
    <col min="3" max="3" width="7.5703125" style="113" customWidth="1"/>
    <col min="4" max="4" width="11.5703125" style="112" customWidth="1"/>
    <col min="5" max="5" width="15.85546875" style="1" customWidth="1"/>
    <col min="6" max="6" width="12.85546875" style="1" customWidth="1"/>
    <col min="7" max="7" width="19.140625" style="1" customWidth="1"/>
    <col min="8" max="8" width="15.140625" style="1" customWidth="1"/>
    <col min="9" max="9" width="13.5703125" style="1" bestFit="1" customWidth="1"/>
    <col min="10" max="11" width="9.140625" style="1"/>
    <col min="12" max="12" width="10.5703125" style="1" bestFit="1" customWidth="1"/>
    <col min="13" max="16384" width="9.140625" style="1"/>
  </cols>
  <sheetData>
    <row r="1" spans="1:12" x14ac:dyDescent="0.25">
      <c r="B1" s="2"/>
      <c r="C1" s="1"/>
      <c r="D1" s="1"/>
      <c r="G1" s="161"/>
      <c r="H1" s="161"/>
      <c r="I1" s="2"/>
    </row>
    <row r="2" spans="1:12" ht="12.75" customHeight="1" x14ac:dyDescent="0.25">
      <c r="A2" s="328" t="s">
        <v>190</v>
      </c>
      <c r="B2" s="2"/>
      <c r="C2" s="1"/>
      <c r="D2" s="1"/>
      <c r="G2" s="166"/>
      <c r="H2" s="166"/>
      <c r="I2" s="2"/>
    </row>
    <row r="3" spans="1:12" ht="12.75" customHeight="1" x14ac:dyDescent="0.25">
      <c r="A3" s="329"/>
      <c r="B3" s="2"/>
      <c r="C3" s="1"/>
      <c r="D3" s="1"/>
      <c r="G3" s="166"/>
      <c r="H3" s="166"/>
      <c r="I3" s="2"/>
    </row>
    <row r="4" spans="1:12" ht="12.75" customHeight="1" x14ac:dyDescent="0.25">
      <c r="A4" s="329"/>
      <c r="B4" s="2"/>
      <c r="C4" s="1"/>
      <c r="D4" s="1"/>
      <c r="G4" s="166"/>
      <c r="H4" s="166"/>
      <c r="I4" s="2"/>
    </row>
    <row r="5" spans="1:12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2" x14ac:dyDescent="0.25">
      <c r="A6" s="162"/>
      <c r="B6" s="2"/>
      <c r="C6" s="1"/>
      <c r="D6" s="1"/>
      <c r="G6" s="161"/>
      <c r="H6" s="161"/>
      <c r="I6" s="2"/>
    </row>
    <row r="7" spans="1:12" x14ac:dyDescent="0.25">
      <c r="A7" s="160" t="s">
        <v>189</v>
      </c>
      <c r="B7" s="159" t="s">
        <v>296</v>
      </c>
      <c r="C7" s="158"/>
      <c r="D7" s="158"/>
      <c r="E7" s="158"/>
      <c r="F7" s="158"/>
      <c r="G7" s="158"/>
      <c r="H7" s="157"/>
      <c r="I7" s="2"/>
    </row>
    <row r="8" spans="1:12" x14ac:dyDescent="0.25">
      <c r="A8" s="156" t="s">
        <v>0</v>
      </c>
      <c r="B8" s="155" t="s">
        <v>295</v>
      </c>
      <c r="C8" s="154"/>
      <c r="D8" s="154"/>
      <c r="E8" s="154"/>
      <c r="F8" s="154"/>
      <c r="G8" s="154"/>
      <c r="H8" s="153"/>
      <c r="I8" s="2"/>
    </row>
    <row r="9" spans="1:12" ht="15" customHeight="1" x14ac:dyDescent="0.25">
      <c r="A9" s="152" t="s">
        <v>186</v>
      </c>
      <c r="B9" s="151">
        <v>45460</v>
      </c>
      <c r="C9" s="150"/>
      <c r="D9" s="150"/>
      <c r="E9" s="150"/>
      <c r="F9" s="150"/>
      <c r="G9" s="150"/>
      <c r="H9" s="149"/>
    </row>
    <row r="10" spans="1:12" x14ac:dyDescent="0.25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2" ht="15.75" customHeight="1" x14ac:dyDescent="0.25">
      <c r="A12" s="144" t="s">
        <v>226</v>
      </c>
      <c r="B12" s="143"/>
      <c r="C12" s="142"/>
      <c r="D12" s="141"/>
      <c r="E12" s="140"/>
      <c r="F12" s="140"/>
      <c r="G12" s="140"/>
      <c r="H12" s="139"/>
    </row>
    <row r="13" spans="1:12" ht="15.75" customHeight="1" x14ac:dyDescent="0.25">
      <c r="A13" s="138"/>
      <c r="B13" s="137"/>
      <c r="C13" s="136"/>
      <c r="D13" s="135"/>
      <c r="E13" s="135"/>
      <c r="F13" s="135"/>
      <c r="H13" s="131"/>
    </row>
    <row r="14" spans="1:12" ht="15.75" customHeight="1" x14ac:dyDescent="0.25">
      <c r="A14" s="134" t="s">
        <v>14</v>
      </c>
      <c r="B14" s="335" t="s">
        <v>18</v>
      </c>
      <c r="C14" s="336"/>
      <c r="D14" s="337" t="s">
        <v>5</v>
      </c>
      <c r="E14" s="338"/>
      <c r="F14" s="133" t="s">
        <v>183</v>
      </c>
      <c r="G14" s="132" t="s">
        <v>16</v>
      </c>
      <c r="H14" s="131"/>
      <c r="L14" s="115"/>
    </row>
    <row r="15" spans="1:12" x14ac:dyDescent="0.25">
      <c r="A15" s="172" t="s">
        <v>198</v>
      </c>
      <c r="B15" s="175">
        <f>K19*L19</f>
        <v>716.8</v>
      </c>
      <c r="C15" s="129" t="s">
        <v>2</v>
      </c>
      <c r="D15" s="124">
        <f>25+70</f>
        <v>95</v>
      </c>
      <c r="E15" s="130" t="s">
        <v>171</v>
      </c>
      <c r="F15" s="126" t="s">
        <v>222</v>
      </c>
      <c r="G15" s="125">
        <f>B15*D15*1.1</f>
        <v>74905.600000000006</v>
      </c>
      <c r="H15" s="131"/>
      <c r="K15" s="187"/>
      <c r="L15" s="115"/>
    </row>
    <row r="16" spans="1:12" x14ac:dyDescent="0.25">
      <c r="A16" s="172" t="s">
        <v>370</v>
      </c>
      <c r="B16" s="175">
        <f>($K$20*9+$K$21*5+$K$22)*0.7</f>
        <v>0</v>
      </c>
      <c r="C16" s="129" t="s">
        <v>2</v>
      </c>
      <c r="D16" s="124">
        <f>25+70</f>
        <v>95</v>
      </c>
      <c r="E16" s="130" t="s">
        <v>171</v>
      </c>
      <c r="F16" s="205"/>
      <c r="G16" s="125">
        <f>B16*D16*1.1</f>
        <v>0</v>
      </c>
      <c r="H16" s="131"/>
      <c r="K16" s="186"/>
      <c r="L16" s="115"/>
    </row>
    <row r="17" spans="1:12" x14ac:dyDescent="0.25">
      <c r="A17" s="333" t="s">
        <v>17</v>
      </c>
      <c r="B17" s="334"/>
      <c r="C17" s="334"/>
      <c r="D17" s="334"/>
      <c r="E17" s="334"/>
      <c r="F17" s="334"/>
      <c r="G17" s="122">
        <f>SUM(G15:G16)</f>
        <v>74905.600000000006</v>
      </c>
      <c r="H17" s="121"/>
      <c r="K17" s="186"/>
    </row>
    <row r="18" spans="1:12" ht="15.75" customHeight="1" x14ac:dyDescent="0.25">
      <c r="A18" s="331"/>
      <c r="B18" s="332"/>
      <c r="C18" s="332"/>
      <c r="D18" s="332"/>
      <c r="E18" s="332"/>
      <c r="F18" s="332"/>
      <c r="G18" s="167"/>
      <c r="H18" s="118"/>
    </row>
    <row r="19" spans="1:12" ht="15.75" customHeight="1" x14ac:dyDescent="0.25">
      <c r="A19" s="144" t="s">
        <v>225</v>
      </c>
      <c r="B19" s="143"/>
      <c r="C19" s="142"/>
      <c r="D19" s="141"/>
      <c r="E19" s="140"/>
      <c r="F19" s="140"/>
      <c r="G19" s="140"/>
      <c r="H19" s="139"/>
      <c r="J19" s="1" t="s">
        <v>224</v>
      </c>
      <c r="K19" s="115">
        <f>31.7+39.98</f>
        <v>71.679999999999993</v>
      </c>
      <c r="L19" s="1">
        <v>10</v>
      </c>
    </row>
    <row r="20" spans="1:12" ht="15.75" customHeight="1" x14ac:dyDescent="0.25">
      <c r="A20" s="138"/>
      <c r="B20" s="185"/>
      <c r="C20" s="136"/>
      <c r="D20" s="135"/>
      <c r="E20" s="135"/>
      <c r="F20" s="135"/>
      <c r="H20" s="131"/>
      <c r="K20" s="115"/>
    </row>
    <row r="21" spans="1:12" ht="15.75" customHeight="1" x14ac:dyDescent="0.25">
      <c r="A21" s="134" t="s">
        <v>14</v>
      </c>
      <c r="B21" s="335" t="s">
        <v>18</v>
      </c>
      <c r="C21" s="336"/>
      <c r="D21" s="337" t="s">
        <v>5</v>
      </c>
      <c r="E21" s="338"/>
      <c r="F21" s="133" t="s">
        <v>183</v>
      </c>
      <c r="G21" s="132" t="s">
        <v>16</v>
      </c>
      <c r="H21" s="131"/>
    </row>
    <row r="22" spans="1:12" ht="15.75" customHeight="1" x14ac:dyDescent="0.25">
      <c r="A22" s="172" t="s">
        <v>338</v>
      </c>
      <c r="B22" s="175">
        <f>B15</f>
        <v>716.8</v>
      </c>
      <c r="C22" s="129" t="s">
        <v>2</v>
      </c>
      <c r="D22" s="124">
        <f>70+15</f>
        <v>85</v>
      </c>
      <c r="E22" s="130" t="s">
        <v>171</v>
      </c>
      <c r="F22" s="126" t="s">
        <v>222</v>
      </c>
      <c r="G22" s="125">
        <f>B22*D22*1.1</f>
        <v>67020.800000000003</v>
      </c>
      <c r="H22" s="131"/>
    </row>
    <row r="23" spans="1:12" ht="15.75" customHeight="1" x14ac:dyDescent="0.25">
      <c r="A23" s="172" t="s">
        <v>371</v>
      </c>
      <c r="B23" s="175">
        <f>($K$20*9+$K$21*5+$K$22)*0.7</f>
        <v>0</v>
      </c>
      <c r="C23" s="129" t="s">
        <v>2</v>
      </c>
      <c r="D23" s="124">
        <f>70+15</f>
        <v>85</v>
      </c>
      <c r="E23" s="130" t="s">
        <v>171</v>
      </c>
      <c r="F23" s="205"/>
      <c r="G23" s="125">
        <f>B23*D23*1.1</f>
        <v>0</v>
      </c>
      <c r="H23" s="131"/>
    </row>
    <row r="24" spans="1:12" x14ac:dyDescent="0.25">
      <c r="A24" s="333" t="s">
        <v>17</v>
      </c>
      <c r="B24" s="334"/>
      <c r="C24" s="334"/>
      <c r="D24" s="334"/>
      <c r="E24" s="334"/>
      <c r="F24" s="334"/>
      <c r="G24" s="122">
        <f>SUM(G22:G23)</f>
        <v>67020.800000000003</v>
      </c>
      <c r="H24" s="121"/>
    </row>
    <row r="25" spans="1:12" x14ac:dyDescent="0.25">
      <c r="A25" s="342"/>
      <c r="B25" s="343"/>
      <c r="C25" s="343"/>
      <c r="D25" s="343"/>
      <c r="E25" s="343"/>
      <c r="F25" s="343"/>
      <c r="G25" s="167"/>
      <c r="H25" s="118"/>
      <c r="L25" s="115"/>
    </row>
    <row r="26" spans="1:12" ht="15.75" customHeight="1" x14ac:dyDescent="0.25">
      <c r="A26" s="144" t="s">
        <v>223</v>
      </c>
      <c r="B26" s="143"/>
      <c r="C26" s="142"/>
      <c r="D26" s="141"/>
      <c r="E26" s="140"/>
      <c r="F26" s="140"/>
      <c r="G26" s="140"/>
      <c r="H26" s="139"/>
    </row>
    <row r="27" spans="1:12" ht="15.75" customHeight="1" x14ac:dyDescent="0.25">
      <c r="A27" s="138"/>
      <c r="B27" s="137"/>
      <c r="C27" s="136"/>
      <c r="D27" s="135"/>
      <c r="E27" s="135"/>
      <c r="F27" s="135"/>
      <c r="H27" s="131"/>
    </row>
    <row r="28" spans="1:12" ht="15.75" customHeight="1" x14ac:dyDescent="0.25">
      <c r="A28" s="134" t="s">
        <v>14</v>
      </c>
      <c r="B28" s="335" t="s">
        <v>18</v>
      </c>
      <c r="C28" s="336"/>
      <c r="D28" s="337" t="s">
        <v>5</v>
      </c>
      <c r="E28" s="338"/>
      <c r="F28" s="133" t="s">
        <v>183</v>
      </c>
      <c r="G28" s="132" t="s">
        <v>16</v>
      </c>
      <c r="H28" s="131"/>
    </row>
    <row r="29" spans="1:12" ht="15.75" customHeight="1" x14ac:dyDescent="0.25">
      <c r="A29" s="172" t="s">
        <v>337</v>
      </c>
      <c r="B29" s="175">
        <f>COBERTURA!D15</f>
        <v>1073.5</v>
      </c>
      <c r="C29" s="129" t="s">
        <v>119</v>
      </c>
      <c r="D29" s="124">
        <v>150</v>
      </c>
      <c r="E29" s="130" t="s">
        <v>171</v>
      </c>
      <c r="F29" s="126" t="s">
        <v>222</v>
      </c>
      <c r="G29" s="125">
        <f>B29*D29*1.1</f>
        <v>177127.5</v>
      </c>
      <c r="H29" s="131"/>
    </row>
    <row r="30" spans="1:12" ht="15.75" customHeight="1" x14ac:dyDescent="0.25">
      <c r="A30" s="172" t="s">
        <v>337</v>
      </c>
      <c r="B30" s="175">
        <f>COBERTURA!D14</f>
        <v>365</v>
      </c>
      <c r="C30" s="129" t="s">
        <v>120</v>
      </c>
      <c r="D30" s="124">
        <v>650</v>
      </c>
      <c r="E30" s="130" t="s">
        <v>171</v>
      </c>
      <c r="F30" s="126" t="s">
        <v>222</v>
      </c>
      <c r="G30" s="125">
        <f>B30*D30*1.1</f>
        <v>260975.00000000003</v>
      </c>
      <c r="H30" s="131"/>
    </row>
    <row r="31" spans="1:12" ht="15.75" customHeight="1" x14ac:dyDescent="0.25">
      <c r="A31" s="333"/>
      <c r="B31" s="334"/>
      <c r="C31" s="334"/>
      <c r="D31" s="334"/>
      <c r="E31" s="334"/>
      <c r="F31" s="334"/>
      <c r="G31" s="122">
        <f>SUM(G29:G30)</f>
        <v>438102.5</v>
      </c>
      <c r="H31" s="121"/>
    </row>
    <row r="32" spans="1:12" x14ac:dyDescent="0.25">
      <c r="A32" s="331"/>
      <c r="B32" s="332"/>
      <c r="C32" s="332"/>
      <c r="D32" s="332"/>
      <c r="E32" s="332"/>
      <c r="F32" s="332"/>
      <c r="G32" s="167"/>
      <c r="H32" s="118"/>
      <c r="J32" s="1">
        <f>25.78*2</f>
        <v>51.56</v>
      </c>
    </row>
    <row r="33" spans="1:8" ht="15.75" customHeight="1" x14ac:dyDescent="0.25">
      <c r="G33" s="115"/>
    </row>
    <row r="34" spans="1:8" ht="15.75" customHeight="1" x14ac:dyDescent="0.25">
      <c r="A34" s="330" t="s">
        <v>221</v>
      </c>
      <c r="B34" s="330"/>
      <c r="C34" s="330"/>
      <c r="D34" s="330"/>
      <c r="E34" s="330"/>
      <c r="F34" s="330"/>
      <c r="G34" s="117">
        <f>G24+G17+G31</f>
        <v>580028.9</v>
      </c>
      <c r="H34" s="116">
        <f>G34/AREAS!E6</f>
        <v>73.348309974746684</v>
      </c>
    </row>
    <row r="35" spans="1:8" ht="15.75" customHeight="1" x14ac:dyDescent="0.25">
      <c r="H35" s="115">
        <f>H34/1.1</f>
        <v>66.680281795224246</v>
      </c>
    </row>
    <row r="36" spans="1:8" ht="15.75" customHeight="1" x14ac:dyDescent="0.25"/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</sheetData>
  <mergeCells count="14">
    <mergeCell ref="B14:C14"/>
    <mergeCell ref="D14:E14"/>
    <mergeCell ref="A2:A4"/>
    <mergeCell ref="A17:F17"/>
    <mergeCell ref="A18:F18"/>
    <mergeCell ref="B21:C21"/>
    <mergeCell ref="D21:E21"/>
    <mergeCell ref="A34:F34"/>
    <mergeCell ref="A24:F24"/>
    <mergeCell ref="A25:F25"/>
    <mergeCell ref="A32:F32"/>
    <mergeCell ref="B28:C28"/>
    <mergeCell ref="D28:E28"/>
    <mergeCell ref="A31:F3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F773-AC4A-4F21-B2EF-C9876C500E18}">
  <dimension ref="A1:J19"/>
  <sheetViews>
    <sheetView showGridLines="0" zoomScale="85" zoomScaleNormal="85" zoomScaleSheetLayoutView="95" workbookViewId="0">
      <selection activeCell="B12" sqref="B12"/>
    </sheetView>
  </sheetViews>
  <sheetFormatPr defaultColWidth="9.140625" defaultRowHeight="19.5" x14ac:dyDescent="0.25"/>
  <cols>
    <col min="1" max="1" width="53" style="45" bestFit="1" customWidth="1"/>
    <col min="2" max="6" width="27" style="45" customWidth="1"/>
    <col min="7" max="7" width="14" style="45" customWidth="1"/>
    <col min="8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I1" s="2"/>
    </row>
    <row r="2" spans="1:10" ht="28.5" x14ac:dyDescent="0.25">
      <c r="A2" s="305" t="s">
        <v>294</v>
      </c>
      <c r="B2" s="306"/>
      <c r="C2" s="306"/>
      <c r="D2" s="306"/>
      <c r="E2" s="306"/>
      <c r="F2" s="306"/>
      <c r="G2" s="307"/>
      <c r="I2" s="2"/>
    </row>
    <row r="3" spans="1:10" s="55" customFormat="1" x14ac:dyDescent="0.25">
      <c r="A3" s="189" t="s">
        <v>186</v>
      </c>
      <c r="B3" s="195">
        <v>45460</v>
      </c>
      <c r="C3" s="193"/>
      <c r="D3" s="193"/>
      <c r="E3" s="193"/>
      <c r="F3" s="193"/>
      <c r="G3" s="193"/>
      <c r="H3" s="194"/>
      <c r="J3" s="79"/>
    </row>
    <row r="4" spans="1:10" s="55" customFormat="1" x14ac:dyDescent="0.25">
      <c r="A4" s="189" t="s">
        <v>306</v>
      </c>
      <c r="B4" s="196" t="s">
        <v>222</v>
      </c>
      <c r="C4" s="191"/>
      <c r="D4" s="191"/>
      <c r="E4" s="191"/>
      <c r="F4" s="191"/>
      <c r="G4" s="191"/>
      <c r="H4" s="192"/>
      <c r="J4" s="79"/>
    </row>
    <row r="5" spans="1:10" x14ac:dyDescent="0.25">
      <c r="A5" s="50"/>
      <c r="B5" s="50"/>
      <c r="C5" s="50"/>
      <c r="D5" s="50"/>
      <c r="E5" s="50"/>
      <c r="F5" s="48"/>
      <c r="G5" s="48"/>
      <c r="I5" s="2"/>
    </row>
    <row r="6" spans="1:10" s="55" customFormat="1" ht="21.75" x14ac:dyDescent="0.25">
      <c r="A6" s="52" t="s">
        <v>293</v>
      </c>
      <c r="B6" s="53"/>
      <c r="C6" s="53"/>
      <c r="D6" s="53"/>
      <c r="E6" s="53"/>
      <c r="F6" s="53"/>
      <c r="G6" s="53"/>
    </row>
    <row r="7" spans="1:10" s="55" customFormat="1" ht="21.75" x14ac:dyDescent="0.25">
      <c r="A7" s="56"/>
      <c r="B7" s="57"/>
      <c r="C7" s="57"/>
      <c r="D7" s="57"/>
      <c r="E7" s="57"/>
      <c r="F7" s="59"/>
      <c r="G7" s="59"/>
    </row>
    <row r="8" spans="1:10" s="55" customFormat="1" ht="42" customHeight="1" x14ac:dyDescent="0.25">
      <c r="A8" s="63" t="s">
        <v>14</v>
      </c>
      <c r="B8" s="309" t="s">
        <v>5</v>
      </c>
      <c r="C8" s="310"/>
      <c r="D8" s="309" t="s">
        <v>18</v>
      </c>
      <c r="E8" s="310"/>
      <c r="F8" s="71" t="s">
        <v>16</v>
      </c>
      <c r="G8" s="59"/>
    </row>
    <row r="9" spans="1:10" s="55" customFormat="1" ht="21.75" x14ac:dyDescent="0.25">
      <c r="A9" s="66" t="s">
        <v>292</v>
      </c>
      <c r="B9" s="62">
        <v>2100</v>
      </c>
      <c r="C9" s="62" t="s">
        <v>291</v>
      </c>
      <c r="D9" s="67">
        <f>AREAS!E6*0.1</f>
        <v>790.78700000000003</v>
      </c>
      <c r="E9" s="67" t="s">
        <v>2</v>
      </c>
      <c r="F9" s="89">
        <f>D9*B9*1.1</f>
        <v>1826717.9700000004</v>
      </c>
      <c r="G9" s="57"/>
    </row>
    <row r="10" spans="1:10" s="55" customFormat="1" ht="21.75" x14ac:dyDescent="0.25">
      <c r="A10" s="66" t="s">
        <v>290</v>
      </c>
      <c r="B10" s="62">
        <v>10</v>
      </c>
      <c r="C10" s="62" t="s">
        <v>6</v>
      </c>
      <c r="D10" s="67">
        <f>B10*AREAS!E6</f>
        <v>79078.7</v>
      </c>
      <c r="E10" s="67" t="s">
        <v>374</v>
      </c>
      <c r="F10" s="89">
        <f>D10*1.1</f>
        <v>86986.57</v>
      </c>
      <c r="G10" s="57"/>
    </row>
    <row r="11" spans="1:10" s="55" customFormat="1" ht="21.75" x14ac:dyDescent="0.25">
      <c r="A11" s="66" t="s">
        <v>289</v>
      </c>
      <c r="B11" s="62">
        <v>15</v>
      </c>
      <c r="C11" s="62" t="s">
        <v>6</v>
      </c>
      <c r="D11" s="67">
        <f>B11*(AREAS!$E$6+2373)</f>
        <v>154213.04999999999</v>
      </c>
      <c r="E11" s="67" t="s">
        <v>374</v>
      </c>
      <c r="F11" s="89">
        <f t="shared" ref="F11:F16" si="0">D11*1.1</f>
        <v>169634.35500000001</v>
      </c>
      <c r="G11" s="57"/>
    </row>
    <row r="12" spans="1:10" s="55" customFormat="1" ht="21.75" x14ac:dyDescent="0.25">
      <c r="A12" s="66" t="s">
        <v>477</v>
      </c>
      <c r="B12" s="62">
        <v>23</v>
      </c>
      <c r="C12" s="62" t="s">
        <v>6</v>
      </c>
      <c r="D12" s="67">
        <f>B12*(AREAS!$E$6+2373)</f>
        <v>236460.00999999998</v>
      </c>
      <c r="E12" s="67" t="s">
        <v>374</v>
      </c>
      <c r="F12" s="89">
        <f t="shared" ref="F12" si="1">D12*1.1</f>
        <v>260106.011</v>
      </c>
      <c r="G12" s="57"/>
    </row>
    <row r="13" spans="1:10" s="55" customFormat="1" ht="21.75" x14ac:dyDescent="0.25">
      <c r="A13" s="66" t="s">
        <v>473</v>
      </c>
      <c r="B13" s="62">
        <f>172734.56/111.47</f>
        <v>1549.6058132232888</v>
      </c>
      <c r="C13" s="62" t="s">
        <v>474</v>
      </c>
      <c r="D13" s="67">
        <v>62.72</v>
      </c>
      <c r="E13" s="67" t="s">
        <v>457</v>
      </c>
      <c r="F13" s="89">
        <f>D13*B13*1.1</f>
        <v>106910.40426590115</v>
      </c>
      <c r="G13" s="57"/>
    </row>
    <row r="14" spans="1:10" s="55" customFormat="1" ht="21.75" x14ac:dyDescent="0.25">
      <c r="A14" s="66" t="s">
        <v>288</v>
      </c>
      <c r="B14" s="62">
        <v>4</v>
      </c>
      <c r="C14" s="62" t="s">
        <v>6</v>
      </c>
      <c r="D14" s="67">
        <f>B14*AREAS!$E$6</f>
        <v>31631.48</v>
      </c>
      <c r="E14" s="67" t="s">
        <v>374</v>
      </c>
      <c r="F14" s="89">
        <f t="shared" si="0"/>
        <v>34794.628000000004</v>
      </c>
      <c r="G14" s="57"/>
    </row>
    <row r="15" spans="1:10" s="55" customFormat="1" ht="21.75" x14ac:dyDescent="0.25">
      <c r="A15" s="66" t="s">
        <v>287</v>
      </c>
      <c r="B15" s="62">
        <v>3.5</v>
      </c>
      <c r="C15" s="62" t="s">
        <v>6</v>
      </c>
      <c r="D15" s="67">
        <f>B15*AREAS!$E$6</f>
        <v>27677.544999999998</v>
      </c>
      <c r="E15" s="67" t="s">
        <v>374</v>
      </c>
      <c r="F15" s="89">
        <f t="shared" si="0"/>
        <v>30445.299500000001</v>
      </c>
      <c r="G15" s="57"/>
    </row>
    <row r="16" spans="1:10" s="55" customFormat="1" ht="21.75" x14ac:dyDescent="0.25">
      <c r="A16" s="66" t="s">
        <v>286</v>
      </c>
      <c r="B16" s="62">
        <v>15</v>
      </c>
      <c r="C16" s="62" t="s">
        <v>6</v>
      </c>
      <c r="D16" s="67">
        <f>B16*AREAS!$E$6</f>
        <v>118618.05</v>
      </c>
      <c r="E16" s="67" t="s">
        <v>374</v>
      </c>
      <c r="F16" s="89">
        <f t="shared" si="0"/>
        <v>130479.85500000001</v>
      </c>
      <c r="G16" s="57"/>
    </row>
    <row r="17" spans="1:7" s="55" customFormat="1" ht="21.75" x14ac:dyDescent="0.25">
      <c r="A17" s="304" t="s">
        <v>17</v>
      </c>
      <c r="B17" s="304"/>
      <c r="C17" s="304"/>
      <c r="D17" s="110"/>
      <c r="E17" s="110"/>
      <c r="F17" s="90">
        <f>SUM(F9:F16)</f>
        <v>2646075.0927659017</v>
      </c>
      <c r="G17" s="60"/>
    </row>
    <row r="18" spans="1:7" s="55" customFormat="1" ht="21.75" x14ac:dyDescent="0.25">
      <c r="A18" s="308"/>
      <c r="B18" s="308"/>
      <c r="C18" s="308"/>
      <c r="D18" s="111"/>
      <c r="E18" s="111"/>
      <c r="F18" s="59"/>
      <c r="G18" s="59"/>
    </row>
    <row r="19" spans="1:7" ht="23.25" customHeight="1" x14ac:dyDescent="0.25">
      <c r="A19" s="301" t="s">
        <v>285</v>
      </c>
      <c r="B19" s="302"/>
      <c r="C19" s="303"/>
      <c r="D19" s="109"/>
      <c r="E19" s="109"/>
      <c r="F19" s="108">
        <f>F17</f>
        <v>2646075.0927659017</v>
      </c>
      <c r="G19" s="108">
        <f>F19/AREAS!E6</f>
        <v>334.61287208387364</v>
      </c>
    </row>
  </sheetData>
  <mergeCells count="6">
    <mergeCell ref="A19:C19"/>
    <mergeCell ref="B8:C8"/>
    <mergeCell ref="D8:E8"/>
    <mergeCell ref="A2:G2"/>
    <mergeCell ref="A17:C17"/>
    <mergeCell ref="A18:C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5" x14ac:dyDescent="0.25"/>
  <cols>
    <col min="1" max="1" width="106.5703125" bestFit="1" customWidth="1"/>
    <col min="3" max="3" width="15.7109375" bestFit="1" customWidth="1"/>
    <col min="4" max="4" width="8.85546875" style="3"/>
    <col min="7" max="7" width="14.85546875" bestFit="1" customWidth="1"/>
    <col min="8" max="8" width="9.28515625" style="3" bestFit="1" customWidth="1"/>
  </cols>
  <sheetData>
    <row r="2" spans="1:8" x14ac:dyDescent="0.25">
      <c r="A2" t="s">
        <v>42</v>
      </c>
      <c r="B2">
        <v>2</v>
      </c>
      <c r="C2" t="s">
        <v>89</v>
      </c>
      <c r="D2" s="3">
        <v>18.399999999999999</v>
      </c>
    </row>
    <row r="3" spans="1:8" x14ac:dyDescent="0.25">
      <c r="A3" t="s">
        <v>43</v>
      </c>
      <c r="B3">
        <v>2</v>
      </c>
      <c r="C3" t="s">
        <v>90</v>
      </c>
    </row>
    <row r="4" spans="1:8" x14ac:dyDescent="0.25">
      <c r="A4" t="s">
        <v>44</v>
      </c>
      <c r="B4">
        <v>1</v>
      </c>
      <c r="C4" t="s">
        <v>91</v>
      </c>
      <c r="D4" s="3">
        <v>3.4649999999999999</v>
      </c>
    </row>
    <row r="5" spans="1:8" x14ac:dyDescent="0.25">
      <c r="A5" t="s">
        <v>45</v>
      </c>
      <c r="B5">
        <v>1</v>
      </c>
      <c r="C5" t="s">
        <v>91</v>
      </c>
      <c r="D5" s="3">
        <v>1.7324999999999999</v>
      </c>
      <c r="G5" t="s">
        <v>95</v>
      </c>
      <c r="H5" s="3">
        <f>SUMIF(C:C,G5,D:D)</f>
        <v>400.52209999999991</v>
      </c>
    </row>
    <row r="6" spans="1:8" x14ac:dyDescent="0.25">
      <c r="A6" t="s">
        <v>46</v>
      </c>
      <c r="B6">
        <v>2</v>
      </c>
      <c r="C6" t="s">
        <v>91</v>
      </c>
      <c r="D6" s="3">
        <v>5.2751999999999999</v>
      </c>
      <c r="G6" t="s">
        <v>96</v>
      </c>
      <c r="H6" s="3">
        <f>SUMIF(C:C,G6,D:D)</f>
        <v>1895.0600000000002</v>
      </c>
    </row>
    <row r="7" spans="1:8" x14ac:dyDescent="0.25">
      <c r="A7" t="s">
        <v>47</v>
      </c>
      <c r="B7">
        <v>1</v>
      </c>
      <c r="C7" t="s">
        <v>91</v>
      </c>
      <c r="D7" s="3">
        <v>4.1916000000000002</v>
      </c>
      <c r="G7" t="s">
        <v>93</v>
      </c>
      <c r="H7" s="3">
        <f>SUMIF(C:C,G7,B:B)</f>
        <v>218</v>
      </c>
    </row>
    <row r="8" spans="1:8" x14ac:dyDescent="0.25">
      <c r="A8" t="s">
        <v>48</v>
      </c>
      <c r="B8">
        <v>1</v>
      </c>
      <c r="C8" t="s">
        <v>94</v>
      </c>
      <c r="G8" t="s">
        <v>90</v>
      </c>
      <c r="H8" s="3">
        <f>SUMIF(C:C,G8,B:B)</f>
        <v>60</v>
      </c>
    </row>
    <row r="9" spans="1:8" x14ac:dyDescent="0.25">
      <c r="A9" t="s">
        <v>49</v>
      </c>
      <c r="B9">
        <v>19</v>
      </c>
      <c r="C9" t="s">
        <v>93</v>
      </c>
      <c r="G9" t="s">
        <v>94</v>
      </c>
      <c r="H9" s="3">
        <f>SUMIF(C:C,G9,B:B)</f>
        <v>1</v>
      </c>
    </row>
    <row r="10" spans="1:8" x14ac:dyDescent="0.25">
      <c r="A10" t="s">
        <v>50</v>
      </c>
      <c r="B10">
        <v>3</v>
      </c>
      <c r="C10" t="s">
        <v>91</v>
      </c>
      <c r="D10" s="3">
        <v>6.3</v>
      </c>
      <c r="G10" t="s">
        <v>92</v>
      </c>
      <c r="H10" s="3">
        <f>SUMIF(C:C,G10,D:D)</f>
        <v>46.62</v>
      </c>
    </row>
    <row r="11" spans="1:8" x14ac:dyDescent="0.25">
      <c r="A11" t="s">
        <v>51</v>
      </c>
      <c r="B11">
        <v>2</v>
      </c>
      <c r="C11" t="s">
        <v>91</v>
      </c>
      <c r="D11" s="3">
        <v>3.78</v>
      </c>
      <c r="G11" t="s">
        <v>89</v>
      </c>
      <c r="H11" s="3">
        <f>SUMIF(C:C,G11,B:B)</f>
        <v>2</v>
      </c>
    </row>
    <row r="12" spans="1:8" x14ac:dyDescent="0.25">
      <c r="A12" t="s">
        <v>52</v>
      </c>
      <c r="B12">
        <v>1</v>
      </c>
      <c r="C12" t="s">
        <v>91</v>
      </c>
      <c r="D12" s="3">
        <v>2.0076000000000001</v>
      </c>
      <c r="G12" t="s">
        <v>97</v>
      </c>
      <c r="H12" s="3">
        <f>SUMIF(C:C,G12,D:D)</f>
        <v>113.88000000000002</v>
      </c>
    </row>
    <row r="13" spans="1:8" x14ac:dyDescent="0.25">
      <c r="A13" t="s">
        <v>53</v>
      </c>
      <c r="C13" t="s">
        <v>96</v>
      </c>
      <c r="D13" s="3">
        <v>23.4526</v>
      </c>
      <c r="G13" t="s">
        <v>98</v>
      </c>
      <c r="H13" s="3">
        <v>109.3146</v>
      </c>
    </row>
    <row r="14" spans="1:8" x14ac:dyDescent="0.25">
      <c r="A14" t="s">
        <v>54</v>
      </c>
      <c r="C14" t="s">
        <v>95</v>
      </c>
      <c r="D14" s="3">
        <v>20.8062</v>
      </c>
    </row>
    <row r="15" spans="1:8" x14ac:dyDescent="0.25">
      <c r="A15" t="s">
        <v>55</v>
      </c>
      <c r="B15">
        <v>8</v>
      </c>
      <c r="C15" t="s">
        <v>90</v>
      </c>
    </row>
    <row r="16" spans="1:8" x14ac:dyDescent="0.25">
      <c r="A16" t="s">
        <v>56</v>
      </c>
      <c r="C16" t="s">
        <v>96</v>
      </c>
      <c r="D16" s="3">
        <v>124.1564</v>
      </c>
    </row>
    <row r="17" spans="1:4" x14ac:dyDescent="0.25">
      <c r="A17" t="s">
        <v>57</v>
      </c>
      <c r="B17">
        <v>2</v>
      </c>
      <c r="C17" t="s">
        <v>90</v>
      </c>
    </row>
    <row r="18" spans="1:4" x14ac:dyDescent="0.25">
      <c r="A18" t="s">
        <v>58</v>
      </c>
      <c r="B18">
        <v>2</v>
      </c>
      <c r="C18" t="s">
        <v>92</v>
      </c>
      <c r="D18" s="3">
        <v>2.94</v>
      </c>
    </row>
    <row r="19" spans="1:4" x14ac:dyDescent="0.25">
      <c r="A19" t="s">
        <v>59</v>
      </c>
      <c r="B19">
        <v>2</v>
      </c>
      <c r="C19" t="s">
        <v>92</v>
      </c>
      <c r="D19" s="3">
        <v>3.78</v>
      </c>
    </row>
    <row r="20" spans="1:4" x14ac:dyDescent="0.25">
      <c r="A20" t="s">
        <v>60</v>
      </c>
      <c r="B20">
        <v>5</v>
      </c>
      <c r="C20" t="s">
        <v>93</v>
      </c>
    </row>
    <row r="21" spans="1:4" x14ac:dyDescent="0.25">
      <c r="A21" t="s">
        <v>61</v>
      </c>
      <c r="B21">
        <v>1</v>
      </c>
      <c r="C21" t="s">
        <v>96</v>
      </c>
      <c r="D21" s="3">
        <v>14.7348</v>
      </c>
    </row>
    <row r="22" spans="1:4" x14ac:dyDescent="0.25">
      <c r="A22" t="s">
        <v>62</v>
      </c>
      <c r="C22" t="s">
        <v>96</v>
      </c>
      <c r="D22" s="3">
        <v>45.024799999999999</v>
      </c>
    </row>
    <row r="23" spans="1:4" x14ac:dyDescent="0.25">
      <c r="A23" t="s">
        <v>63</v>
      </c>
      <c r="C23" t="s">
        <v>95</v>
      </c>
      <c r="D23" s="3">
        <v>19.8809</v>
      </c>
    </row>
    <row r="24" spans="1:4" x14ac:dyDescent="0.25">
      <c r="A24" t="s">
        <v>64</v>
      </c>
      <c r="B24">
        <v>38</v>
      </c>
      <c r="C24" t="s">
        <v>90</v>
      </c>
    </row>
    <row r="25" spans="1:4" x14ac:dyDescent="0.25">
      <c r="A25" t="s">
        <v>65</v>
      </c>
      <c r="B25">
        <v>171</v>
      </c>
      <c r="C25" t="s">
        <v>93</v>
      </c>
    </row>
    <row r="26" spans="1:4" x14ac:dyDescent="0.25">
      <c r="A26" t="s">
        <v>66</v>
      </c>
      <c r="B26">
        <v>19</v>
      </c>
      <c r="C26" t="s">
        <v>92</v>
      </c>
      <c r="D26" s="3">
        <v>23.94</v>
      </c>
    </row>
    <row r="27" spans="1:4" x14ac:dyDescent="0.25">
      <c r="A27" t="s">
        <v>67</v>
      </c>
      <c r="B27">
        <v>19</v>
      </c>
      <c r="C27" t="s">
        <v>96</v>
      </c>
      <c r="D27" s="3">
        <v>482.98950000000002</v>
      </c>
    </row>
    <row r="28" spans="1:4" x14ac:dyDescent="0.25">
      <c r="A28" t="s">
        <v>68</v>
      </c>
      <c r="B28">
        <v>19</v>
      </c>
      <c r="C28" t="s">
        <v>96</v>
      </c>
      <c r="D28" s="3">
        <v>338.7396</v>
      </c>
    </row>
    <row r="29" spans="1:4" x14ac:dyDescent="0.25">
      <c r="A29" t="s">
        <v>69</v>
      </c>
      <c r="C29" t="s">
        <v>96</v>
      </c>
      <c r="D29" s="3">
        <v>530.63199999999995</v>
      </c>
    </row>
    <row r="30" spans="1:4" x14ac:dyDescent="0.25">
      <c r="A30" t="s">
        <v>70</v>
      </c>
      <c r="C30" t="s">
        <v>97</v>
      </c>
      <c r="D30" s="3">
        <v>90.155000000000001</v>
      </c>
    </row>
    <row r="31" spans="1:4" x14ac:dyDescent="0.25">
      <c r="A31" t="s">
        <v>71</v>
      </c>
      <c r="C31" t="s">
        <v>95</v>
      </c>
      <c r="D31" s="3">
        <v>297.255</v>
      </c>
    </row>
    <row r="32" spans="1:4" x14ac:dyDescent="0.25">
      <c r="A32" t="s">
        <v>57</v>
      </c>
      <c r="B32">
        <v>2</v>
      </c>
      <c r="C32" t="s">
        <v>90</v>
      </c>
    </row>
    <row r="33" spans="1:4" x14ac:dyDescent="0.25">
      <c r="A33" t="s">
        <v>72</v>
      </c>
      <c r="B33">
        <v>2</v>
      </c>
      <c r="C33" t="s">
        <v>93</v>
      </c>
    </row>
    <row r="34" spans="1:4" x14ac:dyDescent="0.25">
      <c r="A34" t="s">
        <v>73</v>
      </c>
      <c r="B34">
        <v>1</v>
      </c>
      <c r="C34" t="s">
        <v>92</v>
      </c>
      <c r="D34" s="3">
        <v>1.26</v>
      </c>
    </row>
    <row r="35" spans="1:4" x14ac:dyDescent="0.25">
      <c r="A35" t="s">
        <v>74</v>
      </c>
      <c r="B35">
        <v>1</v>
      </c>
      <c r="C35" t="s">
        <v>96</v>
      </c>
      <c r="D35" s="3">
        <v>15.21</v>
      </c>
    </row>
    <row r="36" spans="1:4" x14ac:dyDescent="0.25">
      <c r="A36" t="s">
        <v>75</v>
      </c>
      <c r="B36">
        <v>1</v>
      </c>
      <c r="C36" t="s">
        <v>96</v>
      </c>
      <c r="D36" s="3">
        <v>25.420500000000001</v>
      </c>
    </row>
    <row r="37" spans="1:4" x14ac:dyDescent="0.25">
      <c r="A37" t="s">
        <v>76</v>
      </c>
      <c r="B37">
        <v>1</v>
      </c>
      <c r="C37" t="s">
        <v>96</v>
      </c>
      <c r="D37" s="3">
        <v>17.828399999999998</v>
      </c>
    </row>
    <row r="38" spans="1:4" x14ac:dyDescent="0.25">
      <c r="A38" t="s">
        <v>77</v>
      </c>
      <c r="C38" t="s">
        <v>96</v>
      </c>
      <c r="D38" s="3">
        <v>27.928000000000001</v>
      </c>
    </row>
    <row r="39" spans="1:4" x14ac:dyDescent="0.25">
      <c r="A39" t="s">
        <v>78</v>
      </c>
      <c r="C39" t="s">
        <v>97</v>
      </c>
      <c r="D39" s="3">
        <v>4.7450000000000001</v>
      </c>
    </row>
    <row r="40" spans="1:4" x14ac:dyDescent="0.25">
      <c r="A40" t="s">
        <v>79</v>
      </c>
      <c r="C40" t="s">
        <v>95</v>
      </c>
      <c r="D40" s="3">
        <v>15.645</v>
      </c>
    </row>
    <row r="41" spans="1:4" x14ac:dyDescent="0.25">
      <c r="A41" t="s">
        <v>57</v>
      </c>
      <c r="B41">
        <v>2</v>
      </c>
      <c r="C41" t="s">
        <v>90</v>
      </c>
    </row>
    <row r="42" spans="1:4" x14ac:dyDescent="0.25">
      <c r="A42" t="s">
        <v>80</v>
      </c>
      <c r="B42">
        <v>7</v>
      </c>
      <c r="C42" t="s">
        <v>93</v>
      </c>
    </row>
    <row r="43" spans="1:4" x14ac:dyDescent="0.25">
      <c r="A43" t="s">
        <v>81</v>
      </c>
      <c r="B43">
        <v>2</v>
      </c>
      <c r="C43" t="s">
        <v>93</v>
      </c>
    </row>
    <row r="44" spans="1:4" x14ac:dyDescent="0.25">
      <c r="A44" t="s">
        <v>75</v>
      </c>
      <c r="B44">
        <v>1</v>
      </c>
      <c r="C44" t="s">
        <v>96</v>
      </c>
      <c r="D44" s="3">
        <v>25.420500000000001</v>
      </c>
    </row>
    <row r="45" spans="1:4" x14ac:dyDescent="0.25">
      <c r="A45" t="s">
        <v>76</v>
      </c>
      <c r="B45">
        <v>1</v>
      </c>
      <c r="C45" t="s">
        <v>96</v>
      </c>
      <c r="D45" s="3">
        <v>17.828399999999998</v>
      </c>
    </row>
    <row r="46" spans="1:4" x14ac:dyDescent="0.25">
      <c r="A46" t="s">
        <v>82</v>
      </c>
      <c r="C46" t="s">
        <v>96</v>
      </c>
      <c r="D46" s="3">
        <v>26.827999999999999</v>
      </c>
    </row>
    <row r="47" spans="1:4" x14ac:dyDescent="0.25">
      <c r="A47" t="s">
        <v>78</v>
      </c>
      <c r="C47" t="s">
        <v>97</v>
      </c>
      <c r="D47" s="3">
        <v>4.7450000000000001</v>
      </c>
    </row>
    <row r="48" spans="1:4" x14ac:dyDescent="0.25">
      <c r="A48" t="s">
        <v>79</v>
      </c>
      <c r="C48" t="s">
        <v>95</v>
      </c>
      <c r="D48" s="3">
        <v>15.645</v>
      </c>
    </row>
    <row r="49" spans="1:4" x14ac:dyDescent="0.25">
      <c r="A49" t="s">
        <v>57</v>
      </c>
      <c r="B49">
        <v>2</v>
      </c>
      <c r="C49" t="s">
        <v>90</v>
      </c>
    </row>
    <row r="50" spans="1:4" x14ac:dyDescent="0.25">
      <c r="A50" t="s">
        <v>83</v>
      </c>
      <c r="B50">
        <v>4</v>
      </c>
      <c r="C50" t="s">
        <v>93</v>
      </c>
    </row>
    <row r="51" spans="1:4" x14ac:dyDescent="0.25">
      <c r="A51" t="s">
        <v>73</v>
      </c>
      <c r="B51">
        <v>1</v>
      </c>
      <c r="C51" t="s">
        <v>92</v>
      </c>
      <c r="D51" s="3">
        <v>1.26</v>
      </c>
    </row>
    <row r="52" spans="1:4" x14ac:dyDescent="0.25">
      <c r="A52" t="s">
        <v>84</v>
      </c>
      <c r="B52">
        <v>1</v>
      </c>
      <c r="C52" t="s">
        <v>93</v>
      </c>
    </row>
    <row r="53" spans="1:4" x14ac:dyDescent="0.25">
      <c r="A53" t="s">
        <v>85</v>
      </c>
      <c r="B53">
        <v>1</v>
      </c>
      <c r="C53" t="s">
        <v>92</v>
      </c>
      <c r="D53" s="3">
        <v>10.5</v>
      </c>
    </row>
    <row r="54" spans="1:4" x14ac:dyDescent="0.25">
      <c r="A54" t="s">
        <v>75</v>
      </c>
      <c r="B54">
        <v>1</v>
      </c>
      <c r="C54" t="s">
        <v>96</v>
      </c>
      <c r="D54" s="3">
        <v>25.420500000000001</v>
      </c>
    </row>
    <row r="55" spans="1:4" x14ac:dyDescent="0.25">
      <c r="A55" t="s">
        <v>76</v>
      </c>
      <c r="B55">
        <v>1</v>
      </c>
      <c r="C55" t="s">
        <v>96</v>
      </c>
      <c r="D55" s="3">
        <v>17.828399999999998</v>
      </c>
    </row>
    <row r="56" spans="1:4" x14ac:dyDescent="0.25">
      <c r="A56" t="s">
        <v>77</v>
      </c>
      <c r="C56" t="s">
        <v>96</v>
      </c>
      <c r="D56" s="3">
        <v>27.928000000000001</v>
      </c>
    </row>
    <row r="57" spans="1:4" x14ac:dyDescent="0.25">
      <c r="A57" t="s">
        <v>78</v>
      </c>
      <c r="C57" t="s">
        <v>97</v>
      </c>
      <c r="D57" s="3">
        <v>4.7450000000000001</v>
      </c>
    </row>
    <row r="58" spans="1:4" x14ac:dyDescent="0.25">
      <c r="A58" t="s">
        <v>79</v>
      </c>
      <c r="C58" t="s">
        <v>95</v>
      </c>
      <c r="D58" s="3">
        <v>15.645</v>
      </c>
    </row>
    <row r="59" spans="1:4" x14ac:dyDescent="0.25">
      <c r="A59" t="s">
        <v>57</v>
      </c>
      <c r="B59">
        <v>2</v>
      </c>
      <c r="C59" t="s">
        <v>90</v>
      </c>
    </row>
    <row r="60" spans="1:4" x14ac:dyDescent="0.25">
      <c r="A60" t="s">
        <v>80</v>
      </c>
      <c r="B60">
        <v>7</v>
      </c>
      <c r="C60" t="s">
        <v>93</v>
      </c>
    </row>
    <row r="61" spans="1:4" x14ac:dyDescent="0.25">
      <c r="A61" t="s">
        <v>86</v>
      </c>
      <c r="B61">
        <v>1</v>
      </c>
      <c r="C61" t="s">
        <v>96</v>
      </c>
      <c r="D61" s="3">
        <v>5.61</v>
      </c>
    </row>
    <row r="62" spans="1:4" x14ac:dyDescent="0.25">
      <c r="A62" t="s">
        <v>87</v>
      </c>
      <c r="C62" t="s">
        <v>96</v>
      </c>
      <c r="D62" s="3">
        <v>69.707599999999999</v>
      </c>
    </row>
    <row r="63" spans="1:4" x14ac:dyDescent="0.25">
      <c r="A63" t="s">
        <v>78</v>
      </c>
      <c r="C63" t="s">
        <v>97</v>
      </c>
      <c r="D63" s="3">
        <v>4.7450000000000001</v>
      </c>
    </row>
    <row r="64" spans="1:4" x14ac:dyDescent="0.25">
      <c r="A64" t="s">
        <v>79</v>
      </c>
      <c r="C64" t="s">
        <v>95</v>
      </c>
      <c r="D64" s="3">
        <v>15.645</v>
      </c>
    </row>
    <row r="65" spans="1:4" x14ac:dyDescent="0.25">
      <c r="A65" t="s">
        <v>57</v>
      </c>
      <c r="B65">
        <v>2</v>
      </c>
      <c r="C65" t="s">
        <v>90</v>
      </c>
    </row>
    <row r="66" spans="1:4" x14ac:dyDescent="0.25">
      <c r="A66" t="s">
        <v>58</v>
      </c>
      <c r="B66">
        <v>2</v>
      </c>
      <c r="C66" t="s">
        <v>92</v>
      </c>
      <c r="D66" s="3">
        <v>2.94</v>
      </c>
    </row>
    <row r="67" spans="1:4" x14ac:dyDescent="0.25">
      <c r="A67" t="s">
        <v>88</v>
      </c>
      <c r="C67" t="s">
        <v>96</v>
      </c>
      <c r="D67" s="3">
        <v>32.372</v>
      </c>
    </row>
    <row r="68" spans="1:4" x14ac:dyDescent="0.25">
      <c r="A68" t="s">
        <v>78</v>
      </c>
      <c r="C68" t="s">
        <v>97</v>
      </c>
      <c r="D68" s="3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20</vt:i4>
      </vt:variant>
      <vt:variant>
        <vt:lpstr>Intervalos Nomeados</vt:lpstr>
      </vt:variant>
      <vt:variant>
        <vt:i4>29</vt:i4>
      </vt:variant>
    </vt:vector>
  </HeadingPairs>
  <TitlesOfParts>
    <vt:vector size="49" baseType="lpstr">
      <vt:lpstr>DADOS_INICIAIS</vt:lpstr>
      <vt:lpstr>AREAS</vt:lpstr>
      <vt:lpstr>MOVIMENTAÇÃO_DE_TERRA</vt:lpstr>
      <vt:lpstr>CONTENÇÕES</vt:lpstr>
      <vt:lpstr>INFRAESTRUTURA</vt:lpstr>
      <vt:lpstr>SUPRAESTRUTURA</vt:lpstr>
      <vt:lpstr>ALVENARIA</vt:lpstr>
      <vt:lpstr>INSTALAÇÕES</vt:lpstr>
      <vt:lpstr>SISTEMAS ESPECIAIS</vt:lpstr>
      <vt:lpstr>IMPERMEABILIZAÇÃO</vt:lpstr>
      <vt:lpstr>AMBIENTES</vt:lpstr>
      <vt:lpstr>Rev. Internos Piso e Parede</vt:lpstr>
      <vt:lpstr>TETO</vt:lpstr>
      <vt:lpstr>Acabamentos de Piso e Parede</vt:lpstr>
      <vt:lpstr>PINTURA INTERNA</vt:lpstr>
      <vt:lpstr>ESQUADRIAS</vt:lpstr>
      <vt:lpstr>COBERTURA</vt:lpstr>
      <vt:lpstr>Rev. Fachada</vt:lpstr>
      <vt:lpstr>COMPLEMENTARES</vt:lpstr>
      <vt:lpstr>Auxiliar</vt:lpstr>
      <vt:lpstr>'Acabamentos de Piso e Parede'!Area_de_impressao</vt:lpstr>
      <vt:lpstr>ALVENARIA!Area_de_impressao</vt:lpstr>
      <vt:lpstr>COBERTURA!Area_de_impressao</vt:lpstr>
      <vt:lpstr>COMPLEMENTARES!Area_de_impressao</vt:lpstr>
      <vt:lpstr>CONTENÇÕES!Area_de_impressao</vt:lpstr>
      <vt:lpstr>DADOS_INICIAIS!Area_de_impressao</vt:lpstr>
      <vt:lpstr>ESQUADRIAS!Area_de_impressao</vt:lpstr>
      <vt:lpstr>IMPERMEABILIZAÇÃO!Area_de_impressao</vt:lpstr>
      <vt:lpstr>INFRAESTRUTURA!Area_de_impressao</vt:lpstr>
      <vt:lpstr>INSTALAÇÕES!Area_de_impressao</vt:lpstr>
      <vt:lpstr>MOVIMENTAÇÃO_DE_TERRA!Area_de_impressao</vt:lpstr>
      <vt:lpstr>'PINTURA INTERNA'!Area_de_impressao</vt:lpstr>
      <vt:lpstr>'Rev. Fachada'!Area_de_impressao</vt:lpstr>
      <vt:lpstr>'Rev. Internos Piso e Parede'!Area_de_impressao</vt:lpstr>
      <vt:lpstr>'SISTEMAS ESPECIAIS'!Area_de_impressao</vt:lpstr>
      <vt:lpstr>SUPRAESTRUTURA!Area_de_impressao</vt:lpstr>
      <vt:lpstr>TETO!Area_de_impressao</vt:lpstr>
      <vt:lpstr>'Acabamentos de Piso e Parede'!Titulos_de_impressao</vt:lpstr>
      <vt:lpstr>ALVENARIA!Titulos_de_impressao</vt:lpstr>
      <vt:lpstr>CONTENÇÕES!Titulos_de_impressao</vt:lpstr>
      <vt:lpstr>DADOS_INICIAIS!Titulos_de_impressao</vt:lpstr>
      <vt:lpstr>ESQUADRIAS!Titulos_de_impressao</vt:lpstr>
      <vt:lpstr>IMPERMEABILIZAÇÃO!Titulos_de_impressao</vt:lpstr>
      <vt:lpstr>INFRAESTRUTURA!Titulos_de_impressao</vt:lpstr>
      <vt:lpstr>'PINTURA INTERNA'!Titulos_de_impressao</vt:lpstr>
      <vt:lpstr>'Rev. Fachada'!Titulos_de_impressao</vt:lpstr>
      <vt:lpstr>'Rev. Internos Piso e Parede'!Titulos_de_impressao</vt:lpstr>
      <vt:lpstr>SUPRAESTRUTURA!Titulos_de_impressao</vt:lpstr>
      <vt:lpstr>TETO!Titulos_de_impressao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Patricia Bragatto</cp:lastModifiedBy>
  <cp:lastPrinted>2020-09-28T02:21:03Z</cp:lastPrinted>
  <dcterms:created xsi:type="dcterms:W3CDTF">2013-07-31T19:52:57Z</dcterms:created>
  <dcterms:modified xsi:type="dcterms:W3CDTF">2025-02-11T18:57:51Z</dcterms:modified>
</cp:coreProperties>
</file>