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Pass-e Empreendimentos\Connect\04. Custo\03.0 Custo - Orçamento Paramétrico\R01\"/>
    </mc:Choice>
  </mc:AlternateContent>
  <xr:revisionPtr revIDLastSave="0" documentId="13_ncr:1_{3278C66C-4877-46B4-B970-126EAF4306D7}" xr6:coauthVersionLast="47" xr6:coauthVersionMax="47" xr10:uidLastSave="{00000000-0000-0000-0000-000000000000}"/>
  <bookViews>
    <workbookView xWindow="-23148" yWindow="-48" windowWidth="23256" windowHeight="12456" tabRatio="849" activeTab="4" xr2:uid="{00000000-000D-0000-FFFF-FFFF00000000}"/>
  </bookViews>
  <sheets>
    <sheet name="DADOS_INICIAIS" sheetId="46" r:id="rId1"/>
    <sheet name="MOVIMENTAÇÃO_DE_TERRA" sheetId="47" r:id="rId2"/>
    <sheet name="CONTENÇÕES" sheetId="49" state="hidden" r:id="rId3"/>
    <sheet name="INFRAESTRUTURA" sheetId="21" r:id="rId4"/>
    <sheet name="SUPRAESTRUTURA" sheetId="48" r:id="rId5"/>
    <sheet name="ALVENARIA" sheetId="61" r:id="rId6"/>
    <sheet name="INSTALAÇÕES" sheetId="58" r:id="rId7"/>
    <sheet name="SISTEMAS ESPECIAIS" sheetId="59" r:id="rId8"/>
    <sheet name="IMPERMEABILIZAÇÃO" sheetId="62" r:id="rId9"/>
    <sheet name="Rev. Internos Piso e Parede" sheetId="51" r:id="rId10"/>
    <sheet name="TETO" sheetId="63" r:id="rId11"/>
    <sheet name="Acabamentos de Piso e Parede" sheetId="53" r:id="rId12"/>
    <sheet name="PINTURA INTERNA" sheetId="64" r:id="rId13"/>
    <sheet name="ESQUADRIAS" sheetId="65" r:id="rId14"/>
    <sheet name="COBERTURA" sheetId="66" r:id="rId15"/>
    <sheet name="Rev. Fachada" sheetId="55" r:id="rId16"/>
    <sheet name="COMPLEMENTARES" sheetId="60" r:id="rId17"/>
    <sheet name="Auxiliar" sheetId="36" state="hidden" r:id="rId18"/>
  </sheets>
  <externalReferences>
    <externalReference r:id="rId19"/>
    <externalReference r:id="rId20"/>
    <externalReference r:id="rId21"/>
  </externalReferences>
  <definedNames>
    <definedName name="\0" localSheetId="14">#REF!</definedName>
    <definedName name="\0" localSheetId="16">#REF!</definedName>
    <definedName name="\0" localSheetId="0">#REF!</definedName>
    <definedName name="\0" localSheetId="6">#REF!</definedName>
    <definedName name="\0" localSheetId="1">#REF!</definedName>
    <definedName name="\0" localSheetId="7">#REF!</definedName>
    <definedName name="\0">#REF!</definedName>
    <definedName name="\a" localSheetId="0">#REF!</definedName>
    <definedName name="\a">#REF!</definedName>
    <definedName name="\m" localSheetId="0">#REF!</definedName>
    <definedName name="\m">#REF!</definedName>
    <definedName name="_xlnm._FilterDatabase" localSheetId="17" hidden="1">Auxiliar!$A$1:$D$68</definedName>
    <definedName name="_xlnm._FilterDatabase" localSheetId="0" hidden="1">DADOS_INICIAIS!#REF!</definedName>
    <definedName name="aa" localSheetId="0">#REF!</definedName>
    <definedName name="aa">#REF!</definedName>
    <definedName name="aaaa" localSheetId="14">'[1]M.O.'!#REF!</definedName>
    <definedName name="aaaa" localSheetId="16">'[1]M.O.'!#REF!</definedName>
    <definedName name="aaaa" localSheetId="0">'[1]M.O.'!#REF!</definedName>
    <definedName name="aaaa" localSheetId="6">'[1]M.O.'!#REF!</definedName>
    <definedName name="aaaa" localSheetId="1">'[1]M.O.'!#REF!</definedName>
    <definedName name="aaaa" localSheetId="7">'[1]M.O.'!#REF!</definedName>
    <definedName name="aaaa">'[1]M.O.'!#REF!</definedName>
    <definedName name="angelo" localSheetId="14">[2]Geral!#REF!</definedName>
    <definedName name="angelo" localSheetId="16">[2]Geral!#REF!</definedName>
    <definedName name="angelo" localSheetId="0">[2]Geral!#REF!</definedName>
    <definedName name="angelo" localSheetId="6">[2]Geral!#REF!</definedName>
    <definedName name="angelo" localSheetId="1">[2]Geral!#REF!</definedName>
    <definedName name="angelo" localSheetId="7">[2]Geral!#REF!</definedName>
    <definedName name="angelo">[2]Geral!#REF!</definedName>
    <definedName name="area">#REF!</definedName>
    <definedName name="_xlnm.Print_Area" localSheetId="11">'Acabamentos de Piso e Parede'!$A$1:$H$28</definedName>
    <definedName name="_xlnm.Print_Area" localSheetId="5">ALVENARIA!$A$1:$I$19</definedName>
    <definedName name="_xlnm.Print_Area" localSheetId="14">COBERTURA!$A$1:$H$15</definedName>
    <definedName name="_xlnm.Print_Area" localSheetId="16">COMPLEMENTARES!$A$1:$G$18</definedName>
    <definedName name="_xlnm.Print_Area" localSheetId="2">CONTENÇÕES!$A$1:$I$45</definedName>
    <definedName name="_xlnm.Print_Area" localSheetId="0">DADOS_INICIAIS!$A$1:$G$28</definedName>
    <definedName name="_xlnm.Print_Area" localSheetId="13">ESQUADRIAS!$A$1:$I$22</definedName>
    <definedName name="_xlnm.Print_Area" localSheetId="8">IMPERMEABILIZAÇÃO!$A$1:$I$20</definedName>
    <definedName name="_xlnm.Print_Area" localSheetId="3">INFRAESTRUTURA!$A$1:$I$34</definedName>
    <definedName name="_xlnm.Print_Area" localSheetId="6">INSTALAÇÕES!$A$1:$E$33</definedName>
    <definedName name="_xlnm.Print_Area" localSheetId="1">MOVIMENTAÇÃO_DE_TERRA!$A$1:$G$25</definedName>
    <definedName name="_xlnm.Print_Area" localSheetId="12">'PINTURA INTERNA'!$A$1:$I$15</definedName>
    <definedName name="_xlnm.Print_Area" localSheetId="15">'Rev. Fachada'!$A$1:$H$25</definedName>
    <definedName name="_xlnm.Print_Area" localSheetId="9">'Rev. Internos Piso e Parede'!$A$1:$H$22</definedName>
    <definedName name="_xlnm.Print_Area" localSheetId="7">'SISTEMAS ESPECIAIS'!$A$1:$E$35</definedName>
    <definedName name="_xlnm.Print_Area" localSheetId="4">SUPRAESTRUTURA!$A$1:$I$18</definedName>
    <definedName name="_xlnm.Print_Area" localSheetId="10">TETO!$A$1:$I$15</definedName>
    <definedName name="_xlnm.Print_Area">#REF!</definedName>
    <definedName name="aux" localSheetId="14">#REF!</definedName>
    <definedName name="aux" localSheetId="16">#REF!</definedName>
    <definedName name="aux" localSheetId="0">#REF!</definedName>
    <definedName name="aux" localSheetId="6">#REF!</definedName>
    <definedName name="aux" localSheetId="1">#REF!</definedName>
    <definedName name="aux" localSheetId="7">#REF!</definedName>
    <definedName name="aux">#REF!</definedName>
    <definedName name="BDA" localSheetId="0">#REF!</definedName>
    <definedName name="BDA">#REF!</definedName>
    <definedName name="BDI">#REF!</definedName>
    <definedName name="ca">#REF!</definedName>
    <definedName name="Capa">#REF!</definedName>
    <definedName name="cronograma">#REF!</definedName>
    <definedName name="D">#REF!</definedName>
    <definedName name="direto">#REF!</definedName>
    <definedName name="DRE">#REF!</definedName>
    <definedName name="ea">#REF!</definedName>
    <definedName name="eee" localSheetId="14" hidden="1">{#N/A,#N/A,FALSE,"ET-CAPA";#N/A,#N/A,FALSE,"ET-PAG1";#N/A,#N/A,FALSE,"ET-PAG2";#N/A,#N/A,FALSE,"ET-PAG3";#N/A,#N/A,FALSE,"ET-PAG4";#N/A,#N/A,FALSE,"ET-PAG5"}</definedName>
    <definedName name="eee" localSheetId="16" hidden="1">{#N/A,#N/A,FALSE,"ET-CAPA";#N/A,#N/A,FALSE,"ET-PAG1";#N/A,#N/A,FALSE,"ET-PAG2";#N/A,#N/A,FALSE,"ET-PAG3";#N/A,#N/A,FALSE,"ET-PAG4";#N/A,#N/A,FALSE,"ET-PAG5"}</definedName>
    <definedName name="eee" localSheetId="0" hidden="1">{#N/A,#N/A,FALSE,"ET-CAPA";#N/A,#N/A,FALSE,"ET-PAG1";#N/A,#N/A,FALSE,"ET-PAG2";#N/A,#N/A,FALSE,"ET-PAG3";#N/A,#N/A,FALSE,"ET-PAG4";#N/A,#N/A,FALSE,"ET-PAG5"}</definedName>
    <definedName name="eee" localSheetId="6" hidden="1">{#N/A,#N/A,FALSE,"ET-CAPA";#N/A,#N/A,FALSE,"ET-PAG1";#N/A,#N/A,FALSE,"ET-PAG2";#N/A,#N/A,FALSE,"ET-PAG3";#N/A,#N/A,FALSE,"ET-PAG4";#N/A,#N/A,FALSE,"ET-PAG5"}</definedName>
    <definedName name="eee" localSheetId="1" hidden="1">{#N/A,#N/A,FALSE,"ET-CAPA";#N/A,#N/A,FALSE,"ET-PAG1";#N/A,#N/A,FALSE,"ET-PAG2";#N/A,#N/A,FALSE,"ET-PAG3";#N/A,#N/A,FALSE,"ET-PAG4";#N/A,#N/A,FALSE,"ET-PAG5"}</definedName>
    <definedName name="eee" localSheetId="7" hidden="1">{#N/A,#N/A,FALSE,"ET-CAPA";#N/A,#N/A,FALSE,"ET-PAG1";#N/A,#N/A,FALSE,"ET-PAG2";#N/A,#N/A,FALSE,"ET-PAG3";#N/A,#N/A,FALSE,"ET-PAG4";#N/A,#N/A,FALSE,"ET-PAG5"}</definedName>
    <definedName name="eee" hidden="1">{#N/A,#N/A,FALSE,"ET-CAPA";#N/A,#N/A,FALSE,"ET-PAG1";#N/A,#N/A,FALSE,"ET-PAG2";#N/A,#N/A,FALSE,"ET-PAG3";#N/A,#N/A,FALSE,"ET-PAG4";#N/A,#N/A,FALSE,"ET-PAG5"}</definedName>
    <definedName name="FFFFFFF" localSheetId="14">#REF!</definedName>
    <definedName name="FFFFFFF" localSheetId="16">#REF!</definedName>
    <definedName name="FFFFFFF" localSheetId="0">#REF!</definedName>
    <definedName name="FFFFFFF" localSheetId="6">#REF!</definedName>
    <definedName name="FFFFFFF" localSheetId="1">#REF!</definedName>
    <definedName name="FFFFFFF" localSheetId="7">#REF!</definedName>
    <definedName name="FFFFFFF">#REF!</definedName>
    <definedName name="item_1" localSheetId="14">#REF!</definedName>
    <definedName name="item_1" localSheetId="16">#REF!</definedName>
    <definedName name="item_1" localSheetId="0">#REF!</definedName>
    <definedName name="item_1" localSheetId="6">#REF!</definedName>
    <definedName name="item_1" localSheetId="1">#REF!</definedName>
    <definedName name="item_1" localSheetId="7">#REF!</definedName>
    <definedName name="item_1">#REF!</definedName>
    <definedName name="LS" localSheetId="14">'[1]M.O.'!#REF!</definedName>
    <definedName name="LS" localSheetId="16">'[1]M.O.'!#REF!</definedName>
    <definedName name="LS" localSheetId="0">'[1]M.O.'!#REF!</definedName>
    <definedName name="LS" localSheetId="6">'[1]M.O.'!#REF!</definedName>
    <definedName name="LS" localSheetId="1">'[1]M.O.'!#REF!</definedName>
    <definedName name="LS" localSheetId="7">'[1]M.O.'!#REF!</definedName>
    <definedName name="LS">'[1]M.O.'!#REF!</definedName>
    <definedName name="MENU" localSheetId="14">#REF!</definedName>
    <definedName name="MENU" localSheetId="16">#REF!</definedName>
    <definedName name="MENU" localSheetId="0">#REF!</definedName>
    <definedName name="MENU" localSheetId="6">#REF!</definedName>
    <definedName name="MENU" localSheetId="1">#REF!</definedName>
    <definedName name="MENU" localSheetId="7">#REF!</definedName>
    <definedName name="MENU">#REF!</definedName>
    <definedName name="MENU1" localSheetId="0">#REF!</definedName>
    <definedName name="MENU1">#REF!</definedName>
    <definedName name="MENU2" localSheetId="0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o">#REF!</definedName>
    <definedName name="OAE">#REF!</definedName>
    <definedName name="ParamValues1">[3]ParamValues!$A$1:$A$39</definedName>
    <definedName name="PAV" localSheetId="14">#REF!</definedName>
    <definedName name="PAV" localSheetId="16">#REF!</definedName>
    <definedName name="PAV" localSheetId="0">#REF!</definedName>
    <definedName name="PAV" localSheetId="6">#REF!</definedName>
    <definedName name="PAV" localSheetId="1">#REF!</definedName>
    <definedName name="PAV" localSheetId="7">#REF!</definedName>
    <definedName name="PAV">#REF!</definedName>
    <definedName name="pr">#REF!</definedName>
    <definedName name="PRE">#REF!</definedName>
    <definedName name="Print_Area_MI">#REF!</definedName>
    <definedName name="qe">#REF!</definedName>
    <definedName name="qee">#REF!</definedName>
    <definedName name="reforsu">#REF!</definedName>
    <definedName name="ren">#REF!</definedName>
    <definedName name="REV">#REF!</definedName>
    <definedName name="sa">#REF!</definedName>
    <definedName name="SEG">#REF!</definedName>
    <definedName name="SIH">#REF!</definedName>
    <definedName name="SIV">#REF!</definedName>
    <definedName name="ss">#REF!</definedName>
    <definedName name="susref">#REF!</definedName>
    <definedName name="tania">#REF!</definedName>
    <definedName name="tc">#REF!</definedName>
    <definedName name="titulos">#REF!</definedName>
    <definedName name="_xlnm.Print_Titles" localSheetId="11">'Acabamentos de Piso e Parede'!$7:$11</definedName>
    <definedName name="_xlnm.Print_Titles" localSheetId="5">ALVENARIA!$2:$2</definedName>
    <definedName name="_xlnm.Print_Titles" localSheetId="14">COBERTURA!#REF!</definedName>
    <definedName name="_xlnm.Print_Titles" localSheetId="16">COMPLEMENTARES!#REF!</definedName>
    <definedName name="_xlnm.Print_Titles" localSheetId="2">CONTENÇÕES!$2:$2</definedName>
    <definedName name="_xlnm.Print_Titles" localSheetId="0">DADOS_INICIAIS!$1:$6</definedName>
    <definedName name="_xlnm.Print_Titles" localSheetId="13">ESQUADRIAS!$2:$2</definedName>
    <definedName name="_xlnm.Print_Titles" localSheetId="8">IMPERMEABILIZAÇÃO!$2:$2</definedName>
    <definedName name="_xlnm.Print_Titles" localSheetId="3">INFRAESTRUTURA!$2:$2</definedName>
    <definedName name="_xlnm.Print_Titles" localSheetId="6">INSTALAÇÕES!#REF!</definedName>
    <definedName name="_xlnm.Print_Titles" localSheetId="1">MOVIMENTAÇÃO_DE_TERRA!#REF!</definedName>
    <definedName name="_xlnm.Print_Titles" localSheetId="12">'PINTURA INTERNA'!$2:$2</definedName>
    <definedName name="_xlnm.Print_Titles" localSheetId="15">'Rev. Fachada'!$7:$11</definedName>
    <definedName name="_xlnm.Print_Titles" localSheetId="9">'Rev. Internos Piso e Parede'!$7:$11</definedName>
    <definedName name="_xlnm.Print_Titles" localSheetId="7">'SISTEMAS ESPECIAIS'!#REF!</definedName>
    <definedName name="_xlnm.Print_Titles" localSheetId="4">SUPRAESTRUTURA!$2:$2</definedName>
    <definedName name="_xlnm.Print_Titles" localSheetId="10">TETO!$2:$2</definedName>
    <definedName name="_xlnm.Print_Titles">#REF!</definedName>
    <definedName name="TOT" localSheetId="14">#REF!</definedName>
    <definedName name="TOT" localSheetId="16">#REF!</definedName>
    <definedName name="TOT" localSheetId="0">#REF!</definedName>
    <definedName name="TOT" localSheetId="6">#REF!</definedName>
    <definedName name="TOT" localSheetId="1">#REF!</definedName>
    <definedName name="TOT" localSheetId="7">#REF!</definedName>
    <definedName name="TOT">#REF!</definedName>
    <definedName name="Total" localSheetId="0">#REF!</definedName>
    <definedName name="Total">#REF!</definedName>
    <definedName name="TRP">#REF!</definedName>
    <definedName name="u" localSheetId="14" hidden="1">{#N/A,#N/A,FALSE,"ET-CAPA";#N/A,#N/A,FALSE,"ET-PAG1";#N/A,#N/A,FALSE,"ET-PAG2";#N/A,#N/A,FALSE,"ET-PAG3";#N/A,#N/A,FALSE,"ET-PAG4";#N/A,#N/A,FALSE,"ET-PAG5"}</definedName>
    <definedName name="u" localSheetId="16" hidden="1">{#N/A,#N/A,FALSE,"ET-CAPA";#N/A,#N/A,FALSE,"ET-PAG1";#N/A,#N/A,FALSE,"ET-PAG2";#N/A,#N/A,FALSE,"ET-PAG3";#N/A,#N/A,FALSE,"ET-PAG4";#N/A,#N/A,FALSE,"ET-PAG5"}</definedName>
    <definedName name="u" localSheetId="0" hidden="1">{#N/A,#N/A,FALSE,"ET-CAPA";#N/A,#N/A,FALSE,"ET-PAG1";#N/A,#N/A,FALSE,"ET-PAG2";#N/A,#N/A,FALSE,"ET-PAG3";#N/A,#N/A,FALSE,"ET-PAG4";#N/A,#N/A,FALSE,"ET-PAG5"}</definedName>
    <definedName name="u" localSheetId="6" hidden="1">{#N/A,#N/A,FALSE,"ET-CAPA";#N/A,#N/A,FALSE,"ET-PAG1";#N/A,#N/A,FALSE,"ET-PAG2";#N/A,#N/A,FALSE,"ET-PAG3";#N/A,#N/A,FALSE,"ET-PAG4";#N/A,#N/A,FALSE,"ET-PAG5"}</definedName>
    <definedName name="u" localSheetId="1" hidden="1">{#N/A,#N/A,FALSE,"ET-CAPA";#N/A,#N/A,FALSE,"ET-PAG1";#N/A,#N/A,FALSE,"ET-PAG2";#N/A,#N/A,FALSE,"ET-PAG3";#N/A,#N/A,FALSE,"ET-PAG4";#N/A,#N/A,FALSE,"ET-PAG5"}</definedName>
    <definedName name="u" localSheetId="7" hidden="1">{#N/A,#N/A,FALSE,"ET-CAPA";#N/A,#N/A,FALSE,"ET-PAG1";#N/A,#N/A,FALSE,"ET-PAG2";#N/A,#N/A,FALSE,"ET-PAG3";#N/A,#N/A,FALSE,"ET-PAG4";#N/A,#N/A,FALSE,"ET-PAG5"}</definedName>
    <definedName name="u" hidden="1">{#N/A,#N/A,FALSE,"ET-CAPA";#N/A,#N/A,FALSE,"ET-PAG1";#N/A,#N/A,FALSE,"ET-PAG2";#N/A,#N/A,FALSE,"ET-PAG3";#N/A,#N/A,FALSE,"ET-PAG4";#N/A,#N/A,FALSE,"ET-PAG5"}</definedName>
    <definedName name="wrn.GERAL." localSheetId="14" hidden="1">{#N/A,#N/A,FALSE,"ET-CAPA";#N/A,#N/A,FALSE,"ET-PAG1";#N/A,#N/A,FALSE,"ET-PAG2";#N/A,#N/A,FALSE,"ET-PAG3";#N/A,#N/A,FALSE,"ET-PAG4";#N/A,#N/A,FALSE,"ET-PAG5"}</definedName>
    <definedName name="wrn.GERAL." localSheetId="16" hidden="1">{#N/A,#N/A,FALSE,"ET-CAPA";#N/A,#N/A,FALSE,"ET-PAG1";#N/A,#N/A,FALSE,"ET-PAG2";#N/A,#N/A,FALSE,"ET-PAG3";#N/A,#N/A,FALSE,"ET-PAG4";#N/A,#N/A,FALSE,"ET-PAG5"}</definedName>
    <definedName name="wrn.GERAL." localSheetId="0" hidden="1">{#N/A,#N/A,FALSE,"ET-CAPA";#N/A,#N/A,FALSE,"ET-PAG1";#N/A,#N/A,FALSE,"ET-PAG2";#N/A,#N/A,FALSE,"ET-PAG3";#N/A,#N/A,FALSE,"ET-PAG4";#N/A,#N/A,FALSE,"ET-PAG5"}</definedName>
    <definedName name="wrn.GERAL." localSheetId="6" hidden="1">{#N/A,#N/A,FALSE,"ET-CAPA";#N/A,#N/A,FALSE,"ET-PAG1";#N/A,#N/A,FALSE,"ET-PAG2";#N/A,#N/A,FALSE,"ET-PAG3";#N/A,#N/A,FALSE,"ET-PAG4";#N/A,#N/A,FALSE,"ET-PAG5"}</definedName>
    <definedName name="wrn.GERAL." localSheetId="1" hidden="1">{#N/A,#N/A,FALSE,"ET-CAPA";#N/A,#N/A,FALSE,"ET-PAG1";#N/A,#N/A,FALSE,"ET-PAG2";#N/A,#N/A,FALSE,"ET-PAG3";#N/A,#N/A,FALSE,"ET-PAG4";#N/A,#N/A,FALSE,"ET-PAG5"}</definedName>
    <definedName name="wrn.GERAL." localSheetId="7" hidden="1">{#N/A,#N/A,FALSE,"ET-CAPA";#N/A,#N/A,FALSE,"ET-PAG1";#N/A,#N/A,FALSE,"ET-PAG2";#N/A,#N/A,FALSE,"ET-PAG3";#N/A,#N/A,FALSE,"ET-PAG4";#N/A,#N/A,FALSE,"ET-PAG5"}</definedName>
    <definedName name="wrn.GERAL." hidden="1">{#N/A,#N/A,FALSE,"ET-CAPA";#N/A,#N/A,FALSE,"ET-PAG1";#N/A,#N/A,FALSE,"ET-PAG2";#N/A,#N/A,FALSE,"ET-PAG3";#N/A,#N/A,FALSE,"ET-PAG4";#N/A,#N/A,FALSE,"ET-PAG5"}</definedName>
    <definedName name="xxxx" localSheetId="14">#REF!</definedName>
    <definedName name="xxxx" localSheetId="16">#REF!</definedName>
    <definedName name="xxxx" localSheetId="0">#REF!</definedName>
    <definedName name="xxxx" localSheetId="6">#REF!</definedName>
    <definedName name="xxxx" localSheetId="1">#REF!</definedName>
    <definedName name="xxxx" localSheetId="7">#REF!</definedName>
    <definedName name="xxxx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48" l="1"/>
  <c r="G67" i="48"/>
  <c r="D29" i="48"/>
  <c r="D30" i="48" s="1"/>
  <c r="G30" i="48" s="1"/>
  <c r="B27" i="48"/>
  <c r="B26" i="48"/>
  <c r="F26" i="48" s="1"/>
  <c r="D28" i="48"/>
  <c r="G28" i="48"/>
  <c r="F28" i="48"/>
  <c r="D26" i="48"/>
  <c r="B29" i="55"/>
  <c r="G29" i="48" l="1"/>
  <c r="D27" i="48"/>
  <c r="G27" i="48" s="1"/>
  <c r="G26" i="48"/>
  <c r="G30" i="55" l="1"/>
  <c r="B30" i="55"/>
  <c r="D19" i="65"/>
  <c r="G19" i="65"/>
  <c r="B17" i="53" l="1"/>
  <c r="B18" i="51"/>
  <c r="G15" i="62"/>
  <c r="D10" i="60"/>
  <c r="F10" i="60"/>
  <c r="D25" i="61"/>
  <c r="D26" i="61"/>
  <c r="G30" i="61"/>
  <c r="D30" i="61"/>
  <c r="D23" i="55" l="1"/>
  <c r="D16" i="55"/>
  <c r="G14" i="66"/>
  <c r="G13" i="66"/>
  <c r="F63" i="48" l="1"/>
  <c r="G63" i="48" s="1"/>
  <c r="F62" i="48"/>
  <c r="F59" i="48"/>
  <c r="F60" i="48" s="1"/>
  <c r="D62" i="48"/>
  <c r="D59" i="48"/>
  <c r="D61" i="48" s="1"/>
  <c r="F56" i="48"/>
  <c r="D56" i="48"/>
  <c r="D57" i="48" s="1"/>
  <c r="G57" i="48" s="1"/>
  <c r="D58" i="48"/>
  <c r="D55" i="48"/>
  <c r="G55" i="48" s="1"/>
  <c r="D54" i="48"/>
  <c r="D53" i="48" s="1"/>
  <c r="F58" i="48"/>
  <c r="G58" i="48" l="1"/>
  <c r="G56" i="48"/>
  <c r="G61" i="48"/>
  <c r="D60" i="48"/>
  <c r="G60" i="48" s="1"/>
  <c r="G59" i="48"/>
  <c r="G54" i="48"/>
  <c r="G53" i="48"/>
  <c r="G62" i="48"/>
  <c r="G64" i="48" l="1"/>
  <c r="G19" i="21" l="1"/>
  <c r="F25" i="46"/>
  <c r="B10" i="21"/>
  <c r="B20" i="21" l="1"/>
  <c r="D17" i="21"/>
  <c r="D18" i="21" s="1"/>
  <c r="G18" i="21" s="1"/>
  <c r="F10" i="46"/>
  <c r="B20" i="51" l="1"/>
  <c r="B19" i="51"/>
  <c r="D20" i="58"/>
  <c r="D21" i="58"/>
  <c r="D27" i="59"/>
  <c r="G18" i="53"/>
  <c r="B18" i="53"/>
  <c r="D28" i="61" l="1"/>
  <c r="G28" i="61" s="1"/>
  <c r="D27" i="61"/>
  <c r="G27" i="61" s="1"/>
  <c r="F31" i="61"/>
  <c r="D24" i="61"/>
  <c r="D23" i="61"/>
  <c r="D15" i="61"/>
  <c r="D14" i="61"/>
  <c r="D13" i="61"/>
  <c r="D12" i="61"/>
  <c r="D11" i="61"/>
  <c r="D10" i="61"/>
  <c r="D32" i="61" l="1"/>
  <c r="D31" i="61"/>
  <c r="G31" i="61" s="1"/>
  <c r="G26" i="61"/>
  <c r="F33" i="48"/>
  <c r="F16" i="48"/>
  <c r="F32" i="48"/>
  <c r="F29" i="48"/>
  <c r="F30" i="48" s="1"/>
  <c r="F24" i="48"/>
  <c r="D32" i="48"/>
  <c r="D15" i="48"/>
  <c r="D13" i="48"/>
  <c r="D14" i="48" s="1"/>
  <c r="F25" i="48"/>
  <c r="D24" i="48"/>
  <c r="D23" i="48"/>
  <c r="D22" i="48" s="1"/>
  <c r="D12" i="48"/>
  <c r="D11" i="48"/>
  <c r="J26" i="61" l="1"/>
  <c r="J27" i="61" s="1"/>
  <c r="D9" i="60"/>
  <c r="F9" i="60" s="1"/>
  <c r="D11" i="65"/>
  <c r="G11" i="65" s="1"/>
  <c r="D15" i="55"/>
  <c r="D22" i="55"/>
  <c r="G12" i="65" l="1"/>
  <c r="D15" i="65"/>
  <c r="G15" i="65" s="1"/>
  <c r="F13" i="64"/>
  <c r="F12" i="64"/>
  <c r="B16" i="51"/>
  <c r="G16" i="51" s="1"/>
  <c r="G18" i="51"/>
  <c r="G17" i="51"/>
  <c r="B23" i="53"/>
  <c r="G23" i="53" s="1"/>
  <c r="D18" i="51"/>
  <c r="D17" i="51"/>
  <c r="B15" i="51"/>
  <c r="D10" i="64" s="1"/>
  <c r="G25" i="53"/>
  <c r="G26" i="53"/>
  <c r="G24" i="53"/>
  <c r="G15" i="51" l="1"/>
  <c r="D11" i="64"/>
  <c r="B21" i="53"/>
  <c r="G21" i="53" s="1"/>
  <c r="B20" i="53"/>
  <c r="G20" i="53" s="1"/>
  <c r="B22" i="53"/>
  <c r="G22" i="53" s="1"/>
  <c r="G17" i="53"/>
  <c r="G19" i="53"/>
  <c r="B16" i="53"/>
  <c r="G16" i="53" s="1"/>
  <c r="B15" i="53"/>
  <c r="G15" i="53" s="1"/>
  <c r="G20" i="51"/>
  <c r="G19" i="51"/>
  <c r="H19" i="63"/>
  <c r="D10" i="63"/>
  <c r="D11" i="63" s="1"/>
  <c r="G11" i="63" s="1"/>
  <c r="B13" i="63"/>
  <c r="B12" i="63"/>
  <c r="D12" i="63"/>
  <c r="D34" i="59"/>
  <c r="D33" i="59"/>
  <c r="D32" i="59"/>
  <c r="D30" i="59"/>
  <c r="D29" i="59"/>
  <c r="D26" i="59"/>
  <c r="D25" i="59"/>
  <c r="C28" i="59"/>
  <c r="G27" i="53" l="1"/>
  <c r="D18" i="65"/>
  <c r="G18" i="65" s="1"/>
  <c r="K20" i="55"/>
  <c r="K19" i="55"/>
  <c r="G10" i="66"/>
  <c r="G11" i="66"/>
  <c r="G12" i="66"/>
  <c r="G9" i="66"/>
  <c r="F13" i="60"/>
  <c r="F11" i="60"/>
  <c r="D12" i="60"/>
  <c r="F12" i="60" s="1"/>
  <c r="D14" i="60"/>
  <c r="F14" i="60" s="1"/>
  <c r="D15" i="60"/>
  <c r="F15" i="60" s="1"/>
  <c r="D16" i="60"/>
  <c r="F16" i="60" s="1"/>
  <c r="D11" i="60"/>
  <c r="G13" i="64"/>
  <c r="F16" i="65"/>
  <c r="G16" i="65" s="1"/>
  <c r="F14" i="65"/>
  <c r="F13" i="65"/>
  <c r="D10" i="65"/>
  <c r="G10" i="65" s="1"/>
  <c r="H10" i="65" s="1"/>
  <c r="D13" i="65"/>
  <c r="D14" i="65"/>
  <c r="D20" i="65"/>
  <c r="G20" i="65" s="1"/>
  <c r="H7" i="59"/>
  <c r="D17" i="65"/>
  <c r="G17" i="65" s="1"/>
  <c r="K21" i="65"/>
  <c r="L21" i="65" s="1"/>
  <c r="G12" i="64"/>
  <c r="G11" i="64"/>
  <c r="G10" i="64"/>
  <c r="K14" i="64"/>
  <c r="L14" i="64" s="1"/>
  <c r="D13" i="63"/>
  <c r="G12" i="63"/>
  <c r="G10" i="63"/>
  <c r="K14" i="63"/>
  <c r="L14" i="63" s="1"/>
  <c r="B15" i="55" l="1"/>
  <c r="G15" i="55" s="1"/>
  <c r="D14" i="62"/>
  <c r="G14" i="62" s="1"/>
  <c r="G29" i="55"/>
  <c r="G31" i="55" s="1"/>
  <c r="B16" i="55"/>
  <c r="G16" i="55" s="1"/>
  <c r="B23" i="55"/>
  <c r="G23" i="55" s="1"/>
  <c r="B22" i="55"/>
  <c r="G22" i="55" s="1"/>
  <c r="G24" i="55" s="1"/>
  <c r="L25" i="55"/>
  <c r="G14" i="65"/>
  <c r="G13" i="65"/>
  <c r="G16" i="66"/>
  <c r="G14" i="64"/>
  <c r="G16" i="64" s="1"/>
  <c r="G21" i="65"/>
  <c r="G23" i="65" s="1"/>
  <c r="G13" i="63"/>
  <c r="G17" i="55" l="1"/>
  <c r="H16" i="66"/>
  <c r="G14" i="63"/>
  <c r="G16" i="63" s="1"/>
  <c r="H23" i="65"/>
  <c r="H16" i="64"/>
  <c r="H18" i="64" s="1"/>
  <c r="H16" i="63" l="1"/>
  <c r="D28" i="59"/>
  <c r="D40" i="59"/>
  <c r="D31" i="59"/>
  <c r="D31" i="58"/>
  <c r="D32" i="58"/>
  <c r="D30" i="58"/>
  <c r="D24" i="58"/>
  <c r="D22" i="58"/>
  <c r="D23" i="58"/>
  <c r="D19" i="58"/>
  <c r="D8" i="58"/>
  <c r="D9" i="58"/>
  <c r="D10" i="58"/>
  <c r="D11" i="58"/>
  <c r="D12" i="58"/>
  <c r="D13" i="58"/>
  <c r="D7" i="58"/>
  <c r="D19" i="59"/>
  <c r="D18" i="59"/>
  <c r="D17" i="59"/>
  <c r="D16" i="59"/>
  <c r="B9" i="59"/>
  <c r="D9" i="59" s="1"/>
  <c r="B10" i="59"/>
  <c r="B8" i="59"/>
  <c r="D8" i="59" s="1"/>
  <c r="J7" i="59"/>
  <c r="I7" i="59"/>
  <c r="D11" i="62"/>
  <c r="G11" i="62" s="1"/>
  <c r="F12" i="48"/>
  <c r="G12" i="48"/>
  <c r="D10" i="59" l="1"/>
  <c r="D29" i="61"/>
  <c r="D35" i="59"/>
  <c r="B7" i="59"/>
  <c r="D7" i="59" s="1"/>
  <c r="D11" i="59" s="1"/>
  <c r="D25" i="58"/>
  <c r="D43" i="59" l="1"/>
  <c r="D29" i="21"/>
  <c r="D30" i="21" s="1"/>
  <c r="D21" i="47" l="1"/>
  <c r="D22" i="47" s="1"/>
  <c r="B15" i="21"/>
  <c r="B17" i="21" s="1"/>
  <c r="F17" i="62" l="1"/>
  <c r="G17" i="62" s="1"/>
  <c r="F13" i="62"/>
  <c r="G13" i="62" s="1"/>
  <c r="D16" i="62"/>
  <c r="D15" i="62"/>
  <c r="K19" i="62"/>
  <c r="L19" i="62" s="1"/>
  <c r="F16" i="61"/>
  <c r="G15" i="61"/>
  <c r="G14" i="61"/>
  <c r="G13" i="61"/>
  <c r="G12" i="61"/>
  <c r="G11" i="61"/>
  <c r="G25" i="61"/>
  <c r="G24" i="61"/>
  <c r="K18" i="61"/>
  <c r="L18" i="61" s="1"/>
  <c r="F13" i="48"/>
  <c r="G11" i="48"/>
  <c r="F47" i="48"/>
  <c r="G47" i="48" s="1"/>
  <c r="F46" i="48"/>
  <c r="D46" i="48"/>
  <c r="F44" i="48"/>
  <c r="D44" i="48"/>
  <c r="D45" i="48" s="1"/>
  <c r="G45" i="48" s="1"/>
  <c r="F43" i="48"/>
  <c r="D43" i="48"/>
  <c r="D42" i="48"/>
  <c r="G42" i="48" s="1"/>
  <c r="D41" i="48"/>
  <c r="G41" i="48" s="1"/>
  <c r="D40" i="48"/>
  <c r="G40" i="48" s="1"/>
  <c r="G33" i="48"/>
  <c r="G31" i="48"/>
  <c r="G24" i="48"/>
  <c r="G23" i="48"/>
  <c r="K17" i="48"/>
  <c r="L17" i="48" s="1"/>
  <c r="G16" i="48"/>
  <c r="F29" i="21"/>
  <c r="G29" i="21" s="1"/>
  <c r="F19" i="21"/>
  <c r="G21" i="21"/>
  <c r="F15" i="47"/>
  <c r="E30" i="47"/>
  <c r="D30" i="47"/>
  <c r="F30" i="47" s="1"/>
  <c r="D39" i="49"/>
  <c r="B39" i="49"/>
  <c r="F39" i="49" s="1"/>
  <c r="D37" i="49"/>
  <c r="D38" i="49" s="1"/>
  <c r="G38" i="49" s="1"/>
  <c r="D36" i="49"/>
  <c r="G36" i="49" s="1"/>
  <c r="E22" i="46"/>
  <c r="G10" i="61" s="1"/>
  <c r="D20" i="59"/>
  <c r="D41" i="59"/>
  <c r="D14" i="58"/>
  <c r="D33" i="58"/>
  <c r="D16" i="61" l="1"/>
  <c r="G16" i="61" s="1"/>
  <c r="D17" i="61"/>
  <c r="G17" i="61" s="1"/>
  <c r="D10" i="62"/>
  <c r="G16" i="62"/>
  <c r="D18" i="62"/>
  <c r="G18" i="62" s="1"/>
  <c r="F17" i="60"/>
  <c r="F19" i="60" s="1"/>
  <c r="F31" i="47"/>
  <c r="H30" i="47"/>
  <c r="G10" i="62"/>
  <c r="G23" i="61"/>
  <c r="G32" i="61"/>
  <c r="G46" i="48"/>
  <c r="G43" i="48"/>
  <c r="D39" i="48"/>
  <c r="G39" i="48" s="1"/>
  <c r="G22" i="48"/>
  <c r="G34" i="48" s="1"/>
  <c r="G44" i="48"/>
  <c r="G25" i="48"/>
  <c r="G32" i="48"/>
  <c r="D10" i="48"/>
  <c r="G10" i="48" s="1"/>
  <c r="G39" i="49"/>
  <c r="G37" i="49"/>
  <c r="D35" i="58"/>
  <c r="G33" i="61" l="1"/>
  <c r="G36" i="61" s="1"/>
  <c r="H36" i="61" s="1"/>
  <c r="G18" i="61"/>
  <c r="G19" i="60"/>
  <c r="E43" i="59"/>
  <c r="E35" i="58"/>
  <c r="E37" i="58" s="1"/>
  <c r="G48" i="48"/>
  <c r="G40" i="49"/>
  <c r="J32" i="55"/>
  <c r="A27" i="53"/>
  <c r="G39" i="61" l="1"/>
  <c r="H39" i="61" s="1"/>
  <c r="J14" i="51"/>
  <c r="G34" i="55"/>
  <c r="G30" i="53"/>
  <c r="H30" i="53" l="1"/>
  <c r="H32" i="53" s="1"/>
  <c r="J13" i="51"/>
  <c r="G21" i="51"/>
  <c r="G24" i="51" s="1"/>
  <c r="H24" i="51" l="1"/>
  <c r="H26" i="51" s="1"/>
  <c r="H34" i="55"/>
  <c r="H35" i="55" s="1"/>
  <c r="D29" i="49"/>
  <c r="B29" i="49"/>
  <c r="F29" i="49" s="1"/>
  <c r="D27" i="49"/>
  <c r="G27" i="49" s="1"/>
  <c r="D26" i="49"/>
  <c r="G26" i="49" s="1"/>
  <c r="G20" i="49"/>
  <c r="D10" i="49"/>
  <c r="D11" i="49" s="1"/>
  <c r="D12" i="49" s="1"/>
  <c r="G12" i="49" s="1"/>
  <c r="G29" i="49" l="1"/>
  <c r="D28" i="49"/>
  <c r="G28" i="49" s="1"/>
  <c r="D15" i="49"/>
  <c r="D16" i="49" s="1"/>
  <c r="G16" i="49" s="1"/>
  <c r="D13" i="49"/>
  <c r="D14" i="49" s="1"/>
  <c r="B31" i="21"/>
  <c r="F31" i="21" s="1"/>
  <c r="D31" i="21"/>
  <c r="F15" i="48"/>
  <c r="D28" i="21"/>
  <c r="G28" i="21" s="1"/>
  <c r="D14" i="21"/>
  <c r="F16" i="47"/>
  <c r="B9" i="47"/>
  <c r="D12" i="62" l="1"/>
  <c r="G15" i="48"/>
  <c r="G13" i="48"/>
  <c r="G31" i="21"/>
  <c r="G14" i="21"/>
  <c r="G30" i="21"/>
  <c r="G30" i="49"/>
  <c r="D17" i="49"/>
  <c r="B17" i="49"/>
  <c r="G14" i="49"/>
  <c r="D16" i="21"/>
  <c r="G16" i="21" s="1"/>
  <c r="D9" i="47"/>
  <c r="G12" i="62" l="1"/>
  <c r="G19" i="62" s="1"/>
  <c r="G21" i="62" s="1"/>
  <c r="F22" i="47"/>
  <c r="F21" i="47"/>
  <c r="F9" i="47"/>
  <c r="F10" i="47" s="1"/>
  <c r="D18" i="49"/>
  <c r="G18" i="49" s="1"/>
  <c r="D19" i="49"/>
  <c r="G19" i="49" s="1"/>
  <c r="G17" i="49"/>
  <c r="H21" i="62" l="1"/>
  <c r="H24" i="62" s="1"/>
  <c r="D23" i="47"/>
  <c r="F23" i="47" s="1"/>
  <c r="G21" i="49"/>
  <c r="G46" i="49" s="1"/>
  <c r="H46" i="49" s="1"/>
  <c r="G32" i="21"/>
  <c r="G14" i="48" l="1"/>
  <c r="G17" i="48" s="1"/>
  <c r="H11" i="36"/>
  <c r="H10" i="36"/>
  <c r="H9" i="36"/>
  <c r="H8" i="36"/>
  <c r="H7" i="36"/>
  <c r="H6" i="36"/>
  <c r="H12" i="36"/>
  <c r="H5" i="36"/>
  <c r="H67" i="48" l="1"/>
  <c r="D12" i="21"/>
  <c r="G12" i="21" s="1"/>
  <c r="D10" i="21"/>
  <c r="D22" i="21" s="1"/>
  <c r="G22" i="21" s="1"/>
  <c r="G20" i="21" l="1"/>
  <c r="G23" i="21" s="1"/>
  <c r="G35" i="21" s="1"/>
  <c r="D24" i="47"/>
  <c r="F24" i="47" s="1"/>
  <c r="F25" i="47" s="1"/>
  <c r="F33" i="47" s="1"/>
  <c r="G33" i="47" s="1"/>
  <c r="H35" i="2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Bragatto</author>
  </authors>
  <commentList>
    <comment ref="B15" authorId="0" shapeId="0" xr:uid="{255BEB06-A237-439E-9203-EB5CCD91F641}">
      <text>
        <r>
          <rPr>
            <b/>
            <sz val="9"/>
            <color indexed="81"/>
            <rFont val="Segoe UI"/>
            <family val="2"/>
          </rPr>
          <t>TEMPO DE EXECUÇÃO DO SUBOLO</t>
        </r>
      </text>
    </comment>
    <comment ref="B23" authorId="0" shapeId="0" xr:uid="{24E26533-CC5C-4581-B306-D492C246179F}">
      <text>
        <r>
          <rPr>
            <b/>
            <sz val="9"/>
            <color indexed="81"/>
            <rFont val="Segoe UI"/>
            <family val="2"/>
          </rPr>
          <t>EMPOLAMENTO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Bragatto</author>
  </authors>
  <commentList>
    <comment ref="G19" authorId="0" shapeId="0" xr:uid="{D8DF5BAD-98F5-43BE-892A-4FA5FBCF8F29}">
      <text>
        <r>
          <rPr>
            <sz val="9"/>
            <color indexed="81"/>
            <rFont val="Segoe UI"/>
            <family val="2"/>
          </rPr>
          <t>30% de perda</t>
        </r>
      </text>
    </comment>
    <comment ref="G29" authorId="0" shapeId="0" xr:uid="{D8202987-3B4C-45BF-B1C8-25FB05DD6B6D}">
      <text>
        <r>
          <rPr>
            <b/>
            <sz val="9"/>
            <color indexed="81"/>
            <rFont val="Segoe UI"/>
            <family val="2"/>
          </rPr>
          <t>5% de perda</t>
        </r>
      </text>
    </comment>
    <comment ref="F30" authorId="0" shapeId="0" xr:uid="{3898590B-17B9-40D2-A0C6-EB5B71EBE615}">
      <text>
        <r>
          <rPr>
            <b/>
            <sz val="9"/>
            <color indexed="81"/>
            <rFont val="Segoe UI"/>
            <family val="2"/>
          </rPr>
          <t>CONSIDERAR CUSTO MÉDIO PARA A CA-50 DE 10MM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Bragatto</author>
  </authors>
  <commentList>
    <comment ref="B10" authorId="0" shapeId="0" xr:uid="{7A7D1CAA-C999-4F28-8CCA-47A34CF3D7FD}">
      <text>
        <r>
          <rPr>
            <b/>
            <sz val="9"/>
            <color indexed="81"/>
            <rFont val="Segoe UI"/>
            <family val="2"/>
          </rPr>
          <t>CICLO DE LAJE ATÉ 10 DIAS -  3 JOGOS
CICLO DE LAJE MAIORES - 2 JOGOS
Verificar tempo de ciclo junto à estimativa de prazo</t>
        </r>
      </text>
    </comment>
    <comment ref="D10" authorId="0" shapeId="0" xr:uid="{D074337E-44C5-47F9-A8F8-6780F729DF55}">
      <text>
        <r>
          <rPr>
            <b/>
            <sz val="9"/>
            <color indexed="81"/>
            <rFont val="Segoe UI"/>
            <family val="2"/>
          </rPr>
          <t>(TOTAL DE FORMAS / NÚMERO DE PAV.) X JOGOS</t>
        </r>
      </text>
    </comment>
    <comment ref="D12" authorId="0" shapeId="0" xr:uid="{3A59A200-8D3A-4012-A665-0423F25263A7}">
      <text>
        <r>
          <rPr>
            <b/>
            <sz val="9"/>
            <color indexed="81"/>
            <rFont val="Segoe UI"/>
            <family val="2"/>
          </rPr>
          <t>QUNATIDADE DE ESCORAS POR PAVIMENTO X JOGOS</t>
        </r>
      </text>
    </comment>
    <comment ref="F12" authorId="0" shapeId="0" xr:uid="{9AE509B4-3181-43D0-BD36-6FD2A5B68901}">
      <text>
        <r>
          <rPr>
            <b/>
            <sz val="9"/>
            <color indexed="81"/>
            <rFont val="Segoe UI"/>
            <family val="2"/>
          </rPr>
          <t>CUSTO DA ESCORA</t>
        </r>
      </text>
    </comment>
    <comment ref="G13" authorId="0" shapeId="0" xr:uid="{42D385EB-E97A-4FF8-9E25-D21E9843584D}">
      <text>
        <r>
          <rPr>
            <b/>
            <sz val="9"/>
            <color indexed="81"/>
            <rFont val="Segoe UI"/>
            <family val="2"/>
          </rPr>
          <t>5% DE PERDA</t>
        </r>
      </text>
    </comment>
    <comment ref="F14" authorId="0" shapeId="0" xr:uid="{393D86CF-22CF-427B-9EAE-26D0BC5FE81B}">
      <text>
        <r>
          <rPr>
            <b/>
            <sz val="9"/>
            <color indexed="81"/>
            <rFont val="Segoe UI"/>
            <family val="2"/>
          </rPr>
          <t>CONSIDERAR CUSTO MÉDIO PARA A CA-50 DE 10MM</t>
        </r>
      </text>
    </comment>
    <comment ref="B22" authorId="0" shapeId="0" xr:uid="{D3A1D1C5-76BD-4435-935F-C7E4F70B0C4A}">
      <text>
        <r>
          <rPr>
            <b/>
            <sz val="9"/>
            <color indexed="81"/>
            <rFont val="Segoe UI"/>
            <family val="2"/>
          </rPr>
          <t>CICLO DE LAJE ATÉ 10 DIAS -  3 JOGOS
CICLO DE LAJE MAIORES - 2 JOGOS
Verificar tempo de ciclo junto à estimativa de prazo</t>
        </r>
      </text>
    </comment>
    <comment ref="D22" authorId="0" shapeId="0" xr:uid="{907FE9F7-0D4F-46D9-A2C0-C5B647773F5E}">
      <text>
        <r>
          <rPr>
            <b/>
            <sz val="9"/>
            <color indexed="81"/>
            <rFont val="Segoe UI"/>
            <family val="2"/>
          </rPr>
          <t>(TOTAL DE FORMAS / NÚMERO DE PAV.) X JOGOS</t>
        </r>
      </text>
    </comment>
    <comment ref="D24" authorId="0" shapeId="0" xr:uid="{5D1C62E2-BA6D-4CB7-883E-07C5706393A9}">
      <text>
        <r>
          <rPr>
            <b/>
            <sz val="9"/>
            <color indexed="81"/>
            <rFont val="Segoe UI"/>
            <family val="2"/>
          </rPr>
          <t>QUNATIDADE DE ESCORAS POR PAVIMENTO X JOGOS</t>
        </r>
      </text>
    </comment>
    <comment ref="F24" authorId="0" shapeId="0" xr:uid="{75A226B3-F4D8-4436-B76B-327301C9F037}">
      <text>
        <r>
          <rPr>
            <b/>
            <sz val="9"/>
            <color indexed="81"/>
            <rFont val="Segoe UI"/>
            <family val="2"/>
          </rPr>
          <t>CUSTO DA ESCORA</t>
        </r>
      </text>
    </comment>
    <comment ref="G29" authorId="0" shapeId="0" xr:uid="{F18420EE-B641-4973-84F8-1AFE5AFC91A5}">
      <text>
        <r>
          <rPr>
            <b/>
            <sz val="9"/>
            <color indexed="81"/>
            <rFont val="Segoe UI"/>
            <family val="2"/>
          </rPr>
          <t>5% DE PERDA</t>
        </r>
      </text>
    </comment>
    <comment ref="F31" authorId="0" shapeId="0" xr:uid="{CFAE0208-C94E-4720-A99A-392F739C2D0D}">
      <text>
        <r>
          <rPr>
            <b/>
            <sz val="9"/>
            <color indexed="81"/>
            <rFont val="Segoe UI"/>
            <family val="2"/>
          </rPr>
          <t>CONSIDERAR CUSTO MÉDIO PARA A CA-50 DE 10MM</t>
        </r>
      </text>
    </comment>
    <comment ref="B39" authorId="0" shapeId="0" xr:uid="{4ECB0ED9-6BCD-4505-A135-121E331946FF}">
      <text>
        <r>
          <rPr>
            <b/>
            <sz val="9"/>
            <color indexed="81"/>
            <rFont val="Segoe UI"/>
            <family val="2"/>
          </rPr>
          <t>CICLO DE LAJE ATÉ 10 DIAS -  3 JOGOS
CICLO DE LAJE MAIORES - 2 JOGOS
Verificar tempo de ciclo junto à estimativa de prazo</t>
        </r>
      </text>
    </comment>
    <comment ref="D39" authorId="0" shapeId="0" xr:uid="{81951B11-7B56-420D-ADD3-188465EF4D7F}">
      <text>
        <r>
          <rPr>
            <b/>
            <sz val="9"/>
            <color indexed="81"/>
            <rFont val="Segoe UI"/>
            <family val="2"/>
          </rPr>
          <t>(TOTAL DE FORMAS / NÚMERO DE PAV.) X JOGOS</t>
        </r>
      </text>
    </comment>
    <comment ref="G44" authorId="0" shapeId="0" xr:uid="{E32EABE4-D24C-453B-9857-2D95D3F5FDBF}">
      <text>
        <r>
          <rPr>
            <b/>
            <sz val="9"/>
            <color indexed="81"/>
            <rFont val="Segoe UI"/>
            <family val="2"/>
          </rPr>
          <t>5% DE PERDA</t>
        </r>
      </text>
    </comment>
    <comment ref="B53" authorId="0" shapeId="0" xr:uid="{A5B116E8-B653-4F25-BF25-2F85AD2A5008}">
      <text>
        <r>
          <rPr>
            <b/>
            <sz val="9"/>
            <color indexed="81"/>
            <rFont val="Segoe UI"/>
            <family val="2"/>
          </rPr>
          <t>CICLO DE LAJE ATÉ 10 DIAS -  3 JOGOS
CICLO DE LAJE MAIORES - 2 JOGOS
Verificar tempo de ciclo junto à estimativa de prazo</t>
        </r>
      </text>
    </comment>
    <comment ref="D53" authorId="0" shapeId="0" xr:uid="{AEB90F6D-E8CD-4DCC-9D59-AC6FB9ADEFFE}">
      <text>
        <r>
          <rPr>
            <b/>
            <sz val="9"/>
            <color indexed="81"/>
            <rFont val="Segoe UI"/>
            <family val="2"/>
          </rPr>
          <t>(TOTAL DE FORMAS / NÚMERO DE PAV.) X JOGOS</t>
        </r>
      </text>
    </comment>
    <comment ref="D55" authorId="0" shapeId="0" xr:uid="{7C934DBF-7F45-4419-B9D3-A49B4A1EC07E}">
      <text>
        <r>
          <rPr>
            <b/>
            <sz val="9"/>
            <color indexed="81"/>
            <rFont val="Segoe UI"/>
            <family val="2"/>
          </rPr>
          <t>QUNATIDADE DE ESCORAS POR PAVIMENTO X JOGOS</t>
        </r>
      </text>
    </comment>
    <comment ref="G59" authorId="0" shapeId="0" xr:uid="{B5E182E8-9D95-4E0F-AA19-F669731AA80B}">
      <text>
        <r>
          <rPr>
            <b/>
            <sz val="9"/>
            <color indexed="81"/>
            <rFont val="Segoe UI"/>
            <family val="2"/>
          </rPr>
          <t>5% DE PERDA</t>
        </r>
      </text>
    </comment>
    <comment ref="F61" authorId="0" shapeId="0" xr:uid="{09657194-E7DE-4003-90B7-F70AC1A0E4D4}">
      <text>
        <r>
          <rPr>
            <b/>
            <sz val="9"/>
            <color indexed="81"/>
            <rFont val="Segoe UI"/>
            <family val="2"/>
          </rPr>
          <t>CONSIDERAR CUSTO MÉDIO PARA A CA-50 DE 10MM</t>
        </r>
      </text>
    </comment>
    <comment ref="G67" authorId="0" shapeId="0" xr:uid="{9AA28148-10EA-4C94-BDBE-5135BF849D19}">
      <text>
        <r>
          <rPr>
            <b/>
            <sz val="9"/>
            <color indexed="81"/>
            <rFont val="Segoe UI"/>
            <family val="2"/>
          </rPr>
          <t>SELECIONAR TOTAL CONFORME MÉTODO CONSTRUTIVO APLICADO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Bragatto</author>
  </authors>
  <commentList>
    <comment ref="G36" authorId="0" shapeId="0" xr:uid="{F99D21DE-C680-41FC-80BD-D01F80D77713}">
      <text>
        <r>
          <rPr>
            <b/>
            <sz val="9"/>
            <color indexed="81"/>
            <rFont val="Segoe UI"/>
            <family val="2"/>
          </rPr>
          <t>SELECIONAR TOTAL CONFORME MÉTODO CONSTRUTIVO APLICADO</t>
        </r>
      </text>
    </comment>
  </commentList>
</comments>
</file>

<file path=xl/sharedStrings.xml><?xml version="1.0" encoding="utf-8"?>
<sst xmlns="http://schemas.openxmlformats.org/spreadsheetml/2006/main" count="1096" uniqueCount="405">
  <si>
    <t>Obra</t>
  </si>
  <si>
    <t>Revisão</t>
  </si>
  <si>
    <t>m²</t>
  </si>
  <si>
    <t>un</t>
  </si>
  <si>
    <t>m</t>
  </si>
  <si>
    <t>Parâmetro</t>
  </si>
  <si>
    <t>R$ / AC</t>
  </si>
  <si>
    <t>AT</t>
  </si>
  <si>
    <t>AC</t>
  </si>
  <si>
    <t>NP</t>
  </si>
  <si>
    <t>NPT</t>
  </si>
  <si>
    <t>APT</t>
  </si>
  <si>
    <t>PPT</t>
  </si>
  <si>
    <t>NS</t>
  </si>
  <si>
    <t>Descrição</t>
  </si>
  <si>
    <t>Identificador</t>
  </si>
  <si>
    <t>Valor total</t>
  </si>
  <si>
    <t>TOTAL</t>
  </si>
  <si>
    <t>Quantidade</t>
  </si>
  <si>
    <t>ESCAVAÇÃO E REATERRO DE VALAS</t>
  </si>
  <si>
    <t>Escavação mecanizada para blocos e baldrames</t>
  </si>
  <si>
    <t>Reaterro para blocos e baldrames</t>
  </si>
  <si>
    <t>m³</t>
  </si>
  <si>
    <t>Armação</t>
  </si>
  <si>
    <t>Concreto</t>
  </si>
  <si>
    <t>Mão de obra</t>
  </si>
  <si>
    <t>kg</t>
  </si>
  <si>
    <t>vb</t>
  </si>
  <si>
    <t>SUPRAESTRUTURA</t>
  </si>
  <si>
    <t>Fabricação forma</t>
  </si>
  <si>
    <t>Montagem de forma</t>
  </si>
  <si>
    <t>Armadura Convencional para Estrutura</t>
  </si>
  <si>
    <t>Escoramento - Torre</t>
  </si>
  <si>
    <t>Escoramento - Embasamento</t>
  </si>
  <si>
    <t>kg / m³</t>
  </si>
  <si>
    <t>AE</t>
  </si>
  <si>
    <t>AL</t>
  </si>
  <si>
    <t>m² / AC</t>
  </si>
  <si>
    <t>m³ / AC</t>
  </si>
  <si>
    <t>APE</t>
  </si>
  <si>
    <t>NPD</t>
  </si>
  <si>
    <t>ND</t>
  </si>
  <si>
    <t xml:space="preserve"> 2 Portões acesso garagem - Área: 9,2m² x 2 = 18,4m²</t>
  </si>
  <si>
    <t>2 portas corta-fogo 1 folha</t>
  </si>
  <si>
    <t>1 porta de correr alumínio 2 folhas – Área: 3,465m²</t>
  </si>
  <si>
    <t>1 porta de correr alumínio 2 folhas – Área: 1,7325m²</t>
  </si>
  <si>
    <t>2 portas de abrir alumínio 2 folhas – Área: 2,6376m² x 2 = 5,2752m²</t>
  </si>
  <si>
    <t>1 porta de abrir alumínio 2 folhas – Área: 4,1916m²</t>
  </si>
  <si>
    <t>1 porta pivotante</t>
  </si>
  <si>
    <t>19 portas de abrir madeira 1 folha</t>
  </si>
  <si>
    <t>3 portas de abrir vidro 1 folha – Área: 2,1m² x 3 = 6,3m²</t>
  </si>
  <si>
    <t>2 portas de abrir vidro 1 folha – Área: 1,89m² x 2 = 3,78m²</t>
  </si>
  <si>
    <t>1 porta de abrir alumínio 1 folha – Área: 2,0076m²</t>
  </si>
  <si>
    <t>Janelas – Área: 3,75 + 4,875 + 2,5 + 1,1 + 1,2 + 5,5402 + 4,4874 = 23,4526m²</t>
  </si>
  <si>
    <t>Muro de vidro – Área: 7,0774 + 5,485 + 3,43 + 4,8138 = 20,8062m²</t>
  </si>
  <si>
    <t>8 portas corta-fogo 1 folha</t>
  </si>
  <si>
    <t xml:space="preserve"> Janelas – Area: (1,1 + 1,2 + 28,7391) x 4 = 124,1564m²</t>
  </si>
  <si>
    <t xml:space="preserve"> 2 portas corta-fogo 1 folha</t>
  </si>
  <si>
    <t xml:space="preserve"> 2 portas de abrir alumínio 1 folha – Área: 1,47m² x 2 = 2,94m²</t>
  </si>
  <si>
    <t xml:space="preserve"> 2 portas de abrir vidro 1 folha – Área: 1,89m² x 2 = 3,78m²</t>
  </si>
  <si>
    <t xml:space="preserve"> 5 portas de abrir madeira 1 folha  </t>
  </si>
  <si>
    <t xml:space="preserve"> 1 janela-porta de correr vidro – Área: 14,7348m²</t>
  </si>
  <si>
    <t xml:space="preserve"> Janelas – Área: 1,2894 + 1,2894 + 23,46 + 1,854 + 5,562 + 5,562 + 1,854 + 1,854 + 1,1 + 1,2 = 45,0248m²</t>
  </si>
  <si>
    <t xml:space="preserve"> Guarda corpo vidro – Área: 7,5299 + 5,7955 + 6,5555 = 19,8809m²</t>
  </si>
  <si>
    <t xml:space="preserve"> 38 portas corta-fogo 1 folha</t>
  </si>
  <si>
    <t xml:space="preserve"> 171 portas de abrir madeira 1 folha</t>
  </si>
  <si>
    <t xml:space="preserve"> 19 porta de abrir alumínio 1 folha – Área: 1,26m² x 19 = 23,94m²</t>
  </si>
  <si>
    <t xml:space="preserve"> 19 janela-porta de correr vidro 5 folhas - Área: 25,4205m² x 19 = 482,9895m²</t>
  </si>
  <si>
    <t xml:space="preserve"> 19 janela-porta de correr vidro 5 folhas - Área: 17,8284m² x 19 = 338,7396m²</t>
  </si>
  <si>
    <t xml:space="preserve"> Janelas – Área: 1,1 + 1,1 + 1,2 + 1,92 + 0,36 + 2,781 + 2,781 + 1,854 + 1,854 + 5,562 + 5,562 + 1,854 = 27,928m² x 19 = 530,632m²</t>
  </si>
  <si>
    <t xml:space="preserve"> Guarda corpo metálico – Área: 4,745m² x 19 = 90,155m² - Perímetro: 3,65m x 19 = 69,35m</t>
  </si>
  <si>
    <t xml:space="preserve"> Guarda corpo vidro – Área: 15,645m² x 19 = 297,255m² - Perímetro: 14,9m x 19 = 283,1m</t>
  </si>
  <si>
    <t xml:space="preserve"> 2 portas de abrir madeira 1 folha</t>
  </si>
  <si>
    <t xml:space="preserve"> 1 porta de abrir alumínio 1 folha – Área: 1,26m²</t>
  </si>
  <si>
    <t xml:space="preserve"> 1 janela-porta de correr vidro 3 folhas - Área: 15,21m²</t>
  </si>
  <si>
    <t xml:space="preserve"> 1 janela-porta de correr vidro 5 folhas - Área: 25,4205m²</t>
  </si>
  <si>
    <t xml:space="preserve"> 1 janela-porta de correr vidro 5 folhas - Área: 17,8284m²</t>
  </si>
  <si>
    <t xml:space="preserve"> Janelas – Área: 1,1 + 1,2 + 1,1 + 1,92 + 0,36 + 2,781 + 2,781 + 1,854 + 1,854 + 5,562 + 5,562 + 1,854 = 27,928m²</t>
  </si>
  <si>
    <t xml:space="preserve"> Guarda corpo metálico – Área: 4,745m² - Perímetro: 3,65m</t>
  </si>
  <si>
    <t xml:space="preserve"> Guarda corpo vidro – Área: 15,645m² - Perímetro: 14,9m</t>
  </si>
  <si>
    <t xml:space="preserve"> 7 portas de abrir madeira 1 folha</t>
  </si>
  <si>
    <t xml:space="preserve"> 2 portas de correr madeira 1 folha</t>
  </si>
  <si>
    <t xml:space="preserve"> Janelas – Área: 1,1 + 1,2 + 1,92 + 0,36 + 2,781 + 2,781 + 1,854 + 1,854 + 5,562 + 5,562 + 1,854 = 26,828m²</t>
  </si>
  <si>
    <t xml:space="preserve"> 4 portas de abrir madeira 1 folha</t>
  </si>
  <si>
    <t xml:space="preserve"> 1 porta de correr madeira 1 folha</t>
  </si>
  <si>
    <t xml:space="preserve"> 1 porta de correr vidro 3 folhas – Área: 10,5m²</t>
  </si>
  <si>
    <t xml:space="preserve"> 1 janela-porta de correr vidro – Área: 5,61m²</t>
  </si>
  <si>
    <t xml:space="preserve"> Janela – Área: 1,1 + 1,2 + 1,92 + 0,36 + 2,781 + 2,781 + 1,854 + 1,854 + 5,562 + 5,562 + 1,854 + 25,0512 + 17,8284 = 69,7076m²</t>
  </si>
  <si>
    <t xml:space="preserve"> Janelas – Area: 1,1 + 1,2 + 0,84 + 0,84 + 3,549 + 3,549 + 10,647 + 10,647 = 32,372m²</t>
  </si>
  <si>
    <t>portão</t>
  </si>
  <si>
    <t>pcf</t>
  </si>
  <si>
    <t xml:space="preserve">porta alumínio </t>
  </si>
  <si>
    <t>porta alumínio</t>
  </si>
  <si>
    <t>madeira</t>
  </si>
  <si>
    <t>pivotante</t>
  </si>
  <si>
    <t>Guarda  alumínio</t>
  </si>
  <si>
    <t>janela</t>
  </si>
  <si>
    <t xml:space="preserve">gradil </t>
  </si>
  <si>
    <t>Brise</t>
  </si>
  <si>
    <t xml:space="preserve">Concreto </t>
  </si>
  <si>
    <t>REGULARIZAÇÃO E APILOAMENTO DE FUNDO DE VALAS</t>
  </si>
  <si>
    <t>Mão de obra - estrutura em concreto armado</t>
  </si>
  <si>
    <t>R$ / APE</t>
  </si>
  <si>
    <t>TOTAL MOVIMENTAÇÃO DE TERRA</t>
  </si>
  <si>
    <t>TOTAL INFRAESTRUTURA</t>
  </si>
  <si>
    <t>TOTAL SUPRAESTRUTURA</t>
  </si>
  <si>
    <t>FUNDAÇÃO PROFUNDA</t>
  </si>
  <si>
    <t>Número de Estacas</t>
  </si>
  <si>
    <t>un / APE</t>
  </si>
  <si>
    <t>Mobilização</t>
  </si>
  <si>
    <t>FUNDAÇÃO RASA</t>
  </si>
  <si>
    <t>Fabricação, montagem e desmontagem de forma para blocos e baldrames resinado</t>
  </si>
  <si>
    <t>m³ / APE</t>
  </si>
  <si>
    <t>m² / APE</t>
  </si>
  <si>
    <t>Estaca Hélice Continua Diâmetro 60</t>
  </si>
  <si>
    <t>Armação 6,3mm</t>
  </si>
  <si>
    <t>Cubetas</t>
  </si>
  <si>
    <t>Empresa</t>
  </si>
  <si>
    <t>Preço unitário</t>
  </si>
  <si>
    <t>M</t>
  </si>
  <si>
    <t>M2</t>
  </si>
  <si>
    <t>MOVIMENTAÇÃO DE TERRA</t>
  </si>
  <si>
    <t>INFRAESTRUTURA</t>
  </si>
  <si>
    <t>UN</t>
  </si>
  <si>
    <t>Rebaixamento de lençol</t>
  </si>
  <si>
    <t>Armação 16mm</t>
  </si>
  <si>
    <t>DADOS OBRA</t>
  </si>
  <si>
    <t>Unidade</t>
  </si>
  <si>
    <t>ÁREA DO TERRENO</t>
  </si>
  <si>
    <t>ÁREA TOTAL CONSTRUÍDA</t>
  </si>
  <si>
    <t>NÚMERO TOTAL DE PAVIMENTOS</t>
  </si>
  <si>
    <t>NÚMERO DE PAVIMENTOS TIPO</t>
  </si>
  <si>
    <t>NÚMERO DE PAVIMENTOS TIPO DIFERENCIADOS</t>
  </si>
  <si>
    <t>NÚMERO DE PAVIMENTOS DUPLEX</t>
  </si>
  <si>
    <t>ÁREA DE PROJEÇÃO DA TORRE</t>
  </si>
  <si>
    <t>PERÍMETRO DE PROJEÇÃO DA TORRE</t>
  </si>
  <si>
    <t>ÁREA DE LAZER</t>
  </si>
  <si>
    <t xml:space="preserve">ÁREA DO EMBASAMENTO </t>
  </si>
  <si>
    <t>ÁREA DE SUBSOLOS</t>
  </si>
  <si>
    <t>S</t>
  </si>
  <si>
    <t>NÚMERO DE SUBSOLOS</t>
  </si>
  <si>
    <t>ÁREA DE PROJEÇÃO DO EMBASAMENTO</t>
  </si>
  <si>
    <t>PERÍMETRO DE PROJEÇÃO DE EMBAMENTO</t>
  </si>
  <si>
    <t>NÚMERO DE PAVIMENTOS DE EMBASAMENTO</t>
  </si>
  <si>
    <t>Movimentação de terra das estacas</t>
  </si>
  <si>
    <t>Escavação</t>
  </si>
  <si>
    <t>Preço unitário de escavação (R$ / m3)</t>
  </si>
  <si>
    <t>Volume total de escavação (m3)</t>
  </si>
  <si>
    <t>Altura do subsolo (m)</t>
  </si>
  <si>
    <t>Área de subsolo (m)</t>
  </si>
  <si>
    <t>ESCAVAÇÃO VERTICAL DE SUBSOLO</t>
  </si>
  <si>
    <t>Preço unitário de rebaixamento (R$ / dias)</t>
  </si>
  <si>
    <t>Quantidade (dias)</t>
  </si>
  <si>
    <t>REBAIXAMENTO DE LENÇOL FREÁTICO</t>
  </si>
  <si>
    <t>PE</t>
  </si>
  <si>
    <t>NE</t>
  </si>
  <si>
    <t>Movimentação de bota-fora</t>
  </si>
  <si>
    <t>m³ / Vol Escavação</t>
  </si>
  <si>
    <t>Área de lastro (m²)</t>
  </si>
  <si>
    <t>Preço unitário (R$ / m2)</t>
  </si>
  <si>
    <t>Preço unitário (R$ / m3)</t>
  </si>
  <si>
    <t>Estaca Hélice Continua Diâmetro 50</t>
  </si>
  <si>
    <t>Estaca Hélice Continua Diâmetro 40</t>
  </si>
  <si>
    <t xml:space="preserve">m/un </t>
  </si>
  <si>
    <t>un / APT*NPT</t>
  </si>
  <si>
    <t>un / AE</t>
  </si>
  <si>
    <t>CONTENÇÃO</t>
  </si>
  <si>
    <t>CORTINA DE ESTACAS</t>
  </si>
  <si>
    <t>PAREDE DIAFRAGMA</t>
  </si>
  <si>
    <t>TOTAL ALVENARIA</t>
  </si>
  <si>
    <t>Média</t>
  </si>
  <si>
    <t>R$ / m²</t>
  </si>
  <si>
    <t>Serviços complementares</t>
  </si>
  <si>
    <t>Alvenaria refratárias</t>
  </si>
  <si>
    <t>m² / APT</t>
  </si>
  <si>
    <t>Alvenaria cobertura / reservatório</t>
  </si>
  <si>
    <t xml:space="preserve">Alvenaria escadas </t>
  </si>
  <si>
    <t>m² / APT*(NPT+2ND)</t>
  </si>
  <si>
    <t>Alvenaria tipo</t>
  </si>
  <si>
    <t>m² / AL</t>
  </si>
  <si>
    <t>Alvenaria lazer</t>
  </si>
  <si>
    <t>m² / AE</t>
  </si>
  <si>
    <t>Alvenaria embasamento</t>
  </si>
  <si>
    <t>Referência</t>
  </si>
  <si>
    <t>ALVENARIA</t>
  </si>
  <si>
    <t>R00</t>
  </si>
  <si>
    <t>Data</t>
  </si>
  <si>
    <t>San Felicce</t>
  </si>
  <si>
    <t>Amalfi</t>
  </si>
  <si>
    <t>Cliente</t>
  </si>
  <si>
    <r>
      <rPr>
        <b/>
        <sz val="14"/>
        <color rgb="FF255AE5"/>
        <rFont val="Roboto"/>
      </rPr>
      <t>ORÇAMENTO PARAMÉTRICO</t>
    </r>
    <r>
      <rPr>
        <b/>
        <sz val="14"/>
        <color rgb="FF293549"/>
        <rFont val="Roboto"/>
      </rPr>
      <t xml:space="preserve">
</t>
    </r>
    <r>
      <rPr>
        <b/>
        <sz val="11"/>
        <color rgb="FFFF0000"/>
        <rFont val="Roboto"/>
      </rPr>
      <t>GERENCIAMENTO EXECUTIVO</t>
    </r>
  </si>
  <si>
    <t>TOTAL REVESTIMENTOS</t>
  </si>
  <si>
    <r>
      <t>m</t>
    </r>
    <r>
      <rPr>
        <b/>
        <sz val="10"/>
        <color theme="1"/>
        <rFont val="Roboto"/>
      </rPr>
      <t>²</t>
    </r>
    <r>
      <rPr>
        <sz val="10"/>
        <color theme="1"/>
        <rFont val="Roboto"/>
      </rPr>
      <t xml:space="preserve"> / AC</t>
    </r>
  </si>
  <si>
    <t>Reboco</t>
  </si>
  <si>
    <t>Chapisco</t>
  </si>
  <si>
    <t>Manta acústica</t>
  </si>
  <si>
    <t>Contrapiso</t>
  </si>
  <si>
    <t>REVESTIMENTOS INTERNOS EM PISO E PAREDE</t>
  </si>
  <si>
    <t>Chapisco e reboco</t>
  </si>
  <si>
    <t>Estucamento</t>
  </si>
  <si>
    <t>Negativo</t>
  </si>
  <si>
    <t>Forro em placa mineral</t>
  </si>
  <si>
    <t>COBERTURA</t>
  </si>
  <si>
    <t>TERREO</t>
  </si>
  <si>
    <t>VINILICO</t>
  </si>
  <si>
    <t>PAVER</t>
  </si>
  <si>
    <t>CERAMICA</t>
  </si>
  <si>
    <t>PORCELANATO</t>
  </si>
  <si>
    <t>TOTAL ACABAMENTOS</t>
  </si>
  <si>
    <t>Revestimentos de Parede</t>
  </si>
  <si>
    <t>Soleiras e peitoris</t>
  </si>
  <si>
    <t>Rodapés</t>
  </si>
  <si>
    <t xml:space="preserve">m² </t>
  </si>
  <si>
    <t>Paver</t>
  </si>
  <si>
    <t>Piscina</t>
  </si>
  <si>
    <t>Piso vinilico</t>
  </si>
  <si>
    <t xml:space="preserve">Porcelanato </t>
  </si>
  <si>
    <t>ACABAMENTOS EM PISO E PAREDE</t>
  </si>
  <si>
    <t>Pintura Interna</t>
  </si>
  <si>
    <t xml:space="preserve">Textura escadas </t>
  </si>
  <si>
    <t>Pintura acrílica antiderrapante</t>
  </si>
  <si>
    <t>Pintura piso epoxi</t>
  </si>
  <si>
    <t>TOTAL FACHADA</t>
  </si>
  <si>
    <t>-</t>
  </si>
  <si>
    <t>ACABAMENTOS ESPECIAIS</t>
  </si>
  <si>
    <t>RESERV</t>
  </si>
  <si>
    <t>EMBASAMENTO</t>
  </si>
  <si>
    <t>PINTURA</t>
  </si>
  <si>
    <t>REVESTIMENTOS ARGAMASSADOS</t>
  </si>
  <si>
    <t>TOTAL IMPERMEABILIZAÇÃO</t>
  </si>
  <si>
    <t>Proteção Mecânica</t>
  </si>
  <si>
    <t>Impermeabilização de peitoril</t>
  </si>
  <si>
    <t>Impermeabilizações com manta asfaltica</t>
  </si>
  <si>
    <t>Impermeabilizações cimenticias</t>
  </si>
  <si>
    <t>Ralos</t>
  </si>
  <si>
    <t>Baldrames</t>
  </si>
  <si>
    <t>Poço do elevador</t>
  </si>
  <si>
    <t>Regularização de Superfície</t>
  </si>
  <si>
    <t>IMPERMEABILIZAÇÃO</t>
  </si>
  <si>
    <t>Esquadrias de Madeira</t>
  </si>
  <si>
    <t>Portão de alumínio</t>
  </si>
  <si>
    <t>Gradil</t>
  </si>
  <si>
    <t>Guarda-corpo - vidro</t>
  </si>
  <si>
    <t>Serralherias</t>
  </si>
  <si>
    <t>PCF</t>
  </si>
  <si>
    <t>Esquadrias de Alumínio</t>
  </si>
  <si>
    <t>ESQUADRIAS</t>
  </si>
  <si>
    <t>TOTAL INSTALAÇÕES</t>
  </si>
  <si>
    <t>Instalações de Proteção e Aterramento - SPDA</t>
  </si>
  <si>
    <t>Instalações de GLP</t>
  </si>
  <si>
    <t>Instalações Preventivas</t>
  </si>
  <si>
    <t>INSTALAÇÕES PREVENTIVAS E GLP</t>
  </si>
  <si>
    <t>Mão de Obra para Instalações Hidráulicas</t>
  </si>
  <si>
    <t>Instalações Sanitárias</t>
  </si>
  <si>
    <t>Instalações de Águas Pluviais</t>
  </si>
  <si>
    <t>Instalações de Água Quente</t>
  </si>
  <si>
    <t>Instalações de Água Fria</t>
  </si>
  <si>
    <t>INSTALAÇÕES HIDROSSANITÁRIAS</t>
  </si>
  <si>
    <t>Mão de Obra para Instalações Elétricas</t>
  </si>
  <si>
    <t>Equipamentos e Iluminação</t>
  </si>
  <si>
    <t>Acabamentos Elétricos</t>
  </si>
  <si>
    <t>Quadros e Disjuntores</t>
  </si>
  <si>
    <t>Cabos e Fiações</t>
  </si>
  <si>
    <t>Eletrodutos e Eletrocalhas</t>
  </si>
  <si>
    <t>Entrada de Energia</t>
  </si>
  <si>
    <t>INSTALAÇÕES ELÉTRICAS</t>
  </si>
  <si>
    <t>INSTALAÇÕES</t>
  </si>
  <si>
    <t>TOTAL SISTEMAS ESPECIAIS</t>
  </si>
  <si>
    <t>Outros sistemas</t>
  </si>
  <si>
    <t>OUTROS SISTEMAS ESPECIAIS</t>
  </si>
  <si>
    <t>Equipamentos para Piscina</t>
  </si>
  <si>
    <t>Infra de carro elétrico</t>
  </si>
  <si>
    <t>Grupo de geradores</t>
  </si>
  <si>
    <t>Elevadores</t>
  </si>
  <si>
    <t>Preço Unitário</t>
  </si>
  <si>
    <t>EQUIPAMENTOS</t>
  </si>
  <si>
    <t>Automação, telecomunicação e sistemas de segurança</t>
  </si>
  <si>
    <t>TV e internet</t>
  </si>
  <si>
    <t>Interfone</t>
  </si>
  <si>
    <t>CFTV</t>
  </si>
  <si>
    <t>COMUNICAÇÃO</t>
  </si>
  <si>
    <t>Churrasqueiras</t>
  </si>
  <si>
    <t>Ventokit</t>
  </si>
  <si>
    <t>Instalação de Ar Condicionado</t>
  </si>
  <si>
    <t>Infraestrutura para Instalação de Ar Condicionado</t>
  </si>
  <si>
    <t>CLIMATIZAÇÃO, EXAUSTÃO MECÂNICA E PRESSURIZAÇÃO</t>
  </si>
  <si>
    <t>SISTEMAS ESPECIAIS</t>
  </si>
  <si>
    <t>TOTAL COMPLEMENTARES</t>
  </si>
  <si>
    <t>Limpeza</t>
  </si>
  <si>
    <t>Desmobilização</t>
  </si>
  <si>
    <t>Ligações definitivas</t>
  </si>
  <si>
    <t>Paisagismo</t>
  </si>
  <si>
    <t>Comunicação visual</t>
  </si>
  <si>
    <t>R$ / AL</t>
  </si>
  <si>
    <t>Móveis e decoração</t>
  </si>
  <si>
    <t>SERVIÇOS COMPLEMENTARES</t>
  </si>
  <si>
    <t>COMPLEMENTARES</t>
  </si>
  <si>
    <t>Connect</t>
  </si>
  <si>
    <t>Passe</t>
  </si>
  <si>
    <t>Arquitetura base</t>
  </si>
  <si>
    <t>UNIDADES RESIDENCIAIS</t>
  </si>
  <si>
    <t>UR</t>
  </si>
  <si>
    <t>Dormitórios</t>
  </si>
  <si>
    <t>Banheiros</t>
  </si>
  <si>
    <t>UNIDADES COMERCIAIS</t>
  </si>
  <si>
    <t>UC</t>
  </si>
  <si>
    <t>dorm</t>
  </si>
  <si>
    <t>ban</t>
  </si>
  <si>
    <t>Arquivo base</t>
  </si>
  <si>
    <t>PAREDE DE CONCRETO</t>
  </si>
  <si>
    <t>Lastro de concreto magto e=5cm</t>
  </si>
  <si>
    <t>Observação</t>
  </si>
  <si>
    <t>Definição trazida do Celebration da Passe</t>
  </si>
  <si>
    <t>Concreto (40 Mpa)</t>
  </si>
  <si>
    <t>Definição de resitência  trazida do Celebration da Passe</t>
  </si>
  <si>
    <t>Apoio e arrasamento de estacas</t>
  </si>
  <si>
    <t>Perfuração de vigas</t>
  </si>
  <si>
    <t>R$ / NP</t>
  </si>
  <si>
    <t>Coeficiente originário do Gran Torino (R$ 160,00/un)</t>
  </si>
  <si>
    <t>Jogos</t>
  </si>
  <si>
    <t>SUPRAESTRUTURA - LAJE MACIÇA</t>
  </si>
  <si>
    <t>SUPRAESTRUTURA - LAJE TRELIÇADA</t>
  </si>
  <si>
    <t>Nova utiliza a verba de 1.500,00 por pav</t>
  </si>
  <si>
    <t>PAREDES E PAINÉIS</t>
  </si>
  <si>
    <t>ALVENARIA - DRTWALL</t>
  </si>
  <si>
    <t>Drywall tipo</t>
  </si>
  <si>
    <t>CHU</t>
  </si>
  <si>
    <t>m² * CHU</t>
  </si>
  <si>
    <t>perda</t>
  </si>
  <si>
    <t>m³ / Vol infra</t>
  </si>
  <si>
    <t>Definição de índice pelo Celebration</t>
  </si>
  <si>
    <t>Escoramento</t>
  </si>
  <si>
    <t>TIPO 1</t>
  </si>
  <si>
    <t>TIPO 2</t>
  </si>
  <si>
    <t>TIPO 3</t>
  </si>
  <si>
    <t>TIPO 4</t>
  </si>
  <si>
    <t>TIPO 5</t>
  </si>
  <si>
    <t>TIPO 6</t>
  </si>
  <si>
    <t>TIPO 7</t>
  </si>
  <si>
    <t>ATICO</t>
  </si>
  <si>
    <t>Equipamentos para Sauna</t>
  </si>
  <si>
    <t>Escada pressurizada</t>
  </si>
  <si>
    <t>Bombas</t>
  </si>
  <si>
    <t>m / FORRO</t>
  </si>
  <si>
    <t>PINTURA INTERNA</t>
  </si>
  <si>
    <t>REVESTIMENTOS E ACABAMENTOS DE TETO</t>
  </si>
  <si>
    <t xml:space="preserve"> m² / AC</t>
  </si>
  <si>
    <t>Quadra paddle</t>
  </si>
  <si>
    <t>Estrutura e telhamento</t>
  </si>
  <si>
    <t>Pergolados</t>
  </si>
  <si>
    <t>Passarelas</t>
  </si>
  <si>
    <t>TELHADO</t>
  </si>
  <si>
    <t>TORRE 1</t>
  </si>
  <si>
    <t>TORRE 2</t>
  </si>
  <si>
    <t>Molduras ACM</t>
  </si>
  <si>
    <t>Textura</t>
  </si>
  <si>
    <t>Equipamento d ecarro eletrico</t>
  </si>
  <si>
    <t>Corrimão inox</t>
  </si>
  <si>
    <t>Trataamento de esgoto</t>
  </si>
  <si>
    <t>CARPETE</t>
  </si>
  <si>
    <t>PISO ALISADO</t>
  </si>
  <si>
    <t>PISO RANHURADO</t>
  </si>
  <si>
    <t>DECK</t>
  </si>
  <si>
    <t>PASTILHA</t>
  </si>
  <si>
    <t>Cerâmico</t>
  </si>
  <si>
    <t>Carpete</t>
  </si>
  <si>
    <t>Deck</t>
  </si>
  <si>
    <t>Polimento de concreto</t>
  </si>
  <si>
    <t>Ladrilho hidaraulico</t>
  </si>
  <si>
    <t>PISO ALISADO ESCADA</t>
  </si>
  <si>
    <t>Piso alisado</t>
  </si>
  <si>
    <t>TOTAL ESQUADRIAS</t>
  </si>
  <si>
    <t>M²</t>
  </si>
  <si>
    <t>Brise de aluminio</t>
  </si>
  <si>
    <t>PAS_CNC_ARQ_EP_R08</t>
  </si>
  <si>
    <t xml:space="preserve">un </t>
  </si>
  <si>
    <t>Emborrachado</t>
  </si>
  <si>
    <t>EMBORRACHADO</t>
  </si>
  <si>
    <t>Subestação</t>
  </si>
  <si>
    <t>Estaca Hélice Continua Diâmetro 80</t>
  </si>
  <si>
    <t xml:space="preserve">Armação </t>
  </si>
  <si>
    <t>Quantitativos trazidos de preliminar de fundação</t>
  </si>
  <si>
    <t>SUPRAESTRUTURA - LAJE PROTENDIDA</t>
  </si>
  <si>
    <t>RS / m²</t>
  </si>
  <si>
    <t>kg / m²</t>
  </si>
  <si>
    <t>Protensão - lajes - materiais</t>
  </si>
  <si>
    <t>Protensão - lajes - cabos</t>
  </si>
  <si>
    <t>Protensão - lajes - serviços</t>
  </si>
  <si>
    <t>und / pav</t>
  </si>
  <si>
    <t>pav</t>
  </si>
  <si>
    <t>Estrutura metálica cobertura atico</t>
  </si>
  <si>
    <t>Chapisco e reboco molduras</t>
  </si>
  <si>
    <t>Textura molduras</t>
  </si>
  <si>
    <t>Cristalizante (reservatorios)</t>
  </si>
  <si>
    <t>Churrasqueiras pré-moldadas</t>
  </si>
  <si>
    <t>Louças e Metais (bacias sanitárias)</t>
  </si>
  <si>
    <t>Louças e metais</t>
  </si>
  <si>
    <t>R$</t>
  </si>
  <si>
    <t>Tratamento de frisos</t>
  </si>
  <si>
    <t>m²/m</t>
  </si>
  <si>
    <t>Corrimão metálico</t>
  </si>
  <si>
    <t>Fechadura biométrica</t>
  </si>
  <si>
    <t>LED MOLDURAS</t>
  </si>
  <si>
    <t>R$ / m</t>
  </si>
  <si>
    <t>SUPRAESTRUTURA - LAJE CUBETAS PROTENDIDAS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</si>
</sst>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.00\ _D_M_-;\-* #,##0.00\ _D_M_-;_-* &quot;-&quot;??\ _D_M_-;_-@_-"/>
    <numFmt numFmtId="165" formatCode="_-* #.##0.00_-;\-* #.##0.00_-;_-* &quot;-&quot;??_-;_-@_-"/>
    <numFmt numFmtId="166" formatCode="_-* #,##0.0000_-;\-* #,##0.0000_-;_-* &quot;-&quot;??_-;_-@_-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Roboto"/>
    </font>
    <font>
      <sz val="10"/>
      <color rgb="FFFF0000"/>
      <name val="Roboto"/>
    </font>
    <font>
      <b/>
      <sz val="8"/>
      <color theme="0"/>
      <name val="Poppins"/>
    </font>
    <font>
      <sz val="10"/>
      <color rgb="FF121212"/>
      <name val="Poppins"/>
    </font>
    <font>
      <sz val="8"/>
      <color rgb="FF121212"/>
      <name val="Poppins"/>
    </font>
    <font>
      <b/>
      <sz val="10"/>
      <color theme="0"/>
      <name val="Poppins"/>
    </font>
    <font>
      <b/>
      <sz val="10"/>
      <color rgb="FF121212"/>
      <name val="Poppins"/>
    </font>
    <font>
      <sz val="11"/>
      <color theme="1"/>
      <name val="Poppins"/>
    </font>
    <font>
      <b/>
      <sz val="14"/>
      <color theme="0"/>
      <name val="Poppins"/>
    </font>
    <font>
      <b/>
      <sz val="14"/>
      <color rgb="FF002060"/>
      <name val="Poppins"/>
    </font>
    <font>
      <b/>
      <sz val="8"/>
      <color rgb="FF002060"/>
      <name val="Poppins"/>
    </font>
    <font>
      <sz val="11"/>
      <color rgb="FF121212"/>
      <name val="Poppins"/>
    </font>
    <font>
      <sz val="8"/>
      <color theme="1"/>
      <name val="Poppins"/>
    </font>
    <font>
      <sz val="10"/>
      <color theme="1"/>
      <name val="Poppins"/>
    </font>
    <font>
      <sz val="10"/>
      <name val="Poppins"/>
    </font>
    <font>
      <b/>
      <sz val="11"/>
      <color theme="1"/>
      <name val="Poppins"/>
    </font>
    <font>
      <sz val="11"/>
      <color theme="1"/>
      <name val="Roboto"/>
    </font>
    <font>
      <b/>
      <u/>
      <sz val="11"/>
      <color theme="1"/>
      <name val="Poppins"/>
    </font>
    <font>
      <b/>
      <sz val="11"/>
      <color theme="0"/>
      <name val="Poppins"/>
    </font>
    <font>
      <b/>
      <sz val="9"/>
      <color indexed="81"/>
      <name val="Segoe UI"/>
      <family val="2"/>
    </font>
    <font>
      <b/>
      <sz val="10"/>
      <color theme="0"/>
      <name val="Roboto"/>
    </font>
    <font>
      <sz val="11"/>
      <color rgb="FFFF0000"/>
      <name val="Roboto"/>
    </font>
    <font>
      <sz val="11"/>
      <name val="Roboto"/>
    </font>
    <font>
      <sz val="11"/>
      <name val="Poppins"/>
    </font>
    <font>
      <b/>
      <sz val="11"/>
      <color theme="0"/>
      <name val="Roboto"/>
    </font>
    <font>
      <b/>
      <sz val="10"/>
      <color theme="1"/>
      <name val="Roboto"/>
    </font>
    <font>
      <sz val="10"/>
      <name val="Roboto"/>
    </font>
    <font>
      <b/>
      <u/>
      <sz val="10"/>
      <color theme="1"/>
      <name val="Roboto"/>
    </font>
    <font>
      <sz val="10"/>
      <color rgb="FF000000"/>
      <name val="Roboto"/>
    </font>
    <font>
      <b/>
      <sz val="14"/>
      <color rgb="FF293549"/>
      <name val="Roboto"/>
    </font>
    <font>
      <b/>
      <sz val="14"/>
      <color rgb="FF255AE5"/>
      <name val="Roboto"/>
    </font>
    <font>
      <b/>
      <sz val="11"/>
      <color rgb="FFFF0000"/>
      <name val="Roboto"/>
    </font>
    <font>
      <b/>
      <sz val="10"/>
      <color rgb="FFFF0000"/>
      <name val="Roboto"/>
    </font>
    <font>
      <sz val="9"/>
      <color indexed="81"/>
      <name val="Segoe UI"/>
      <family val="2"/>
    </font>
    <font>
      <sz val="11"/>
      <color rgb="FFFF0000"/>
      <name val="Poppins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C34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55AE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ECECE"/>
        <bgColor rgb="FFCECECE"/>
      </patternFill>
    </fill>
    <fill>
      <patternFill patternType="solid">
        <fgColor rgb="FFFFFFFF"/>
        <bgColor rgb="FFFFFFFF"/>
      </patternFill>
    </fill>
  </fills>
  <borders count="8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/>
      <bottom style="hair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/>
      <bottom style="medium">
        <color rgb="FFCECECE"/>
      </bottom>
      <diagonal/>
    </border>
    <border>
      <left/>
      <right/>
      <top/>
      <bottom style="hair">
        <color theme="0" tint="-0.499984740745262"/>
      </bottom>
      <diagonal/>
    </border>
    <border>
      <left style="thin">
        <color theme="0" tint="-0.499984740745262"/>
      </left>
      <right/>
      <top/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hair">
        <color theme="0" tint="-0.499984740745262"/>
      </bottom>
      <diagonal/>
    </border>
    <border>
      <left style="thin">
        <color indexed="64"/>
      </left>
      <right/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/>
      <top/>
      <bottom style="hair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44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3" fontId="0" fillId="0" borderId="0" xfId="1" applyFont="1"/>
    <xf numFmtId="0" fontId="9" fillId="5" borderId="15" xfId="0" applyFont="1" applyFill="1" applyBorder="1" applyAlignment="1">
      <alignment vertical="center" wrapText="1"/>
    </xf>
    <xf numFmtId="0" fontId="6" fillId="2" borderId="8" xfId="0" applyFont="1" applyFill="1" applyBorder="1" applyAlignment="1">
      <alignment horizontal="left" vertical="center" wrapText="1"/>
    </xf>
    <xf numFmtId="0" fontId="6" fillId="2" borderId="9" xfId="0" applyFont="1" applyFill="1" applyBorder="1" applyAlignment="1">
      <alignment horizontal="center" vertical="center" wrapText="1"/>
    </xf>
    <xf numFmtId="43" fontId="6" fillId="2" borderId="9" xfId="1" applyFont="1" applyFill="1" applyBorder="1" applyAlignment="1">
      <alignment horizontal="left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10" fillId="2" borderId="12" xfId="0" applyFont="1" applyFill="1" applyBorder="1"/>
    <xf numFmtId="0" fontId="9" fillId="5" borderId="16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6" fillId="2" borderId="10" xfId="0" applyFont="1" applyFill="1" applyBorder="1" applyAlignment="1">
      <alignment horizontal="center" vertical="center" wrapText="1"/>
    </xf>
    <xf numFmtId="43" fontId="6" fillId="2" borderId="10" xfId="1" applyFont="1" applyFill="1" applyBorder="1" applyAlignment="1">
      <alignment horizontal="left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10" fillId="2" borderId="17" xfId="0" applyFont="1" applyFill="1" applyBorder="1"/>
    <xf numFmtId="0" fontId="12" fillId="2" borderId="19" xfId="0" applyFont="1" applyFill="1" applyBorder="1" applyAlignment="1">
      <alignment vertical="center" wrapText="1"/>
    </xf>
    <xf numFmtId="0" fontId="12" fillId="2" borderId="0" xfId="0" applyFont="1" applyFill="1" applyAlignment="1">
      <alignment horizontal="center" vertical="center" wrapText="1"/>
    </xf>
    <xf numFmtId="43" fontId="12" fillId="2" borderId="0" xfId="1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0" fillId="2" borderId="20" xfId="0" applyFont="1" applyFill="1" applyBorder="1"/>
    <xf numFmtId="0" fontId="14" fillId="2" borderId="20" xfId="0" applyFont="1" applyFill="1" applyBorder="1"/>
    <xf numFmtId="0" fontId="7" fillId="2" borderId="19" xfId="0" applyFont="1" applyFill="1" applyBorder="1"/>
    <xf numFmtId="0" fontId="5" fillId="6" borderId="15" xfId="0" applyFont="1" applyFill="1" applyBorder="1" applyAlignment="1">
      <alignment horizontal="center" vertical="center"/>
    </xf>
    <xf numFmtId="0" fontId="5" fillId="6" borderId="21" xfId="0" applyFont="1" applyFill="1" applyBorder="1" applyAlignment="1">
      <alignment horizontal="center" vertical="center" wrapText="1"/>
    </xf>
    <xf numFmtId="43" fontId="5" fillId="6" borderId="22" xfId="1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/>
    </xf>
    <xf numFmtId="0" fontId="7" fillId="2" borderId="23" xfId="0" applyFont="1" applyFill="1" applyBorder="1" applyAlignment="1">
      <alignment vertical="center" wrapText="1"/>
    </xf>
    <xf numFmtId="43" fontId="7" fillId="2" borderId="4" xfId="1" applyFont="1" applyFill="1" applyBorder="1" applyAlignment="1">
      <alignment horizontal="center" vertical="center" wrapText="1"/>
    </xf>
    <xf numFmtId="43" fontId="7" fillId="2" borderId="24" xfId="1" applyFont="1" applyFill="1" applyBorder="1" applyAlignment="1">
      <alignment vertical="center" wrapText="1"/>
    </xf>
    <xf numFmtId="0" fontId="7" fillId="2" borderId="25" xfId="0" applyFont="1" applyFill="1" applyBorder="1" applyAlignment="1">
      <alignment vertical="center" wrapText="1"/>
    </xf>
    <xf numFmtId="43" fontId="7" fillId="2" borderId="5" xfId="1" applyFont="1" applyFill="1" applyBorder="1" applyAlignment="1">
      <alignment horizontal="center" vertical="center" wrapText="1"/>
    </xf>
    <xf numFmtId="43" fontId="7" fillId="2" borderId="13" xfId="1" applyFont="1" applyFill="1" applyBorder="1" applyAlignment="1">
      <alignment vertical="center" wrapText="1"/>
    </xf>
    <xf numFmtId="0" fontId="7" fillId="2" borderId="26" xfId="0" applyFont="1" applyFill="1" applyBorder="1" applyAlignment="1">
      <alignment vertical="center" wrapText="1"/>
    </xf>
    <xf numFmtId="43" fontId="7" fillId="2" borderId="27" xfId="1" applyFont="1" applyFill="1" applyBorder="1" applyAlignment="1">
      <alignment horizontal="center" vertical="center" wrapText="1"/>
    </xf>
    <xf numFmtId="43" fontId="7" fillId="2" borderId="14" xfId="1" applyFont="1" applyFill="1" applyBorder="1" applyAlignment="1">
      <alignment vertical="center" wrapText="1"/>
    </xf>
    <xf numFmtId="0" fontId="14" fillId="2" borderId="28" xfId="0" applyFont="1" applyFill="1" applyBorder="1"/>
    <xf numFmtId="0" fontId="14" fillId="2" borderId="29" xfId="0" applyFont="1" applyFill="1" applyBorder="1" applyAlignment="1">
      <alignment horizontal="center"/>
    </xf>
    <xf numFmtId="43" fontId="14" fillId="2" borderId="29" xfId="1" applyFont="1" applyFill="1" applyBorder="1" applyAlignment="1">
      <alignment horizontal="center"/>
    </xf>
    <xf numFmtId="0" fontId="7" fillId="2" borderId="29" xfId="0" applyFont="1" applyFill="1" applyBorder="1" applyAlignment="1">
      <alignment horizontal="center"/>
    </xf>
    <xf numFmtId="0" fontId="14" fillId="2" borderId="30" xfId="0" applyFont="1" applyFill="1" applyBorder="1"/>
    <xf numFmtId="0" fontId="10" fillId="0" borderId="0" xfId="0" applyFont="1"/>
    <xf numFmtId="0" fontId="10" fillId="0" borderId="0" xfId="0" applyFont="1" applyAlignment="1">
      <alignment horizontal="center"/>
    </xf>
    <xf numFmtId="43" fontId="10" fillId="0" borderId="0" xfId="1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vertical="center"/>
    </xf>
    <xf numFmtId="43" fontId="16" fillId="0" borderId="0" xfId="1" applyFont="1" applyAlignment="1">
      <alignment vertical="center"/>
    </xf>
    <xf numFmtId="9" fontId="3" fillId="0" borderId="0" xfId="6" applyFont="1" applyAlignment="1">
      <alignment vertical="center"/>
    </xf>
    <xf numFmtId="0" fontId="17" fillId="0" borderId="0" xfId="0" applyFont="1" applyAlignment="1">
      <alignment vertical="center"/>
    </xf>
    <xf numFmtId="43" fontId="17" fillId="5" borderId="0" xfId="1" applyFont="1" applyFill="1" applyBorder="1" applyAlignment="1">
      <alignment vertical="center"/>
    </xf>
    <xf numFmtId="0" fontId="17" fillId="5" borderId="0" xfId="0" applyFont="1" applyFill="1" applyAlignment="1">
      <alignment vertical="center"/>
    </xf>
    <xf numFmtId="43" fontId="17" fillId="0" borderId="0" xfId="1" applyFont="1" applyAlignment="1">
      <alignment vertical="center"/>
    </xf>
    <xf numFmtId="0" fontId="18" fillId="0" borderId="33" xfId="0" applyFont="1" applyBorder="1" applyAlignment="1">
      <alignment vertical="center"/>
    </xf>
    <xf numFmtId="0" fontId="10" fillId="0" borderId="33" xfId="0" applyFont="1" applyBorder="1" applyAlignment="1">
      <alignment vertical="center"/>
    </xf>
    <xf numFmtId="43" fontId="10" fillId="0" borderId="33" xfId="1" applyFont="1" applyBorder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43" fontId="18" fillId="0" borderId="0" xfId="1" applyFont="1" applyBorder="1" applyAlignment="1">
      <alignment vertical="center"/>
    </xf>
    <xf numFmtId="0" fontId="10" fillId="0" borderId="0" xfId="0" applyFont="1" applyAlignment="1">
      <alignment vertical="center"/>
    </xf>
    <xf numFmtId="43" fontId="10" fillId="0" borderId="0" xfId="1" applyFont="1" applyBorder="1" applyAlignment="1">
      <alignment horizontal="center" vertical="center" wrapText="1"/>
    </xf>
    <xf numFmtId="43" fontId="10" fillId="4" borderId="0" xfId="1" applyFont="1" applyFill="1" applyBorder="1" applyAlignment="1">
      <alignment vertical="center" wrapText="1"/>
    </xf>
    <xf numFmtId="43" fontId="10" fillId="4" borderId="10" xfId="1" applyFont="1" applyFill="1" applyBorder="1" applyAlignment="1">
      <alignment vertical="center" wrapText="1"/>
    </xf>
    <xf numFmtId="0" fontId="21" fillId="7" borderId="1" xfId="0" applyFont="1" applyFill="1" applyBorder="1" applyAlignment="1">
      <alignment vertical="center"/>
    </xf>
    <xf numFmtId="0" fontId="21" fillId="7" borderId="1" xfId="0" applyFont="1" applyFill="1" applyBorder="1" applyAlignment="1">
      <alignment horizontal="center" vertical="center" wrapText="1"/>
    </xf>
    <xf numFmtId="43" fontId="21" fillId="7" borderId="1" xfId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43" fontId="10" fillId="0" borderId="1" xfId="1" applyFont="1" applyBorder="1" applyAlignment="1">
      <alignment vertical="center" wrapText="1"/>
    </xf>
    <xf numFmtId="43" fontId="10" fillId="0" borderId="1" xfId="1" applyFont="1" applyBorder="1" applyAlignment="1">
      <alignment horizontal="left" vertical="center" wrapText="1"/>
    </xf>
    <xf numFmtId="0" fontId="10" fillId="0" borderId="0" xfId="0" applyFont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21" fillId="7" borderId="1" xfId="0" applyFont="1" applyFill="1" applyBorder="1" applyAlignment="1">
      <alignment horizontal="center" vertical="center"/>
    </xf>
    <xf numFmtId="43" fontId="10" fillId="0" borderId="10" xfId="1" applyFont="1" applyBorder="1" applyAlignment="1">
      <alignment horizontal="left" vertical="center" wrapText="1"/>
    </xf>
    <xf numFmtId="43" fontId="10" fillId="0" borderId="0" xfId="1" applyFont="1" applyBorder="1" applyAlignment="1">
      <alignment horizontal="left" vertical="center" wrapText="1"/>
    </xf>
    <xf numFmtId="43" fontId="10" fillId="4" borderId="1" xfId="1" applyFont="1" applyFill="1" applyBorder="1" applyAlignment="1">
      <alignment vertical="center" wrapText="1"/>
    </xf>
    <xf numFmtId="43" fontId="10" fillId="4" borderId="1" xfId="1" applyFont="1" applyFill="1" applyBorder="1" applyAlignment="1">
      <alignment horizontal="left" vertical="center" wrapText="1"/>
    </xf>
    <xf numFmtId="9" fontId="10" fillId="4" borderId="10" xfId="1" applyNumberFormat="1" applyFont="1" applyFill="1" applyBorder="1" applyAlignment="1">
      <alignment vertical="center" wrapText="1"/>
    </xf>
    <xf numFmtId="2" fontId="10" fillId="4" borderId="10" xfId="1" applyNumberFormat="1" applyFont="1" applyFill="1" applyBorder="1" applyAlignment="1">
      <alignment vertical="center" wrapText="1"/>
    </xf>
    <xf numFmtId="0" fontId="10" fillId="0" borderId="35" xfId="0" applyFont="1" applyBorder="1" applyAlignment="1">
      <alignment horizontal="left" vertical="center" wrapText="1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43" fontId="19" fillId="0" borderId="0" xfId="1" applyFont="1" applyAlignment="1">
      <alignment vertical="center"/>
    </xf>
    <xf numFmtId="43" fontId="19" fillId="0" borderId="0" xfId="1" applyFont="1" applyAlignment="1">
      <alignment horizontal="center" vertical="center"/>
    </xf>
    <xf numFmtId="0" fontId="26" fillId="5" borderId="0" xfId="0" applyFont="1" applyFill="1" applyAlignment="1">
      <alignment vertical="center"/>
    </xf>
    <xf numFmtId="43" fontId="26" fillId="5" borderId="0" xfId="1" applyFont="1" applyFill="1" applyBorder="1" applyAlignment="1">
      <alignment vertical="center"/>
    </xf>
    <xf numFmtId="0" fontId="26" fillId="0" borderId="0" xfId="0" applyFont="1" applyAlignment="1">
      <alignment vertical="center"/>
    </xf>
    <xf numFmtId="43" fontId="19" fillId="0" borderId="0" xfId="1" applyFont="1" applyBorder="1" applyAlignment="1">
      <alignment vertical="center"/>
    </xf>
    <xf numFmtId="43" fontId="19" fillId="0" borderId="0" xfId="1" applyFont="1" applyBorder="1" applyAlignment="1">
      <alignment horizontal="center" vertical="center"/>
    </xf>
    <xf numFmtId="44" fontId="10" fillId="0" borderId="1" xfId="10" applyFont="1" applyBorder="1" applyAlignment="1">
      <alignment horizontal="left" vertical="center" wrapText="1"/>
    </xf>
    <xf numFmtId="44" fontId="10" fillId="0" borderId="1" xfId="10" applyFont="1" applyBorder="1" applyAlignment="1">
      <alignment horizontal="center" vertical="center"/>
    </xf>
    <xf numFmtId="44" fontId="21" fillId="7" borderId="1" xfId="10" applyFont="1" applyFill="1" applyBorder="1" applyAlignment="1">
      <alignment horizontal="center" vertical="center"/>
    </xf>
    <xf numFmtId="44" fontId="27" fillId="8" borderId="6" xfId="10" applyFont="1" applyFill="1" applyBorder="1" applyAlignment="1">
      <alignment horizontal="center" vertical="center"/>
    </xf>
    <xf numFmtId="44" fontId="10" fillId="8" borderId="1" xfId="10" applyFont="1" applyFill="1" applyBorder="1" applyAlignment="1">
      <alignment horizontal="left" vertical="center" wrapText="1"/>
    </xf>
    <xf numFmtId="44" fontId="10" fillId="8" borderId="1" xfId="10" applyFont="1" applyFill="1" applyBorder="1" applyAlignment="1">
      <alignment horizontal="center" vertical="center"/>
    </xf>
    <xf numFmtId="44" fontId="19" fillId="0" borderId="0" xfId="10" applyFont="1" applyAlignment="1">
      <alignment vertical="center"/>
    </xf>
    <xf numFmtId="44" fontId="25" fillId="0" borderId="0" xfId="10" applyFont="1" applyAlignment="1">
      <alignment vertical="center"/>
    </xf>
    <xf numFmtId="44" fontId="26" fillId="5" borderId="0" xfId="10" applyFont="1" applyFill="1" applyBorder="1" applyAlignment="1">
      <alignment vertical="center"/>
    </xf>
    <xf numFmtId="44" fontId="26" fillId="0" borderId="0" xfId="10" applyFont="1" applyAlignment="1">
      <alignment vertical="center"/>
    </xf>
    <xf numFmtId="44" fontId="10" fillId="0" borderId="33" xfId="10" applyFont="1" applyBorder="1" applyAlignment="1">
      <alignment vertical="center"/>
    </xf>
    <xf numFmtId="44" fontId="18" fillId="0" borderId="0" xfId="10" applyFont="1" applyBorder="1" applyAlignment="1">
      <alignment vertical="center"/>
    </xf>
    <xf numFmtId="44" fontId="10" fillId="0" borderId="0" xfId="10" applyFont="1" applyAlignment="1">
      <alignment vertical="center"/>
    </xf>
    <xf numFmtId="44" fontId="21" fillId="7" borderId="1" xfId="10" applyFont="1" applyFill="1" applyBorder="1" applyAlignment="1">
      <alignment horizontal="center" vertical="center" wrapText="1"/>
    </xf>
    <xf numFmtId="44" fontId="18" fillId="0" borderId="0" xfId="10" applyFont="1" applyAlignment="1">
      <alignment vertical="center"/>
    </xf>
    <xf numFmtId="44" fontId="10" fillId="0" borderId="0" xfId="10" applyFont="1" applyBorder="1" applyAlignment="1">
      <alignment horizontal="center" vertical="center" wrapText="1"/>
    </xf>
    <xf numFmtId="44" fontId="17" fillId="0" borderId="0" xfId="10" applyFont="1" applyAlignment="1">
      <alignment vertical="center"/>
    </xf>
    <xf numFmtId="44" fontId="17" fillId="5" borderId="0" xfId="10" applyFont="1" applyFill="1" applyBorder="1" applyAlignment="1">
      <alignment vertical="center"/>
    </xf>
    <xf numFmtId="44" fontId="10" fillId="0" borderId="34" xfId="10" applyFont="1" applyBorder="1" applyAlignment="1">
      <alignment horizontal="center" vertical="center"/>
    </xf>
    <xf numFmtId="44" fontId="16" fillId="0" borderId="0" xfId="10" applyFont="1" applyAlignment="1">
      <alignment vertical="center"/>
    </xf>
    <xf numFmtId="44" fontId="23" fillId="8" borderId="6" xfId="10" applyFont="1" applyFill="1" applyBorder="1" applyAlignment="1">
      <alignment horizontal="center" vertical="center"/>
    </xf>
    <xf numFmtId="0" fontId="8" fillId="8" borderId="31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right" vertical="center" wrapText="1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3" fontId="3" fillId="0" borderId="0" xfId="1" applyFont="1" applyAlignment="1">
      <alignment horizontal="center" vertical="center"/>
    </xf>
    <xf numFmtId="43" fontId="3" fillId="0" borderId="0" xfId="1" applyFont="1" applyAlignment="1">
      <alignment vertical="center"/>
    </xf>
    <xf numFmtId="43" fontId="3" fillId="0" borderId="0" xfId="0" applyNumberFormat="1" applyFont="1" applyAlignment="1">
      <alignment vertical="center"/>
    </xf>
    <xf numFmtId="43" fontId="28" fillId="9" borderId="6" xfId="1" applyFont="1" applyFill="1" applyBorder="1" applyAlignment="1">
      <alignment horizontal="center" vertical="center"/>
    </xf>
    <xf numFmtId="43" fontId="28" fillId="10" borderId="6" xfId="1" applyFont="1" applyFill="1" applyBorder="1" applyAlignment="1">
      <alignment horizontal="center" vertical="center"/>
    </xf>
    <xf numFmtId="0" fontId="3" fillId="0" borderId="36" xfId="0" applyFont="1" applyBorder="1" applyAlignment="1">
      <alignment vertical="center"/>
    </xf>
    <xf numFmtId="0" fontId="3" fillId="0" borderId="37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43" fontId="3" fillId="0" borderId="39" xfId="1" applyFont="1" applyBorder="1" applyAlignment="1">
      <alignment horizontal="center" vertical="center" wrapText="1"/>
    </xf>
    <xf numFmtId="43" fontId="28" fillId="10" borderId="40" xfId="1" applyFont="1" applyFill="1" applyBorder="1" applyAlignment="1">
      <alignment horizontal="center" vertical="center"/>
    </xf>
    <xf numFmtId="0" fontId="28" fillId="0" borderId="39" xfId="0" applyFont="1" applyBorder="1" applyAlignment="1">
      <alignment vertical="center"/>
    </xf>
    <xf numFmtId="43" fontId="3" fillId="0" borderId="43" xfId="1" applyFont="1" applyBorder="1" applyAlignment="1">
      <alignment horizontal="center" vertical="center" wrapText="1"/>
    </xf>
    <xf numFmtId="43" fontId="3" fillId="0" borderId="44" xfId="1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 wrapText="1"/>
    </xf>
    <xf numFmtId="0" fontId="3" fillId="0" borderId="46" xfId="0" applyFont="1" applyBorder="1" applyAlignment="1">
      <alignment horizontal="center" vertical="center"/>
    </xf>
    <xf numFmtId="166" fontId="3" fillId="0" borderId="47" xfId="1" applyNumberFormat="1" applyFont="1" applyBorder="1" applyAlignment="1">
      <alignment horizontal="center" vertical="center"/>
    </xf>
    <xf numFmtId="43" fontId="3" fillId="0" borderId="47" xfId="1" applyFont="1" applyBorder="1" applyAlignment="1">
      <alignment horizontal="center" vertical="center" wrapText="1"/>
    </xf>
    <xf numFmtId="0" fontId="3" fillId="0" borderId="48" xfId="0" applyFont="1" applyBorder="1" applyAlignment="1">
      <alignment horizontal="center" vertical="center"/>
    </xf>
    <xf numFmtId="0" fontId="3" fillId="0" borderId="39" xfId="0" applyFont="1" applyBorder="1" applyAlignment="1">
      <alignment vertical="center"/>
    </xf>
    <xf numFmtId="0" fontId="28" fillId="9" borderId="50" xfId="0" applyFont="1" applyFill="1" applyBorder="1" applyAlignment="1">
      <alignment horizontal="center" vertical="center"/>
    </xf>
    <xf numFmtId="0" fontId="28" fillId="9" borderId="51" xfId="0" applyFont="1" applyFill="1" applyBorder="1" applyAlignment="1">
      <alignment horizontal="center" vertical="center"/>
    </xf>
    <xf numFmtId="0" fontId="28" fillId="9" borderId="54" xfId="0" applyFont="1" applyFill="1" applyBorder="1" applyAlignment="1">
      <alignment horizontal="left" vertical="center"/>
    </xf>
    <xf numFmtId="0" fontId="28" fillId="0" borderId="0" xfId="0" applyFont="1" applyAlignment="1">
      <alignment vertical="center"/>
    </xf>
    <xf numFmtId="43" fontId="28" fillId="0" borderId="0" xfId="1" applyFont="1" applyBorder="1" applyAlignment="1">
      <alignment horizontal="center" vertical="center"/>
    </xf>
    <xf numFmtId="43" fontId="28" fillId="0" borderId="0" xfId="1" applyFont="1" applyBorder="1" applyAlignment="1">
      <alignment vertical="center"/>
    </xf>
    <xf numFmtId="0" fontId="30" fillId="0" borderId="55" xfId="0" applyFont="1" applyBorder="1" applyAlignment="1">
      <alignment vertical="center"/>
    </xf>
    <xf numFmtId="0" fontId="3" fillId="0" borderId="56" xfId="0" applyFont="1" applyBorder="1" applyAlignment="1">
      <alignment vertical="center"/>
    </xf>
    <xf numFmtId="0" fontId="3" fillId="0" borderId="57" xfId="0" applyFont="1" applyBorder="1" applyAlignment="1">
      <alignment vertical="center"/>
    </xf>
    <xf numFmtId="0" fontId="3" fillId="0" borderId="57" xfId="0" applyFont="1" applyBorder="1" applyAlignment="1">
      <alignment horizontal="center" vertical="center"/>
    </xf>
    <xf numFmtId="43" fontId="3" fillId="0" borderId="57" xfId="1" applyFont="1" applyBorder="1" applyAlignment="1">
      <alignment horizontal="center" vertical="center"/>
    </xf>
    <xf numFmtId="43" fontId="3" fillId="0" borderId="57" xfId="1" applyFont="1" applyBorder="1" applyAlignment="1">
      <alignment vertical="center"/>
    </xf>
    <xf numFmtId="0" fontId="30" fillId="0" borderId="58" xfId="0" applyFont="1" applyBorder="1" applyAlignment="1">
      <alignment vertical="center"/>
    </xf>
    <xf numFmtId="14" fontId="3" fillId="11" borderId="59" xfId="0" applyNumberFormat="1" applyFont="1" applyFill="1" applyBorder="1" applyAlignment="1">
      <alignment vertical="center"/>
    </xf>
    <xf numFmtId="14" fontId="3" fillId="11" borderId="60" xfId="0" applyNumberFormat="1" applyFont="1" applyFill="1" applyBorder="1" applyAlignment="1">
      <alignment vertical="center"/>
    </xf>
    <xf numFmtId="14" fontId="3" fillId="11" borderId="61" xfId="0" applyNumberFormat="1" applyFont="1" applyFill="1" applyBorder="1" applyAlignment="1">
      <alignment vertical="center"/>
    </xf>
    <xf numFmtId="0" fontId="3" fillId="12" borderId="62" xfId="0" applyFont="1" applyFill="1" applyBorder="1" applyAlignment="1">
      <alignment horizontal="left" vertical="center"/>
    </xf>
    <xf numFmtId="14" fontId="3" fillId="11" borderId="63" xfId="0" applyNumberFormat="1" applyFont="1" applyFill="1" applyBorder="1" applyAlignment="1">
      <alignment horizontal="left" vertical="center"/>
    </xf>
    <xf numFmtId="14" fontId="3" fillId="11" borderId="64" xfId="0" applyNumberFormat="1" applyFont="1" applyFill="1" applyBorder="1" applyAlignment="1">
      <alignment horizontal="left" vertical="center"/>
    </xf>
    <xf numFmtId="14" fontId="3" fillId="11" borderId="61" xfId="0" applyNumberFormat="1" applyFont="1" applyFill="1" applyBorder="1" applyAlignment="1">
      <alignment horizontal="left" vertical="center"/>
    </xf>
    <xf numFmtId="0" fontId="3" fillId="12" borderId="65" xfId="0" applyFont="1" applyFill="1" applyBorder="1" applyAlignment="1">
      <alignment vertical="center"/>
    </xf>
    <xf numFmtId="14" fontId="3" fillId="11" borderId="63" xfId="0" applyNumberFormat="1" applyFont="1" applyFill="1" applyBorder="1" applyAlignment="1">
      <alignment vertical="center"/>
    </xf>
    <xf numFmtId="14" fontId="3" fillId="11" borderId="64" xfId="0" applyNumberFormat="1" applyFont="1" applyFill="1" applyBorder="1" applyAlignment="1">
      <alignment vertical="center"/>
    </xf>
    <xf numFmtId="49" fontId="3" fillId="11" borderId="61" xfId="0" applyNumberFormat="1" applyFont="1" applyFill="1" applyBorder="1" applyAlignment="1">
      <alignment vertical="center"/>
    </xf>
    <xf numFmtId="0" fontId="31" fillId="12" borderId="65" xfId="0" applyFont="1" applyFill="1" applyBorder="1" applyAlignment="1">
      <alignment vertical="center"/>
    </xf>
    <xf numFmtId="0" fontId="3" fillId="11" borderId="66" xfId="0" applyFont="1" applyFill="1" applyBorder="1" applyAlignment="1">
      <alignment vertical="center"/>
    </xf>
    <xf numFmtId="0" fontId="3" fillId="11" borderId="67" xfId="0" applyFont="1" applyFill="1" applyBorder="1" applyAlignment="1">
      <alignment vertical="center"/>
    </xf>
    <xf numFmtId="0" fontId="3" fillId="11" borderId="61" xfId="0" applyFont="1" applyFill="1" applyBorder="1" applyAlignment="1">
      <alignment vertical="center"/>
    </xf>
    <xf numFmtId="0" fontId="31" fillId="12" borderId="68" xfId="0" applyFont="1" applyFill="1" applyBorder="1" applyAlignment="1">
      <alignment vertical="center"/>
    </xf>
    <xf numFmtId="0" fontId="29" fillId="0" borderId="0" xfId="0" applyFont="1" applyAlignment="1">
      <alignment vertical="center"/>
    </xf>
    <xf numFmtId="0" fontId="3" fillId="12" borderId="0" xfId="0" applyFont="1" applyFill="1" applyAlignment="1">
      <alignment vertical="center"/>
    </xf>
    <xf numFmtId="0" fontId="29" fillId="0" borderId="69" xfId="0" applyFont="1" applyBorder="1" applyAlignment="1">
      <alignment vertical="center"/>
    </xf>
    <xf numFmtId="0" fontId="3" fillId="0" borderId="69" xfId="0" applyFont="1" applyBorder="1" applyAlignment="1">
      <alignment vertical="center"/>
    </xf>
    <xf numFmtId="0" fontId="3" fillId="12" borderId="69" xfId="0" applyFont="1" applyFill="1" applyBorder="1" applyAlignment="1">
      <alignment vertical="center"/>
    </xf>
    <xf numFmtId="0" fontId="32" fillId="0" borderId="0" xfId="0" applyFont="1" applyAlignment="1">
      <alignment vertical="center"/>
    </xf>
    <xf numFmtId="43" fontId="3" fillId="0" borderId="37" xfId="0" applyNumberFormat="1" applyFont="1" applyBorder="1" applyAlignment="1">
      <alignment vertical="center"/>
    </xf>
    <xf numFmtId="0" fontId="3" fillId="0" borderId="70" xfId="0" applyFont="1" applyBorder="1" applyAlignment="1">
      <alignment horizontal="center" vertical="center" wrapText="1"/>
    </xf>
    <xf numFmtId="166" fontId="3" fillId="0" borderId="71" xfId="1" applyNumberFormat="1" applyFont="1" applyBorder="1" applyAlignment="1">
      <alignment horizontal="center" vertical="center"/>
    </xf>
    <xf numFmtId="43" fontId="3" fillId="0" borderId="71" xfId="1" applyFont="1" applyBorder="1" applyAlignment="1">
      <alignment horizontal="center" vertical="center" wrapText="1"/>
    </xf>
    <xf numFmtId="43" fontId="3" fillId="0" borderId="72" xfId="1" applyFont="1" applyBorder="1" applyAlignment="1">
      <alignment horizontal="center" vertical="center" wrapText="1"/>
    </xf>
    <xf numFmtId="0" fontId="3" fillId="0" borderId="73" xfId="0" applyFont="1" applyBorder="1" applyAlignment="1">
      <alignment horizontal="left" vertical="center" wrapText="1"/>
    </xf>
    <xf numFmtId="0" fontId="3" fillId="0" borderId="74" xfId="0" applyFont="1" applyBorder="1" applyAlignment="1">
      <alignment horizontal="left" vertical="center" wrapText="1"/>
    </xf>
    <xf numFmtId="0" fontId="3" fillId="0" borderId="73" xfId="0" applyFont="1" applyBorder="1" applyAlignment="1">
      <alignment vertical="center" wrapText="1"/>
    </xf>
    <xf numFmtId="2" fontId="3" fillId="0" borderId="43" xfId="1" applyNumberFormat="1" applyFont="1" applyBorder="1" applyAlignment="1">
      <alignment horizontal="center" vertical="center" wrapText="1"/>
    </xf>
    <xf numFmtId="43" fontId="0" fillId="0" borderId="0" xfId="0" applyNumberFormat="1"/>
    <xf numFmtId="43" fontId="28" fillId="10" borderId="77" xfId="1" applyFont="1" applyFill="1" applyBorder="1" applyAlignment="1">
      <alignment horizontal="center" vertical="center"/>
    </xf>
    <xf numFmtId="166" fontId="29" fillId="0" borderId="71" xfId="1" applyNumberFormat="1" applyFont="1" applyBorder="1" applyAlignment="1">
      <alignment horizontal="center" vertical="center"/>
    </xf>
    <xf numFmtId="0" fontId="29" fillId="0" borderId="74" xfId="0" applyFont="1" applyBorder="1" applyAlignment="1">
      <alignment horizontal="left" vertical="center" wrapText="1"/>
    </xf>
    <xf numFmtId="43" fontId="29" fillId="0" borderId="72" xfId="1" applyFont="1" applyBorder="1" applyAlignment="1">
      <alignment horizontal="center" vertical="center" wrapText="1"/>
    </xf>
    <xf numFmtId="0" fontId="29" fillId="0" borderId="73" xfId="0" applyFont="1" applyBorder="1" applyAlignment="1">
      <alignment vertical="center" wrapText="1"/>
    </xf>
    <xf numFmtId="0" fontId="29" fillId="0" borderId="73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43" fontId="0" fillId="0" borderId="0" xfId="0" applyNumberFormat="1" applyAlignment="1">
      <alignment vertical="center"/>
    </xf>
    <xf numFmtId="43" fontId="35" fillId="0" borderId="0" xfId="1" applyFont="1" applyBorder="1" applyAlignment="1">
      <alignment vertical="center"/>
    </xf>
    <xf numFmtId="43" fontId="29" fillId="0" borderId="0" xfId="1" applyFont="1" applyFill="1" applyBorder="1" applyAlignment="1">
      <alignment horizontal="center" vertical="center" wrapText="1"/>
    </xf>
    <xf numFmtId="43" fontId="29" fillId="0" borderId="49" xfId="1" applyFont="1" applyFill="1" applyBorder="1" applyAlignment="1">
      <alignment horizontal="center" vertical="center" wrapText="1"/>
    </xf>
    <xf numFmtId="44" fontId="10" fillId="0" borderId="1" xfId="10" applyFont="1" applyBorder="1" applyAlignment="1">
      <alignment vertical="center" wrapText="1"/>
    </xf>
    <xf numFmtId="0" fontId="9" fillId="5" borderId="1" xfId="0" applyFont="1" applyFill="1" applyBorder="1" applyAlignment="1">
      <alignment vertical="center" wrapText="1"/>
    </xf>
    <xf numFmtId="0" fontId="6" fillId="2" borderId="79" xfId="0" applyFont="1" applyFill="1" applyBorder="1" applyAlignment="1">
      <alignment vertical="center" wrapText="1"/>
    </xf>
    <xf numFmtId="0" fontId="6" fillId="2" borderId="33" xfId="0" applyFont="1" applyFill="1" applyBorder="1" applyAlignment="1">
      <alignment vertical="center" wrapText="1"/>
    </xf>
    <xf numFmtId="0" fontId="6" fillId="2" borderId="80" xfId="0" applyFont="1" applyFill="1" applyBorder="1" applyAlignment="1">
      <alignment vertical="center" wrapText="1"/>
    </xf>
    <xf numFmtId="0" fontId="6" fillId="2" borderId="10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vertical="center" wrapText="1"/>
    </xf>
    <xf numFmtId="14" fontId="6" fillId="2" borderId="2" xfId="0" applyNumberFormat="1" applyFont="1" applyFill="1" applyBorder="1" applyAlignment="1">
      <alignment vertical="center" wrapText="1"/>
    </xf>
    <xf numFmtId="0" fontId="6" fillId="2" borderId="79" xfId="0" applyFont="1" applyFill="1" applyBorder="1" applyAlignment="1">
      <alignment horizontal="center" vertical="center" wrapText="1"/>
    </xf>
    <xf numFmtId="43" fontId="37" fillId="4" borderId="10" xfId="1" applyFont="1" applyFill="1" applyBorder="1" applyAlignment="1">
      <alignment vertical="center" wrapText="1"/>
    </xf>
    <xf numFmtId="44" fontId="19" fillId="0" borderId="0" xfId="0" applyNumberFormat="1" applyFont="1" applyAlignment="1">
      <alignment vertical="center"/>
    </xf>
    <xf numFmtId="44" fontId="16" fillId="0" borderId="0" xfId="0" applyNumberFormat="1" applyFont="1" applyAlignment="1">
      <alignment vertical="center"/>
    </xf>
    <xf numFmtId="43" fontId="29" fillId="0" borderId="0" xfId="0" applyNumberFormat="1" applyFont="1" applyAlignment="1">
      <alignment vertical="center"/>
    </xf>
    <xf numFmtId="43" fontId="26" fillId="0" borderId="1" xfId="1" applyFont="1" applyBorder="1" applyAlignment="1">
      <alignment vertical="center" wrapText="1"/>
    </xf>
    <xf numFmtId="0" fontId="10" fillId="0" borderId="35" xfId="0" applyFont="1" applyBorder="1" applyAlignment="1">
      <alignment vertical="center" wrapText="1"/>
    </xf>
    <xf numFmtId="43" fontId="7" fillId="2" borderId="0" xfId="0" applyNumberFormat="1" applyFont="1" applyFill="1" applyAlignment="1">
      <alignment horizontal="center"/>
    </xf>
    <xf numFmtId="43" fontId="26" fillId="4" borderId="10" xfId="1" applyFont="1" applyFill="1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81" xfId="0" applyFont="1" applyBorder="1" applyAlignment="1">
      <alignment horizontal="left" vertical="center" wrapText="1"/>
    </xf>
    <xf numFmtId="43" fontId="3" fillId="0" borderId="55" xfId="1" applyFont="1" applyBorder="1" applyAlignment="1">
      <alignment horizontal="center" vertical="center" wrapText="1"/>
    </xf>
    <xf numFmtId="43" fontId="3" fillId="0" borderId="82" xfId="1" applyFont="1" applyBorder="1" applyAlignment="1">
      <alignment horizontal="center" vertical="center" wrapText="1"/>
    </xf>
    <xf numFmtId="0" fontId="11" fillId="3" borderId="16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3" borderId="18" xfId="0" applyFont="1" applyFill="1" applyBorder="1" applyAlignment="1">
      <alignment horizontal="center" vertical="center" wrapText="1"/>
    </xf>
    <xf numFmtId="0" fontId="8" fillId="8" borderId="7" xfId="0" applyFont="1" applyFill="1" applyBorder="1" applyAlignment="1">
      <alignment horizontal="center" vertical="center" wrapText="1"/>
    </xf>
    <xf numFmtId="0" fontId="8" fillId="8" borderId="32" xfId="0" applyFont="1" applyFill="1" applyBorder="1" applyAlignment="1">
      <alignment horizontal="center" vertical="center" wrapText="1"/>
    </xf>
    <xf numFmtId="0" fontId="8" fillId="8" borderId="31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right" vertical="center" wrapText="1"/>
    </xf>
    <xf numFmtId="0" fontId="11" fillId="3" borderId="2" xfId="0" applyFont="1" applyFill="1" applyBorder="1" applyAlignment="1">
      <alignment horizontal="left" vertical="center" wrapText="1"/>
    </xf>
    <xf numFmtId="0" fontId="11" fillId="3" borderId="10" xfId="0" applyFont="1" applyFill="1" applyBorder="1" applyAlignment="1">
      <alignment horizontal="left" vertical="center"/>
    </xf>
    <xf numFmtId="0" fontId="11" fillId="3" borderId="3" xfId="0" applyFont="1" applyFill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21" fillId="7" borderId="2" xfId="0" applyFont="1" applyFill="1" applyBorder="1" applyAlignment="1">
      <alignment horizontal="center" vertical="center" wrapText="1"/>
    </xf>
    <xf numFmtId="0" fontId="21" fillId="7" borderId="3" xfId="0" applyFont="1" applyFill="1" applyBorder="1" applyAlignment="1">
      <alignment horizontal="center" vertical="center" wrapText="1"/>
    </xf>
    <xf numFmtId="0" fontId="21" fillId="8" borderId="7" xfId="0" applyFont="1" applyFill="1" applyBorder="1" applyAlignment="1">
      <alignment horizontal="center" vertical="center" wrapText="1"/>
    </xf>
    <xf numFmtId="0" fontId="21" fillId="8" borderId="32" xfId="0" applyFont="1" applyFill="1" applyBorder="1" applyAlignment="1">
      <alignment horizontal="center" vertical="center" wrapText="1"/>
    </xf>
    <xf numFmtId="0" fontId="21" fillId="8" borderId="31" xfId="0" applyFont="1" applyFill="1" applyBorder="1" applyAlignment="1">
      <alignment horizontal="center" vertical="center" wrapText="1"/>
    </xf>
    <xf numFmtId="0" fontId="10" fillId="0" borderId="35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 wrapText="1"/>
    </xf>
    <xf numFmtId="0" fontId="11" fillId="3" borderId="10" xfId="0" applyFont="1" applyFill="1" applyBorder="1" applyAlignment="1">
      <alignment horizontal="left" vertical="center" wrapText="1"/>
    </xf>
    <xf numFmtId="0" fontId="32" fillId="0" borderId="0" xfId="0" applyFont="1" applyAlignment="1">
      <alignment horizontal="left" vertical="center" wrapText="1"/>
    </xf>
    <xf numFmtId="0" fontId="0" fillId="0" borderId="0" xfId="0"/>
    <xf numFmtId="0" fontId="28" fillId="10" borderId="6" xfId="0" applyFont="1" applyFill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28" fillId="10" borderId="42" xfId="0" applyFont="1" applyFill="1" applyBorder="1" applyAlignment="1">
      <alignment horizontal="center" vertical="center" wrapText="1"/>
    </xf>
    <xf numFmtId="0" fontId="28" fillId="10" borderId="41" xfId="0" applyFont="1" applyFill="1" applyBorder="1" applyAlignment="1">
      <alignment horizontal="center" vertical="center" wrapText="1"/>
    </xf>
    <xf numFmtId="43" fontId="28" fillId="9" borderId="53" xfId="1" applyFont="1" applyFill="1" applyBorder="1" applyAlignment="1">
      <alignment horizontal="center" vertical="center"/>
    </xf>
    <xf numFmtId="43" fontId="28" fillId="9" borderId="52" xfId="1" applyFont="1" applyFill="1" applyBorder="1" applyAlignment="1">
      <alignment horizontal="center" vertical="center"/>
    </xf>
    <xf numFmtId="0" fontId="28" fillId="9" borderId="53" xfId="0" applyFont="1" applyFill="1" applyBorder="1" applyAlignment="1">
      <alignment horizontal="center" vertical="center"/>
    </xf>
    <xf numFmtId="0" fontId="28" fillId="9" borderId="52" xfId="0" applyFont="1" applyFill="1" applyBorder="1" applyAlignment="1">
      <alignment horizontal="center" vertical="center"/>
    </xf>
    <xf numFmtId="0" fontId="3" fillId="0" borderId="76" xfId="0" applyFont="1" applyBorder="1" applyAlignment="1">
      <alignment horizontal="center" vertical="center"/>
    </xf>
    <xf numFmtId="0" fontId="3" fillId="0" borderId="75" xfId="0" applyFont="1" applyBorder="1" applyAlignment="1">
      <alignment horizontal="center" vertical="center"/>
    </xf>
    <xf numFmtId="0" fontId="28" fillId="10" borderId="78" xfId="0" applyFont="1" applyFill="1" applyBorder="1" applyAlignment="1">
      <alignment horizontal="center" vertical="center" wrapText="1"/>
    </xf>
    <xf numFmtId="0" fontId="3" fillId="0" borderId="53" xfId="0" applyFont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</cellXfs>
  <cellStyles count="11">
    <cellStyle name="Moeda" xfId="10" builtinId="4"/>
    <cellStyle name="Normal" xfId="0" builtinId="0"/>
    <cellStyle name="Normal 2" xfId="2" xr:uid="{00000000-0005-0000-0000-000001000000}"/>
    <cellStyle name="Normal 3" xfId="7" xr:uid="{E04F1BAC-8E74-4A37-9445-C7335308FD48}"/>
    <cellStyle name="Normal 7" xfId="5" xr:uid="{B5D56057-44D1-4A2B-9814-263CBEA5E92D}"/>
    <cellStyle name="Porcentagem" xfId="6" builtinId="5"/>
    <cellStyle name="Vírgula" xfId="1" builtinId="3"/>
    <cellStyle name="Vírgula 2" xfId="3" xr:uid="{00000000-0005-0000-0000-000003000000}"/>
    <cellStyle name="Vírgula 3" xfId="4" xr:uid="{CB7286E0-BC89-40FF-A0E8-A589AC34F77F}"/>
    <cellStyle name="Vírgula 3 2" xfId="8" xr:uid="{D82165B7-4EED-487C-97CF-88B56AB4ACE7}"/>
    <cellStyle name="Vírgula 4" xfId="9" xr:uid="{36500701-2F34-46A0-BEC0-E5982B15FF0A}"/>
  </cellStyles>
  <dxfs count="0"/>
  <tableStyles count="0" defaultTableStyle="TableStyleMedium2" defaultPivotStyle="PivotStyleLight16"/>
  <colors>
    <mruColors>
      <color rgb="FF003C66"/>
      <color rgb="FF0016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97595</xdr:colOff>
      <xdr:row>0</xdr:row>
      <xdr:rowOff>225491</xdr:rowOff>
    </xdr:from>
    <xdr:to>
      <xdr:col>6</xdr:col>
      <xdr:colOff>1521657</xdr:colOff>
      <xdr:row>2</xdr:row>
      <xdr:rowOff>4341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D0A8EF1-5172-424E-904A-801C19BD0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3045" y="225491"/>
          <a:ext cx="1424062" cy="2398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2602761</xdr:colOff>
      <xdr:row>20</xdr:row>
      <xdr:rowOff>189548</xdr:rowOff>
    </xdr:from>
    <xdr:to>
      <xdr:col>12</xdr:col>
      <xdr:colOff>376477</xdr:colOff>
      <xdr:row>29</xdr:row>
      <xdr:rowOff>116336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FB9A8DA-F3D6-EDC8-D06F-560BD0229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32811" y="6295073"/>
          <a:ext cx="4717441" cy="241281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697051</xdr:colOff>
      <xdr:row>1</xdr:row>
      <xdr:rowOff>67508</xdr:rowOff>
    </xdr:from>
    <xdr:ext cx="1428750" cy="276225"/>
    <xdr:pic>
      <xdr:nvPicPr>
        <xdr:cNvPr id="2" name="image1.png">
          <a:extLst>
            <a:ext uri="{FF2B5EF4-FFF2-40B4-BE49-F238E27FC236}">
              <a16:creationId xmlns:a16="http://schemas.microsoft.com/office/drawing/2014/main" id="{8887FC87-A112-41C2-8D6C-E71A2E39EE4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9326" y="258008"/>
          <a:ext cx="1428750" cy="27622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697051</xdr:colOff>
      <xdr:row>1</xdr:row>
      <xdr:rowOff>67508</xdr:rowOff>
    </xdr:from>
    <xdr:ext cx="1428750" cy="276225"/>
    <xdr:pic>
      <xdr:nvPicPr>
        <xdr:cNvPr id="2" name="image1.png">
          <a:extLst>
            <a:ext uri="{FF2B5EF4-FFF2-40B4-BE49-F238E27FC236}">
              <a16:creationId xmlns:a16="http://schemas.microsoft.com/office/drawing/2014/main" id="{0CD5673A-8A7E-4D4B-95CE-ED066E23081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9326" y="258008"/>
          <a:ext cx="1428750" cy="276225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697051</xdr:colOff>
      <xdr:row>1</xdr:row>
      <xdr:rowOff>67508</xdr:rowOff>
    </xdr:from>
    <xdr:ext cx="1428750" cy="276225"/>
    <xdr:pic>
      <xdr:nvPicPr>
        <xdr:cNvPr id="2" name="image1.png">
          <a:extLst>
            <a:ext uri="{FF2B5EF4-FFF2-40B4-BE49-F238E27FC236}">
              <a16:creationId xmlns:a16="http://schemas.microsoft.com/office/drawing/2014/main" id="{11B8AAF6-A5B4-4006-9C3C-189C0CC6AAC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9326" y="258008"/>
          <a:ext cx="1428750" cy="276225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essandra\trabalho\TRABALHO\EXCEL\M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nia\meus%20documen\2004\24001_Pedagio%20km%2026\Planilhas\24001-1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6oaQUYgx8kiowDwLhg-oO1zGZ777DJUb\2.%20Propostas%20Fechadas\AS%20Ramos%20-%2001.2022\02.%20Paessaggio\02.%20Escopo\02.4%20Escopo%20-%20Extra&#231;&#227;o%20de%20quantitativos\CTN_ORC_ED%20PAESAGGIO_MOD_ARQ_R04.xlsx" TargetMode="External"/><Relationship Id="rId1" Type="http://schemas.openxmlformats.org/officeDocument/2006/relationships/externalLinkPath" Target="/.shortcut-targets-by-id/16oaQUYgx8kiowDwLhg-oO1zGZ777DJUb/2.%20Projetos%20em%20Andamento/AS%20Ramos%20-%2001.2022/02.%20Paessaggio/02.%20Escopo/02.4%20Escopo%20-%20Extra&#231;&#227;o%20de%20quantitativos/CTN_ORC_ED%20PAESAGGIO_MOD_ARQ_R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.O."/>
      <sheetName val="Encargos Sociais"/>
      <sheetName val="BDI"/>
      <sheetName val="M_O_"/>
      <sheetName val="Esquadrias"/>
      <sheetName val="Plan"/>
      <sheetName val="EstConFund"/>
      <sheetName val="EstConElev"/>
      <sheetName val="Par"/>
      <sheetName val="Pisocon"/>
      <sheetName val="AcabPar"/>
      <sheetName val="AcabPiso"/>
      <sheetName val="AcabForro"/>
      <sheetName val="Resumo Estrutura"/>
      <sheetName val="Estrutura - Vigas mold in-loco"/>
      <sheetName val="Estrutura - Lajes"/>
      <sheetName val="Estrutura - Cimbramento"/>
      <sheetName val="Estrutura - Escadas"/>
      <sheetName val="Estrutura - Pilar"/>
      <sheetName val="M_O_1"/>
      <sheetName val="Encargos_Sociais"/>
      <sheetName val="Resumo_Estrutura"/>
      <sheetName val="Estrutura_-_Vigas_mold_in-loco"/>
      <sheetName val="Estrutura_-_Lajes"/>
      <sheetName val="Estrutura_-_Cimbramento"/>
      <sheetName val="Estrutura_-_Escadas"/>
      <sheetName val="Estrutura_-_Pilar"/>
      <sheetName val="P   CARGOS SAL CARAJAS "/>
      <sheetName val=""/>
      <sheetName val="Orc_Pad_Edif_Analítico"/>
      <sheetName val="Orc_Compl_Analítico"/>
      <sheetName val="Orc_Compl_Aberto"/>
      <sheetName val="M_O_2"/>
      <sheetName val="Encargos_Sociais1"/>
      <sheetName val="Resumo_Estrutura1"/>
      <sheetName val="Estrutura_-_Vigas_mold_in-loco1"/>
      <sheetName val="Estrutura_-_Lajes1"/>
      <sheetName val="Estrutura_-_Cimbramento1"/>
      <sheetName val="Estrutura_-_Escadas1"/>
      <sheetName val="Estrutura_-_Pilar1"/>
      <sheetName val="P___CARGOS_SAL_CARAJAS_"/>
      <sheetName val="M_O_3"/>
      <sheetName val="Encargos_Sociais2"/>
      <sheetName val="Resumo_Estrutura2"/>
      <sheetName val="Estrutura_-_Vigas_mold_in-loco2"/>
      <sheetName val="Estrutura_-_Lajes2"/>
      <sheetName val="Estrutura_-_Cimbramento2"/>
      <sheetName val="Estrutura_-_Escadas2"/>
      <sheetName val="Estrutura_-_Pilar2"/>
      <sheetName val="P___CARGOS_SAL_CARAJAS_1"/>
      <sheetName val="PQP"/>
      <sheetName val="Preco"/>
      <sheetName val="Resumo"/>
      <sheetName val="Sapatas TORRE 1"/>
      <sheetName val="Sapatas TORRE 2"/>
      <sheetName val="Sapatas TORRE 3"/>
      <sheetName val="Blocos"/>
      <sheetName val="Armação Sapata-Torre 1 "/>
      <sheetName val="Armação Sapata-Torre 2"/>
      <sheetName val="Armação Sapata-Torre 3"/>
      <sheetName val="Baldrames Torre 1"/>
      <sheetName val="Baldrames Torre 2"/>
      <sheetName val="Baldrames Torre 3"/>
      <sheetName val="Armação Baldrame  Torre 1"/>
      <sheetName val="Armação Baldrame  Torre 2"/>
      <sheetName val="Armação Baldrame  Torre 3"/>
      <sheetName val="Lajes Fundo Ele Torre 1 e 2"/>
      <sheetName val="Lajes Fundo Ele Torre 3"/>
      <sheetName val="Piso Armado Térreo Torre 1 e 2"/>
      <sheetName val="Piso Armado Térreo Torre3"/>
      <sheetName val="Armação Piso Armado Torre 1"/>
      <sheetName val="Armação Piso Armado Torre 2"/>
      <sheetName val="Armação Piso Armado Torre 3"/>
      <sheetName val="Pilar retangular"/>
      <sheetName val="Vigas TORRE 1 e 2"/>
      <sheetName val="Vigas TORRE 3"/>
      <sheetName val="Armação Vigas Torre 1 e 2"/>
      <sheetName val="Armação Vigas Torre 3"/>
      <sheetName val="Lajes Torres  1 e 2"/>
      <sheetName val="Lajes Torre 3"/>
      <sheetName val="Armação Lajes Torre 1 e 2"/>
      <sheetName val="Armação Lajes Torre 3"/>
      <sheetName val="Escada - Torre 1 e 2"/>
      <sheetName val="Escada - Torre 3"/>
      <sheetName val="Armação Escada Torres 1 e 2"/>
      <sheetName val="Armação Escada Torre 3 "/>
      <sheetName val="Telhado Torres 1 e 2"/>
      <sheetName val="Telhado Torres 3"/>
      <sheetName val="Fachada Torres 1 e 2"/>
      <sheetName val="Fachada Torre 3"/>
      <sheetName val="Alvenaria Estrutural ok"/>
      <sheetName val="Alvenaria Vedação"/>
      <sheetName val="Louças e Metais ok"/>
      <sheetName val="Impermeabilização Torres 1 e 2"/>
      <sheetName val="Impermeabilização Torre 3"/>
      <sheetName val="Bases Rev Interno1"/>
      <sheetName val="Revest. Interno 1"/>
      <sheetName val="Armação Vigas Cobertura"/>
      <sheetName val="Armação Alv vert ok"/>
      <sheetName val="Armação Cintas Horizontais"/>
      <sheetName val="Resumo Esquadria e Peitoril ok"/>
      <sheetName val="Armação Estrutura"/>
      <sheetName val="Armação Pilares"/>
      <sheetName val="Alvenaria Estrutural Embasament"/>
      <sheetName val="Esquadria"/>
      <sheetName val="Diversos"/>
      <sheetName val="Esquadrias ok"/>
      <sheetName val="Armação Lajes Fundo Ele ok"/>
      <sheetName val="Graute vert ok"/>
      <sheetName val="Armação Alv Embasamento hor ok"/>
      <sheetName val="Orc_Pad_Edif_Anal�tico"/>
      <sheetName val="Orc_Compl_Anal�tico"/>
      <sheetName val="2"/>
      <sheetName val="EVCO-set-04"/>
      <sheetName val="M_O_4"/>
      <sheetName val="Encargos_Sociais3"/>
      <sheetName val="Resumo_Estrutura3"/>
      <sheetName val="Estrutura_-_Vigas_mold_in-loco3"/>
      <sheetName val="Estrutura_-_Lajes3"/>
      <sheetName val="Estrutura_-_Cimbramento3"/>
      <sheetName val="Estrutura_-_Escadas3"/>
      <sheetName val="Estrutura_-_Pilar3"/>
      <sheetName val="P___CARGOS_SAL_CARAJAS_2"/>
      <sheetName val="Bomb"/>
      <sheetName val="9-Cron Financeiro"/>
      <sheetName val="8-Cron Fisico"/>
      <sheetName val="MP+Insumos"/>
      <sheetName val="CONSIDERAÇÕES"/>
      <sheetName val="MDO"/>
      <sheetName val="curva"/>
      <sheetName val="Planilha1"/>
      <sheetName val="CPU"/>
      <sheetName val="Insumos"/>
      <sheetName val="Planilha Orçamentária Modelo"/>
      <sheetName val="Fechamento"/>
      <sheetName val="Planilha2"/>
      <sheetName val="Fec. reengenharia"/>
      <sheetName val="Cpu's"/>
      <sheetName val="Curva de serviços"/>
      <sheetName val="0.Resumo"/>
      <sheetName val="Serviços indiretos"/>
      <sheetName val="PQU - Fundação e estrutura"/>
      <sheetName val="Pavilhao de Apoio"/>
      <sheetName val="SUBESTAÇÃO"/>
      <sheetName val="RESERVATORIO CASA DE BOMBA"/>
      <sheetName val="Baldrame"/>
      <sheetName val="Paredes"/>
      <sheetName val="Sapata isolada"/>
      <sheetName val="Acabamentos"/>
      <sheetName val="Resumo concreto"/>
      <sheetName val="Estrutura"/>
      <sheetName val="PLANILHA PADRÃO"/>
      <sheetName val="Alv e fec"/>
      <sheetName val="MDO-MOI"/>
      <sheetName val="EQUIPAMENTOS"/>
      <sheetName val="CANTEIRO"/>
      <sheetName val="EPI"/>
      <sheetName val="Controle Contrato"/>
      <sheetName val="RESUMO DO CONTRATO"/>
      <sheetName val="AVANÇO FISICO"/>
      <sheetName val="NF-em aberto"/>
      <sheetName val="RETENÇÃO"/>
      <sheetName val="REENGENHARIAS"/>
      <sheetName val="NF-BN x DAGNSE"/>
      <sheetName val="NF GLOBO"/>
      <sheetName val="EXTRACONTRATUAIS"/>
      <sheetName val="DIFAL"/>
      <sheetName val="NF-BN x  MS"/>
      <sheetName val="RESUMO DAGNESE"/>
      <sheetName val="NF-DAGNESE"/>
      <sheetName val="RESUMO REAL"/>
      <sheetName val="RESUMO - DIAGRAMA"/>
      <sheetName val="Sinaleiro"/>
      <sheetName val="Hora Extra Sinaleiro"/>
      <sheetName val="Ajudante ADM"/>
      <sheetName val="Bases de Concreto"/>
      <sheetName val="Carpinteiro"/>
      <sheetName val="MO Gabarito"/>
      <sheetName val="MO Fundação"/>
      <sheetName val="Materiais"/>
      <sheetName val="Cronograma"/>
      <sheetName val="Memória de Cálculo - Fundação"/>
      <sheetName val="Memória de Cálculo - Estrutura"/>
      <sheetName val="DATAS"/>
      <sheetName val="VALIDAÇÃO"/>
      <sheetName val="MO"/>
      <sheetName val="Planilha1 (2)"/>
      <sheetName val="RESUMO GERAL"/>
      <sheetName val="Jefferson Reunião"/>
      <sheetName val="17.01"/>
      <sheetName val="Planilha6"/>
      <sheetName val="Resultado"/>
      <sheetName val="Adicionais "/>
      <sheetName val="0 - (BDados total)"/>
      <sheetName val="1 - REORÇAMENTO A+B+C"/>
      <sheetName val="Planilha8"/>
      <sheetName val="Planilha7"/>
      <sheetName val="YMM05 -17.01 - BDados (A)"/>
      <sheetName val="ADIANTAMENTOS (BDados A)"/>
      <sheetName val="2 - PLEITOS (BDados B)"/>
      <sheetName val="3- Adicionais (BDados B)"/>
      <sheetName val="4 - A Contratar (BDados C)"/>
      <sheetName val="5- Conti+Expect (BDados BC)"/>
      <sheetName val="6- Reajuste Fornec (BD A)."/>
      <sheetName val="7- Adicional Cliente"/>
      <sheetName val="FERRO"/>
      <sheetName val="Orc_Pad_Edif_Anal tico"/>
      <sheetName val="Orc_Compl_Anal tic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 refreshError="1"/>
      <sheetData sheetId="185" refreshError="1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/>
      <sheetData sheetId="20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Diferença"/>
      <sheetName val="Resumo"/>
      <sheetName val="Geral"/>
      <sheetName val="BDI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1-CTN_ORC_Tabela de parede ger"/>
      <sheetName val="02-CTN_ORC_Levantamento do mate"/>
      <sheetName val="09-CTN_ORC_Tabela de piso e tet"/>
      <sheetName val="03-CTN_ORC_FACHADA_Tabela de pa"/>
      <sheetName val="08-CTN_ORC_Tabela de telhado"/>
      <sheetName val="10-CTN_ORC_RODAPÉ_Tabela de mol"/>
      <sheetName val="11-CTN_ORC_FAIXA GARAGEM_Tabela"/>
      <sheetName val="12-CTN_ORC_Tabela de forro"/>
      <sheetName val="07-CTN_ORC_Tabela de guarda-cor"/>
      <sheetName val="04-CTN_ORC_Tabela de janela"/>
      <sheetName val="05-CTN_ORC_Tabela de porta"/>
      <sheetName val="06-CTN_ORC_Tabela de escada"/>
      <sheetName val="Instructions"/>
      <sheetName val="ParamValu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A1" t="str">
            <v>10º Tipo (x24) 3</v>
          </cell>
        </row>
        <row r="2">
          <cell r="A2" t="str">
            <v>11º Tipo (24x) 4</v>
          </cell>
        </row>
        <row r="3">
          <cell r="A3" t="str">
            <v>12º Tipo (24x) 5</v>
          </cell>
        </row>
        <row r="4">
          <cell r="A4" t="str">
            <v>13º Tipo (24x) 6</v>
          </cell>
        </row>
        <row r="5">
          <cell r="A5" t="str">
            <v>14º Tipo (24x) 7</v>
          </cell>
        </row>
        <row r="6">
          <cell r="A6" t="str">
            <v>15º Tipo (24x) 8</v>
          </cell>
        </row>
        <row r="7">
          <cell r="A7" t="str">
            <v>16º Tipo (24x) 9</v>
          </cell>
        </row>
        <row r="8">
          <cell r="A8" t="str">
            <v>17º Tipo (24x) 10</v>
          </cell>
        </row>
        <row r="9">
          <cell r="A9" t="str">
            <v>18º Tipo (24x) 11</v>
          </cell>
        </row>
        <row r="10">
          <cell r="A10" t="str">
            <v>19º Tipo (24x) 12</v>
          </cell>
        </row>
        <row r="11">
          <cell r="A11" t="str">
            <v>20º Tipo (24x) 13</v>
          </cell>
        </row>
        <row r="12">
          <cell r="A12" t="str">
            <v>21º Tipo (24x) 14</v>
          </cell>
        </row>
        <row r="13">
          <cell r="A13" t="str">
            <v>22º Tipo (24x) 15</v>
          </cell>
        </row>
        <row r="14">
          <cell r="A14" t="str">
            <v>23º Tipo (24x) 16</v>
          </cell>
        </row>
        <row r="15">
          <cell r="A15" t="str">
            <v>24º Tipo (24x) 17</v>
          </cell>
        </row>
        <row r="16">
          <cell r="A16" t="str">
            <v>25º Tipo (24x) 18</v>
          </cell>
        </row>
        <row r="17">
          <cell r="A17" t="str">
            <v>26º Tipo (24x) 19</v>
          </cell>
        </row>
        <row r="18">
          <cell r="A18" t="str">
            <v>27º Tipo (24x) 20</v>
          </cell>
        </row>
        <row r="19">
          <cell r="A19" t="str">
            <v>28º Tipo (24x) 21</v>
          </cell>
        </row>
        <row r="20">
          <cell r="A20" t="str">
            <v>29º Tipo (24x) 22</v>
          </cell>
        </row>
        <row r="21">
          <cell r="A21" t="str">
            <v>2º Mezanino - G1</v>
          </cell>
        </row>
        <row r="22">
          <cell r="A22" t="str">
            <v>30º Tipo (24x) 23</v>
          </cell>
        </row>
        <row r="23">
          <cell r="A23" t="str">
            <v>31º Tipo (24x) 24</v>
          </cell>
        </row>
        <row r="24">
          <cell r="A24" t="str">
            <v>32º Duplex Inf.</v>
          </cell>
        </row>
        <row r="25">
          <cell r="A25" t="str">
            <v>33º Duplex Sup.</v>
          </cell>
        </row>
        <row r="26">
          <cell r="A26" t="str">
            <v>3º G2</v>
          </cell>
        </row>
        <row r="27">
          <cell r="A27" t="str">
            <v>4º G3</v>
          </cell>
        </row>
        <row r="28">
          <cell r="A28" t="str">
            <v>5º Tipo Dif 01/Lazer</v>
          </cell>
        </row>
        <row r="29">
          <cell r="A29" t="str">
            <v>6º Tipo Dif. 02</v>
          </cell>
        </row>
        <row r="30">
          <cell r="A30" t="str">
            <v>7º Tipo Dif. 03</v>
          </cell>
        </row>
        <row r="31">
          <cell r="A31" t="str">
            <v>8º Tipo (x24) 1</v>
          </cell>
        </row>
        <row r="32">
          <cell r="A32" t="str">
            <v>9º Tipo (x24) 2</v>
          </cell>
        </row>
        <row r="33">
          <cell r="A33" t="str">
            <v>Barrilete</v>
          </cell>
        </row>
        <row r="34">
          <cell r="A34" t="str">
            <v>Cobertura Casa Máq.</v>
          </cell>
        </row>
        <row r="35">
          <cell r="A35" t="str">
            <v>PAVIMENTO TÉRREO</v>
          </cell>
        </row>
        <row r="36">
          <cell r="A36" t="str">
            <v>PC Maq</v>
          </cell>
        </row>
        <row r="37">
          <cell r="A37" t="str">
            <v>Reservatório</v>
          </cell>
        </row>
        <row r="38">
          <cell r="A38" t="str">
            <v>Tampa Reserv.</v>
          </cell>
        </row>
        <row r="39">
          <cell r="A39" t="str">
            <v>Terreno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E1AAD-C2EE-4E14-BE9E-4A287CFE07C4}">
  <sheetPr>
    <pageSetUpPr fitToPage="1"/>
  </sheetPr>
  <dimension ref="A1:G28"/>
  <sheetViews>
    <sheetView view="pageBreakPreview" zoomScale="115" zoomScaleNormal="115" zoomScaleSheetLayoutView="115" workbookViewId="0">
      <selection activeCell="B9" sqref="B9:E9"/>
    </sheetView>
  </sheetViews>
  <sheetFormatPr defaultRowHeight="21.75" x14ac:dyDescent="0.6"/>
  <cols>
    <col min="1" max="1" width="19.140625" style="41" customWidth="1"/>
    <col min="2" max="2" width="83.7109375" style="42" customWidth="1"/>
    <col min="3" max="4" width="11.28515625" style="42" customWidth="1"/>
    <col min="5" max="5" width="11.28515625" style="43" customWidth="1"/>
    <col min="6" max="6" width="11.140625" style="44" customWidth="1"/>
    <col min="7" max="7" width="24" style="41" customWidth="1"/>
    <col min="8" max="9" width="9.28515625" bestFit="1" customWidth="1"/>
  </cols>
  <sheetData>
    <row r="1" spans="1:7" ht="18" customHeight="1" x14ac:dyDescent="0.6">
      <c r="A1" s="4" t="s">
        <v>0</v>
      </c>
      <c r="B1" s="5" t="s">
        <v>297</v>
      </c>
      <c r="C1" s="6"/>
      <c r="D1" s="6"/>
      <c r="E1" s="7"/>
      <c r="F1" s="8"/>
      <c r="G1" s="9"/>
    </row>
    <row r="2" spans="1:7" ht="18" customHeight="1" x14ac:dyDescent="0.6">
      <c r="A2" s="10" t="s">
        <v>117</v>
      </c>
      <c r="B2" s="11" t="s">
        <v>298</v>
      </c>
      <c r="C2" s="12"/>
      <c r="D2" s="12"/>
      <c r="E2" s="13"/>
      <c r="F2" s="14"/>
      <c r="G2" s="15"/>
    </row>
    <row r="3" spans="1:7" ht="18" customHeight="1" x14ac:dyDescent="0.6">
      <c r="A3" s="10" t="s">
        <v>1</v>
      </c>
      <c r="B3" s="11" t="s">
        <v>185</v>
      </c>
      <c r="C3" s="12"/>
      <c r="D3" s="12"/>
      <c r="E3" s="13"/>
      <c r="F3" s="14"/>
      <c r="G3" s="15"/>
    </row>
    <row r="4" spans="1:7" ht="18" customHeight="1" x14ac:dyDescent="0.6">
      <c r="A4" s="10" t="s">
        <v>299</v>
      </c>
      <c r="B4" s="11" t="s">
        <v>374</v>
      </c>
      <c r="C4" s="12"/>
      <c r="D4" s="12"/>
      <c r="E4" s="13"/>
      <c r="F4" s="14"/>
      <c r="G4" s="20"/>
    </row>
    <row r="5" spans="1:7" ht="25.15" customHeight="1" x14ac:dyDescent="0.25">
      <c r="A5" s="209" t="s">
        <v>126</v>
      </c>
      <c r="B5" s="210"/>
      <c r="C5" s="210"/>
      <c r="D5" s="210"/>
      <c r="E5" s="210"/>
      <c r="F5" s="210"/>
      <c r="G5" s="211"/>
    </row>
    <row r="6" spans="1:7" ht="14.45" customHeight="1" thickBot="1" x14ac:dyDescent="0.65">
      <c r="A6" s="16"/>
      <c r="B6" s="17"/>
      <c r="C6" s="17"/>
      <c r="D6" s="17"/>
      <c r="E6" s="18"/>
      <c r="F6" s="19"/>
      <c r="G6" s="20"/>
    </row>
    <row r="7" spans="1:7" x14ac:dyDescent="0.6">
      <c r="A7" s="22"/>
      <c r="B7" s="23" t="s">
        <v>14</v>
      </c>
      <c r="C7" s="24" t="s">
        <v>15</v>
      </c>
      <c r="D7" s="24" t="s">
        <v>127</v>
      </c>
      <c r="E7" s="25" t="s">
        <v>18</v>
      </c>
      <c r="F7" s="26"/>
      <c r="G7" s="21"/>
    </row>
    <row r="8" spans="1:7" x14ac:dyDescent="0.6">
      <c r="A8" s="22"/>
      <c r="B8" s="27" t="s">
        <v>128</v>
      </c>
      <c r="C8" s="28" t="s">
        <v>7</v>
      </c>
      <c r="D8" s="28" t="s">
        <v>120</v>
      </c>
      <c r="E8" s="29">
        <v>1376.83</v>
      </c>
      <c r="F8" s="26"/>
      <c r="G8" s="21"/>
    </row>
    <row r="9" spans="1:7" x14ac:dyDescent="0.6">
      <c r="A9" s="22"/>
      <c r="B9" s="30" t="s">
        <v>129</v>
      </c>
      <c r="C9" s="31" t="s">
        <v>8</v>
      </c>
      <c r="D9" s="31" t="s">
        <v>120</v>
      </c>
      <c r="E9" s="32">
        <v>13144.27</v>
      </c>
      <c r="F9" s="26"/>
      <c r="G9" s="21"/>
    </row>
    <row r="10" spans="1:7" x14ac:dyDescent="0.6">
      <c r="A10" s="22"/>
      <c r="B10" s="30" t="s">
        <v>300</v>
      </c>
      <c r="C10" s="31" t="s">
        <v>301</v>
      </c>
      <c r="D10" s="31" t="s">
        <v>123</v>
      </c>
      <c r="E10" s="32">
        <v>156</v>
      </c>
      <c r="F10" s="203">
        <f>E9-E22-E21</f>
        <v>6552.43</v>
      </c>
      <c r="G10" s="21"/>
    </row>
    <row r="11" spans="1:7" x14ac:dyDescent="0.6">
      <c r="A11" s="22"/>
      <c r="B11" s="30" t="s">
        <v>302</v>
      </c>
      <c r="C11" s="31" t="s">
        <v>306</v>
      </c>
      <c r="D11" s="31" t="s">
        <v>123</v>
      </c>
      <c r="E11" s="32">
        <v>156</v>
      </c>
      <c r="F11" s="26"/>
      <c r="G11" s="21"/>
    </row>
    <row r="12" spans="1:7" x14ac:dyDescent="0.6">
      <c r="A12" s="22"/>
      <c r="B12" s="30" t="s">
        <v>303</v>
      </c>
      <c r="C12" s="31" t="s">
        <v>307</v>
      </c>
      <c r="D12" s="31" t="s">
        <v>123</v>
      </c>
      <c r="E12" s="32"/>
      <c r="F12" s="26"/>
      <c r="G12" s="21"/>
    </row>
    <row r="13" spans="1:7" x14ac:dyDescent="0.6">
      <c r="A13" s="22"/>
      <c r="B13" s="30" t="s">
        <v>304</v>
      </c>
      <c r="C13" s="31" t="s">
        <v>305</v>
      </c>
      <c r="D13" s="31" t="s">
        <v>123</v>
      </c>
      <c r="E13" s="32">
        <v>1</v>
      </c>
      <c r="F13" s="26"/>
      <c r="G13" s="21"/>
    </row>
    <row r="14" spans="1:7" x14ac:dyDescent="0.6">
      <c r="A14" s="22"/>
      <c r="B14" s="30" t="s">
        <v>281</v>
      </c>
      <c r="C14" s="31" t="s">
        <v>326</v>
      </c>
      <c r="D14" s="31" t="s">
        <v>123</v>
      </c>
      <c r="E14" s="32"/>
      <c r="F14" s="26"/>
      <c r="G14" s="21"/>
    </row>
    <row r="15" spans="1:7" x14ac:dyDescent="0.6">
      <c r="A15" s="22"/>
      <c r="B15" s="30" t="s">
        <v>130</v>
      </c>
      <c r="C15" s="31" t="s">
        <v>9</v>
      </c>
      <c r="D15" s="31" t="s">
        <v>123</v>
      </c>
      <c r="E15" s="32">
        <v>20</v>
      </c>
      <c r="F15" s="26"/>
      <c r="G15" s="21"/>
    </row>
    <row r="16" spans="1:7" x14ac:dyDescent="0.6">
      <c r="A16" s="22"/>
      <c r="B16" s="30" t="s">
        <v>131</v>
      </c>
      <c r="C16" s="31" t="s">
        <v>10</v>
      </c>
      <c r="D16" s="31" t="s">
        <v>123</v>
      </c>
      <c r="E16" s="32">
        <v>14</v>
      </c>
      <c r="F16" s="26"/>
      <c r="G16" s="21"/>
    </row>
    <row r="17" spans="1:7" x14ac:dyDescent="0.6">
      <c r="A17" s="22"/>
      <c r="B17" s="30" t="s">
        <v>132</v>
      </c>
      <c r="C17" s="31" t="s">
        <v>40</v>
      </c>
      <c r="D17" s="31" t="s">
        <v>123</v>
      </c>
      <c r="E17" s="32">
        <v>1</v>
      </c>
      <c r="F17" s="26"/>
      <c r="G17" s="21"/>
    </row>
    <row r="18" spans="1:7" x14ac:dyDescent="0.6">
      <c r="A18" s="22"/>
      <c r="B18" s="30" t="s">
        <v>133</v>
      </c>
      <c r="C18" s="31" t="s">
        <v>41</v>
      </c>
      <c r="D18" s="31" t="s">
        <v>123</v>
      </c>
      <c r="E18" s="32">
        <v>0</v>
      </c>
      <c r="F18" s="26"/>
      <c r="G18" s="21"/>
    </row>
    <row r="19" spans="1:7" x14ac:dyDescent="0.6">
      <c r="A19" s="22"/>
      <c r="B19" s="30" t="s">
        <v>134</v>
      </c>
      <c r="C19" s="31" t="s">
        <v>11</v>
      </c>
      <c r="D19" s="31" t="s">
        <v>120</v>
      </c>
      <c r="E19" s="32">
        <v>614.94399999999996</v>
      </c>
      <c r="F19" s="26"/>
      <c r="G19" s="21"/>
    </row>
    <row r="20" spans="1:7" x14ac:dyDescent="0.6">
      <c r="A20" s="22"/>
      <c r="B20" s="30" t="s">
        <v>135</v>
      </c>
      <c r="C20" s="31" t="s">
        <v>12</v>
      </c>
      <c r="D20" s="31" t="s">
        <v>119</v>
      </c>
      <c r="E20" s="32">
        <v>179.6335</v>
      </c>
      <c r="F20" s="26"/>
      <c r="G20" s="21"/>
    </row>
    <row r="21" spans="1:7" x14ac:dyDescent="0.6">
      <c r="A21" s="22"/>
      <c r="B21" s="30" t="s">
        <v>136</v>
      </c>
      <c r="C21" s="31" t="s">
        <v>36</v>
      </c>
      <c r="D21" s="31" t="s">
        <v>120</v>
      </c>
      <c r="E21" s="32">
        <v>1122.76</v>
      </c>
      <c r="F21" s="26"/>
      <c r="G21" s="21"/>
    </row>
    <row r="22" spans="1:7" x14ac:dyDescent="0.6">
      <c r="A22" s="22"/>
      <c r="B22" s="30" t="s">
        <v>137</v>
      </c>
      <c r="C22" s="31" t="s">
        <v>35</v>
      </c>
      <c r="D22" s="31" t="s">
        <v>120</v>
      </c>
      <c r="E22" s="32">
        <f>1110.68+1089.6*4</f>
        <v>5469.08</v>
      </c>
      <c r="F22" s="26"/>
      <c r="G22" s="21"/>
    </row>
    <row r="23" spans="1:7" x14ac:dyDescent="0.6">
      <c r="A23" s="22"/>
      <c r="B23" s="30" t="s">
        <v>138</v>
      </c>
      <c r="C23" s="31" t="s">
        <v>139</v>
      </c>
      <c r="D23" s="31" t="s">
        <v>120</v>
      </c>
      <c r="E23" s="32">
        <v>0</v>
      </c>
      <c r="F23" s="26"/>
      <c r="G23" s="21"/>
    </row>
    <row r="24" spans="1:7" x14ac:dyDescent="0.6">
      <c r="A24" s="22"/>
      <c r="B24" s="30" t="s">
        <v>140</v>
      </c>
      <c r="C24" s="31" t="s">
        <v>13</v>
      </c>
      <c r="D24" s="31" t="s">
        <v>123</v>
      </c>
      <c r="E24" s="32">
        <v>0</v>
      </c>
      <c r="F24" s="26"/>
      <c r="G24" s="21"/>
    </row>
    <row r="25" spans="1:7" x14ac:dyDescent="0.6">
      <c r="A25" s="22"/>
      <c r="B25" s="30" t="s">
        <v>141</v>
      </c>
      <c r="C25" s="31" t="s">
        <v>39</v>
      </c>
      <c r="D25" s="31" t="s">
        <v>120</v>
      </c>
      <c r="E25" s="32">
        <v>1156.02</v>
      </c>
      <c r="F25" s="26">
        <f>E25/E9</f>
        <v>8.7948589004942831E-2</v>
      </c>
      <c r="G25" s="21"/>
    </row>
    <row r="26" spans="1:7" x14ac:dyDescent="0.6">
      <c r="A26" s="22"/>
      <c r="B26" s="30" t="s">
        <v>142</v>
      </c>
      <c r="C26" s="31" t="s">
        <v>154</v>
      </c>
      <c r="D26" s="31" t="s">
        <v>119</v>
      </c>
      <c r="E26" s="32">
        <v>179.11</v>
      </c>
      <c r="F26" s="26"/>
      <c r="G26" s="21"/>
    </row>
    <row r="27" spans="1:7" ht="22.5" thickBot="1" x14ac:dyDescent="0.65">
      <c r="A27" s="22"/>
      <c r="B27" s="33" t="s">
        <v>143</v>
      </c>
      <c r="C27" s="34" t="s">
        <v>155</v>
      </c>
      <c r="D27" s="34" t="s">
        <v>123</v>
      </c>
      <c r="E27" s="35">
        <v>5</v>
      </c>
      <c r="F27" s="26"/>
      <c r="G27" s="21"/>
    </row>
    <row r="28" spans="1:7" ht="22.5" thickBot="1" x14ac:dyDescent="0.65">
      <c r="A28" s="36"/>
      <c r="B28" s="37"/>
      <c r="C28" s="37"/>
      <c r="D28" s="37"/>
      <c r="E28" s="38"/>
      <c r="F28" s="39"/>
      <c r="G28" s="40"/>
    </row>
  </sheetData>
  <mergeCells count="1">
    <mergeCell ref="A5:G5"/>
  </mergeCells>
  <pageMargins left="0.51181102362204722" right="0.51181102362204722" top="0.78740157480314965" bottom="0.78740157480314965" header="0.31496062992125984" footer="0.31496062992125984"/>
  <pageSetup paperSize="9" scale="53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FB7BB-C74E-481B-9724-B93989582F70}">
  <sheetPr>
    <tabColor rgb="FF92D050"/>
  </sheetPr>
  <dimension ref="A1:K33"/>
  <sheetViews>
    <sheetView showGridLines="0" zoomScale="85" zoomScaleNormal="85" zoomScaleSheetLayoutView="95" workbookViewId="0">
      <selection activeCell="E23" sqref="E23"/>
    </sheetView>
  </sheetViews>
  <sheetFormatPr defaultColWidth="9.140625" defaultRowHeight="19.5" x14ac:dyDescent="0.25"/>
  <cols>
    <col min="1" max="1" width="53" style="45" bestFit="1" customWidth="1"/>
    <col min="2" max="3" width="27" style="45" customWidth="1"/>
    <col min="4" max="4" width="27" style="46" customWidth="1"/>
    <col min="5" max="6" width="27" style="107" customWidth="1"/>
    <col min="7" max="7" width="31.7109375" style="107" customWidth="1"/>
    <col min="8" max="16384" width="9.140625" style="1"/>
  </cols>
  <sheetData>
    <row r="1" spans="1:9" x14ac:dyDescent="0.25">
      <c r="A1" s="48"/>
      <c r="B1" s="48"/>
      <c r="C1" s="48"/>
      <c r="D1" s="51"/>
      <c r="E1" s="104"/>
      <c r="F1" s="104"/>
      <c r="G1" s="104"/>
      <c r="I1" s="2"/>
    </row>
    <row r="2" spans="1:9" ht="28.5" x14ac:dyDescent="0.25">
      <c r="A2" s="216" t="s">
        <v>121</v>
      </c>
      <c r="B2" s="217"/>
      <c r="C2" s="217"/>
      <c r="D2" s="217"/>
      <c r="E2" s="217"/>
      <c r="F2" s="217"/>
      <c r="G2" s="218"/>
      <c r="I2" s="2"/>
    </row>
    <row r="3" spans="1:9" ht="28.5" customHeight="1" x14ac:dyDescent="0.25">
      <c r="A3" s="189" t="s">
        <v>186</v>
      </c>
      <c r="B3" s="195">
        <v>45456</v>
      </c>
      <c r="C3" s="193"/>
      <c r="D3" s="193"/>
      <c r="E3" s="193"/>
      <c r="F3" s="193"/>
      <c r="G3" s="194"/>
      <c r="I3" s="2"/>
    </row>
    <row r="4" spans="1:9" ht="28.5" customHeight="1" x14ac:dyDescent="0.25">
      <c r="A4" s="189" t="s">
        <v>308</v>
      </c>
      <c r="B4" s="196" t="s">
        <v>223</v>
      </c>
      <c r="C4" s="191"/>
      <c r="D4" s="191"/>
      <c r="E4" s="191"/>
      <c r="F4" s="191"/>
      <c r="G4" s="192"/>
      <c r="I4" s="2"/>
    </row>
    <row r="5" spans="1:9" x14ac:dyDescent="0.25">
      <c r="A5" s="50"/>
      <c r="B5" s="50"/>
      <c r="C5" s="50"/>
      <c r="D5" s="49"/>
      <c r="E5" s="105"/>
      <c r="F5" s="104"/>
      <c r="G5" s="104"/>
      <c r="I5" s="2"/>
    </row>
    <row r="6" spans="1:9" s="55" customFormat="1" ht="21.75" x14ac:dyDescent="0.25">
      <c r="A6" s="52" t="s">
        <v>150</v>
      </c>
      <c r="B6" s="53"/>
      <c r="C6" s="53"/>
      <c r="D6" s="54"/>
      <c r="E6" s="98"/>
      <c r="F6" s="98"/>
      <c r="G6" s="98"/>
    </row>
    <row r="7" spans="1:9" s="55" customFormat="1" ht="21.75" x14ac:dyDescent="0.25">
      <c r="A7" s="56"/>
      <c r="B7" s="57"/>
      <c r="C7" s="57"/>
      <c r="D7" s="58"/>
      <c r="E7" s="99"/>
      <c r="F7" s="100"/>
      <c r="G7" s="100"/>
    </row>
    <row r="8" spans="1:9" s="55" customFormat="1" ht="42" customHeight="1" x14ac:dyDescent="0.25">
      <c r="A8" s="63" t="s">
        <v>14</v>
      </c>
      <c r="B8" s="64" t="s">
        <v>149</v>
      </c>
      <c r="C8" s="64" t="s">
        <v>148</v>
      </c>
      <c r="D8" s="65" t="s">
        <v>147</v>
      </c>
      <c r="E8" s="101" t="s">
        <v>146</v>
      </c>
      <c r="F8" s="90" t="s">
        <v>16</v>
      </c>
      <c r="G8" s="90" t="s">
        <v>311</v>
      </c>
    </row>
    <row r="9" spans="1:9" s="55" customFormat="1" ht="21.75" x14ac:dyDescent="0.25">
      <c r="A9" s="66" t="s">
        <v>145</v>
      </c>
      <c r="B9" s="67">
        <f>DADOS_INICIAIS!E23</f>
        <v>0</v>
      </c>
      <c r="C9" s="67"/>
      <c r="D9" s="68">
        <f>C9*B9</f>
        <v>0</v>
      </c>
      <c r="E9" s="88">
        <v>0</v>
      </c>
      <c r="F9" s="89">
        <f>E9*D9*1.1</f>
        <v>0</v>
      </c>
      <c r="G9" s="67"/>
    </row>
    <row r="10" spans="1:9" s="55" customFormat="1" ht="21.75" x14ac:dyDescent="0.25">
      <c r="A10" s="215" t="s">
        <v>17</v>
      </c>
      <c r="B10" s="215"/>
      <c r="C10" s="215"/>
      <c r="D10" s="215"/>
      <c r="E10" s="215"/>
      <c r="F10" s="90">
        <f>SUM(F9:F9)</f>
        <v>0</v>
      </c>
      <c r="G10" s="90"/>
    </row>
    <row r="11" spans="1:9" s="55" customFormat="1" ht="21.75" x14ac:dyDescent="0.25">
      <c r="A11" s="219"/>
      <c r="B11" s="219"/>
      <c r="C11" s="219"/>
      <c r="D11" s="219"/>
      <c r="E11" s="219"/>
      <c r="F11" s="100"/>
      <c r="G11" s="100"/>
    </row>
    <row r="12" spans="1:9" s="55" customFormat="1" ht="21.75" x14ac:dyDescent="0.25">
      <c r="A12" s="52" t="s">
        <v>153</v>
      </c>
      <c r="B12" s="53"/>
      <c r="C12" s="53"/>
      <c r="D12" s="54"/>
      <c r="E12" s="98"/>
      <c r="F12" s="98"/>
      <c r="G12" s="98"/>
    </row>
    <row r="13" spans="1:9" s="55" customFormat="1" ht="21.75" x14ac:dyDescent="0.25">
      <c r="A13" s="56"/>
      <c r="B13" s="57"/>
      <c r="C13" s="57"/>
      <c r="D13" s="58"/>
      <c r="E13" s="99"/>
      <c r="F13" s="100"/>
      <c r="G13" s="100"/>
    </row>
    <row r="14" spans="1:9" s="55" customFormat="1" ht="42" customHeight="1" x14ac:dyDescent="0.25">
      <c r="A14" s="63" t="s">
        <v>14</v>
      </c>
      <c r="B14" s="64" t="s">
        <v>152</v>
      </c>
      <c r="C14" s="64"/>
      <c r="D14" s="65"/>
      <c r="E14" s="101" t="s">
        <v>151</v>
      </c>
      <c r="F14" s="90" t="s">
        <v>16</v>
      </c>
      <c r="G14" s="90" t="s">
        <v>311</v>
      </c>
    </row>
    <row r="15" spans="1:9" s="55" customFormat="1" ht="21.75" x14ac:dyDescent="0.25">
      <c r="A15" s="66" t="s">
        <v>124</v>
      </c>
      <c r="B15" s="67">
        <v>0</v>
      </c>
      <c r="C15" s="74"/>
      <c r="D15" s="75"/>
      <c r="E15" s="88">
        <v>200</v>
      </c>
      <c r="F15" s="89">
        <f>B15*E15*1.1</f>
        <v>0</v>
      </c>
      <c r="G15" s="67"/>
    </row>
    <row r="16" spans="1:9" s="55" customFormat="1" ht="21.75" x14ac:dyDescent="0.25">
      <c r="A16" s="215" t="s">
        <v>17</v>
      </c>
      <c r="B16" s="215"/>
      <c r="C16" s="215"/>
      <c r="D16" s="215"/>
      <c r="E16" s="215"/>
      <c r="F16" s="90">
        <f>SUM(F15:F15)</f>
        <v>0</v>
      </c>
      <c r="G16" s="90"/>
    </row>
    <row r="17" spans="1:11" s="55" customFormat="1" ht="21.75" x14ac:dyDescent="0.25">
      <c r="A17" s="219"/>
      <c r="B17" s="219"/>
      <c r="C17" s="219"/>
      <c r="D17" s="219"/>
      <c r="E17" s="219"/>
      <c r="F17" s="100"/>
      <c r="G17" s="100"/>
    </row>
    <row r="18" spans="1:11" s="55" customFormat="1" ht="21.75" x14ac:dyDescent="0.25">
      <c r="A18" s="52" t="s">
        <v>19</v>
      </c>
      <c r="B18" s="53"/>
      <c r="C18" s="53"/>
      <c r="D18" s="54"/>
      <c r="E18" s="98"/>
      <c r="F18" s="98"/>
      <c r="G18" s="98"/>
    </row>
    <row r="19" spans="1:11" s="55" customFormat="1" ht="21.75" x14ac:dyDescent="0.25">
      <c r="A19" s="56"/>
      <c r="B19" s="57"/>
      <c r="C19" s="57"/>
      <c r="D19" s="58"/>
      <c r="E19" s="99"/>
      <c r="F19" s="100"/>
      <c r="G19" s="100"/>
    </row>
    <row r="20" spans="1:11" s="55" customFormat="1" ht="42" customHeight="1" x14ac:dyDescent="0.25">
      <c r="A20" s="63" t="s">
        <v>14</v>
      </c>
      <c r="B20" s="220" t="s">
        <v>5</v>
      </c>
      <c r="C20" s="221"/>
      <c r="D20" s="65" t="s">
        <v>147</v>
      </c>
      <c r="E20" s="101" t="s">
        <v>160</v>
      </c>
      <c r="F20" s="90" t="s">
        <v>16</v>
      </c>
      <c r="G20" s="90" t="s">
        <v>311</v>
      </c>
    </row>
    <row r="21" spans="1:11" s="55" customFormat="1" ht="43.5" x14ac:dyDescent="0.25">
      <c r="A21" s="70" t="s">
        <v>20</v>
      </c>
      <c r="B21" s="62">
        <v>1.3</v>
      </c>
      <c r="C21" s="62" t="s">
        <v>329</v>
      </c>
      <c r="D21" s="72">
        <f>B21*INFRAESTRUTURA!D29</f>
        <v>976.83690000000001</v>
      </c>
      <c r="E21" s="88">
        <v>60</v>
      </c>
      <c r="F21" s="106">
        <f>E21*D21*1.1</f>
        <v>64471.235400000005</v>
      </c>
      <c r="G21" s="67"/>
    </row>
    <row r="22" spans="1:11" s="55" customFormat="1" ht="26.25" customHeight="1" x14ac:dyDescent="0.25">
      <c r="A22" s="70" t="s">
        <v>21</v>
      </c>
      <c r="B22" s="62">
        <v>0.6</v>
      </c>
      <c r="C22" s="62" t="s">
        <v>157</v>
      </c>
      <c r="D22" s="72">
        <f>D21-INFRAESTRUTURA!D29</f>
        <v>225.4239</v>
      </c>
      <c r="E22" s="88">
        <v>20</v>
      </c>
      <c r="F22" s="106">
        <f>E22*D22*1.1</f>
        <v>4959.3258000000005</v>
      </c>
      <c r="G22" s="67"/>
    </row>
    <row r="23" spans="1:11" s="55" customFormat="1" ht="21.75" x14ac:dyDescent="0.25">
      <c r="A23" s="70" t="s">
        <v>156</v>
      </c>
      <c r="B23" s="62">
        <v>1.3</v>
      </c>
      <c r="C23" s="62"/>
      <c r="D23" s="72">
        <f>(D21-D22)*B23</f>
        <v>976.83690000000001</v>
      </c>
      <c r="E23" s="88">
        <v>40</v>
      </c>
      <c r="F23" s="106">
        <f>E23*D23*1.1</f>
        <v>42980.823600000003</v>
      </c>
      <c r="G23" s="67"/>
    </row>
    <row r="24" spans="1:11" s="55" customFormat="1" ht="21.75" x14ac:dyDescent="0.25">
      <c r="A24" s="69" t="s">
        <v>144</v>
      </c>
      <c r="B24" s="61">
        <v>1</v>
      </c>
      <c r="C24" s="61" t="s">
        <v>22</v>
      </c>
      <c r="D24" s="73">
        <f>INFRAESTRUTURA!D19</f>
        <v>1621.71</v>
      </c>
      <c r="E24" s="88">
        <v>40</v>
      </c>
      <c r="F24" s="106">
        <f>E24*D24*1.1</f>
        <v>71355.240000000005</v>
      </c>
      <c r="G24" s="67"/>
    </row>
    <row r="25" spans="1:11" s="55" customFormat="1" ht="21.75" x14ac:dyDescent="0.25">
      <c r="A25" s="215" t="s">
        <v>17</v>
      </c>
      <c r="B25" s="215"/>
      <c r="C25" s="215"/>
      <c r="D25" s="215"/>
      <c r="E25" s="215"/>
      <c r="F25" s="90">
        <f>SUM(F21:F24)</f>
        <v>183766.62480000002</v>
      </c>
      <c r="G25" s="90"/>
    </row>
    <row r="26" spans="1:11" x14ac:dyDescent="0.25">
      <c r="K26" s="47"/>
    </row>
    <row r="27" spans="1:11" ht="21.75" x14ac:dyDescent="0.25">
      <c r="A27" s="52" t="s">
        <v>100</v>
      </c>
      <c r="B27" s="53"/>
      <c r="C27" s="53"/>
      <c r="D27" s="54"/>
      <c r="E27" s="98"/>
      <c r="F27" s="98"/>
      <c r="G27" s="98"/>
    </row>
    <row r="28" spans="1:11" ht="21.75" x14ac:dyDescent="0.25">
      <c r="A28" s="56"/>
      <c r="B28" s="57"/>
      <c r="C28" s="57"/>
      <c r="D28" s="58"/>
      <c r="E28" s="99"/>
      <c r="F28" s="100"/>
      <c r="G28" s="100"/>
    </row>
    <row r="29" spans="1:11" ht="43.5" x14ac:dyDescent="0.25">
      <c r="A29" s="63" t="s">
        <v>14</v>
      </c>
      <c r="B29" s="220" t="s">
        <v>5</v>
      </c>
      <c r="C29" s="221"/>
      <c r="D29" s="65" t="s">
        <v>158</v>
      </c>
      <c r="E29" s="101" t="s">
        <v>159</v>
      </c>
      <c r="F29" s="90" t="s">
        <v>16</v>
      </c>
      <c r="G29" s="90" t="s">
        <v>311</v>
      </c>
    </row>
    <row r="30" spans="1:11" ht="43.5" x14ac:dyDescent="0.25">
      <c r="A30" s="70" t="s">
        <v>310</v>
      </c>
      <c r="B30" s="62">
        <v>0.8</v>
      </c>
      <c r="C30" s="62" t="s">
        <v>113</v>
      </c>
      <c r="D30" s="72">
        <f>B30*DADOS_INICIAIS!E25</f>
        <v>924.81600000000003</v>
      </c>
      <c r="E30" s="88">
        <f>370*0.05</f>
        <v>18.5</v>
      </c>
      <c r="F30" s="106">
        <f>E30*D30*1.1</f>
        <v>18820.005600000004</v>
      </c>
      <c r="G30" s="67" t="s">
        <v>312</v>
      </c>
      <c r="H30" s="1">
        <f>F30/DADOS_INICIAIS!E25</f>
        <v>16.280000000000005</v>
      </c>
      <c r="I30" s="100"/>
    </row>
    <row r="31" spans="1:11" ht="21.75" x14ac:dyDescent="0.25">
      <c r="A31" s="215" t="s">
        <v>17</v>
      </c>
      <c r="B31" s="215"/>
      <c r="C31" s="215"/>
      <c r="D31" s="215"/>
      <c r="E31" s="215"/>
      <c r="F31" s="90">
        <f>SUM(F30:F30)</f>
        <v>18820.005600000004</v>
      </c>
      <c r="G31" s="90"/>
    </row>
    <row r="33" spans="1:7" ht="23.25" customHeight="1" x14ac:dyDescent="0.25">
      <c r="A33" s="212" t="s">
        <v>103</v>
      </c>
      <c r="B33" s="213"/>
      <c r="C33" s="213"/>
      <c r="D33" s="213"/>
      <c r="E33" s="214"/>
      <c r="F33" s="108">
        <f>F10+F16+F25+F31</f>
        <v>202586.63040000002</v>
      </c>
      <c r="G33" s="108">
        <f>F33/DADOS_INICIAIS!E9</f>
        <v>15.412543290726683</v>
      </c>
    </row>
  </sheetData>
  <mergeCells count="10">
    <mergeCell ref="A33:E33"/>
    <mergeCell ref="A25:E25"/>
    <mergeCell ref="A2:G2"/>
    <mergeCell ref="A10:E10"/>
    <mergeCell ref="A11:E11"/>
    <mergeCell ref="B20:C20"/>
    <mergeCell ref="B29:C29"/>
    <mergeCell ref="A31:E31"/>
    <mergeCell ref="A16:E16"/>
    <mergeCell ref="A17:E17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9B24-4A14-470C-9528-250F4A4412CB}">
  <sheetPr>
    <tabColor rgb="FFFF0000"/>
  </sheetPr>
  <dimension ref="A1:J46"/>
  <sheetViews>
    <sheetView showGridLines="0" zoomScale="80" zoomScaleNormal="80" zoomScaleSheetLayoutView="95" workbookViewId="0">
      <selection activeCell="I11" sqref="I11"/>
    </sheetView>
  </sheetViews>
  <sheetFormatPr defaultColWidth="9.140625" defaultRowHeight="15" x14ac:dyDescent="0.25"/>
  <cols>
    <col min="1" max="1" width="50.140625" style="55" customWidth="1"/>
    <col min="2" max="3" width="21.7109375" style="55" customWidth="1"/>
    <col min="4" max="4" width="16.5703125" style="81" customWidth="1"/>
    <col min="5" max="5" width="19.5703125" style="82" customWidth="1"/>
    <col min="6" max="6" width="20.85546875" style="94" customWidth="1"/>
    <col min="7" max="7" width="20.7109375" style="94" customWidth="1"/>
    <col min="8" max="8" width="15.140625" style="94" customWidth="1"/>
    <col min="9" max="9" width="11.28515625" style="55" customWidth="1"/>
    <col min="10" max="10" width="9.140625" style="55"/>
    <col min="11" max="11" width="11" style="55" bestFit="1" customWidth="1"/>
    <col min="12" max="13" width="9.140625" style="55"/>
    <col min="14" max="15" width="11" style="55" bestFit="1" customWidth="1"/>
    <col min="16" max="16384" width="9.140625" style="55"/>
  </cols>
  <sheetData>
    <row r="1" spans="1:10" x14ac:dyDescent="0.25">
      <c r="D1" s="79"/>
      <c r="E1" s="55"/>
      <c r="H1" s="95"/>
      <c r="I1" s="80"/>
      <c r="J1" s="79"/>
    </row>
    <row r="3" spans="1:10" ht="28.5" x14ac:dyDescent="0.25">
      <c r="A3" s="216" t="s">
        <v>166</v>
      </c>
      <c r="B3" s="227"/>
      <c r="C3" s="227"/>
      <c r="D3" s="217"/>
      <c r="E3" s="217"/>
      <c r="F3" s="217"/>
      <c r="G3" s="217"/>
      <c r="H3" s="218"/>
      <c r="J3" s="79"/>
    </row>
    <row r="4" spans="1:10" ht="19.5" x14ac:dyDescent="0.25">
      <c r="A4" s="189" t="s">
        <v>186</v>
      </c>
      <c r="B4" s="195"/>
      <c r="C4" s="193"/>
      <c r="D4" s="193"/>
      <c r="E4" s="193"/>
      <c r="F4" s="193"/>
      <c r="G4" s="193"/>
      <c r="H4" s="194"/>
      <c r="J4" s="79"/>
    </row>
    <row r="5" spans="1:10" ht="19.5" x14ac:dyDescent="0.25">
      <c r="A5" s="189" t="s">
        <v>308</v>
      </c>
      <c r="B5" s="190"/>
      <c r="C5" s="191"/>
      <c r="D5" s="191"/>
      <c r="E5" s="191"/>
      <c r="F5" s="191"/>
      <c r="G5" s="191"/>
      <c r="H5" s="192"/>
      <c r="J5" s="79"/>
    </row>
    <row r="6" spans="1:10" ht="21.75" x14ac:dyDescent="0.25">
      <c r="A6" s="83"/>
      <c r="B6" s="83"/>
      <c r="C6" s="83"/>
      <c r="D6" s="83"/>
      <c r="E6" s="83"/>
      <c r="F6" s="96"/>
      <c r="G6" s="97"/>
      <c r="H6" s="97"/>
      <c r="J6" s="79"/>
    </row>
    <row r="7" spans="1:10" ht="21.75" x14ac:dyDescent="0.25">
      <c r="A7" s="52" t="s">
        <v>167</v>
      </c>
      <c r="B7" s="52"/>
      <c r="C7" s="52"/>
      <c r="D7" s="53"/>
      <c r="E7" s="53"/>
      <c r="F7" s="98"/>
      <c r="G7" s="98"/>
      <c r="H7" s="98"/>
    </row>
    <row r="8" spans="1:10" ht="21.75" x14ac:dyDescent="0.25">
      <c r="A8" s="56"/>
      <c r="B8" s="56"/>
      <c r="C8" s="56"/>
      <c r="D8" s="57"/>
      <c r="E8" s="57"/>
      <c r="F8" s="99"/>
      <c r="G8" s="100"/>
      <c r="H8" s="100"/>
    </row>
    <row r="9" spans="1:10" ht="42" customHeight="1" x14ac:dyDescent="0.25">
      <c r="A9" s="63" t="s">
        <v>14</v>
      </c>
      <c r="B9" s="220" t="s">
        <v>5</v>
      </c>
      <c r="C9" s="221"/>
      <c r="D9" s="220" t="s">
        <v>18</v>
      </c>
      <c r="E9" s="221"/>
      <c r="F9" s="101" t="s">
        <v>118</v>
      </c>
      <c r="G9" s="90" t="s">
        <v>16</v>
      </c>
      <c r="H9" s="100"/>
    </row>
    <row r="10" spans="1:10" ht="21.75" x14ac:dyDescent="0.25">
      <c r="A10" s="66" t="s">
        <v>107</v>
      </c>
      <c r="B10" s="62">
        <v>0.15</v>
      </c>
      <c r="C10" s="62" t="s">
        <v>108</v>
      </c>
      <c r="D10" s="67">
        <f>B10*DADOS_INICIAIS!E25</f>
        <v>173.40299999999999</v>
      </c>
      <c r="E10" s="67" t="s">
        <v>3</v>
      </c>
      <c r="F10" s="92"/>
      <c r="G10" s="93"/>
      <c r="H10" s="102"/>
    </row>
    <row r="11" spans="1:10" ht="21.75" x14ac:dyDescent="0.25">
      <c r="A11" s="225" t="s">
        <v>162</v>
      </c>
      <c r="B11" s="76">
        <v>0.1</v>
      </c>
      <c r="C11" s="62"/>
      <c r="D11" s="67">
        <f>B11*$D$10</f>
        <v>17.340299999999999</v>
      </c>
      <c r="E11" s="67" t="s">
        <v>3</v>
      </c>
      <c r="F11" s="92"/>
      <c r="G11" s="93"/>
      <c r="H11" s="102"/>
    </row>
    <row r="12" spans="1:10" ht="21.75" x14ac:dyDescent="0.25">
      <c r="A12" s="226"/>
      <c r="B12" s="77">
        <v>20</v>
      </c>
      <c r="C12" s="62" t="s">
        <v>163</v>
      </c>
      <c r="D12" s="67">
        <f>B12*D11</f>
        <v>346.80599999999998</v>
      </c>
      <c r="E12" s="67" t="s">
        <v>4</v>
      </c>
      <c r="F12" s="88"/>
      <c r="G12" s="89">
        <f>F12*D12</f>
        <v>0</v>
      </c>
      <c r="H12" s="102"/>
    </row>
    <row r="13" spans="1:10" ht="21.75" x14ac:dyDescent="0.25">
      <c r="A13" s="225" t="s">
        <v>161</v>
      </c>
      <c r="B13" s="76">
        <v>0.5</v>
      </c>
      <c r="C13" s="62"/>
      <c r="D13" s="67">
        <f>B13*$D$10</f>
        <v>86.701499999999996</v>
      </c>
      <c r="E13" s="67" t="s">
        <v>3</v>
      </c>
      <c r="F13" s="92"/>
      <c r="G13" s="93"/>
      <c r="H13" s="102"/>
    </row>
    <row r="14" spans="1:10" ht="21.75" x14ac:dyDescent="0.25">
      <c r="A14" s="226"/>
      <c r="B14" s="77">
        <v>20</v>
      </c>
      <c r="C14" s="62" t="s">
        <v>163</v>
      </c>
      <c r="D14" s="67">
        <f>B14*D13</f>
        <v>1734.03</v>
      </c>
      <c r="E14" s="67" t="s">
        <v>4</v>
      </c>
      <c r="F14" s="88"/>
      <c r="G14" s="89">
        <f>F14*D14</f>
        <v>0</v>
      </c>
      <c r="H14" s="102"/>
    </row>
    <row r="15" spans="1:10" ht="21.75" x14ac:dyDescent="0.25">
      <c r="A15" s="225" t="s">
        <v>114</v>
      </c>
      <c r="B15" s="76">
        <v>0.4</v>
      </c>
      <c r="C15" s="62" t="s">
        <v>108</v>
      </c>
      <c r="D15" s="67">
        <f>B15*$D$10</f>
        <v>69.361199999999997</v>
      </c>
      <c r="E15" s="67" t="s">
        <v>3</v>
      </c>
      <c r="F15" s="92"/>
      <c r="G15" s="93"/>
      <c r="H15" s="102"/>
    </row>
    <row r="16" spans="1:10" ht="21.75" x14ac:dyDescent="0.25">
      <c r="A16" s="226"/>
      <c r="B16" s="77">
        <v>20</v>
      </c>
      <c r="C16" s="62" t="s">
        <v>163</v>
      </c>
      <c r="D16" s="67">
        <f>B16*D15</f>
        <v>1387.2239999999999</v>
      </c>
      <c r="E16" s="67" t="s">
        <v>4</v>
      </c>
      <c r="F16" s="88"/>
      <c r="G16" s="89">
        <f>F16*D16</f>
        <v>0</v>
      </c>
      <c r="H16" s="102"/>
    </row>
    <row r="17" spans="1:8" ht="21.75" x14ac:dyDescent="0.25">
      <c r="A17" s="66" t="s">
        <v>24</v>
      </c>
      <c r="B17" s="62">
        <f>(PI()*0.4^2)/4*D14+(PI()*0.5^2)/4*D16+(PI()*0.6^2)/4*D12</f>
        <v>588.34251818326538</v>
      </c>
      <c r="C17" s="62" t="s">
        <v>108</v>
      </c>
      <c r="D17" s="67">
        <f>(PI()*0.4^2)/4*D14+(PI()*0.5^2)/4*D16+(PI()*0.6^2)/4*D12</f>
        <v>588.34251818326538</v>
      </c>
      <c r="E17" s="67" t="s">
        <v>22</v>
      </c>
      <c r="F17" s="88"/>
      <c r="G17" s="89">
        <f>F17*D17</f>
        <v>0</v>
      </c>
      <c r="H17" s="102"/>
    </row>
    <row r="18" spans="1:8" ht="21.75" x14ac:dyDescent="0.25">
      <c r="A18" s="66" t="s">
        <v>115</v>
      </c>
      <c r="B18" s="62">
        <v>1.6575131198547477</v>
      </c>
      <c r="C18" s="62" t="s">
        <v>34</v>
      </c>
      <c r="D18" s="67">
        <f>B18*D17</f>
        <v>975.18544285714279</v>
      </c>
      <c r="E18" s="67" t="s">
        <v>26</v>
      </c>
      <c r="F18" s="88"/>
      <c r="G18" s="89">
        <f>F18*D18</f>
        <v>0</v>
      </c>
      <c r="H18" s="102"/>
    </row>
    <row r="19" spans="1:8" ht="21.75" x14ac:dyDescent="0.25">
      <c r="A19" s="66" t="s">
        <v>125</v>
      </c>
      <c r="B19" s="62">
        <v>10.178337551067401</v>
      </c>
      <c r="C19" s="62" t="s">
        <v>34</v>
      </c>
      <c r="D19" s="67">
        <f>B19*D17</f>
        <v>5988.3487457142846</v>
      </c>
      <c r="E19" s="67" t="s">
        <v>26</v>
      </c>
      <c r="F19" s="88"/>
      <c r="G19" s="89">
        <f>F19*D19</f>
        <v>0</v>
      </c>
      <c r="H19" s="102"/>
    </row>
    <row r="20" spans="1:8" ht="21.75" x14ac:dyDescent="0.25">
      <c r="A20" s="66" t="s">
        <v>109</v>
      </c>
      <c r="B20" s="62">
        <v>1</v>
      </c>
      <c r="C20" s="62" t="s">
        <v>27</v>
      </c>
      <c r="D20" s="67">
        <v>1</v>
      </c>
      <c r="E20" s="67" t="s">
        <v>27</v>
      </c>
      <c r="F20" s="88"/>
      <c r="G20" s="89">
        <f>F20*D20</f>
        <v>0</v>
      </c>
      <c r="H20" s="102"/>
    </row>
    <row r="21" spans="1:8" ht="21.75" x14ac:dyDescent="0.25">
      <c r="A21" s="215" t="s">
        <v>17</v>
      </c>
      <c r="B21" s="215"/>
      <c r="C21" s="215"/>
      <c r="D21" s="215"/>
      <c r="E21" s="215"/>
      <c r="F21" s="215"/>
      <c r="G21" s="90">
        <f>SUM(G10:G20)</f>
        <v>0</v>
      </c>
      <c r="H21" s="103"/>
    </row>
    <row r="23" spans="1:8" ht="21.75" x14ac:dyDescent="0.25">
      <c r="A23" s="52" t="s">
        <v>309</v>
      </c>
      <c r="B23" s="52"/>
      <c r="C23" s="52"/>
      <c r="D23" s="53"/>
      <c r="E23" s="53"/>
      <c r="F23" s="98"/>
      <c r="G23" s="98"/>
      <c r="H23" s="98"/>
    </row>
    <row r="24" spans="1:8" ht="21.75" x14ac:dyDescent="0.25">
      <c r="A24" s="56"/>
      <c r="B24" s="56"/>
      <c r="C24" s="56"/>
      <c r="D24" s="57"/>
      <c r="E24" s="57"/>
      <c r="F24" s="99"/>
      <c r="G24" s="100"/>
      <c r="H24" s="100"/>
    </row>
    <row r="25" spans="1:8" ht="21.75" x14ac:dyDescent="0.25">
      <c r="A25" s="63" t="s">
        <v>14</v>
      </c>
      <c r="B25" s="220" t="s">
        <v>5</v>
      </c>
      <c r="C25" s="221"/>
      <c r="D25" s="220" t="s">
        <v>18</v>
      </c>
      <c r="E25" s="221"/>
      <c r="F25" s="101" t="s">
        <v>118</v>
      </c>
      <c r="G25" s="90" t="s">
        <v>16</v>
      </c>
      <c r="H25" s="100"/>
    </row>
    <row r="26" spans="1:8" ht="43.5" x14ac:dyDescent="0.25">
      <c r="A26" s="66" t="s">
        <v>111</v>
      </c>
      <c r="B26" s="62">
        <v>2.1</v>
      </c>
      <c r="C26" s="62" t="s">
        <v>113</v>
      </c>
      <c r="D26" s="67">
        <f>B26*DADOS_INICIAIS!E25</f>
        <v>2427.6420000000003</v>
      </c>
      <c r="E26" s="67" t="s">
        <v>2</v>
      </c>
      <c r="F26" s="88"/>
      <c r="G26" s="89">
        <f>F26*D26</f>
        <v>0</v>
      </c>
      <c r="H26" s="102"/>
    </row>
    <row r="27" spans="1:8" ht="21.75" x14ac:dyDescent="0.25">
      <c r="A27" s="66" t="s">
        <v>24</v>
      </c>
      <c r="B27" s="62">
        <v>0.65</v>
      </c>
      <c r="C27" s="62" t="s">
        <v>112</v>
      </c>
      <c r="D27" s="67">
        <f>B27*DADOS_INICIAIS!E25</f>
        <v>751.41300000000001</v>
      </c>
      <c r="E27" s="67" t="s">
        <v>22</v>
      </c>
      <c r="F27" s="88"/>
      <c r="G27" s="89">
        <f>F27*D27</f>
        <v>0</v>
      </c>
      <c r="H27" s="102"/>
    </row>
    <row r="28" spans="1:8" ht="21.75" x14ac:dyDescent="0.25">
      <c r="A28" s="66" t="s">
        <v>23</v>
      </c>
      <c r="B28" s="62">
        <v>110</v>
      </c>
      <c r="C28" s="62" t="s">
        <v>34</v>
      </c>
      <c r="D28" s="67">
        <f>B28*D27</f>
        <v>82655.430000000008</v>
      </c>
      <c r="E28" s="67" t="s">
        <v>26</v>
      </c>
      <c r="F28" s="88"/>
      <c r="G28" s="89">
        <f>F28*D28</f>
        <v>0</v>
      </c>
      <c r="H28" s="102"/>
    </row>
    <row r="29" spans="1:8" ht="21.75" x14ac:dyDescent="0.25">
      <c r="A29" s="66" t="s">
        <v>25</v>
      </c>
      <c r="B29" s="62">
        <f>SUPRAESTRUTURA!B15*1.5</f>
        <v>360</v>
      </c>
      <c r="C29" s="62" t="s">
        <v>102</v>
      </c>
      <c r="D29" s="67">
        <f>DADOS_INICIAIS!E25</f>
        <v>1156.02</v>
      </c>
      <c r="E29" s="67" t="s">
        <v>2</v>
      </c>
      <c r="F29" s="88">
        <f>B29</f>
        <v>360</v>
      </c>
      <c r="G29" s="89">
        <f>F29*D29</f>
        <v>416167.2</v>
      </c>
      <c r="H29" s="102"/>
    </row>
    <row r="30" spans="1:8" ht="21.75" x14ac:dyDescent="0.25">
      <c r="A30" s="215" t="s">
        <v>17</v>
      </c>
      <c r="B30" s="215"/>
      <c r="C30" s="215"/>
      <c r="D30" s="215"/>
      <c r="E30" s="215"/>
      <c r="F30" s="215"/>
      <c r="G30" s="90">
        <f>SUM(G26:G29)</f>
        <v>416167.2</v>
      </c>
      <c r="H30" s="103"/>
    </row>
    <row r="33" spans="1:8" ht="21.75" x14ac:dyDescent="0.25">
      <c r="A33" s="52" t="s">
        <v>168</v>
      </c>
      <c r="B33" s="52"/>
      <c r="C33" s="52"/>
      <c r="D33" s="53"/>
      <c r="E33" s="53"/>
      <c r="F33" s="98"/>
      <c r="G33" s="98"/>
      <c r="H33" s="98"/>
    </row>
    <row r="34" spans="1:8" ht="21.75" x14ac:dyDescent="0.25">
      <c r="A34" s="56"/>
      <c r="B34" s="56"/>
      <c r="C34" s="56"/>
      <c r="D34" s="57"/>
      <c r="E34" s="57"/>
      <c r="F34" s="99"/>
      <c r="G34" s="100"/>
      <c r="H34" s="100"/>
    </row>
    <row r="35" spans="1:8" ht="21.75" x14ac:dyDescent="0.25">
      <c r="A35" s="63" t="s">
        <v>14</v>
      </c>
      <c r="B35" s="220" t="s">
        <v>5</v>
      </c>
      <c r="C35" s="221"/>
      <c r="D35" s="220" t="s">
        <v>18</v>
      </c>
      <c r="E35" s="221"/>
      <c r="F35" s="101" t="s">
        <v>118</v>
      </c>
      <c r="G35" s="90" t="s">
        <v>16</v>
      </c>
      <c r="H35" s="100"/>
    </row>
    <row r="36" spans="1:8" ht="43.5" x14ac:dyDescent="0.25">
      <c r="A36" s="66" t="s">
        <v>111</v>
      </c>
      <c r="B36" s="62">
        <v>2.1</v>
      </c>
      <c r="C36" s="62" t="s">
        <v>113</v>
      </c>
      <c r="D36" s="67">
        <f>B36*DADOS_INICIAIS!E35</f>
        <v>0</v>
      </c>
      <c r="E36" s="67" t="s">
        <v>2</v>
      </c>
      <c r="F36" s="88"/>
      <c r="G36" s="89">
        <f>F36*D36</f>
        <v>0</v>
      </c>
      <c r="H36" s="102"/>
    </row>
    <row r="37" spans="1:8" ht="21.75" x14ac:dyDescent="0.25">
      <c r="A37" s="66" t="s">
        <v>24</v>
      </c>
      <c r="B37" s="62">
        <v>0.65</v>
      </c>
      <c r="C37" s="62" t="s">
        <v>112</v>
      </c>
      <c r="D37" s="67">
        <f>B37*DADOS_INICIAIS!E35</f>
        <v>0</v>
      </c>
      <c r="E37" s="67" t="s">
        <v>22</v>
      </c>
      <c r="F37" s="88"/>
      <c r="G37" s="89">
        <f>F37*D37</f>
        <v>0</v>
      </c>
      <c r="H37" s="102"/>
    </row>
    <row r="38" spans="1:8" ht="21.75" x14ac:dyDescent="0.25">
      <c r="A38" s="66" t="s">
        <v>23</v>
      </c>
      <c r="B38" s="62">
        <v>110</v>
      </c>
      <c r="C38" s="62" t="s">
        <v>34</v>
      </c>
      <c r="D38" s="67">
        <f>B38*D37</f>
        <v>0</v>
      </c>
      <c r="E38" s="67" t="s">
        <v>26</v>
      </c>
      <c r="F38" s="88"/>
      <c r="G38" s="89">
        <f>F38*D38</f>
        <v>0</v>
      </c>
      <c r="H38" s="102"/>
    </row>
    <row r="39" spans="1:8" ht="21.75" x14ac:dyDescent="0.25">
      <c r="A39" s="66" t="s">
        <v>25</v>
      </c>
      <c r="B39" s="62">
        <f>SUPRAESTRUTURA!B74*1.5</f>
        <v>0</v>
      </c>
      <c r="C39" s="62" t="s">
        <v>102</v>
      </c>
      <c r="D39" s="67">
        <f>DADOS_INICIAIS!E35</f>
        <v>0</v>
      </c>
      <c r="E39" s="67" t="s">
        <v>2</v>
      </c>
      <c r="F39" s="88">
        <f>B39</f>
        <v>0</v>
      </c>
      <c r="G39" s="89">
        <f>F39*D39</f>
        <v>0</v>
      </c>
      <c r="H39" s="102"/>
    </row>
    <row r="40" spans="1:8" ht="21.75" x14ac:dyDescent="0.25">
      <c r="A40" s="215" t="s">
        <v>17</v>
      </c>
      <c r="B40" s="215"/>
      <c r="C40" s="215"/>
      <c r="D40" s="215"/>
      <c r="E40" s="215"/>
      <c r="F40" s="215"/>
      <c r="G40" s="90">
        <f>SUM(G36:G39)</f>
        <v>0</v>
      </c>
      <c r="H40" s="103"/>
    </row>
    <row r="45" spans="1:8" x14ac:dyDescent="0.25">
      <c r="D45" s="86"/>
      <c r="E45" s="87"/>
    </row>
    <row r="46" spans="1:8" ht="21.75" x14ac:dyDescent="0.25">
      <c r="A46" s="222" t="s">
        <v>104</v>
      </c>
      <c r="B46" s="223"/>
      <c r="C46" s="223"/>
      <c r="D46" s="223"/>
      <c r="E46" s="223"/>
      <c r="F46" s="224"/>
      <c r="G46" s="91">
        <f>G21+G30</f>
        <v>416167.2</v>
      </c>
      <c r="H46" s="91">
        <f>G46/DADOS_INICIAIS!E9</f>
        <v>31.661492041779422</v>
      </c>
    </row>
  </sheetData>
  <mergeCells count="14">
    <mergeCell ref="A15:A16"/>
    <mergeCell ref="A3:H3"/>
    <mergeCell ref="B9:C9"/>
    <mergeCell ref="D9:E9"/>
    <mergeCell ref="A11:A12"/>
    <mergeCell ref="A13:A14"/>
    <mergeCell ref="A21:F21"/>
    <mergeCell ref="B25:C25"/>
    <mergeCell ref="D25:E25"/>
    <mergeCell ref="A30:F30"/>
    <mergeCell ref="A46:F46"/>
    <mergeCell ref="B35:C35"/>
    <mergeCell ref="D35:E35"/>
    <mergeCell ref="A40:F40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J35"/>
  <sheetViews>
    <sheetView showGridLines="0" topLeftCell="A7" zoomScale="80" zoomScaleNormal="80" zoomScaleSheetLayoutView="95" workbookViewId="0">
      <selection activeCell="G26" sqref="G26"/>
    </sheetView>
  </sheetViews>
  <sheetFormatPr defaultColWidth="9.140625" defaultRowHeight="15" x14ac:dyDescent="0.25"/>
  <cols>
    <col min="1" max="1" width="50.140625" style="55" customWidth="1"/>
    <col min="2" max="3" width="21.7109375" style="55" customWidth="1"/>
    <col min="4" max="4" width="16.5703125" style="81" customWidth="1"/>
    <col min="5" max="5" width="19.5703125" style="82" customWidth="1"/>
    <col min="6" max="6" width="20.85546875" style="94" customWidth="1"/>
    <col min="7" max="7" width="20.7109375" style="94" customWidth="1"/>
    <col min="8" max="8" width="69.42578125" style="94" customWidth="1"/>
    <col min="9" max="9" width="11.28515625" style="55" customWidth="1"/>
    <col min="10" max="10" width="9.140625" style="55"/>
    <col min="11" max="11" width="11" style="55" bestFit="1" customWidth="1"/>
    <col min="12" max="13" width="9.140625" style="55"/>
    <col min="14" max="15" width="11" style="55" bestFit="1" customWidth="1"/>
    <col min="16" max="16384" width="9.140625" style="55"/>
  </cols>
  <sheetData>
    <row r="1" spans="1:10" x14ac:dyDescent="0.25">
      <c r="D1" s="79"/>
      <c r="E1" s="55"/>
      <c r="H1" s="95"/>
      <c r="I1" s="80"/>
      <c r="J1" s="79"/>
    </row>
    <row r="3" spans="1:10" ht="28.5" x14ac:dyDescent="0.25">
      <c r="A3" s="216" t="s">
        <v>122</v>
      </c>
      <c r="B3" s="227"/>
      <c r="C3" s="227"/>
      <c r="D3" s="217"/>
      <c r="E3" s="217"/>
      <c r="F3" s="217"/>
      <c r="G3" s="217"/>
      <c r="H3" s="218"/>
      <c r="J3" s="79"/>
    </row>
    <row r="4" spans="1:10" ht="19.5" x14ac:dyDescent="0.25">
      <c r="A4" s="189" t="s">
        <v>186</v>
      </c>
      <c r="B4" s="195">
        <v>45456</v>
      </c>
      <c r="C4" s="193"/>
      <c r="D4" s="193"/>
      <c r="E4" s="193"/>
      <c r="F4" s="193"/>
      <c r="G4" s="193"/>
      <c r="H4" s="194"/>
      <c r="J4" s="79"/>
    </row>
    <row r="5" spans="1:10" ht="19.5" x14ac:dyDescent="0.25">
      <c r="A5" s="189" t="s">
        <v>308</v>
      </c>
      <c r="B5" s="196" t="s">
        <v>223</v>
      </c>
      <c r="C5" s="191"/>
      <c r="D5" s="191"/>
      <c r="E5" s="191"/>
      <c r="F5" s="191"/>
      <c r="G5" s="191"/>
      <c r="H5" s="192"/>
      <c r="J5" s="79"/>
    </row>
    <row r="6" spans="1:10" ht="21.75" x14ac:dyDescent="0.25">
      <c r="A6" s="83"/>
      <c r="B6" s="83"/>
      <c r="C6" s="83"/>
      <c r="D6" s="83"/>
      <c r="E6" s="83"/>
      <c r="F6" s="96"/>
      <c r="G6" s="97"/>
      <c r="H6" s="97"/>
      <c r="J6" s="79"/>
    </row>
    <row r="7" spans="1:10" ht="21.75" x14ac:dyDescent="0.25">
      <c r="A7" s="52" t="s">
        <v>106</v>
      </c>
      <c r="B7" s="52"/>
      <c r="C7" s="52"/>
      <c r="D7" s="53"/>
      <c r="E7" s="53"/>
      <c r="F7" s="98"/>
      <c r="G7" s="98"/>
      <c r="H7" s="98"/>
    </row>
    <row r="8" spans="1:10" ht="21.75" x14ac:dyDescent="0.25">
      <c r="A8" s="56"/>
      <c r="B8" s="56"/>
      <c r="C8" s="56"/>
      <c r="D8" s="57"/>
      <c r="E8" s="57"/>
      <c r="F8" s="99"/>
      <c r="G8" s="100"/>
      <c r="H8" s="100"/>
    </row>
    <row r="9" spans="1:10" ht="21.75" x14ac:dyDescent="0.25">
      <c r="A9" s="63" t="s">
        <v>14</v>
      </c>
      <c r="B9" s="220" t="s">
        <v>5</v>
      </c>
      <c r="C9" s="221"/>
      <c r="D9" s="220" t="s">
        <v>18</v>
      </c>
      <c r="E9" s="221"/>
      <c r="F9" s="101" t="s">
        <v>118</v>
      </c>
      <c r="G9" s="90" t="s">
        <v>16</v>
      </c>
      <c r="H9" s="90" t="s">
        <v>311</v>
      </c>
    </row>
    <row r="10" spans="1:10" ht="21.75" x14ac:dyDescent="0.25">
      <c r="A10" s="66" t="s">
        <v>107</v>
      </c>
      <c r="B10" s="62">
        <f>D10/DADOS_INICIAIS!E25</f>
        <v>8.4773619833566891E-2</v>
      </c>
      <c r="C10" s="62" t="s">
        <v>108</v>
      </c>
      <c r="D10" s="67">
        <f>D11+D13+D15+D17</f>
        <v>98</v>
      </c>
      <c r="E10" s="67" t="s">
        <v>3</v>
      </c>
      <c r="F10" s="92"/>
      <c r="G10" s="93"/>
      <c r="H10" s="67" t="s">
        <v>381</v>
      </c>
    </row>
    <row r="11" spans="1:10" ht="21.75" x14ac:dyDescent="0.25">
      <c r="A11" s="225" t="s">
        <v>162</v>
      </c>
      <c r="B11" s="76">
        <v>0</v>
      </c>
      <c r="C11" s="62"/>
      <c r="D11" s="67">
        <v>0</v>
      </c>
      <c r="E11" s="67" t="s">
        <v>3</v>
      </c>
      <c r="F11" s="92"/>
      <c r="G11" s="93"/>
      <c r="H11" s="67"/>
    </row>
    <row r="12" spans="1:10" ht="21.75" x14ac:dyDescent="0.25">
      <c r="A12" s="226"/>
      <c r="B12" s="77">
        <v>28</v>
      </c>
      <c r="C12" s="62" t="s">
        <v>163</v>
      </c>
      <c r="D12" s="67">
        <f>B12*D11</f>
        <v>0</v>
      </c>
      <c r="E12" s="67" t="s">
        <v>4</v>
      </c>
      <c r="F12" s="88">
        <v>70</v>
      </c>
      <c r="G12" s="89">
        <f>F12*D12*1.1</f>
        <v>0</v>
      </c>
      <c r="H12" s="67"/>
    </row>
    <row r="13" spans="1:10" ht="21.75" x14ac:dyDescent="0.25">
      <c r="A13" s="225" t="s">
        <v>161</v>
      </c>
      <c r="B13" s="76">
        <v>0.45</v>
      </c>
      <c r="C13" s="62"/>
      <c r="D13" s="67">
        <v>6</v>
      </c>
      <c r="E13" s="67" t="s">
        <v>3</v>
      </c>
      <c r="F13" s="92"/>
      <c r="G13" s="93"/>
      <c r="H13" s="67"/>
    </row>
    <row r="14" spans="1:10" ht="21.75" x14ac:dyDescent="0.25">
      <c r="A14" s="226"/>
      <c r="B14" s="77">
        <v>30</v>
      </c>
      <c r="C14" s="62" t="s">
        <v>163</v>
      </c>
      <c r="D14" s="67">
        <f>B14*D13</f>
        <v>180</v>
      </c>
      <c r="E14" s="67" t="s">
        <v>4</v>
      </c>
      <c r="F14" s="88">
        <v>90</v>
      </c>
      <c r="G14" s="89">
        <f>F14*D14*1.1</f>
        <v>17820</v>
      </c>
      <c r="H14" s="67"/>
    </row>
    <row r="15" spans="1:10" ht="21.75" x14ac:dyDescent="0.25">
      <c r="A15" s="225" t="s">
        <v>114</v>
      </c>
      <c r="B15" s="76">
        <f>1-B13-B11</f>
        <v>0.55000000000000004</v>
      </c>
      <c r="C15" s="62" t="s">
        <v>108</v>
      </c>
      <c r="D15" s="67">
        <v>39</v>
      </c>
      <c r="E15" s="67" t="s">
        <v>3</v>
      </c>
      <c r="F15" s="92"/>
      <c r="G15" s="93"/>
      <c r="H15" s="67"/>
    </row>
    <row r="16" spans="1:10" ht="21.75" x14ac:dyDescent="0.25">
      <c r="A16" s="226"/>
      <c r="B16" s="77">
        <v>36</v>
      </c>
      <c r="C16" s="62" t="s">
        <v>163</v>
      </c>
      <c r="D16" s="67">
        <f>B16*D15</f>
        <v>1404</v>
      </c>
      <c r="E16" s="67" t="s">
        <v>4</v>
      </c>
      <c r="F16" s="88">
        <v>105</v>
      </c>
      <c r="G16" s="89">
        <f>F16*D16*1.1</f>
        <v>162162</v>
      </c>
      <c r="H16" s="67"/>
    </row>
    <row r="17" spans="1:8" ht="21.75" x14ac:dyDescent="0.25">
      <c r="A17" s="225" t="s">
        <v>379</v>
      </c>
      <c r="B17" s="76">
        <f>1-B15-B13</f>
        <v>0</v>
      </c>
      <c r="C17" s="62" t="s">
        <v>108</v>
      </c>
      <c r="D17" s="67">
        <f>33+20</f>
        <v>53</v>
      </c>
      <c r="E17" s="67" t="s">
        <v>3</v>
      </c>
      <c r="F17" s="92"/>
      <c r="G17" s="93"/>
      <c r="H17" s="67"/>
    </row>
    <row r="18" spans="1:8" ht="21.75" x14ac:dyDescent="0.25">
      <c r="A18" s="226"/>
      <c r="B18" s="77">
        <v>36</v>
      </c>
      <c r="C18" s="62" t="s">
        <v>163</v>
      </c>
      <c r="D18" s="67">
        <f>B18*D17</f>
        <v>1908</v>
      </c>
      <c r="E18" s="67" t="s">
        <v>4</v>
      </c>
      <c r="F18" s="88">
        <v>120</v>
      </c>
      <c r="G18" s="89">
        <f>F18*D18*1.1</f>
        <v>251856.00000000003</v>
      </c>
      <c r="H18" s="67"/>
    </row>
    <row r="19" spans="1:8" ht="21.75" x14ac:dyDescent="0.25">
      <c r="A19" s="66" t="s">
        <v>313</v>
      </c>
      <c r="B19" s="62">
        <v>1.1000000000000001</v>
      </c>
      <c r="C19" s="62" t="s">
        <v>328</v>
      </c>
      <c r="D19" s="67">
        <v>1621.71</v>
      </c>
      <c r="E19" s="67" t="s">
        <v>22</v>
      </c>
      <c r="F19" s="88">
        <f>535+45</f>
        <v>580</v>
      </c>
      <c r="G19" s="89">
        <f>F19*D19*B19*1.1</f>
        <v>1138116.0780000002</v>
      </c>
      <c r="H19" s="67"/>
    </row>
    <row r="20" spans="1:8" ht="21.75" x14ac:dyDescent="0.25">
      <c r="A20" s="66" t="s">
        <v>380</v>
      </c>
      <c r="B20" s="62">
        <f>D20/D19</f>
        <v>9.2753944910002399</v>
      </c>
      <c r="C20" s="62" t="s">
        <v>34</v>
      </c>
      <c r="D20" s="67">
        <v>15042</v>
      </c>
      <c r="E20" s="67" t="s">
        <v>26</v>
      </c>
      <c r="F20" s="88">
        <v>7.62</v>
      </c>
      <c r="G20" s="89">
        <f>F20*D20*1.1</f>
        <v>126082.04400000002</v>
      </c>
      <c r="H20" s="67"/>
    </row>
    <row r="21" spans="1:8" ht="21.75" x14ac:dyDescent="0.25">
      <c r="A21" s="66" t="s">
        <v>109</v>
      </c>
      <c r="B21" s="62">
        <v>1</v>
      </c>
      <c r="C21" s="62" t="s">
        <v>27</v>
      </c>
      <c r="D21" s="67">
        <v>1</v>
      </c>
      <c r="E21" s="67" t="s">
        <v>27</v>
      </c>
      <c r="F21" s="88">
        <v>14500</v>
      </c>
      <c r="G21" s="89">
        <f>F21*D21*1.1</f>
        <v>15950.000000000002</v>
      </c>
      <c r="H21" s="67"/>
    </row>
    <row r="22" spans="1:8" ht="21.75" x14ac:dyDescent="0.25">
      <c r="A22" s="66" t="s">
        <v>315</v>
      </c>
      <c r="B22" s="62"/>
      <c r="C22" s="62"/>
      <c r="D22" s="67">
        <f>D10</f>
        <v>98</v>
      </c>
      <c r="E22" s="67" t="s">
        <v>3</v>
      </c>
      <c r="F22" s="88">
        <v>300</v>
      </c>
      <c r="G22" s="89">
        <f>F22*D22*1</f>
        <v>29400</v>
      </c>
      <c r="H22" s="67"/>
    </row>
    <row r="23" spans="1:8" ht="21.75" x14ac:dyDescent="0.25">
      <c r="A23" s="215" t="s">
        <v>17</v>
      </c>
      <c r="B23" s="215"/>
      <c r="C23" s="215"/>
      <c r="D23" s="215"/>
      <c r="E23" s="215"/>
      <c r="F23" s="215"/>
      <c r="G23" s="90">
        <f>SUM(G10:G22)</f>
        <v>1741386.1220000002</v>
      </c>
      <c r="H23" s="90"/>
    </row>
    <row r="25" spans="1:8" ht="21.75" x14ac:dyDescent="0.25">
      <c r="A25" s="52" t="s">
        <v>110</v>
      </c>
      <c r="B25" s="52"/>
      <c r="C25" s="52"/>
      <c r="D25" s="53"/>
      <c r="E25" s="53"/>
      <c r="F25" s="98"/>
      <c r="G25" s="98"/>
      <c r="H25" s="98"/>
    </row>
    <row r="26" spans="1:8" ht="21.75" x14ac:dyDescent="0.25">
      <c r="A26" s="56"/>
      <c r="B26" s="56"/>
      <c r="C26" s="56"/>
      <c r="D26" s="57"/>
      <c r="E26" s="57"/>
      <c r="F26" s="99"/>
      <c r="G26" s="100"/>
      <c r="H26" s="100"/>
    </row>
    <row r="27" spans="1:8" ht="21.75" x14ac:dyDescent="0.25">
      <c r="A27" s="63" t="s">
        <v>14</v>
      </c>
      <c r="B27" s="220" t="s">
        <v>5</v>
      </c>
      <c r="C27" s="221"/>
      <c r="D27" s="220" t="s">
        <v>18</v>
      </c>
      <c r="E27" s="221"/>
      <c r="F27" s="101" t="s">
        <v>118</v>
      </c>
      <c r="G27" s="90" t="s">
        <v>16</v>
      </c>
      <c r="H27" s="90" t="s">
        <v>311</v>
      </c>
    </row>
    <row r="28" spans="1:8" ht="43.5" x14ac:dyDescent="0.25">
      <c r="A28" s="66" t="s">
        <v>111</v>
      </c>
      <c r="B28" s="62">
        <v>1.1000000000000001</v>
      </c>
      <c r="C28" s="62" t="s">
        <v>113</v>
      </c>
      <c r="D28" s="67">
        <f>B28*DADOS_INICIAIS!E25</f>
        <v>1271.6220000000001</v>
      </c>
      <c r="E28" s="67" t="s">
        <v>2</v>
      </c>
      <c r="F28" s="88">
        <v>68</v>
      </c>
      <c r="G28" s="89">
        <f>F28*D28*1.1</f>
        <v>95117.325600000011</v>
      </c>
      <c r="H28" s="67" t="s">
        <v>330</v>
      </c>
    </row>
    <row r="29" spans="1:8" ht="21.75" x14ac:dyDescent="0.25">
      <c r="A29" s="66" t="s">
        <v>313</v>
      </c>
      <c r="B29" s="62">
        <v>0.65</v>
      </c>
      <c r="C29" s="62" t="s">
        <v>112</v>
      </c>
      <c r="D29" s="67">
        <f>B29*DADOS_INICIAIS!E25</f>
        <v>751.41300000000001</v>
      </c>
      <c r="E29" s="67" t="s">
        <v>22</v>
      </c>
      <c r="F29" s="88">
        <f>535+45</f>
        <v>580</v>
      </c>
      <c r="G29" s="89">
        <f>F29*D29*1.05*1.1</f>
        <v>503371.5687</v>
      </c>
      <c r="H29" s="67" t="s">
        <v>314</v>
      </c>
    </row>
    <row r="30" spans="1:8" ht="21.75" x14ac:dyDescent="0.25">
      <c r="A30" s="66" t="s">
        <v>23</v>
      </c>
      <c r="B30" s="62">
        <v>60</v>
      </c>
      <c r="C30" s="62" t="s">
        <v>34</v>
      </c>
      <c r="D30" s="67">
        <f>B30*D29</f>
        <v>45084.78</v>
      </c>
      <c r="E30" s="67" t="s">
        <v>26</v>
      </c>
      <c r="F30" s="88">
        <v>7.62</v>
      </c>
      <c r="G30" s="89">
        <f>F30*D30*1.1</f>
        <v>377900.62596000003</v>
      </c>
      <c r="H30" s="67"/>
    </row>
    <row r="31" spans="1:8" ht="21.75" x14ac:dyDescent="0.25">
      <c r="A31" s="66" t="s">
        <v>25</v>
      </c>
      <c r="B31" s="62">
        <f>SUPRAESTRUTURA!B15*1.5</f>
        <v>360</v>
      </c>
      <c r="C31" s="62" t="s">
        <v>102</v>
      </c>
      <c r="D31" s="67">
        <f>DADOS_INICIAIS!E25</f>
        <v>1156.02</v>
      </c>
      <c r="E31" s="67" t="s">
        <v>2</v>
      </c>
      <c r="F31" s="88">
        <f>B31</f>
        <v>360</v>
      </c>
      <c r="G31" s="89">
        <f>F31*D31*1.1</f>
        <v>457783.92000000004</v>
      </c>
      <c r="H31" s="67"/>
    </row>
    <row r="32" spans="1:8" ht="21.75" x14ac:dyDescent="0.25">
      <c r="A32" s="215" t="s">
        <v>17</v>
      </c>
      <c r="B32" s="215"/>
      <c r="C32" s="215"/>
      <c r="D32" s="215"/>
      <c r="E32" s="215"/>
      <c r="F32" s="215"/>
      <c r="G32" s="90">
        <f>SUM(G28:G31)</f>
        <v>1434173.4402600001</v>
      </c>
      <c r="H32" s="90"/>
    </row>
    <row r="34" spans="1:8" x14ac:dyDescent="0.25">
      <c r="D34" s="86"/>
      <c r="E34" s="87"/>
    </row>
    <row r="35" spans="1:8" ht="21.75" x14ac:dyDescent="0.25">
      <c r="A35" s="222" t="s">
        <v>104</v>
      </c>
      <c r="B35" s="223"/>
      <c r="C35" s="223"/>
      <c r="D35" s="223"/>
      <c r="E35" s="223"/>
      <c r="F35" s="224"/>
      <c r="G35" s="91">
        <f>G23+G32</f>
        <v>3175559.56226</v>
      </c>
      <c r="H35" s="91">
        <f>G35/DADOS_INICIAIS!E9</f>
        <v>241.59269113157291</v>
      </c>
    </row>
  </sheetData>
  <mergeCells count="12">
    <mergeCell ref="A32:F32"/>
    <mergeCell ref="A35:F35"/>
    <mergeCell ref="A3:H3"/>
    <mergeCell ref="A23:F23"/>
    <mergeCell ref="D9:E9"/>
    <mergeCell ref="B9:C9"/>
    <mergeCell ref="A11:A12"/>
    <mergeCell ref="A13:A14"/>
    <mergeCell ref="A15:A16"/>
    <mergeCell ref="B27:C27"/>
    <mergeCell ref="D27:E27"/>
    <mergeCell ref="A17:A18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C6ECC-E58E-429D-83BE-C07977C5DA4B}">
  <sheetPr>
    <tabColor rgb="FF92D050"/>
  </sheetPr>
  <dimension ref="A1:L69"/>
  <sheetViews>
    <sheetView showGridLines="0" tabSelected="1" topLeftCell="A47" zoomScale="80" zoomScaleNormal="80" zoomScaleSheetLayoutView="95" workbookViewId="0">
      <selection activeCell="D55" sqref="D55"/>
    </sheetView>
  </sheetViews>
  <sheetFormatPr defaultColWidth="9.140625" defaultRowHeight="15" x14ac:dyDescent="0.25"/>
  <cols>
    <col min="1" max="1" width="50.140625" style="55" customWidth="1"/>
    <col min="2" max="3" width="21.7109375" style="55" customWidth="1"/>
    <col min="4" max="4" width="16.5703125" style="81" customWidth="1"/>
    <col min="5" max="5" width="19.5703125" style="82" customWidth="1"/>
    <col min="6" max="6" width="20.85546875" style="55" customWidth="1"/>
    <col min="7" max="7" width="26.85546875" style="55" customWidth="1"/>
    <col min="8" max="8" width="58.28515625" style="55" customWidth="1"/>
    <col min="9" max="9" width="14.5703125" style="55" customWidth="1"/>
    <col min="10" max="10" width="9.140625" style="55"/>
    <col min="11" max="11" width="11" style="55" bestFit="1" customWidth="1"/>
    <col min="12" max="12" width="11.28515625" style="55" bestFit="1" customWidth="1"/>
    <col min="13" max="13" width="9.140625" style="55"/>
    <col min="14" max="15" width="11" style="55" bestFit="1" customWidth="1"/>
    <col min="16" max="16384" width="9.140625" style="55"/>
  </cols>
  <sheetData>
    <row r="1" spans="1:10" x14ac:dyDescent="0.25">
      <c r="D1" s="79"/>
      <c r="E1" s="55"/>
      <c r="H1" s="80"/>
      <c r="I1" s="80"/>
      <c r="J1" s="79"/>
    </row>
    <row r="3" spans="1:10" ht="28.5" x14ac:dyDescent="0.25">
      <c r="A3" s="216" t="s">
        <v>28</v>
      </c>
      <c r="B3" s="227"/>
      <c r="C3" s="227"/>
      <c r="D3" s="217"/>
      <c r="E3" s="217"/>
      <c r="F3" s="217"/>
      <c r="G3" s="217"/>
      <c r="H3" s="218"/>
      <c r="J3" s="79"/>
    </row>
    <row r="4" spans="1:10" ht="19.5" x14ac:dyDescent="0.25">
      <c r="A4" s="189" t="s">
        <v>186</v>
      </c>
      <c r="B4" s="195">
        <v>45456</v>
      </c>
      <c r="C4" s="193"/>
      <c r="D4" s="193"/>
      <c r="E4" s="193"/>
      <c r="F4" s="193"/>
      <c r="G4" s="193"/>
      <c r="H4" s="194"/>
      <c r="J4" s="79"/>
    </row>
    <row r="5" spans="1:10" ht="19.5" x14ac:dyDescent="0.25">
      <c r="A5" s="189" t="s">
        <v>308</v>
      </c>
      <c r="B5" s="196" t="s">
        <v>223</v>
      </c>
      <c r="C5" s="191"/>
      <c r="D5" s="191"/>
      <c r="E5" s="191"/>
      <c r="F5" s="191"/>
      <c r="G5" s="191"/>
      <c r="H5" s="192"/>
      <c r="J5" s="79"/>
    </row>
    <row r="6" spans="1:10" ht="21.75" x14ac:dyDescent="0.25">
      <c r="A6" s="83"/>
      <c r="B6" s="83"/>
      <c r="C6" s="83"/>
      <c r="D6" s="83"/>
      <c r="E6" s="83"/>
      <c r="F6" s="84"/>
      <c r="G6" s="85"/>
      <c r="H6" s="85"/>
      <c r="J6" s="79"/>
    </row>
    <row r="7" spans="1:10" ht="21.75" x14ac:dyDescent="0.25">
      <c r="A7" s="52" t="s">
        <v>320</v>
      </c>
      <c r="B7" s="52"/>
      <c r="C7" s="52"/>
      <c r="D7" s="53"/>
      <c r="E7" s="53"/>
      <c r="F7" s="54"/>
      <c r="G7" s="53"/>
      <c r="H7" s="53"/>
    </row>
    <row r="8" spans="1:10" ht="21.75" x14ac:dyDescent="0.25">
      <c r="A8" s="56"/>
      <c r="B8" s="56"/>
      <c r="C8" s="56"/>
      <c r="D8" s="57"/>
      <c r="E8" s="57"/>
      <c r="F8" s="58"/>
      <c r="G8" s="59"/>
      <c r="H8" s="59"/>
    </row>
    <row r="9" spans="1:10" ht="42" customHeight="1" x14ac:dyDescent="0.25">
      <c r="A9" s="63" t="s">
        <v>14</v>
      </c>
      <c r="B9" s="220" t="s">
        <v>5</v>
      </c>
      <c r="C9" s="221"/>
      <c r="D9" s="220" t="s">
        <v>18</v>
      </c>
      <c r="E9" s="221"/>
      <c r="F9" s="65" t="s">
        <v>118</v>
      </c>
      <c r="G9" s="71" t="s">
        <v>16</v>
      </c>
      <c r="H9" s="90" t="s">
        <v>311</v>
      </c>
    </row>
    <row r="10" spans="1:10" ht="21.75" x14ac:dyDescent="0.25">
      <c r="A10" s="66" t="s">
        <v>29</v>
      </c>
      <c r="B10" s="62">
        <v>3</v>
      </c>
      <c r="C10" s="62" t="s">
        <v>319</v>
      </c>
      <c r="D10" s="67">
        <f>(D11/DADOS_INICIAIS!$E$15)*B10</f>
        <v>4929.1012499999997</v>
      </c>
      <c r="E10" s="67" t="s">
        <v>2</v>
      </c>
      <c r="F10" s="88">
        <v>110</v>
      </c>
      <c r="G10" s="89">
        <f>F10*D10*1.1</f>
        <v>596421.25124999997</v>
      </c>
      <c r="H10" s="67"/>
    </row>
    <row r="11" spans="1:10" ht="21.75" x14ac:dyDescent="0.25">
      <c r="A11" s="78" t="s">
        <v>30</v>
      </c>
      <c r="B11" s="62">
        <v>2.5</v>
      </c>
      <c r="C11" s="62" t="s">
        <v>37</v>
      </c>
      <c r="D11" s="67">
        <f>B11*DADOS_INICIAIS!$E$9</f>
        <v>32860.675000000003</v>
      </c>
      <c r="E11" s="67" t="s">
        <v>2</v>
      </c>
      <c r="F11" s="88">
        <v>2.5</v>
      </c>
      <c r="G11" s="89">
        <f>F11*D11*1.1</f>
        <v>90366.856250000012</v>
      </c>
      <c r="H11" s="67"/>
    </row>
    <row r="12" spans="1:10" ht="21.75" x14ac:dyDescent="0.25">
      <c r="A12" s="78" t="s">
        <v>331</v>
      </c>
      <c r="B12" s="62">
        <v>4</v>
      </c>
      <c r="C12" s="62" t="s">
        <v>165</v>
      </c>
      <c r="D12" s="67">
        <f>ROUNDUP(B12*DADOS_INICIAIS!$E$25*B10,0)</f>
        <v>13873</v>
      </c>
      <c r="E12" s="67" t="s">
        <v>3</v>
      </c>
      <c r="F12" s="88">
        <f>17</f>
        <v>17</v>
      </c>
      <c r="G12" s="89">
        <f>F12*D12*1.1</f>
        <v>259425.10000000003</v>
      </c>
      <c r="H12" s="67"/>
      <c r="I12" s="198"/>
    </row>
    <row r="13" spans="1:10" ht="21.75" x14ac:dyDescent="0.25">
      <c r="A13" s="66" t="s">
        <v>99</v>
      </c>
      <c r="B13" s="62">
        <v>0.22</v>
      </c>
      <c r="C13" s="62" t="s">
        <v>38</v>
      </c>
      <c r="D13" s="67">
        <f>B13*DADOS_INICIAIS!$E$9</f>
        <v>2891.7393999999999</v>
      </c>
      <c r="E13" s="67" t="s">
        <v>22</v>
      </c>
      <c r="F13" s="88">
        <f>535+45</f>
        <v>580</v>
      </c>
      <c r="G13" s="89">
        <f>F13*D13*1.05*1.1</f>
        <v>1937176.2240600004</v>
      </c>
      <c r="H13" s="67"/>
    </row>
    <row r="14" spans="1:10" ht="21.75" x14ac:dyDescent="0.25">
      <c r="A14" s="66" t="s">
        <v>31</v>
      </c>
      <c r="B14" s="62">
        <v>110</v>
      </c>
      <c r="C14" s="62" t="s">
        <v>34</v>
      </c>
      <c r="D14" s="67">
        <f>D13*B14</f>
        <v>318091.33399999997</v>
      </c>
      <c r="E14" s="67" t="s">
        <v>26</v>
      </c>
      <c r="F14" s="88">
        <v>7.62</v>
      </c>
      <c r="G14" s="89">
        <f>F14*D14*1.1</f>
        <v>2666241.561588</v>
      </c>
      <c r="H14" s="67"/>
    </row>
    <row r="15" spans="1:10" ht="43.5" x14ac:dyDescent="0.25">
      <c r="A15" s="66" t="s">
        <v>101</v>
      </c>
      <c r="B15" s="62">
        <v>240</v>
      </c>
      <c r="C15" s="62" t="s">
        <v>6</v>
      </c>
      <c r="D15" s="67">
        <f>DADOS_INICIAIS!$E$9</f>
        <v>13144.27</v>
      </c>
      <c r="E15" s="67" t="s">
        <v>2</v>
      </c>
      <c r="F15" s="88">
        <f>B15</f>
        <v>240</v>
      </c>
      <c r="G15" s="89">
        <f>F15*D15*1.1</f>
        <v>3470087.2800000007</v>
      </c>
      <c r="H15" s="67"/>
    </row>
    <row r="16" spans="1:10" ht="43.5" x14ac:dyDescent="0.25">
      <c r="A16" s="66" t="s">
        <v>316</v>
      </c>
      <c r="B16" s="62">
        <v>5300</v>
      </c>
      <c r="C16" s="62" t="s">
        <v>317</v>
      </c>
      <c r="D16" s="67">
        <v>1</v>
      </c>
      <c r="E16" s="67" t="s">
        <v>27</v>
      </c>
      <c r="F16" s="88">
        <f>B16*DADOS_INICIAIS!$E$15</f>
        <v>106000</v>
      </c>
      <c r="G16" s="89">
        <f>F16*D16*1.1</f>
        <v>116600.00000000001</v>
      </c>
      <c r="H16" s="67" t="s">
        <v>318</v>
      </c>
      <c r="I16" s="55" t="s">
        <v>322</v>
      </c>
    </row>
    <row r="17" spans="1:12" ht="21.75" x14ac:dyDescent="0.25">
      <c r="A17" s="215" t="s">
        <v>17</v>
      </c>
      <c r="B17" s="215"/>
      <c r="C17" s="215"/>
      <c r="D17" s="215"/>
      <c r="E17" s="215"/>
      <c r="F17" s="215"/>
      <c r="G17" s="90">
        <f>SUM(G10:G16)</f>
        <v>9136318.2731480021</v>
      </c>
      <c r="H17" s="90"/>
      <c r="K17" s="55">
        <f>4160+1440+1120+2880+4800+91680+4000</f>
        <v>110080</v>
      </c>
      <c r="L17" s="55">
        <f>K17/21</f>
        <v>5241.9047619047615</v>
      </c>
    </row>
    <row r="19" spans="1:12" ht="21.75" x14ac:dyDescent="0.25">
      <c r="A19" s="52" t="s">
        <v>404</v>
      </c>
      <c r="B19" s="52"/>
      <c r="C19" s="52"/>
      <c r="D19" s="53"/>
      <c r="E19" s="53"/>
      <c r="F19" s="54"/>
      <c r="G19" s="53"/>
      <c r="H19" s="53"/>
    </row>
    <row r="20" spans="1:12" ht="21.75" x14ac:dyDescent="0.25">
      <c r="A20" s="56"/>
      <c r="B20" s="56"/>
      <c r="C20" s="56"/>
      <c r="D20" s="57"/>
      <c r="E20" s="57"/>
      <c r="F20" s="58"/>
      <c r="G20" s="59"/>
      <c r="H20" s="59"/>
    </row>
    <row r="21" spans="1:12" ht="21.75" x14ac:dyDescent="0.25">
      <c r="A21" s="63" t="s">
        <v>14</v>
      </c>
      <c r="B21" s="220" t="s">
        <v>5</v>
      </c>
      <c r="C21" s="221"/>
      <c r="D21" s="220" t="s">
        <v>18</v>
      </c>
      <c r="E21" s="221"/>
      <c r="F21" s="65" t="s">
        <v>118</v>
      </c>
      <c r="G21" s="71" t="s">
        <v>16</v>
      </c>
      <c r="H21" s="90" t="s">
        <v>311</v>
      </c>
    </row>
    <row r="22" spans="1:12" ht="21.75" x14ac:dyDescent="0.25">
      <c r="A22" s="66" t="s">
        <v>29</v>
      </c>
      <c r="B22" s="62">
        <v>2</v>
      </c>
      <c r="C22" s="62" t="s">
        <v>319</v>
      </c>
      <c r="D22" s="67">
        <f>(D23/DADOS_INICIAIS!$E$15)*B22</f>
        <v>2760.2966999999999</v>
      </c>
      <c r="E22" s="67" t="s">
        <v>2</v>
      </c>
      <c r="F22" s="88">
        <v>110</v>
      </c>
      <c r="G22" s="89">
        <f>F22*D22*1.1</f>
        <v>333995.9007</v>
      </c>
      <c r="H22" s="67"/>
    </row>
    <row r="23" spans="1:12" ht="21.75" x14ac:dyDescent="0.25">
      <c r="A23" s="78" t="s">
        <v>30</v>
      </c>
      <c r="B23" s="62">
        <v>2.1</v>
      </c>
      <c r="C23" s="62" t="s">
        <v>37</v>
      </c>
      <c r="D23" s="67">
        <f>B23*DADOS_INICIAIS!$E$9</f>
        <v>27602.967000000001</v>
      </c>
      <c r="E23" s="67" t="s">
        <v>2</v>
      </c>
      <c r="F23" s="88">
        <v>2.5</v>
      </c>
      <c r="G23" s="89">
        <f>F23*D23*1.1</f>
        <v>75908.159249999997</v>
      </c>
      <c r="H23" s="67"/>
    </row>
    <row r="24" spans="1:12" ht="21.75" x14ac:dyDescent="0.25">
      <c r="A24" s="78" t="s">
        <v>331</v>
      </c>
      <c r="B24" s="62">
        <v>3</v>
      </c>
      <c r="C24" s="62" t="s">
        <v>164</v>
      </c>
      <c r="D24" s="67">
        <f>ROUNDUP(B24*DADOS_INICIAIS!$E$25*B22,0)</f>
        <v>6937</v>
      </c>
      <c r="E24" s="67" t="s">
        <v>3</v>
      </c>
      <c r="F24" s="88">
        <f>17</f>
        <v>17</v>
      </c>
      <c r="G24" s="89">
        <f>F24*D24*1.1</f>
        <v>129721.90000000001</v>
      </c>
      <c r="H24" s="67"/>
    </row>
    <row r="25" spans="1:12" ht="21.75" x14ac:dyDescent="0.25">
      <c r="A25" s="66" t="s">
        <v>116</v>
      </c>
      <c r="B25" s="62">
        <v>25</v>
      </c>
      <c r="C25" s="62" t="s">
        <v>6</v>
      </c>
      <c r="D25" s="67">
        <v>1</v>
      </c>
      <c r="E25" s="67" t="s">
        <v>27</v>
      </c>
      <c r="F25" s="88">
        <f>B25*DADOS_INICIAIS!$E$9</f>
        <v>328606.75</v>
      </c>
      <c r="G25" s="89">
        <f>F25*D25*1.1</f>
        <v>361467.42500000005</v>
      </c>
      <c r="H25" s="67"/>
    </row>
    <row r="26" spans="1:12" ht="21.75" x14ac:dyDescent="0.25">
      <c r="A26" s="78" t="s">
        <v>385</v>
      </c>
      <c r="B26" s="204">
        <f>12.3*0.8</f>
        <v>9.8400000000000016</v>
      </c>
      <c r="C26" s="204" t="s">
        <v>383</v>
      </c>
      <c r="D26" s="67">
        <f>(DADOS_INICIAIS!$E$16+DADOS_INICIAIS!$E$17)*DADOS_INICIAIS!$E$19+DADOS_INICIAIS!$E$22</f>
        <v>14693.24</v>
      </c>
      <c r="E26" s="67" t="s">
        <v>2</v>
      </c>
      <c r="F26" s="88">
        <f>B26</f>
        <v>9.8400000000000016</v>
      </c>
      <c r="G26" s="89">
        <f t="shared" ref="G26:G27" si="0">F26*D26*1.1</f>
        <v>159039.62976000004</v>
      </c>
      <c r="H26" s="67"/>
    </row>
    <row r="27" spans="1:12" ht="21.75" x14ac:dyDescent="0.25">
      <c r="A27" s="78" t="s">
        <v>386</v>
      </c>
      <c r="B27" s="204">
        <f>2.83*0.8</f>
        <v>2.2640000000000002</v>
      </c>
      <c r="C27" s="204" t="s">
        <v>384</v>
      </c>
      <c r="D27" s="67">
        <f>B27*D26</f>
        <v>33265.495360000001</v>
      </c>
      <c r="E27" s="67" t="s">
        <v>26</v>
      </c>
      <c r="F27" s="88">
        <v>12.3</v>
      </c>
      <c r="G27" s="89">
        <f t="shared" si="0"/>
        <v>450082.15222080005</v>
      </c>
      <c r="H27" s="67"/>
    </row>
    <row r="28" spans="1:12" ht="21.75" x14ac:dyDescent="0.25">
      <c r="A28" s="66" t="s">
        <v>387</v>
      </c>
      <c r="B28" s="204">
        <v>9000</v>
      </c>
      <c r="C28" s="204" t="s">
        <v>388</v>
      </c>
      <c r="D28" s="67">
        <f>DADOS_INICIAIS!E15</f>
        <v>20</v>
      </c>
      <c r="E28" s="67" t="s">
        <v>389</v>
      </c>
      <c r="F28" s="88">
        <f>B28</f>
        <v>9000</v>
      </c>
      <c r="G28" s="89">
        <f>F28*D28*1.1</f>
        <v>198000.00000000003</v>
      </c>
      <c r="H28" s="67"/>
    </row>
    <row r="29" spans="1:12" ht="21.75" x14ac:dyDescent="0.25">
      <c r="A29" s="66" t="s">
        <v>99</v>
      </c>
      <c r="B29" s="62">
        <v>0.18</v>
      </c>
      <c r="C29" s="62" t="s">
        <v>38</v>
      </c>
      <c r="D29" s="67">
        <f>B29*DADOS_INICIAIS!$E$9</f>
        <v>2365.9686000000002</v>
      </c>
      <c r="E29" s="67" t="s">
        <v>22</v>
      </c>
      <c r="F29" s="88">
        <f>535+45</f>
        <v>580</v>
      </c>
      <c r="G29" s="89">
        <f>F29*D29*1.05*1.1</f>
        <v>1584962.3651400006</v>
      </c>
      <c r="H29" s="67"/>
    </row>
    <row r="30" spans="1:12" ht="21.75" x14ac:dyDescent="0.25">
      <c r="A30" s="66" t="s">
        <v>393</v>
      </c>
      <c r="B30" s="76">
        <v>0.2</v>
      </c>
      <c r="C30" s="62"/>
      <c r="D30" s="67">
        <f>B30*D29</f>
        <v>473.19372000000004</v>
      </c>
      <c r="E30" s="67" t="s">
        <v>22</v>
      </c>
      <c r="F30" s="88">
        <f>1.22*F29-F29</f>
        <v>127.60000000000002</v>
      </c>
      <c r="G30" s="89">
        <f>F30*D30*1.05*1.1</f>
        <v>69738.344066160033</v>
      </c>
      <c r="H30" s="67"/>
    </row>
    <row r="31" spans="1:12" ht="21.75" x14ac:dyDescent="0.25">
      <c r="A31" s="66" t="s">
        <v>31</v>
      </c>
      <c r="B31" s="62">
        <v>110</v>
      </c>
      <c r="C31" s="62" t="s">
        <v>34</v>
      </c>
      <c r="D31" s="67">
        <f>D29*B31-D27</f>
        <v>226991.05064000003</v>
      </c>
      <c r="E31" s="67" t="s">
        <v>26</v>
      </c>
      <c r="F31" s="88">
        <v>7.62</v>
      </c>
      <c r="G31" s="89">
        <f>F31*D31*1.1</f>
        <v>1902638.9864644804</v>
      </c>
      <c r="H31" s="67"/>
    </row>
    <row r="32" spans="1:12" ht="43.5" x14ac:dyDescent="0.25">
      <c r="A32" s="66" t="s">
        <v>101</v>
      </c>
      <c r="B32" s="62">
        <v>240</v>
      </c>
      <c r="C32" s="62" t="s">
        <v>6</v>
      </c>
      <c r="D32" s="67">
        <f>DADOS_INICIAIS!$E$9</f>
        <v>13144.27</v>
      </c>
      <c r="E32" s="67" t="s">
        <v>2</v>
      </c>
      <c r="F32" s="88">
        <f>B32</f>
        <v>240</v>
      </c>
      <c r="G32" s="89">
        <f>F32*D32*1.1</f>
        <v>3470087.2800000007</v>
      </c>
      <c r="H32" s="67"/>
    </row>
    <row r="33" spans="1:8" ht="43.5" x14ac:dyDescent="0.25">
      <c r="A33" s="66" t="s">
        <v>316</v>
      </c>
      <c r="B33" s="62">
        <v>5300</v>
      </c>
      <c r="C33" s="62" t="s">
        <v>317</v>
      </c>
      <c r="D33" s="67">
        <v>1</v>
      </c>
      <c r="E33" s="67" t="s">
        <v>27</v>
      </c>
      <c r="F33" s="88">
        <f>B33*DADOS_INICIAIS!$E$15</f>
        <v>106000</v>
      </c>
      <c r="G33" s="89">
        <f>F33*D33*1.1</f>
        <v>116600.00000000001</v>
      </c>
      <c r="H33" s="67" t="s">
        <v>318</v>
      </c>
    </row>
    <row r="34" spans="1:8" ht="21.75" x14ac:dyDescent="0.25">
      <c r="A34" s="215" t="s">
        <v>17</v>
      </c>
      <c r="B34" s="215"/>
      <c r="C34" s="215"/>
      <c r="D34" s="215"/>
      <c r="E34" s="215"/>
      <c r="F34" s="215"/>
      <c r="G34" s="90">
        <f>SUM(G22:G33)</f>
        <v>8852242.1426014416</v>
      </c>
      <c r="H34" s="90"/>
    </row>
    <row r="36" spans="1:8" ht="21.75" x14ac:dyDescent="0.25">
      <c r="A36" s="52" t="s">
        <v>321</v>
      </c>
      <c r="B36" s="52"/>
      <c r="C36" s="52"/>
      <c r="D36" s="53"/>
      <c r="E36" s="53"/>
      <c r="F36" s="54"/>
      <c r="G36" s="53"/>
      <c r="H36" s="53"/>
    </row>
    <row r="37" spans="1:8" ht="21.75" x14ac:dyDescent="0.25">
      <c r="A37" s="56"/>
      <c r="B37" s="56"/>
      <c r="C37" s="56"/>
      <c r="D37" s="57"/>
      <c r="E37" s="57"/>
      <c r="F37" s="58"/>
      <c r="G37" s="59"/>
      <c r="H37" s="59"/>
    </row>
    <row r="38" spans="1:8" ht="21.75" x14ac:dyDescent="0.25">
      <c r="A38" s="63" t="s">
        <v>14</v>
      </c>
      <c r="B38" s="220" t="s">
        <v>5</v>
      </c>
      <c r="C38" s="221"/>
      <c r="D38" s="220" t="s">
        <v>18</v>
      </c>
      <c r="E38" s="221"/>
      <c r="F38" s="65" t="s">
        <v>118</v>
      </c>
      <c r="G38" s="71" t="s">
        <v>16</v>
      </c>
      <c r="H38" s="90" t="s">
        <v>311</v>
      </c>
    </row>
    <row r="39" spans="1:8" ht="21.75" x14ac:dyDescent="0.25">
      <c r="A39" s="66" t="s">
        <v>29</v>
      </c>
      <c r="B39" s="197">
        <v>2</v>
      </c>
      <c r="C39" s="197" t="s">
        <v>319</v>
      </c>
      <c r="D39" s="67">
        <f>(D40/DADOS_INICIAIS!$E$15)*B39</f>
        <v>0</v>
      </c>
      <c r="E39" s="67" t="s">
        <v>2</v>
      </c>
      <c r="F39" s="88">
        <v>85</v>
      </c>
      <c r="G39" s="89">
        <f>F39*D39*1.1</f>
        <v>0</v>
      </c>
      <c r="H39" s="67"/>
    </row>
    <row r="40" spans="1:8" ht="21.75" x14ac:dyDescent="0.25">
      <c r="A40" s="78" t="s">
        <v>30</v>
      </c>
      <c r="B40" s="197">
        <v>2.1</v>
      </c>
      <c r="C40" s="197" t="s">
        <v>37</v>
      </c>
      <c r="D40" s="67">
        <f>B40*DADOS_INICIAIS!E38</f>
        <v>0</v>
      </c>
      <c r="E40" s="67" t="s">
        <v>2</v>
      </c>
      <c r="F40" s="88">
        <v>1.5</v>
      </c>
      <c r="G40" s="89">
        <f>F40*D40*1.1</f>
        <v>0</v>
      </c>
      <c r="H40" s="67"/>
    </row>
    <row r="41" spans="1:8" ht="21.75" x14ac:dyDescent="0.25">
      <c r="A41" s="78" t="s">
        <v>32</v>
      </c>
      <c r="B41" s="197">
        <v>2</v>
      </c>
      <c r="C41" s="197" t="s">
        <v>164</v>
      </c>
      <c r="D41" s="67">
        <f>B41*DADOS_INICIAIS!E47*DADOS_INICIAIS!E44</f>
        <v>0</v>
      </c>
      <c r="E41" s="67" t="s">
        <v>3</v>
      </c>
      <c r="F41" s="88">
        <v>17</v>
      </c>
      <c r="G41" s="89">
        <f>F41*D41*1.1</f>
        <v>0</v>
      </c>
      <c r="H41" s="67"/>
    </row>
    <row r="42" spans="1:8" ht="21.75" x14ac:dyDescent="0.25">
      <c r="A42" s="78" t="s">
        <v>33</v>
      </c>
      <c r="B42" s="197">
        <v>2</v>
      </c>
      <c r="C42" s="197" t="s">
        <v>165</v>
      </c>
      <c r="D42" s="67">
        <f>B42*DADOS_INICIAIS!E50</f>
        <v>0</v>
      </c>
      <c r="E42" s="67" t="s">
        <v>3</v>
      </c>
      <c r="F42" s="88">
        <v>17</v>
      </c>
      <c r="G42" s="89">
        <f>F42*D42*1.1</f>
        <v>0</v>
      </c>
      <c r="H42" s="67"/>
    </row>
    <row r="43" spans="1:8" ht="21.75" x14ac:dyDescent="0.25">
      <c r="A43" s="66" t="s">
        <v>116</v>
      </c>
      <c r="B43" s="197">
        <v>25</v>
      </c>
      <c r="C43" s="197" t="s">
        <v>6</v>
      </c>
      <c r="D43" s="67">
        <f>B43*DADOS_INICIAIS!E38</f>
        <v>0</v>
      </c>
      <c r="E43" s="67" t="s">
        <v>22</v>
      </c>
      <c r="F43" s="88">
        <f>B43</f>
        <v>25</v>
      </c>
      <c r="G43" s="89">
        <f>F43*D43*1.1</f>
        <v>0</v>
      </c>
      <c r="H43" s="67"/>
    </row>
    <row r="44" spans="1:8" ht="21.75" x14ac:dyDescent="0.25">
      <c r="A44" s="66" t="s">
        <v>99</v>
      </c>
      <c r="B44" s="197">
        <v>0.25</v>
      </c>
      <c r="C44" s="197" t="s">
        <v>38</v>
      </c>
      <c r="D44" s="67">
        <f>B44*DADOS_INICIAIS!E38</f>
        <v>0</v>
      </c>
      <c r="E44" s="67" t="s">
        <v>22</v>
      </c>
      <c r="F44" s="88">
        <f>575</f>
        <v>575</v>
      </c>
      <c r="G44" s="89">
        <f>F44*D44*1.05*1.1</f>
        <v>0</v>
      </c>
      <c r="H44" s="67"/>
    </row>
    <row r="45" spans="1:8" ht="21.75" x14ac:dyDescent="0.25">
      <c r="A45" s="66" t="s">
        <v>31</v>
      </c>
      <c r="B45" s="197">
        <v>110</v>
      </c>
      <c r="C45" s="197" t="s">
        <v>34</v>
      </c>
      <c r="D45" s="67">
        <f>D44*B45</f>
        <v>0</v>
      </c>
      <c r="E45" s="67" t="s">
        <v>26</v>
      </c>
      <c r="F45" s="88">
        <v>7.25</v>
      </c>
      <c r="G45" s="89">
        <f>F45*D45*1.1</f>
        <v>0</v>
      </c>
      <c r="H45" s="67"/>
    </row>
    <row r="46" spans="1:8" ht="43.5" x14ac:dyDescent="0.25">
      <c r="A46" s="66" t="s">
        <v>101</v>
      </c>
      <c r="B46" s="197">
        <v>240</v>
      </c>
      <c r="C46" s="197" t="s">
        <v>6</v>
      </c>
      <c r="D46" s="67">
        <f>DADOS_INICIAIS!E38</f>
        <v>0</v>
      </c>
      <c r="E46" s="67" t="s">
        <v>2</v>
      </c>
      <c r="F46" s="88">
        <f>B46</f>
        <v>240</v>
      </c>
      <c r="G46" s="89">
        <f>F46*D46*1.1</f>
        <v>0</v>
      </c>
      <c r="H46" s="67"/>
    </row>
    <row r="47" spans="1:8" ht="43.5" x14ac:dyDescent="0.25">
      <c r="A47" s="66" t="s">
        <v>316</v>
      </c>
      <c r="B47" s="197">
        <v>5300</v>
      </c>
      <c r="C47" s="197" t="s">
        <v>317</v>
      </c>
      <c r="D47" s="67">
        <v>1</v>
      </c>
      <c r="E47" s="67" t="s">
        <v>27</v>
      </c>
      <c r="F47" s="88">
        <f>B47*DADOS_INICIAIS!E43</f>
        <v>0</v>
      </c>
      <c r="G47" s="89">
        <f>F47*D47*1.1</f>
        <v>0</v>
      </c>
      <c r="H47" s="67" t="s">
        <v>318</v>
      </c>
    </row>
    <row r="48" spans="1:8" ht="21.75" x14ac:dyDescent="0.25">
      <c r="A48" s="215" t="s">
        <v>17</v>
      </c>
      <c r="B48" s="215"/>
      <c r="C48" s="215"/>
      <c r="D48" s="215"/>
      <c r="E48" s="215"/>
      <c r="F48" s="215"/>
      <c r="G48" s="90">
        <f>SUM(G39:G47)</f>
        <v>0</v>
      </c>
      <c r="H48" s="90"/>
    </row>
    <row r="50" spans="1:8" ht="21.75" x14ac:dyDescent="0.25">
      <c r="A50" s="52" t="s">
        <v>382</v>
      </c>
      <c r="B50" s="52"/>
      <c r="C50" s="52"/>
      <c r="D50" s="53"/>
      <c r="E50" s="53"/>
      <c r="F50" s="54"/>
      <c r="G50" s="53"/>
      <c r="H50" s="53"/>
    </row>
    <row r="51" spans="1:8" ht="21.75" x14ac:dyDescent="0.25">
      <c r="A51" s="56"/>
      <c r="B51" s="56"/>
      <c r="C51" s="56"/>
      <c r="D51" s="57"/>
      <c r="E51" s="57"/>
      <c r="F51" s="58"/>
      <c r="G51" s="59"/>
      <c r="H51" s="59"/>
    </row>
    <row r="52" spans="1:8" ht="21.75" x14ac:dyDescent="0.25">
      <c r="A52" s="63" t="s">
        <v>14</v>
      </c>
      <c r="B52" s="220" t="s">
        <v>5</v>
      </c>
      <c r="C52" s="221"/>
      <c r="D52" s="220" t="s">
        <v>18</v>
      </c>
      <c r="E52" s="221"/>
      <c r="F52" s="65" t="s">
        <v>118</v>
      </c>
      <c r="G52" s="71" t="s">
        <v>16</v>
      </c>
      <c r="H52" s="90" t="s">
        <v>311</v>
      </c>
    </row>
    <row r="53" spans="1:8" ht="21.75" x14ac:dyDescent="0.25">
      <c r="A53" s="66" t="s">
        <v>29</v>
      </c>
      <c r="B53" s="62">
        <v>3</v>
      </c>
      <c r="C53" s="62" t="s">
        <v>319</v>
      </c>
      <c r="D53" s="67">
        <f>(D54/DADOS_INICIAIS!$E$15)*B53</f>
        <v>4929.1012499999997</v>
      </c>
      <c r="E53" s="67" t="s">
        <v>2</v>
      </c>
      <c r="F53" s="88">
        <v>85</v>
      </c>
      <c r="G53" s="89">
        <f t="shared" ref="G53:G58" si="1">F53*D53*1.1</f>
        <v>460870.96687499998</v>
      </c>
      <c r="H53" s="67"/>
    </row>
    <row r="54" spans="1:8" ht="21.75" x14ac:dyDescent="0.25">
      <c r="A54" s="78" t="s">
        <v>30</v>
      </c>
      <c r="B54" s="62">
        <v>2.5</v>
      </c>
      <c r="C54" s="62" t="s">
        <v>37</v>
      </c>
      <c r="D54" s="67">
        <f>B54*DADOS_INICIAIS!$E$9</f>
        <v>32860.675000000003</v>
      </c>
      <c r="E54" s="67" t="s">
        <v>2</v>
      </c>
      <c r="F54" s="88">
        <v>1.5</v>
      </c>
      <c r="G54" s="89">
        <f t="shared" si="1"/>
        <v>54220.113750000011</v>
      </c>
      <c r="H54" s="67"/>
    </row>
    <row r="55" spans="1:8" ht="21.75" x14ac:dyDescent="0.25">
      <c r="A55" s="78" t="s">
        <v>331</v>
      </c>
      <c r="B55" s="62">
        <v>4</v>
      </c>
      <c r="C55" s="62" t="s">
        <v>165</v>
      </c>
      <c r="D55" s="67">
        <f>ROUNDUP(B55*DADOS_INICIAIS!$E$25*B53,0)</f>
        <v>13873</v>
      </c>
      <c r="E55" s="67" t="s">
        <v>3</v>
      </c>
      <c r="F55" s="88">
        <v>17</v>
      </c>
      <c r="G55" s="89">
        <f t="shared" si="1"/>
        <v>259425.10000000003</v>
      </c>
      <c r="H55" s="67"/>
    </row>
    <row r="56" spans="1:8" ht="21.75" x14ac:dyDescent="0.25">
      <c r="A56" s="78" t="s">
        <v>385</v>
      </c>
      <c r="B56" s="204">
        <v>12.3</v>
      </c>
      <c r="C56" s="204" t="s">
        <v>383</v>
      </c>
      <c r="D56" s="67">
        <f>(DADOS_INICIAIS!$E$16+DADOS_INICIAIS!$E$17)*DADOS_INICIAIS!$E$19+DADOS_INICIAIS!$E$22</f>
        <v>14693.24</v>
      </c>
      <c r="E56" s="67" t="s">
        <v>2</v>
      </c>
      <c r="F56" s="88">
        <f>B56</f>
        <v>12.3</v>
      </c>
      <c r="G56" s="89">
        <f t="shared" si="1"/>
        <v>198799.53720000002</v>
      </c>
      <c r="H56" s="67"/>
    </row>
    <row r="57" spans="1:8" ht="21.75" x14ac:dyDescent="0.25">
      <c r="A57" s="78" t="s">
        <v>386</v>
      </c>
      <c r="B57" s="204">
        <v>2.83</v>
      </c>
      <c r="C57" s="204" t="s">
        <v>384</v>
      </c>
      <c r="D57" s="67">
        <f>B57*D56</f>
        <v>41581.869200000001</v>
      </c>
      <c r="E57" s="67" t="s">
        <v>26</v>
      </c>
      <c r="F57" s="88">
        <v>12.3</v>
      </c>
      <c r="G57" s="89">
        <f t="shared" si="1"/>
        <v>562602.69027600007</v>
      </c>
      <c r="H57" s="67"/>
    </row>
    <row r="58" spans="1:8" ht="21.75" x14ac:dyDescent="0.25">
      <c r="A58" s="66" t="s">
        <v>387</v>
      </c>
      <c r="B58" s="204">
        <v>9000</v>
      </c>
      <c r="C58" s="204" t="s">
        <v>388</v>
      </c>
      <c r="D58" s="67">
        <f>DADOS_INICIAIS!E15</f>
        <v>20</v>
      </c>
      <c r="E58" s="67" t="s">
        <v>389</v>
      </c>
      <c r="F58" s="88">
        <f>B58</f>
        <v>9000</v>
      </c>
      <c r="G58" s="89">
        <f t="shared" si="1"/>
        <v>198000.00000000003</v>
      </c>
      <c r="H58" s="67"/>
    </row>
    <row r="59" spans="1:8" ht="21.75" x14ac:dyDescent="0.25">
      <c r="A59" s="66" t="s">
        <v>99</v>
      </c>
      <c r="B59" s="204">
        <v>0.25</v>
      </c>
      <c r="C59" s="204" t="s">
        <v>38</v>
      </c>
      <c r="D59" s="67">
        <f>B59*DADOS_INICIAIS!$E$9</f>
        <v>3286.0675000000001</v>
      </c>
      <c r="E59" s="67" t="s">
        <v>22</v>
      </c>
      <c r="F59" s="88">
        <f>535+45</f>
        <v>580</v>
      </c>
      <c r="G59" s="89">
        <f>F59*D59*1.05*1.1</f>
        <v>2201336.6182500003</v>
      </c>
      <c r="H59" s="67"/>
    </row>
    <row r="60" spans="1:8" ht="21.75" x14ac:dyDescent="0.25">
      <c r="A60" s="66" t="s">
        <v>393</v>
      </c>
      <c r="B60" s="76">
        <v>0.2</v>
      </c>
      <c r="C60" s="62"/>
      <c r="D60" s="67">
        <f>B60*D59</f>
        <v>657.21350000000007</v>
      </c>
      <c r="E60" s="67" t="s">
        <v>22</v>
      </c>
      <c r="F60" s="88">
        <f>1.22*F59-F59</f>
        <v>127.60000000000002</v>
      </c>
      <c r="G60" s="89">
        <f>F60*D60*1.05*1.1</f>
        <v>96858.811203000048</v>
      </c>
      <c r="H60" s="67"/>
    </row>
    <row r="61" spans="1:8" ht="21.75" x14ac:dyDescent="0.25">
      <c r="A61" s="66" t="s">
        <v>31</v>
      </c>
      <c r="B61" s="204">
        <v>110</v>
      </c>
      <c r="C61" s="204" t="s">
        <v>34</v>
      </c>
      <c r="D61" s="67">
        <f>D59*B61-D57</f>
        <v>319885.55579999997</v>
      </c>
      <c r="E61" s="67" t="s">
        <v>26</v>
      </c>
      <c r="F61" s="88">
        <v>7.62</v>
      </c>
      <c r="G61" s="89">
        <f>F61*D61*1.1</f>
        <v>2681280.7287156</v>
      </c>
      <c r="H61" s="67"/>
    </row>
    <row r="62" spans="1:8" ht="43.5" x14ac:dyDescent="0.25">
      <c r="A62" s="66" t="s">
        <v>101</v>
      </c>
      <c r="B62" s="62">
        <v>240</v>
      </c>
      <c r="C62" s="62" t="s">
        <v>6</v>
      </c>
      <c r="D62" s="67">
        <f>DADOS_INICIAIS!$E$9</f>
        <v>13144.27</v>
      </c>
      <c r="E62" s="67" t="s">
        <v>2</v>
      </c>
      <c r="F62" s="88">
        <f>B62</f>
        <v>240</v>
      </c>
      <c r="G62" s="89">
        <f>F62*D62*1.1</f>
        <v>3470087.2800000007</v>
      </c>
      <c r="H62" s="67"/>
    </row>
    <row r="63" spans="1:8" ht="43.5" x14ac:dyDescent="0.25">
      <c r="A63" s="66" t="s">
        <v>316</v>
      </c>
      <c r="B63" s="62">
        <v>5300</v>
      </c>
      <c r="C63" s="62" t="s">
        <v>317</v>
      </c>
      <c r="D63" s="67">
        <v>1</v>
      </c>
      <c r="E63" s="67" t="s">
        <v>27</v>
      </c>
      <c r="F63" s="88">
        <f>B63*DADOS_INICIAIS!$E$15</f>
        <v>106000</v>
      </c>
      <c r="G63" s="89">
        <f>F63*D63*1.1</f>
        <v>116600.00000000001</v>
      </c>
      <c r="H63" s="67" t="s">
        <v>318</v>
      </c>
    </row>
    <row r="64" spans="1:8" ht="21.75" x14ac:dyDescent="0.25">
      <c r="A64" s="215" t="s">
        <v>17</v>
      </c>
      <c r="B64" s="215"/>
      <c r="C64" s="215"/>
      <c r="D64" s="215"/>
      <c r="E64" s="215"/>
      <c r="F64" s="215"/>
      <c r="G64" s="90">
        <f>SUM(G53:G63)</f>
        <v>10300081.846269602</v>
      </c>
      <c r="H64" s="90"/>
    </row>
    <row r="67" spans="1:8" ht="21.75" x14ac:dyDescent="0.25">
      <c r="A67" s="222" t="s">
        <v>105</v>
      </c>
      <c r="B67" s="223"/>
      <c r="C67" s="223"/>
      <c r="D67" s="223"/>
      <c r="E67" s="223"/>
      <c r="F67" s="224"/>
      <c r="G67" s="91">
        <f>G34</f>
        <v>8852242.1426014416</v>
      </c>
      <c r="H67" s="91">
        <f>G67/DADOS_INICIAIS!E9</f>
        <v>673.46776523925951</v>
      </c>
    </row>
    <row r="69" spans="1:8" x14ac:dyDescent="0.25">
      <c r="G69" s="198"/>
    </row>
  </sheetData>
  <mergeCells count="14">
    <mergeCell ref="A17:F17"/>
    <mergeCell ref="A67:F67"/>
    <mergeCell ref="A3:H3"/>
    <mergeCell ref="B9:C9"/>
    <mergeCell ref="D9:E9"/>
    <mergeCell ref="B21:C21"/>
    <mergeCell ref="D21:E21"/>
    <mergeCell ref="A34:F34"/>
    <mergeCell ref="B38:C38"/>
    <mergeCell ref="D38:E38"/>
    <mergeCell ref="A48:F48"/>
    <mergeCell ref="B52:C52"/>
    <mergeCell ref="D52:E52"/>
    <mergeCell ref="A64:F64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EB6A5-65C9-4D4C-AA84-F8C8A6AE044E}">
  <sheetPr>
    <tabColor rgb="FF92D050"/>
  </sheetPr>
  <dimension ref="A1:L39"/>
  <sheetViews>
    <sheetView showGridLines="0" topLeftCell="A16" zoomScale="80" zoomScaleNormal="80" zoomScaleSheetLayoutView="95" workbookViewId="0">
      <selection activeCell="D26" sqref="D26"/>
    </sheetView>
  </sheetViews>
  <sheetFormatPr defaultColWidth="9.140625" defaultRowHeight="15" x14ac:dyDescent="0.25"/>
  <cols>
    <col min="1" max="1" width="50.140625" style="55" customWidth="1"/>
    <col min="2" max="2" width="21.7109375" style="55" customWidth="1"/>
    <col min="3" max="3" width="26.5703125" style="55" customWidth="1"/>
    <col min="4" max="4" width="16.5703125" style="81" customWidth="1"/>
    <col min="5" max="5" width="19.5703125" style="82" customWidth="1"/>
    <col min="6" max="6" width="20.85546875" style="55" customWidth="1"/>
    <col min="7" max="7" width="23.5703125" style="55" customWidth="1"/>
    <col min="8" max="8" width="58.28515625" style="55" customWidth="1"/>
    <col min="9" max="9" width="11.28515625" style="55" customWidth="1"/>
    <col min="10" max="10" width="9.140625" style="55"/>
    <col min="11" max="11" width="11" style="55" bestFit="1" customWidth="1"/>
    <col min="12" max="12" width="11.28515625" style="55" bestFit="1" customWidth="1"/>
    <col min="13" max="13" width="9.140625" style="55"/>
    <col min="14" max="15" width="11" style="55" bestFit="1" customWidth="1"/>
    <col min="16" max="16384" width="9.140625" style="55"/>
  </cols>
  <sheetData>
    <row r="1" spans="1:10" x14ac:dyDescent="0.25">
      <c r="D1" s="79"/>
      <c r="E1" s="55"/>
      <c r="H1" s="80"/>
      <c r="I1" s="80"/>
      <c r="J1" s="79"/>
    </row>
    <row r="3" spans="1:10" ht="28.5" x14ac:dyDescent="0.25">
      <c r="A3" s="216" t="s">
        <v>323</v>
      </c>
      <c r="B3" s="227"/>
      <c r="C3" s="227"/>
      <c r="D3" s="217"/>
      <c r="E3" s="217"/>
      <c r="F3" s="217"/>
      <c r="G3" s="217"/>
      <c r="H3" s="218"/>
      <c r="J3" s="79"/>
    </row>
    <row r="4" spans="1:10" ht="19.5" x14ac:dyDescent="0.25">
      <c r="A4" s="189" t="s">
        <v>186</v>
      </c>
      <c r="B4" s="195">
        <v>45457</v>
      </c>
      <c r="C4" s="193"/>
      <c r="D4" s="193"/>
      <c r="E4" s="193"/>
      <c r="F4" s="193"/>
      <c r="G4" s="193"/>
      <c r="H4" s="194"/>
      <c r="J4" s="79"/>
    </row>
    <row r="5" spans="1:10" ht="19.5" x14ac:dyDescent="0.25">
      <c r="A5" s="189" t="s">
        <v>308</v>
      </c>
      <c r="B5" s="196" t="s">
        <v>223</v>
      </c>
      <c r="C5" s="191"/>
      <c r="D5" s="191"/>
      <c r="E5" s="191"/>
      <c r="F5" s="191"/>
      <c r="G5" s="191"/>
      <c r="H5" s="192"/>
      <c r="J5" s="79"/>
    </row>
    <row r="6" spans="1:10" ht="21.75" x14ac:dyDescent="0.25">
      <c r="A6" s="83"/>
      <c r="B6" s="83"/>
      <c r="C6" s="83"/>
      <c r="D6" s="83"/>
      <c r="E6" s="83"/>
      <c r="F6" s="84"/>
      <c r="G6" s="85"/>
      <c r="H6" s="85"/>
      <c r="J6" s="79"/>
    </row>
    <row r="7" spans="1:10" ht="21.75" x14ac:dyDescent="0.25">
      <c r="A7" s="52" t="s">
        <v>184</v>
      </c>
      <c r="B7" s="52"/>
      <c r="C7" s="52"/>
      <c r="D7" s="53"/>
      <c r="E7" s="53"/>
      <c r="F7" s="54"/>
      <c r="G7" s="53"/>
      <c r="H7" s="53"/>
    </row>
    <row r="8" spans="1:10" ht="21.75" x14ac:dyDescent="0.25">
      <c r="A8" s="56"/>
      <c r="B8" s="56"/>
      <c r="C8" s="56"/>
      <c r="D8" s="57"/>
      <c r="E8" s="57"/>
      <c r="F8" s="58"/>
      <c r="G8" s="59"/>
      <c r="H8" s="59"/>
    </row>
    <row r="9" spans="1:10" ht="42" customHeight="1" x14ac:dyDescent="0.25">
      <c r="A9" s="63" t="s">
        <v>14</v>
      </c>
      <c r="B9" s="220" t="s">
        <v>5</v>
      </c>
      <c r="C9" s="221"/>
      <c r="D9" s="220" t="s">
        <v>18</v>
      </c>
      <c r="E9" s="221"/>
      <c r="F9" s="65" t="s">
        <v>118</v>
      </c>
      <c r="G9" s="71" t="s">
        <v>16</v>
      </c>
      <c r="H9" s="90" t="s">
        <v>311</v>
      </c>
    </row>
    <row r="10" spans="1:10" ht="21.75" x14ac:dyDescent="0.25">
      <c r="A10" s="66" t="s">
        <v>182</v>
      </c>
      <c r="B10" s="62">
        <v>1</v>
      </c>
      <c r="C10" s="62" t="s">
        <v>181</v>
      </c>
      <c r="D10" s="67">
        <f>B10*DADOS_INICIAIS!$E$22</f>
        <v>5469.08</v>
      </c>
      <c r="E10" s="67" t="s">
        <v>2</v>
      </c>
      <c r="F10" s="88">
        <v>45</v>
      </c>
      <c r="G10" s="89">
        <f>F10*D10*1.1</f>
        <v>270719.46000000002</v>
      </c>
      <c r="H10" s="67"/>
    </row>
    <row r="11" spans="1:10" ht="21.75" x14ac:dyDescent="0.25">
      <c r="A11" s="78" t="s">
        <v>180</v>
      </c>
      <c r="B11" s="62">
        <v>0.4</v>
      </c>
      <c r="C11" s="62" t="s">
        <v>179</v>
      </c>
      <c r="D11" s="67">
        <f>B11*DADOS_INICIAIS!$E$21</f>
        <v>449.10400000000004</v>
      </c>
      <c r="E11" s="67" t="s">
        <v>2</v>
      </c>
      <c r="F11" s="88">
        <v>45</v>
      </c>
      <c r="G11" s="89">
        <f>F11*D11*1.1</f>
        <v>22230.648000000001</v>
      </c>
      <c r="H11" s="67"/>
    </row>
    <row r="12" spans="1:10" ht="21.75" x14ac:dyDescent="0.25">
      <c r="A12" s="78" t="s">
        <v>178</v>
      </c>
      <c r="B12" s="62">
        <v>1.65</v>
      </c>
      <c r="C12" s="62" t="s">
        <v>177</v>
      </c>
      <c r="D12" s="67">
        <f>B12*(DADOS_INICIAIS!$E$19*(DADOS_INICIAIS!$E$16+DADOS_INICIAIS!$E$17))</f>
        <v>15219.864</v>
      </c>
      <c r="E12" s="67" t="s">
        <v>2</v>
      </c>
      <c r="F12" s="88">
        <v>45</v>
      </c>
      <c r="G12" s="89">
        <f>F12*D12*1.1</f>
        <v>753383.26800000004</v>
      </c>
      <c r="H12" s="67"/>
    </row>
    <row r="13" spans="1:10" ht="21.75" x14ac:dyDescent="0.25">
      <c r="A13" s="66" t="s">
        <v>176</v>
      </c>
      <c r="B13" s="62">
        <v>0.2</v>
      </c>
      <c r="C13" s="62" t="s">
        <v>37</v>
      </c>
      <c r="D13" s="67">
        <f>B13*DADOS_INICIAIS!$E$9</f>
        <v>2628.8540000000003</v>
      </c>
      <c r="E13" s="67" t="s">
        <v>2</v>
      </c>
      <c r="F13" s="88">
        <v>70</v>
      </c>
      <c r="G13" s="89">
        <f>F13*D13*1.05*1.1</f>
        <v>212542.84590000004</v>
      </c>
      <c r="H13" s="67"/>
    </row>
    <row r="14" spans="1:10" ht="21.75" x14ac:dyDescent="0.25">
      <c r="A14" s="66" t="s">
        <v>175</v>
      </c>
      <c r="B14" s="62">
        <v>0.8</v>
      </c>
      <c r="C14" s="62" t="s">
        <v>174</v>
      </c>
      <c r="D14" s="67">
        <f>B14*DADOS_INICIAIS!$E$19</f>
        <v>491.95519999999999</v>
      </c>
      <c r="E14" s="67" t="s">
        <v>2</v>
      </c>
      <c r="F14" s="88">
        <v>45</v>
      </c>
      <c r="G14" s="89">
        <f>F14*D14*1.1</f>
        <v>24351.782400000004</v>
      </c>
      <c r="H14" s="67"/>
    </row>
    <row r="15" spans="1:10" ht="21.75" x14ac:dyDescent="0.25">
      <c r="A15" s="66" t="s">
        <v>173</v>
      </c>
      <c r="B15" s="62">
        <v>1.75</v>
      </c>
      <c r="C15" s="62" t="s">
        <v>327</v>
      </c>
      <c r="D15" s="67">
        <f>B15*DADOS_INICIAIS!$E$14</f>
        <v>0</v>
      </c>
      <c r="E15" s="67" t="s">
        <v>375</v>
      </c>
      <c r="F15" s="88">
        <v>210</v>
      </c>
      <c r="G15" s="89">
        <f>F15*D15*1.1</f>
        <v>0</v>
      </c>
      <c r="H15" s="67"/>
    </row>
    <row r="16" spans="1:10" ht="21.75" x14ac:dyDescent="0.25">
      <c r="A16" s="66" t="s">
        <v>172</v>
      </c>
      <c r="B16" s="62">
        <v>12.5</v>
      </c>
      <c r="C16" s="62" t="s">
        <v>171</v>
      </c>
      <c r="D16" s="67">
        <f>D10+D11+D12+D13+D14</f>
        <v>24258.857199999999</v>
      </c>
      <c r="E16" s="67" t="s">
        <v>2</v>
      </c>
      <c r="F16" s="88">
        <f>B16</f>
        <v>12.5</v>
      </c>
      <c r="G16" s="89">
        <f>F16*D16*1.1</f>
        <v>333559.28649999999</v>
      </c>
      <c r="H16" s="67"/>
    </row>
    <row r="17" spans="1:12" ht="21.75" x14ac:dyDescent="0.25">
      <c r="A17" s="66" t="s">
        <v>25</v>
      </c>
      <c r="B17" s="62">
        <v>35</v>
      </c>
      <c r="C17" s="62" t="s">
        <v>171</v>
      </c>
      <c r="D17" s="67">
        <f>D10+D11+D12+D13+D14</f>
        <v>24258.857199999999</v>
      </c>
      <c r="E17" s="67" t="s">
        <v>2</v>
      </c>
      <c r="F17" s="88">
        <v>35</v>
      </c>
      <c r="G17" s="89">
        <f>F17*D17*1.1</f>
        <v>933966.0022000001</v>
      </c>
      <c r="H17" s="67"/>
    </row>
    <row r="18" spans="1:12" ht="21.75" x14ac:dyDescent="0.25">
      <c r="A18" s="215" t="s">
        <v>17</v>
      </c>
      <c r="B18" s="215"/>
      <c r="C18" s="215"/>
      <c r="D18" s="215"/>
      <c r="E18" s="215"/>
      <c r="F18" s="215"/>
      <c r="G18" s="90">
        <f>SUM(G10:G17)</f>
        <v>2550753.2930000001</v>
      </c>
      <c r="H18" s="90"/>
      <c r="K18" s="55">
        <f>4160+1440+1120+2880+4800+91680+4000</f>
        <v>110080</v>
      </c>
      <c r="L18" s="55">
        <f>K18/21</f>
        <v>5241.9047619047615</v>
      </c>
    </row>
    <row r="20" spans="1:12" ht="21.75" x14ac:dyDescent="0.25">
      <c r="A20" s="52" t="s">
        <v>324</v>
      </c>
      <c r="B20" s="52"/>
      <c r="C20" s="52"/>
      <c r="D20" s="53"/>
      <c r="E20" s="53"/>
      <c r="F20" s="54"/>
      <c r="G20" s="53"/>
      <c r="H20" s="53"/>
    </row>
    <row r="21" spans="1:12" ht="21.75" x14ac:dyDescent="0.25">
      <c r="A21" s="56"/>
      <c r="B21" s="56"/>
      <c r="C21" s="56"/>
      <c r="D21" s="57"/>
      <c r="E21" s="57"/>
      <c r="F21" s="58"/>
      <c r="G21" s="59"/>
      <c r="H21" s="59"/>
    </row>
    <row r="22" spans="1:12" ht="21.75" x14ac:dyDescent="0.25">
      <c r="A22" s="63" t="s">
        <v>14</v>
      </c>
      <c r="B22" s="220" t="s">
        <v>5</v>
      </c>
      <c r="C22" s="221"/>
      <c r="D22" s="220" t="s">
        <v>18</v>
      </c>
      <c r="E22" s="221"/>
      <c r="F22" s="65" t="s">
        <v>118</v>
      </c>
      <c r="G22" s="71" t="s">
        <v>16</v>
      </c>
      <c r="H22" s="90" t="s">
        <v>311</v>
      </c>
    </row>
    <row r="23" spans="1:12" ht="21.75" x14ac:dyDescent="0.25">
      <c r="A23" s="66" t="s">
        <v>182</v>
      </c>
      <c r="B23" s="62">
        <v>1</v>
      </c>
      <c r="C23" s="62" t="s">
        <v>181</v>
      </c>
      <c r="D23" s="67">
        <f>B23*DADOS_INICIAIS!$E$22</f>
        <v>5469.08</v>
      </c>
      <c r="E23" s="67" t="s">
        <v>2</v>
      </c>
      <c r="F23" s="88">
        <v>45</v>
      </c>
      <c r="G23" s="89">
        <f>F23*D23*1.1</f>
        <v>270719.46000000002</v>
      </c>
      <c r="H23" s="67"/>
    </row>
    <row r="24" spans="1:12" ht="21.75" x14ac:dyDescent="0.25">
      <c r="A24" s="78" t="s">
        <v>180</v>
      </c>
      <c r="B24" s="62">
        <v>0.4</v>
      </c>
      <c r="C24" s="62" t="s">
        <v>179</v>
      </c>
      <c r="D24" s="67">
        <f>B24*DADOS_INICIAIS!$E$21</f>
        <v>449.10400000000004</v>
      </c>
      <c r="E24" s="67" t="s">
        <v>2</v>
      </c>
      <c r="F24" s="88">
        <v>45</v>
      </c>
      <c r="G24" s="89">
        <f>F24*D24*1.1</f>
        <v>22230.648000000001</v>
      </c>
      <c r="H24" s="67"/>
    </row>
    <row r="25" spans="1:12" ht="21.75" x14ac:dyDescent="0.25">
      <c r="A25" s="78" t="s">
        <v>178</v>
      </c>
      <c r="B25" s="62">
        <v>1.62</v>
      </c>
      <c r="C25" s="62" t="s">
        <v>177</v>
      </c>
      <c r="D25" s="67">
        <f>B25*(DADOS_INICIAIS!$E$19*(DADOS_INICIAIS!$E$16+DADOS_INICIAIS!$E$17))*0.3</f>
        <v>4482.9417600000006</v>
      </c>
      <c r="E25" s="67" t="s">
        <v>3</v>
      </c>
      <c r="F25" s="88">
        <v>45</v>
      </c>
      <c r="G25" s="89">
        <f>F25*D25*1.1</f>
        <v>221905.61712000004</v>
      </c>
      <c r="H25" s="67"/>
    </row>
    <row r="26" spans="1:12" ht="21.75" x14ac:dyDescent="0.25">
      <c r="A26" s="78" t="s">
        <v>325</v>
      </c>
      <c r="B26" s="62">
        <v>1.65</v>
      </c>
      <c r="C26" s="62" t="s">
        <v>177</v>
      </c>
      <c r="D26" s="67">
        <f>B26*(DADOS_INICIAIS!$E$19*(DADOS_INICIAIS!$E$16+DADOS_INICIAIS!$E$17))*0.7</f>
        <v>10653.904799999998</v>
      </c>
      <c r="E26" s="67"/>
      <c r="F26" s="88">
        <v>220</v>
      </c>
      <c r="G26" s="89">
        <f t="shared" ref="G26:G31" si="0">F26*D26*1.1</f>
        <v>2578244.9616</v>
      </c>
      <c r="H26" s="67"/>
      <c r="J26" s="55">
        <f>D26/(D31+D26)</f>
        <v>0.44068395992710691</v>
      </c>
    </row>
    <row r="27" spans="1:12" ht="21.75" x14ac:dyDescent="0.25">
      <c r="A27" s="78" t="s">
        <v>176</v>
      </c>
      <c r="B27" s="62">
        <v>0.2</v>
      </c>
      <c r="C27" s="62" t="s">
        <v>37</v>
      </c>
      <c r="D27" s="67">
        <f>B27*DADOS_INICIAIS!$E$9</f>
        <v>2628.8540000000003</v>
      </c>
      <c r="E27" s="67" t="s">
        <v>3</v>
      </c>
      <c r="F27" s="88">
        <v>70</v>
      </c>
      <c r="G27" s="89">
        <f t="shared" si="0"/>
        <v>202421.75800000006</v>
      </c>
      <c r="H27" s="67"/>
      <c r="J27" s="55">
        <f>1-J26</f>
        <v>0.55931604007289315</v>
      </c>
    </row>
    <row r="28" spans="1:12" ht="21.75" x14ac:dyDescent="0.25">
      <c r="A28" s="66" t="s">
        <v>175</v>
      </c>
      <c r="B28" s="62">
        <v>0.8</v>
      </c>
      <c r="C28" s="62" t="s">
        <v>174</v>
      </c>
      <c r="D28" s="67">
        <f>B28*DADOS_INICIAIS!$E$19</f>
        <v>491.95519999999999</v>
      </c>
      <c r="E28" s="67" t="s">
        <v>22</v>
      </c>
      <c r="F28" s="88">
        <v>45</v>
      </c>
      <c r="G28" s="89">
        <f t="shared" si="0"/>
        <v>24351.782400000004</v>
      </c>
      <c r="H28" s="67"/>
    </row>
    <row r="29" spans="1:12" ht="21.75" x14ac:dyDescent="0.25">
      <c r="A29" s="66" t="s">
        <v>173</v>
      </c>
      <c r="B29" s="62">
        <v>1.75</v>
      </c>
      <c r="C29" s="62" t="s">
        <v>327</v>
      </c>
      <c r="D29" s="67">
        <f>'SISTEMAS ESPECIAIS'!B10</f>
        <v>10</v>
      </c>
      <c r="E29" s="67" t="s">
        <v>375</v>
      </c>
      <c r="F29" s="88">
        <v>210</v>
      </c>
      <c r="G29" s="89"/>
      <c r="H29" s="67"/>
    </row>
    <row r="30" spans="1:12" ht="21.75" x14ac:dyDescent="0.25">
      <c r="A30" s="66" t="s">
        <v>394</v>
      </c>
      <c r="B30" s="62"/>
      <c r="C30" s="62"/>
      <c r="D30" s="67">
        <f>D29</f>
        <v>10</v>
      </c>
      <c r="E30" s="67" t="s">
        <v>3</v>
      </c>
      <c r="F30" s="88">
        <v>1800</v>
      </c>
      <c r="G30" s="89">
        <f t="shared" si="0"/>
        <v>19800</v>
      </c>
      <c r="H30" s="67"/>
    </row>
    <row r="31" spans="1:12" ht="21.75" x14ac:dyDescent="0.25">
      <c r="A31" s="66" t="s">
        <v>172</v>
      </c>
      <c r="B31" s="62">
        <v>12.5</v>
      </c>
      <c r="C31" s="62" t="s">
        <v>171</v>
      </c>
      <c r="D31" s="67">
        <f>D24+D25+D23+D27+D28</f>
        <v>13521.934960000002</v>
      </c>
      <c r="E31" s="67" t="s">
        <v>26</v>
      </c>
      <c r="F31" s="88">
        <f>B31</f>
        <v>12.5</v>
      </c>
      <c r="G31" s="89">
        <f t="shared" si="0"/>
        <v>185926.60570000004</v>
      </c>
      <c r="H31" s="67"/>
    </row>
    <row r="32" spans="1:12" ht="21.75" x14ac:dyDescent="0.25">
      <c r="A32" s="66" t="s">
        <v>25</v>
      </c>
      <c r="B32" s="62">
        <v>35</v>
      </c>
      <c r="C32" s="62" t="s">
        <v>171</v>
      </c>
      <c r="D32" s="67">
        <f>D24+D25+D23+D27+D28</f>
        <v>13521.934960000002</v>
      </c>
      <c r="E32" s="67" t="s">
        <v>2</v>
      </c>
      <c r="F32" s="88">
        <v>35</v>
      </c>
      <c r="G32" s="89">
        <f>F32*D32*1.1</f>
        <v>520594.49596000015</v>
      </c>
      <c r="H32" s="67"/>
    </row>
    <row r="33" spans="1:8" ht="21.75" x14ac:dyDescent="0.25">
      <c r="A33" s="215" t="s">
        <v>17</v>
      </c>
      <c r="B33" s="215"/>
      <c r="C33" s="215"/>
      <c r="D33" s="215"/>
      <c r="E33" s="215"/>
      <c r="F33" s="215"/>
      <c r="G33" s="90">
        <f>SUM(G23:G32)</f>
        <v>4046195.3287800001</v>
      </c>
      <c r="H33" s="90"/>
    </row>
    <row r="36" spans="1:8" ht="21.75" x14ac:dyDescent="0.25">
      <c r="A36" s="222" t="s">
        <v>169</v>
      </c>
      <c r="B36" s="223"/>
      <c r="C36" s="223"/>
      <c r="D36" s="223"/>
      <c r="E36" s="223"/>
      <c r="F36" s="224"/>
      <c r="G36" s="91">
        <f>G33</f>
        <v>4046195.3287800001</v>
      </c>
      <c r="H36" s="91">
        <f>G36/DADOS_INICIAIS!E9</f>
        <v>307.82959637773723</v>
      </c>
    </row>
    <row r="39" spans="1:8" x14ac:dyDescent="0.25">
      <c r="G39" s="198">
        <f>G36/1.1</f>
        <v>3678359.3898</v>
      </c>
      <c r="H39" s="55">
        <f>G39/DADOS_INICIAIS!E9</f>
        <v>279.84508761612472</v>
      </c>
    </row>
  </sheetData>
  <mergeCells count="8">
    <mergeCell ref="A33:F33"/>
    <mergeCell ref="A36:F36"/>
    <mergeCell ref="A3:H3"/>
    <mergeCell ref="B9:C9"/>
    <mergeCell ref="D9:E9"/>
    <mergeCell ref="A18:F18"/>
    <mergeCell ref="B22:C22"/>
    <mergeCell ref="D22:E22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D1518-D0F4-4632-BC49-7307CA0DA86C}">
  <sheetPr>
    <tabColor rgb="FF92D050"/>
  </sheetPr>
  <dimension ref="A1:I37"/>
  <sheetViews>
    <sheetView showGridLines="0" topLeftCell="A28" zoomScale="85" zoomScaleNormal="85" zoomScaleSheetLayoutView="95" workbookViewId="0">
      <selection activeCell="B20" sqref="B20"/>
    </sheetView>
  </sheetViews>
  <sheetFormatPr defaultColWidth="9.140625" defaultRowHeight="19.5" x14ac:dyDescent="0.25"/>
  <cols>
    <col min="1" max="1" width="53" style="45" bestFit="1" customWidth="1"/>
    <col min="2" max="4" width="27" style="45" customWidth="1"/>
    <col min="5" max="5" width="14" style="45" customWidth="1"/>
    <col min="6" max="16384" width="9.140625" style="1"/>
  </cols>
  <sheetData>
    <row r="1" spans="1:7" x14ac:dyDescent="0.25">
      <c r="A1" s="48"/>
      <c r="B1" s="48"/>
      <c r="C1" s="48"/>
      <c r="D1" s="48"/>
      <c r="E1" s="48"/>
      <c r="G1" s="2"/>
    </row>
    <row r="2" spans="1:7" ht="28.5" x14ac:dyDescent="0.25">
      <c r="A2" s="216" t="s">
        <v>266</v>
      </c>
      <c r="B2" s="217"/>
      <c r="C2" s="217"/>
      <c r="D2" s="217"/>
      <c r="E2" s="218"/>
      <c r="G2" s="2"/>
    </row>
    <row r="3" spans="1:7" x14ac:dyDescent="0.25">
      <c r="A3" s="50"/>
      <c r="B3" s="50"/>
      <c r="C3" s="50"/>
      <c r="D3" s="48"/>
      <c r="E3" s="48"/>
      <c r="G3" s="2"/>
    </row>
    <row r="4" spans="1:7" s="55" customFormat="1" ht="21.75" x14ac:dyDescent="0.25">
      <c r="A4" s="52" t="s">
        <v>265</v>
      </c>
      <c r="B4" s="53"/>
      <c r="C4" s="53"/>
      <c r="D4" s="53"/>
      <c r="E4" s="53"/>
    </row>
    <row r="5" spans="1:7" s="55" customFormat="1" ht="21.75" x14ac:dyDescent="0.25">
      <c r="A5" s="56"/>
      <c r="B5" s="57"/>
      <c r="C5" s="57"/>
      <c r="D5" s="59"/>
      <c r="E5" s="59"/>
    </row>
    <row r="6" spans="1:7" s="55" customFormat="1" ht="42" customHeight="1" x14ac:dyDescent="0.25">
      <c r="A6" s="63" t="s">
        <v>14</v>
      </c>
      <c r="B6" s="220" t="s">
        <v>5</v>
      </c>
      <c r="C6" s="221"/>
      <c r="D6" s="71" t="s">
        <v>16</v>
      </c>
      <c r="E6" s="59"/>
    </row>
    <row r="7" spans="1:7" s="55" customFormat="1" ht="21.75" x14ac:dyDescent="0.25">
      <c r="A7" s="66" t="s">
        <v>264</v>
      </c>
      <c r="B7" s="62">
        <v>30</v>
      </c>
      <c r="C7" s="62" t="s">
        <v>6</v>
      </c>
      <c r="D7" s="89">
        <f>B7*DADOS_INICIAIS!$E$9*1.1</f>
        <v>433760.91000000009</v>
      </c>
      <c r="E7" s="57"/>
    </row>
    <row r="8" spans="1:7" s="55" customFormat="1" ht="21.75" x14ac:dyDescent="0.25">
      <c r="A8" s="66" t="s">
        <v>263</v>
      </c>
      <c r="B8" s="62">
        <v>15</v>
      </c>
      <c r="C8" s="62" t="s">
        <v>6</v>
      </c>
      <c r="D8" s="89">
        <f>B8*DADOS_INICIAIS!$E$9*1.1</f>
        <v>216880.45500000005</v>
      </c>
      <c r="E8" s="57"/>
    </row>
    <row r="9" spans="1:7" s="55" customFormat="1" ht="21.75" x14ac:dyDescent="0.25">
      <c r="A9" s="66" t="s">
        <v>262</v>
      </c>
      <c r="B9" s="62">
        <v>35</v>
      </c>
      <c r="C9" s="62" t="s">
        <v>6</v>
      </c>
      <c r="D9" s="89">
        <f>B9*DADOS_INICIAIS!$E$9*1.1</f>
        <v>506054.39500000008</v>
      </c>
      <c r="E9" s="57"/>
    </row>
    <row r="10" spans="1:7" s="55" customFormat="1" ht="21.75" x14ac:dyDescent="0.25">
      <c r="A10" s="66" t="s">
        <v>261</v>
      </c>
      <c r="B10" s="62">
        <v>6</v>
      </c>
      <c r="C10" s="62" t="s">
        <v>6</v>
      </c>
      <c r="D10" s="89">
        <f>B10*DADOS_INICIAIS!$E$9*1.1</f>
        <v>86752.182000000001</v>
      </c>
      <c r="E10" s="57"/>
    </row>
    <row r="11" spans="1:7" s="55" customFormat="1" ht="21.75" x14ac:dyDescent="0.25">
      <c r="A11" s="66" t="s">
        <v>260</v>
      </c>
      <c r="B11" s="62">
        <v>8</v>
      </c>
      <c r="C11" s="62" t="s">
        <v>6</v>
      </c>
      <c r="D11" s="89">
        <f>B11*DADOS_INICIAIS!$E$9*1.1</f>
        <v>115669.57600000002</v>
      </c>
      <c r="E11" s="57"/>
    </row>
    <row r="12" spans="1:7" s="55" customFormat="1" ht="21.75" x14ac:dyDescent="0.25">
      <c r="A12" s="66" t="s">
        <v>259</v>
      </c>
      <c r="B12" s="62">
        <v>2</v>
      </c>
      <c r="C12" s="62" t="s">
        <v>6</v>
      </c>
      <c r="D12" s="89">
        <f>B12*DADOS_INICIAIS!$E$9*1.1</f>
        <v>28917.394000000004</v>
      </c>
      <c r="E12" s="57"/>
    </row>
    <row r="13" spans="1:7" s="55" customFormat="1" ht="21.75" x14ac:dyDescent="0.25">
      <c r="A13" s="66" t="s">
        <v>258</v>
      </c>
      <c r="B13" s="62">
        <v>60</v>
      </c>
      <c r="C13" s="62" t="s">
        <v>6</v>
      </c>
      <c r="D13" s="89">
        <f>B13*DADOS_INICIAIS!$E$9*1.1</f>
        <v>867521.82000000018</v>
      </c>
      <c r="E13" s="57"/>
    </row>
    <row r="14" spans="1:7" s="55" customFormat="1" ht="21.75" x14ac:dyDescent="0.25">
      <c r="A14" s="215" t="s">
        <v>17</v>
      </c>
      <c r="B14" s="215"/>
      <c r="C14" s="215"/>
      <c r="D14" s="90">
        <f>SUM(D7:D13)</f>
        <v>2255556.7320000008</v>
      </c>
      <c r="E14" s="60"/>
    </row>
    <row r="15" spans="1:7" s="55" customFormat="1" ht="21.75" x14ac:dyDescent="0.25">
      <c r="A15" s="219"/>
      <c r="B15" s="219"/>
      <c r="C15" s="219"/>
      <c r="D15" s="100"/>
      <c r="E15" s="59"/>
    </row>
    <row r="16" spans="1:7" s="55" customFormat="1" ht="21.75" x14ac:dyDescent="0.25">
      <c r="A16" s="52" t="s">
        <v>257</v>
      </c>
      <c r="B16" s="53"/>
      <c r="C16" s="53"/>
      <c r="D16" s="98"/>
      <c r="E16" s="53"/>
    </row>
    <row r="17" spans="1:5" s="55" customFormat="1" ht="21.75" x14ac:dyDescent="0.25">
      <c r="A17" s="56"/>
      <c r="B17" s="57"/>
      <c r="C17" s="57"/>
      <c r="D17" s="100"/>
      <c r="E17" s="59"/>
    </row>
    <row r="18" spans="1:5" s="55" customFormat="1" ht="42" customHeight="1" x14ac:dyDescent="0.25">
      <c r="A18" s="63" t="s">
        <v>14</v>
      </c>
      <c r="B18" s="220" t="s">
        <v>5</v>
      </c>
      <c r="C18" s="221"/>
      <c r="D18" s="90" t="s">
        <v>16</v>
      </c>
      <c r="E18" s="59"/>
    </row>
    <row r="19" spans="1:5" s="55" customFormat="1" ht="21.75" x14ac:dyDescent="0.25">
      <c r="A19" s="66" t="s">
        <v>256</v>
      </c>
      <c r="B19" s="62">
        <v>20</v>
      </c>
      <c r="C19" s="62" t="s">
        <v>6</v>
      </c>
      <c r="D19" s="89">
        <f>B19*DADOS_INICIAIS!$E$9*1.1</f>
        <v>289173.94000000006</v>
      </c>
      <c r="E19" s="57"/>
    </row>
    <row r="20" spans="1:5" s="55" customFormat="1" ht="21.75" x14ac:dyDescent="0.25">
      <c r="A20" s="66" t="s">
        <v>255</v>
      </c>
      <c r="B20" s="62">
        <v>10</v>
      </c>
      <c r="C20" s="62" t="s">
        <v>6</v>
      </c>
      <c r="D20" s="89">
        <f>B20*DADOS_INICIAIS!$E$9*1.1</f>
        <v>144586.97000000003</v>
      </c>
      <c r="E20" s="57"/>
    </row>
    <row r="21" spans="1:5" s="55" customFormat="1" ht="21.75" x14ac:dyDescent="0.25">
      <c r="A21" s="66" t="s">
        <v>254</v>
      </c>
      <c r="B21" s="62">
        <v>10</v>
      </c>
      <c r="C21" s="62" t="s">
        <v>6</v>
      </c>
      <c r="D21" s="89">
        <f>B21*DADOS_INICIAIS!$E$9*1.1</f>
        <v>144586.97000000003</v>
      </c>
      <c r="E21" s="57"/>
    </row>
    <row r="22" spans="1:5" s="55" customFormat="1" ht="21.75" x14ac:dyDescent="0.25">
      <c r="A22" s="66" t="s">
        <v>253</v>
      </c>
      <c r="B22" s="62">
        <v>15</v>
      </c>
      <c r="C22" s="62" t="s">
        <v>6</v>
      </c>
      <c r="D22" s="89">
        <f>B22*DADOS_INICIAIS!$E$9*1.1</f>
        <v>216880.45500000005</v>
      </c>
      <c r="E22" s="57"/>
    </row>
    <row r="23" spans="1:5" s="55" customFormat="1" ht="21.75" x14ac:dyDescent="0.25">
      <c r="A23" s="66" t="s">
        <v>395</v>
      </c>
      <c r="B23" s="62">
        <v>5</v>
      </c>
      <c r="C23" s="62" t="s">
        <v>6</v>
      </c>
      <c r="D23" s="89">
        <f>B23*DADOS_INICIAIS!$E$9*1.1</f>
        <v>72293.485000000015</v>
      </c>
      <c r="E23" s="57"/>
    </row>
    <row r="24" spans="1:5" s="55" customFormat="1" ht="21.75" x14ac:dyDescent="0.25">
      <c r="A24" s="66" t="s">
        <v>252</v>
      </c>
      <c r="B24" s="62">
        <v>55</v>
      </c>
      <c r="C24" s="62" t="s">
        <v>6</v>
      </c>
      <c r="D24" s="89">
        <f>B24*DADOS_INICIAIS!$E$9*1.1</f>
        <v>795228.33500000008</v>
      </c>
      <c r="E24" s="57"/>
    </row>
    <row r="25" spans="1:5" s="55" customFormat="1" ht="21.75" x14ac:dyDescent="0.25">
      <c r="A25" s="215" t="s">
        <v>17</v>
      </c>
      <c r="B25" s="215"/>
      <c r="C25" s="215"/>
      <c r="D25" s="90">
        <f>SUM(D19:D24)</f>
        <v>1662750.1550000003</v>
      </c>
      <c r="E25" s="60"/>
    </row>
    <row r="26" spans="1:5" s="55" customFormat="1" ht="21.75" x14ac:dyDescent="0.25">
      <c r="A26" s="219"/>
      <c r="B26" s="219"/>
      <c r="C26" s="219"/>
      <c r="D26" s="100"/>
      <c r="E26" s="59"/>
    </row>
    <row r="27" spans="1:5" s="55" customFormat="1" ht="21.75" x14ac:dyDescent="0.25">
      <c r="A27" s="52" t="s">
        <v>251</v>
      </c>
      <c r="B27" s="53"/>
      <c r="C27" s="53"/>
      <c r="D27" s="98"/>
      <c r="E27" s="53"/>
    </row>
    <row r="28" spans="1:5" s="55" customFormat="1" ht="21.75" x14ac:dyDescent="0.25">
      <c r="A28" s="56"/>
      <c r="B28" s="57"/>
      <c r="C28" s="57"/>
      <c r="D28" s="100"/>
      <c r="E28" s="59"/>
    </row>
    <row r="29" spans="1:5" s="55" customFormat="1" ht="42" customHeight="1" x14ac:dyDescent="0.25">
      <c r="A29" s="63" t="s">
        <v>14</v>
      </c>
      <c r="B29" s="220" t="s">
        <v>5</v>
      </c>
      <c r="C29" s="221"/>
      <c r="D29" s="90" t="s">
        <v>16</v>
      </c>
      <c r="E29" s="59"/>
    </row>
    <row r="30" spans="1:5" s="55" customFormat="1" ht="26.25" customHeight="1" x14ac:dyDescent="0.25">
      <c r="A30" s="70" t="s">
        <v>250</v>
      </c>
      <c r="B30" s="62">
        <v>20</v>
      </c>
      <c r="C30" s="62" t="s">
        <v>6</v>
      </c>
      <c r="D30" s="89">
        <f>B30*DADOS_INICIAIS!$E$9*1.1</f>
        <v>289173.94000000006</v>
      </c>
      <c r="E30" s="57"/>
    </row>
    <row r="31" spans="1:5" s="55" customFormat="1" ht="26.25" customHeight="1" x14ac:dyDescent="0.25">
      <c r="A31" s="70" t="s">
        <v>249</v>
      </c>
      <c r="B31" s="62">
        <v>15</v>
      </c>
      <c r="C31" s="62" t="s">
        <v>6</v>
      </c>
      <c r="D31" s="89">
        <f>B31*DADOS_INICIAIS!$E$9*1.1</f>
        <v>216880.45500000005</v>
      </c>
      <c r="E31" s="57"/>
    </row>
    <row r="32" spans="1:5" s="55" customFormat="1" ht="21.75" x14ac:dyDescent="0.25">
      <c r="A32" s="70" t="s">
        <v>248</v>
      </c>
      <c r="B32" s="62">
        <v>4</v>
      </c>
      <c r="C32" s="62" t="s">
        <v>6</v>
      </c>
      <c r="D32" s="89">
        <f>B32*DADOS_INICIAIS!$E$9*1.1</f>
        <v>57834.788000000008</v>
      </c>
      <c r="E32" s="57"/>
    </row>
    <row r="33" spans="1:9" s="55" customFormat="1" ht="21.75" x14ac:dyDescent="0.25">
      <c r="A33" s="215" t="s">
        <v>17</v>
      </c>
      <c r="B33" s="215"/>
      <c r="C33" s="215"/>
      <c r="D33" s="90">
        <f>SUM(D30:D32)</f>
        <v>563889.18300000019</v>
      </c>
      <c r="E33" s="60"/>
    </row>
    <row r="34" spans="1:9" x14ac:dyDescent="0.25">
      <c r="D34" s="107"/>
      <c r="I34" s="47"/>
    </row>
    <row r="35" spans="1:9" ht="23.25" customHeight="1" x14ac:dyDescent="0.25">
      <c r="A35" s="212" t="s">
        <v>247</v>
      </c>
      <c r="B35" s="213"/>
      <c r="C35" s="213"/>
      <c r="D35" s="108">
        <f>D14+D25+D33</f>
        <v>4482196.0700000012</v>
      </c>
      <c r="E35" s="108">
        <f>D35/DADOS_INICIAIS!E9</f>
        <v>341.00000000000006</v>
      </c>
    </row>
    <row r="37" spans="1:9" x14ac:dyDescent="0.25">
      <c r="E37" s="199">
        <f>E35/1.1</f>
        <v>310</v>
      </c>
    </row>
  </sheetData>
  <mergeCells count="10">
    <mergeCell ref="A35:C35"/>
    <mergeCell ref="A33:C33"/>
    <mergeCell ref="A2:E2"/>
    <mergeCell ref="A14:C14"/>
    <mergeCell ref="A15:C15"/>
    <mergeCell ref="B6:C6"/>
    <mergeCell ref="B18:C18"/>
    <mergeCell ref="B29:C29"/>
    <mergeCell ref="A25:C25"/>
    <mergeCell ref="A26:C26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95187-AAF1-4E2E-B3CF-221688C97F2B}">
  <sheetPr>
    <tabColor rgb="FF92D050"/>
  </sheetPr>
  <dimension ref="A1:O43"/>
  <sheetViews>
    <sheetView showGridLines="0" topLeftCell="A30" zoomScale="85" zoomScaleNormal="85" zoomScaleSheetLayoutView="95" workbookViewId="0">
      <selection activeCell="C8" sqref="C8"/>
    </sheetView>
  </sheetViews>
  <sheetFormatPr defaultColWidth="9.140625" defaultRowHeight="19.5" x14ac:dyDescent="0.25"/>
  <cols>
    <col min="1" max="1" width="53" style="45" bestFit="1" customWidth="1"/>
    <col min="2" max="4" width="27" style="45" customWidth="1"/>
    <col min="5" max="5" width="14" style="45" customWidth="1"/>
    <col min="6" max="16384" width="9.140625" style="1"/>
  </cols>
  <sheetData>
    <row r="1" spans="1:15" x14ac:dyDescent="0.25">
      <c r="A1" s="48"/>
      <c r="B1" s="48"/>
      <c r="C1" s="48"/>
      <c r="D1" s="48"/>
      <c r="E1" s="48"/>
      <c r="G1" s="2"/>
    </row>
    <row r="2" spans="1:15" ht="28.5" x14ac:dyDescent="0.25">
      <c r="A2" s="216" t="s">
        <v>286</v>
      </c>
      <c r="B2" s="217"/>
      <c r="C2" s="217"/>
      <c r="D2" s="217"/>
      <c r="E2" s="218"/>
      <c r="G2" s="2"/>
    </row>
    <row r="3" spans="1:15" x14ac:dyDescent="0.25">
      <c r="A3" s="50"/>
      <c r="B3" s="50"/>
      <c r="C3" s="50"/>
      <c r="D3" s="48"/>
      <c r="E3" s="48"/>
      <c r="G3" s="2"/>
    </row>
    <row r="4" spans="1:15" s="55" customFormat="1" ht="21.75" x14ac:dyDescent="0.25">
      <c r="A4" s="52" t="s">
        <v>285</v>
      </c>
      <c r="B4" s="53"/>
      <c r="C4" s="53"/>
      <c r="D4" s="53"/>
      <c r="E4" s="53"/>
    </row>
    <row r="5" spans="1:15" s="55" customFormat="1" ht="21.75" x14ac:dyDescent="0.25">
      <c r="A5" s="56"/>
      <c r="B5" s="57"/>
      <c r="C5" s="57"/>
      <c r="D5" s="59"/>
      <c r="E5" s="59"/>
    </row>
    <row r="6" spans="1:15" s="55" customFormat="1" ht="42" customHeight="1" x14ac:dyDescent="0.25">
      <c r="A6" s="63" t="s">
        <v>14</v>
      </c>
      <c r="B6" s="65" t="s">
        <v>18</v>
      </c>
      <c r="C6" s="71" t="s">
        <v>274</v>
      </c>
      <c r="D6" s="71" t="s">
        <v>16</v>
      </c>
      <c r="E6" s="59"/>
      <c r="G6" s="55" t="s">
        <v>203</v>
      </c>
      <c r="H6" s="55" t="s">
        <v>332</v>
      </c>
      <c r="I6" s="55" t="s">
        <v>333</v>
      </c>
      <c r="J6" s="55" t="s">
        <v>334</v>
      </c>
      <c r="K6" s="55" t="s">
        <v>335</v>
      </c>
      <c r="L6" s="55" t="s">
        <v>336</v>
      </c>
      <c r="M6" s="55" t="s">
        <v>337</v>
      </c>
      <c r="N6" s="55" t="s">
        <v>338</v>
      </c>
      <c r="O6" s="55" t="s">
        <v>339</v>
      </c>
    </row>
    <row r="7" spans="1:15" s="55" customFormat="1" ht="43.5" x14ac:dyDescent="0.25">
      <c r="A7" s="66" t="s">
        <v>284</v>
      </c>
      <c r="B7" s="67">
        <f>SUM(G7:O7)</f>
        <v>292</v>
      </c>
      <c r="C7" s="188">
        <v>1500</v>
      </c>
      <c r="D7" s="89">
        <f>B7*C7*1.1</f>
        <v>481800.00000000006</v>
      </c>
      <c r="E7" s="57"/>
      <c r="G7" s="55">
        <v>12</v>
      </c>
      <c r="H7" s="55">
        <f>28*7</f>
        <v>196</v>
      </c>
      <c r="I7" s="55">
        <f>16+1</f>
        <v>17</v>
      </c>
      <c r="J7" s="55">
        <f>16+2</f>
        <v>18</v>
      </c>
      <c r="K7" s="55">
        <v>16</v>
      </c>
      <c r="L7" s="55">
        <v>16</v>
      </c>
      <c r="M7" s="55">
        <v>8</v>
      </c>
      <c r="N7" s="55">
        <v>8</v>
      </c>
      <c r="O7" s="55">
        <v>1</v>
      </c>
    </row>
    <row r="8" spans="1:15" s="55" customFormat="1" ht="21.75" x14ac:dyDescent="0.25">
      <c r="A8" s="66" t="s">
        <v>283</v>
      </c>
      <c r="B8" s="67">
        <f>SUM(G8:O8)</f>
        <v>16</v>
      </c>
      <c r="C8" s="188">
        <v>5000</v>
      </c>
      <c r="D8" s="89">
        <f>B8*C8*1.1</f>
        <v>88000</v>
      </c>
      <c r="E8" s="57"/>
      <c r="G8" s="55">
        <v>12</v>
      </c>
      <c r="I8" s="55">
        <v>1</v>
      </c>
      <c r="J8" s="55">
        <v>2</v>
      </c>
      <c r="O8" s="55">
        <v>1</v>
      </c>
    </row>
    <row r="9" spans="1:15" s="55" customFormat="1" ht="21.75" x14ac:dyDescent="0.25">
      <c r="A9" s="66" t="s">
        <v>282</v>
      </c>
      <c r="B9" s="67">
        <f t="shared" ref="B9:B10" si="0">SUM(G9:O9)</f>
        <v>36</v>
      </c>
      <c r="C9" s="188">
        <v>900</v>
      </c>
      <c r="D9" s="89">
        <f>B9*C9*1.1</f>
        <v>35640</v>
      </c>
      <c r="E9" s="57"/>
      <c r="G9" s="55">
        <v>4</v>
      </c>
      <c r="I9" s="55">
        <v>6</v>
      </c>
      <c r="J9" s="55">
        <v>7</v>
      </c>
      <c r="M9" s="55">
        <v>8</v>
      </c>
      <c r="N9" s="55">
        <v>8</v>
      </c>
      <c r="O9" s="55">
        <v>3</v>
      </c>
    </row>
    <row r="10" spans="1:15" s="55" customFormat="1" ht="21.75" x14ac:dyDescent="0.25">
      <c r="A10" s="66" t="s">
        <v>281</v>
      </c>
      <c r="B10" s="67">
        <f t="shared" si="0"/>
        <v>10</v>
      </c>
      <c r="C10" s="188">
        <v>2600</v>
      </c>
      <c r="D10" s="89">
        <f>B10*C10*1.1</f>
        <v>28600.000000000004</v>
      </c>
      <c r="E10" s="57"/>
      <c r="I10" s="55">
        <v>1</v>
      </c>
      <c r="M10" s="55">
        <v>4</v>
      </c>
      <c r="N10" s="55">
        <v>4</v>
      </c>
      <c r="O10" s="55">
        <v>1</v>
      </c>
    </row>
    <row r="11" spans="1:15" s="55" customFormat="1" ht="21.75" x14ac:dyDescent="0.25">
      <c r="A11" s="215" t="s">
        <v>17</v>
      </c>
      <c r="B11" s="215"/>
      <c r="C11" s="215"/>
      <c r="D11" s="90">
        <f>SUM(D7:D10)</f>
        <v>634040</v>
      </c>
      <c r="E11" s="60"/>
    </row>
    <row r="12" spans="1:15" s="55" customFormat="1" ht="21.75" x14ac:dyDescent="0.25">
      <c r="A12" s="219"/>
      <c r="B12" s="219"/>
      <c r="C12" s="219"/>
      <c r="D12" s="59"/>
      <c r="E12" s="59"/>
    </row>
    <row r="13" spans="1:15" s="55" customFormat="1" ht="21.75" x14ac:dyDescent="0.25">
      <c r="A13" s="52" t="s">
        <v>280</v>
      </c>
      <c r="B13" s="53"/>
      <c r="C13" s="53"/>
      <c r="D13" s="53"/>
      <c r="E13" s="53"/>
    </row>
    <row r="14" spans="1:15" s="55" customFormat="1" ht="21.75" x14ac:dyDescent="0.25">
      <c r="A14" s="56"/>
      <c r="B14" s="57"/>
      <c r="C14" s="57"/>
      <c r="D14" s="59"/>
      <c r="E14" s="59"/>
    </row>
    <row r="15" spans="1:15" s="55" customFormat="1" ht="42" customHeight="1" x14ac:dyDescent="0.25">
      <c r="A15" s="63" t="s">
        <v>14</v>
      </c>
      <c r="B15" s="220" t="s">
        <v>5</v>
      </c>
      <c r="C15" s="221"/>
      <c r="D15" s="71" t="s">
        <v>16</v>
      </c>
      <c r="E15" s="59"/>
    </row>
    <row r="16" spans="1:15" s="55" customFormat="1" ht="21.75" x14ac:dyDescent="0.25">
      <c r="A16" s="66" t="s">
        <v>279</v>
      </c>
      <c r="B16" s="62">
        <v>2</v>
      </c>
      <c r="C16" s="62" t="s">
        <v>6</v>
      </c>
      <c r="D16" s="89">
        <f>B16*DADOS_INICIAIS!$E$9*1.1</f>
        <v>28917.394000000004</v>
      </c>
      <c r="E16" s="57"/>
    </row>
    <row r="17" spans="1:5" s="55" customFormat="1" ht="21.75" x14ac:dyDescent="0.25">
      <c r="A17" s="66" t="s">
        <v>278</v>
      </c>
      <c r="B17" s="62">
        <v>5</v>
      </c>
      <c r="C17" s="62" t="s">
        <v>6</v>
      </c>
      <c r="D17" s="89">
        <f>B17*DADOS_INICIAIS!$E$9*1.1</f>
        <v>72293.485000000015</v>
      </c>
      <c r="E17" s="57"/>
    </row>
    <row r="18" spans="1:5" s="55" customFormat="1" ht="21.75" x14ac:dyDescent="0.25">
      <c r="A18" s="66" t="s">
        <v>277</v>
      </c>
      <c r="B18" s="62">
        <v>3</v>
      </c>
      <c r="C18" s="62" t="s">
        <v>6</v>
      </c>
      <c r="D18" s="89">
        <f>B18*DADOS_INICIAIS!$E$9*1.1</f>
        <v>43376.091</v>
      </c>
      <c r="E18" s="57"/>
    </row>
    <row r="19" spans="1:5" s="55" customFormat="1" ht="43.5" x14ac:dyDescent="0.25">
      <c r="A19" s="66" t="s">
        <v>276</v>
      </c>
      <c r="B19" s="62">
        <v>5</v>
      </c>
      <c r="C19" s="62" t="s">
        <v>6</v>
      </c>
      <c r="D19" s="89">
        <f>B19*DADOS_INICIAIS!$E$9*1.1</f>
        <v>72293.485000000015</v>
      </c>
      <c r="E19" s="57"/>
    </row>
    <row r="20" spans="1:5" s="55" customFormat="1" ht="21.75" x14ac:dyDescent="0.25">
      <c r="A20" s="215" t="s">
        <v>17</v>
      </c>
      <c r="B20" s="215"/>
      <c r="C20" s="215"/>
      <c r="D20" s="90">
        <f>SUM(D16:D19)</f>
        <v>216880.45500000005</v>
      </c>
      <c r="E20" s="60"/>
    </row>
    <row r="21" spans="1:5" s="55" customFormat="1" ht="21.75" x14ac:dyDescent="0.25">
      <c r="A21" s="219"/>
      <c r="B21" s="219"/>
      <c r="C21" s="219"/>
      <c r="D21" s="59"/>
      <c r="E21" s="59"/>
    </row>
    <row r="22" spans="1:5" s="55" customFormat="1" ht="21.75" x14ac:dyDescent="0.25">
      <c r="A22" s="52" t="s">
        <v>275</v>
      </c>
      <c r="B22" s="53"/>
      <c r="C22" s="53"/>
      <c r="D22" s="53"/>
      <c r="E22" s="53"/>
    </row>
    <row r="23" spans="1:5" s="55" customFormat="1" ht="21.75" x14ac:dyDescent="0.25">
      <c r="A23" s="56"/>
      <c r="B23" s="57"/>
      <c r="C23" s="57"/>
      <c r="D23" s="59"/>
      <c r="E23" s="59"/>
    </row>
    <row r="24" spans="1:5" s="55" customFormat="1" ht="42" customHeight="1" x14ac:dyDescent="0.25">
      <c r="A24" s="63" t="s">
        <v>14</v>
      </c>
      <c r="B24" s="65" t="s">
        <v>18</v>
      </c>
      <c r="C24" s="71" t="s">
        <v>274</v>
      </c>
      <c r="D24" s="71" t="s">
        <v>16</v>
      </c>
      <c r="E24" s="59"/>
    </row>
    <row r="25" spans="1:5" s="55" customFormat="1" ht="26.25" customHeight="1" x14ac:dyDescent="0.25">
      <c r="A25" s="70" t="s">
        <v>273</v>
      </c>
      <c r="B25" s="67">
        <v>2</v>
      </c>
      <c r="C25" s="188">
        <v>486310</v>
      </c>
      <c r="D25" s="89">
        <f t="shared" ref="D25:D34" si="1">B25*C25*1.1</f>
        <v>1069882</v>
      </c>
      <c r="E25" s="57"/>
    </row>
    <row r="26" spans="1:5" s="55" customFormat="1" ht="26.25" customHeight="1" x14ac:dyDescent="0.25">
      <c r="A26" s="70" t="s">
        <v>272</v>
      </c>
      <c r="B26" s="67">
        <v>0</v>
      </c>
      <c r="C26" s="188">
        <v>80000</v>
      </c>
      <c r="D26" s="89">
        <f t="shared" si="1"/>
        <v>0</v>
      </c>
      <c r="E26" s="57"/>
    </row>
    <row r="27" spans="1:5" s="55" customFormat="1" ht="26.25" customHeight="1" x14ac:dyDescent="0.25">
      <c r="A27" s="70" t="s">
        <v>378</v>
      </c>
      <c r="B27" s="67">
        <v>1</v>
      </c>
      <c r="C27" s="188">
        <v>350000</v>
      </c>
      <c r="D27" s="89">
        <f t="shared" si="1"/>
        <v>385000.00000000006</v>
      </c>
      <c r="E27" s="57"/>
    </row>
    <row r="28" spans="1:5" s="55" customFormat="1" ht="26.25" customHeight="1" x14ac:dyDescent="0.25">
      <c r="A28" s="70" t="s">
        <v>341</v>
      </c>
      <c r="B28" s="67">
        <v>0</v>
      </c>
      <c r="C28" s="188">
        <f>50*DADOS_INICIAIS!E9</f>
        <v>657213.5</v>
      </c>
      <c r="D28" s="89">
        <f t="shared" si="1"/>
        <v>0</v>
      </c>
      <c r="E28" s="57"/>
    </row>
    <row r="29" spans="1:5" s="55" customFormat="1" ht="26.25" customHeight="1" x14ac:dyDescent="0.25">
      <c r="A29" s="70" t="s">
        <v>342</v>
      </c>
      <c r="B29" s="67">
        <v>1</v>
      </c>
      <c r="C29" s="188">
        <v>10000</v>
      </c>
      <c r="D29" s="89">
        <f t="shared" si="1"/>
        <v>11000</v>
      </c>
      <c r="E29" s="57"/>
    </row>
    <row r="30" spans="1:5" s="55" customFormat="1" ht="26.25" customHeight="1" x14ac:dyDescent="0.25">
      <c r="A30" s="70" t="s">
        <v>358</v>
      </c>
      <c r="B30" s="67">
        <v>1</v>
      </c>
      <c r="C30" s="188">
        <v>110000</v>
      </c>
      <c r="D30" s="89">
        <f t="shared" si="1"/>
        <v>121000.00000000001</v>
      </c>
      <c r="E30" s="57"/>
    </row>
    <row r="31" spans="1:5" s="55" customFormat="1" ht="26.25" customHeight="1" x14ac:dyDescent="0.25">
      <c r="A31" s="70" t="s">
        <v>271</v>
      </c>
      <c r="B31" s="67">
        <v>4</v>
      </c>
      <c r="C31" s="188">
        <v>547</v>
      </c>
      <c r="D31" s="89">
        <f t="shared" si="1"/>
        <v>2406.8000000000002</v>
      </c>
      <c r="E31" s="57"/>
    </row>
    <row r="32" spans="1:5" s="55" customFormat="1" ht="26.25" customHeight="1" x14ac:dyDescent="0.25">
      <c r="A32" s="70" t="s">
        <v>356</v>
      </c>
      <c r="B32" s="67">
        <v>4</v>
      </c>
      <c r="C32" s="188">
        <v>10500</v>
      </c>
      <c r="D32" s="89">
        <f t="shared" si="1"/>
        <v>46200.000000000007</v>
      </c>
      <c r="E32" s="57"/>
    </row>
    <row r="33" spans="1:9" s="55" customFormat="1" ht="26.25" customHeight="1" x14ac:dyDescent="0.25">
      <c r="A33" s="70" t="s">
        <v>340</v>
      </c>
      <c r="B33" s="67">
        <v>1</v>
      </c>
      <c r="C33" s="188">
        <v>8500</v>
      </c>
      <c r="D33" s="89">
        <f t="shared" si="1"/>
        <v>9350</v>
      </c>
      <c r="E33" s="57"/>
    </row>
    <row r="34" spans="1:9" s="55" customFormat="1" ht="26.25" customHeight="1" x14ac:dyDescent="0.25">
      <c r="A34" s="70" t="s">
        <v>270</v>
      </c>
      <c r="B34" s="67">
        <v>1</v>
      </c>
      <c r="C34" s="188">
        <v>25000</v>
      </c>
      <c r="D34" s="89">
        <f t="shared" si="1"/>
        <v>27500.000000000004</v>
      </c>
      <c r="E34" s="57"/>
    </row>
    <row r="35" spans="1:9" s="55" customFormat="1" ht="21.75" x14ac:dyDescent="0.25">
      <c r="A35" s="215" t="s">
        <v>17</v>
      </c>
      <c r="B35" s="215"/>
      <c r="C35" s="215"/>
      <c r="D35" s="90">
        <f>SUM(D25:D34)</f>
        <v>1672338.8</v>
      </c>
      <c r="E35" s="60"/>
    </row>
    <row r="36" spans="1:9" x14ac:dyDescent="0.25">
      <c r="I36" s="47"/>
    </row>
    <row r="37" spans="1:9" s="55" customFormat="1" ht="21.75" x14ac:dyDescent="0.25">
      <c r="A37" s="52" t="s">
        <v>269</v>
      </c>
      <c r="B37" s="53"/>
      <c r="C37" s="53"/>
      <c r="D37" s="53"/>
      <c r="E37" s="53"/>
    </row>
    <row r="38" spans="1:9" s="55" customFormat="1" ht="21.75" x14ac:dyDescent="0.25">
      <c r="A38" s="56"/>
      <c r="B38" s="57"/>
      <c r="C38" s="57"/>
      <c r="D38" s="59"/>
      <c r="E38" s="59"/>
    </row>
    <row r="39" spans="1:9" s="55" customFormat="1" ht="40.5" customHeight="1" x14ac:dyDescent="0.25">
      <c r="A39" s="63" t="s">
        <v>14</v>
      </c>
      <c r="B39" s="220" t="s">
        <v>5</v>
      </c>
      <c r="C39" s="221"/>
      <c r="D39" s="71" t="s">
        <v>16</v>
      </c>
      <c r="E39" s="59"/>
    </row>
    <row r="40" spans="1:9" s="55" customFormat="1" ht="26.25" customHeight="1" x14ac:dyDescent="0.25">
      <c r="A40" s="70" t="s">
        <v>268</v>
      </c>
      <c r="B40" s="62">
        <v>20</v>
      </c>
      <c r="C40" s="62" t="s">
        <v>6</v>
      </c>
      <c r="D40" s="89">
        <f>B40*DADOS_INICIAIS!E9*1.1</f>
        <v>289173.94000000006</v>
      </c>
      <c r="E40" s="102"/>
    </row>
    <row r="41" spans="1:9" s="55" customFormat="1" ht="21.75" x14ac:dyDescent="0.25">
      <c r="A41" s="215" t="s">
        <v>17</v>
      </c>
      <c r="B41" s="215"/>
      <c r="C41" s="215"/>
      <c r="D41" s="90">
        <f>SUM(D40:D40)</f>
        <v>289173.94000000006</v>
      </c>
      <c r="E41" s="103"/>
    </row>
    <row r="42" spans="1:9" x14ac:dyDescent="0.25">
      <c r="D42" s="107"/>
      <c r="E42" s="107"/>
      <c r="I42" s="47"/>
    </row>
    <row r="43" spans="1:9" ht="23.25" customHeight="1" x14ac:dyDescent="0.25">
      <c r="A43" s="212" t="s">
        <v>267</v>
      </c>
      <c r="B43" s="213"/>
      <c r="C43" s="214"/>
      <c r="D43" s="108">
        <f>D11+D20+D35+D41</f>
        <v>2812433.1949999998</v>
      </c>
      <c r="E43" s="108">
        <f>D43/DADOS_INICIAIS!E9</f>
        <v>213.96648083157146</v>
      </c>
    </row>
  </sheetData>
  <mergeCells count="10">
    <mergeCell ref="A35:C35"/>
    <mergeCell ref="A43:C43"/>
    <mergeCell ref="B39:C39"/>
    <mergeCell ref="A41:C41"/>
    <mergeCell ref="A2:E2"/>
    <mergeCell ref="A11:C11"/>
    <mergeCell ref="A12:C12"/>
    <mergeCell ref="B15:C15"/>
    <mergeCell ref="A20:C20"/>
    <mergeCell ref="A21:C21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120EE-5AC6-4766-BCD9-F110DF8BD5BE}">
  <sheetPr>
    <tabColor rgb="FF92D050"/>
  </sheetPr>
  <dimension ref="A1:L24"/>
  <sheetViews>
    <sheetView showGridLines="0" zoomScale="80" zoomScaleNormal="80" zoomScaleSheetLayoutView="95" workbookViewId="0">
      <selection activeCell="H17" sqref="H17"/>
    </sheetView>
  </sheetViews>
  <sheetFormatPr defaultColWidth="9.140625" defaultRowHeight="15" x14ac:dyDescent="0.25"/>
  <cols>
    <col min="1" max="1" width="50.140625" style="55" customWidth="1"/>
    <col min="2" max="2" width="21.7109375" style="55" customWidth="1"/>
    <col min="3" max="3" width="26.5703125" style="55" customWidth="1"/>
    <col min="4" max="4" width="16.5703125" style="81" customWidth="1"/>
    <col min="5" max="5" width="19.5703125" style="82" customWidth="1"/>
    <col min="6" max="6" width="20.85546875" style="55" customWidth="1"/>
    <col min="7" max="7" width="23.5703125" style="55" customWidth="1"/>
    <col min="8" max="8" width="58.28515625" style="55" customWidth="1"/>
    <col min="9" max="9" width="11.28515625" style="55" customWidth="1"/>
    <col min="10" max="10" width="9.140625" style="55"/>
    <col min="11" max="11" width="11" style="55" bestFit="1" customWidth="1"/>
    <col min="12" max="12" width="11.28515625" style="55" bestFit="1" customWidth="1"/>
    <col min="13" max="13" width="9.140625" style="55"/>
    <col min="14" max="15" width="11" style="55" bestFit="1" customWidth="1"/>
    <col min="16" max="16384" width="9.140625" style="55"/>
  </cols>
  <sheetData>
    <row r="1" spans="1:10" x14ac:dyDescent="0.25">
      <c r="D1" s="79"/>
      <c r="E1" s="55"/>
      <c r="H1" s="80"/>
      <c r="I1" s="80"/>
      <c r="J1" s="79"/>
    </row>
    <row r="3" spans="1:10" ht="28.5" x14ac:dyDescent="0.25">
      <c r="A3" s="216" t="s">
        <v>238</v>
      </c>
      <c r="B3" s="227"/>
      <c r="C3" s="227"/>
      <c r="D3" s="217"/>
      <c r="E3" s="217"/>
      <c r="F3" s="217"/>
      <c r="G3" s="217"/>
      <c r="H3" s="218"/>
      <c r="J3" s="79"/>
    </row>
    <row r="4" spans="1:10" ht="19.5" x14ac:dyDescent="0.25">
      <c r="A4" s="189" t="s">
        <v>186</v>
      </c>
      <c r="B4" s="195">
        <v>45457</v>
      </c>
      <c r="C4" s="193"/>
      <c r="D4" s="193"/>
      <c r="E4" s="193"/>
      <c r="F4" s="193"/>
      <c r="G4" s="193"/>
      <c r="H4" s="194"/>
      <c r="J4" s="79"/>
    </row>
    <row r="5" spans="1:10" ht="19.5" x14ac:dyDescent="0.25">
      <c r="A5" s="189" t="s">
        <v>308</v>
      </c>
      <c r="B5" s="196" t="s">
        <v>223</v>
      </c>
      <c r="C5" s="191"/>
      <c r="D5" s="191"/>
      <c r="E5" s="191"/>
      <c r="F5" s="191"/>
      <c r="G5" s="191"/>
      <c r="H5" s="192"/>
      <c r="J5" s="79"/>
    </row>
    <row r="6" spans="1:10" ht="21.75" x14ac:dyDescent="0.25">
      <c r="A6" s="83"/>
      <c r="B6" s="83"/>
      <c r="C6" s="83"/>
      <c r="D6" s="83"/>
      <c r="E6" s="83"/>
      <c r="F6" s="84"/>
      <c r="G6" s="85"/>
      <c r="H6" s="85"/>
      <c r="J6" s="79"/>
    </row>
    <row r="7" spans="1:10" ht="21.75" x14ac:dyDescent="0.25">
      <c r="A7" s="52" t="s">
        <v>184</v>
      </c>
      <c r="B7" s="52"/>
      <c r="C7" s="52"/>
      <c r="D7" s="53"/>
      <c r="E7" s="53"/>
      <c r="F7" s="54"/>
      <c r="G7" s="53"/>
      <c r="H7" s="53"/>
    </row>
    <row r="8" spans="1:10" ht="21.75" x14ac:dyDescent="0.25">
      <c r="A8" s="56"/>
      <c r="B8" s="56"/>
      <c r="C8" s="56"/>
      <c r="D8" s="57"/>
      <c r="E8" s="57"/>
      <c r="F8" s="58"/>
      <c r="G8" s="59"/>
      <c r="H8" s="59"/>
    </row>
    <row r="9" spans="1:10" ht="42" customHeight="1" x14ac:dyDescent="0.25">
      <c r="A9" s="63" t="s">
        <v>14</v>
      </c>
      <c r="B9" s="220" t="s">
        <v>5</v>
      </c>
      <c r="C9" s="221"/>
      <c r="D9" s="220" t="s">
        <v>18</v>
      </c>
      <c r="E9" s="221"/>
      <c r="F9" s="65" t="s">
        <v>118</v>
      </c>
      <c r="G9" s="71" t="s">
        <v>16</v>
      </c>
      <c r="H9" s="90" t="s">
        <v>311</v>
      </c>
    </row>
    <row r="10" spans="1:10" ht="21.75" x14ac:dyDescent="0.25">
      <c r="A10" s="66" t="s">
        <v>237</v>
      </c>
      <c r="B10" s="62">
        <v>25</v>
      </c>
      <c r="C10" s="62" t="s">
        <v>171</v>
      </c>
      <c r="D10" s="67">
        <f>D15+D16</f>
        <v>5257.7080000000005</v>
      </c>
      <c r="E10" s="67" t="s">
        <v>2</v>
      </c>
      <c r="F10" s="88">
        <v>22</v>
      </c>
      <c r="G10" s="89">
        <f t="shared" ref="G10:G18" si="0">F10*D10*1.1</f>
        <v>127236.53360000002</v>
      </c>
      <c r="H10" s="67"/>
    </row>
    <row r="11" spans="1:10" ht="21.75" x14ac:dyDescent="0.25">
      <c r="A11" s="78" t="s">
        <v>236</v>
      </c>
      <c r="B11" s="62">
        <v>45</v>
      </c>
      <c r="C11" s="62" t="s">
        <v>171</v>
      </c>
      <c r="D11" s="67">
        <f>(1.75*1.85)+(1.75+1.85)*2*1.8</f>
        <v>16.197500000000002</v>
      </c>
      <c r="E11" s="67" t="s">
        <v>2</v>
      </c>
      <c r="F11" s="88">
        <v>41</v>
      </c>
      <c r="G11" s="89">
        <f t="shared" si="0"/>
        <v>730.50725000000011</v>
      </c>
      <c r="H11" s="67"/>
    </row>
    <row r="12" spans="1:10" ht="21.75" x14ac:dyDescent="0.25">
      <c r="A12" s="78" t="s">
        <v>235</v>
      </c>
      <c r="B12" s="62">
        <v>30</v>
      </c>
      <c r="C12" s="62" t="s">
        <v>171</v>
      </c>
      <c r="D12" s="67">
        <f>INFRAESTRUTURA!D28</f>
        <v>1271.6220000000001</v>
      </c>
      <c r="E12" s="67" t="s">
        <v>2</v>
      </c>
      <c r="F12" s="88">
        <v>35</v>
      </c>
      <c r="G12" s="89">
        <f t="shared" si="0"/>
        <v>48957.447000000007</v>
      </c>
      <c r="H12" s="67"/>
    </row>
    <row r="13" spans="1:10" ht="21.75" x14ac:dyDescent="0.25">
      <c r="A13" s="66" t="s">
        <v>234</v>
      </c>
      <c r="B13" s="62">
        <v>0.25</v>
      </c>
      <c r="C13" s="62" t="s">
        <v>6</v>
      </c>
      <c r="D13" s="67">
        <v>1</v>
      </c>
      <c r="E13" s="67" t="s">
        <v>27</v>
      </c>
      <c r="F13" s="88">
        <f>B13*DADOS_INICIAIS!$E$9</f>
        <v>3286.0675000000001</v>
      </c>
      <c r="G13" s="89">
        <f t="shared" si="0"/>
        <v>3614.6742500000005</v>
      </c>
      <c r="H13" s="67"/>
    </row>
    <row r="14" spans="1:10" ht="21.75" x14ac:dyDescent="0.25">
      <c r="A14" s="66" t="s">
        <v>398</v>
      </c>
      <c r="B14" s="62">
        <v>0.15</v>
      </c>
      <c r="C14" s="62" t="s">
        <v>399</v>
      </c>
      <c r="D14" s="67">
        <f>'Rev. Fachada'!K19*5+'Rev. Fachada'!K20*9+'Rev. Fachada'!K21*5+'Rev. Fachada'!K22*2</f>
        <v>3381.6914999999999</v>
      </c>
      <c r="E14" s="67" t="s">
        <v>4</v>
      </c>
      <c r="F14" s="88">
        <v>60</v>
      </c>
      <c r="G14" s="89">
        <f>D14*B14*F14*1.1</f>
        <v>33478.745849999999</v>
      </c>
      <c r="H14" s="67"/>
    </row>
    <row r="15" spans="1:10" ht="21.75" x14ac:dyDescent="0.25">
      <c r="A15" s="66" t="s">
        <v>233</v>
      </c>
      <c r="B15" s="62">
        <v>0.3</v>
      </c>
      <c r="C15" s="62" t="s">
        <v>37</v>
      </c>
      <c r="D15" s="67">
        <f>B15*DADOS_INICIAIS!E9</f>
        <v>3943.2809999999999</v>
      </c>
      <c r="E15" s="67" t="s">
        <v>2</v>
      </c>
      <c r="F15" s="88">
        <v>60</v>
      </c>
      <c r="G15" s="89">
        <f>F15*D15</f>
        <v>236596.86</v>
      </c>
      <c r="H15" s="67"/>
    </row>
    <row r="16" spans="1:10" ht="21.75" x14ac:dyDescent="0.25">
      <c r="A16" s="66" t="s">
        <v>232</v>
      </c>
      <c r="B16" s="62">
        <v>0.1</v>
      </c>
      <c r="C16" s="62" t="s">
        <v>37</v>
      </c>
      <c r="D16" s="67">
        <f>B16*DADOS_INICIAIS!E9</f>
        <v>1314.4270000000001</v>
      </c>
      <c r="E16" s="67" t="s">
        <v>2</v>
      </c>
      <c r="F16" s="88">
        <v>110</v>
      </c>
      <c r="G16" s="89">
        <f t="shared" si="0"/>
        <v>159045.66700000002</v>
      </c>
      <c r="H16" s="67"/>
    </row>
    <row r="17" spans="1:12" ht="21.75" x14ac:dyDescent="0.25">
      <c r="A17" s="66" t="s">
        <v>231</v>
      </c>
      <c r="B17" s="62">
        <v>0.6</v>
      </c>
      <c r="C17" s="62" t="s">
        <v>6</v>
      </c>
      <c r="D17" s="67">
        <v>1</v>
      </c>
      <c r="E17" s="67" t="s">
        <v>27</v>
      </c>
      <c r="F17" s="88">
        <f>B17*DADOS_INICIAIS!$E$9</f>
        <v>7886.5619999999999</v>
      </c>
      <c r="G17" s="89">
        <f t="shared" si="0"/>
        <v>8675.2182000000012</v>
      </c>
      <c r="H17" s="67"/>
    </row>
    <row r="18" spans="1:12" ht="21.75" x14ac:dyDescent="0.25">
      <c r="A18" s="66" t="s">
        <v>230</v>
      </c>
      <c r="B18" s="62">
        <v>28</v>
      </c>
      <c r="C18" s="62" t="s">
        <v>171</v>
      </c>
      <c r="D18" s="67">
        <f>D16</f>
        <v>1314.4270000000001</v>
      </c>
      <c r="E18" s="67" t="s">
        <v>2</v>
      </c>
      <c r="F18" s="88">
        <v>28</v>
      </c>
      <c r="G18" s="89">
        <f t="shared" si="0"/>
        <v>40484.351600000009</v>
      </c>
      <c r="H18" s="67"/>
    </row>
    <row r="19" spans="1:12" ht="21.75" x14ac:dyDescent="0.25">
      <c r="A19" s="215" t="s">
        <v>17</v>
      </c>
      <c r="B19" s="215"/>
      <c r="C19" s="215"/>
      <c r="D19" s="215"/>
      <c r="E19" s="215"/>
      <c r="F19" s="215"/>
      <c r="G19" s="90">
        <f>SUM(G10:G18)</f>
        <v>658820.00475000008</v>
      </c>
      <c r="H19" s="90"/>
      <c r="K19" s="55">
        <f>4160+1440+1120+2880+4800+91680+4000</f>
        <v>110080</v>
      </c>
      <c r="L19" s="55">
        <f>K19/21</f>
        <v>5241.9047619047615</v>
      </c>
    </row>
    <row r="21" spans="1:12" ht="21.75" x14ac:dyDescent="0.25">
      <c r="A21" s="222" t="s">
        <v>229</v>
      </c>
      <c r="B21" s="223"/>
      <c r="C21" s="223"/>
      <c r="D21" s="223"/>
      <c r="E21" s="223"/>
      <c r="F21" s="224"/>
      <c r="G21" s="91">
        <f>G19</f>
        <v>658820.00475000008</v>
      </c>
      <c r="H21" s="91">
        <f>G21/DADOS_INICIAIS!E9</f>
        <v>50.122220918316501</v>
      </c>
    </row>
    <row r="24" spans="1:12" x14ac:dyDescent="0.25">
      <c r="H24" s="198">
        <f>H21/1.1</f>
        <v>45.565655380287723</v>
      </c>
    </row>
  </sheetData>
  <mergeCells count="5">
    <mergeCell ref="A21:F21"/>
    <mergeCell ref="A3:H3"/>
    <mergeCell ref="B9:C9"/>
    <mergeCell ref="D9:E9"/>
    <mergeCell ref="A19:F19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CA413-B84E-4F21-BDF8-BE523108E400}">
  <sheetPr>
    <tabColor rgb="FF92D050"/>
  </sheetPr>
  <dimension ref="A1:J26"/>
  <sheetViews>
    <sheetView showGridLines="0" zoomScale="87" zoomScaleNormal="87" zoomScaleSheetLayoutView="95" workbookViewId="0">
      <selection activeCell="B19" sqref="B19"/>
    </sheetView>
  </sheetViews>
  <sheetFormatPr defaultColWidth="9.140625" defaultRowHeight="12.75" x14ac:dyDescent="0.25"/>
  <cols>
    <col min="1" max="1" width="45" style="1" bestFit="1" customWidth="1"/>
    <col min="2" max="2" width="14" style="114" customWidth="1"/>
    <col min="3" max="3" width="7.5703125" style="113" customWidth="1"/>
    <col min="4" max="4" width="10.7109375" style="112" customWidth="1"/>
    <col min="5" max="5" width="15.85546875" style="1" customWidth="1"/>
    <col min="6" max="6" width="15.140625" style="1" customWidth="1"/>
    <col min="7" max="7" width="17.7109375" style="1" customWidth="1"/>
    <col min="8" max="8" width="13.140625" style="1" bestFit="1" customWidth="1"/>
    <col min="9" max="9" width="9.140625" style="1"/>
    <col min="10" max="10" width="12.85546875" style="1" bestFit="1" customWidth="1"/>
    <col min="11" max="16384" width="9.140625" style="1"/>
  </cols>
  <sheetData>
    <row r="1" spans="1:10" x14ac:dyDescent="0.25">
      <c r="B1" s="2"/>
      <c r="C1" s="1"/>
      <c r="D1" s="1"/>
      <c r="G1" s="161"/>
      <c r="H1" s="161"/>
      <c r="I1" s="2"/>
    </row>
    <row r="2" spans="1:10" ht="12.75" customHeight="1" x14ac:dyDescent="0.25">
      <c r="A2" s="228" t="s">
        <v>190</v>
      </c>
      <c r="B2" s="2"/>
      <c r="C2" s="1"/>
      <c r="D2" s="1"/>
      <c r="G2" s="166"/>
      <c r="H2" s="166"/>
      <c r="I2" s="2"/>
    </row>
    <row r="3" spans="1:10" ht="12.75" customHeight="1" x14ac:dyDescent="0.25">
      <c r="A3" s="229"/>
      <c r="B3" s="2"/>
      <c r="C3" s="1"/>
      <c r="D3" s="1"/>
      <c r="G3" s="166"/>
      <c r="H3" s="166"/>
      <c r="I3" s="2"/>
    </row>
    <row r="4" spans="1:10" ht="12.75" customHeight="1" x14ac:dyDescent="0.25">
      <c r="A4" s="229"/>
      <c r="B4" s="2"/>
      <c r="C4" s="1"/>
      <c r="D4" s="1"/>
      <c r="G4" s="166"/>
      <c r="H4" s="166"/>
      <c r="I4" s="2"/>
    </row>
    <row r="5" spans="1:10" ht="13.5" thickBot="1" x14ac:dyDescent="0.3">
      <c r="A5" s="165"/>
      <c r="B5" s="164"/>
      <c r="C5" s="164"/>
      <c r="D5" s="164"/>
      <c r="E5" s="164"/>
      <c r="F5" s="164"/>
      <c r="G5" s="163"/>
      <c r="H5" s="163"/>
      <c r="I5" s="2"/>
    </row>
    <row r="6" spans="1:10" x14ac:dyDescent="0.25">
      <c r="A6" s="162"/>
      <c r="B6" s="2"/>
      <c r="C6" s="1"/>
      <c r="D6" s="1"/>
      <c r="G6" s="161"/>
      <c r="H6" s="161"/>
      <c r="I6" s="2"/>
    </row>
    <row r="7" spans="1:10" x14ac:dyDescent="0.25">
      <c r="A7" s="160" t="s">
        <v>189</v>
      </c>
      <c r="B7" s="159" t="s">
        <v>188</v>
      </c>
      <c r="C7" s="158"/>
      <c r="D7" s="158"/>
      <c r="E7" s="158"/>
      <c r="F7" s="158"/>
      <c r="G7" s="158"/>
      <c r="H7" s="157"/>
      <c r="I7" s="2"/>
    </row>
    <row r="8" spans="1:10" x14ac:dyDescent="0.25">
      <c r="A8" s="156" t="s">
        <v>0</v>
      </c>
      <c r="B8" s="155" t="s">
        <v>187</v>
      </c>
      <c r="C8" s="154"/>
      <c r="D8" s="154"/>
      <c r="E8" s="154"/>
      <c r="F8" s="154"/>
      <c r="G8" s="154"/>
      <c r="H8" s="153"/>
      <c r="I8" s="2"/>
    </row>
    <row r="9" spans="1:10" ht="15" customHeight="1" x14ac:dyDescent="0.25">
      <c r="A9" s="152" t="s">
        <v>186</v>
      </c>
      <c r="B9" s="151">
        <v>45397</v>
      </c>
      <c r="C9" s="150"/>
      <c r="D9" s="150"/>
      <c r="E9" s="150"/>
      <c r="F9" s="150"/>
      <c r="G9" s="150"/>
      <c r="H9" s="149"/>
    </row>
    <row r="10" spans="1:10" x14ac:dyDescent="0.25">
      <c r="A10" s="148" t="s">
        <v>1</v>
      </c>
      <c r="B10" s="147" t="s">
        <v>185</v>
      </c>
      <c r="C10" s="146"/>
      <c r="D10" s="146"/>
      <c r="E10" s="146"/>
      <c r="F10" s="146"/>
      <c r="G10" s="146"/>
      <c r="H10" s="145"/>
    </row>
    <row r="12" spans="1:10" x14ac:dyDescent="0.25">
      <c r="A12" s="144" t="s">
        <v>197</v>
      </c>
      <c r="B12" s="143"/>
      <c r="C12" s="142"/>
      <c r="D12" s="141"/>
      <c r="E12" s="140"/>
      <c r="F12" s="140"/>
      <c r="G12" s="140"/>
      <c r="H12" s="139"/>
    </row>
    <row r="13" spans="1:10" ht="15.95" customHeight="1" x14ac:dyDescent="0.25">
      <c r="A13" s="138"/>
      <c r="B13" s="137"/>
      <c r="C13" s="136"/>
      <c r="D13" s="135"/>
      <c r="E13" s="135"/>
      <c r="F13" s="135"/>
      <c r="H13" s="131"/>
      <c r="J13" s="115">
        <f>SUM(G15:G18)</f>
        <v>695869.96600000001</v>
      </c>
    </row>
    <row r="14" spans="1:10" ht="15.95" customHeight="1" x14ac:dyDescent="0.25">
      <c r="A14" s="134" t="s">
        <v>14</v>
      </c>
      <c r="B14" s="235" t="s">
        <v>18</v>
      </c>
      <c r="C14" s="236"/>
      <c r="D14" s="237" t="s">
        <v>5</v>
      </c>
      <c r="E14" s="238"/>
      <c r="F14" s="133" t="s">
        <v>183</v>
      </c>
      <c r="G14" s="132" t="s">
        <v>16</v>
      </c>
      <c r="H14" s="131"/>
      <c r="J14" s="115">
        <f>G19+G20</f>
        <v>887474.82186000014</v>
      </c>
    </row>
    <row r="15" spans="1:10" ht="15.95" customHeight="1" x14ac:dyDescent="0.25">
      <c r="A15" s="174" t="s">
        <v>367</v>
      </c>
      <c r="B15" s="124">
        <f>'Acabamentos de Piso e Parede'!B36</f>
        <v>6243.04</v>
      </c>
      <c r="C15" s="129" t="s">
        <v>2</v>
      </c>
      <c r="D15" s="128">
        <v>16.5</v>
      </c>
      <c r="E15" s="130" t="s">
        <v>171</v>
      </c>
      <c r="F15" s="126" t="s">
        <v>170</v>
      </c>
      <c r="G15" s="125">
        <f>D15*B15*1.1</f>
        <v>113311.17600000001</v>
      </c>
      <c r="H15" s="131"/>
    </row>
    <row r="16" spans="1:10" ht="15.95" customHeight="1" x14ac:dyDescent="0.25">
      <c r="A16" s="174" t="s">
        <v>370</v>
      </c>
      <c r="B16" s="124">
        <f>'Acabamentos de Piso e Parede'!B42</f>
        <v>448.72</v>
      </c>
      <c r="C16" s="129" t="s">
        <v>2</v>
      </c>
      <c r="D16" s="128">
        <v>25</v>
      </c>
      <c r="E16" s="130" t="s">
        <v>171</v>
      </c>
      <c r="F16" s="126" t="s">
        <v>170</v>
      </c>
      <c r="G16" s="125">
        <f>D16*B16*1.1</f>
        <v>12339.800000000001</v>
      </c>
      <c r="H16" s="131"/>
    </row>
    <row r="17" spans="1:8" ht="15.95" customHeight="1" x14ac:dyDescent="0.25">
      <c r="A17" s="172" t="s">
        <v>196</v>
      </c>
      <c r="B17" s="124">
        <v>7543.2599999999993</v>
      </c>
      <c r="C17" s="129" t="s">
        <v>2</v>
      </c>
      <c r="D17" s="128">
        <f>B17/DADOS_INICIAIS!E9</f>
        <v>0.57388200333681516</v>
      </c>
      <c r="E17" s="130" t="s">
        <v>192</v>
      </c>
      <c r="F17" s="126" t="s">
        <v>170</v>
      </c>
      <c r="G17" s="125">
        <f>+B17*65*1.1</f>
        <v>539343.09</v>
      </c>
      <c r="H17" s="131"/>
    </row>
    <row r="18" spans="1:8" ht="15.95" customHeight="1" x14ac:dyDescent="0.25">
      <c r="A18" s="172" t="s">
        <v>195</v>
      </c>
      <c r="B18" s="124">
        <f>DADOS_INICIAIS!E21</f>
        <v>1122.76</v>
      </c>
      <c r="C18" s="129" t="s">
        <v>2</v>
      </c>
      <c r="D18" s="128">
        <f>B18/DADOS_INICIAIS!E9</f>
        <v>8.5418208846896784E-2</v>
      </c>
      <c r="E18" s="130" t="s">
        <v>192</v>
      </c>
      <c r="F18" s="126" t="s">
        <v>170</v>
      </c>
      <c r="G18" s="125">
        <f>+B18*25*1.1</f>
        <v>30875.9</v>
      </c>
      <c r="H18" s="131"/>
    </row>
    <row r="19" spans="1:8" ht="27" customHeight="1" x14ac:dyDescent="0.25">
      <c r="A19" s="173" t="s">
        <v>194</v>
      </c>
      <c r="B19" s="171">
        <f>DADOS_INICIAIS!E9*'Rev. Internos Piso e Parede'!D19*0.62</f>
        <v>14669.00532</v>
      </c>
      <c r="C19" s="170" t="s">
        <v>2</v>
      </c>
      <c r="D19" s="169">
        <v>1.8</v>
      </c>
      <c r="E19" s="127" t="s">
        <v>192</v>
      </c>
      <c r="F19" s="168" t="s">
        <v>170</v>
      </c>
      <c r="G19" s="125">
        <f>+B19*5*1.1</f>
        <v>80679.52926000001</v>
      </c>
      <c r="H19" s="123"/>
    </row>
    <row r="20" spans="1:8" ht="27" customHeight="1" x14ac:dyDescent="0.25">
      <c r="A20" s="172" t="s">
        <v>193</v>
      </c>
      <c r="B20" s="171">
        <f>DADOS_INICIAIS!E9*'Rev. Internos Piso e Parede'!D20*0.62</f>
        <v>14669.00532</v>
      </c>
      <c r="C20" s="170" t="s">
        <v>2</v>
      </c>
      <c r="D20" s="169">
        <v>1.8</v>
      </c>
      <c r="E20" s="127" t="s">
        <v>192</v>
      </c>
      <c r="F20" s="168" t="s">
        <v>170</v>
      </c>
      <c r="G20" s="125">
        <f>50*B20*1.1</f>
        <v>806795.29260000016</v>
      </c>
      <c r="H20" s="123"/>
    </row>
    <row r="21" spans="1:8" ht="15.95" customHeight="1" x14ac:dyDescent="0.25">
      <c r="A21" s="233" t="s">
        <v>17</v>
      </c>
      <c r="B21" s="234"/>
      <c r="C21" s="234"/>
      <c r="D21" s="234"/>
      <c r="E21" s="234"/>
      <c r="F21" s="234"/>
      <c r="G21" s="122">
        <f>SUM(G15:G20)</f>
        <v>1583344.78786</v>
      </c>
      <c r="H21" s="121"/>
    </row>
    <row r="22" spans="1:8" ht="15.95" customHeight="1" x14ac:dyDescent="0.25">
      <c r="A22" s="231"/>
      <c r="B22" s="232"/>
      <c r="C22" s="232"/>
      <c r="D22" s="232"/>
      <c r="E22" s="232"/>
      <c r="F22" s="232"/>
      <c r="G22" s="167"/>
      <c r="H22" s="118"/>
    </row>
    <row r="24" spans="1:8" x14ac:dyDescent="0.25">
      <c r="A24" s="230" t="s">
        <v>191</v>
      </c>
      <c r="B24" s="230"/>
      <c r="C24" s="230"/>
      <c r="D24" s="230"/>
      <c r="E24" s="230"/>
      <c r="F24" s="230"/>
      <c r="G24" s="117">
        <f>G21</f>
        <v>1583344.78786</v>
      </c>
      <c r="H24" s="116">
        <f>G24/DADOS_INICIAIS!E9</f>
        <v>120.45893669713115</v>
      </c>
    </row>
    <row r="26" spans="1:8" x14ac:dyDescent="0.25">
      <c r="H26" s="115">
        <f>H24/1.1</f>
        <v>109.50812427011923</v>
      </c>
    </row>
  </sheetData>
  <mergeCells count="6">
    <mergeCell ref="A2:A4"/>
    <mergeCell ref="A24:F24"/>
    <mergeCell ref="A22:F22"/>
    <mergeCell ref="A21:F21"/>
    <mergeCell ref="B14:C14"/>
    <mergeCell ref="D14:E14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23BA5-59B3-4B37-8482-3A07D04C966C}">
  <sheetPr>
    <tabColor rgb="FF92D050"/>
  </sheetPr>
  <dimension ref="A1:L19"/>
  <sheetViews>
    <sheetView showGridLines="0" zoomScale="80" zoomScaleNormal="80" zoomScaleSheetLayoutView="95" workbookViewId="0">
      <selection activeCell="F29" sqref="F29"/>
    </sheetView>
  </sheetViews>
  <sheetFormatPr defaultColWidth="9.140625" defaultRowHeight="15" x14ac:dyDescent="0.25"/>
  <cols>
    <col min="1" max="1" width="50.140625" style="55" customWidth="1"/>
    <col min="2" max="2" width="21.7109375" style="55" customWidth="1"/>
    <col min="3" max="3" width="26.5703125" style="55" customWidth="1"/>
    <col min="4" max="4" width="16.5703125" style="81" customWidth="1"/>
    <col min="5" max="5" width="19.5703125" style="82" customWidth="1"/>
    <col min="6" max="6" width="20.85546875" style="55" customWidth="1"/>
    <col min="7" max="7" width="23.5703125" style="55" customWidth="1"/>
    <col min="8" max="8" width="58.28515625" style="55" customWidth="1"/>
    <col min="9" max="9" width="11.28515625" style="55" customWidth="1"/>
    <col min="10" max="10" width="9.140625" style="55"/>
    <col min="11" max="11" width="11" style="55" bestFit="1" customWidth="1"/>
    <col min="12" max="12" width="11.28515625" style="55" bestFit="1" customWidth="1"/>
    <col min="13" max="13" width="9.140625" style="55"/>
    <col min="14" max="15" width="11" style="55" bestFit="1" customWidth="1"/>
    <col min="16" max="16384" width="9.140625" style="55"/>
  </cols>
  <sheetData>
    <row r="1" spans="1:12" x14ac:dyDescent="0.25">
      <c r="D1" s="79"/>
      <c r="E1" s="55"/>
      <c r="H1" s="80"/>
      <c r="I1" s="80"/>
      <c r="J1" s="79"/>
    </row>
    <row r="3" spans="1:12" ht="28.5" x14ac:dyDescent="0.25">
      <c r="A3" s="216" t="s">
        <v>345</v>
      </c>
      <c r="B3" s="227"/>
      <c r="C3" s="227"/>
      <c r="D3" s="217"/>
      <c r="E3" s="217"/>
      <c r="F3" s="217"/>
      <c r="G3" s="217"/>
      <c r="H3" s="218"/>
      <c r="J3" s="79"/>
    </row>
    <row r="4" spans="1:12" ht="19.5" x14ac:dyDescent="0.25">
      <c r="A4" s="189" t="s">
        <v>186</v>
      </c>
      <c r="B4" s="195">
        <v>45457</v>
      </c>
      <c r="C4" s="193"/>
      <c r="D4" s="193"/>
      <c r="E4" s="193"/>
      <c r="F4" s="193"/>
      <c r="G4" s="193"/>
      <c r="H4" s="194"/>
      <c r="J4" s="79"/>
    </row>
    <row r="5" spans="1:12" ht="19.5" x14ac:dyDescent="0.25">
      <c r="A5" s="189" t="s">
        <v>308</v>
      </c>
      <c r="B5" s="196" t="s">
        <v>223</v>
      </c>
      <c r="C5" s="191"/>
      <c r="D5" s="191"/>
      <c r="E5" s="191"/>
      <c r="F5" s="191"/>
      <c r="G5" s="191"/>
      <c r="H5" s="192"/>
      <c r="J5" s="79"/>
    </row>
    <row r="6" spans="1:12" ht="21.75" x14ac:dyDescent="0.25">
      <c r="A6" s="83"/>
      <c r="B6" s="83"/>
      <c r="C6" s="83"/>
      <c r="D6" s="83"/>
      <c r="E6" s="83"/>
      <c r="F6" s="84"/>
      <c r="G6" s="85"/>
      <c r="H6" s="85"/>
      <c r="J6" s="79"/>
    </row>
    <row r="7" spans="1:12" ht="21.75" x14ac:dyDescent="0.25">
      <c r="A7" s="52" t="s">
        <v>184</v>
      </c>
      <c r="B7" s="52"/>
      <c r="C7" s="52"/>
      <c r="D7" s="53"/>
      <c r="E7" s="53"/>
      <c r="F7" s="54"/>
      <c r="G7" s="53"/>
      <c r="H7" s="53"/>
    </row>
    <row r="8" spans="1:12" ht="21.75" x14ac:dyDescent="0.25">
      <c r="A8" s="56"/>
      <c r="B8" s="56"/>
      <c r="C8" s="56"/>
      <c r="D8" s="57"/>
      <c r="E8" s="57"/>
      <c r="F8" s="58"/>
      <c r="G8" s="59"/>
      <c r="H8" s="59"/>
    </row>
    <row r="9" spans="1:12" ht="42" customHeight="1" x14ac:dyDescent="0.25">
      <c r="A9" s="63" t="s">
        <v>14</v>
      </c>
      <c r="B9" s="220" t="s">
        <v>5</v>
      </c>
      <c r="C9" s="221"/>
      <c r="D9" s="220" t="s">
        <v>18</v>
      </c>
      <c r="E9" s="221"/>
      <c r="F9" s="65" t="s">
        <v>118</v>
      </c>
      <c r="G9" s="71" t="s">
        <v>16</v>
      </c>
      <c r="H9" s="90" t="s">
        <v>311</v>
      </c>
    </row>
    <row r="10" spans="1:12" ht="21.75" x14ac:dyDescent="0.25">
      <c r="A10" s="66" t="s">
        <v>201</v>
      </c>
      <c r="B10" s="62">
        <v>0.6</v>
      </c>
      <c r="C10" s="62" t="s">
        <v>37</v>
      </c>
      <c r="D10" s="67">
        <f>B10*DADOS_INICIAIS!E9</f>
        <v>7886.5619999999999</v>
      </c>
      <c r="E10" s="67" t="s">
        <v>2</v>
      </c>
      <c r="F10" s="88">
        <v>120</v>
      </c>
      <c r="G10" s="89">
        <f>F10*D10*1.1</f>
        <v>1041026.184</v>
      </c>
      <c r="H10" s="67"/>
    </row>
    <row r="11" spans="1:12" ht="21.75" x14ac:dyDescent="0.25">
      <c r="A11" s="78" t="s">
        <v>200</v>
      </c>
      <c r="B11" s="62">
        <v>1.2</v>
      </c>
      <c r="C11" s="62" t="s">
        <v>343</v>
      </c>
      <c r="D11" s="67">
        <f>D10*B11</f>
        <v>9463.8743999999988</v>
      </c>
      <c r="E11" s="67" t="s">
        <v>2</v>
      </c>
      <c r="F11" s="88">
        <v>22</v>
      </c>
      <c r="G11" s="89">
        <f>F11*D11*1.1</f>
        <v>229025.76048</v>
      </c>
      <c r="H11" s="67"/>
    </row>
    <row r="12" spans="1:12" ht="21.75" x14ac:dyDescent="0.25">
      <c r="A12" s="78" t="s">
        <v>199</v>
      </c>
      <c r="B12" s="62">
        <f>D12/DADOS_INICIAIS!E9</f>
        <v>0.33158174626662412</v>
      </c>
      <c r="C12" s="62" t="s">
        <v>37</v>
      </c>
      <c r="D12" s="67">
        <f>DADOS_INICIAIS!E22-1110.68</f>
        <v>4358.3999999999996</v>
      </c>
      <c r="E12" s="67" t="s">
        <v>2</v>
      </c>
      <c r="F12" s="88">
        <v>24</v>
      </c>
      <c r="G12" s="89">
        <f>F12*D12*1.1</f>
        <v>115061.75999999999</v>
      </c>
      <c r="H12" s="67"/>
    </row>
    <row r="13" spans="1:12" ht="21.75" x14ac:dyDescent="0.25">
      <c r="A13" s="66" t="s">
        <v>198</v>
      </c>
      <c r="B13" s="62">
        <f>1-B10-B12</f>
        <v>6.84182537333759E-2</v>
      </c>
      <c r="C13" s="62" t="s">
        <v>37</v>
      </c>
      <c r="D13" s="67">
        <f>B13*DADOS_INICIAIS!E9</f>
        <v>899.3080000000009</v>
      </c>
      <c r="E13" s="67" t="s">
        <v>2</v>
      </c>
      <c r="F13" s="88">
        <v>91</v>
      </c>
      <c r="G13" s="89">
        <f>F13*D13*1.05*1.1</f>
        <v>94521.767340000108</v>
      </c>
      <c r="H13" s="67"/>
    </row>
    <row r="14" spans="1:12" ht="21.75" x14ac:dyDescent="0.25">
      <c r="A14" s="215" t="s">
        <v>17</v>
      </c>
      <c r="B14" s="215"/>
      <c r="C14" s="215"/>
      <c r="D14" s="215"/>
      <c r="E14" s="215"/>
      <c r="F14" s="215"/>
      <c r="G14" s="90">
        <f>SUM(G10:G13)</f>
        <v>1479635.4718200001</v>
      </c>
      <c r="H14" s="90"/>
      <c r="K14" s="55">
        <f>4160+1440+1120+2880+4800+91680+4000</f>
        <v>110080</v>
      </c>
      <c r="L14" s="55">
        <f>K14/21</f>
        <v>5241.9047619047615</v>
      </c>
    </row>
    <row r="16" spans="1:12" ht="21.75" x14ac:dyDescent="0.25">
      <c r="A16" s="222" t="s">
        <v>229</v>
      </c>
      <c r="B16" s="223"/>
      <c r="C16" s="223"/>
      <c r="D16" s="223"/>
      <c r="E16" s="223"/>
      <c r="F16" s="224"/>
      <c r="G16" s="91">
        <f>G14</f>
        <v>1479635.4718200001</v>
      </c>
      <c r="H16" s="91">
        <f>G16/DADOS_INICIAIS!E9</f>
        <v>112.56885866008535</v>
      </c>
    </row>
    <row r="19" spans="8:8" x14ac:dyDescent="0.25">
      <c r="H19" s="198">
        <f>H16/1.1</f>
        <v>102.33532605462304</v>
      </c>
    </row>
  </sheetData>
  <mergeCells count="5">
    <mergeCell ref="A3:H3"/>
    <mergeCell ref="B9:C9"/>
    <mergeCell ref="D9:E9"/>
    <mergeCell ref="A14:F14"/>
    <mergeCell ref="A16:F16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86FD0-B245-4D99-99B5-C3B4613FC83E}">
  <sheetPr>
    <tabColor rgb="FF92D050"/>
  </sheetPr>
  <dimension ref="A1:K85"/>
  <sheetViews>
    <sheetView showGridLines="0" topLeftCell="A13" zoomScaleNormal="100" zoomScaleSheetLayoutView="95" workbookViewId="0">
      <selection activeCell="F35" sqref="F35"/>
    </sheetView>
  </sheetViews>
  <sheetFormatPr defaultColWidth="9.140625" defaultRowHeight="12.75" x14ac:dyDescent="0.25"/>
  <cols>
    <col min="1" max="1" width="47.42578125" style="1" customWidth="1"/>
    <col min="2" max="2" width="14" style="114" customWidth="1"/>
    <col min="3" max="3" width="7.5703125" style="113" customWidth="1"/>
    <col min="4" max="4" width="10.7109375" style="112" customWidth="1"/>
    <col min="5" max="5" width="15.85546875" style="1" customWidth="1"/>
    <col min="6" max="6" width="12.85546875" style="1" customWidth="1"/>
    <col min="7" max="7" width="17" style="1" customWidth="1"/>
    <col min="8" max="8" width="11.85546875" style="1" customWidth="1"/>
    <col min="9" max="9" width="13.85546875" style="1" bestFit="1" customWidth="1"/>
    <col min="10" max="10" width="11" style="1" bestFit="1" customWidth="1"/>
    <col min="11" max="11" width="13.85546875" style="1" bestFit="1" customWidth="1"/>
    <col min="12" max="16384" width="9.140625" style="1"/>
  </cols>
  <sheetData>
    <row r="1" spans="1:11" x14ac:dyDescent="0.25">
      <c r="B1" s="2"/>
      <c r="C1" s="1"/>
      <c r="D1" s="1"/>
      <c r="G1" s="161"/>
      <c r="H1" s="161"/>
      <c r="I1" s="2"/>
    </row>
    <row r="2" spans="1:11" ht="12.75" customHeight="1" x14ac:dyDescent="0.25">
      <c r="A2" s="228" t="s">
        <v>190</v>
      </c>
      <c r="B2" s="2"/>
      <c r="C2" s="1"/>
      <c r="D2" s="1"/>
      <c r="G2" s="166"/>
      <c r="H2" s="166"/>
      <c r="I2" s="2"/>
    </row>
    <row r="3" spans="1:11" ht="12.75" customHeight="1" x14ac:dyDescent="0.25">
      <c r="A3" s="229"/>
      <c r="B3" s="2"/>
      <c r="C3" s="1"/>
      <c r="D3" s="1"/>
      <c r="G3" s="166"/>
      <c r="H3" s="166"/>
      <c r="I3" s="2"/>
    </row>
    <row r="4" spans="1:11" ht="12.75" customHeight="1" x14ac:dyDescent="0.25">
      <c r="A4" s="229"/>
      <c r="B4" s="2"/>
      <c r="C4" s="1"/>
      <c r="D4" s="1"/>
      <c r="G4" s="166"/>
      <c r="H4" s="166"/>
      <c r="I4" s="2"/>
    </row>
    <row r="5" spans="1:11" ht="13.5" thickBot="1" x14ac:dyDescent="0.3">
      <c r="A5" s="165"/>
      <c r="B5" s="164"/>
      <c r="C5" s="164"/>
      <c r="D5" s="164"/>
      <c r="E5" s="164"/>
      <c r="F5" s="164"/>
      <c r="G5" s="163"/>
      <c r="H5" s="163"/>
      <c r="I5" s="2"/>
    </row>
    <row r="6" spans="1:11" x14ac:dyDescent="0.25">
      <c r="A6" s="162"/>
      <c r="B6" s="2"/>
      <c r="C6" s="1"/>
      <c r="D6" s="1"/>
      <c r="G6" s="161"/>
      <c r="H6" s="161"/>
      <c r="I6" s="2"/>
    </row>
    <row r="7" spans="1:11" x14ac:dyDescent="0.25">
      <c r="A7" s="160" t="s">
        <v>189</v>
      </c>
      <c r="B7" s="159" t="s">
        <v>188</v>
      </c>
      <c r="C7" s="158"/>
      <c r="D7" s="158"/>
      <c r="E7" s="158"/>
      <c r="F7" s="158"/>
      <c r="G7" s="158"/>
      <c r="H7" s="157"/>
      <c r="I7" s="2"/>
    </row>
    <row r="8" spans="1:11" x14ac:dyDescent="0.25">
      <c r="A8" s="156" t="s">
        <v>0</v>
      </c>
      <c r="B8" s="155" t="s">
        <v>187</v>
      </c>
      <c r="C8" s="154"/>
      <c r="D8" s="154"/>
      <c r="E8" s="154"/>
      <c r="F8" s="154"/>
      <c r="G8" s="154"/>
      <c r="H8" s="153"/>
      <c r="I8" s="2"/>
    </row>
    <row r="9" spans="1:11" ht="15" customHeight="1" x14ac:dyDescent="0.25">
      <c r="A9" s="152" t="s">
        <v>186</v>
      </c>
      <c r="B9" s="151">
        <v>45397</v>
      </c>
      <c r="C9" s="150"/>
      <c r="D9" s="150"/>
      <c r="E9" s="150"/>
      <c r="F9" s="150"/>
      <c r="G9" s="150"/>
      <c r="H9" s="149"/>
    </row>
    <row r="10" spans="1:11" x14ac:dyDescent="0.25">
      <c r="A10" s="148" t="s">
        <v>1</v>
      </c>
      <c r="B10" s="147" t="s">
        <v>185</v>
      </c>
      <c r="C10" s="146"/>
      <c r="D10" s="146"/>
      <c r="E10" s="146"/>
      <c r="F10" s="146"/>
      <c r="G10" s="146"/>
      <c r="H10" s="145"/>
    </row>
    <row r="12" spans="1:11" x14ac:dyDescent="0.25">
      <c r="A12" s="144" t="s">
        <v>217</v>
      </c>
      <c r="B12" s="143"/>
      <c r="C12" s="142"/>
      <c r="D12" s="141"/>
      <c r="E12" s="140"/>
      <c r="F12" s="140"/>
      <c r="G12" s="140"/>
      <c r="H12" s="139"/>
    </row>
    <row r="13" spans="1:11" ht="15.95" customHeight="1" x14ac:dyDescent="0.25">
      <c r="A13" s="138"/>
      <c r="B13" s="137"/>
      <c r="C13" s="136"/>
      <c r="D13" s="135"/>
      <c r="E13" s="135"/>
      <c r="F13" s="135"/>
      <c r="H13" s="131"/>
    </row>
    <row r="14" spans="1:11" ht="15.95" customHeight="1" x14ac:dyDescent="0.25">
      <c r="A14" s="134" t="s">
        <v>14</v>
      </c>
      <c r="B14" s="235" t="s">
        <v>18</v>
      </c>
      <c r="C14" s="236"/>
      <c r="D14" s="237" t="s">
        <v>5</v>
      </c>
      <c r="E14" s="238"/>
      <c r="F14" s="133" t="s">
        <v>183</v>
      </c>
      <c r="G14" s="132" t="s">
        <v>16</v>
      </c>
      <c r="H14" s="131"/>
      <c r="I14" s="2"/>
    </row>
    <row r="15" spans="1:11" ht="15.95" customHeight="1" x14ac:dyDescent="0.25">
      <c r="A15" s="172" t="s">
        <v>216</v>
      </c>
      <c r="B15" s="180">
        <f>B33</f>
        <v>2612.64</v>
      </c>
      <c r="C15" s="170" t="s">
        <v>212</v>
      </c>
      <c r="D15" s="178">
        <v>125</v>
      </c>
      <c r="E15" s="127" t="s">
        <v>171</v>
      </c>
      <c r="F15" s="168" t="s">
        <v>170</v>
      </c>
      <c r="G15" s="125">
        <f>+D15*B15*1.1</f>
        <v>359238</v>
      </c>
      <c r="H15" s="131"/>
      <c r="K15" s="115"/>
    </row>
    <row r="16" spans="1:11" ht="15.95" customHeight="1" x14ac:dyDescent="0.25">
      <c r="A16" s="172" t="s">
        <v>364</v>
      </c>
      <c r="B16" s="180">
        <f>B34</f>
        <v>29.99</v>
      </c>
      <c r="C16" s="170" t="s">
        <v>212</v>
      </c>
      <c r="D16" s="178">
        <v>98</v>
      </c>
      <c r="E16" s="127" t="s">
        <v>171</v>
      </c>
      <c r="F16" s="168" t="s">
        <v>170</v>
      </c>
      <c r="G16" s="125">
        <f t="shared" ref="G16:G23" si="0">+D16*B16*1.1</f>
        <v>3232.922</v>
      </c>
      <c r="H16" s="131"/>
      <c r="K16" s="115"/>
    </row>
    <row r="17" spans="1:11" ht="15.95" customHeight="1" x14ac:dyDescent="0.25">
      <c r="A17" s="172" t="s">
        <v>215</v>
      </c>
      <c r="B17" s="180">
        <f>B37+B35</f>
        <v>4707.6899999999996</v>
      </c>
      <c r="C17" s="170" t="s">
        <v>212</v>
      </c>
      <c r="D17" s="178">
        <v>150</v>
      </c>
      <c r="E17" s="127" t="s">
        <v>171</v>
      </c>
      <c r="F17" s="168" t="s">
        <v>170</v>
      </c>
      <c r="G17" s="125">
        <f t="shared" si="0"/>
        <v>776768.85</v>
      </c>
      <c r="H17" s="131"/>
      <c r="K17" s="115"/>
    </row>
    <row r="18" spans="1:11" ht="15.95" customHeight="1" x14ac:dyDescent="0.25">
      <c r="A18" s="172" t="s">
        <v>376</v>
      </c>
      <c r="B18" s="180">
        <f>B43</f>
        <v>138.18</v>
      </c>
      <c r="C18" s="170" t="s">
        <v>212</v>
      </c>
      <c r="D18" s="178">
        <v>350</v>
      </c>
      <c r="E18" s="127" t="s">
        <v>171</v>
      </c>
      <c r="F18" s="168" t="s">
        <v>170</v>
      </c>
      <c r="G18" s="125">
        <f t="shared" ref="G18" si="1">+D18*B18*1.1</f>
        <v>53199.3</v>
      </c>
      <c r="H18" s="131"/>
      <c r="K18" s="115"/>
    </row>
    <row r="19" spans="1:11" ht="15.95" customHeight="1" x14ac:dyDescent="0.25">
      <c r="A19" s="172" t="s">
        <v>365</v>
      </c>
      <c r="B19" s="180">
        <v>0</v>
      </c>
      <c r="C19" s="170" t="s">
        <v>212</v>
      </c>
      <c r="D19" s="178">
        <v>350</v>
      </c>
      <c r="E19" s="127" t="s">
        <v>171</v>
      </c>
      <c r="F19" s="168" t="s">
        <v>170</v>
      </c>
      <c r="G19" s="125">
        <f t="shared" si="0"/>
        <v>0</v>
      </c>
      <c r="H19" s="131"/>
      <c r="K19" s="115"/>
    </row>
    <row r="20" spans="1:11" ht="15.95" customHeight="1" x14ac:dyDescent="0.25">
      <c r="A20" s="182" t="s">
        <v>214</v>
      </c>
      <c r="B20" s="180">
        <f>B41</f>
        <v>54.76</v>
      </c>
      <c r="C20" s="170" t="s">
        <v>212</v>
      </c>
      <c r="D20" s="178">
        <v>300</v>
      </c>
      <c r="E20" s="127" t="s">
        <v>171</v>
      </c>
      <c r="F20" s="168" t="s">
        <v>170</v>
      </c>
      <c r="G20" s="125">
        <f t="shared" si="0"/>
        <v>18070.800000000003</v>
      </c>
      <c r="H20" s="131"/>
    </row>
    <row r="21" spans="1:11" ht="15.95" customHeight="1" x14ac:dyDescent="0.25">
      <c r="A21" s="182" t="s">
        <v>366</v>
      </c>
      <c r="B21" s="180">
        <f>B40</f>
        <v>58.41</v>
      </c>
      <c r="C21" s="170" t="s">
        <v>212</v>
      </c>
      <c r="D21" s="178">
        <v>450</v>
      </c>
      <c r="E21" s="127" t="s">
        <v>171</v>
      </c>
      <c r="F21" s="168" t="s">
        <v>170</v>
      </c>
      <c r="G21" s="125">
        <f t="shared" si="0"/>
        <v>28912.95</v>
      </c>
      <c r="H21" s="131"/>
    </row>
    <row r="22" spans="1:11" ht="15.95" customHeight="1" x14ac:dyDescent="0.25">
      <c r="A22" s="172" t="s">
        <v>213</v>
      </c>
      <c r="B22" s="180">
        <f>B39</f>
        <v>134.38999999999999</v>
      </c>
      <c r="C22" s="170" t="s">
        <v>212</v>
      </c>
      <c r="D22" s="178">
        <v>60</v>
      </c>
      <c r="E22" s="127" t="s">
        <v>171</v>
      </c>
      <c r="F22" s="168" t="s">
        <v>170</v>
      </c>
      <c r="G22" s="125">
        <f t="shared" si="0"/>
        <v>8869.74</v>
      </c>
      <c r="H22" s="131"/>
    </row>
    <row r="23" spans="1:11" ht="15.95" customHeight="1" x14ac:dyDescent="0.25">
      <c r="A23" s="172" t="s">
        <v>368</v>
      </c>
      <c r="B23" s="180">
        <f>B38</f>
        <v>280.79000000000002</v>
      </c>
      <c r="C23" s="170" t="s">
        <v>212</v>
      </c>
      <c r="D23" s="178">
        <v>180</v>
      </c>
      <c r="E23" s="127" t="s">
        <v>171</v>
      </c>
      <c r="F23" s="168" t="s">
        <v>170</v>
      </c>
      <c r="G23" s="125">
        <f t="shared" si="0"/>
        <v>55596.420000000013</v>
      </c>
      <c r="H23" s="131"/>
    </row>
    <row r="24" spans="1:11" ht="15.95" customHeight="1" x14ac:dyDescent="0.25">
      <c r="A24" s="182" t="s">
        <v>211</v>
      </c>
      <c r="B24" s="180">
        <v>1</v>
      </c>
      <c r="C24" s="170" t="s">
        <v>27</v>
      </c>
      <c r="D24" s="178">
        <v>30</v>
      </c>
      <c r="E24" s="127" t="s">
        <v>6</v>
      </c>
      <c r="F24" s="168" t="s">
        <v>170</v>
      </c>
      <c r="G24" s="125">
        <f>D24*DADOS_INICIAIS!$E$9*1.1</f>
        <v>433760.91000000009</v>
      </c>
      <c r="H24" s="131"/>
    </row>
    <row r="25" spans="1:11" ht="15.95" customHeight="1" x14ac:dyDescent="0.25">
      <c r="A25" s="181" t="s">
        <v>210</v>
      </c>
      <c r="B25" s="180">
        <v>1</v>
      </c>
      <c r="C25" s="170" t="s">
        <v>27</v>
      </c>
      <c r="D25" s="178">
        <v>20</v>
      </c>
      <c r="E25" s="127" t="s">
        <v>6</v>
      </c>
      <c r="F25" s="168" t="s">
        <v>170</v>
      </c>
      <c r="G25" s="125">
        <f>D25*DADOS_INICIAIS!$E$9*1.1</f>
        <v>289173.94000000006</v>
      </c>
      <c r="H25" s="131"/>
    </row>
    <row r="26" spans="1:11" ht="15.95" customHeight="1" x14ac:dyDescent="0.25">
      <c r="A26" s="179" t="s">
        <v>209</v>
      </c>
      <c r="B26" s="171">
        <v>1</v>
      </c>
      <c r="C26" s="170" t="s">
        <v>27</v>
      </c>
      <c r="D26" s="178">
        <v>30</v>
      </c>
      <c r="E26" s="127" t="s">
        <v>6</v>
      </c>
      <c r="F26" s="168" t="s">
        <v>170</v>
      </c>
      <c r="G26" s="125">
        <f>D26*DADOS_INICIAIS!$E$9*1.1</f>
        <v>433760.91000000009</v>
      </c>
      <c r="H26" s="123"/>
    </row>
    <row r="27" spans="1:11" ht="15.95" customHeight="1" x14ac:dyDescent="0.25">
      <c r="A27" s="241">
        <f>20*40</f>
        <v>800</v>
      </c>
      <c r="B27" s="230"/>
      <c r="C27" s="230"/>
      <c r="D27" s="230"/>
      <c r="E27" s="230"/>
      <c r="F27" s="230"/>
      <c r="G27" s="177">
        <f>SUM(G15:G26)</f>
        <v>2460584.7420000001</v>
      </c>
      <c r="H27" s="121"/>
    </row>
    <row r="28" spans="1:11" ht="15.95" customHeight="1" x14ac:dyDescent="0.25">
      <c r="A28" s="239"/>
      <c r="B28" s="240"/>
      <c r="C28" s="240"/>
      <c r="D28" s="240"/>
      <c r="E28" s="240"/>
      <c r="F28" s="240"/>
      <c r="G28" s="167"/>
      <c r="H28" s="118"/>
    </row>
    <row r="29" spans="1:11" ht="15.95" customHeight="1" x14ac:dyDescent="0.25">
      <c r="A29" s="120"/>
      <c r="B29" s="119"/>
      <c r="C29" s="119"/>
      <c r="D29" s="119"/>
      <c r="E29" s="119"/>
      <c r="F29" s="119"/>
      <c r="G29" s="167"/>
      <c r="H29" s="118"/>
    </row>
    <row r="30" spans="1:11" x14ac:dyDescent="0.25">
      <c r="A30" s="230" t="s">
        <v>208</v>
      </c>
      <c r="B30" s="230"/>
      <c r="C30" s="230"/>
      <c r="D30" s="230"/>
      <c r="E30" s="230"/>
      <c r="F30" s="230"/>
      <c r="G30" s="117">
        <f>G27</f>
        <v>2460584.7420000001</v>
      </c>
      <c r="H30" s="116">
        <f>G30/DADOS_INICIAIS!E9</f>
        <v>187.19828046745843</v>
      </c>
    </row>
    <row r="32" spans="1:11" ht="15" x14ac:dyDescent="0.25">
      <c r="B32"/>
      <c r="C32"/>
      <c r="D32"/>
      <c r="E32"/>
      <c r="F32"/>
      <c r="G32"/>
      <c r="H32" s="176">
        <f>H30/1.1</f>
        <v>170.18025497041674</v>
      </c>
    </row>
    <row r="33" spans="1:11" ht="15" x14ac:dyDescent="0.25">
      <c r="A33" s="200" t="s">
        <v>207</v>
      </c>
      <c r="B33" s="115">
        <v>2612.64</v>
      </c>
      <c r="D33"/>
      <c r="E33"/>
      <c r="F33"/>
      <c r="G33"/>
      <c r="H33" s="113"/>
    </row>
    <row r="34" spans="1:11" ht="15" x14ac:dyDescent="0.25">
      <c r="A34" s="184" t="s">
        <v>206</v>
      </c>
      <c r="B34" s="115">
        <v>29.99</v>
      </c>
      <c r="D34"/>
      <c r="E34"/>
      <c r="F34"/>
      <c r="G34"/>
      <c r="H34"/>
    </row>
    <row r="35" spans="1:11" ht="15" x14ac:dyDescent="0.25">
      <c r="A35" s="183" t="s">
        <v>359</v>
      </c>
      <c r="B35" s="1">
        <v>181.54000000000002</v>
      </c>
      <c r="D35"/>
      <c r="E35"/>
      <c r="F35"/>
      <c r="G35"/>
      <c r="H35" s="176"/>
      <c r="K35" s="115"/>
    </row>
    <row r="36" spans="1:11" ht="15" x14ac:dyDescent="0.25">
      <c r="A36" s="1" t="s">
        <v>360</v>
      </c>
      <c r="B36" s="2">
        <v>6243.04</v>
      </c>
      <c r="D36"/>
      <c r="E36"/>
      <c r="F36"/>
      <c r="G36"/>
      <c r="H36" s="176"/>
    </row>
    <row r="37" spans="1:11" ht="15" x14ac:dyDescent="0.25">
      <c r="A37" s="1" t="s">
        <v>204</v>
      </c>
      <c r="B37" s="1">
        <v>4526.1499999999996</v>
      </c>
      <c r="D37"/>
      <c r="E37"/>
      <c r="F37"/>
      <c r="G37"/>
      <c r="H37" s="176"/>
    </row>
    <row r="38" spans="1:11" ht="15" x14ac:dyDescent="0.25">
      <c r="A38" s="1" t="s">
        <v>361</v>
      </c>
      <c r="B38" s="2">
        <v>280.79000000000002</v>
      </c>
      <c r="D38"/>
      <c r="E38"/>
      <c r="F38"/>
      <c r="G38"/>
      <c r="H38"/>
    </row>
    <row r="39" spans="1:11" ht="15" x14ac:dyDescent="0.25">
      <c r="A39" s="1" t="s">
        <v>205</v>
      </c>
      <c r="B39" s="1">
        <v>134.38999999999999</v>
      </c>
      <c r="D39"/>
      <c r="E39"/>
      <c r="F39"/>
      <c r="G39"/>
      <c r="H39"/>
    </row>
    <row r="40" spans="1:11" ht="15" x14ac:dyDescent="0.25">
      <c r="A40" s="1" t="s">
        <v>362</v>
      </c>
      <c r="B40" s="1">
        <v>58.41</v>
      </c>
      <c r="C40"/>
      <c r="D40"/>
      <c r="E40"/>
      <c r="F40"/>
      <c r="G40"/>
      <c r="H40"/>
    </row>
    <row r="41" spans="1:11" ht="15" x14ac:dyDescent="0.25">
      <c r="A41" s="1" t="s">
        <v>363</v>
      </c>
      <c r="B41" s="1">
        <v>54.76</v>
      </c>
      <c r="C41"/>
      <c r="D41"/>
      <c r="E41"/>
      <c r="F41"/>
      <c r="G41"/>
      <c r="H41"/>
    </row>
    <row r="42" spans="1:11" ht="15" x14ac:dyDescent="0.25">
      <c r="A42" s="1" t="s">
        <v>369</v>
      </c>
      <c r="B42" s="114">
        <v>448.72</v>
      </c>
      <c r="C42"/>
      <c r="D42"/>
      <c r="E42"/>
      <c r="F42"/>
      <c r="G42"/>
      <c r="H42"/>
    </row>
    <row r="43" spans="1:11" ht="15" x14ac:dyDescent="0.25">
      <c r="A43" s="1" t="s">
        <v>377</v>
      </c>
      <c r="B43" s="114">
        <v>138.18</v>
      </c>
      <c r="C43"/>
      <c r="D43"/>
      <c r="E43"/>
      <c r="F43"/>
      <c r="G43"/>
      <c r="H43"/>
    </row>
    <row r="44" spans="1:11" ht="15" x14ac:dyDescent="0.25">
      <c r="B44"/>
      <c r="C44"/>
      <c r="D44"/>
      <c r="E44"/>
      <c r="F44"/>
      <c r="G44"/>
      <c r="H44"/>
    </row>
    <row r="45" spans="1:11" ht="15" x14ac:dyDescent="0.25">
      <c r="C45"/>
      <c r="D45"/>
      <c r="E45"/>
      <c r="F45"/>
      <c r="G45"/>
      <c r="H45"/>
    </row>
    <row r="46" spans="1:11" ht="15" x14ac:dyDescent="0.25">
      <c r="C46"/>
      <c r="D46"/>
      <c r="E46"/>
      <c r="F46"/>
      <c r="G46"/>
      <c r="H46"/>
    </row>
    <row r="47" spans="1:11" ht="15" x14ac:dyDescent="0.25">
      <c r="C47"/>
      <c r="D47"/>
      <c r="E47"/>
      <c r="F47"/>
      <c r="G47"/>
      <c r="H47"/>
    </row>
    <row r="48" spans="1:11" ht="15" x14ac:dyDescent="0.25">
      <c r="C48"/>
      <c r="D48"/>
      <c r="E48"/>
      <c r="F48"/>
      <c r="G48"/>
      <c r="H48"/>
    </row>
    <row r="49" spans="2:8" ht="15" x14ac:dyDescent="0.25">
      <c r="C49"/>
      <c r="D49"/>
      <c r="E49"/>
      <c r="F49"/>
      <c r="G49"/>
      <c r="H49"/>
    </row>
    <row r="50" spans="2:8" ht="15" x14ac:dyDescent="0.25">
      <c r="C50"/>
      <c r="D50"/>
      <c r="E50"/>
      <c r="F50"/>
      <c r="G50"/>
      <c r="H50"/>
    </row>
    <row r="51" spans="2:8" ht="15" x14ac:dyDescent="0.25">
      <c r="C51"/>
      <c r="D51"/>
      <c r="E51"/>
      <c r="F51"/>
      <c r="G51"/>
      <c r="H51"/>
    </row>
    <row r="52" spans="2:8" ht="15" x14ac:dyDescent="0.25">
      <c r="C52"/>
      <c r="D52"/>
      <c r="E52"/>
      <c r="F52"/>
      <c r="G52"/>
      <c r="H52"/>
    </row>
    <row r="53" spans="2:8" ht="15" x14ac:dyDescent="0.25">
      <c r="C53"/>
      <c r="D53"/>
      <c r="E53"/>
      <c r="F53"/>
      <c r="G53"/>
      <c r="H53"/>
    </row>
    <row r="54" spans="2:8" ht="15" x14ac:dyDescent="0.25">
      <c r="C54"/>
      <c r="D54"/>
      <c r="E54"/>
      <c r="F54"/>
      <c r="G54"/>
      <c r="H54"/>
    </row>
    <row r="55" spans="2:8" ht="15" x14ac:dyDescent="0.25">
      <c r="C55"/>
      <c r="D55"/>
      <c r="E55"/>
      <c r="F55"/>
      <c r="G55"/>
      <c r="H55"/>
    </row>
    <row r="56" spans="2:8" ht="15" x14ac:dyDescent="0.25">
      <c r="C56"/>
      <c r="D56"/>
      <c r="E56"/>
      <c r="F56"/>
      <c r="G56"/>
      <c r="H56"/>
    </row>
    <row r="57" spans="2:8" ht="15" x14ac:dyDescent="0.25">
      <c r="B57"/>
      <c r="C57"/>
      <c r="D57"/>
      <c r="E57"/>
      <c r="F57"/>
      <c r="G57"/>
      <c r="H57"/>
    </row>
    <row r="58" spans="2:8" ht="15" x14ac:dyDescent="0.25">
      <c r="C58"/>
      <c r="D58"/>
      <c r="E58"/>
      <c r="F58"/>
      <c r="G58"/>
      <c r="H58"/>
    </row>
    <row r="59" spans="2:8" ht="15" x14ac:dyDescent="0.25">
      <c r="C59"/>
      <c r="D59"/>
      <c r="E59"/>
      <c r="F59"/>
      <c r="G59"/>
      <c r="H59"/>
    </row>
    <row r="60" spans="2:8" ht="15" x14ac:dyDescent="0.25">
      <c r="C60"/>
      <c r="D60"/>
      <c r="E60"/>
      <c r="F60"/>
      <c r="G60"/>
      <c r="H60"/>
    </row>
    <row r="61" spans="2:8" ht="15" x14ac:dyDescent="0.25">
      <c r="C61"/>
      <c r="D61"/>
      <c r="E61"/>
      <c r="F61"/>
      <c r="G61"/>
      <c r="H61"/>
    </row>
    <row r="62" spans="2:8" ht="15" x14ac:dyDescent="0.25">
      <c r="C62"/>
      <c r="D62"/>
      <c r="E62"/>
      <c r="F62"/>
      <c r="G62"/>
      <c r="H62"/>
    </row>
    <row r="63" spans="2:8" ht="15" x14ac:dyDescent="0.25">
      <c r="B63"/>
      <c r="C63"/>
      <c r="D63"/>
      <c r="E63"/>
      <c r="F63"/>
      <c r="G63"/>
      <c r="H63"/>
    </row>
    <row r="64" spans="2:8" ht="15" x14ac:dyDescent="0.25">
      <c r="C64"/>
      <c r="D64"/>
      <c r="E64"/>
      <c r="F64"/>
      <c r="G64"/>
      <c r="H64"/>
    </row>
    <row r="65" spans="2:8" ht="15" x14ac:dyDescent="0.25">
      <c r="C65"/>
      <c r="D65"/>
      <c r="E65"/>
      <c r="F65"/>
      <c r="G65"/>
      <c r="H65"/>
    </row>
    <row r="66" spans="2:8" ht="15" x14ac:dyDescent="0.25">
      <c r="C66"/>
      <c r="D66"/>
      <c r="E66"/>
      <c r="F66"/>
      <c r="G66"/>
      <c r="H66"/>
    </row>
    <row r="67" spans="2:8" ht="15" x14ac:dyDescent="0.25">
      <c r="C67"/>
      <c r="D67"/>
      <c r="E67"/>
      <c r="F67"/>
      <c r="G67"/>
      <c r="H67"/>
    </row>
    <row r="68" spans="2:8" ht="15" x14ac:dyDescent="0.25">
      <c r="B68"/>
      <c r="C68"/>
      <c r="D68"/>
      <c r="E68"/>
      <c r="F68"/>
      <c r="G68"/>
      <c r="H68"/>
    </row>
    <row r="69" spans="2:8" ht="15" x14ac:dyDescent="0.25">
      <c r="C69"/>
      <c r="D69"/>
      <c r="E69"/>
      <c r="F69"/>
      <c r="G69"/>
      <c r="H69"/>
    </row>
    <row r="70" spans="2:8" ht="15" x14ac:dyDescent="0.25">
      <c r="B70"/>
      <c r="C70"/>
      <c r="D70"/>
      <c r="E70"/>
      <c r="F70"/>
      <c r="G70"/>
      <c r="H70"/>
    </row>
    <row r="71" spans="2:8" ht="15" x14ac:dyDescent="0.25">
      <c r="C71"/>
      <c r="D71"/>
      <c r="E71"/>
      <c r="F71"/>
      <c r="G71"/>
      <c r="H71"/>
    </row>
    <row r="72" spans="2:8" ht="15" x14ac:dyDescent="0.25">
      <c r="C72"/>
      <c r="D72"/>
      <c r="E72"/>
      <c r="F72"/>
      <c r="G72"/>
      <c r="H72"/>
    </row>
    <row r="73" spans="2:8" ht="15" x14ac:dyDescent="0.25">
      <c r="C73"/>
      <c r="D73"/>
      <c r="E73"/>
      <c r="F73"/>
      <c r="G73"/>
      <c r="H73"/>
    </row>
    <row r="74" spans="2:8" ht="15" x14ac:dyDescent="0.25">
      <c r="C74"/>
      <c r="D74"/>
      <c r="E74"/>
      <c r="F74"/>
      <c r="G74"/>
      <c r="H74"/>
    </row>
    <row r="75" spans="2:8" ht="15" x14ac:dyDescent="0.25">
      <c r="B75"/>
      <c r="C75"/>
      <c r="D75"/>
      <c r="E75"/>
      <c r="F75"/>
      <c r="G75"/>
      <c r="H75"/>
    </row>
    <row r="76" spans="2:8" ht="15" x14ac:dyDescent="0.25">
      <c r="C76"/>
      <c r="D76"/>
      <c r="E76"/>
      <c r="F76"/>
      <c r="G76"/>
      <c r="H76"/>
    </row>
    <row r="77" spans="2:8" ht="15" x14ac:dyDescent="0.25">
      <c r="C77"/>
      <c r="D77"/>
      <c r="E77"/>
      <c r="F77"/>
      <c r="G77"/>
      <c r="H77"/>
    </row>
    <row r="78" spans="2:8" ht="15" x14ac:dyDescent="0.25">
      <c r="C78"/>
      <c r="D78"/>
      <c r="E78"/>
      <c r="F78"/>
      <c r="G78"/>
      <c r="H78"/>
    </row>
    <row r="79" spans="2:8" ht="15" x14ac:dyDescent="0.25">
      <c r="C79"/>
      <c r="D79"/>
      <c r="E79"/>
      <c r="F79"/>
      <c r="G79"/>
      <c r="H79"/>
    </row>
    <row r="80" spans="2:8" ht="15" x14ac:dyDescent="0.25">
      <c r="B80"/>
      <c r="C80"/>
      <c r="D80"/>
      <c r="E80"/>
      <c r="F80"/>
      <c r="G80"/>
      <c r="H80"/>
    </row>
    <row r="81" spans="3:8" ht="15" x14ac:dyDescent="0.25">
      <c r="C81"/>
      <c r="D81"/>
      <c r="E81"/>
      <c r="F81"/>
      <c r="G81"/>
      <c r="H81"/>
    </row>
    <row r="82" spans="3:8" ht="15" x14ac:dyDescent="0.25">
      <c r="C82"/>
      <c r="D82"/>
      <c r="E82"/>
      <c r="F82"/>
      <c r="G82"/>
      <c r="H82"/>
    </row>
    <row r="83" spans="3:8" ht="15" x14ac:dyDescent="0.25">
      <c r="C83"/>
      <c r="D83"/>
      <c r="E83"/>
      <c r="F83"/>
      <c r="G83"/>
      <c r="H83"/>
    </row>
    <row r="84" spans="3:8" ht="15" x14ac:dyDescent="0.25">
      <c r="C84"/>
      <c r="D84"/>
      <c r="E84"/>
      <c r="F84"/>
      <c r="G84"/>
      <c r="H84"/>
    </row>
    <row r="85" spans="3:8" ht="15" x14ac:dyDescent="0.25">
      <c r="C85"/>
      <c r="D85"/>
      <c r="E85"/>
      <c r="F85"/>
      <c r="G85"/>
      <c r="H85"/>
    </row>
  </sheetData>
  <mergeCells count="6">
    <mergeCell ref="A30:F30"/>
    <mergeCell ref="A28:F28"/>
    <mergeCell ref="A27:F27"/>
    <mergeCell ref="A2:A4"/>
    <mergeCell ref="B14:C14"/>
    <mergeCell ref="D14:E14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EF737-6C6E-4935-8874-7DD67B74A44A}">
  <sheetPr>
    <tabColor rgb="FF92D050"/>
  </sheetPr>
  <dimension ref="A1:L18"/>
  <sheetViews>
    <sheetView showGridLines="0" zoomScale="80" zoomScaleNormal="80" zoomScaleSheetLayoutView="95" workbookViewId="0">
      <selection activeCell="H12" sqref="H12"/>
    </sheetView>
  </sheetViews>
  <sheetFormatPr defaultColWidth="9.140625" defaultRowHeight="15" x14ac:dyDescent="0.25"/>
  <cols>
    <col min="1" max="1" width="50.140625" style="55" customWidth="1"/>
    <col min="2" max="2" width="21.7109375" style="55" customWidth="1"/>
    <col min="3" max="3" width="26.5703125" style="55" customWidth="1"/>
    <col min="4" max="4" width="16.5703125" style="81" customWidth="1"/>
    <col min="5" max="5" width="19.5703125" style="82" customWidth="1"/>
    <col min="6" max="6" width="20.85546875" style="55" customWidth="1"/>
    <col min="7" max="7" width="23.5703125" style="55" customWidth="1"/>
    <col min="8" max="8" width="58.28515625" style="55" customWidth="1"/>
    <col min="9" max="9" width="11.28515625" style="55" customWidth="1"/>
    <col min="10" max="10" width="9.140625" style="55"/>
    <col min="11" max="11" width="11" style="55" bestFit="1" customWidth="1"/>
    <col min="12" max="12" width="11.28515625" style="55" bestFit="1" customWidth="1"/>
    <col min="13" max="13" width="9.140625" style="55"/>
    <col min="14" max="15" width="11" style="55" bestFit="1" customWidth="1"/>
    <col min="16" max="16384" width="9.140625" style="55"/>
  </cols>
  <sheetData>
    <row r="1" spans="1:12" x14ac:dyDescent="0.25">
      <c r="D1" s="79"/>
      <c r="E1" s="55"/>
      <c r="H1" s="80"/>
      <c r="I1" s="80"/>
      <c r="J1" s="79"/>
    </row>
    <row r="3" spans="1:12" ht="28.5" x14ac:dyDescent="0.25">
      <c r="A3" s="216" t="s">
        <v>344</v>
      </c>
      <c r="B3" s="227"/>
      <c r="C3" s="227"/>
      <c r="D3" s="217"/>
      <c r="E3" s="217"/>
      <c r="F3" s="217"/>
      <c r="G3" s="217"/>
      <c r="H3" s="218"/>
      <c r="J3" s="79"/>
    </row>
    <row r="4" spans="1:12" ht="19.5" x14ac:dyDescent="0.25">
      <c r="A4" s="189" t="s">
        <v>186</v>
      </c>
      <c r="B4" s="195">
        <v>45457</v>
      </c>
      <c r="C4" s="193"/>
      <c r="D4" s="193"/>
      <c r="E4" s="193"/>
      <c r="F4" s="193"/>
      <c r="G4" s="193"/>
      <c r="H4" s="194"/>
      <c r="J4" s="79"/>
    </row>
    <row r="5" spans="1:12" ht="19.5" x14ac:dyDescent="0.25">
      <c r="A5" s="189" t="s">
        <v>308</v>
      </c>
      <c r="B5" s="196" t="s">
        <v>223</v>
      </c>
      <c r="C5" s="191"/>
      <c r="D5" s="191"/>
      <c r="E5" s="191"/>
      <c r="F5" s="191"/>
      <c r="G5" s="191"/>
      <c r="H5" s="192"/>
      <c r="J5" s="79"/>
    </row>
    <row r="6" spans="1:12" ht="21.75" x14ac:dyDescent="0.25">
      <c r="A6" s="83"/>
      <c r="B6" s="83"/>
      <c r="C6" s="83"/>
      <c r="D6" s="83"/>
      <c r="E6" s="83"/>
      <c r="F6" s="84"/>
      <c r="G6" s="85"/>
      <c r="H6" s="85"/>
      <c r="J6" s="79"/>
    </row>
    <row r="7" spans="1:12" ht="21.75" x14ac:dyDescent="0.25">
      <c r="A7" s="52" t="s">
        <v>184</v>
      </c>
      <c r="B7" s="52"/>
      <c r="C7" s="52"/>
      <c r="D7" s="53"/>
      <c r="E7" s="53"/>
      <c r="F7" s="54"/>
      <c r="G7" s="53"/>
      <c r="H7" s="53"/>
    </row>
    <row r="8" spans="1:12" ht="21.75" x14ac:dyDescent="0.25">
      <c r="A8" s="56"/>
      <c r="B8" s="56"/>
      <c r="C8" s="56"/>
      <c r="D8" s="57"/>
      <c r="E8" s="57"/>
      <c r="F8" s="58"/>
      <c r="G8" s="59"/>
      <c r="H8" s="59"/>
    </row>
    <row r="9" spans="1:12" ht="42" customHeight="1" x14ac:dyDescent="0.25">
      <c r="A9" s="63" t="s">
        <v>14</v>
      </c>
      <c r="B9" s="220" t="s">
        <v>5</v>
      </c>
      <c r="C9" s="221"/>
      <c r="D9" s="220" t="s">
        <v>18</v>
      </c>
      <c r="E9" s="221"/>
      <c r="F9" s="65" t="s">
        <v>118</v>
      </c>
      <c r="G9" s="71" t="s">
        <v>16</v>
      </c>
      <c r="H9" s="90" t="s">
        <v>311</v>
      </c>
    </row>
    <row r="10" spans="1:12" ht="21.75" x14ac:dyDescent="0.25">
      <c r="A10" s="66" t="s">
        <v>221</v>
      </c>
      <c r="B10" s="62">
        <v>25</v>
      </c>
      <c r="C10" s="62" t="s">
        <v>171</v>
      </c>
      <c r="D10" s="67">
        <f>'Rev. Internos Piso e Parede'!B15</f>
        <v>6243.04</v>
      </c>
      <c r="E10" s="67" t="s">
        <v>2</v>
      </c>
      <c r="F10" s="88">
        <v>110</v>
      </c>
      <c r="G10" s="89">
        <f>F10*D10*1.1</f>
        <v>755407.84000000008</v>
      </c>
      <c r="H10" s="67"/>
    </row>
    <row r="11" spans="1:12" ht="21.75" x14ac:dyDescent="0.25">
      <c r="A11" s="78" t="s">
        <v>220</v>
      </c>
      <c r="B11" s="62">
        <v>45</v>
      </c>
      <c r="C11" s="62" t="s">
        <v>171</v>
      </c>
      <c r="D11" s="67">
        <f>'Rev. Internos Piso e Parede'!B16</f>
        <v>448.72</v>
      </c>
      <c r="E11" s="67" t="s">
        <v>2</v>
      </c>
      <c r="F11" s="88">
        <v>65</v>
      </c>
      <c r="G11" s="89">
        <f>F11*D11*1.1</f>
        <v>32083.480000000007</v>
      </c>
      <c r="H11" s="67"/>
    </row>
    <row r="12" spans="1:12" ht="21.75" x14ac:dyDescent="0.25">
      <c r="A12" s="78" t="s">
        <v>219</v>
      </c>
      <c r="B12" s="62">
        <v>15</v>
      </c>
      <c r="C12" s="62" t="s">
        <v>6</v>
      </c>
      <c r="D12" s="67">
        <v>1</v>
      </c>
      <c r="E12" s="67" t="s">
        <v>27</v>
      </c>
      <c r="F12" s="88">
        <f>B12*DADOS_INICIAIS!$E$9</f>
        <v>197164.05000000002</v>
      </c>
      <c r="G12" s="89">
        <f>F12*D12*1.1</f>
        <v>216880.45500000005</v>
      </c>
      <c r="H12" s="67"/>
    </row>
    <row r="13" spans="1:12" ht="21.75" x14ac:dyDescent="0.25">
      <c r="A13" s="66" t="s">
        <v>218</v>
      </c>
      <c r="B13" s="62">
        <v>50</v>
      </c>
      <c r="C13" s="62" t="s">
        <v>6</v>
      </c>
      <c r="D13" s="67">
        <v>1</v>
      </c>
      <c r="E13" s="67" t="s">
        <v>27</v>
      </c>
      <c r="F13" s="88">
        <f>B13*DADOS_INICIAIS!$E$9</f>
        <v>657213.5</v>
      </c>
      <c r="G13" s="89">
        <f>F13*D13*1.05*1.1</f>
        <v>759081.59250000014</v>
      </c>
      <c r="H13" s="67"/>
    </row>
    <row r="14" spans="1:12" ht="21.75" x14ac:dyDescent="0.25">
      <c r="A14" s="215" t="s">
        <v>17</v>
      </c>
      <c r="B14" s="215"/>
      <c r="C14" s="215"/>
      <c r="D14" s="215"/>
      <c r="E14" s="215"/>
      <c r="F14" s="215"/>
      <c r="G14" s="90">
        <f>SUM(G10:G13)</f>
        <v>1763453.3675000002</v>
      </c>
      <c r="H14" s="90"/>
      <c r="K14" s="55">
        <f>4160+1440+1120+2880+4800+91680+4000</f>
        <v>110080</v>
      </c>
      <c r="L14" s="55">
        <f>K14/21</f>
        <v>5241.9047619047615</v>
      </c>
    </row>
    <row r="16" spans="1:12" ht="21.75" x14ac:dyDescent="0.25">
      <c r="A16" s="222" t="s">
        <v>229</v>
      </c>
      <c r="B16" s="223"/>
      <c r="C16" s="223"/>
      <c r="D16" s="223"/>
      <c r="E16" s="223"/>
      <c r="F16" s="224"/>
      <c r="G16" s="91">
        <f>G14</f>
        <v>1763453.3675000002</v>
      </c>
      <c r="H16" s="91">
        <f>G16/DADOS_INICIAIS!E9</f>
        <v>134.16137735302152</v>
      </c>
    </row>
    <row r="18" spans="8:8" x14ac:dyDescent="0.25">
      <c r="H18" s="198">
        <f>H16/1.1</f>
        <v>121.96488850274683</v>
      </c>
    </row>
  </sheetData>
  <mergeCells count="5">
    <mergeCell ref="A3:H3"/>
    <mergeCell ref="B9:C9"/>
    <mergeCell ref="D9:E9"/>
    <mergeCell ref="A14:F14"/>
    <mergeCell ref="A16:F16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AC23D-4848-47C0-9462-ED4026A4C01F}">
  <sheetPr>
    <tabColor rgb="FF92D050"/>
  </sheetPr>
  <dimension ref="A1:L23"/>
  <sheetViews>
    <sheetView showGridLines="0" topLeftCell="A5" zoomScale="80" zoomScaleNormal="80" zoomScaleSheetLayoutView="95" workbookViewId="0">
      <selection activeCell="F11" sqref="F11"/>
    </sheetView>
  </sheetViews>
  <sheetFormatPr defaultColWidth="9.140625" defaultRowHeight="15" x14ac:dyDescent="0.25"/>
  <cols>
    <col min="1" max="1" width="50.140625" style="55" customWidth="1"/>
    <col min="2" max="2" width="21.7109375" style="55" customWidth="1"/>
    <col min="3" max="3" width="26.5703125" style="55" customWidth="1"/>
    <col min="4" max="4" width="16.5703125" style="81" customWidth="1"/>
    <col min="5" max="5" width="19.5703125" style="82" customWidth="1"/>
    <col min="6" max="6" width="20.85546875" style="55" customWidth="1"/>
    <col min="7" max="7" width="23.5703125" style="55" customWidth="1"/>
    <col min="8" max="8" width="58.28515625" style="55" customWidth="1"/>
    <col min="9" max="9" width="11.28515625" style="55" customWidth="1"/>
    <col min="10" max="10" width="9.140625" style="55"/>
    <col min="11" max="11" width="11" style="55" bestFit="1" customWidth="1"/>
    <col min="12" max="12" width="11.28515625" style="55" bestFit="1" customWidth="1"/>
    <col min="13" max="13" width="9.140625" style="55"/>
    <col min="14" max="15" width="11" style="55" bestFit="1" customWidth="1"/>
    <col min="16" max="16384" width="9.140625" style="55"/>
  </cols>
  <sheetData>
    <row r="1" spans="1:10" x14ac:dyDescent="0.25">
      <c r="D1" s="79"/>
      <c r="E1" s="55"/>
      <c r="H1" s="80"/>
      <c r="I1" s="80"/>
      <c r="J1" s="79"/>
    </row>
    <row r="3" spans="1:10" ht="28.5" x14ac:dyDescent="0.25">
      <c r="A3" s="216" t="s">
        <v>246</v>
      </c>
      <c r="B3" s="227"/>
      <c r="C3" s="227"/>
      <c r="D3" s="217"/>
      <c r="E3" s="217"/>
      <c r="F3" s="217"/>
      <c r="G3" s="217"/>
      <c r="H3" s="218"/>
      <c r="J3" s="79"/>
    </row>
    <row r="4" spans="1:10" ht="19.5" x14ac:dyDescent="0.25">
      <c r="A4" s="189" t="s">
        <v>186</v>
      </c>
      <c r="B4" s="195">
        <v>45460</v>
      </c>
      <c r="C4" s="193"/>
      <c r="D4" s="193"/>
      <c r="E4" s="193"/>
      <c r="F4" s="193"/>
      <c r="G4" s="193"/>
      <c r="H4" s="194"/>
      <c r="J4" s="79"/>
    </row>
    <row r="5" spans="1:10" ht="19.5" x14ac:dyDescent="0.25">
      <c r="A5" s="189" t="s">
        <v>308</v>
      </c>
      <c r="B5" s="196" t="s">
        <v>223</v>
      </c>
      <c r="C5" s="191"/>
      <c r="D5" s="191"/>
      <c r="E5" s="191"/>
      <c r="F5" s="191"/>
      <c r="G5" s="191"/>
      <c r="H5" s="192"/>
      <c r="J5" s="79"/>
    </row>
    <row r="6" spans="1:10" ht="21.75" x14ac:dyDescent="0.25">
      <c r="A6" s="83"/>
      <c r="B6" s="83"/>
      <c r="C6" s="83"/>
      <c r="D6" s="83"/>
      <c r="E6" s="83"/>
      <c r="F6" s="84"/>
      <c r="G6" s="85"/>
      <c r="H6" s="85"/>
      <c r="J6" s="79"/>
    </row>
    <row r="7" spans="1:10" ht="21.75" x14ac:dyDescent="0.25">
      <c r="A7" s="52" t="s">
        <v>246</v>
      </c>
      <c r="B7" s="52"/>
      <c r="C7" s="52"/>
      <c r="D7" s="53"/>
      <c r="E7" s="53"/>
      <c r="F7" s="54"/>
      <c r="G7" s="53"/>
      <c r="H7" s="53"/>
    </row>
    <row r="8" spans="1:10" ht="21.75" x14ac:dyDescent="0.25">
      <c r="A8" s="56"/>
      <c r="B8" s="56"/>
      <c r="C8" s="56"/>
      <c r="D8" s="57"/>
      <c r="E8" s="57"/>
      <c r="F8" s="58"/>
      <c r="G8" s="59"/>
      <c r="H8" s="59"/>
    </row>
    <row r="9" spans="1:10" ht="42" customHeight="1" x14ac:dyDescent="0.25">
      <c r="A9" s="63" t="s">
        <v>14</v>
      </c>
      <c r="B9" s="220" t="s">
        <v>5</v>
      </c>
      <c r="C9" s="221"/>
      <c r="D9" s="220" t="s">
        <v>18</v>
      </c>
      <c r="E9" s="221"/>
      <c r="F9" s="65" t="s">
        <v>118</v>
      </c>
      <c r="G9" s="71" t="s">
        <v>16</v>
      </c>
      <c r="H9" s="90" t="s">
        <v>311</v>
      </c>
    </row>
    <row r="10" spans="1:10" ht="21.75" x14ac:dyDescent="0.25">
      <c r="A10" s="66" t="s">
        <v>245</v>
      </c>
      <c r="B10" s="62">
        <v>0.15</v>
      </c>
      <c r="C10" s="62" t="s">
        <v>346</v>
      </c>
      <c r="D10" s="201">
        <f>B10*DADOS_INICIAIS!E9</f>
        <v>1971.6405</v>
      </c>
      <c r="E10" s="67" t="s">
        <v>2</v>
      </c>
      <c r="F10" s="88">
        <v>1100</v>
      </c>
      <c r="G10" s="89">
        <f>F10*D10*1.1</f>
        <v>2385685.0049999999</v>
      </c>
      <c r="H10" s="67">
        <f>G10/DADOS_INICIAIS!E9</f>
        <v>181.49999999999997</v>
      </c>
    </row>
    <row r="11" spans="1:10" ht="21.75" x14ac:dyDescent="0.25">
      <c r="A11" s="202" t="s">
        <v>373</v>
      </c>
      <c r="B11" s="62"/>
      <c r="C11" s="62"/>
      <c r="D11" s="201">
        <f>16.62*11.6</f>
        <v>192.792</v>
      </c>
      <c r="E11" s="67" t="s">
        <v>2</v>
      </c>
      <c r="F11" s="88">
        <v>1500</v>
      </c>
      <c r="G11" s="89">
        <f>F11*D11*1.1</f>
        <v>318106.80000000005</v>
      </c>
      <c r="H11" s="67"/>
    </row>
    <row r="12" spans="1:10" ht="21.75" x14ac:dyDescent="0.25">
      <c r="A12" s="78" t="s">
        <v>240</v>
      </c>
      <c r="B12" s="62"/>
      <c r="C12" s="62"/>
      <c r="D12" s="67">
        <v>1</v>
      </c>
      <c r="E12" s="67" t="s">
        <v>3</v>
      </c>
      <c r="F12" s="88">
        <v>18000</v>
      </c>
      <c r="G12" s="89">
        <f>F12*D12*1.1</f>
        <v>19800</v>
      </c>
      <c r="H12" s="67"/>
    </row>
    <row r="13" spans="1:10" ht="21.75" x14ac:dyDescent="0.25">
      <c r="A13" s="78" t="s">
        <v>242</v>
      </c>
      <c r="B13" s="62"/>
      <c r="C13" s="62"/>
      <c r="D13" s="67">
        <f>(0.5*2+30.55*2+8.5)+(1.5+7.5+7.45*2+7.5+1.15)+(1.1+3.5+3.25*3)+(15.1*2+7.11)</f>
        <v>154.81</v>
      </c>
      <c r="E13" s="67" t="s">
        <v>4</v>
      </c>
      <c r="F13" s="88">
        <f>750*1.1</f>
        <v>825.00000000000011</v>
      </c>
      <c r="G13" s="89">
        <f t="shared" ref="G13" si="0">F13*D13*1.1</f>
        <v>140490.07500000004</v>
      </c>
      <c r="H13" s="67"/>
    </row>
    <row r="14" spans="1:10" ht="21.75" x14ac:dyDescent="0.25">
      <c r="A14" s="78" t="s">
        <v>241</v>
      </c>
      <c r="B14" s="62"/>
      <c r="C14" s="62"/>
      <c r="D14" s="67">
        <f>(1.9+0.5*2*8+1.8+2.89)*7+(1.8+2.89)*4</f>
        <v>120.89000000000001</v>
      </c>
      <c r="E14" s="67" t="s">
        <v>4</v>
      </c>
      <c r="F14" s="88">
        <f>680*1.1</f>
        <v>748.00000000000011</v>
      </c>
      <c r="G14" s="89">
        <f t="shared" ref="G14:G20" si="1">F14*D14*1.1</f>
        <v>99468.292000000045</v>
      </c>
      <c r="H14" s="67"/>
    </row>
    <row r="15" spans="1:10" ht="21.75" x14ac:dyDescent="0.25">
      <c r="A15" s="78" t="s">
        <v>357</v>
      </c>
      <c r="B15" s="62"/>
      <c r="C15" s="62"/>
      <c r="D15" s="67">
        <f>2.3*2</f>
        <v>4.5999999999999996</v>
      </c>
      <c r="E15" s="67" t="s">
        <v>4</v>
      </c>
      <c r="F15" s="88">
        <v>150</v>
      </c>
      <c r="G15" s="89">
        <f t="shared" si="1"/>
        <v>759.00000000000011</v>
      </c>
      <c r="H15" s="67"/>
    </row>
    <row r="16" spans="1:10" ht="21.75" x14ac:dyDescent="0.25">
      <c r="A16" s="78" t="s">
        <v>243</v>
      </c>
      <c r="B16" s="62">
        <v>10</v>
      </c>
      <c r="C16" s="62" t="s">
        <v>6</v>
      </c>
      <c r="D16" s="67">
        <v>1</v>
      </c>
      <c r="E16" s="67" t="s">
        <v>27</v>
      </c>
      <c r="F16" s="88">
        <f>B16*DADOS_INICIAIS!$E$9</f>
        <v>131442.70000000001</v>
      </c>
      <c r="G16" s="89">
        <f t="shared" si="1"/>
        <v>144586.97000000003</v>
      </c>
      <c r="H16" s="67"/>
    </row>
    <row r="17" spans="1:12" ht="28.5" customHeight="1" x14ac:dyDescent="0.25">
      <c r="A17" s="78" t="s">
        <v>244</v>
      </c>
      <c r="B17" s="62"/>
      <c r="C17" s="62"/>
      <c r="D17" s="67">
        <f>2*DADOS_INICIAIS!E15+1</f>
        <v>41</v>
      </c>
      <c r="E17" s="67" t="s">
        <v>3</v>
      </c>
      <c r="F17" s="88">
        <v>1750</v>
      </c>
      <c r="G17" s="89">
        <f t="shared" si="1"/>
        <v>78925</v>
      </c>
      <c r="H17" s="67"/>
    </row>
    <row r="18" spans="1:12" ht="21.75" x14ac:dyDescent="0.25">
      <c r="A18" s="78" t="s">
        <v>400</v>
      </c>
      <c r="B18" s="62"/>
      <c r="C18" s="62"/>
      <c r="D18" s="67">
        <f>(2.6*2+2.96+1.4*2+0.56*2)*1.2*20</f>
        <v>289.92000000000007</v>
      </c>
      <c r="E18" s="67" t="s">
        <v>4</v>
      </c>
      <c r="F18" s="88">
        <v>120</v>
      </c>
      <c r="G18" s="89">
        <f t="shared" si="1"/>
        <v>38269.44000000001</v>
      </c>
      <c r="H18" s="67"/>
    </row>
    <row r="19" spans="1:12" ht="21.75" x14ac:dyDescent="0.25">
      <c r="A19" s="78" t="s">
        <v>401</v>
      </c>
      <c r="B19" s="62"/>
      <c r="C19" s="62"/>
      <c r="D19" s="67">
        <f>DADOS_INICIAIS!E10</f>
        <v>156</v>
      </c>
      <c r="E19" s="67"/>
      <c r="F19" s="88">
        <v>1400</v>
      </c>
      <c r="G19" s="89">
        <f t="shared" si="1"/>
        <v>240240.00000000003</v>
      </c>
      <c r="H19" s="67"/>
    </row>
    <row r="20" spans="1:12" ht="21.75" x14ac:dyDescent="0.25">
      <c r="A20" s="66" t="s">
        <v>239</v>
      </c>
      <c r="B20" s="62"/>
      <c r="C20" s="62"/>
      <c r="D20" s="67">
        <f>13+44*7+31+34+24*3+16+1</f>
        <v>475</v>
      </c>
      <c r="E20" s="67" t="s">
        <v>3</v>
      </c>
      <c r="F20" s="88">
        <v>2100</v>
      </c>
      <c r="G20" s="89">
        <f t="shared" si="1"/>
        <v>1097250</v>
      </c>
      <c r="H20" s="67"/>
    </row>
    <row r="21" spans="1:12" ht="21.75" x14ac:dyDescent="0.25">
      <c r="A21" s="215" t="s">
        <v>17</v>
      </c>
      <c r="B21" s="215"/>
      <c r="C21" s="215"/>
      <c r="D21" s="215"/>
      <c r="E21" s="215"/>
      <c r="F21" s="215"/>
      <c r="G21" s="90">
        <f>SUM(G10:G20)</f>
        <v>4563580.5820000004</v>
      </c>
      <c r="H21" s="90"/>
      <c r="K21" s="55">
        <f>4160+1440+1120+2880+4800+91680+4000</f>
        <v>110080</v>
      </c>
      <c r="L21" s="55">
        <f>K21/21</f>
        <v>5241.9047619047615</v>
      </c>
    </row>
    <row r="23" spans="1:12" ht="21.75" x14ac:dyDescent="0.25">
      <c r="A23" s="222" t="s">
        <v>371</v>
      </c>
      <c r="B23" s="223"/>
      <c r="C23" s="223"/>
      <c r="D23" s="223"/>
      <c r="E23" s="223"/>
      <c r="F23" s="224"/>
      <c r="G23" s="91">
        <f>G21</f>
        <v>4563580.5820000004</v>
      </c>
      <c r="H23" s="91">
        <f>G23/DADOS_INICIAIS!E9</f>
        <v>347.19163422540777</v>
      </c>
    </row>
  </sheetData>
  <mergeCells count="5">
    <mergeCell ref="A3:H3"/>
    <mergeCell ref="B9:C9"/>
    <mergeCell ref="D9:E9"/>
    <mergeCell ref="A21:F21"/>
    <mergeCell ref="A23:F23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EB461-4C5C-413C-82B5-048D21A64C5E}">
  <sheetPr>
    <tabColor rgb="FF92D050"/>
  </sheetPr>
  <dimension ref="A1:J16"/>
  <sheetViews>
    <sheetView showGridLines="0" zoomScale="85" zoomScaleNormal="85" zoomScaleSheetLayoutView="95" workbookViewId="0">
      <selection activeCell="G15" sqref="G15"/>
    </sheetView>
  </sheetViews>
  <sheetFormatPr defaultColWidth="9.140625" defaultRowHeight="19.5" x14ac:dyDescent="0.25"/>
  <cols>
    <col min="1" max="1" width="53" style="45" bestFit="1" customWidth="1"/>
    <col min="2" max="7" width="27" style="45" customWidth="1"/>
    <col min="8" max="8" width="14" style="45" customWidth="1"/>
    <col min="9" max="16384" width="9.140625" style="1"/>
  </cols>
  <sheetData>
    <row r="1" spans="1:10" x14ac:dyDescent="0.25">
      <c r="A1" s="48"/>
      <c r="B1" s="48"/>
      <c r="C1" s="48"/>
      <c r="D1" s="48"/>
      <c r="E1" s="48"/>
      <c r="F1" s="48"/>
      <c r="G1" s="48"/>
      <c r="H1" s="48"/>
      <c r="J1" s="2"/>
    </row>
    <row r="2" spans="1:10" ht="28.5" x14ac:dyDescent="0.25">
      <c r="A2" s="216" t="s">
        <v>202</v>
      </c>
      <c r="B2" s="217"/>
      <c r="C2" s="217"/>
      <c r="D2" s="217"/>
      <c r="E2" s="217"/>
      <c r="F2" s="217"/>
      <c r="G2" s="217"/>
      <c r="H2" s="218"/>
      <c r="J2" s="2"/>
    </row>
    <row r="3" spans="1:10" s="55" customFormat="1" x14ac:dyDescent="0.25">
      <c r="A3" s="189" t="s">
        <v>186</v>
      </c>
      <c r="B3" s="195">
        <v>45460</v>
      </c>
      <c r="C3" s="193"/>
      <c r="D3" s="193"/>
      <c r="E3" s="193"/>
      <c r="F3" s="193"/>
      <c r="G3" s="193"/>
      <c r="H3" s="194"/>
      <c r="J3" s="79"/>
    </row>
    <row r="4" spans="1:10" s="55" customFormat="1" x14ac:dyDescent="0.25">
      <c r="A4" s="189" t="s">
        <v>308</v>
      </c>
      <c r="B4" s="196" t="s">
        <v>223</v>
      </c>
      <c r="C4" s="191"/>
      <c r="D4" s="191"/>
      <c r="E4" s="191"/>
      <c r="F4" s="191"/>
      <c r="G4" s="191"/>
      <c r="H4" s="192"/>
      <c r="J4" s="79"/>
    </row>
    <row r="5" spans="1:10" x14ac:dyDescent="0.25">
      <c r="A5" s="50"/>
      <c r="B5" s="50"/>
      <c r="C5" s="50"/>
      <c r="D5" s="50"/>
      <c r="E5" s="50"/>
      <c r="F5" s="50"/>
      <c r="G5" s="48"/>
      <c r="H5" s="48"/>
      <c r="J5" s="2"/>
    </row>
    <row r="6" spans="1:10" s="55" customFormat="1" ht="21.75" x14ac:dyDescent="0.25">
      <c r="A6" s="52" t="s">
        <v>351</v>
      </c>
      <c r="B6" s="53"/>
      <c r="C6" s="53"/>
      <c r="D6" s="53"/>
      <c r="E6" s="53"/>
      <c r="F6" s="53"/>
      <c r="G6" s="53"/>
      <c r="H6" s="53"/>
    </row>
    <row r="7" spans="1:10" s="55" customFormat="1" ht="21.75" x14ac:dyDescent="0.25">
      <c r="A7" s="56"/>
      <c r="B7" s="57"/>
      <c r="C7" s="57"/>
      <c r="D7" s="57"/>
      <c r="E7" s="57"/>
      <c r="F7" s="57"/>
      <c r="G7" s="59"/>
      <c r="H7" s="59"/>
    </row>
    <row r="8" spans="1:10" s="55" customFormat="1" ht="42" customHeight="1" x14ac:dyDescent="0.25">
      <c r="A8" s="63" t="s">
        <v>14</v>
      </c>
      <c r="B8" s="220" t="s">
        <v>5</v>
      </c>
      <c r="C8" s="221"/>
      <c r="D8" s="220" t="s">
        <v>18</v>
      </c>
      <c r="E8" s="221"/>
      <c r="F8" s="65" t="s">
        <v>118</v>
      </c>
      <c r="G8" s="71" t="s">
        <v>16</v>
      </c>
      <c r="H8" s="90" t="s">
        <v>311</v>
      </c>
    </row>
    <row r="9" spans="1:10" s="55" customFormat="1" ht="21.75" x14ac:dyDescent="0.25">
      <c r="A9" s="66" t="s">
        <v>348</v>
      </c>
      <c r="B9" s="62"/>
      <c r="C9" s="62"/>
      <c r="D9" s="67">
        <v>105.86</v>
      </c>
      <c r="E9" s="67" t="s">
        <v>2</v>
      </c>
      <c r="F9" s="88">
        <v>500</v>
      </c>
      <c r="G9" s="89">
        <f>F9*D9*1.1</f>
        <v>58223.000000000007</v>
      </c>
      <c r="H9" s="67"/>
    </row>
    <row r="10" spans="1:10" s="55" customFormat="1" ht="21.75" x14ac:dyDescent="0.25">
      <c r="A10" s="66" t="s">
        <v>172</v>
      </c>
      <c r="B10" s="62"/>
      <c r="C10" s="62"/>
      <c r="D10" s="67">
        <v>105.86</v>
      </c>
      <c r="E10" s="67" t="s">
        <v>2</v>
      </c>
      <c r="F10" s="188">
        <v>45</v>
      </c>
      <c r="G10" s="89">
        <f>F10*D10*1.1</f>
        <v>5240.0700000000006</v>
      </c>
      <c r="H10" s="67"/>
    </row>
    <row r="11" spans="1:10" s="55" customFormat="1" ht="21.75" x14ac:dyDescent="0.25">
      <c r="A11" s="66" t="s">
        <v>349</v>
      </c>
      <c r="B11" s="62"/>
      <c r="C11" s="62"/>
      <c r="D11" s="67"/>
      <c r="E11" s="67"/>
      <c r="F11" s="67"/>
      <c r="G11" s="89">
        <f t="shared" ref="G11:G12" si="0">F11*D11*1.1</f>
        <v>0</v>
      </c>
      <c r="H11" s="67"/>
    </row>
    <row r="12" spans="1:10" s="55" customFormat="1" ht="21.75" x14ac:dyDescent="0.25">
      <c r="A12" s="66" t="s">
        <v>350</v>
      </c>
      <c r="B12" s="62"/>
      <c r="C12" s="62"/>
      <c r="D12" s="67"/>
      <c r="E12" s="67"/>
      <c r="F12" s="67"/>
      <c r="G12" s="89">
        <f t="shared" si="0"/>
        <v>0</v>
      </c>
      <c r="H12" s="67"/>
    </row>
    <row r="13" spans="1:10" s="55" customFormat="1" ht="21.75" x14ac:dyDescent="0.25">
      <c r="A13" s="66" t="s">
        <v>390</v>
      </c>
      <c r="B13" s="62"/>
      <c r="C13" s="62"/>
      <c r="D13" s="67">
        <v>85.2</v>
      </c>
      <c r="E13" s="67"/>
      <c r="F13" s="67">
        <v>700</v>
      </c>
      <c r="G13" s="89">
        <f>F13*D13*1.1</f>
        <v>65604</v>
      </c>
      <c r="H13" s="67"/>
    </row>
    <row r="14" spans="1:10" s="55" customFormat="1" ht="21.75" x14ac:dyDescent="0.25">
      <c r="A14" s="215" t="s">
        <v>17</v>
      </c>
      <c r="B14" s="215"/>
      <c r="C14" s="215"/>
      <c r="D14" s="110"/>
      <c r="E14" s="110"/>
      <c r="F14" s="110"/>
      <c r="G14" s="90">
        <f>SUM(G9:G13)</f>
        <v>129067.07</v>
      </c>
      <c r="H14" s="90"/>
    </row>
    <row r="15" spans="1:10" s="55" customFormat="1" ht="21.75" x14ac:dyDescent="0.25">
      <c r="A15" s="219"/>
      <c r="B15" s="219"/>
      <c r="C15" s="219"/>
      <c r="D15" s="111"/>
      <c r="E15" s="111"/>
      <c r="F15" s="111"/>
      <c r="G15" s="59"/>
      <c r="H15" s="59"/>
    </row>
    <row r="16" spans="1:10" ht="23.25" customHeight="1" x14ac:dyDescent="0.25">
      <c r="A16" s="212" t="s">
        <v>287</v>
      </c>
      <c r="B16" s="213"/>
      <c r="C16" s="214"/>
      <c r="D16" s="109"/>
      <c r="E16" s="109"/>
      <c r="F16" s="109"/>
      <c r="G16" s="108">
        <f>G14</f>
        <v>129067.07</v>
      </c>
      <c r="H16" s="108">
        <f>G16/DADOS_INICIAIS!$E$9</f>
        <v>9.819264972493718</v>
      </c>
    </row>
  </sheetData>
  <mergeCells count="6">
    <mergeCell ref="A16:C16"/>
    <mergeCell ref="A2:H2"/>
    <mergeCell ref="B8:C8"/>
    <mergeCell ref="D8:E8"/>
    <mergeCell ref="A14:C14"/>
    <mergeCell ref="A15:C15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B37A4-6D6F-45D4-B218-2ECBFC9788BF}">
  <sheetPr>
    <tabColor rgb="FF92D050"/>
  </sheetPr>
  <dimension ref="A1:L42"/>
  <sheetViews>
    <sheetView showGridLines="0" topLeftCell="A22" zoomScale="130" zoomScaleNormal="130" zoomScaleSheetLayoutView="95" workbookViewId="0">
      <selection activeCell="D30" sqref="D30"/>
    </sheetView>
  </sheetViews>
  <sheetFormatPr defaultColWidth="9.140625" defaultRowHeight="12.75" x14ac:dyDescent="0.25"/>
  <cols>
    <col min="1" max="1" width="48.7109375" style="1" customWidth="1"/>
    <col min="2" max="2" width="15.85546875" style="114" customWidth="1"/>
    <col min="3" max="3" width="7.5703125" style="113" customWidth="1"/>
    <col min="4" max="4" width="11.5703125" style="112" customWidth="1"/>
    <col min="5" max="5" width="15.85546875" style="1" customWidth="1"/>
    <col min="6" max="6" width="12.85546875" style="1" customWidth="1"/>
    <col min="7" max="7" width="19.140625" style="1" customWidth="1"/>
    <col min="8" max="8" width="15.140625" style="1" customWidth="1"/>
    <col min="9" max="9" width="13.5703125" style="1" bestFit="1" customWidth="1"/>
    <col min="10" max="11" width="9.140625" style="1"/>
    <col min="12" max="12" width="10.5703125" style="1" bestFit="1" customWidth="1"/>
    <col min="13" max="16384" width="9.140625" style="1"/>
  </cols>
  <sheetData>
    <row r="1" spans="1:12" x14ac:dyDescent="0.25">
      <c r="B1" s="2"/>
      <c r="C1" s="1"/>
      <c r="D1" s="1"/>
      <c r="G1" s="161"/>
      <c r="H1" s="161"/>
      <c r="I1" s="2"/>
    </row>
    <row r="2" spans="1:12" ht="12.75" customHeight="1" x14ac:dyDescent="0.25">
      <c r="A2" s="228" t="s">
        <v>190</v>
      </c>
      <c r="B2" s="2"/>
      <c r="C2" s="1"/>
      <c r="D2" s="1"/>
      <c r="G2" s="166"/>
      <c r="H2" s="166"/>
      <c r="I2" s="2"/>
    </row>
    <row r="3" spans="1:12" ht="12.75" customHeight="1" x14ac:dyDescent="0.25">
      <c r="A3" s="229"/>
      <c r="B3" s="2"/>
      <c r="C3" s="1"/>
      <c r="D3" s="1"/>
      <c r="G3" s="166"/>
      <c r="H3" s="166"/>
      <c r="I3" s="2"/>
    </row>
    <row r="4" spans="1:12" ht="12.75" customHeight="1" x14ac:dyDescent="0.25">
      <c r="A4" s="229"/>
      <c r="B4" s="2"/>
      <c r="C4" s="1"/>
      <c r="D4" s="1"/>
      <c r="G4" s="166"/>
      <c r="H4" s="166"/>
      <c r="I4" s="2"/>
    </row>
    <row r="5" spans="1:12" ht="13.5" thickBot="1" x14ac:dyDescent="0.3">
      <c r="A5" s="165"/>
      <c r="B5" s="164"/>
      <c r="C5" s="164"/>
      <c r="D5" s="164"/>
      <c r="E5" s="164"/>
      <c r="F5" s="164"/>
      <c r="G5" s="163"/>
      <c r="H5" s="163"/>
      <c r="I5" s="2"/>
    </row>
    <row r="6" spans="1:12" x14ac:dyDescent="0.25">
      <c r="A6" s="162"/>
      <c r="B6" s="2"/>
      <c r="C6" s="1"/>
      <c r="D6" s="1"/>
      <c r="G6" s="161"/>
      <c r="H6" s="161"/>
      <c r="I6" s="2"/>
    </row>
    <row r="7" spans="1:12" x14ac:dyDescent="0.25">
      <c r="A7" s="160" t="s">
        <v>189</v>
      </c>
      <c r="B7" s="159" t="s">
        <v>298</v>
      </c>
      <c r="C7" s="158"/>
      <c r="D7" s="158"/>
      <c r="E7" s="158"/>
      <c r="F7" s="158"/>
      <c r="G7" s="158"/>
      <c r="H7" s="157"/>
      <c r="I7" s="2"/>
    </row>
    <row r="8" spans="1:12" x14ac:dyDescent="0.25">
      <c r="A8" s="156" t="s">
        <v>0</v>
      </c>
      <c r="B8" s="155" t="s">
        <v>297</v>
      </c>
      <c r="C8" s="154"/>
      <c r="D8" s="154"/>
      <c r="E8" s="154"/>
      <c r="F8" s="154"/>
      <c r="G8" s="154"/>
      <c r="H8" s="153"/>
      <c r="I8" s="2"/>
    </row>
    <row r="9" spans="1:12" ht="15" customHeight="1" x14ac:dyDescent="0.25">
      <c r="A9" s="152" t="s">
        <v>186</v>
      </c>
      <c r="B9" s="151">
        <v>45460</v>
      </c>
      <c r="C9" s="150"/>
      <c r="D9" s="150"/>
      <c r="E9" s="150"/>
      <c r="F9" s="150"/>
      <c r="G9" s="150"/>
      <c r="H9" s="149"/>
    </row>
    <row r="10" spans="1:12" x14ac:dyDescent="0.25">
      <c r="A10" s="148" t="s">
        <v>1</v>
      </c>
      <c r="B10" s="147" t="s">
        <v>185</v>
      </c>
      <c r="C10" s="146"/>
      <c r="D10" s="146"/>
      <c r="E10" s="146"/>
      <c r="F10" s="146"/>
      <c r="G10" s="146"/>
      <c r="H10" s="145"/>
    </row>
    <row r="12" spans="1:12" ht="15.75" customHeight="1" x14ac:dyDescent="0.25">
      <c r="A12" s="144" t="s">
        <v>228</v>
      </c>
      <c r="B12" s="143"/>
      <c r="C12" s="142"/>
      <c r="D12" s="141"/>
      <c r="E12" s="140"/>
      <c r="F12" s="140"/>
      <c r="G12" s="140"/>
      <c r="H12" s="139"/>
    </row>
    <row r="13" spans="1:12" ht="15.75" customHeight="1" x14ac:dyDescent="0.25">
      <c r="A13" s="138"/>
      <c r="B13" s="137"/>
      <c r="C13" s="136"/>
      <c r="D13" s="135"/>
      <c r="E13" s="135"/>
      <c r="F13" s="135"/>
      <c r="H13" s="131"/>
    </row>
    <row r="14" spans="1:12" ht="15.75" customHeight="1" x14ac:dyDescent="0.25">
      <c r="A14" s="134" t="s">
        <v>14</v>
      </c>
      <c r="B14" s="235" t="s">
        <v>18</v>
      </c>
      <c r="C14" s="236"/>
      <c r="D14" s="237" t="s">
        <v>5</v>
      </c>
      <c r="E14" s="238"/>
      <c r="F14" s="133" t="s">
        <v>183</v>
      </c>
      <c r="G14" s="132" t="s">
        <v>16</v>
      </c>
      <c r="H14" s="131"/>
      <c r="L14" s="115"/>
    </row>
    <row r="15" spans="1:12" x14ac:dyDescent="0.25">
      <c r="A15" s="172" t="s">
        <v>198</v>
      </c>
      <c r="B15" s="175">
        <f>K19*L19+K20*L20+K22*L22+K21*L21+K24*L24-(16.62*L19)-ESQUADRIAS!D10</f>
        <v>7899.8901900000001</v>
      </c>
      <c r="C15" s="129" t="s">
        <v>2</v>
      </c>
      <c r="D15" s="124">
        <f>25+70</f>
        <v>95</v>
      </c>
      <c r="E15" s="130" t="s">
        <v>171</v>
      </c>
      <c r="F15" s="126" t="s">
        <v>223</v>
      </c>
      <c r="G15" s="125">
        <f>B15*D15*1.1</f>
        <v>825538.52485500008</v>
      </c>
      <c r="H15" s="131"/>
      <c r="K15" s="187"/>
      <c r="L15" s="115"/>
    </row>
    <row r="16" spans="1:12" x14ac:dyDescent="0.25">
      <c r="A16" s="172" t="s">
        <v>391</v>
      </c>
      <c r="B16" s="175">
        <f>($K$20*9+$K$21*5+$K$22)*0.7</f>
        <v>1617.7150499999998</v>
      </c>
      <c r="C16" s="129" t="s">
        <v>2</v>
      </c>
      <c r="D16" s="124">
        <f>25+70</f>
        <v>95</v>
      </c>
      <c r="E16" s="130" t="s">
        <v>171</v>
      </c>
      <c r="F16" s="205"/>
      <c r="G16" s="125">
        <f>B16*D16*1.1</f>
        <v>169051.222725</v>
      </c>
      <c r="H16" s="131"/>
      <c r="K16" s="186"/>
      <c r="L16" s="115"/>
    </row>
    <row r="17" spans="1:12" x14ac:dyDescent="0.25">
      <c r="A17" s="233" t="s">
        <v>17</v>
      </c>
      <c r="B17" s="234"/>
      <c r="C17" s="234"/>
      <c r="D17" s="234"/>
      <c r="E17" s="234"/>
      <c r="F17" s="234"/>
      <c r="G17" s="122">
        <f>SUM(G15:G16)</f>
        <v>994589.74758000008</v>
      </c>
      <c r="H17" s="121"/>
      <c r="K17" s="186"/>
    </row>
    <row r="18" spans="1:12" ht="15.75" customHeight="1" x14ac:dyDescent="0.25">
      <c r="A18" s="231"/>
      <c r="B18" s="232"/>
      <c r="C18" s="232"/>
      <c r="D18" s="232"/>
      <c r="E18" s="232"/>
      <c r="F18" s="232"/>
      <c r="G18" s="167"/>
      <c r="H18" s="118"/>
    </row>
    <row r="19" spans="1:12" ht="15.75" customHeight="1" x14ac:dyDescent="0.25">
      <c r="A19" s="144" t="s">
        <v>227</v>
      </c>
      <c r="B19" s="143"/>
      <c r="C19" s="142"/>
      <c r="D19" s="141"/>
      <c r="E19" s="140"/>
      <c r="F19" s="140"/>
      <c r="G19" s="140"/>
      <c r="H19" s="139"/>
      <c r="J19" s="1" t="s">
        <v>226</v>
      </c>
      <c r="K19" s="115">
        <f>DADOS_INICIAIS!E26</f>
        <v>179.11</v>
      </c>
      <c r="L19" s="1">
        <v>11.34</v>
      </c>
    </row>
    <row r="20" spans="1:12" ht="15.75" customHeight="1" x14ac:dyDescent="0.25">
      <c r="A20" s="138"/>
      <c r="B20" s="185"/>
      <c r="C20" s="136"/>
      <c r="D20" s="135"/>
      <c r="E20" s="135"/>
      <c r="F20" s="135"/>
      <c r="H20" s="131"/>
      <c r="J20" s="1" t="s">
        <v>352</v>
      </c>
      <c r="K20" s="115">
        <f>DADOS_INICIAIS!E20</f>
        <v>179.6335</v>
      </c>
      <c r="L20" s="1">
        <v>27.74</v>
      </c>
    </row>
    <row r="21" spans="1:12" ht="15.75" customHeight="1" x14ac:dyDescent="0.25">
      <c r="A21" s="134" t="s">
        <v>14</v>
      </c>
      <c r="B21" s="235" t="s">
        <v>18</v>
      </c>
      <c r="C21" s="236"/>
      <c r="D21" s="237" t="s">
        <v>5</v>
      </c>
      <c r="E21" s="238"/>
      <c r="F21" s="133" t="s">
        <v>183</v>
      </c>
      <c r="G21" s="132" t="s">
        <v>16</v>
      </c>
      <c r="H21" s="131"/>
      <c r="J21" s="1" t="s">
        <v>353</v>
      </c>
      <c r="K21" s="1">
        <v>103.84</v>
      </c>
      <c r="L21" s="1">
        <v>15.3</v>
      </c>
    </row>
    <row r="22" spans="1:12" ht="15.75" customHeight="1" x14ac:dyDescent="0.25">
      <c r="A22" s="172" t="s">
        <v>355</v>
      </c>
      <c r="B22" s="175">
        <f>B15</f>
        <v>7899.8901900000001</v>
      </c>
      <c r="C22" s="129" t="s">
        <v>2</v>
      </c>
      <c r="D22" s="124">
        <f>70+15</f>
        <v>85</v>
      </c>
      <c r="E22" s="130" t="s">
        <v>171</v>
      </c>
      <c r="F22" s="126" t="s">
        <v>223</v>
      </c>
      <c r="G22" s="125">
        <f>B22*D22*1.1</f>
        <v>738639.73276500008</v>
      </c>
      <c r="H22" s="131"/>
      <c r="J22" s="1" t="s">
        <v>339</v>
      </c>
      <c r="K22" s="1">
        <v>175.12</v>
      </c>
      <c r="L22" s="1">
        <v>7.24</v>
      </c>
    </row>
    <row r="23" spans="1:12" ht="15.75" customHeight="1" x14ac:dyDescent="0.25">
      <c r="A23" s="172" t="s">
        <v>392</v>
      </c>
      <c r="B23" s="175">
        <f>($K$20*9+$K$21*5+$K$22)*0.7</f>
        <v>1617.7150499999998</v>
      </c>
      <c r="C23" s="129" t="s">
        <v>2</v>
      </c>
      <c r="D23" s="124">
        <f>70+15</f>
        <v>85</v>
      </c>
      <c r="E23" s="130" t="s">
        <v>171</v>
      </c>
      <c r="F23" s="205"/>
      <c r="G23" s="125">
        <f>B23*D23*1.1</f>
        <v>151256.35717500001</v>
      </c>
      <c r="H23" s="131"/>
    </row>
    <row r="24" spans="1:12" x14ac:dyDescent="0.25">
      <c r="A24" s="233" t="s">
        <v>17</v>
      </c>
      <c r="B24" s="234"/>
      <c r="C24" s="234"/>
      <c r="D24" s="234"/>
      <c r="E24" s="234"/>
      <c r="F24" s="234"/>
      <c r="G24" s="122">
        <f>SUM(G22:G23)</f>
        <v>889896.08994000009</v>
      </c>
      <c r="H24" s="121"/>
      <c r="J24" s="1" t="s">
        <v>225</v>
      </c>
      <c r="K24" s="1">
        <v>63.08</v>
      </c>
      <c r="L24" s="1">
        <v>3</v>
      </c>
    </row>
    <row r="25" spans="1:12" x14ac:dyDescent="0.25">
      <c r="A25" s="242"/>
      <c r="B25" s="243"/>
      <c r="C25" s="243"/>
      <c r="D25" s="243"/>
      <c r="E25" s="243"/>
      <c r="F25" s="243"/>
      <c r="G25" s="167"/>
      <c r="H25" s="118"/>
      <c r="L25" s="115">
        <f>K19*L19+K20*L20+K21*L21+K22*L22+K24*L24</f>
        <v>10060.001489999999</v>
      </c>
    </row>
    <row r="26" spans="1:12" ht="15.75" customHeight="1" x14ac:dyDescent="0.25">
      <c r="A26" s="144" t="s">
        <v>224</v>
      </c>
      <c r="B26" s="143"/>
      <c r="C26" s="142"/>
      <c r="D26" s="141"/>
      <c r="E26" s="140"/>
      <c r="F26" s="140"/>
      <c r="G26" s="140"/>
      <c r="H26" s="139"/>
    </row>
    <row r="27" spans="1:12" ht="15.75" customHeight="1" x14ac:dyDescent="0.25">
      <c r="A27" s="138"/>
      <c r="B27" s="137"/>
      <c r="C27" s="136"/>
      <c r="D27" s="135"/>
      <c r="E27" s="135"/>
      <c r="F27" s="135"/>
      <c r="H27" s="131"/>
    </row>
    <row r="28" spans="1:12" ht="15.75" customHeight="1" x14ac:dyDescent="0.25">
      <c r="A28" s="134" t="s">
        <v>14</v>
      </c>
      <c r="B28" s="235" t="s">
        <v>18</v>
      </c>
      <c r="C28" s="236"/>
      <c r="D28" s="237" t="s">
        <v>5</v>
      </c>
      <c r="E28" s="238"/>
      <c r="F28" s="133" t="s">
        <v>183</v>
      </c>
      <c r="G28" s="132" t="s">
        <v>16</v>
      </c>
      <c r="H28" s="131"/>
    </row>
    <row r="29" spans="1:12" ht="15.75" customHeight="1" x14ac:dyDescent="0.25">
      <c r="A29" s="172" t="s">
        <v>354</v>
      </c>
      <c r="B29" s="175">
        <f>(16.62*5)*0.7</f>
        <v>58.17</v>
      </c>
      <c r="C29" s="129" t="s">
        <v>372</v>
      </c>
      <c r="D29" s="124">
        <v>850</v>
      </c>
      <c r="E29" s="130" t="s">
        <v>171</v>
      </c>
      <c r="F29" s="126" t="s">
        <v>223</v>
      </c>
      <c r="G29" s="125">
        <f>B29*D29*1.1</f>
        <v>54388.950000000004</v>
      </c>
      <c r="H29" s="131"/>
    </row>
    <row r="30" spans="1:12" ht="15.75" customHeight="1" x14ac:dyDescent="0.25">
      <c r="A30" s="206" t="s">
        <v>402</v>
      </c>
      <c r="B30" s="175">
        <f>($K$20*9+$K$21*5+$K$22)+(16.62*5)</f>
        <v>2394.1214999999997</v>
      </c>
      <c r="C30" s="207" t="s">
        <v>119</v>
      </c>
      <c r="D30" s="208">
        <v>120</v>
      </c>
      <c r="E30" s="130" t="s">
        <v>403</v>
      </c>
      <c r="F30" s="205"/>
      <c r="G30" s="125">
        <f>B30*D30*1.1</f>
        <v>316024.038</v>
      </c>
      <c r="H30" s="131"/>
    </row>
    <row r="31" spans="1:12" ht="15.75" customHeight="1" x14ac:dyDescent="0.25">
      <c r="A31" s="233"/>
      <c r="B31" s="234"/>
      <c r="C31" s="234"/>
      <c r="D31" s="234"/>
      <c r="E31" s="234"/>
      <c r="F31" s="234"/>
      <c r="G31" s="122">
        <f>SUM(G29:G30)</f>
        <v>370412.98800000001</v>
      </c>
      <c r="H31" s="121"/>
    </row>
    <row r="32" spans="1:12" x14ac:dyDescent="0.25">
      <c r="A32" s="231"/>
      <c r="B32" s="232"/>
      <c r="C32" s="232"/>
      <c r="D32" s="232"/>
      <c r="E32" s="232"/>
      <c r="F32" s="232"/>
      <c r="G32" s="167"/>
      <c r="H32" s="118"/>
      <c r="J32" s="1">
        <f>25.78*2</f>
        <v>51.56</v>
      </c>
    </row>
    <row r="33" spans="1:8" ht="15.75" customHeight="1" x14ac:dyDescent="0.25">
      <c r="G33" s="115"/>
    </row>
    <row r="34" spans="1:8" ht="15.75" customHeight="1" x14ac:dyDescent="0.25">
      <c r="A34" s="230" t="s">
        <v>222</v>
      </c>
      <c r="B34" s="230"/>
      <c r="C34" s="230"/>
      <c r="D34" s="230"/>
      <c r="E34" s="230"/>
      <c r="F34" s="230"/>
      <c r="G34" s="117">
        <f>G24+G17+G31</f>
        <v>2254898.82552</v>
      </c>
      <c r="H34" s="116">
        <f>G34/DADOS_INICIAIS!E9</f>
        <v>171.54994727892839</v>
      </c>
    </row>
    <row r="35" spans="1:8" ht="15.75" customHeight="1" x14ac:dyDescent="0.25">
      <c r="H35" s="115">
        <f>H34/1.1</f>
        <v>155.95449752629852</v>
      </c>
    </row>
    <row r="36" spans="1:8" ht="15.75" customHeight="1" x14ac:dyDescent="0.25"/>
    <row r="37" spans="1:8" ht="15.75" customHeight="1" x14ac:dyDescent="0.25"/>
    <row r="38" spans="1:8" ht="15.75" customHeight="1" x14ac:dyDescent="0.25"/>
    <row r="39" spans="1:8" ht="15.75" customHeight="1" x14ac:dyDescent="0.25"/>
    <row r="40" spans="1:8" ht="15.75" customHeight="1" x14ac:dyDescent="0.25"/>
    <row r="41" spans="1:8" ht="15.75" customHeight="1" x14ac:dyDescent="0.25"/>
    <row r="42" spans="1:8" ht="15.75" customHeight="1" x14ac:dyDescent="0.25"/>
  </sheetData>
  <mergeCells count="14">
    <mergeCell ref="B14:C14"/>
    <mergeCell ref="D14:E14"/>
    <mergeCell ref="A2:A4"/>
    <mergeCell ref="A17:F17"/>
    <mergeCell ref="A18:F18"/>
    <mergeCell ref="B21:C21"/>
    <mergeCell ref="D21:E21"/>
    <mergeCell ref="A34:F34"/>
    <mergeCell ref="A24:F24"/>
    <mergeCell ref="A25:F25"/>
    <mergeCell ref="A32:F32"/>
    <mergeCell ref="B28:C28"/>
    <mergeCell ref="D28:E28"/>
    <mergeCell ref="A31:F31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3F773-AC4A-4F21-B2EF-C9876C500E18}">
  <sheetPr>
    <tabColor rgb="FF92D050"/>
  </sheetPr>
  <dimension ref="A1:J19"/>
  <sheetViews>
    <sheetView showGridLines="0" zoomScale="85" zoomScaleNormal="85" zoomScaleSheetLayoutView="95" workbookViewId="0">
      <selection activeCell="H13" sqref="H13"/>
    </sheetView>
  </sheetViews>
  <sheetFormatPr defaultColWidth="9.140625" defaultRowHeight="19.5" x14ac:dyDescent="0.25"/>
  <cols>
    <col min="1" max="1" width="53" style="45" bestFit="1" customWidth="1"/>
    <col min="2" max="6" width="27" style="45" customWidth="1"/>
    <col min="7" max="7" width="14" style="45" customWidth="1"/>
    <col min="8" max="16384" width="9.140625" style="1"/>
  </cols>
  <sheetData>
    <row r="1" spans="1:10" x14ac:dyDescent="0.25">
      <c r="A1" s="48"/>
      <c r="B1" s="48"/>
      <c r="C1" s="48"/>
      <c r="D1" s="48"/>
      <c r="E1" s="48"/>
      <c r="F1" s="48"/>
      <c r="G1" s="48"/>
      <c r="I1" s="2"/>
    </row>
    <row r="2" spans="1:10" ht="28.5" x14ac:dyDescent="0.25">
      <c r="A2" s="216" t="s">
        <v>296</v>
      </c>
      <c r="B2" s="217"/>
      <c r="C2" s="217"/>
      <c r="D2" s="217"/>
      <c r="E2" s="217"/>
      <c r="F2" s="217"/>
      <c r="G2" s="218"/>
      <c r="I2" s="2"/>
    </row>
    <row r="3" spans="1:10" s="55" customFormat="1" x14ac:dyDescent="0.25">
      <c r="A3" s="189" t="s">
        <v>186</v>
      </c>
      <c r="B3" s="195">
        <v>45460</v>
      </c>
      <c r="C3" s="193"/>
      <c r="D3" s="193"/>
      <c r="E3" s="193"/>
      <c r="F3" s="193"/>
      <c r="G3" s="193"/>
      <c r="H3" s="194"/>
      <c r="J3" s="79"/>
    </row>
    <row r="4" spans="1:10" s="55" customFormat="1" x14ac:dyDescent="0.25">
      <c r="A4" s="189" t="s">
        <v>308</v>
      </c>
      <c r="B4" s="196" t="s">
        <v>223</v>
      </c>
      <c r="C4" s="191"/>
      <c r="D4" s="191"/>
      <c r="E4" s="191"/>
      <c r="F4" s="191"/>
      <c r="G4" s="191"/>
      <c r="H4" s="192"/>
      <c r="J4" s="79"/>
    </row>
    <row r="5" spans="1:10" x14ac:dyDescent="0.25">
      <c r="A5" s="50"/>
      <c r="B5" s="50"/>
      <c r="C5" s="50"/>
      <c r="D5" s="50"/>
      <c r="E5" s="50"/>
      <c r="F5" s="48"/>
      <c r="G5" s="48"/>
      <c r="I5" s="2"/>
    </row>
    <row r="6" spans="1:10" s="55" customFormat="1" ht="21.75" x14ac:dyDescent="0.25">
      <c r="A6" s="52" t="s">
        <v>295</v>
      </c>
      <c r="B6" s="53"/>
      <c r="C6" s="53"/>
      <c r="D6" s="53"/>
      <c r="E6" s="53"/>
      <c r="F6" s="53"/>
      <c r="G6" s="53"/>
    </row>
    <row r="7" spans="1:10" s="55" customFormat="1" ht="21.75" x14ac:dyDescent="0.25">
      <c r="A7" s="56"/>
      <c r="B7" s="57"/>
      <c r="C7" s="57"/>
      <c r="D7" s="57"/>
      <c r="E7" s="57"/>
      <c r="F7" s="59"/>
      <c r="G7" s="59"/>
    </row>
    <row r="8" spans="1:10" s="55" customFormat="1" ht="42" customHeight="1" x14ac:dyDescent="0.25">
      <c r="A8" s="63" t="s">
        <v>14</v>
      </c>
      <c r="B8" s="220" t="s">
        <v>5</v>
      </c>
      <c r="C8" s="221"/>
      <c r="D8" s="220" t="s">
        <v>18</v>
      </c>
      <c r="E8" s="221"/>
      <c r="F8" s="71" t="s">
        <v>16</v>
      </c>
      <c r="G8" s="59"/>
    </row>
    <row r="9" spans="1:10" s="55" customFormat="1" ht="21.75" x14ac:dyDescent="0.25">
      <c r="A9" s="66" t="s">
        <v>294</v>
      </c>
      <c r="B9" s="62">
        <v>1750</v>
      </c>
      <c r="C9" s="62" t="s">
        <v>293</v>
      </c>
      <c r="D9" s="67">
        <f>DADOS_INICIAIS!E21</f>
        <v>1122.76</v>
      </c>
      <c r="E9" s="67" t="s">
        <v>2</v>
      </c>
      <c r="F9" s="89">
        <f>D9*B9*1.1</f>
        <v>2161313</v>
      </c>
      <c r="G9" s="57"/>
    </row>
    <row r="10" spans="1:10" s="55" customFormat="1" ht="21.75" x14ac:dyDescent="0.25">
      <c r="A10" s="66" t="s">
        <v>396</v>
      </c>
      <c r="B10" s="62">
        <v>30</v>
      </c>
      <c r="C10" s="62" t="s">
        <v>6</v>
      </c>
      <c r="D10" s="67">
        <f>B10*DADOS_INICIAIS!$E$9-INSTALAÇÕES!D23</f>
        <v>322034.61499999999</v>
      </c>
      <c r="E10" s="67" t="s">
        <v>397</v>
      </c>
      <c r="F10" s="89">
        <f>D10*1.1</f>
        <v>354238.07650000002</v>
      </c>
      <c r="G10" s="57"/>
    </row>
    <row r="11" spans="1:10" s="55" customFormat="1" ht="21.75" x14ac:dyDescent="0.25">
      <c r="A11" s="66" t="s">
        <v>292</v>
      </c>
      <c r="B11" s="62">
        <v>10</v>
      </c>
      <c r="C11" s="62" t="s">
        <v>6</v>
      </c>
      <c r="D11" s="67">
        <f>B11*DADOS_INICIAIS!$E$9</f>
        <v>131442.70000000001</v>
      </c>
      <c r="E11" s="67" t="s">
        <v>397</v>
      </c>
      <c r="F11" s="89">
        <f>D11*1.1</f>
        <v>144586.97000000003</v>
      </c>
      <c r="G11" s="57"/>
    </row>
    <row r="12" spans="1:10" s="55" customFormat="1" ht="21.75" x14ac:dyDescent="0.25">
      <c r="A12" s="66" t="s">
        <v>291</v>
      </c>
      <c r="B12" s="62">
        <v>12</v>
      </c>
      <c r="C12" s="62" t="s">
        <v>6</v>
      </c>
      <c r="D12" s="67">
        <f>B12*DADOS_INICIAIS!$E$9</f>
        <v>157731.24</v>
      </c>
      <c r="E12" s="67" t="s">
        <v>397</v>
      </c>
      <c r="F12" s="89">
        <f t="shared" ref="F12:F16" si="0">D12*1.1</f>
        <v>173504.364</v>
      </c>
      <c r="G12" s="57"/>
    </row>
    <row r="13" spans="1:10" s="55" customFormat="1" ht="21.75" x14ac:dyDescent="0.25">
      <c r="A13" s="66" t="s">
        <v>347</v>
      </c>
      <c r="B13" s="62">
        <v>550</v>
      </c>
      <c r="C13" s="62" t="s">
        <v>171</v>
      </c>
      <c r="D13" s="67">
        <v>194.89</v>
      </c>
      <c r="E13" s="67" t="s">
        <v>397</v>
      </c>
      <c r="F13" s="89">
        <f>D13*B13*1.1</f>
        <v>117908.45</v>
      </c>
      <c r="G13" s="57"/>
    </row>
    <row r="14" spans="1:10" s="55" customFormat="1" ht="21.75" x14ac:dyDescent="0.25">
      <c r="A14" s="66" t="s">
        <v>290</v>
      </c>
      <c r="B14" s="62">
        <v>4</v>
      </c>
      <c r="C14" s="62" t="s">
        <v>6</v>
      </c>
      <c r="D14" s="67">
        <f>B14*DADOS_INICIAIS!$E$9</f>
        <v>52577.08</v>
      </c>
      <c r="E14" s="67" t="s">
        <v>397</v>
      </c>
      <c r="F14" s="89">
        <f t="shared" si="0"/>
        <v>57834.788000000008</v>
      </c>
      <c r="G14" s="57"/>
    </row>
    <row r="15" spans="1:10" s="55" customFormat="1" ht="21.75" x14ac:dyDescent="0.25">
      <c r="A15" s="66" t="s">
        <v>289</v>
      </c>
      <c r="B15" s="62">
        <v>5</v>
      </c>
      <c r="C15" s="62" t="s">
        <v>6</v>
      </c>
      <c r="D15" s="67">
        <f>B15*DADOS_INICIAIS!$E$9</f>
        <v>65721.350000000006</v>
      </c>
      <c r="E15" s="67" t="s">
        <v>397</v>
      </c>
      <c r="F15" s="89">
        <f t="shared" si="0"/>
        <v>72293.485000000015</v>
      </c>
      <c r="G15" s="57"/>
    </row>
    <row r="16" spans="1:10" s="55" customFormat="1" ht="21.75" x14ac:dyDescent="0.25">
      <c r="A16" s="66" t="s">
        <v>288</v>
      </c>
      <c r="B16" s="62">
        <v>15</v>
      </c>
      <c r="C16" s="62" t="s">
        <v>6</v>
      </c>
      <c r="D16" s="67">
        <f>B16*DADOS_INICIAIS!$E$9</f>
        <v>197164.05000000002</v>
      </c>
      <c r="E16" s="67" t="s">
        <v>397</v>
      </c>
      <c r="F16" s="89">
        <f t="shared" si="0"/>
        <v>216880.45500000005</v>
      </c>
      <c r="G16" s="57"/>
    </row>
    <row r="17" spans="1:7" s="55" customFormat="1" ht="21.75" x14ac:dyDescent="0.25">
      <c r="A17" s="215" t="s">
        <v>17</v>
      </c>
      <c r="B17" s="215"/>
      <c r="C17" s="215"/>
      <c r="D17" s="110"/>
      <c r="E17" s="110"/>
      <c r="F17" s="90">
        <f>SUM(F9:F16)</f>
        <v>3298559.5885000005</v>
      </c>
      <c r="G17" s="60"/>
    </row>
    <row r="18" spans="1:7" s="55" customFormat="1" ht="21.75" x14ac:dyDescent="0.25">
      <c r="A18" s="219"/>
      <c r="B18" s="219"/>
      <c r="C18" s="219"/>
      <c r="D18" s="111"/>
      <c r="E18" s="111"/>
      <c r="F18" s="59"/>
      <c r="G18" s="59"/>
    </row>
    <row r="19" spans="1:7" ht="23.25" customHeight="1" x14ac:dyDescent="0.25">
      <c r="A19" s="212" t="s">
        <v>287</v>
      </c>
      <c r="B19" s="213"/>
      <c r="C19" s="214"/>
      <c r="D19" s="109"/>
      <c r="E19" s="109"/>
      <c r="F19" s="108">
        <f>F17</f>
        <v>3298559.5885000005</v>
      </c>
      <c r="G19" s="108">
        <f>F19/DADOS_INICIAIS!$E$9</f>
        <v>250.95038282841119</v>
      </c>
    </row>
  </sheetData>
  <mergeCells count="6">
    <mergeCell ref="A19:C19"/>
    <mergeCell ref="B8:C8"/>
    <mergeCell ref="D8:E8"/>
    <mergeCell ref="A2:G2"/>
    <mergeCell ref="A17:C17"/>
    <mergeCell ref="A18:C18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7B2D4-1510-4D4F-9933-056D8A08AC12}">
  <sheetPr>
    <tabColor rgb="FF003C66"/>
  </sheetPr>
  <dimension ref="A2:H68"/>
  <sheetViews>
    <sheetView zoomScaleNormal="100" workbookViewId="0">
      <selection activeCell="H12" sqref="H12"/>
    </sheetView>
  </sheetViews>
  <sheetFormatPr defaultRowHeight="15" x14ac:dyDescent="0.25"/>
  <cols>
    <col min="1" max="1" width="106.5703125" bestFit="1" customWidth="1"/>
    <col min="3" max="3" width="15.7109375" bestFit="1" customWidth="1"/>
    <col min="4" max="4" width="8.85546875" style="3"/>
    <col min="7" max="7" width="14.85546875" bestFit="1" customWidth="1"/>
    <col min="8" max="8" width="9.28515625" style="3" bestFit="1" customWidth="1"/>
  </cols>
  <sheetData>
    <row r="2" spans="1:8" x14ac:dyDescent="0.25">
      <c r="A2" t="s">
        <v>42</v>
      </c>
      <c r="B2">
        <v>2</v>
      </c>
      <c r="C2" t="s">
        <v>89</v>
      </c>
      <c r="D2" s="3">
        <v>18.399999999999999</v>
      </c>
    </row>
    <row r="3" spans="1:8" x14ac:dyDescent="0.25">
      <c r="A3" t="s">
        <v>43</v>
      </c>
      <c r="B3">
        <v>2</v>
      </c>
      <c r="C3" t="s">
        <v>90</v>
      </c>
    </row>
    <row r="4" spans="1:8" x14ac:dyDescent="0.25">
      <c r="A4" t="s">
        <v>44</v>
      </c>
      <c r="B4">
        <v>1</v>
      </c>
      <c r="C4" t="s">
        <v>91</v>
      </c>
      <c r="D4" s="3">
        <v>3.4649999999999999</v>
      </c>
    </row>
    <row r="5" spans="1:8" x14ac:dyDescent="0.25">
      <c r="A5" t="s">
        <v>45</v>
      </c>
      <c r="B5">
        <v>1</v>
      </c>
      <c r="C5" t="s">
        <v>91</v>
      </c>
      <c r="D5" s="3">
        <v>1.7324999999999999</v>
      </c>
      <c r="G5" t="s">
        <v>95</v>
      </c>
      <c r="H5" s="3">
        <f>SUMIF(C:C,G5,D:D)</f>
        <v>400.52209999999991</v>
      </c>
    </row>
    <row r="6" spans="1:8" x14ac:dyDescent="0.25">
      <c r="A6" t="s">
        <v>46</v>
      </c>
      <c r="B6">
        <v>2</v>
      </c>
      <c r="C6" t="s">
        <v>91</v>
      </c>
      <c r="D6" s="3">
        <v>5.2751999999999999</v>
      </c>
      <c r="G6" t="s">
        <v>96</v>
      </c>
      <c r="H6" s="3">
        <f>SUMIF(C:C,G6,D:D)</f>
        <v>1895.0600000000002</v>
      </c>
    </row>
    <row r="7" spans="1:8" x14ac:dyDescent="0.25">
      <c r="A7" t="s">
        <v>47</v>
      </c>
      <c r="B7">
        <v>1</v>
      </c>
      <c r="C7" t="s">
        <v>91</v>
      </c>
      <c r="D7" s="3">
        <v>4.1916000000000002</v>
      </c>
      <c r="G7" t="s">
        <v>93</v>
      </c>
      <c r="H7" s="3">
        <f>SUMIF(C:C,G7,B:B)</f>
        <v>218</v>
      </c>
    </row>
    <row r="8" spans="1:8" x14ac:dyDescent="0.25">
      <c r="A8" t="s">
        <v>48</v>
      </c>
      <c r="B8">
        <v>1</v>
      </c>
      <c r="C8" t="s">
        <v>94</v>
      </c>
      <c r="G8" t="s">
        <v>90</v>
      </c>
      <c r="H8" s="3">
        <f>SUMIF(C:C,G8,B:B)</f>
        <v>60</v>
      </c>
    </row>
    <row r="9" spans="1:8" x14ac:dyDescent="0.25">
      <c r="A9" t="s">
        <v>49</v>
      </c>
      <c r="B9">
        <v>19</v>
      </c>
      <c r="C9" t="s">
        <v>93</v>
      </c>
      <c r="G9" t="s">
        <v>94</v>
      </c>
      <c r="H9" s="3">
        <f>SUMIF(C:C,G9,B:B)</f>
        <v>1</v>
      </c>
    </row>
    <row r="10" spans="1:8" x14ac:dyDescent="0.25">
      <c r="A10" t="s">
        <v>50</v>
      </c>
      <c r="B10">
        <v>3</v>
      </c>
      <c r="C10" t="s">
        <v>91</v>
      </c>
      <c r="D10" s="3">
        <v>6.3</v>
      </c>
      <c r="G10" t="s">
        <v>92</v>
      </c>
      <c r="H10" s="3">
        <f>SUMIF(C:C,G10,D:D)</f>
        <v>46.62</v>
      </c>
    </row>
    <row r="11" spans="1:8" x14ac:dyDescent="0.25">
      <c r="A11" t="s">
        <v>51</v>
      </c>
      <c r="B11">
        <v>2</v>
      </c>
      <c r="C11" t="s">
        <v>91</v>
      </c>
      <c r="D11" s="3">
        <v>3.78</v>
      </c>
      <c r="G11" t="s">
        <v>89</v>
      </c>
      <c r="H11" s="3">
        <f>SUMIF(C:C,G11,B:B)</f>
        <v>2</v>
      </c>
    </row>
    <row r="12" spans="1:8" x14ac:dyDescent="0.25">
      <c r="A12" t="s">
        <v>52</v>
      </c>
      <c r="B12">
        <v>1</v>
      </c>
      <c r="C12" t="s">
        <v>91</v>
      </c>
      <c r="D12" s="3">
        <v>2.0076000000000001</v>
      </c>
      <c r="G12" t="s">
        <v>97</v>
      </c>
      <c r="H12" s="3">
        <f>SUMIF(C:C,G12,D:D)</f>
        <v>113.88000000000002</v>
      </c>
    </row>
    <row r="13" spans="1:8" x14ac:dyDescent="0.25">
      <c r="A13" t="s">
        <v>53</v>
      </c>
      <c r="C13" t="s">
        <v>96</v>
      </c>
      <c r="D13" s="3">
        <v>23.4526</v>
      </c>
      <c r="G13" t="s">
        <v>98</v>
      </c>
      <c r="H13" s="3">
        <v>109.3146</v>
      </c>
    </row>
    <row r="14" spans="1:8" x14ac:dyDescent="0.25">
      <c r="A14" t="s">
        <v>54</v>
      </c>
      <c r="C14" t="s">
        <v>95</v>
      </c>
      <c r="D14" s="3">
        <v>20.8062</v>
      </c>
    </row>
    <row r="15" spans="1:8" x14ac:dyDescent="0.25">
      <c r="A15" t="s">
        <v>55</v>
      </c>
      <c r="B15">
        <v>8</v>
      </c>
      <c r="C15" t="s">
        <v>90</v>
      </c>
    </row>
    <row r="16" spans="1:8" x14ac:dyDescent="0.25">
      <c r="A16" t="s">
        <v>56</v>
      </c>
      <c r="C16" t="s">
        <v>96</v>
      </c>
      <c r="D16" s="3">
        <v>124.1564</v>
      </c>
    </row>
    <row r="17" spans="1:4" x14ac:dyDescent="0.25">
      <c r="A17" t="s">
        <v>57</v>
      </c>
      <c r="B17">
        <v>2</v>
      </c>
      <c r="C17" t="s">
        <v>90</v>
      </c>
    </row>
    <row r="18" spans="1:4" x14ac:dyDescent="0.25">
      <c r="A18" t="s">
        <v>58</v>
      </c>
      <c r="B18">
        <v>2</v>
      </c>
      <c r="C18" t="s">
        <v>92</v>
      </c>
      <c r="D18" s="3">
        <v>2.94</v>
      </c>
    </row>
    <row r="19" spans="1:4" x14ac:dyDescent="0.25">
      <c r="A19" t="s">
        <v>59</v>
      </c>
      <c r="B19">
        <v>2</v>
      </c>
      <c r="C19" t="s">
        <v>92</v>
      </c>
      <c r="D19" s="3">
        <v>3.78</v>
      </c>
    </row>
    <row r="20" spans="1:4" x14ac:dyDescent="0.25">
      <c r="A20" t="s">
        <v>60</v>
      </c>
      <c r="B20">
        <v>5</v>
      </c>
      <c r="C20" t="s">
        <v>93</v>
      </c>
    </row>
    <row r="21" spans="1:4" x14ac:dyDescent="0.25">
      <c r="A21" t="s">
        <v>61</v>
      </c>
      <c r="B21">
        <v>1</v>
      </c>
      <c r="C21" t="s">
        <v>96</v>
      </c>
      <c r="D21" s="3">
        <v>14.7348</v>
      </c>
    </row>
    <row r="22" spans="1:4" x14ac:dyDescent="0.25">
      <c r="A22" t="s">
        <v>62</v>
      </c>
      <c r="C22" t="s">
        <v>96</v>
      </c>
      <c r="D22" s="3">
        <v>45.024799999999999</v>
      </c>
    </row>
    <row r="23" spans="1:4" x14ac:dyDescent="0.25">
      <c r="A23" t="s">
        <v>63</v>
      </c>
      <c r="C23" t="s">
        <v>95</v>
      </c>
      <c r="D23" s="3">
        <v>19.8809</v>
      </c>
    </row>
    <row r="24" spans="1:4" x14ac:dyDescent="0.25">
      <c r="A24" t="s">
        <v>64</v>
      </c>
      <c r="B24">
        <v>38</v>
      </c>
      <c r="C24" t="s">
        <v>90</v>
      </c>
    </row>
    <row r="25" spans="1:4" x14ac:dyDescent="0.25">
      <c r="A25" t="s">
        <v>65</v>
      </c>
      <c r="B25">
        <v>171</v>
      </c>
      <c r="C25" t="s">
        <v>93</v>
      </c>
    </row>
    <row r="26" spans="1:4" x14ac:dyDescent="0.25">
      <c r="A26" t="s">
        <v>66</v>
      </c>
      <c r="B26">
        <v>19</v>
      </c>
      <c r="C26" t="s">
        <v>92</v>
      </c>
      <c r="D26" s="3">
        <v>23.94</v>
      </c>
    </row>
    <row r="27" spans="1:4" x14ac:dyDescent="0.25">
      <c r="A27" t="s">
        <v>67</v>
      </c>
      <c r="B27">
        <v>19</v>
      </c>
      <c r="C27" t="s">
        <v>96</v>
      </c>
      <c r="D27" s="3">
        <v>482.98950000000002</v>
      </c>
    </row>
    <row r="28" spans="1:4" x14ac:dyDescent="0.25">
      <c r="A28" t="s">
        <v>68</v>
      </c>
      <c r="B28">
        <v>19</v>
      </c>
      <c r="C28" t="s">
        <v>96</v>
      </c>
      <c r="D28" s="3">
        <v>338.7396</v>
      </c>
    </row>
    <row r="29" spans="1:4" x14ac:dyDescent="0.25">
      <c r="A29" t="s">
        <v>69</v>
      </c>
      <c r="C29" t="s">
        <v>96</v>
      </c>
      <c r="D29" s="3">
        <v>530.63199999999995</v>
      </c>
    </row>
    <row r="30" spans="1:4" x14ac:dyDescent="0.25">
      <c r="A30" t="s">
        <v>70</v>
      </c>
      <c r="C30" t="s">
        <v>97</v>
      </c>
      <c r="D30" s="3">
        <v>90.155000000000001</v>
      </c>
    </row>
    <row r="31" spans="1:4" x14ac:dyDescent="0.25">
      <c r="A31" t="s">
        <v>71</v>
      </c>
      <c r="C31" t="s">
        <v>95</v>
      </c>
      <c r="D31" s="3">
        <v>297.255</v>
      </c>
    </row>
    <row r="32" spans="1:4" x14ac:dyDescent="0.25">
      <c r="A32" t="s">
        <v>57</v>
      </c>
      <c r="B32">
        <v>2</v>
      </c>
      <c r="C32" t="s">
        <v>90</v>
      </c>
    </row>
    <row r="33" spans="1:4" x14ac:dyDescent="0.25">
      <c r="A33" t="s">
        <v>72</v>
      </c>
      <c r="B33">
        <v>2</v>
      </c>
      <c r="C33" t="s">
        <v>93</v>
      </c>
    </row>
    <row r="34" spans="1:4" x14ac:dyDescent="0.25">
      <c r="A34" t="s">
        <v>73</v>
      </c>
      <c r="B34">
        <v>1</v>
      </c>
      <c r="C34" t="s">
        <v>92</v>
      </c>
      <c r="D34" s="3">
        <v>1.26</v>
      </c>
    </row>
    <row r="35" spans="1:4" x14ac:dyDescent="0.25">
      <c r="A35" t="s">
        <v>74</v>
      </c>
      <c r="B35">
        <v>1</v>
      </c>
      <c r="C35" t="s">
        <v>96</v>
      </c>
      <c r="D35" s="3">
        <v>15.21</v>
      </c>
    </row>
    <row r="36" spans="1:4" x14ac:dyDescent="0.25">
      <c r="A36" t="s">
        <v>75</v>
      </c>
      <c r="B36">
        <v>1</v>
      </c>
      <c r="C36" t="s">
        <v>96</v>
      </c>
      <c r="D36" s="3">
        <v>25.420500000000001</v>
      </c>
    </row>
    <row r="37" spans="1:4" x14ac:dyDescent="0.25">
      <c r="A37" t="s">
        <v>76</v>
      </c>
      <c r="B37">
        <v>1</v>
      </c>
      <c r="C37" t="s">
        <v>96</v>
      </c>
      <c r="D37" s="3">
        <v>17.828399999999998</v>
      </c>
    </row>
    <row r="38" spans="1:4" x14ac:dyDescent="0.25">
      <c r="A38" t="s">
        <v>77</v>
      </c>
      <c r="C38" t="s">
        <v>96</v>
      </c>
      <c r="D38" s="3">
        <v>27.928000000000001</v>
      </c>
    </row>
    <row r="39" spans="1:4" x14ac:dyDescent="0.25">
      <c r="A39" t="s">
        <v>78</v>
      </c>
      <c r="C39" t="s">
        <v>97</v>
      </c>
      <c r="D39" s="3">
        <v>4.7450000000000001</v>
      </c>
    </row>
    <row r="40" spans="1:4" x14ac:dyDescent="0.25">
      <c r="A40" t="s">
        <v>79</v>
      </c>
      <c r="C40" t="s">
        <v>95</v>
      </c>
      <c r="D40" s="3">
        <v>15.645</v>
      </c>
    </row>
    <row r="41" spans="1:4" x14ac:dyDescent="0.25">
      <c r="A41" t="s">
        <v>57</v>
      </c>
      <c r="B41">
        <v>2</v>
      </c>
      <c r="C41" t="s">
        <v>90</v>
      </c>
    </row>
    <row r="42" spans="1:4" x14ac:dyDescent="0.25">
      <c r="A42" t="s">
        <v>80</v>
      </c>
      <c r="B42">
        <v>7</v>
      </c>
      <c r="C42" t="s">
        <v>93</v>
      </c>
    </row>
    <row r="43" spans="1:4" x14ac:dyDescent="0.25">
      <c r="A43" t="s">
        <v>81</v>
      </c>
      <c r="B43">
        <v>2</v>
      </c>
      <c r="C43" t="s">
        <v>93</v>
      </c>
    </row>
    <row r="44" spans="1:4" x14ac:dyDescent="0.25">
      <c r="A44" t="s">
        <v>75</v>
      </c>
      <c r="B44">
        <v>1</v>
      </c>
      <c r="C44" t="s">
        <v>96</v>
      </c>
      <c r="D44" s="3">
        <v>25.420500000000001</v>
      </c>
    </row>
    <row r="45" spans="1:4" x14ac:dyDescent="0.25">
      <c r="A45" t="s">
        <v>76</v>
      </c>
      <c r="B45">
        <v>1</v>
      </c>
      <c r="C45" t="s">
        <v>96</v>
      </c>
      <c r="D45" s="3">
        <v>17.828399999999998</v>
      </c>
    </row>
    <row r="46" spans="1:4" x14ac:dyDescent="0.25">
      <c r="A46" t="s">
        <v>82</v>
      </c>
      <c r="C46" t="s">
        <v>96</v>
      </c>
      <c r="D46" s="3">
        <v>26.827999999999999</v>
      </c>
    </row>
    <row r="47" spans="1:4" x14ac:dyDescent="0.25">
      <c r="A47" t="s">
        <v>78</v>
      </c>
      <c r="C47" t="s">
        <v>97</v>
      </c>
      <c r="D47" s="3">
        <v>4.7450000000000001</v>
      </c>
    </row>
    <row r="48" spans="1:4" x14ac:dyDescent="0.25">
      <c r="A48" t="s">
        <v>79</v>
      </c>
      <c r="C48" t="s">
        <v>95</v>
      </c>
      <c r="D48" s="3">
        <v>15.645</v>
      </c>
    </row>
    <row r="49" spans="1:4" x14ac:dyDescent="0.25">
      <c r="A49" t="s">
        <v>57</v>
      </c>
      <c r="B49">
        <v>2</v>
      </c>
      <c r="C49" t="s">
        <v>90</v>
      </c>
    </row>
    <row r="50" spans="1:4" x14ac:dyDescent="0.25">
      <c r="A50" t="s">
        <v>83</v>
      </c>
      <c r="B50">
        <v>4</v>
      </c>
      <c r="C50" t="s">
        <v>93</v>
      </c>
    </row>
    <row r="51" spans="1:4" x14ac:dyDescent="0.25">
      <c r="A51" t="s">
        <v>73</v>
      </c>
      <c r="B51">
        <v>1</v>
      </c>
      <c r="C51" t="s">
        <v>92</v>
      </c>
      <c r="D51" s="3">
        <v>1.26</v>
      </c>
    </row>
    <row r="52" spans="1:4" x14ac:dyDescent="0.25">
      <c r="A52" t="s">
        <v>84</v>
      </c>
      <c r="B52">
        <v>1</v>
      </c>
      <c r="C52" t="s">
        <v>93</v>
      </c>
    </row>
    <row r="53" spans="1:4" x14ac:dyDescent="0.25">
      <c r="A53" t="s">
        <v>85</v>
      </c>
      <c r="B53">
        <v>1</v>
      </c>
      <c r="C53" t="s">
        <v>92</v>
      </c>
      <c r="D53" s="3">
        <v>10.5</v>
      </c>
    </row>
    <row r="54" spans="1:4" x14ac:dyDescent="0.25">
      <c r="A54" t="s">
        <v>75</v>
      </c>
      <c r="B54">
        <v>1</v>
      </c>
      <c r="C54" t="s">
        <v>96</v>
      </c>
      <c r="D54" s="3">
        <v>25.420500000000001</v>
      </c>
    </row>
    <row r="55" spans="1:4" x14ac:dyDescent="0.25">
      <c r="A55" t="s">
        <v>76</v>
      </c>
      <c r="B55">
        <v>1</v>
      </c>
      <c r="C55" t="s">
        <v>96</v>
      </c>
      <c r="D55" s="3">
        <v>17.828399999999998</v>
      </c>
    </row>
    <row r="56" spans="1:4" x14ac:dyDescent="0.25">
      <c r="A56" t="s">
        <v>77</v>
      </c>
      <c r="C56" t="s">
        <v>96</v>
      </c>
      <c r="D56" s="3">
        <v>27.928000000000001</v>
      </c>
    </row>
    <row r="57" spans="1:4" x14ac:dyDescent="0.25">
      <c r="A57" t="s">
        <v>78</v>
      </c>
      <c r="C57" t="s">
        <v>97</v>
      </c>
      <c r="D57" s="3">
        <v>4.7450000000000001</v>
      </c>
    </row>
    <row r="58" spans="1:4" x14ac:dyDescent="0.25">
      <c r="A58" t="s">
        <v>79</v>
      </c>
      <c r="C58" t="s">
        <v>95</v>
      </c>
      <c r="D58" s="3">
        <v>15.645</v>
      </c>
    </row>
    <row r="59" spans="1:4" x14ac:dyDescent="0.25">
      <c r="A59" t="s">
        <v>57</v>
      </c>
      <c r="B59">
        <v>2</v>
      </c>
      <c r="C59" t="s">
        <v>90</v>
      </c>
    </row>
    <row r="60" spans="1:4" x14ac:dyDescent="0.25">
      <c r="A60" t="s">
        <v>80</v>
      </c>
      <c r="B60">
        <v>7</v>
      </c>
      <c r="C60" t="s">
        <v>93</v>
      </c>
    </row>
    <row r="61" spans="1:4" x14ac:dyDescent="0.25">
      <c r="A61" t="s">
        <v>86</v>
      </c>
      <c r="B61">
        <v>1</v>
      </c>
      <c r="C61" t="s">
        <v>96</v>
      </c>
      <c r="D61" s="3">
        <v>5.61</v>
      </c>
    </row>
    <row r="62" spans="1:4" x14ac:dyDescent="0.25">
      <c r="A62" t="s">
        <v>87</v>
      </c>
      <c r="C62" t="s">
        <v>96</v>
      </c>
      <c r="D62" s="3">
        <v>69.707599999999999</v>
      </c>
    </row>
    <row r="63" spans="1:4" x14ac:dyDescent="0.25">
      <c r="A63" t="s">
        <v>78</v>
      </c>
      <c r="C63" t="s">
        <v>97</v>
      </c>
      <c r="D63" s="3">
        <v>4.7450000000000001</v>
      </c>
    </row>
    <row r="64" spans="1:4" x14ac:dyDescent="0.25">
      <c r="A64" t="s">
        <v>79</v>
      </c>
      <c r="C64" t="s">
        <v>95</v>
      </c>
      <c r="D64" s="3">
        <v>15.645</v>
      </c>
    </row>
    <row r="65" spans="1:4" x14ac:dyDescent="0.25">
      <c r="A65" t="s">
        <v>57</v>
      </c>
      <c r="B65">
        <v>2</v>
      </c>
      <c r="C65" t="s">
        <v>90</v>
      </c>
    </row>
    <row r="66" spans="1:4" x14ac:dyDescent="0.25">
      <c r="A66" t="s">
        <v>58</v>
      </c>
      <c r="B66">
        <v>2</v>
      </c>
      <c r="C66" t="s">
        <v>92</v>
      </c>
      <c r="D66" s="3">
        <v>2.94</v>
      </c>
    </row>
    <row r="67" spans="1:4" x14ac:dyDescent="0.25">
      <c r="A67" t="s">
        <v>88</v>
      </c>
      <c r="C67" t="s">
        <v>96</v>
      </c>
      <c r="D67" s="3">
        <v>32.372</v>
      </c>
    </row>
    <row r="68" spans="1:4" x14ac:dyDescent="0.25">
      <c r="A68" t="s">
        <v>78</v>
      </c>
      <c r="C68" t="s">
        <v>97</v>
      </c>
      <c r="D68" s="3">
        <v>4.7450000000000001</v>
      </c>
    </row>
  </sheetData>
  <autoFilter ref="A1:D68" xr:uid="{0567B2D4-1510-4D4F-9933-056D8A08AC12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18</vt:i4>
      </vt:variant>
      <vt:variant>
        <vt:lpstr>Intervalos Nomeados</vt:lpstr>
      </vt:variant>
      <vt:variant>
        <vt:i4>29</vt:i4>
      </vt:variant>
    </vt:vector>
  </HeadingPairs>
  <TitlesOfParts>
    <vt:vector size="47" baseType="lpstr">
      <vt:lpstr>DADOS_INICIAIS</vt:lpstr>
      <vt:lpstr>MOVIMENTAÇÃO_DE_TERRA</vt:lpstr>
      <vt:lpstr>CONTENÇÕES</vt:lpstr>
      <vt:lpstr>INFRAESTRUTURA</vt:lpstr>
      <vt:lpstr>SUPRAESTRUTURA</vt:lpstr>
      <vt:lpstr>ALVENARIA</vt:lpstr>
      <vt:lpstr>INSTALAÇÕES</vt:lpstr>
      <vt:lpstr>SISTEMAS ESPECIAIS</vt:lpstr>
      <vt:lpstr>IMPERMEABILIZAÇÃO</vt:lpstr>
      <vt:lpstr>Rev. Internos Piso e Parede</vt:lpstr>
      <vt:lpstr>TETO</vt:lpstr>
      <vt:lpstr>Acabamentos de Piso e Parede</vt:lpstr>
      <vt:lpstr>PINTURA INTERNA</vt:lpstr>
      <vt:lpstr>ESQUADRIAS</vt:lpstr>
      <vt:lpstr>COBERTURA</vt:lpstr>
      <vt:lpstr>Rev. Fachada</vt:lpstr>
      <vt:lpstr>COMPLEMENTARES</vt:lpstr>
      <vt:lpstr>Auxiliar</vt:lpstr>
      <vt:lpstr>'Acabamentos de Piso e Parede'!Area_de_impressao</vt:lpstr>
      <vt:lpstr>ALVENARIA!Area_de_impressao</vt:lpstr>
      <vt:lpstr>COBERTURA!Area_de_impressao</vt:lpstr>
      <vt:lpstr>COMPLEMENTARES!Area_de_impressao</vt:lpstr>
      <vt:lpstr>CONTENÇÕES!Area_de_impressao</vt:lpstr>
      <vt:lpstr>DADOS_INICIAIS!Area_de_impressao</vt:lpstr>
      <vt:lpstr>ESQUADRIAS!Area_de_impressao</vt:lpstr>
      <vt:lpstr>IMPERMEABILIZAÇÃO!Area_de_impressao</vt:lpstr>
      <vt:lpstr>INFRAESTRUTURA!Area_de_impressao</vt:lpstr>
      <vt:lpstr>INSTALAÇÕES!Area_de_impressao</vt:lpstr>
      <vt:lpstr>MOVIMENTAÇÃO_DE_TERRA!Area_de_impressao</vt:lpstr>
      <vt:lpstr>'PINTURA INTERNA'!Area_de_impressao</vt:lpstr>
      <vt:lpstr>'Rev. Fachada'!Area_de_impressao</vt:lpstr>
      <vt:lpstr>'Rev. Internos Piso e Parede'!Area_de_impressao</vt:lpstr>
      <vt:lpstr>'SISTEMAS ESPECIAIS'!Area_de_impressao</vt:lpstr>
      <vt:lpstr>SUPRAESTRUTURA!Area_de_impressao</vt:lpstr>
      <vt:lpstr>TETO!Area_de_impressao</vt:lpstr>
      <vt:lpstr>'Acabamentos de Piso e Parede'!Titulos_de_impressao</vt:lpstr>
      <vt:lpstr>ALVENARIA!Titulos_de_impressao</vt:lpstr>
      <vt:lpstr>CONTENÇÕES!Titulos_de_impressao</vt:lpstr>
      <vt:lpstr>DADOS_INICIAIS!Titulos_de_impressao</vt:lpstr>
      <vt:lpstr>ESQUADRIAS!Titulos_de_impressao</vt:lpstr>
      <vt:lpstr>IMPERMEABILIZAÇÃO!Titulos_de_impressao</vt:lpstr>
      <vt:lpstr>INFRAESTRUTURA!Titulos_de_impressao</vt:lpstr>
      <vt:lpstr>'PINTURA INTERNA'!Titulos_de_impressao</vt:lpstr>
      <vt:lpstr>'Rev. Fachada'!Titulos_de_impressao</vt:lpstr>
      <vt:lpstr>'Rev. Internos Piso e Parede'!Titulos_de_impressao</vt:lpstr>
      <vt:lpstr>SUPRAESTRUTURA!Titulos_de_impressao</vt:lpstr>
      <vt:lpstr>TETO!Titulos_de_impressao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Kelen Oliveira</dc:creator>
  <cp:lastModifiedBy>Patricia Bragatto</cp:lastModifiedBy>
  <cp:lastPrinted>2020-09-28T02:21:03Z</cp:lastPrinted>
  <dcterms:created xsi:type="dcterms:W3CDTF">2013-07-31T19:52:57Z</dcterms:created>
  <dcterms:modified xsi:type="dcterms:W3CDTF">2024-07-18T18:32:37Z</dcterms:modified>
</cp:coreProperties>
</file>