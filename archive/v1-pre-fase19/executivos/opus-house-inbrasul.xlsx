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Users\iOS\Desktop\Monique Home Office\Opus - Inbrasul\Apresentação\"/>
    </mc:Choice>
  </mc:AlternateContent>
  <xr:revisionPtr revIDLastSave="0" documentId="13_ncr:1_{8E27C918-F4C6-4914-B21F-BE2334BD543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Orçamento Resumo" sheetId="1" r:id="rId1"/>
    <sheet name="Análise custos" sheetId="2" r:id="rId2"/>
    <sheet name="Planilha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7" roundtripDataSignature="AMtx7mj5ZOj/vT9SYaFWHwTa+BTlMfiLfg=="/>
    </ext>
  </extLst>
</workbook>
</file>

<file path=xl/calcChain.xml><?xml version="1.0" encoding="utf-8"?>
<calcChain xmlns="http://schemas.openxmlformats.org/spreadsheetml/2006/main">
  <c r="E17" i="1" l="1"/>
  <c r="G25" i="3"/>
  <c r="H25" i="3" s="1"/>
  <c r="I25" i="3" s="1"/>
  <c r="C25" i="3"/>
  <c r="D25" i="3" s="1"/>
  <c r="E25" i="3" s="1"/>
  <c r="N3" i="3"/>
  <c r="D21" i="3" s="1"/>
  <c r="E21" i="3" s="1"/>
  <c r="E17" i="2"/>
  <c r="D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B19" i="1"/>
  <c r="C15" i="1" s="1"/>
  <c r="E18" i="1"/>
  <c r="D18" i="1"/>
  <c r="E16" i="1"/>
  <c r="D16" i="1"/>
  <c r="B15" i="2" s="1"/>
  <c r="E15" i="1"/>
  <c r="D15" i="1"/>
  <c r="B14" i="2" s="1"/>
  <c r="E14" i="1"/>
  <c r="D14" i="1"/>
  <c r="B13" i="2" s="1"/>
  <c r="G13" i="1"/>
  <c r="E13" i="1"/>
  <c r="D13" i="1"/>
  <c r="B12" i="2" s="1"/>
  <c r="G12" i="1"/>
  <c r="E12" i="1"/>
  <c r="D12" i="1"/>
  <c r="B11" i="2" s="1"/>
  <c r="E11" i="1"/>
  <c r="D11" i="1"/>
  <c r="B10" i="2" s="1"/>
  <c r="E10" i="1"/>
  <c r="D10" i="1"/>
  <c r="B9" i="2" s="1"/>
  <c r="E9" i="1"/>
  <c r="D9" i="1"/>
  <c r="B8" i="2" s="1"/>
  <c r="E8" i="1"/>
  <c r="D8" i="1"/>
  <c r="B7" i="2" s="1"/>
  <c r="E7" i="1"/>
  <c r="D7" i="1"/>
  <c r="B6" i="2" s="1"/>
  <c r="E6" i="1"/>
  <c r="D6" i="1"/>
  <c r="B5" i="2" s="1"/>
  <c r="E5" i="1"/>
  <c r="D5" i="1"/>
  <c r="B4" i="2" s="1"/>
  <c r="E4" i="1"/>
  <c r="D4" i="1"/>
  <c r="B3" i="2" s="1"/>
  <c r="E3" i="1"/>
  <c r="D3" i="1"/>
  <c r="B2" i="2" s="1"/>
  <c r="E2" i="1"/>
  <c r="D2" i="1"/>
  <c r="D17" i="1" l="1"/>
  <c r="B16" i="2" s="1"/>
  <c r="B17" i="2" s="1"/>
  <c r="E19" i="1"/>
  <c r="C9" i="1"/>
  <c r="C8" i="1"/>
  <c r="C13" i="1"/>
  <c r="C18" i="1"/>
  <c r="H5" i="3"/>
  <c r="I5" i="3" s="1"/>
  <c r="H7" i="3"/>
  <c r="I7" i="3" s="1"/>
  <c r="H9" i="3"/>
  <c r="I9" i="3" s="1"/>
  <c r="H11" i="3"/>
  <c r="I11" i="3" s="1"/>
  <c r="H13" i="3"/>
  <c r="I13" i="3" s="1"/>
  <c r="H15" i="3"/>
  <c r="I15" i="3" s="1"/>
  <c r="H17" i="3"/>
  <c r="I17" i="3" s="1"/>
  <c r="H19" i="3"/>
  <c r="I19" i="3" s="1"/>
  <c r="H21" i="3"/>
  <c r="I21" i="3" s="1"/>
  <c r="C3" i="1"/>
  <c r="C11" i="1"/>
  <c r="C6" i="1"/>
  <c r="C16" i="1"/>
  <c r="D4" i="3"/>
  <c r="E4" i="3" s="1"/>
  <c r="D6" i="3"/>
  <c r="E6" i="3" s="1"/>
  <c r="D8" i="3"/>
  <c r="E8" i="3" s="1"/>
  <c r="D10" i="3"/>
  <c r="E10" i="3" s="1"/>
  <c r="D12" i="3"/>
  <c r="E12" i="3" s="1"/>
  <c r="D14" i="3"/>
  <c r="E14" i="3" s="1"/>
  <c r="D16" i="3"/>
  <c r="E16" i="3" s="1"/>
  <c r="D18" i="3"/>
  <c r="E18" i="3" s="1"/>
  <c r="D20" i="3"/>
  <c r="E20" i="3" s="1"/>
  <c r="H4" i="3"/>
  <c r="I4" i="3" s="1"/>
  <c r="H6" i="3"/>
  <c r="I6" i="3" s="1"/>
  <c r="H8" i="3"/>
  <c r="I8" i="3" s="1"/>
  <c r="H10" i="3"/>
  <c r="I10" i="3" s="1"/>
  <c r="H12" i="3"/>
  <c r="I12" i="3" s="1"/>
  <c r="H14" i="3"/>
  <c r="I14" i="3" s="1"/>
  <c r="H16" i="3"/>
  <c r="I16" i="3" s="1"/>
  <c r="H18" i="3"/>
  <c r="I18" i="3" s="1"/>
  <c r="H20" i="3"/>
  <c r="I20" i="3" s="1"/>
  <c r="C12" i="1"/>
  <c r="C7" i="1"/>
  <c r="C17" i="1"/>
  <c r="C2" i="1"/>
  <c r="C10" i="1"/>
  <c r="D5" i="3"/>
  <c r="E5" i="3" s="1"/>
  <c r="D7" i="3"/>
  <c r="E7" i="3" s="1"/>
  <c r="D9" i="3"/>
  <c r="E9" i="3" s="1"/>
  <c r="D11" i="3"/>
  <c r="E11" i="3" s="1"/>
  <c r="D13" i="3"/>
  <c r="E13" i="3" s="1"/>
  <c r="D15" i="3"/>
  <c r="E15" i="3" s="1"/>
  <c r="D17" i="3"/>
  <c r="E17" i="3" s="1"/>
  <c r="D19" i="3"/>
  <c r="E19" i="3" s="1"/>
  <c r="C4" i="1"/>
  <c r="C14" i="1"/>
  <c r="C5" i="1"/>
  <c r="D19" i="1" l="1"/>
  <c r="D20" i="1" s="1"/>
  <c r="C19" i="1"/>
</calcChain>
</file>

<file path=xl/sharedStrings.xml><?xml version="1.0" encoding="utf-8"?>
<sst xmlns="http://schemas.openxmlformats.org/spreadsheetml/2006/main" count="75" uniqueCount="70">
  <si>
    <t>Etapa</t>
  </si>
  <si>
    <t>Valor Orçado</t>
  </si>
  <si>
    <t>%</t>
  </si>
  <si>
    <t>Valor / m²</t>
  </si>
  <si>
    <t>Valor / AP</t>
  </si>
  <si>
    <t>GERENCIAMENTO TÉCNICO E ADMINISTRATIVO</t>
  </si>
  <si>
    <t>MOVIMENTAÇÃO DE TERRA</t>
  </si>
  <si>
    <t>SUPRAESTRUTURA</t>
  </si>
  <si>
    <t>ALVENARIA, VEDAÇÕES E DIVISÓRIAS</t>
  </si>
  <si>
    <t>INSTALAÇÕES ELÉTRICAS, HIDROSSANITÁRIAS, PREVENTIVAS E GLP</t>
  </si>
  <si>
    <t>SISTEMAS ESPECIAIS E EQUIPAMENTOS</t>
  </si>
  <si>
    <t>IMPERMEABILIZAÇÃO</t>
  </si>
  <si>
    <t>REVESTIMENTOS INTERNOS EM PISO E PAREDE</t>
  </si>
  <si>
    <t>área de ap</t>
  </si>
  <si>
    <t>REVESTIMENTOS E ACABAMENTOS INTERNOS EM TETO</t>
  </si>
  <si>
    <t>ACABAMENTOS EM PISO E PAREDE</t>
  </si>
  <si>
    <t>PINTURA INTERNA</t>
  </si>
  <si>
    <t xml:space="preserve">ESQUADRIAS </t>
  </si>
  <si>
    <t>REVESTIMENTOS E ACABAMENTOS DE FACHADA</t>
  </si>
  <si>
    <t>COBERTURA</t>
  </si>
  <si>
    <t>SERVIÇOS COMPLEMENTARES</t>
  </si>
  <si>
    <t>IMPREVISTOS E CONTINGÊNCIAS</t>
  </si>
  <si>
    <t>TOTAL</t>
  </si>
  <si>
    <t>CUB/SC</t>
  </si>
  <si>
    <t>CUB</t>
  </si>
  <si>
    <t>Obras Similares</t>
  </si>
  <si>
    <t>580,00 - 630,00</t>
  </si>
  <si>
    <t>300,00 - 350,00</t>
  </si>
  <si>
    <t>220,00 - 280,00</t>
  </si>
  <si>
    <t>40,00 - 50,00</t>
  </si>
  <si>
    <t>160,00 - 190,00</t>
  </si>
  <si>
    <t>5,00 - 10,00</t>
  </si>
  <si>
    <t>130,00 - 160,00</t>
  </si>
  <si>
    <t>São francisco</t>
  </si>
  <si>
    <t>m2</t>
  </si>
  <si>
    <t xml:space="preserve">Atlanta </t>
  </si>
  <si>
    <t>Cub abril/19</t>
  </si>
  <si>
    <t>Cub out/21</t>
  </si>
  <si>
    <t>Variação</t>
  </si>
  <si>
    <t>R$/m2</t>
  </si>
  <si>
    <t>Serviços preliminares</t>
  </si>
  <si>
    <t>Fundação</t>
  </si>
  <si>
    <t>Estrutura</t>
  </si>
  <si>
    <t>Alvenaria</t>
  </si>
  <si>
    <t>Impermeabilização</t>
  </si>
  <si>
    <t xml:space="preserve">Revestimento </t>
  </si>
  <si>
    <t>Pisos</t>
  </si>
  <si>
    <t>Mármores e granitos</t>
  </si>
  <si>
    <t xml:space="preserve">Forros </t>
  </si>
  <si>
    <t>Esquadrias</t>
  </si>
  <si>
    <t>Vidros</t>
  </si>
  <si>
    <t>Cobertura</t>
  </si>
  <si>
    <t>Inst. Hidráulicas</t>
  </si>
  <si>
    <t>Inst. Elétricas</t>
  </si>
  <si>
    <t>Inst. Especiais</t>
  </si>
  <si>
    <t>Pintura</t>
  </si>
  <si>
    <t>Muros e fechamentos</t>
  </si>
  <si>
    <t>Serviços complementares</t>
  </si>
  <si>
    <t>Revestimento externo</t>
  </si>
  <si>
    <t>Pintura externa</t>
  </si>
  <si>
    <t>10,00 - 20,00</t>
  </si>
  <si>
    <t>140,00 - 210,00</t>
  </si>
  <si>
    <t>100,00 - 130,00</t>
  </si>
  <si>
    <t>160,00 - 200,00</t>
  </si>
  <si>
    <t>80,00 - 90,00</t>
  </si>
  <si>
    <t>280,00 - 330,00</t>
  </si>
  <si>
    <t>90,00 - 130,00</t>
  </si>
  <si>
    <t>2.350,00 - 2.830,00</t>
  </si>
  <si>
    <t>Águas (R$/m²)</t>
  </si>
  <si>
    <t xml:space="preserve">INFRAESTRUTURA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</si>
</sst>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#,##0.00"/>
    <numFmt numFmtId="165" formatCode="_-* #,##0.00_-;\-* #,##0.00_-;_-* &quot;-&quot;??_-;_-@"/>
    <numFmt numFmtId="166" formatCode="_-&quot;R$&quot;\ * #,##0.00_-;\-&quot;R$&quot;\ * #,##0.00_-;_-&quot;R$&quot;\ * &quot;-&quot;??_-;_-@"/>
  </numFmts>
  <fonts count="7" x14ac:knownFonts="1">
    <font>
      <sz val="10"/>
      <color rgb="FF000000"/>
      <name val="Arial"/>
      <scheme val="minor"/>
    </font>
    <font>
      <b/>
      <sz val="10"/>
      <color theme="0"/>
      <name val="Poppins"/>
    </font>
    <font>
      <sz val="10"/>
      <color theme="1"/>
      <name val="Poppins"/>
    </font>
    <font>
      <sz val="10"/>
      <color rgb="FF010000"/>
      <name val="Poppins"/>
    </font>
    <font>
      <sz val="10"/>
      <color theme="1"/>
      <name val="Arial"/>
    </font>
    <font>
      <b/>
      <sz val="10"/>
      <color rgb="FFF5F5F5"/>
      <name val="Poppins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55AE5"/>
        <bgColor rgb="FF255AE5"/>
      </patternFill>
    </fill>
    <fill>
      <patternFill patternType="solid">
        <fgColor rgb="FFD0D0D0"/>
        <bgColor rgb="FFD0D0D0"/>
      </patternFill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 style="thin">
        <color rgb="FF7A7A7A"/>
      </left>
      <right style="thin">
        <color rgb="FF7A7A7A"/>
      </right>
      <top style="thin">
        <color rgb="FF7A7A7A"/>
      </top>
      <bottom style="thin">
        <color rgb="FF7A7A7A"/>
      </bottom>
      <diagonal/>
    </border>
    <border>
      <left style="thin">
        <color rgb="FF7A7A7A"/>
      </left>
      <right style="thin">
        <color rgb="FF9F9F9F"/>
      </right>
      <top style="hair">
        <color rgb="FF7A7A7A"/>
      </top>
      <bottom style="hair">
        <color rgb="FF7A7A7A"/>
      </bottom>
      <diagonal/>
    </border>
    <border>
      <left style="thin">
        <color rgb="FF9F9F9F"/>
      </left>
      <right style="thin">
        <color rgb="FF9F9F9F"/>
      </right>
      <top style="hair">
        <color rgb="FF7A7A7A"/>
      </top>
      <bottom style="hair">
        <color rgb="FF7A7A7A"/>
      </bottom>
      <diagonal/>
    </border>
    <border>
      <left style="thin">
        <color rgb="FF9F9F9F"/>
      </left>
      <right style="thin">
        <color rgb="FF7A7A7A"/>
      </right>
      <top style="hair">
        <color rgb="FF7A7A7A"/>
      </top>
      <bottom style="hair">
        <color rgb="FF7A7A7A"/>
      </bottom>
      <diagonal/>
    </border>
    <border>
      <left style="thin">
        <color rgb="FF7A7A7A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7A7A7A"/>
      </right>
      <top style="thin">
        <color rgb="FFB7B7B7"/>
      </top>
      <bottom style="thin">
        <color rgb="FFB7B7B7"/>
      </bottom>
      <diagonal/>
    </border>
    <border>
      <left style="thin">
        <color rgb="FF7A7A7A"/>
      </left>
      <right style="thin">
        <color rgb="FFB7B7B7"/>
      </right>
      <top style="thin">
        <color rgb="FFB7B7B7"/>
      </top>
      <bottom style="thin">
        <color rgb="FF7A7A7A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7A7A7A"/>
      </bottom>
      <diagonal/>
    </border>
    <border>
      <left style="thin">
        <color rgb="FFB7B7B7"/>
      </left>
      <right/>
      <top style="thin">
        <color rgb="FFB7B7B7"/>
      </top>
      <bottom style="thin">
        <color rgb="FF7A7A7A"/>
      </bottom>
      <diagonal/>
    </border>
    <border>
      <left/>
      <right style="thin">
        <color rgb="FF7A7A7A"/>
      </right>
      <top style="thin">
        <color rgb="FFB7B7B7"/>
      </top>
      <bottom style="thin">
        <color rgb="FF7A7A7A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1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3" borderId="2" xfId="0" applyFont="1" applyFill="1" applyBorder="1" applyAlignment="1">
      <alignment horizontal="left" vertical="center" wrapText="1"/>
    </xf>
    <xf numFmtId="164" fontId="3" fillId="3" borderId="3" xfId="0" applyNumberFormat="1" applyFont="1" applyFill="1" applyBorder="1" applyAlignment="1">
      <alignment horizontal="right" vertical="center" wrapText="1"/>
    </xf>
    <xf numFmtId="10" fontId="2" fillId="3" borderId="3" xfId="0" applyNumberFormat="1" applyFont="1" applyFill="1" applyBorder="1" applyAlignment="1">
      <alignment vertical="center" wrapText="1"/>
    </xf>
    <xf numFmtId="165" fontId="2" fillId="3" borderId="3" xfId="0" applyNumberFormat="1" applyFont="1" applyFill="1" applyBorder="1" applyAlignment="1">
      <alignment vertical="center" wrapText="1"/>
    </xf>
    <xf numFmtId="165" fontId="2" fillId="3" borderId="4" xfId="0" applyNumberFormat="1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left" vertical="center" wrapText="1"/>
    </xf>
    <xf numFmtId="164" fontId="3" fillId="4" borderId="3" xfId="0" applyNumberFormat="1" applyFont="1" applyFill="1" applyBorder="1" applyAlignment="1">
      <alignment horizontal="right" vertical="center" wrapText="1"/>
    </xf>
    <xf numFmtId="10" fontId="2" fillId="4" borderId="3" xfId="0" applyNumberFormat="1" applyFont="1" applyFill="1" applyBorder="1" applyAlignment="1">
      <alignment vertical="center" wrapText="1"/>
    </xf>
    <xf numFmtId="165" fontId="2" fillId="4" borderId="3" xfId="0" applyNumberFormat="1" applyFont="1" applyFill="1" applyBorder="1" applyAlignment="1">
      <alignment vertical="center" wrapText="1"/>
    </xf>
    <xf numFmtId="165" fontId="2" fillId="4" borderId="4" xfId="0" applyNumberFormat="1" applyFont="1" applyFill="1" applyBorder="1" applyAlignment="1">
      <alignment vertical="center" wrapText="1"/>
    </xf>
    <xf numFmtId="165" fontId="2" fillId="0" borderId="0" xfId="0" applyNumberFormat="1" applyFont="1" applyAlignment="1">
      <alignment vertical="center" wrapText="1"/>
    </xf>
    <xf numFmtId="0" fontId="1" fillId="2" borderId="5" xfId="0" applyFont="1" applyFill="1" applyBorder="1" applyAlignment="1">
      <alignment horizontal="right" vertical="center" wrapText="1"/>
    </xf>
    <xf numFmtId="164" fontId="1" fillId="2" borderId="6" xfId="0" applyNumberFormat="1" applyFont="1" applyFill="1" applyBorder="1" applyAlignment="1">
      <alignment vertical="center" wrapText="1"/>
    </xf>
    <xf numFmtId="10" fontId="1" fillId="2" borderId="6" xfId="0" applyNumberFormat="1" applyFont="1" applyFill="1" applyBorder="1" applyAlignment="1">
      <alignment vertical="center" wrapText="1"/>
    </xf>
    <xf numFmtId="165" fontId="1" fillId="2" borderId="6" xfId="0" applyNumberFormat="1" applyFont="1" applyFill="1" applyBorder="1" applyAlignment="1">
      <alignment vertical="center" wrapText="1"/>
    </xf>
    <xf numFmtId="165" fontId="1" fillId="2" borderId="7" xfId="0" applyNumberFormat="1" applyFont="1" applyFill="1" applyBorder="1" applyAlignment="1">
      <alignment vertical="center" wrapText="1"/>
    </xf>
    <xf numFmtId="0" fontId="1" fillId="2" borderId="8" xfId="0" applyFont="1" applyFill="1" applyBorder="1" applyAlignment="1">
      <alignment horizontal="right" vertical="center" wrapText="1"/>
    </xf>
    <xf numFmtId="164" fontId="1" fillId="2" borderId="9" xfId="0" applyNumberFormat="1" applyFont="1" applyFill="1" applyBorder="1" applyAlignment="1">
      <alignment vertical="center" wrapText="1"/>
    </xf>
    <xf numFmtId="17" fontId="1" fillId="2" borderId="9" xfId="0" applyNumberFormat="1" applyFont="1" applyFill="1" applyBorder="1" applyAlignment="1">
      <alignment vertical="center" wrapText="1"/>
    </xf>
    <xf numFmtId="165" fontId="1" fillId="2" borderId="10" xfId="0" applyNumberFormat="1" applyFont="1" applyFill="1" applyBorder="1" applyAlignment="1">
      <alignment vertical="center" wrapText="1"/>
    </xf>
    <xf numFmtId="165" fontId="1" fillId="2" borderId="11" xfId="0" applyNumberFormat="1" applyFont="1" applyFill="1" applyBorder="1" applyAlignment="1">
      <alignment horizontal="left" vertical="center" wrapText="1"/>
    </xf>
    <xf numFmtId="0" fontId="2" fillId="4" borderId="12" xfId="0" applyFont="1" applyFill="1" applyBorder="1" applyAlignment="1">
      <alignment vertical="center" wrapText="1"/>
    </xf>
    <xf numFmtId="10" fontId="2" fillId="4" borderId="12" xfId="0" applyNumberFormat="1" applyFont="1" applyFill="1" applyBorder="1" applyAlignment="1">
      <alignment vertical="center" wrapText="1"/>
    </xf>
    <xf numFmtId="165" fontId="2" fillId="4" borderId="12" xfId="0" applyNumberFormat="1" applyFont="1" applyFill="1" applyBorder="1" applyAlignment="1">
      <alignment vertical="center" wrapText="1"/>
    </xf>
    <xf numFmtId="10" fontId="2" fillId="0" borderId="0" xfId="0" applyNumberFormat="1" applyFont="1" applyAlignment="1">
      <alignment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166" fontId="2" fillId="4" borderId="3" xfId="0" applyNumberFormat="1" applyFont="1" applyFill="1" applyBorder="1" applyAlignment="1">
      <alignment horizontal="left" vertical="center" wrapText="1"/>
    </xf>
    <xf numFmtId="165" fontId="2" fillId="4" borderId="4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165" fontId="4" fillId="0" borderId="0" xfId="0" applyNumberFormat="1" applyFont="1" applyAlignment="1">
      <alignment horizontal="left" vertical="center"/>
    </xf>
    <xf numFmtId="166" fontId="2" fillId="3" borderId="3" xfId="0" applyNumberFormat="1" applyFont="1" applyFill="1" applyBorder="1" applyAlignment="1">
      <alignment horizontal="left" vertical="center" wrapText="1"/>
    </xf>
    <xf numFmtId="165" fontId="2" fillId="3" borderId="4" xfId="0" applyNumberFormat="1" applyFont="1" applyFill="1" applyBorder="1" applyAlignment="1">
      <alignment horizontal="center" vertical="center" wrapText="1"/>
    </xf>
    <xf numFmtId="166" fontId="1" fillId="2" borderId="6" xfId="0" applyNumberFormat="1" applyFont="1" applyFill="1" applyBorder="1" applyAlignment="1">
      <alignment vertical="center" wrapText="1"/>
    </xf>
    <xf numFmtId="165" fontId="5" fillId="2" borderId="6" xfId="0" applyNumberFormat="1" applyFont="1" applyFill="1" applyBorder="1" applyAlignment="1">
      <alignment horizontal="center" vertical="center" wrapText="1"/>
    </xf>
    <xf numFmtId="0" fontId="6" fillId="0" borderId="0" xfId="0" applyFont="1"/>
    <xf numFmtId="166" fontId="4" fillId="0" borderId="0" xfId="0" applyNumberFormat="1" applyFont="1"/>
    <xf numFmtId="0" fontId="4" fillId="0" borderId="0" xfId="0" applyFont="1" applyAlignment="1">
      <alignment horizontal="center"/>
    </xf>
    <xf numFmtId="165" fontId="4" fillId="0" borderId="0" xfId="0" applyNumberFormat="1" applyFont="1"/>
    <xf numFmtId="17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121212"/>
      </a:dk1>
      <a:lt1>
        <a:srgbClr val="F5F5F5"/>
      </a:lt1>
      <a:dk2>
        <a:srgbClr val="121212"/>
      </a:dk2>
      <a:lt2>
        <a:srgbClr val="F5F5F5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E1" sqref="A1:E20"/>
    </sheetView>
  </sheetViews>
  <sheetFormatPr defaultColWidth="12.5703125" defaultRowHeight="15" customHeight="1" x14ac:dyDescent="0.2"/>
  <cols>
    <col min="1" max="1" width="70.5703125" customWidth="1"/>
    <col min="2" max="2" width="19.5703125" customWidth="1"/>
    <col min="3" max="3" width="10.42578125" customWidth="1"/>
    <col min="4" max="4" width="13.85546875" customWidth="1"/>
    <col min="5" max="5" width="16.42578125" customWidth="1"/>
    <col min="6" max="6" width="12.140625" customWidth="1"/>
    <col min="7" max="7" width="12.85546875" customWidth="1"/>
    <col min="8" max="8" width="9.140625" customWidth="1"/>
    <col min="9" max="9" width="11" customWidth="1"/>
    <col min="10" max="26" width="9.140625" customWidth="1"/>
  </cols>
  <sheetData>
    <row r="1" spans="1:26" ht="27" customHeight="1" x14ac:dyDescent="0.2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3.25" customHeight="1" x14ac:dyDescent="0.2">
      <c r="A2" s="5" t="s">
        <v>5</v>
      </c>
      <c r="B2" s="6">
        <v>5396049.2300000004</v>
      </c>
      <c r="C2" s="7">
        <f t="shared" ref="C2:C18" si="0">+B2/$B$19</f>
        <v>0.32202279907658915</v>
      </c>
      <c r="D2" s="8">
        <f t="shared" ref="D2:D18" si="1">B2/$I$5</f>
        <v>1223.4552159619093</v>
      </c>
      <c r="E2" s="9">
        <f t="shared" ref="E2:E18" si="2">+B2/$I$7</f>
        <v>149890.2563888889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3.25" customHeight="1" x14ac:dyDescent="0.2">
      <c r="A3" s="10" t="s">
        <v>6</v>
      </c>
      <c r="B3" s="11">
        <v>25773.05</v>
      </c>
      <c r="C3" s="12">
        <f t="shared" si="0"/>
        <v>1.5380715312230176E-3</v>
      </c>
      <c r="D3" s="13">
        <f t="shared" si="1"/>
        <v>5.8435664890601968</v>
      </c>
      <c r="E3" s="14">
        <f t="shared" si="2"/>
        <v>715.9180555555555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3.25" customHeight="1" x14ac:dyDescent="0.2">
      <c r="A4" s="5" t="s">
        <v>69</v>
      </c>
      <c r="B4" s="6">
        <v>440323.78</v>
      </c>
      <c r="C4" s="7">
        <f t="shared" si="0"/>
        <v>2.627742818713762E-2</v>
      </c>
      <c r="D4" s="8">
        <f t="shared" si="1"/>
        <v>99.835342931640412</v>
      </c>
      <c r="E4" s="9">
        <f t="shared" si="2"/>
        <v>12231.216111111113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3.25" customHeight="1" x14ac:dyDescent="0.2">
      <c r="A5" s="10" t="s">
        <v>7</v>
      </c>
      <c r="B5" s="11">
        <v>2662475.85</v>
      </c>
      <c r="C5" s="12">
        <f t="shared" si="0"/>
        <v>0.15888993764625475</v>
      </c>
      <c r="D5" s="13">
        <f t="shared" si="1"/>
        <v>603.66757737218006</v>
      </c>
      <c r="E5" s="14">
        <f t="shared" si="2"/>
        <v>73957.662500000006</v>
      </c>
      <c r="F5" s="4"/>
      <c r="G5" s="4"/>
      <c r="H5" s="4"/>
      <c r="I5" s="15">
        <v>4410.5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3.25" customHeight="1" x14ac:dyDescent="0.2">
      <c r="A6" s="5" t="s">
        <v>8</v>
      </c>
      <c r="B6" s="6">
        <v>399570.28</v>
      </c>
      <c r="C6" s="7">
        <f t="shared" si="0"/>
        <v>2.3845360653504726E-2</v>
      </c>
      <c r="D6" s="8">
        <f t="shared" si="1"/>
        <v>90.595234100442127</v>
      </c>
      <c r="E6" s="9">
        <f t="shared" si="2"/>
        <v>11099.174444444445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3.25" customHeight="1" x14ac:dyDescent="0.2">
      <c r="A7" s="10" t="s">
        <v>9</v>
      </c>
      <c r="B7" s="11">
        <v>1835642.37</v>
      </c>
      <c r="C7" s="12">
        <f t="shared" si="0"/>
        <v>0.10954657174078153</v>
      </c>
      <c r="D7" s="13">
        <f t="shared" si="1"/>
        <v>416.19824736424442</v>
      </c>
      <c r="E7" s="14">
        <f t="shared" si="2"/>
        <v>50990.065833333334</v>
      </c>
      <c r="F7" s="4"/>
      <c r="G7" s="4"/>
      <c r="H7" s="4"/>
      <c r="I7" s="15">
        <v>36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3.25" customHeight="1" x14ac:dyDescent="0.2">
      <c r="A8" s="5" t="s">
        <v>10</v>
      </c>
      <c r="B8" s="6">
        <v>742188.93</v>
      </c>
      <c r="C8" s="7">
        <f t="shared" si="0"/>
        <v>4.4291989656710135E-2</v>
      </c>
      <c r="D8" s="8">
        <f t="shared" si="1"/>
        <v>168.27773041605261</v>
      </c>
      <c r="E8" s="9">
        <f t="shared" si="2"/>
        <v>20616.359166666669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3.25" customHeight="1" x14ac:dyDescent="0.2">
      <c r="A9" s="10" t="s">
        <v>11</v>
      </c>
      <c r="B9" s="11">
        <v>181594.03</v>
      </c>
      <c r="C9" s="12">
        <f t="shared" si="0"/>
        <v>1.0837080119856153E-2</v>
      </c>
      <c r="D9" s="13">
        <f t="shared" si="1"/>
        <v>41.173116426708987</v>
      </c>
      <c r="E9" s="14">
        <f t="shared" si="2"/>
        <v>5044.2786111111109</v>
      </c>
      <c r="F9" s="4"/>
      <c r="G9" s="4"/>
      <c r="H9" s="4"/>
      <c r="I9" s="15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3.25" customHeight="1" x14ac:dyDescent="0.2">
      <c r="A10" s="5" t="s">
        <v>12</v>
      </c>
      <c r="B10" s="6">
        <v>586101.12</v>
      </c>
      <c r="C10" s="7">
        <f t="shared" si="0"/>
        <v>3.497705731723353E-2</v>
      </c>
      <c r="D10" s="8">
        <f t="shared" si="1"/>
        <v>132.88768166874505</v>
      </c>
      <c r="E10" s="9">
        <f t="shared" si="2"/>
        <v>16280.586666666666</v>
      </c>
      <c r="F10" s="4"/>
      <c r="G10" s="4"/>
      <c r="H10" s="4"/>
      <c r="I10" s="4" t="s">
        <v>13</v>
      </c>
      <c r="J10" s="4">
        <v>57.65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3.25" customHeight="1" x14ac:dyDescent="0.2">
      <c r="A11" s="10" t="s">
        <v>14</v>
      </c>
      <c r="B11" s="11">
        <v>146644.6</v>
      </c>
      <c r="C11" s="12">
        <f t="shared" si="0"/>
        <v>8.7513850501817585E-3</v>
      </c>
      <c r="D11" s="13">
        <f t="shared" si="1"/>
        <v>33.248974039224578</v>
      </c>
      <c r="E11" s="14">
        <f t="shared" si="2"/>
        <v>4073.4611111111112</v>
      </c>
      <c r="F11" s="4"/>
      <c r="G11" s="4"/>
      <c r="H11" s="4"/>
      <c r="I11" s="15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3.25" customHeight="1" x14ac:dyDescent="0.2">
      <c r="A12" s="5" t="s">
        <v>15</v>
      </c>
      <c r="B12" s="6">
        <v>854765.84</v>
      </c>
      <c r="C12" s="7">
        <f t="shared" si="0"/>
        <v>5.1010299687694272E-2</v>
      </c>
      <c r="D12" s="8">
        <f t="shared" si="1"/>
        <v>193.80248044439406</v>
      </c>
      <c r="E12" s="9">
        <f t="shared" si="2"/>
        <v>23743.495555555553</v>
      </c>
      <c r="F12" s="4"/>
      <c r="G12" s="4">
        <f>180*1.1</f>
        <v>198.00000000000003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3.25" customHeight="1" x14ac:dyDescent="0.2">
      <c r="A13" s="10" t="s">
        <v>16</v>
      </c>
      <c r="B13" s="11">
        <v>389629.16</v>
      </c>
      <c r="C13" s="12">
        <f t="shared" si="0"/>
        <v>2.3252099333619349E-2</v>
      </c>
      <c r="D13" s="13">
        <f t="shared" si="1"/>
        <v>88.341267429996591</v>
      </c>
      <c r="E13" s="14">
        <f t="shared" si="2"/>
        <v>10823.032222222222</v>
      </c>
      <c r="F13" s="4"/>
      <c r="G13" s="4">
        <f>220*1.1</f>
        <v>242.00000000000003</v>
      </c>
      <c r="H13" s="4"/>
      <c r="I13" s="15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3.25" customHeight="1" x14ac:dyDescent="0.2">
      <c r="A14" s="5" t="s">
        <v>17</v>
      </c>
      <c r="B14" s="6">
        <v>1339903.5</v>
      </c>
      <c r="C14" s="7">
        <f t="shared" si="0"/>
        <v>7.9962108789455685E-2</v>
      </c>
      <c r="D14" s="8">
        <f t="shared" si="1"/>
        <v>303.7985489173563</v>
      </c>
      <c r="E14" s="9">
        <f t="shared" si="2"/>
        <v>37219.541666666664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3.25" customHeight="1" x14ac:dyDescent="0.2">
      <c r="A15" s="10" t="s">
        <v>18</v>
      </c>
      <c r="B15" s="11">
        <v>487518.06</v>
      </c>
      <c r="C15" s="12">
        <f t="shared" si="0"/>
        <v>2.909386545414978E-2</v>
      </c>
      <c r="D15" s="13">
        <f t="shared" si="1"/>
        <v>110.53578052375015</v>
      </c>
      <c r="E15" s="14">
        <f t="shared" si="2"/>
        <v>13542.168333333333</v>
      </c>
      <c r="F15" s="4"/>
      <c r="G15" s="4"/>
      <c r="H15" s="4"/>
      <c r="I15" s="15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3.25" customHeight="1" x14ac:dyDescent="0.2">
      <c r="A16" s="5" t="s">
        <v>19</v>
      </c>
      <c r="B16" s="6">
        <v>47858.86</v>
      </c>
      <c r="C16" s="7">
        <f t="shared" si="0"/>
        <v>2.8560977487254334E-3</v>
      </c>
      <c r="D16" s="8">
        <f t="shared" si="1"/>
        <v>10.851118920757283</v>
      </c>
      <c r="E16" s="9">
        <f t="shared" si="2"/>
        <v>1329.4127777777778</v>
      </c>
      <c r="F16" s="4"/>
      <c r="G16" s="4"/>
      <c r="H16" s="4"/>
      <c r="I16" s="4"/>
      <c r="J16" s="15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3.25" customHeight="1" x14ac:dyDescent="0.2">
      <c r="A17" s="10" t="s">
        <v>20</v>
      </c>
      <c r="B17" s="11">
        <v>1220691.75</v>
      </c>
      <c r="C17" s="12">
        <f t="shared" si="0"/>
        <v>7.2847848006883362E-2</v>
      </c>
      <c r="D17" s="13">
        <f t="shared" si="1"/>
        <v>276.76947058156674</v>
      </c>
      <c r="E17" s="14">
        <f t="shared" si="2"/>
        <v>33908.104166666664</v>
      </c>
      <c r="F17" s="4"/>
      <c r="G17" s="4"/>
      <c r="H17" s="4"/>
      <c r="I17" s="15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3.25" hidden="1" customHeight="1" x14ac:dyDescent="0.2">
      <c r="A18" s="5" t="s">
        <v>21</v>
      </c>
      <c r="B18" s="6"/>
      <c r="C18" s="7">
        <f t="shared" si="0"/>
        <v>0</v>
      </c>
      <c r="D18" s="8">
        <f t="shared" si="1"/>
        <v>0</v>
      </c>
      <c r="E18" s="9">
        <f t="shared" si="2"/>
        <v>0</v>
      </c>
      <c r="F18" s="4"/>
      <c r="G18" s="4"/>
      <c r="H18" s="4"/>
      <c r="I18" s="4"/>
      <c r="J18" s="15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7.25" customHeight="1" x14ac:dyDescent="0.2">
      <c r="A19" s="16" t="s">
        <v>22</v>
      </c>
      <c r="B19" s="17">
        <f t="shared" ref="B19:E19" si="3">SUM(B2:B18)</f>
        <v>16756730.409999996</v>
      </c>
      <c r="C19" s="18">
        <f t="shared" si="3"/>
        <v>1.0000000000000004</v>
      </c>
      <c r="D19" s="19">
        <f t="shared" si="3"/>
        <v>3799.2813535880287</v>
      </c>
      <c r="E19" s="20">
        <f t="shared" si="3"/>
        <v>465464.73361111118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7.25" customHeight="1" x14ac:dyDescent="0.2">
      <c r="A20" s="21" t="s">
        <v>23</v>
      </c>
      <c r="B20" s="22">
        <v>2643.16</v>
      </c>
      <c r="C20" s="23">
        <v>44896</v>
      </c>
      <c r="D20" s="24">
        <f>+D19/B20</f>
        <v>1.4374011991661606</v>
      </c>
      <c r="E20" s="25" t="s">
        <v>24</v>
      </c>
      <c r="F20" s="15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7.25" customHeight="1" x14ac:dyDescent="0.2">
      <c r="A21" s="26"/>
      <c r="B21" s="26"/>
      <c r="C21" s="27"/>
      <c r="D21" s="26"/>
      <c r="E21" s="26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7.25" customHeight="1" x14ac:dyDescent="0.2">
      <c r="A22" s="26"/>
      <c r="B22" s="26"/>
      <c r="C22" s="27"/>
      <c r="D22" s="28"/>
      <c r="E22" s="26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7.25" customHeight="1" x14ac:dyDescent="0.2">
      <c r="A23" s="26"/>
      <c r="B23" s="26"/>
      <c r="C23" s="29"/>
      <c r="D23" s="28"/>
      <c r="E23" s="26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7.25" customHeight="1" x14ac:dyDescent="0.2">
      <c r="A24" s="26"/>
      <c r="B24" s="26"/>
      <c r="C24" s="27"/>
      <c r="D24" s="26"/>
      <c r="E24" s="26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7.25" customHeight="1" x14ac:dyDescent="0.2">
      <c r="A25" s="26"/>
      <c r="B25" s="26"/>
      <c r="C25" s="27"/>
      <c r="D25" s="26"/>
      <c r="E25" s="26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7.25" customHeight="1" x14ac:dyDescent="0.2">
      <c r="A26" s="26"/>
      <c r="B26" s="26"/>
      <c r="C26" s="27"/>
      <c r="D26" s="26"/>
      <c r="E26" s="26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7.25" customHeight="1" x14ac:dyDescent="0.2">
      <c r="A27" s="26"/>
      <c r="B27" s="26"/>
      <c r="C27" s="27"/>
      <c r="D27" s="26"/>
      <c r="E27" s="26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7.25" customHeight="1" x14ac:dyDescent="0.2">
      <c r="A28" s="26"/>
      <c r="B28" s="26"/>
      <c r="C28" s="27"/>
      <c r="D28" s="26"/>
      <c r="E28" s="26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7.25" customHeight="1" x14ac:dyDescent="0.2">
      <c r="A29" s="26"/>
      <c r="B29" s="26"/>
      <c r="C29" s="27"/>
      <c r="D29" s="26"/>
      <c r="E29" s="26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7.25" customHeight="1" x14ac:dyDescent="0.2">
      <c r="A30" s="26"/>
      <c r="B30" s="26"/>
      <c r="C30" s="27"/>
      <c r="D30" s="26"/>
      <c r="E30" s="26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7.25" customHeight="1" x14ac:dyDescent="0.2">
      <c r="A31" s="26"/>
      <c r="B31" s="26"/>
      <c r="C31" s="27"/>
      <c r="D31" s="26"/>
      <c r="E31" s="26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7.25" customHeight="1" x14ac:dyDescent="0.2">
      <c r="A32" s="26"/>
      <c r="B32" s="26"/>
      <c r="C32" s="27"/>
      <c r="D32" s="26"/>
      <c r="E32" s="26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7.25" customHeight="1" x14ac:dyDescent="0.2">
      <c r="A33" s="26"/>
      <c r="B33" s="26"/>
      <c r="C33" s="27"/>
      <c r="D33" s="26"/>
      <c r="E33" s="26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7.25" customHeight="1" x14ac:dyDescent="0.2">
      <c r="A34" s="26"/>
      <c r="B34" s="26"/>
      <c r="C34" s="27"/>
      <c r="D34" s="26"/>
      <c r="E34" s="26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7.25" customHeight="1" x14ac:dyDescent="0.2">
      <c r="A35" s="26"/>
      <c r="B35" s="26"/>
      <c r="C35" s="27"/>
      <c r="D35" s="26"/>
      <c r="E35" s="26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7.25" customHeight="1" x14ac:dyDescent="0.2">
      <c r="A36" s="26"/>
      <c r="B36" s="26"/>
      <c r="C36" s="27"/>
      <c r="D36" s="26"/>
      <c r="E36" s="26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7.25" customHeight="1" x14ac:dyDescent="0.2">
      <c r="A37" s="26"/>
      <c r="B37" s="26"/>
      <c r="C37" s="27"/>
      <c r="D37" s="26"/>
      <c r="E37" s="26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7.25" customHeight="1" x14ac:dyDescent="0.2">
      <c r="A38" s="26"/>
      <c r="B38" s="26"/>
      <c r="C38" s="27"/>
      <c r="D38" s="26"/>
      <c r="E38" s="26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7.25" customHeight="1" x14ac:dyDescent="0.2">
      <c r="A39" s="26"/>
      <c r="B39" s="26"/>
      <c r="C39" s="27"/>
      <c r="D39" s="26"/>
      <c r="E39" s="26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7.25" customHeight="1" x14ac:dyDescent="0.2">
      <c r="A40" s="26"/>
      <c r="B40" s="26"/>
      <c r="C40" s="27"/>
      <c r="D40" s="26"/>
      <c r="E40" s="26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7.25" customHeight="1" x14ac:dyDescent="0.2">
      <c r="A41" s="26"/>
      <c r="B41" s="26"/>
      <c r="C41" s="27"/>
      <c r="D41" s="26"/>
      <c r="E41" s="26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7.25" customHeight="1" x14ac:dyDescent="0.2">
      <c r="A42" s="26"/>
      <c r="B42" s="26"/>
      <c r="C42" s="27"/>
      <c r="D42" s="26"/>
      <c r="E42" s="26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7.25" customHeight="1" x14ac:dyDescent="0.2">
      <c r="A43" s="26"/>
      <c r="B43" s="26"/>
      <c r="C43" s="27"/>
      <c r="D43" s="26"/>
      <c r="E43" s="26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7.25" customHeight="1" x14ac:dyDescent="0.2">
      <c r="A44" s="26"/>
      <c r="B44" s="26"/>
      <c r="C44" s="27"/>
      <c r="D44" s="26"/>
      <c r="E44" s="26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7.25" customHeight="1" x14ac:dyDescent="0.2">
      <c r="A45" s="26"/>
      <c r="B45" s="26"/>
      <c r="C45" s="27"/>
      <c r="D45" s="26"/>
      <c r="E45" s="26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7.25" customHeight="1" x14ac:dyDescent="0.2">
      <c r="A46" s="4"/>
      <c r="B46" s="4"/>
      <c r="C46" s="29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7.25" customHeight="1" x14ac:dyDescent="0.2">
      <c r="A47" s="4"/>
      <c r="B47" s="4"/>
      <c r="C47" s="29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7.25" customHeight="1" x14ac:dyDescent="0.2">
      <c r="A48" s="4"/>
      <c r="B48" s="4"/>
      <c r="C48" s="29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7.25" customHeight="1" x14ac:dyDescent="0.2">
      <c r="A49" s="4"/>
      <c r="B49" s="4"/>
      <c r="C49" s="29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7.25" customHeight="1" x14ac:dyDescent="0.2">
      <c r="A50" s="4"/>
      <c r="B50" s="4"/>
      <c r="C50" s="29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7.25" customHeight="1" x14ac:dyDescent="0.2">
      <c r="A51" s="4"/>
      <c r="B51" s="4"/>
      <c r="C51" s="29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7.25" customHeight="1" x14ac:dyDescent="0.2">
      <c r="A52" s="4"/>
      <c r="B52" s="4"/>
      <c r="C52" s="29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7.25" customHeight="1" x14ac:dyDescent="0.2">
      <c r="A53" s="4"/>
      <c r="B53" s="4"/>
      <c r="C53" s="29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7.25" customHeight="1" x14ac:dyDescent="0.2">
      <c r="A54" s="4"/>
      <c r="B54" s="4"/>
      <c r="C54" s="29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7.25" customHeight="1" x14ac:dyDescent="0.2">
      <c r="A55" s="4"/>
      <c r="B55" s="4"/>
      <c r="C55" s="29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7.25" customHeight="1" x14ac:dyDescent="0.2">
      <c r="A56" s="4"/>
      <c r="B56" s="4"/>
      <c r="C56" s="29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7.25" customHeight="1" x14ac:dyDescent="0.2">
      <c r="A57" s="4"/>
      <c r="B57" s="4"/>
      <c r="C57" s="29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7.25" customHeight="1" x14ac:dyDescent="0.2">
      <c r="A58" s="4"/>
      <c r="B58" s="4"/>
      <c r="C58" s="29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7.25" customHeight="1" x14ac:dyDescent="0.2">
      <c r="A59" s="4"/>
      <c r="B59" s="4"/>
      <c r="C59" s="29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7.25" customHeight="1" x14ac:dyDescent="0.2">
      <c r="A60" s="4"/>
      <c r="B60" s="4"/>
      <c r="C60" s="29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7.25" customHeight="1" x14ac:dyDescent="0.2">
      <c r="A61" s="4"/>
      <c r="B61" s="4"/>
      <c r="C61" s="29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7.25" customHeight="1" x14ac:dyDescent="0.2">
      <c r="A62" s="4"/>
      <c r="B62" s="4"/>
      <c r="C62" s="29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7.25" customHeight="1" x14ac:dyDescent="0.2">
      <c r="A63" s="4"/>
      <c r="B63" s="4"/>
      <c r="C63" s="29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7.25" customHeight="1" x14ac:dyDescent="0.2">
      <c r="A64" s="4"/>
      <c r="B64" s="4"/>
      <c r="C64" s="29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7.25" customHeight="1" x14ac:dyDescent="0.2">
      <c r="A65" s="4"/>
      <c r="B65" s="4"/>
      <c r="C65" s="29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7.25" customHeight="1" x14ac:dyDescent="0.2">
      <c r="A66" s="4"/>
      <c r="B66" s="4"/>
      <c r="C66" s="29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7.25" customHeight="1" x14ac:dyDescent="0.2">
      <c r="A67" s="4"/>
      <c r="B67" s="4"/>
      <c r="C67" s="29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7.25" customHeight="1" x14ac:dyDescent="0.2">
      <c r="A68" s="4"/>
      <c r="B68" s="4"/>
      <c r="C68" s="29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7.25" customHeight="1" x14ac:dyDescent="0.2">
      <c r="A69" s="4"/>
      <c r="B69" s="4"/>
      <c r="C69" s="29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7.25" customHeight="1" x14ac:dyDescent="0.2">
      <c r="A70" s="4"/>
      <c r="B70" s="4"/>
      <c r="C70" s="29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7.25" customHeight="1" x14ac:dyDescent="0.2">
      <c r="A71" s="4"/>
      <c r="B71" s="4"/>
      <c r="C71" s="29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7.25" customHeight="1" x14ac:dyDescent="0.2">
      <c r="A72" s="4"/>
      <c r="B72" s="4"/>
      <c r="C72" s="29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7.25" customHeight="1" x14ac:dyDescent="0.2">
      <c r="A73" s="4"/>
      <c r="B73" s="4"/>
      <c r="C73" s="29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7.25" customHeight="1" x14ac:dyDescent="0.2">
      <c r="A74" s="4"/>
      <c r="B74" s="4"/>
      <c r="C74" s="29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7.25" customHeight="1" x14ac:dyDescent="0.2">
      <c r="A75" s="4"/>
      <c r="B75" s="4"/>
      <c r="C75" s="29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7.25" customHeight="1" x14ac:dyDescent="0.2">
      <c r="A76" s="4"/>
      <c r="B76" s="4"/>
      <c r="C76" s="29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7.25" customHeight="1" x14ac:dyDescent="0.2">
      <c r="A77" s="4"/>
      <c r="B77" s="4"/>
      <c r="C77" s="29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7.25" customHeight="1" x14ac:dyDescent="0.2">
      <c r="A78" s="4"/>
      <c r="B78" s="4"/>
      <c r="C78" s="29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7.25" customHeight="1" x14ac:dyDescent="0.2">
      <c r="A79" s="4"/>
      <c r="B79" s="4"/>
      <c r="C79" s="29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7.25" customHeight="1" x14ac:dyDescent="0.2">
      <c r="A80" s="4"/>
      <c r="B80" s="4"/>
      <c r="C80" s="29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7.25" customHeight="1" x14ac:dyDescent="0.2">
      <c r="A81" s="4"/>
      <c r="B81" s="4"/>
      <c r="C81" s="29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7.25" customHeight="1" x14ac:dyDescent="0.2">
      <c r="A82" s="4"/>
      <c r="B82" s="4"/>
      <c r="C82" s="29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7.25" customHeight="1" x14ac:dyDescent="0.2">
      <c r="A83" s="4"/>
      <c r="B83" s="4"/>
      <c r="C83" s="29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7.25" customHeight="1" x14ac:dyDescent="0.2">
      <c r="A84" s="4"/>
      <c r="B84" s="4"/>
      <c r="C84" s="29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7.25" customHeight="1" x14ac:dyDescent="0.2">
      <c r="A85" s="4"/>
      <c r="B85" s="4"/>
      <c r="C85" s="29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7.25" customHeight="1" x14ac:dyDescent="0.2">
      <c r="A86" s="4"/>
      <c r="B86" s="4"/>
      <c r="C86" s="29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7.25" customHeight="1" x14ac:dyDescent="0.2">
      <c r="A87" s="4"/>
      <c r="B87" s="4"/>
      <c r="C87" s="29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7.25" customHeight="1" x14ac:dyDescent="0.2">
      <c r="A88" s="4"/>
      <c r="B88" s="4"/>
      <c r="C88" s="29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7.25" customHeight="1" x14ac:dyDescent="0.2">
      <c r="A89" s="4"/>
      <c r="B89" s="4"/>
      <c r="C89" s="29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7.25" customHeight="1" x14ac:dyDescent="0.2">
      <c r="A90" s="4"/>
      <c r="B90" s="4"/>
      <c r="C90" s="29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7.25" customHeight="1" x14ac:dyDescent="0.2">
      <c r="A91" s="4"/>
      <c r="B91" s="4"/>
      <c r="C91" s="29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7.25" customHeight="1" x14ac:dyDescent="0.2">
      <c r="A92" s="4"/>
      <c r="B92" s="4"/>
      <c r="C92" s="29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7.25" customHeight="1" x14ac:dyDescent="0.2">
      <c r="A93" s="4"/>
      <c r="B93" s="4"/>
      <c r="C93" s="29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7.25" customHeight="1" x14ac:dyDescent="0.2">
      <c r="A94" s="4"/>
      <c r="B94" s="4"/>
      <c r="C94" s="29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7.25" customHeight="1" x14ac:dyDescent="0.2">
      <c r="A95" s="4"/>
      <c r="B95" s="4"/>
      <c r="C95" s="29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7.25" customHeight="1" x14ac:dyDescent="0.2">
      <c r="A96" s="4"/>
      <c r="B96" s="4"/>
      <c r="C96" s="29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7.25" customHeight="1" x14ac:dyDescent="0.2">
      <c r="A97" s="4"/>
      <c r="B97" s="4"/>
      <c r="C97" s="29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7.25" customHeight="1" x14ac:dyDescent="0.2">
      <c r="A98" s="4"/>
      <c r="B98" s="4"/>
      <c r="C98" s="29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7.25" customHeight="1" x14ac:dyDescent="0.2">
      <c r="A99" s="4"/>
      <c r="B99" s="4"/>
      <c r="C99" s="29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7.25" customHeight="1" x14ac:dyDescent="0.2">
      <c r="A100" s="4"/>
      <c r="B100" s="4"/>
      <c r="C100" s="29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7.25" customHeight="1" x14ac:dyDescent="0.2">
      <c r="A101" s="4"/>
      <c r="B101" s="4"/>
      <c r="C101" s="29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7.25" customHeight="1" x14ac:dyDescent="0.2">
      <c r="A102" s="4"/>
      <c r="B102" s="4"/>
      <c r="C102" s="29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7.25" customHeight="1" x14ac:dyDescent="0.2">
      <c r="A103" s="4"/>
      <c r="B103" s="4"/>
      <c r="C103" s="29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7.25" customHeight="1" x14ac:dyDescent="0.2">
      <c r="A104" s="4"/>
      <c r="B104" s="4"/>
      <c r="C104" s="29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7.25" customHeight="1" x14ac:dyDescent="0.2">
      <c r="A105" s="4"/>
      <c r="B105" s="4"/>
      <c r="C105" s="29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7.25" customHeight="1" x14ac:dyDescent="0.2">
      <c r="A106" s="4"/>
      <c r="B106" s="4"/>
      <c r="C106" s="29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7.25" customHeight="1" x14ac:dyDescent="0.2">
      <c r="A107" s="4"/>
      <c r="B107" s="4"/>
      <c r="C107" s="29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7.25" customHeight="1" x14ac:dyDescent="0.2">
      <c r="A108" s="4"/>
      <c r="B108" s="4"/>
      <c r="C108" s="29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7.25" customHeight="1" x14ac:dyDescent="0.2">
      <c r="A109" s="4"/>
      <c r="B109" s="4"/>
      <c r="C109" s="29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7.25" customHeight="1" x14ac:dyDescent="0.2">
      <c r="A110" s="4"/>
      <c r="B110" s="4"/>
      <c r="C110" s="29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7.25" customHeight="1" x14ac:dyDescent="0.2">
      <c r="A111" s="4"/>
      <c r="B111" s="4"/>
      <c r="C111" s="29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7.25" customHeight="1" x14ac:dyDescent="0.2">
      <c r="A112" s="4"/>
      <c r="B112" s="4"/>
      <c r="C112" s="29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7.25" customHeight="1" x14ac:dyDescent="0.2">
      <c r="A113" s="4"/>
      <c r="B113" s="4"/>
      <c r="C113" s="29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7.25" customHeight="1" x14ac:dyDescent="0.2">
      <c r="A114" s="4"/>
      <c r="B114" s="4"/>
      <c r="C114" s="29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7.25" customHeight="1" x14ac:dyDescent="0.2">
      <c r="A115" s="4"/>
      <c r="B115" s="4"/>
      <c r="C115" s="29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7.25" customHeight="1" x14ac:dyDescent="0.2">
      <c r="A116" s="4"/>
      <c r="B116" s="4"/>
      <c r="C116" s="29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7.25" customHeight="1" x14ac:dyDescent="0.2">
      <c r="A117" s="4"/>
      <c r="B117" s="4"/>
      <c r="C117" s="29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7.25" customHeight="1" x14ac:dyDescent="0.2">
      <c r="A118" s="4"/>
      <c r="B118" s="4"/>
      <c r="C118" s="29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7.25" customHeight="1" x14ac:dyDescent="0.2">
      <c r="A119" s="4"/>
      <c r="B119" s="4"/>
      <c r="C119" s="29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7.25" customHeight="1" x14ac:dyDescent="0.2">
      <c r="A120" s="4"/>
      <c r="B120" s="4"/>
      <c r="C120" s="29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7.25" customHeight="1" x14ac:dyDescent="0.2">
      <c r="A121" s="4"/>
      <c r="B121" s="4"/>
      <c r="C121" s="29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7.25" customHeight="1" x14ac:dyDescent="0.2">
      <c r="A122" s="4"/>
      <c r="B122" s="4"/>
      <c r="C122" s="29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7.25" customHeight="1" x14ac:dyDescent="0.2">
      <c r="A123" s="4"/>
      <c r="B123" s="4"/>
      <c r="C123" s="29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7.25" customHeight="1" x14ac:dyDescent="0.2">
      <c r="A124" s="4"/>
      <c r="B124" s="4"/>
      <c r="C124" s="29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7.25" customHeight="1" x14ac:dyDescent="0.2">
      <c r="A125" s="4"/>
      <c r="B125" s="4"/>
      <c r="C125" s="29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7.25" customHeight="1" x14ac:dyDescent="0.2">
      <c r="A126" s="4"/>
      <c r="B126" s="4"/>
      <c r="C126" s="29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7.25" customHeight="1" x14ac:dyDescent="0.2">
      <c r="A127" s="4"/>
      <c r="B127" s="4"/>
      <c r="C127" s="29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7.25" customHeight="1" x14ac:dyDescent="0.2">
      <c r="A128" s="4"/>
      <c r="B128" s="4"/>
      <c r="C128" s="29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7.25" customHeight="1" x14ac:dyDescent="0.2">
      <c r="A129" s="4"/>
      <c r="B129" s="4"/>
      <c r="C129" s="29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7.25" customHeight="1" x14ac:dyDescent="0.2">
      <c r="A130" s="4"/>
      <c r="B130" s="4"/>
      <c r="C130" s="29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7.25" customHeight="1" x14ac:dyDescent="0.2">
      <c r="A131" s="4"/>
      <c r="B131" s="4"/>
      <c r="C131" s="29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7.25" customHeight="1" x14ac:dyDescent="0.2">
      <c r="A132" s="4"/>
      <c r="B132" s="4"/>
      <c r="C132" s="29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7.25" customHeight="1" x14ac:dyDescent="0.2">
      <c r="A133" s="4"/>
      <c r="B133" s="4"/>
      <c r="C133" s="29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7.25" customHeight="1" x14ac:dyDescent="0.2">
      <c r="A134" s="4"/>
      <c r="B134" s="4"/>
      <c r="C134" s="29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7.25" customHeight="1" x14ac:dyDescent="0.2">
      <c r="A135" s="4"/>
      <c r="B135" s="4"/>
      <c r="C135" s="29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7.25" customHeight="1" x14ac:dyDescent="0.2">
      <c r="A136" s="4"/>
      <c r="B136" s="4"/>
      <c r="C136" s="29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7.25" customHeight="1" x14ac:dyDescent="0.2">
      <c r="A137" s="4"/>
      <c r="B137" s="4"/>
      <c r="C137" s="29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7.25" customHeight="1" x14ac:dyDescent="0.2">
      <c r="A138" s="4"/>
      <c r="B138" s="4"/>
      <c r="C138" s="29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7.25" customHeight="1" x14ac:dyDescent="0.2">
      <c r="A139" s="4"/>
      <c r="B139" s="4"/>
      <c r="C139" s="29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7.25" customHeight="1" x14ac:dyDescent="0.2">
      <c r="A140" s="4"/>
      <c r="B140" s="4"/>
      <c r="C140" s="29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7.25" customHeight="1" x14ac:dyDescent="0.2">
      <c r="A141" s="4"/>
      <c r="B141" s="4"/>
      <c r="C141" s="29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7.25" customHeight="1" x14ac:dyDescent="0.2">
      <c r="A142" s="4"/>
      <c r="B142" s="4"/>
      <c r="C142" s="29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7.25" customHeight="1" x14ac:dyDescent="0.2">
      <c r="A143" s="4"/>
      <c r="B143" s="4"/>
      <c r="C143" s="29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7.25" customHeight="1" x14ac:dyDescent="0.2">
      <c r="A144" s="4"/>
      <c r="B144" s="4"/>
      <c r="C144" s="29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7.25" customHeight="1" x14ac:dyDescent="0.2">
      <c r="A145" s="4"/>
      <c r="B145" s="4"/>
      <c r="C145" s="29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7.25" customHeight="1" x14ac:dyDescent="0.2">
      <c r="A146" s="4"/>
      <c r="B146" s="4"/>
      <c r="C146" s="29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7.25" customHeight="1" x14ac:dyDescent="0.2">
      <c r="A147" s="4"/>
      <c r="B147" s="4"/>
      <c r="C147" s="29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7.25" customHeight="1" x14ac:dyDescent="0.2">
      <c r="A148" s="4"/>
      <c r="B148" s="4"/>
      <c r="C148" s="29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7.25" customHeight="1" x14ac:dyDescent="0.2">
      <c r="A149" s="4"/>
      <c r="B149" s="4"/>
      <c r="C149" s="29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7.25" customHeight="1" x14ac:dyDescent="0.2">
      <c r="A150" s="4"/>
      <c r="B150" s="4"/>
      <c r="C150" s="29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7.25" customHeight="1" x14ac:dyDescent="0.2">
      <c r="A151" s="4"/>
      <c r="B151" s="4"/>
      <c r="C151" s="29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7.25" customHeight="1" x14ac:dyDescent="0.2">
      <c r="A152" s="4"/>
      <c r="B152" s="4"/>
      <c r="C152" s="29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7.25" customHeight="1" x14ac:dyDescent="0.2">
      <c r="A153" s="4"/>
      <c r="B153" s="4"/>
      <c r="C153" s="29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7.25" customHeight="1" x14ac:dyDescent="0.2">
      <c r="A154" s="4"/>
      <c r="B154" s="4"/>
      <c r="C154" s="29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7.25" customHeight="1" x14ac:dyDescent="0.2">
      <c r="A155" s="4"/>
      <c r="B155" s="4"/>
      <c r="C155" s="29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7.25" customHeight="1" x14ac:dyDescent="0.2">
      <c r="A156" s="4"/>
      <c r="B156" s="4"/>
      <c r="C156" s="29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7.25" customHeight="1" x14ac:dyDescent="0.2">
      <c r="A157" s="4"/>
      <c r="B157" s="4"/>
      <c r="C157" s="29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7.25" customHeight="1" x14ac:dyDescent="0.2">
      <c r="A158" s="4"/>
      <c r="B158" s="4"/>
      <c r="C158" s="29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7.25" customHeight="1" x14ac:dyDescent="0.2">
      <c r="A159" s="4"/>
      <c r="B159" s="4"/>
      <c r="C159" s="29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7.25" customHeight="1" x14ac:dyDescent="0.2">
      <c r="A160" s="4"/>
      <c r="B160" s="4"/>
      <c r="C160" s="29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7.25" customHeight="1" x14ac:dyDescent="0.2">
      <c r="A161" s="4"/>
      <c r="B161" s="4"/>
      <c r="C161" s="29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7.25" customHeight="1" x14ac:dyDescent="0.2">
      <c r="A162" s="4"/>
      <c r="B162" s="4"/>
      <c r="C162" s="29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7.25" customHeight="1" x14ac:dyDescent="0.2">
      <c r="A163" s="4"/>
      <c r="B163" s="4"/>
      <c r="C163" s="29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7.25" customHeight="1" x14ac:dyDescent="0.2">
      <c r="A164" s="4"/>
      <c r="B164" s="4"/>
      <c r="C164" s="29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7.25" customHeight="1" x14ac:dyDescent="0.2">
      <c r="A165" s="4"/>
      <c r="B165" s="4"/>
      <c r="C165" s="29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7.25" customHeight="1" x14ac:dyDescent="0.2">
      <c r="A166" s="4"/>
      <c r="B166" s="4"/>
      <c r="C166" s="29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7.25" customHeight="1" x14ac:dyDescent="0.2">
      <c r="A167" s="4"/>
      <c r="B167" s="4"/>
      <c r="C167" s="29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7.25" customHeight="1" x14ac:dyDescent="0.2">
      <c r="A168" s="4"/>
      <c r="B168" s="4"/>
      <c r="C168" s="29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7.25" customHeight="1" x14ac:dyDescent="0.2">
      <c r="A169" s="4"/>
      <c r="B169" s="4"/>
      <c r="C169" s="29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7.25" customHeight="1" x14ac:dyDescent="0.2">
      <c r="A170" s="4"/>
      <c r="B170" s="4"/>
      <c r="C170" s="29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7.25" customHeight="1" x14ac:dyDescent="0.2">
      <c r="A171" s="4"/>
      <c r="B171" s="4"/>
      <c r="C171" s="29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7.25" customHeight="1" x14ac:dyDescent="0.2">
      <c r="A172" s="4"/>
      <c r="B172" s="4"/>
      <c r="C172" s="29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7.25" customHeight="1" x14ac:dyDescent="0.2">
      <c r="A173" s="4"/>
      <c r="B173" s="4"/>
      <c r="C173" s="29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7.25" customHeight="1" x14ac:dyDescent="0.2">
      <c r="A174" s="4"/>
      <c r="B174" s="4"/>
      <c r="C174" s="29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7.25" customHeight="1" x14ac:dyDescent="0.2">
      <c r="A175" s="4"/>
      <c r="B175" s="4"/>
      <c r="C175" s="29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7.25" customHeight="1" x14ac:dyDescent="0.2">
      <c r="A176" s="4"/>
      <c r="B176" s="4"/>
      <c r="C176" s="29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7.25" customHeight="1" x14ac:dyDescent="0.2">
      <c r="A177" s="4"/>
      <c r="B177" s="4"/>
      <c r="C177" s="29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7.25" customHeight="1" x14ac:dyDescent="0.2">
      <c r="A178" s="4"/>
      <c r="B178" s="4"/>
      <c r="C178" s="29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7.25" customHeight="1" x14ac:dyDescent="0.2">
      <c r="A179" s="4"/>
      <c r="B179" s="4"/>
      <c r="C179" s="29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7.25" customHeight="1" x14ac:dyDescent="0.2">
      <c r="A180" s="4"/>
      <c r="B180" s="4"/>
      <c r="C180" s="29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7.25" customHeight="1" x14ac:dyDescent="0.2">
      <c r="A181" s="4"/>
      <c r="B181" s="4"/>
      <c r="C181" s="29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7.25" customHeight="1" x14ac:dyDescent="0.2">
      <c r="A182" s="4"/>
      <c r="B182" s="4"/>
      <c r="C182" s="29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7.25" customHeight="1" x14ac:dyDescent="0.2">
      <c r="A183" s="4"/>
      <c r="B183" s="4"/>
      <c r="C183" s="29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7.25" customHeight="1" x14ac:dyDescent="0.2">
      <c r="A184" s="4"/>
      <c r="B184" s="4"/>
      <c r="C184" s="29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7.25" customHeight="1" x14ac:dyDescent="0.2">
      <c r="A185" s="4"/>
      <c r="B185" s="4"/>
      <c r="C185" s="29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7.25" customHeight="1" x14ac:dyDescent="0.2">
      <c r="A186" s="4"/>
      <c r="B186" s="4"/>
      <c r="C186" s="29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7.25" customHeight="1" x14ac:dyDescent="0.2">
      <c r="A187" s="4"/>
      <c r="B187" s="4"/>
      <c r="C187" s="29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7.25" customHeight="1" x14ac:dyDescent="0.2">
      <c r="A188" s="4"/>
      <c r="B188" s="4"/>
      <c r="C188" s="29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7.25" customHeight="1" x14ac:dyDescent="0.2">
      <c r="A189" s="4"/>
      <c r="B189" s="4"/>
      <c r="C189" s="29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7.25" customHeight="1" x14ac:dyDescent="0.2">
      <c r="A190" s="4"/>
      <c r="B190" s="4"/>
      <c r="C190" s="29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7.25" customHeight="1" x14ac:dyDescent="0.2">
      <c r="A191" s="4"/>
      <c r="B191" s="4"/>
      <c r="C191" s="29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7.25" customHeight="1" x14ac:dyDescent="0.2">
      <c r="A192" s="4"/>
      <c r="B192" s="4"/>
      <c r="C192" s="29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7.25" customHeight="1" x14ac:dyDescent="0.2">
      <c r="A193" s="4"/>
      <c r="B193" s="4"/>
      <c r="C193" s="29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7.25" customHeight="1" x14ac:dyDescent="0.2">
      <c r="A194" s="4"/>
      <c r="B194" s="4"/>
      <c r="C194" s="29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7.25" customHeight="1" x14ac:dyDescent="0.2">
      <c r="A195" s="4"/>
      <c r="B195" s="4"/>
      <c r="C195" s="29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7.25" customHeight="1" x14ac:dyDescent="0.2">
      <c r="A196" s="4"/>
      <c r="B196" s="4"/>
      <c r="C196" s="29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7.25" customHeight="1" x14ac:dyDescent="0.2">
      <c r="A197" s="4"/>
      <c r="B197" s="4"/>
      <c r="C197" s="29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7.25" customHeight="1" x14ac:dyDescent="0.2">
      <c r="A198" s="4"/>
      <c r="B198" s="4"/>
      <c r="C198" s="29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7.25" customHeight="1" x14ac:dyDescent="0.2">
      <c r="A199" s="4"/>
      <c r="B199" s="4"/>
      <c r="C199" s="29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7.25" customHeight="1" x14ac:dyDescent="0.2">
      <c r="A200" s="4"/>
      <c r="B200" s="4"/>
      <c r="C200" s="29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7.25" customHeight="1" x14ac:dyDescent="0.2">
      <c r="A201" s="4"/>
      <c r="B201" s="4"/>
      <c r="C201" s="29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7.25" customHeight="1" x14ac:dyDescent="0.2">
      <c r="A202" s="4"/>
      <c r="B202" s="4"/>
      <c r="C202" s="29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7.25" customHeight="1" x14ac:dyDescent="0.2">
      <c r="A203" s="4"/>
      <c r="B203" s="4"/>
      <c r="C203" s="29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7.25" customHeight="1" x14ac:dyDescent="0.2">
      <c r="A204" s="4"/>
      <c r="B204" s="4"/>
      <c r="C204" s="29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7.25" customHeight="1" x14ac:dyDescent="0.2">
      <c r="A205" s="4"/>
      <c r="B205" s="4"/>
      <c r="C205" s="29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7.25" customHeight="1" x14ac:dyDescent="0.2">
      <c r="A206" s="4"/>
      <c r="B206" s="4"/>
      <c r="C206" s="29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7.25" customHeight="1" x14ac:dyDescent="0.2">
      <c r="A207" s="4"/>
      <c r="B207" s="4"/>
      <c r="C207" s="29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7.25" customHeight="1" x14ac:dyDescent="0.2">
      <c r="A208" s="4"/>
      <c r="B208" s="4"/>
      <c r="C208" s="29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7.25" customHeight="1" x14ac:dyDescent="0.2">
      <c r="A209" s="4"/>
      <c r="B209" s="4"/>
      <c r="C209" s="29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7.25" customHeight="1" x14ac:dyDescent="0.2">
      <c r="A210" s="4"/>
      <c r="B210" s="4"/>
      <c r="C210" s="29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7.25" customHeight="1" x14ac:dyDescent="0.2">
      <c r="A211" s="4"/>
      <c r="B211" s="4"/>
      <c r="C211" s="29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7.25" customHeight="1" x14ac:dyDescent="0.2">
      <c r="A212" s="4"/>
      <c r="B212" s="4"/>
      <c r="C212" s="29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7.25" customHeight="1" x14ac:dyDescent="0.2">
      <c r="A213" s="4"/>
      <c r="B213" s="4"/>
      <c r="C213" s="29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7.25" customHeight="1" x14ac:dyDescent="0.2">
      <c r="A214" s="4"/>
      <c r="B214" s="4"/>
      <c r="C214" s="29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7.25" customHeight="1" x14ac:dyDescent="0.2">
      <c r="A215" s="4"/>
      <c r="B215" s="4"/>
      <c r="C215" s="29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7.25" customHeight="1" x14ac:dyDescent="0.2">
      <c r="A216" s="4"/>
      <c r="B216" s="4"/>
      <c r="C216" s="29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7.25" customHeight="1" x14ac:dyDescent="0.2">
      <c r="A217" s="4"/>
      <c r="B217" s="4"/>
      <c r="C217" s="29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7.25" customHeight="1" x14ac:dyDescent="0.2">
      <c r="A218" s="4"/>
      <c r="B218" s="4"/>
      <c r="C218" s="29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7.25" customHeight="1" x14ac:dyDescent="0.2">
      <c r="A219" s="4"/>
      <c r="B219" s="4"/>
      <c r="C219" s="29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7.25" customHeight="1" x14ac:dyDescent="0.2">
      <c r="A220" s="4"/>
      <c r="B220" s="4"/>
      <c r="C220" s="29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7.25" customHeight="1" x14ac:dyDescent="0.2">
      <c r="A221" s="4"/>
      <c r="B221" s="4"/>
      <c r="C221" s="29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7.25" customHeight="1" x14ac:dyDescent="0.2">
      <c r="A222" s="4"/>
      <c r="B222" s="4"/>
      <c r="C222" s="29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7.25" customHeight="1" x14ac:dyDescent="0.2">
      <c r="A223" s="4"/>
      <c r="B223" s="4"/>
      <c r="C223" s="29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7.25" customHeight="1" x14ac:dyDescent="0.2">
      <c r="A224" s="4"/>
      <c r="B224" s="4"/>
      <c r="C224" s="29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7.25" customHeight="1" x14ac:dyDescent="0.2">
      <c r="A225" s="4"/>
      <c r="B225" s="4"/>
      <c r="C225" s="29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7.25" customHeight="1" x14ac:dyDescent="0.2">
      <c r="A226" s="4"/>
      <c r="B226" s="4"/>
      <c r="C226" s="29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7.25" customHeight="1" x14ac:dyDescent="0.2">
      <c r="A227" s="4"/>
      <c r="B227" s="4"/>
      <c r="C227" s="29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7.25" customHeight="1" x14ac:dyDescent="0.2">
      <c r="A228" s="4"/>
      <c r="B228" s="4"/>
      <c r="C228" s="29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7.25" customHeight="1" x14ac:dyDescent="0.2">
      <c r="A229" s="4"/>
      <c r="B229" s="4"/>
      <c r="C229" s="29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7.25" customHeight="1" x14ac:dyDescent="0.2">
      <c r="A230" s="4"/>
      <c r="B230" s="4"/>
      <c r="C230" s="29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7.25" customHeight="1" x14ac:dyDescent="0.2">
      <c r="A231" s="4"/>
      <c r="B231" s="4"/>
      <c r="C231" s="29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7.25" customHeight="1" x14ac:dyDescent="0.2">
      <c r="A232" s="4"/>
      <c r="B232" s="4"/>
      <c r="C232" s="29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7.25" customHeight="1" x14ac:dyDescent="0.2">
      <c r="A233" s="4"/>
      <c r="B233" s="4"/>
      <c r="C233" s="29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7.25" customHeight="1" x14ac:dyDescent="0.2">
      <c r="A234" s="4"/>
      <c r="B234" s="4"/>
      <c r="C234" s="29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7.25" customHeight="1" x14ac:dyDescent="0.2">
      <c r="A235" s="4"/>
      <c r="B235" s="4"/>
      <c r="C235" s="29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7.25" customHeight="1" x14ac:dyDescent="0.2">
      <c r="A236" s="4"/>
      <c r="B236" s="4"/>
      <c r="C236" s="29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7.25" customHeight="1" x14ac:dyDescent="0.2">
      <c r="A237" s="4"/>
      <c r="B237" s="4"/>
      <c r="C237" s="29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7.25" customHeight="1" x14ac:dyDescent="0.2">
      <c r="A238" s="4"/>
      <c r="B238" s="4"/>
      <c r="C238" s="29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7.25" customHeight="1" x14ac:dyDescent="0.2">
      <c r="A239" s="4"/>
      <c r="B239" s="4"/>
      <c r="C239" s="29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7.25" customHeight="1" x14ac:dyDescent="0.2">
      <c r="A240" s="4"/>
      <c r="B240" s="4"/>
      <c r="C240" s="29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7.25" customHeight="1" x14ac:dyDescent="0.2">
      <c r="A241" s="4"/>
      <c r="B241" s="4"/>
      <c r="C241" s="29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7.25" customHeight="1" x14ac:dyDescent="0.2">
      <c r="A242" s="4"/>
      <c r="B242" s="4"/>
      <c r="C242" s="29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7.25" customHeight="1" x14ac:dyDescent="0.2">
      <c r="A243" s="4"/>
      <c r="B243" s="4"/>
      <c r="C243" s="29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7.25" customHeight="1" x14ac:dyDescent="0.2">
      <c r="A244" s="4"/>
      <c r="B244" s="4"/>
      <c r="C244" s="29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7.25" customHeight="1" x14ac:dyDescent="0.2">
      <c r="A245" s="4"/>
      <c r="B245" s="4"/>
      <c r="C245" s="29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7.25" customHeight="1" x14ac:dyDescent="0.2">
      <c r="A246" s="4"/>
      <c r="B246" s="4"/>
      <c r="C246" s="29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7.25" customHeight="1" x14ac:dyDescent="0.2">
      <c r="A247" s="4"/>
      <c r="B247" s="4"/>
      <c r="C247" s="29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7.25" customHeight="1" x14ac:dyDescent="0.2">
      <c r="A248" s="4"/>
      <c r="B248" s="4"/>
      <c r="C248" s="29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7.25" customHeight="1" x14ac:dyDescent="0.2">
      <c r="A249" s="4"/>
      <c r="B249" s="4"/>
      <c r="C249" s="29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7.25" customHeight="1" x14ac:dyDescent="0.2">
      <c r="A250" s="4"/>
      <c r="B250" s="4"/>
      <c r="C250" s="29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7.25" customHeight="1" x14ac:dyDescent="0.2">
      <c r="A251" s="4"/>
      <c r="B251" s="4"/>
      <c r="C251" s="29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7.25" customHeight="1" x14ac:dyDescent="0.2">
      <c r="A252" s="4"/>
      <c r="B252" s="4"/>
      <c r="C252" s="29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7.25" customHeight="1" x14ac:dyDescent="0.2">
      <c r="A253" s="4"/>
      <c r="B253" s="4"/>
      <c r="C253" s="29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7.25" customHeight="1" x14ac:dyDescent="0.2">
      <c r="A254" s="4"/>
      <c r="B254" s="4"/>
      <c r="C254" s="29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7.25" customHeight="1" x14ac:dyDescent="0.2">
      <c r="A255" s="4"/>
      <c r="B255" s="4"/>
      <c r="C255" s="29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7.25" customHeight="1" x14ac:dyDescent="0.2">
      <c r="A256" s="4"/>
      <c r="B256" s="4"/>
      <c r="C256" s="29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7.25" customHeight="1" x14ac:dyDescent="0.2">
      <c r="A257" s="4"/>
      <c r="B257" s="4"/>
      <c r="C257" s="29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7.25" customHeight="1" x14ac:dyDescent="0.2">
      <c r="A258" s="4"/>
      <c r="B258" s="4"/>
      <c r="C258" s="29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7.25" customHeight="1" x14ac:dyDescent="0.2">
      <c r="A259" s="4"/>
      <c r="B259" s="4"/>
      <c r="C259" s="29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7.25" customHeight="1" x14ac:dyDescent="0.2">
      <c r="A260" s="4"/>
      <c r="B260" s="4"/>
      <c r="C260" s="29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7.25" customHeight="1" x14ac:dyDescent="0.2">
      <c r="A261" s="4"/>
      <c r="B261" s="4"/>
      <c r="C261" s="29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7.25" customHeight="1" x14ac:dyDescent="0.2">
      <c r="A262" s="4"/>
      <c r="B262" s="4"/>
      <c r="C262" s="29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7.25" customHeight="1" x14ac:dyDescent="0.2">
      <c r="A263" s="4"/>
      <c r="B263" s="4"/>
      <c r="C263" s="29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7.25" customHeight="1" x14ac:dyDescent="0.2">
      <c r="A264" s="4"/>
      <c r="B264" s="4"/>
      <c r="C264" s="29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7.25" customHeight="1" x14ac:dyDescent="0.2">
      <c r="A265" s="4"/>
      <c r="B265" s="4"/>
      <c r="C265" s="29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7.25" customHeight="1" x14ac:dyDescent="0.2">
      <c r="A266" s="4"/>
      <c r="B266" s="4"/>
      <c r="C266" s="29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7.25" customHeight="1" x14ac:dyDescent="0.2">
      <c r="A267" s="4"/>
      <c r="B267" s="4"/>
      <c r="C267" s="29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7.25" customHeight="1" x14ac:dyDescent="0.2">
      <c r="A268" s="4"/>
      <c r="B268" s="4"/>
      <c r="C268" s="29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7.25" customHeight="1" x14ac:dyDescent="0.2">
      <c r="A269" s="4"/>
      <c r="B269" s="4"/>
      <c r="C269" s="29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7.25" customHeight="1" x14ac:dyDescent="0.2">
      <c r="A270" s="4"/>
      <c r="B270" s="4"/>
      <c r="C270" s="29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7.25" customHeight="1" x14ac:dyDescent="0.2">
      <c r="A271" s="4"/>
      <c r="B271" s="4"/>
      <c r="C271" s="29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7.25" customHeight="1" x14ac:dyDescent="0.2">
      <c r="A272" s="4"/>
      <c r="B272" s="4"/>
      <c r="C272" s="29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7.25" customHeight="1" x14ac:dyDescent="0.2">
      <c r="A273" s="4"/>
      <c r="B273" s="4"/>
      <c r="C273" s="29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7.25" customHeight="1" x14ac:dyDescent="0.2">
      <c r="A274" s="4"/>
      <c r="B274" s="4"/>
      <c r="C274" s="29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7.25" customHeight="1" x14ac:dyDescent="0.2">
      <c r="A275" s="4"/>
      <c r="B275" s="4"/>
      <c r="C275" s="29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7.25" customHeight="1" x14ac:dyDescent="0.2">
      <c r="A276" s="4"/>
      <c r="B276" s="4"/>
      <c r="C276" s="29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7.25" customHeight="1" x14ac:dyDescent="0.2">
      <c r="A277" s="4"/>
      <c r="B277" s="4"/>
      <c r="C277" s="29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7.25" customHeight="1" x14ac:dyDescent="0.2">
      <c r="A278" s="4"/>
      <c r="B278" s="4"/>
      <c r="C278" s="29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7.25" customHeight="1" x14ac:dyDescent="0.2">
      <c r="A279" s="4"/>
      <c r="B279" s="4"/>
      <c r="C279" s="29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7.25" customHeight="1" x14ac:dyDescent="0.2">
      <c r="A280" s="4"/>
      <c r="B280" s="4"/>
      <c r="C280" s="29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7.25" customHeight="1" x14ac:dyDescent="0.2">
      <c r="A281" s="4"/>
      <c r="B281" s="4"/>
      <c r="C281" s="29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7.25" customHeight="1" x14ac:dyDescent="0.2">
      <c r="A282" s="4"/>
      <c r="B282" s="4"/>
      <c r="C282" s="29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7.25" customHeight="1" x14ac:dyDescent="0.2">
      <c r="A283" s="4"/>
      <c r="B283" s="4"/>
      <c r="C283" s="29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7.25" customHeight="1" x14ac:dyDescent="0.2">
      <c r="A284" s="4"/>
      <c r="B284" s="4"/>
      <c r="C284" s="29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7.25" customHeight="1" x14ac:dyDescent="0.2">
      <c r="A285" s="4"/>
      <c r="B285" s="4"/>
      <c r="C285" s="29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7.25" customHeight="1" x14ac:dyDescent="0.2">
      <c r="A286" s="4"/>
      <c r="B286" s="4"/>
      <c r="C286" s="29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7.25" customHeight="1" x14ac:dyDescent="0.2">
      <c r="A287" s="4"/>
      <c r="B287" s="4"/>
      <c r="C287" s="29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7.25" customHeight="1" x14ac:dyDescent="0.2">
      <c r="A288" s="4"/>
      <c r="B288" s="4"/>
      <c r="C288" s="29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7.25" customHeight="1" x14ac:dyDescent="0.2">
      <c r="A289" s="4"/>
      <c r="B289" s="4"/>
      <c r="C289" s="29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7.25" customHeight="1" x14ac:dyDescent="0.2">
      <c r="A290" s="4"/>
      <c r="B290" s="4"/>
      <c r="C290" s="29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7.25" customHeight="1" x14ac:dyDescent="0.2">
      <c r="A291" s="4"/>
      <c r="B291" s="4"/>
      <c r="C291" s="29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7.25" customHeight="1" x14ac:dyDescent="0.2">
      <c r="A292" s="4"/>
      <c r="B292" s="4"/>
      <c r="C292" s="29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7.25" customHeight="1" x14ac:dyDescent="0.2">
      <c r="A293" s="4"/>
      <c r="B293" s="4"/>
      <c r="C293" s="29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7.25" customHeight="1" x14ac:dyDescent="0.2">
      <c r="A294" s="4"/>
      <c r="B294" s="4"/>
      <c r="C294" s="29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7.25" customHeight="1" x14ac:dyDescent="0.2">
      <c r="A295" s="4"/>
      <c r="B295" s="4"/>
      <c r="C295" s="29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7.25" customHeight="1" x14ac:dyDescent="0.2">
      <c r="A296" s="4"/>
      <c r="B296" s="4"/>
      <c r="C296" s="29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7.25" customHeight="1" x14ac:dyDescent="0.2">
      <c r="A297" s="4"/>
      <c r="B297" s="4"/>
      <c r="C297" s="29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7.25" customHeight="1" x14ac:dyDescent="0.2">
      <c r="A298" s="4"/>
      <c r="B298" s="4"/>
      <c r="C298" s="29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7.25" customHeight="1" x14ac:dyDescent="0.2">
      <c r="A299" s="4"/>
      <c r="B299" s="4"/>
      <c r="C299" s="29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7.25" customHeight="1" x14ac:dyDescent="0.2">
      <c r="A300" s="4"/>
      <c r="B300" s="4"/>
      <c r="C300" s="29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7.25" customHeight="1" x14ac:dyDescent="0.2">
      <c r="A301" s="4"/>
      <c r="B301" s="4"/>
      <c r="C301" s="29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7.25" customHeight="1" x14ac:dyDescent="0.2">
      <c r="A302" s="4"/>
      <c r="B302" s="4"/>
      <c r="C302" s="29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7.25" customHeight="1" x14ac:dyDescent="0.2">
      <c r="A303" s="4"/>
      <c r="B303" s="4"/>
      <c r="C303" s="29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7.25" customHeight="1" x14ac:dyDescent="0.2">
      <c r="A304" s="4"/>
      <c r="B304" s="4"/>
      <c r="C304" s="29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7.25" customHeight="1" x14ac:dyDescent="0.2">
      <c r="A305" s="4"/>
      <c r="B305" s="4"/>
      <c r="C305" s="29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7.25" customHeight="1" x14ac:dyDescent="0.2">
      <c r="A306" s="4"/>
      <c r="B306" s="4"/>
      <c r="C306" s="29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7.25" customHeight="1" x14ac:dyDescent="0.2">
      <c r="A307" s="4"/>
      <c r="B307" s="4"/>
      <c r="C307" s="29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7.25" customHeight="1" x14ac:dyDescent="0.2">
      <c r="A308" s="4"/>
      <c r="B308" s="4"/>
      <c r="C308" s="29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7.25" customHeight="1" x14ac:dyDescent="0.2">
      <c r="A309" s="4"/>
      <c r="B309" s="4"/>
      <c r="C309" s="29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7.25" customHeight="1" x14ac:dyDescent="0.2">
      <c r="A310" s="4"/>
      <c r="B310" s="4"/>
      <c r="C310" s="29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7.25" customHeight="1" x14ac:dyDescent="0.2">
      <c r="A311" s="4"/>
      <c r="B311" s="4"/>
      <c r="C311" s="29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7.25" customHeight="1" x14ac:dyDescent="0.2">
      <c r="A312" s="4"/>
      <c r="B312" s="4"/>
      <c r="C312" s="29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7.25" customHeight="1" x14ac:dyDescent="0.2">
      <c r="A313" s="4"/>
      <c r="B313" s="4"/>
      <c r="C313" s="29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7.25" customHeight="1" x14ac:dyDescent="0.2">
      <c r="A314" s="4"/>
      <c r="B314" s="4"/>
      <c r="C314" s="29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7.25" customHeight="1" x14ac:dyDescent="0.2">
      <c r="A315" s="4"/>
      <c r="B315" s="4"/>
      <c r="C315" s="29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7.25" customHeight="1" x14ac:dyDescent="0.2">
      <c r="A316" s="4"/>
      <c r="B316" s="4"/>
      <c r="C316" s="29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7.25" customHeight="1" x14ac:dyDescent="0.2">
      <c r="A317" s="4"/>
      <c r="B317" s="4"/>
      <c r="C317" s="29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7.25" customHeight="1" x14ac:dyDescent="0.2">
      <c r="A318" s="4"/>
      <c r="B318" s="4"/>
      <c r="C318" s="29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7.25" customHeight="1" x14ac:dyDescent="0.2">
      <c r="A319" s="4"/>
      <c r="B319" s="4"/>
      <c r="C319" s="29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7.25" customHeight="1" x14ac:dyDescent="0.2">
      <c r="A320" s="4"/>
      <c r="B320" s="4"/>
      <c r="C320" s="29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7.25" customHeight="1" x14ac:dyDescent="0.2">
      <c r="A321" s="4"/>
      <c r="B321" s="4"/>
      <c r="C321" s="29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7.25" customHeight="1" x14ac:dyDescent="0.2">
      <c r="A322" s="4"/>
      <c r="B322" s="4"/>
      <c r="C322" s="29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7.25" customHeight="1" x14ac:dyDescent="0.2">
      <c r="A323" s="4"/>
      <c r="B323" s="4"/>
      <c r="C323" s="29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7.25" customHeight="1" x14ac:dyDescent="0.2">
      <c r="A324" s="4"/>
      <c r="B324" s="4"/>
      <c r="C324" s="29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7.25" customHeight="1" x14ac:dyDescent="0.2">
      <c r="A325" s="4"/>
      <c r="B325" s="4"/>
      <c r="C325" s="29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7.25" customHeight="1" x14ac:dyDescent="0.2">
      <c r="A326" s="4"/>
      <c r="B326" s="4"/>
      <c r="C326" s="29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7.25" customHeight="1" x14ac:dyDescent="0.2">
      <c r="A327" s="4"/>
      <c r="B327" s="4"/>
      <c r="C327" s="29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7.25" customHeight="1" x14ac:dyDescent="0.2">
      <c r="A328" s="4"/>
      <c r="B328" s="4"/>
      <c r="C328" s="29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7.25" customHeight="1" x14ac:dyDescent="0.2">
      <c r="A329" s="4"/>
      <c r="B329" s="4"/>
      <c r="C329" s="29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7.25" customHeight="1" x14ac:dyDescent="0.2">
      <c r="A330" s="4"/>
      <c r="B330" s="4"/>
      <c r="C330" s="29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7.25" customHeight="1" x14ac:dyDescent="0.2">
      <c r="A331" s="4"/>
      <c r="B331" s="4"/>
      <c r="C331" s="29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7.25" customHeight="1" x14ac:dyDescent="0.2">
      <c r="A332" s="4"/>
      <c r="B332" s="4"/>
      <c r="C332" s="29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7.25" customHeight="1" x14ac:dyDescent="0.2">
      <c r="A333" s="4"/>
      <c r="B333" s="4"/>
      <c r="C333" s="29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7.25" customHeight="1" x14ac:dyDescent="0.2">
      <c r="A334" s="4"/>
      <c r="B334" s="4"/>
      <c r="C334" s="29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7.25" customHeight="1" x14ac:dyDescent="0.2">
      <c r="A335" s="4"/>
      <c r="B335" s="4"/>
      <c r="C335" s="29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7.25" customHeight="1" x14ac:dyDescent="0.2">
      <c r="A336" s="4"/>
      <c r="B336" s="4"/>
      <c r="C336" s="29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7.25" customHeight="1" x14ac:dyDescent="0.2">
      <c r="A337" s="4"/>
      <c r="B337" s="4"/>
      <c r="C337" s="29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7.25" customHeight="1" x14ac:dyDescent="0.2">
      <c r="A338" s="4"/>
      <c r="B338" s="4"/>
      <c r="C338" s="29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7.25" customHeight="1" x14ac:dyDescent="0.2">
      <c r="A339" s="4"/>
      <c r="B339" s="4"/>
      <c r="C339" s="29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7.25" customHeight="1" x14ac:dyDescent="0.2">
      <c r="A340" s="4"/>
      <c r="B340" s="4"/>
      <c r="C340" s="29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7.25" customHeight="1" x14ac:dyDescent="0.2">
      <c r="A341" s="4"/>
      <c r="B341" s="4"/>
      <c r="C341" s="29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7.25" customHeight="1" x14ac:dyDescent="0.2">
      <c r="A342" s="4"/>
      <c r="B342" s="4"/>
      <c r="C342" s="29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7.25" customHeight="1" x14ac:dyDescent="0.2">
      <c r="A343" s="4"/>
      <c r="B343" s="4"/>
      <c r="C343" s="29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7.25" customHeight="1" x14ac:dyDescent="0.2">
      <c r="A344" s="4"/>
      <c r="B344" s="4"/>
      <c r="C344" s="29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7.25" customHeight="1" x14ac:dyDescent="0.2">
      <c r="A345" s="4"/>
      <c r="B345" s="4"/>
      <c r="C345" s="29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7.25" customHeight="1" x14ac:dyDescent="0.2">
      <c r="A346" s="4"/>
      <c r="B346" s="4"/>
      <c r="C346" s="29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7.25" customHeight="1" x14ac:dyDescent="0.2">
      <c r="A347" s="4"/>
      <c r="B347" s="4"/>
      <c r="C347" s="29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7.25" customHeight="1" x14ac:dyDescent="0.2">
      <c r="A348" s="4"/>
      <c r="B348" s="4"/>
      <c r="C348" s="29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7.25" customHeight="1" x14ac:dyDescent="0.2">
      <c r="A349" s="4"/>
      <c r="B349" s="4"/>
      <c r="C349" s="29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7.25" customHeight="1" x14ac:dyDescent="0.2">
      <c r="A350" s="4"/>
      <c r="B350" s="4"/>
      <c r="C350" s="29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7.25" customHeight="1" x14ac:dyDescent="0.2">
      <c r="A351" s="4"/>
      <c r="B351" s="4"/>
      <c r="C351" s="29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7.25" customHeight="1" x14ac:dyDescent="0.2">
      <c r="A352" s="4"/>
      <c r="B352" s="4"/>
      <c r="C352" s="29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7.25" customHeight="1" x14ac:dyDescent="0.2">
      <c r="A353" s="4"/>
      <c r="B353" s="4"/>
      <c r="C353" s="29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7.25" customHeight="1" x14ac:dyDescent="0.2">
      <c r="A354" s="4"/>
      <c r="B354" s="4"/>
      <c r="C354" s="29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7.25" customHeight="1" x14ac:dyDescent="0.2">
      <c r="A355" s="4"/>
      <c r="B355" s="4"/>
      <c r="C355" s="29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7.25" customHeight="1" x14ac:dyDescent="0.2">
      <c r="A356" s="4"/>
      <c r="B356" s="4"/>
      <c r="C356" s="29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7.25" customHeight="1" x14ac:dyDescent="0.2">
      <c r="A357" s="4"/>
      <c r="B357" s="4"/>
      <c r="C357" s="29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7.25" customHeight="1" x14ac:dyDescent="0.2">
      <c r="A358" s="4"/>
      <c r="B358" s="4"/>
      <c r="C358" s="29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7.25" customHeight="1" x14ac:dyDescent="0.2">
      <c r="A359" s="4"/>
      <c r="B359" s="4"/>
      <c r="C359" s="29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7.25" customHeight="1" x14ac:dyDescent="0.2">
      <c r="A360" s="4"/>
      <c r="B360" s="4"/>
      <c r="C360" s="29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7.25" customHeight="1" x14ac:dyDescent="0.2">
      <c r="A361" s="4"/>
      <c r="B361" s="4"/>
      <c r="C361" s="29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7.25" customHeight="1" x14ac:dyDescent="0.2">
      <c r="A362" s="4"/>
      <c r="B362" s="4"/>
      <c r="C362" s="29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7.25" customHeight="1" x14ac:dyDescent="0.2">
      <c r="A363" s="4"/>
      <c r="B363" s="4"/>
      <c r="C363" s="29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7.25" customHeight="1" x14ac:dyDescent="0.2">
      <c r="A364" s="4"/>
      <c r="B364" s="4"/>
      <c r="C364" s="29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7.25" customHeight="1" x14ac:dyDescent="0.2">
      <c r="A365" s="4"/>
      <c r="B365" s="4"/>
      <c r="C365" s="29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7.25" customHeight="1" x14ac:dyDescent="0.2">
      <c r="A366" s="4"/>
      <c r="B366" s="4"/>
      <c r="C366" s="29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7.25" customHeight="1" x14ac:dyDescent="0.2">
      <c r="A367" s="4"/>
      <c r="B367" s="4"/>
      <c r="C367" s="29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7.25" customHeight="1" x14ac:dyDescent="0.2">
      <c r="A368" s="4"/>
      <c r="B368" s="4"/>
      <c r="C368" s="29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7.25" customHeight="1" x14ac:dyDescent="0.2">
      <c r="A369" s="4"/>
      <c r="B369" s="4"/>
      <c r="C369" s="29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7.25" customHeight="1" x14ac:dyDescent="0.2">
      <c r="A370" s="4"/>
      <c r="B370" s="4"/>
      <c r="C370" s="29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7.25" customHeight="1" x14ac:dyDescent="0.2">
      <c r="A371" s="4"/>
      <c r="B371" s="4"/>
      <c r="C371" s="29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7.25" customHeight="1" x14ac:dyDescent="0.2">
      <c r="A372" s="4"/>
      <c r="B372" s="4"/>
      <c r="C372" s="29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7.25" customHeight="1" x14ac:dyDescent="0.2">
      <c r="A373" s="4"/>
      <c r="B373" s="4"/>
      <c r="C373" s="29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7.25" customHeight="1" x14ac:dyDescent="0.2">
      <c r="A374" s="4"/>
      <c r="B374" s="4"/>
      <c r="C374" s="29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7.25" customHeight="1" x14ac:dyDescent="0.2">
      <c r="A375" s="4"/>
      <c r="B375" s="4"/>
      <c r="C375" s="29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7.25" customHeight="1" x14ac:dyDescent="0.2">
      <c r="A376" s="4"/>
      <c r="B376" s="4"/>
      <c r="C376" s="29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7.25" customHeight="1" x14ac:dyDescent="0.2">
      <c r="A377" s="4"/>
      <c r="B377" s="4"/>
      <c r="C377" s="29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7.25" customHeight="1" x14ac:dyDescent="0.2">
      <c r="A378" s="4"/>
      <c r="B378" s="4"/>
      <c r="C378" s="29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7.25" customHeight="1" x14ac:dyDescent="0.2">
      <c r="A379" s="4"/>
      <c r="B379" s="4"/>
      <c r="C379" s="29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7.25" customHeight="1" x14ac:dyDescent="0.2">
      <c r="A380" s="4"/>
      <c r="B380" s="4"/>
      <c r="C380" s="29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7.25" customHeight="1" x14ac:dyDescent="0.2">
      <c r="A381" s="4"/>
      <c r="B381" s="4"/>
      <c r="C381" s="29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7.25" customHeight="1" x14ac:dyDescent="0.2">
      <c r="A382" s="4"/>
      <c r="B382" s="4"/>
      <c r="C382" s="29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7.25" customHeight="1" x14ac:dyDescent="0.2">
      <c r="A383" s="4"/>
      <c r="B383" s="4"/>
      <c r="C383" s="29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7.25" customHeight="1" x14ac:dyDescent="0.2">
      <c r="A384" s="4"/>
      <c r="B384" s="4"/>
      <c r="C384" s="29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7.25" customHeight="1" x14ac:dyDescent="0.2">
      <c r="A385" s="4"/>
      <c r="B385" s="4"/>
      <c r="C385" s="29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7.25" customHeight="1" x14ac:dyDescent="0.2">
      <c r="A386" s="4"/>
      <c r="B386" s="4"/>
      <c r="C386" s="29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7.25" customHeight="1" x14ac:dyDescent="0.2">
      <c r="A387" s="4"/>
      <c r="B387" s="4"/>
      <c r="C387" s="29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7.25" customHeight="1" x14ac:dyDescent="0.2">
      <c r="A388" s="4"/>
      <c r="B388" s="4"/>
      <c r="C388" s="29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7.25" customHeight="1" x14ac:dyDescent="0.2">
      <c r="A389" s="4"/>
      <c r="B389" s="4"/>
      <c r="C389" s="29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7.25" customHeight="1" x14ac:dyDescent="0.2">
      <c r="A390" s="4"/>
      <c r="B390" s="4"/>
      <c r="C390" s="29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7.25" customHeight="1" x14ac:dyDescent="0.2">
      <c r="A391" s="4"/>
      <c r="B391" s="4"/>
      <c r="C391" s="29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7.25" customHeight="1" x14ac:dyDescent="0.2">
      <c r="A392" s="4"/>
      <c r="B392" s="4"/>
      <c r="C392" s="29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7.25" customHeight="1" x14ac:dyDescent="0.2">
      <c r="A393" s="4"/>
      <c r="B393" s="4"/>
      <c r="C393" s="29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7.25" customHeight="1" x14ac:dyDescent="0.2">
      <c r="A394" s="4"/>
      <c r="B394" s="4"/>
      <c r="C394" s="29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7.25" customHeight="1" x14ac:dyDescent="0.2">
      <c r="A395" s="4"/>
      <c r="B395" s="4"/>
      <c r="C395" s="29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7.25" customHeight="1" x14ac:dyDescent="0.2">
      <c r="A396" s="4"/>
      <c r="B396" s="4"/>
      <c r="C396" s="29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7.25" customHeight="1" x14ac:dyDescent="0.2">
      <c r="A397" s="4"/>
      <c r="B397" s="4"/>
      <c r="C397" s="29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7.25" customHeight="1" x14ac:dyDescent="0.2">
      <c r="A398" s="4"/>
      <c r="B398" s="4"/>
      <c r="C398" s="29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7.25" customHeight="1" x14ac:dyDescent="0.2">
      <c r="A399" s="4"/>
      <c r="B399" s="4"/>
      <c r="C399" s="29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7.25" customHeight="1" x14ac:dyDescent="0.2">
      <c r="A400" s="4"/>
      <c r="B400" s="4"/>
      <c r="C400" s="29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7.25" customHeight="1" x14ac:dyDescent="0.2">
      <c r="A401" s="4"/>
      <c r="B401" s="4"/>
      <c r="C401" s="29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7.25" customHeight="1" x14ac:dyDescent="0.2">
      <c r="A402" s="4"/>
      <c r="B402" s="4"/>
      <c r="C402" s="29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7.25" customHeight="1" x14ac:dyDescent="0.2">
      <c r="A403" s="4"/>
      <c r="B403" s="4"/>
      <c r="C403" s="29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7.25" customHeight="1" x14ac:dyDescent="0.2">
      <c r="A404" s="4"/>
      <c r="B404" s="4"/>
      <c r="C404" s="29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7.25" customHeight="1" x14ac:dyDescent="0.2">
      <c r="A405" s="4"/>
      <c r="B405" s="4"/>
      <c r="C405" s="29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7.25" customHeight="1" x14ac:dyDescent="0.2">
      <c r="A406" s="4"/>
      <c r="B406" s="4"/>
      <c r="C406" s="29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7.25" customHeight="1" x14ac:dyDescent="0.2">
      <c r="A407" s="4"/>
      <c r="B407" s="4"/>
      <c r="C407" s="29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7.25" customHeight="1" x14ac:dyDescent="0.2">
      <c r="A408" s="4"/>
      <c r="B408" s="4"/>
      <c r="C408" s="29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7.25" customHeight="1" x14ac:dyDescent="0.2">
      <c r="A409" s="4"/>
      <c r="B409" s="4"/>
      <c r="C409" s="29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7.25" customHeight="1" x14ac:dyDescent="0.2">
      <c r="A410" s="4"/>
      <c r="B410" s="4"/>
      <c r="C410" s="29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7.25" customHeight="1" x14ac:dyDescent="0.2">
      <c r="A411" s="4"/>
      <c r="B411" s="4"/>
      <c r="C411" s="29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7.25" customHeight="1" x14ac:dyDescent="0.2">
      <c r="A412" s="4"/>
      <c r="B412" s="4"/>
      <c r="C412" s="29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7.25" customHeight="1" x14ac:dyDescent="0.2">
      <c r="A413" s="4"/>
      <c r="B413" s="4"/>
      <c r="C413" s="29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7.25" customHeight="1" x14ac:dyDescent="0.2">
      <c r="A414" s="4"/>
      <c r="B414" s="4"/>
      <c r="C414" s="29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7.25" customHeight="1" x14ac:dyDescent="0.2">
      <c r="A415" s="4"/>
      <c r="B415" s="4"/>
      <c r="C415" s="29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7.25" customHeight="1" x14ac:dyDescent="0.2">
      <c r="A416" s="4"/>
      <c r="B416" s="4"/>
      <c r="C416" s="29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7.25" customHeight="1" x14ac:dyDescent="0.2">
      <c r="A417" s="4"/>
      <c r="B417" s="4"/>
      <c r="C417" s="29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7.25" customHeight="1" x14ac:dyDescent="0.2">
      <c r="A418" s="4"/>
      <c r="B418" s="4"/>
      <c r="C418" s="29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7.25" customHeight="1" x14ac:dyDescent="0.2">
      <c r="A419" s="4"/>
      <c r="B419" s="4"/>
      <c r="C419" s="29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7.25" customHeight="1" x14ac:dyDescent="0.2">
      <c r="A420" s="4"/>
      <c r="B420" s="4"/>
      <c r="C420" s="29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7.25" customHeight="1" x14ac:dyDescent="0.2">
      <c r="A421" s="4"/>
      <c r="B421" s="4"/>
      <c r="C421" s="29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7.25" customHeight="1" x14ac:dyDescent="0.2">
      <c r="A422" s="4"/>
      <c r="B422" s="4"/>
      <c r="C422" s="29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7.25" customHeight="1" x14ac:dyDescent="0.2">
      <c r="A423" s="4"/>
      <c r="B423" s="4"/>
      <c r="C423" s="29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7.25" customHeight="1" x14ac:dyDescent="0.2">
      <c r="A424" s="4"/>
      <c r="B424" s="4"/>
      <c r="C424" s="29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7.25" customHeight="1" x14ac:dyDescent="0.2">
      <c r="A425" s="4"/>
      <c r="B425" s="4"/>
      <c r="C425" s="29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7.25" customHeight="1" x14ac:dyDescent="0.2">
      <c r="A426" s="4"/>
      <c r="B426" s="4"/>
      <c r="C426" s="29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7.25" customHeight="1" x14ac:dyDescent="0.2">
      <c r="A427" s="4"/>
      <c r="B427" s="4"/>
      <c r="C427" s="29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7.25" customHeight="1" x14ac:dyDescent="0.2">
      <c r="A428" s="4"/>
      <c r="B428" s="4"/>
      <c r="C428" s="29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7.25" customHeight="1" x14ac:dyDescent="0.2">
      <c r="A429" s="4"/>
      <c r="B429" s="4"/>
      <c r="C429" s="29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7.25" customHeight="1" x14ac:dyDescent="0.2">
      <c r="A430" s="4"/>
      <c r="B430" s="4"/>
      <c r="C430" s="29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7.25" customHeight="1" x14ac:dyDescent="0.2">
      <c r="A431" s="4"/>
      <c r="B431" s="4"/>
      <c r="C431" s="29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7.25" customHeight="1" x14ac:dyDescent="0.2">
      <c r="A432" s="4"/>
      <c r="B432" s="4"/>
      <c r="C432" s="29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7.25" customHeight="1" x14ac:dyDescent="0.2">
      <c r="A433" s="4"/>
      <c r="B433" s="4"/>
      <c r="C433" s="29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7.25" customHeight="1" x14ac:dyDescent="0.2">
      <c r="A434" s="4"/>
      <c r="B434" s="4"/>
      <c r="C434" s="29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7.25" customHeight="1" x14ac:dyDescent="0.2">
      <c r="A435" s="4"/>
      <c r="B435" s="4"/>
      <c r="C435" s="29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7.25" customHeight="1" x14ac:dyDescent="0.2">
      <c r="A436" s="4"/>
      <c r="B436" s="4"/>
      <c r="C436" s="29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7.25" customHeight="1" x14ac:dyDescent="0.2">
      <c r="A437" s="4"/>
      <c r="B437" s="4"/>
      <c r="C437" s="29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7.25" customHeight="1" x14ac:dyDescent="0.2">
      <c r="A438" s="4"/>
      <c r="B438" s="4"/>
      <c r="C438" s="29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7.25" customHeight="1" x14ac:dyDescent="0.2">
      <c r="A439" s="4"/>
      <c r="B439" s="4"/>
      <c r="C439" s="29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7.25" customHeight="1" x14ac:dyDescent="0.2">
      <c r="A440" s="4"/>
      <c r="B440" s="4"/>
      <c r="C440" s="29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7.25" customHeight="1" x14ac:dyDescent="0.2">
      <c r="A441" s="4"/>
      <c r="B441" s="4"/>
      <c r="C441" s="29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7.25" customHeight="1" x14ac:dyDescent="0.2">
      <c r="A442" s="4"/>
      <c r="B442" s="4"/>
      <c r="C442" s="29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7.25" customHeight="1" x14ac:dyDescent="0.2">
      <c r="A443" s="4"/>
      <c r="B443" s="4"/>
      <c r="C443" s="29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7.25" customHeight="1" x14ac:dyDescent="0.2">
      <c r="A444" s="4"/>
      <c r="B444" s="4"/>
      <c r="C444" s="29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7.25" customHeight="1" x14ac:dyDescent="0.2">
      <c r="A445" s="4"/>
      <c r="B445" s="4"/>
      <c r="C445" s="29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7.25" customHeight="1" x14ac:dyDescent="0.2">
      <c r="A446" s="4"/>
      <c r="B446" s="4"/>
      <c r="C446" s="29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7.25" customHeight="1" x14ac:dyDescent="0.2">
      <c r="A447" s="4"/>
      <c r="B447" s="4"/>
      <c r="C447" s="29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7.25" customHeight="1" x14ac:dyDescent="0.2">
      <c r="A448" s="4"/>
      <c r="B448" s="4"/>
      <c r="C448" s="29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7.25" customHeight="1" x14ac:dyDescent="0.2">
      <c r="A449" s="4"/>
      <c r="B449" s="4"/>
      <c r="C449" s="29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7.25" customHeight="1" x14ac:dyDescent="0.2">
      <c r="A450" s="4"/>
      <c r="B450" s="4"/>
      <c r="C450" s="29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7.25" customHeight="1" x14ac:dyDescent="0.2">
      <c r="A451" s="4"/>
      <c r="B451" s="4"/>
      <c r="C451" s="29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7.25" customHeight="1" x14ac:dyDescent="0.2">
      <c r="A452" s="4"/>
      <c r="B452" s="4"/>
      <c r="C452" s="29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7.25" customHeight="1" x14ac:dyDescent="0.2">
      <c r="A453" s="4"/>
      <c r="B453" s="4"/>
      <c r="C453" s="29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7.25" customHeight="1" x14ac:dyDescent="0.2">
      <c r="A454" s="4"/>
      <c r="B454" s="4"/>
      <c r="C454" s="29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7.25" customHeight="1" x14ac:dyDescent="0.2">
      <c r="A455" s="4"/>
      <c r="B455" s="4"/>
      <c r="C455" s="29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7.25" customHeight="1" x14ac:dyDescent="0.2">
      <c r="A456" s="4"/>
      <c r="B456" s="4"/>
      <c r="C456" s="29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7.25" customHeight="1" x14ac:dyDescent="0.2">
      <c r="A457" s="4"/>
      <c r="B457" s="4"/>
      <c r="C457" s="29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7.25" customHeight="1" x14ac:dyDescent="0.2">
      <c r="A458" s="4"/>
      <c r="B458" s="4"/>
      <c r="C458" s="29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7.25" customHeight="1" x14ac:dyDescent="0.2">
      <c r="A459" s="4"/>
      <c r="B459" s="4"/>
      <c r="C459" s="29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7.25" customHeight="1" x14ac:dyDescent="0.2">
      <c r="A460" s="4"/>
      <c r="B460" s="4"/>
      <c r="C460" s="29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7.25" customHeight="1" x14ac:dyDescent="0.2">
      <c r="A461" s="4"/>
      <c r="B461" s="4"/>
      <c r="C461" s="29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7.25" customHeight="1" x14ac:dyDescent="0.2">
      <c r="A462" s="4"/>
      <c r="B462" s="4"/>
      <c r="C462" s="29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7.25" customHeight="1" x14ac:dyDescent="0.2">
      <c r="A463" s="4"/>
      <c r="B463" s="4"/>
      <c r="C463" s="29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7.25" customHeight="1" x14ac:dyDescent="0.2">
      <c r="A464" s="4"/>
      <c r="B464" s="4"/>
      <c r="C464" s="29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7.25" customHeight="1" x14ac:dyDescent="0.2">
      <c r="A465" s="4"/>
      <c r="B465" s="4"/>
      <c r="C465" s="29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7.25" customHeight="1" x14ac:dyDescent="0.2">
      <c r="A466" s="4"/>
      <c r="B466" s="4"/>
      <c r="C466" s="29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7.25" customHeight="1" x14ac:dyDescent="0.2">
      <c r="A467" s="4"/>
      <c r="B467" s="4"/>
      <c r="C467" s="29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7.25" customHeight="1" x14ac:dyDescent="0.2">
      <c r="A468" s="4"/>
      <c r="B468" s="4"/>
      <c r="C468" s="29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7.25" customHeight="1" x14ac:dyDescent="0.2">
      <c r="A469" s="4"/>
      <c r="B469" s="4"/>
      <c r="C469" s="29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7.25" customHeight="1" x14ac:dyDescent="0.2">
      <c r="A470" s="4"/>
      <c r="B470" s="4"/>
      <c r="C470" s="29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7.25" customHeight="1" x14ac:dyDescent="0.2">
      <c r="A471" s="4"/>
      <c r="B471" s="4"/>
      <c r="C471" s="29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7.25" customHeight="1" x14ac:dyDescent="0.2">
      <c r="A472" s="4"/>
      <c r="B472" s="4"/>
      <c r="C472" s="29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7.25" customHeight="1" x14ac:dyDescent="0.2">
      <c r="A473" s="4"/>
      <c r="B473" s="4"/>
      <c r="C473" s="29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7.25" customHeight="1" x14ac:dyDescent="0.2">
      <c r="A474" s="4"/>
      <c r="B474" s="4"/>
      <c r="C474" s="29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7.25" customHeight="1" x14ac:dyDescent="0.2">
      <c r="A475" s="4"/>
      <c r="B475" s="4"/>
      <c r="C475" s="29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7.25" customHeight="1" x14ac:dyDescent="0.2">
      <c r="A476" s="4"/>
      <c r="B476" s="4"/>
      <c r="C476" s="29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7.25" customHeight="1" x14ac:dyDescent="0.2">
      <c r="A477" s="4"/>
      <c r="B477" s="4"/>
      <c r="C477" s="29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7.25" customHeight="1" x14ac:dyDescent="0.2">
      <c r="A478" s="4"/>
      <c r="B478" s="4"/>
      <c r="C478" s="29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7.25" customHeight="1" x14ac:dyDescent="0.2">
      <c r="A479" s="4"/>
      <c r="B479" s="4"/>
      <c r="C479" s="29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7.25" customHeight="1" x14ac:dyDescent="0.2">
      <c r="A480" s="4"/>
      <c r="B480" s="4"/>
      <c r="C480" s="29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7.25" customHeight="1" x14ac:dyDescent="0.2">
      <c r="A481" s="4"/>
      <c r="B481" s="4"/>
      <c r="C481" s="29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7.25" customHeight="1" x14ac:dyDescent="0.2">
      <c r="A482" s="4"/>
      <c r="B482" s="4"/>
      <c r="C482" s="29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7.25" customHeight="1" x14ac:dyDescent="0.2">
      <c r="A483" s="4"/>
      <c r="B483" s="4"/>
      <c r="C483" s="29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7.25" customHeight="1" x14ac:dyDescent="0.2">
      <c r="A484" s="4"/>
      <c r="B484" s="4"/>
      <c r="C484" s="29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7.25" customHeight="1" x14ac:dyDescent="0.2">
      <c r="A485" s="4"/>
      <c r="B485" s="4"/>
      <c r="C485" s="29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7.25" customHeight="1" x14ac:dyDescent="0.2">
      <c r="A486" s="4"/>
      <c r="B486" s="4"/>
      <c r="C486" s="29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7.25" customHeight="1" x14ac:dyDescent="0.2">
      <c r="A487" s="4"/>
      <c r="B487" s="4"/>
      <c r="C487" s="29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7.25" customHeight="1" x14ac:dyDescent="0.2">
      <c r="A488" s="4"/>
      <c r="B488" s="4"/>
      <c r="C488" s="29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7.25" customHeight="1" x14ac:dyDescent="0.2">
      <c r="A489" s="4"/>
      <c r="B489" s="4"/>
      <c r="C489" s="29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7.25" customHeight="1" x14ac:dyDescent="0.2">
      <c r="A490" s="4"/>
      <c r="B490" s="4"/>
      <c r="C490" s="29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7.25" customHeight="1" x14ac:dyDescent="0.2">
      <c r="A491" s="4"/>
      <c r="B491" s="4"/>
      <c r="C491" s="29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7.25" customHeight="1" x14ac:dyDescent="0.2">
      <c r="A492" s="4"/>
      <c r="B492" s="4"/>
      <c r="C492" s="29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7.25" customHeight="1" x14ac:dyDescent="0.2">
      <c r="A493" s="4"/>
      <c r="B493" s="4"/>
      <c r="C493" s="29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7.25" customHeight="1" x14ac:dyDescent="0.2">
      <c r="A494" s="4"/>
      <c r="B494" s="4"/>
      <c r="C494" s="29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7.25" customHeight="1" x14ac:dyDescent="0.2">
      <c r="A495" s="4"/>
      <c r="B495" s="4"/>
      <c r="C495" s="29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7.25" customHeight="1" x14ac:dyDescent="0.2">
      <c r="A496" s="4"/>
      <c r="B496" s="4"/>
      <c r="C496" s="29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7.25" customHeight="1" x14ac:dyDescent="0.2">
      <c r="A497" s="4"/>
      <c r="B497" s="4"/>
      <c r="C497" s="29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7.25" customHeight="1" x14ac:dyDescent="0.2">
      <c r="A498" s="4"/>
      <c r="B498" s="4"/>
      <c r="C498" s="29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7.25" customHeight="1" x14ac:dyDescent="0.2">
      <c r="A499" s="4"/>
      <c r="B499" s="4"/>
      <c r="C499" s="29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7.25" customHeight="1" x14ac:dyDescent="0.2">
      <c r="A500" s="4"/>
      <c r="B500" s="4"/>
      <c r="C500" s="29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7.25" customHeight="1" x14ac:dyDescent="0.2">
      <c r="A501" s="4"/>
      <c r="B501" s="4"/>
      <c r="C501" s="29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7.25" customHeight="1" x14ac:dyDescent="0.2">
      <c r="A502" s="4"/>
      <c r="B502" s="4"/>
      <c r="C502" s="29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7.25" customHeight="1" x14ac:dyDescent="0.2">
      <c r="A503" s="4"/>
      <c r="B503" s="4"/>
      <c r="C503" s="29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7.25" customHeight="1" x14ac:dyDescent="0.2">
      <c r="A504" s="4"/>
      <c r="B504" s="4"/>
      <c r="C504" s="29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7.25" customHeight="1" x14ac:dyDescent="0.2">
      <c r="A505" s="4"/>
      <c r="B505" s="4"/>
      <c r="C505" s="29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7.25" customHeight="1" x14ac:dyDescent="0.2">
      <c r="A506" s="4"/>
      <c r="B506" s="4"/>
      <c r="C506" s="29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7.25" customHeight="1" x14ac:dyDescent="0.2">
      <c r="A507" s="4"/>
      <c r="B507" s="4"/>
      <c r="C507" s="29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7.25" customHeight="1" x14ac:dyDescent="0.2">
      <c r="A508" s="4"/>
      <c r="B508" s="4"/>
      <c r="C508" s="29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7.25" customHeight="1" x14ac:dyDescent="0.2">
      <c r="A509" s="4"/>
      <c r="B509" s="4"/>
      <c r="C509" s="29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7.25" customHeight="1" x14ac:dyDescent="0.2">
      <c r="A510" s="4"/>
      <c r="B510" s="4"/>
      <c r="C510" s="29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7.25" customHeight="1" x14ac:dyDescent="0.2">
      <c r="A511" s="4"/>
      <c r="B511" s="4"/>
      <c r="C511" s="29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7.25" customHeight="1" x14ac:dyDescent="0.2">
      <c r="A512" s="4"/>
      <c r="B512" s="4"/>
      <c r="C512" s="29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7.25" customHeight="1" x14ac:dyDescent="0.2">
      <c r="A513" s="4"/>
      <c r="B513" s="4"/>
      <c r="C513" s="29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7.25" customHeight="1" x14ac:dyDescent="0.2">
      <c r="A514" s="4"/>
      <c r="B514" s="4"/>
      <c r="C514" s="29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7.25" customHeight="1" x14ac:dyDescent="0.2">
      <c r="A515" s="4"/>
      <c r="B515" s="4"/>
      <c r="C515" s="29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7.25" customHeight="1" x14ac:dyDescent="0.2">
      <c r="A516" s="4"/>
      <c r="B516" s="4"/>
      <c r="C516" s="29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7.25" customHeight="1" x14ac:dyDescent="0.2">
      <c r="A517" s="4"/>
      <c r="B517" s="4"/>
      <c r="C517" s="29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7.25" customHeight="1" x14ac:dyDescent="0.2">
      <c r="A518" s="4"/>
      <c r="B518" s="4"/>
      <c r="C518" s="29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7.25" customHeight="1" x14ac:dyDescent="0.2">
      <c r="A519" s="4"/>
      <c r="B519" s="4"/>
      <c r="C519" s="29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7.25" customHeight="1" x14ac:dyDescent="0.2">
      <c r="A520" s="4"/>
      <c r="B520" s="4"/>
      <c r="C520" s="29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7.25" customHeight="1" x14ac:dyDescent="0.2">
      <c r="A521" s="4"/>
      <c r="B521" s="4"/>
      <c r="C521" s="29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7.25" customHeight="1" x14ac:dyDescent="0.2">
      <c r="A522" s="4"/>
      <c r="B522" s="4"/>
      <c r="C522" s="29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7.25" customHeight="1" x14ac:dyDescent="0.2">
      <c r="A523" s="4"/>
      <c r="B523" s="4"/>
      <c r="C523" s="29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7.25" customHeight="1" x14ac:dyDescent="0.2">
      <c r="A524" s="4"/>
      <c r="B524" s="4"/>
      <c r="C524" s="29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7.25" customHeight="1" x14ac:dyDescent="0.2">
      <c r="A525" s="4"/>
      <c r="B525" s="4"/>
      <c r="C525" s="29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7.25" customHeight="1" x14ac:dyDescent="0.2">
      <c r="A526" s="4"/>
      <c r="B526" s="4"/>
      <c r="C526" s="29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7.25" customHeight="1" x14ac:dyDescent="0.2">
      <c r="A527" s="4"/>
      <c r="B527" s="4"/>
      <c r="C527" s="29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7.25" customHeight="1" x14ac:dyDescent="0.2">
      <c r="A528" s="4"/>
      <c r="B528" s="4"/>
      <c r="C528" s="29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7.25" customHeight="1" x14ac:dyDescent="0.2">
      <c r="A529" s="4"/>
      <c r="B529" s="4"/>
      <c r="C529" s="29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7.25" customHeight="1" x14ac:dyDescent="0.2">
      <c r="A530" s="4"/>
      <c r="B530" s="4"/>
      <c r="C530" s="29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7.25" customHeight="1" x14ac:dyDescent="0.2">
      <c r="A531" s="4"/>
      <c r="B531" s="4"/>
      <c r="C531" s="29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7.25" customHeight="1" x14ac:dyDescent="0.2">
      <c r="A532" s="4"/>
      <c r="B532" s="4"/>
      <c r="C532" s="29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7.25" customHeight="1" x14ac:dyDescent="0.2">
      <c r="A533" s="4"/>
      <c r="B533" s="4"/>
      <c r="C533" s="29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7.25" customHeight="1" x14ac:dyDescent="0.2">
      <c r="A534" s="4"/>
      <c r="B534" s="4"/>
      <c r="C534" s="29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7.25" customHeight="1" x14ac:dyDescent="0.2">
      <c r="A535" s="4"/>
      <c r="B535" s="4"/>
      <c r="C535" s="29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7.25" customHeight="1" x14ac:dyDescent="0.2">
      <c r="A536" s="4"/>
      <c r="B536" s="4"/>
      <c r="C536" s="29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7.25" customHeight="1" x14ac:dyDescent="0.2">
      <c r="A537" s="4"/>
      <c r="B537" s="4"/>
      <c r="C537" s="29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7.25" customHeight="1" x14ac:dyDescent="0.2">
      <c r="A538" s="4"/>
      <c r="B538" s="4"/>
      <c r="C538" s="29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7.25" customHeight="1" x14ac:dyDescent="0.2">
      <c r="A539" s="4"/>
      <c r="B539" s="4"/>
      <c r="C539" s="29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7.25" customHeight="1" x14ac:dyDescent="0.2">
      <c r="A540" s="4"/>
      <c r="B540" s="4"/>
      <c r="C540" s="29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7.25" customHeight="1" x14ac:dyDescent="0.2">
      <c r="A541" s="4"/>
      <c r="B541" s="4"/>
      <c r="C541" s="29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7.25" customHeight="1" x14ac:dyDescent="0.2">
      <c r="A542" s="4"/>
      <c r="B542" s="4"/>
      <c r="C542" s="29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7.25" customHeight="1" x14ac:dyDescent="0.2">
      <c r="A543" s="4"/>
      <c r="B543" s="4"/>
      <c r="C543" s="29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7.25" customHeight="1" x14ac:dyDescent="0.2">
      <c r="A544" s="4"/>
      <c r="B544" s="4"/>
      <c r="C544" s="29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7.25" customHeight="1" x14ac:dyDescent="0.2">
      <c r="A545" s="4"/>
      <c r="B545" s="4"/>
      <c r="C545" s="29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7.25" customHeight="1" x14ac:dyDescent="0.2">
      <c r="A546" s="4"/>
      <c r="B546" s="4"/>
      <c r="C546" s="29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7.25" customHeight="1" x14ac:dyDescent="0.2">
      <c r="A547" s="4"/>
      <c r="B547" s="4"/>
      <c r="C547" s="29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7.25" customHeight="1" x14ac:dyDescent="0.2">
      <c r="A548" s="4"/>
      <c r="B548" s="4"/>
      <c r="C548" s="29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7.25" customHeight="1" x14ac:dyDescent="0.2">
      <c r="A549" s="4"/>
      <c r="B549" s="4"/>
      <c r="C549" s="29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7.25" customHeight="1" x14ac:dyDescent="0.2">
      <c r="A550" s="4"/>
      <c r="B550" s="4"/>
      <c r="C550" s="29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7.25" customHeight="1" x14ac:dyDescent="0.2">
      <c r="A551" s="4"/>
      <c r="B551" s="4"/>
      <c r="C551" s="29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7.25" customHeight="1" x14ac:dyDescent="0.2">
      <c r="A552" s="4"/>
      <c r="B552" s="4"/>
      <c r="C552" s="29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7.25" customHeight="1" x14ac:dyDescent="0.2">
      <c r="A553" s="4"/>
      <c r="B553" s="4"/>
      <c r="C553" s="29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7.25" customHeight="1" x14ac:dyDescent="0.2">
      <c r="A554" s="4"/>
      <c r="B554" s="4"/>
      <c r="C554" s="29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7.25" customHeight="1" x14ac:dyDescent="0.2">
      <c r="A555" s="4"/>
      <c r="B555" s="4"/>
      <c r="C555" s="29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7.25" customHeight="1" x14ac:dyDescent="0.2">
      <c r="A556" s="4"/>
      <c r="B556" s="4"/>
      <c r="C556" s="29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7.25" customHeight="1" x14ac:dyDescent="0.2">
      <c r="A557" s="4"/>
      <c r="B557" s="4"/>
      <c r="C557" s="29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7.25" customHeight="1" x14ac:dyDescent="0.2">
      <c r="A558" s="4"/>
      <c r="B558" s="4"/>
      <c r="C558" s="29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7.25" customHeight="1" x14ac:dyDescent="0.2">
      <c r="A559" s="4"/>
      <c r="B559" s="4"/>
      <c r="C559" s="29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7.25" customHeight="1" x14ac:dyDescent="0.2">
      <c r="A560" s="4"/>
      <c r="B560" s="4"/>
      <c r="C560" s="29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7.25" customHeight="1" x14ac:dyDescent="0.2">
      <c r="A561" s="4"/>
      <c r="B561" s="4"/>
      <c r="C561" s="29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7.25" customHeight="1" x14ac:dyDescent="0.2">
      <c r="A562" s="4"/>
      <c r="B562" s="4"/>
      <c r="C562" s="29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7.25" customHeight="1" x14ac:dyDescent="0.2">
      <c r="A563" s="4"/>
      <c r="B563" s="4"/>
      <c r="C563" s="29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7.25" customHeight="1" x14ac:dyDescent="0.2">
      <c r="A564" s="4"/>
      <c r="B564" s="4"/>
      <c r="C564" s="29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7.25" customHeight="1" x14ac:dyDescent="0.2">
      <c r="A565" s="4"/>
      <c r="B565" s="4"/>
      <c r="C565" s="29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7.25" customHeight="1" x14ac:dyDescent="0.2">
      <c r="A566" s="4"/>
      <c r="B566" s="4"/>
      <c r="C566" s="29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7.25" customHeight="1" x14ac:dyDescent="0.2">
      <c r="A567" s="4"/>
      <c r="B567" s="4"/>
      <c r="C567" s="29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7.25" customHeight="1" x14ac:dyDescent="0.2">
      <c r="A568" s="4"/>
      <c r="B568" s="4"/>
      <c r="C568" s="29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7.25" customHeight="1" x14ac:dyDescent="0.2">
      <c r="A569" s="4"/>
      <c r="B569" s="4"/>
      <c r="C569" s="29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7.25" customHeight="1" x14ac:dyDescent="0.2">
      <c r="A570" s="4"/>
      <c r="B570" s="4"/>
      <c r="C570" s="29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7.25" customHeight="1" x14ac:dyDescent="0.2">
      <c r="A571" s="4"/>
      <c r="B571" s="4"/>
      <c r="C571" s="29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7.25" customHeight="1" x14ac:dyDescent="0.2">
      <c r="A572" s="4"/>
      <c r="B572" s="4"/>
      <c r="C572" s="29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7.25" customHeight="1" x14ac:dyDescent="0.2">
      <c r="A573" s="4"/>
      <c r="B573" s="4"/>
      <c r="C573" s="29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7.25" customHeight="1" x14ac:dyDescent="0.2">
      <c r="A574" s="4"/>
      <c r="B574" s="4"/>
      <c r="C574" s="29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7.25" customHeight="1" x14ac:dyDescent="0.2">
      <c r="A575" s="4"/>
      <c r="B575" s="4"/>
      <c r="C575" s="29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7.25" customHeight="1" x14ac:dyDescent="0.2">
      <c r="A576" s="4"/>
      <c r="B576" s="4"/>
      <c r="C576" s="29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7.25" customHeight="1" x14ac:dyDescent="0.2">
      <c r="A577" s="4"/>
      <c r="B577" s="4"/>
      <c r="C577" s="29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7.25" customHeight="1" x14ac:dyDescent="0.2">
      <c r="A578" s="4"/>
      <c r="B578" s="4"/>
      <c r="C578" s="29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7.25" customHeight="1" x14ac:dyDescent="0.2">
      <c r="A579" s="4"/>
      <c r="B579" s="4"/>
      <c r="C579" s="29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7.25" customHeight="1" x14ac:dyDescent="0.2">
      <c r="A580" s="4"/>
      <c r="B580" s="4"/>
      <c r="C580" s="29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7.25" customHeight="1" x14ac:dyDescent="0.2">
      <c r="A581" s="4"/>
      <c r="B581" s="4"/>
      <c r="C581" s="29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7.25" customHeight="1" x14ac:dyDescent="0.2">
      <c r="A582" s="4"/>
      <c r="B582" s="4"/>
      <c r="C582" s="29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7.25" customHeight="1" x14ac:dyDescent="0.2">
      <c r="A583" s="4"/>
      <c r="B583" s="4"/>
      <c r="C583" s="29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7.25" customHeight="1" x14ac:dyDescent="0.2">
      <c r="A584" s="4"/>
      <c r="B584" s="4"/>
      <c r="C584" s="29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7.25" customHeight="1" x14ac:dyDescent="0.2">
      <c r="A585" s="4"/>
      <c r="B585" s="4"/>
      <c r="C585" s="29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7.25" customHeight="1" x14ac:dyDescent="0.2">
      <c r="A586" s="4"/>
      <c r="B586" s="4"/>
      <c r="C586" s="29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7.25" customHeight="1" x14ac:dyDescent="0.2">
      <c r="A587" s="4"/>
      <c r="B587" s="4"/>
      <c r="C587" s="29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7.25" customHeight="1" x14ac:dyDescent="0.2">
      <c r="A588" s="4"/>
      <c r="B588" s="4"/>
      <c r="C588" s="29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7.25" customHeight="1" x14ac:dyDescent="0.2">
      <c r="A589" s="4"/>
      <c r="B589" s="4"/>
      <c r="C589" s="29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7.25" customHeight="1" x14ac:dyDescent="0.2">
      <c r="A590" s="4"/>
      <c r="B590" s="4"/>
      <c r="C590" s="29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7.25" customHeight="1" x14ac:dyDescent="0.2">
      <c r="A591" s="4"/>
      <c r="B591" s="4"/>
      <c r="C591" s="29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7.25" customHeight="1" x14ac:dyDescent="0.2">
      <c r="A592" s="4"/>
      <c r="B592" s="4"/>
      <c r="C592" s="29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7.25" customHeight="1" x14ac:dyDescent="0.2">
      <c r="A593" s="4"/>
      <c r="B593" s="4"/>
      <c r="C593" s="29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7.25" customHeight="1" x14ac:dyDescent="0.2">
      <c r="A594" s="4"/>
      <c r="B594" s="4"/>
      <c r="C594" s="29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7.25" customHeight="1" x14ac:dyDescent="0.2">
      <c r="A595" s="4"/>
      <c r="B595" s="4"/>
      <c r="C595" s="29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7.25" customHeight="1" x14ac:dyDescent="0.2">
      <c r="A596" s="4"/>
      <c r="B596" s="4"/>
      <c r="C596" s="29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7.25" customHeight="1" x14ac:dyDescent="0.2">
      <c r="A597" s="4"/>
      <c r="B597" s="4"/>
      <c r="C597" s="29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7.25" customHeight="1" x14ac:dyDescent="0.2">
      <c r="A598" s="4"/>
      <c r="B598" s="4"/>
      <c r="C598" s="29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7.25" customHeight="1" x14ac:dyDescent="0.2">
      <c r="A599" s="4"/>
      <c r="B599" s="4"/>
      <c r="C599" s="29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7.25" customHeight="1" x14ac:dyDescent="0.2">
      <c r="A600" s="4"/>
      <c r="B600" s="4"/>
      <c r="C600" s="29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7.25" customHeight="1" x14ac:dyDescent="0.2">
      <c r="A601" s="4"/>
      <c r="B601" s="4"/>
      <c r="C601" s="29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7.25" customHeight="1" x14ac:dyDescent="0.2">
      <c r="A602" s="4"/>
      <c r="B602" s="4"/>
      <c r="C602" s="29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7.25" customHeight="1" x14ac:dyDescent="0.2">
      <c r="A603" s="4"/>
      <c r="B603" s="4"/>
      <c r="C603" s="29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7.25" customHeight="1" x14ac:dyDescent="0.2">
      <c r="A604" s="4"/>
      <c r="B604" s="4"/>
      <c r="C604" s="29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7.25" customHeight="1" x14ac:dyDescent="0.2">
      <c r="A605" s="4"/>
      <c r="B605" s="4"/>
      <c r="C605" s="29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7.25" customHeight="1" x14ac:dyDescent="0.2">
      <c r="A606" s="4"/>
      <c r="B606" s="4"/>
      <c r="C606" s="29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7.25" customHeight="1" x14ac:dyDescent="0.2">
      <c r="A607" s="4"/>
      <c r="B607" s="4"/>
      <c r="C607" s="29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7.25" customHeight="1" x14ac:dyDescent="0.2">
      <c r="A608" s="4"/>
      <c r="B608" s="4"/>
      <c r="C608" s="29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7.25" customHeight="1" x14ac:dyDescent="0.2">
      <c r="A609" s="4"/>
      <c r="B609" s="4"/>
      <c r="C609" s="29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7.25" customHeight="1" x14ac:dyDescent="0.2">
      <c r="A610" s="4"/>
      <c r="B610" s="4"/>
      <c r="C610" s="29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7.25" customHeight="1" x14ac:dyDescent="0.2">
      <c r="A611" s="4"/>
      <c r="B611" s="4"/>
      <c r="C611" s="29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7.25" customHeight="1" x14ac:dyDescent="0.2">
      <c r="A612" s="4"/>
      <c r="B612" s="4"/>
      <c r="C612" s="29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7.25" customHeight="1" x14ac:dyDescent="0.2">
      <c r="A613" s="4"/>
      <c r="B613" s="4"/>
      <c r="C613" s="29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7.25" customHeight="1" x14ac:dyDescent="0.2">
      <c r="A614" s="4"/>
      <c r="B614" s="4"/>
      <c r="C614" s="29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7.25" customHeight="1" x14ac:dyDescent="0.2">
      <c r="A615" s="4"/>
      <c r="B615" s="4"/>
      <c r="C615" s="29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7.25" customHeight="1" x14ac:dyDescent="0.2">
      <c r="A616" s="4"/>
      <c r="B616" s="4"/>
      <c r="C616" s="29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7.25" customHeight="1" x14ac:dyDescent="0.2">
      <c r="A617" s="4"/>
      <c r="B617" s="4"/>
      <c r="C617" s="29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7.25" customHeight="1" x14ac:dyDescent="0.2">
      <c r="A618" s="4"/>
      <c r="B618" s="4"/>
      <c r="C618" s="29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7.25" customHeight="1" x14ac:dyDescent="0.2">
      <c r="A619" s="4"/>
      <c r="B619" s="4"/>
      <c r="C619" s="29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7.25" customHeight="1" x14ac:dyDescent="0.2">
      <c r="A620" s="4"/>
      <c r="B620" s="4"/>
      <c r="C620" s="29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7.25" customHeight="1" x14ac:dyDescent="0.2">
      <c r="A621" s="4"/>
      <c r="B621" s="4"/>
      <c r="C621" s="29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7.25" customHeight="1" x14ac:dyDescent="0.2">
      <c r="A622" s="4"/>
      <c r="B622" s="4"/>
      <c r="C622" s="29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7.25" customHeight="1" x14ac:dyDescent="0.2">
      <c r="A623" s="4"/>
      <c r="B623" s="4"/>
      <c r="C623" s="29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7.25" customHeight="1" x14ac:dyDescent="0.2">
      <c r="A624" s="4"/>
      <c r="B624" s="4"/>
      <c r="C624" s="29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7.25" customHeight="1" x14ac:dyDescent="0.2">
      <c r="A625" s="4"/>
      <c r="B625" s="4"/>
      <c r="C625" s="29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7.25" customHeight="1" x14ac:dyDescent="0.2">
      <c r="A626" s="4"/>
      <c r="B626" s="4"/>
      <c r="C626" s="29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7.25" customHeight="1" x14ac:dyDescent="0.2">
      <c r="A627" s="4"/>
      <c r="B627" s="4"/>
      <c r="C627" s="29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7.25" customHeight="1" x14ac:dyDescent="0.2">
      <c r="A628" s="4"/>
      <c r="B628" s="4"/>
      <c r="C628" s="29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7.25" customHeight="1" x14ac:dyDescent="0.2">
      <c r="A629" s="4"/>
      <c r="B629" s="4"/>
      <c r="C629" s="29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7.25" customHeight="1" x14ac:dyDescent="0.2">
      <c r="A630" s="4"/>
      <c r="B630" s="4"/>
      <c r="C630" s="29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7.25" customHeight="1" x14ac:dyDescent="0.2">
      <c r="A631" s="4"/>
      <c r="B631" s="4"/>
      <c r="C631" s="29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7.25" customHeight="1" x14ac:dyDescent="0.2">
      <c r="A632" s="4"/>
      <c r="B632" s="4"/>
      <c r="C632" s="29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7.25" customHeight="1" x14ac:dyDescent="0.2">
      <c r="A633" s="4"/>
      <c r="B633" s="4"/>
      <c r="C633" s="29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7.25" customHeight="1" x14ac:dyDescent="0.2">
      <c r="A634" s="4"/>
      <c r="B634" s="4"/>
      <c r="C634" s="29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7.25" customHeight="1" x14ac:dyDescent="0.2">
      <c r="A635" s="4"/>
      <c r="B635" s="4"/>
      <c r="C635" s="29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7.25" customHeight="1" x14ac:dyDescent="0.2">
      <c r="A636" s="4"/>
      <c r="B636" s="4"/>
      <c r="C636" s="29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7.25" customHeight="1" x14ac:dyDescent="0.2">
      <c r="A637" s="4"/>
      <c r="B637" s="4"/>
      <c r="C637" s="29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7.25" customHeight="1" x14ac:dyDescent="0.2">
      <c r="A638" s="4"/>
      <c r="B638" s="4"/>
      <c r="C638" s="29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7.25" customHeight="1" x14ac:dyDescent="0.2">
      <c r="A639" s="4"/>
      <c r="B639" s="4"/>
      <c r="C639" s="29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7.25" customHeight="1" x14ac:dyDescent="0.2">
      <c r="A640" s="4"/>
      <c r="B640" s="4"/>
      <c r="C640" s="29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7.25" customHeight="1" x14ac:dyDescent="0.2">
      <c r="A641" s="4"/>
      <c r="B641" s="4"/>
      <c r="C641" s="29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7.25" customHeight="1" x14ac:dyDescent="0.2">
      <c r="A642" s="4"/>
      <c r="B642" s="4"/>
      <c r="C642" s="29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7.25" customHeight="1" x14ac:dyDescent="0.2">
      <c r="A643" s="4"/>
      <c r="B643" s="4"/>
      <c r="C643" s="29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7.25" customHeight="1" x14ac:dyDescent="0.2">
      <c r="A644" s="4"/>
      <c r="B644" s="4"/>
      <c r="C644" s="29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7.25" customHeight="1" x14ac:dyDescent="0.2">
      <c r="A645" s="4"/>
      <c r="B645" s="4"/>
      <c r="C645" s="29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7.25" customHeight="1" x14ac:dyDescent="0.2">
      <c r="A646" s="4"/>
      <c r="B646" s="4"/>
      <c r="C646" s="29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7.25" customHeight="1" x14ac:dyDescent="0.2">
      <c r="A647" s="4"/>
      <c r="B647" s="4"/>
      <c r="C647" s="29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7.25" customHeight="1" x14ac:dyDescent="0.2">
      <c r="A648" s="4"/>
      <c r="B648" s="4"/>
      <c r="C648" s="29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7.25" customHeight="1" x14ac:dyDescent="0.2">
      <c r="A649" s="4"/>
      <c r="B649" s="4"/>
      <c r="C649" s="29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7.25" customHeight="1" x14ac:dyDescent="0.2">
      <c r="A650" s="4"/>
      <c r="B650" s="4"/>
      <c r="C650" s="29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7.25" customHeight="1" x14ac:dyDescent="0.2">
      <c r="A651" s="4"/>
      <c r="B651" s="4"/>
      <c r="C651" s="29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7.25" customHeight="1" x14ac:dyDescent="0.2">
      <c r="A652" s="4"/>
      <c r="B652" s="4"/>
      <c r="C652" s="29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7.25" customHeight="1" x14ac:dyDescent="0.2">
      <c r="A653" s="4"/>
      <c r="B653" s="4"/>
      <c r="C653" s="29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7.25" customHeight="1" x14ac:dyDescent="0.2">
      <c r="A654" s="4"/>
      <c r="B654" s="4"/>
      <c r="C654" s="29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7.25" customHeight="1" x14ac:dyDescent="0.2">
      <c r="A655" s="4"/>
      <c r="B655" s="4"/>
      <c r="C655" s="29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7.25" customHeight="1" x14ac:dyDescent="0.2">
      <c r="A656" s="4"/>
      <c r="B656" s="4"/>
      <c r="C656" s="29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7.25" customHeight="1" x14ac:dyDescent="0.2">
      <c r="A657" s="4"/>
      <c r="B657" s="4"/>
      <c r="C657" s="29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7.25" customHeight="1" x14ac:dyDescent="0.2">
      <c r="A658" s="4"/>
      <c r="B658" s="4"/>
      <c r="C658" s="29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7.25" customHeight="1" x14ac:dyDescent="0.2">
      <c r="A659" s="4"/>
      <c r="B659" s="4"/>
      <c r="C659" s="29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7.25" customHeight="1" x14ac:dyDescent="0.2">
      <c r="A660" s="4"/>
      <c r="B660" s="4"/>
      <c r="C660" s="29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7.25" customHeight="1" x14ac:dyDescent="0.2">
      <c r="A661" s="4"/>
      <c r="B661" s="4"/>
      <c r="C661" s="29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7.25" customHeight="1" x14ac:dyDescent="0.2">
      <c r="A662" s="4"/>
      <c r="B662" s="4"/>
      <c r="C662" s="29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7.25" customHeight="1" x14ac:dyDescent="0.2">
      <c r="A663" s="4"/>
      <c r="B663" s="4"/>
      <c r="C663" s="29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7.25" customHeight="1" x14ac:dyDescent="0.2">
      <c r="A664" s="4"/>
      <c r="B664" s="4"/>
      <c r="C664" s="29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7.25" customHeight="1" x14ac:dyDescent="0.2">
      <c r="A665" s="4"/>
      <c r="B665" s="4"/>
      <c r="C665" s="29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7.25" customHeight="1" x14ac:dyDescent="0.2">
      <c r="A666" s="4"/>
      <c r="B666" s="4"/>
      <c r="C666" s="29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7.25" customHeight="1" x14ac:dyDescent="0.2">
      <c r="A667" s="4"/>
      <c r="B667" s="4"/>
      <c r="C667" s="29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7.25" customHeight="1" x14ac:dyDescent="0.2">
      <c r="A668" s="4"/>
      <c r="B668" s="4"/>
      <c r="C668" s="29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7.25" customHeight="1" x14ac:dyDescent="0.2">
      <c r="A669" s="4"/>
      <c r="B669" s="4"/>
      <c r="C669" s="29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7.25" customHeight="1" x14ac:dyDescent="0.2">
      <c r="A670" s="4"/>
      <c r="B670" s="4"/>
      <c r="C670" s="29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7.25" customHeight="1" x14ac:dyDescent="0.2">
      <c r="A671" s="4"/>
      <c r="B671" s="4"/>
      <c r="C671" s="29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7.25" customHeight="1" x14ac:dyDescent="0.2">
      <c r="A672" s="4"/>
      <c r="B672" s="4"/>
      <c r="C672" s="29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7.25" customHeight="1" x14ac:dyDescent="0.2">
      <c r="A673" s="4"/>
      <c r="B673" s="4"/>
      <c r="C673" s="29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7.25" customHeight="1" x14ac:dyDescent="0.2">
      <c r="A674" s="4"/>
      <c r="B674" s="4"/>
      <c r="C674" s="29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7.25" customHeight="1" x14ac:dyDescent="0.2">
      <c r="A675" s="4"/>
      <c r="B675" s="4"/>
      <c r="C675" s="29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7.25" customHeight="1" x14ac:dyDescent="0.2">
      <c r="A676" s="4"/>
      <c r="B676" s="4"/>
      <c r="C676" s="29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7.25" customHeight="1" x14ac:dyDescent="0.2">
      <c r="A677" s="4"/>
      <c r="B677" s="4"/>
      <c r="C677" s="29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7.25" customHeight="1" x14ac:dyDescent="0.2">
      <c r="A678" s="4"/>
      <c r="B678" s="4"/>
      <c r="C678" s="29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7.25" customHeight="1" x14ac:dyDescent="0.2">
      <c r="A679" s="4"/>
      <c r="B679" s="4"/>
      <c r="C679" s="29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7.25" customHeight="1" x14ac:dyDescent="0.2">
      <c r="A680" s="4"/>
      <c r="B680" s="4"/>
      <c r="C680" s="29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7.25" customHeight="1" x14ac:dyDescent="0.2">
      <c r="A681" s="4"/>
      <c r="B681" s="4"/>
      <c r="C681" s="29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7.25" customHeight="1" x14ac:dyDescent="0.2">
      <c r="A682" s="4"/>
      <c r="B682" s="4"/>
      <c r="C682" s="29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7.25" customHeight="1" x14ac:dyDescent="0.2">
      <c r="A683" s="4"/>
      <c r="B683" s="4"/>
      <c r="C683" s="29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7.25" customHeight="1" x14ac:dyDescent="0.2">
      <c r="A684" s="4"/>
      <c r="B684" s="4"/>
      <c r="C684" s="29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7.25" customHeight="1" x14ac:dyDescent="0.2">
      <c r="A685" s="4"/>
      <c r="B685" s="4"/>
      <c r="C685" s="29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7.25" customHeight="1" x14ac:dyDescent="0.2">
      <c r="A686" s="4"/>
      <c r="B686" s="4"/>
      <c r="C686" s="29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7.25" customHeight="1" x14ac:dyDescent="0.2">
      <c r="A687" s="4"/>
      <c r="B687" s="4"/>
      <c r="C687" s="29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7.25" customHeight="1" x14ac:dyDescent="0.2">
      <c r="A688" s="4"/>
      <c r="B688" s="4"/>
      <c r="C688" s="29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7.25" customHeight="1" x14ac:dyDescent="0.2">
      <c r="A689" s="4"/>
      <c r="B689" s="4"/>
      <c r="C689" s="29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7.25" customHeight="1" x14ac:dyDescent="0.2">
      <c r="A690" s="4"/>
      <c r="B690" s="4"/>
      <c r="C690" s="29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7.25" customHeight="1" x14ac:dyDescent="0.2">
      <c r="A691" s="4"/>
      <c r="B691" s="4"/>
      <c r="C691" s="29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7.25" customHeight="1" x14ac:dyDescent="0.2">
      <c r="A692" s="4"/>
      <c r="B692" s="4"/>
      <c r="C692" s="29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7.25" customHeight="1" x14ac:dyDescent="0.2">
      <c r="A693" s="4"/>
      <c r="B693" s="4"/>
      <c r="C693" s="29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7.25" customHeight="1" x14ac:dyDescent="0.2">
      <c r="A694" s="4"/>
      <c r="B694" s="4"/>
      <c r="C694" s="29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7.25" customHeight="1" x14ac:dyDescent="0.2">
      <c r="A695" s="4"/>
      <c r="B695" s="4"/>
      <c r="C695" s="29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7.25" customHeight="1" x14ac:dyDescent="0.2">
      <c r="A696" s="4"/>
      <c r="B696" s="4"/>
      <c r="C696" s="29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7.25" customHeight="1" x14ac:dyDescent="0.2">
      <c r="A697" s="4"/>
      <c r="B697" s="4"/>
      <c r="C697" s="29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7.25" customHeight="1" x14ac:dyDescent="0.2">
      <c r="A698" s="4"/>
      <c r="B698" s="4"/>
      <c r="C698" s="29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7.25" customHeight="1" x14ac:dyDescent="0.2">
      <c r="A699" s="4"/>
      <c r="B699" s="4"/>
      <c r="C699" s="29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7.25" customHeight="1" x14ac:dyDescent="0.2">
      <c r="A700" s="4"/>
      <c r="B700" s="4"/>
      <c r="C700" s="29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7.25" customHeight="1" x14ac:dyDescent="0.2">
      <c r="A701" s="4"/>
      <c r="B701" s="4"/>
      <c r="C701" s="29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7.25" customHeight="1" x14ac:dyDescent="0.2">
      <c r="A702" s="4"/>
      <c r="B702" s="4"/>
      <c r="C702" s="29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7.25" customHeight="1" x14ac:dyDescent="0.2">
      <c r="A703" s="4"/>
      <c r="B703" s="4"/>
      <c r="C703" s="29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7.25" customHeight="1" x14ac:dyDescent="0.2">
      <c r="A704" s="4"/>
      <c r="B704" s="4"/>
      <c r="C704" s="29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7.25" customHeight="1" x14ac:dyDescent="0.2">
      <c r="A705" s="4"/>
      <c r="B705" s="4"/>
      <c r="C705" s="29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7.25" customHeight="1" x14ac:dyDescent="0.2">
      <c r="A706" s="4"/>
      <c r="B706" s="4"/>
      <c r="C706" s="29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7.25" customHeight="1" x14ac:dyDescent="0.2">
      <c r="A707" s="4"/>
      <c r="B707" s="4"/>
      <c r="C707" s="29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7.25" customHeight="1" x14ac:dyDescent="0.2">
      <c r="A708" s="4"/>
      <c r="B708" s="4"/>
      <c r="C708" s="29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7.25" customHeight="1" x14ac:dyDescent="0.2">
      <c r="A709" s="4"/>
      <c r="B709" s="4"/>
      <c r="C709" s="29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7.25" customHeight="1" x14ac:dyDescent="0.2">
      <c r="A710" s="4"/>
      <c r="B710" s="4"/>
      <c r="C710" s="29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7.25" customHeight="1" x14ac:dyDescent="0.2">
      <c r="A711" s="4"/>
      <c r="B711" s="4"/>
      <c r="C711" s="29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7.25" customHeight="1" x14ac:dyDescent="0.2">
      <c r="A712" s="4"/>
      <c r="B712" s="4"/>
      <c r="C712" s="29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7.25" customHeight="1" x14ac:dyDescent="0.2">
      <c r="A713" s="4"/>
      <c r="B713" s="4"/>
      <c r="C713" s="29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7.25" customHeight="1" x14ac:dyDescent="0.2">
      <c r="A714" s="4"/>
      <c r="B714" s="4"/>
      <c r="C714" s="29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7.25" customHeight="1" x14ac:dyDescent="0.2">
      <c r="A715" s="4"/>
      <c r="B715" s="4"/>
      <c r="C715" s="29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7.25" customHeight="1" x14ac:dyDescent="0.2">
      <c r="A716" s="4"/>
      <c r="B716" s="4"/>
      <c r="C716" s="29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7.25" customHeight="1" x14ac:dyDescent="0.2">
      <c r="A717" s="4"/>
      <c r="B717" s="4"/>
      <c r="C717" s="29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7.25" customHeight="1" x14ac:dyDescent="0.2">
      <c r="A718" s="4"/>
      <c r="B718" s="4"/>
      <c r="C718" s="29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7.25" customHeight="1" x14ac:dyDescent="0.2">
      <c r="A719" s="4"/>
      <c r="B719" s="4"/>
      <c r="C719" s="29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7.25" customHeight="1" x14ac:dyDescent="0.2">
      <c r="A720" s="4"/>
      <c r="B720" s="4"/>
      <c r="C720" s="29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7.25" customHeight="1" x14ac:dyDescent="0.2">
      <c r="A721" s="4"/>
      <c r="B721" s="4"/>
      <c r="C721" s="29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7.25" customHeight="1" x14ac:dyDescent="0.2">
      <c r="A722" s="4"/>
      <c r="B722" s="4"/>
      <c r="C722" s="29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7.25" customHeight="1" x14ac:dyDescent="0.2">
      <c r="A723" s="4"/>
      <c r="B723" s="4"/>
      <c r="C723" s="29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7.25" customHeight="1" x14ac:dyDescent="0.2">
      <c r="A724" s="4"/>
      <c r="B724" s="4"/>
      <c r="C724" s="29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7.25" customHeight="1" x14ac:dyDescent="0.2">
      <c r="A725" s="4"/>
      <c r="B725" s="4"/>
      <c r="C725" s="29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7.25" customHeight="1" x14ac:dyDescent="0.2">
      <c r="A726" s="4"/>
      <c r="B726" s="4"/>
      <c r="C726" s="29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7.25" customHeight="1" x14ac:dyDescent="0.2">
      <c r="A727" s="4"/>
      <c r="B727" s="4"/>
      <c r="C727" s="29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7.25" customHeight="1" x14ac:dyDescent="0.2">
      <c r="A728" s="4"/>
      <c r="B728" s="4"/>
      <c r="C728" s="29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7.25" customHeight="1" x14ac:dyDescent="0.2">
      <c r="A729" s="4"/>
      <c r="B729" s="4"/>
      <c r="C729" s="29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7.25" customHeight="1" x14ac:dyDescent="0.2">
      <c r="A730" s="4"/>
      <c r="B730" s="4"/>
      <c r="C730" s="29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7.25" customHeight="1" x14ac:dyDescent="0.2">
      <c r="A731" s="4"/>
      <c r="B731" s="4"/>
      <c r="C731" s="29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7.25" customHeight="1" x14ac:dyDescent="0.2">
      <c r="A732" s="4"/>
      <c r="B732" s="4"/>
      <c r="C732" s="29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7.25" customHeight="1" x14ac:dyDescent="0.2">
      <c r="A733" s="4"/>
      <c r="B733" s="4"/>
      <c r="C733" s="29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7.25" customHeight="1" x14ac:dyDescent="0.2">
      <c r="A734" s="4"/>
      <c r="B734" s="4"/>
      <c r="C734" s="29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7.25" customHeight="1" x14ac:dyDescent="0.2">
      <c r="A735" s="4"/>
      <c r="B735" s="4"/>
      <c r="C735" s="29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7.25" customHeight="1" x14ac:dyDescent="0.2">
      <c r="A736" s="4"/>
      <c r="B736" s="4"/>
      <c r="C736" s="29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7.25" customHeight="1" x14ac:dyDescent="0.2">
      <c r="A737" s="4"/>
      <c r="B737" s="4"/>
      <c r="C737" s="29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7.25" customHeight="1" x14ac:dyDescent="0.2">
      <c r="A738" s="4"/>
      <c r="B738" s="4"/>
      <c r="C738" s="29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7.25" customHeight="1" x14ac:dyDescent="0.2">
      <c r="A739" s="4"/>
      <c r="B739" s="4"/>
      <c r="C739" s="29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7.25" customHeight="1" x14ac:dyDescent="0.2">
      <c r="A740" s="4"/>
      <c r="B740" s="4"/>
      <c r="C740" s="29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7.25" customHeight="1" x14ac:dyDescent="0.2">
      <c r="A741" s="4"/>
      <c r="B741" s="4"/>
      <c r="C741" s="29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7.25" customHeight="1" x14ac:dyDescent="0.2">
      <c r="A742" s="4"/>
      <c r="B742" s="4"/>
      <c r="C742" s="29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7.25" customHeight="1" x14ac:dyDescent="0.2">
      <c r="A743" s="4"/>
      <c r="B743" s="4"/>
      <c r="C743" s="29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7.25" customHeight="1" x14ac:dyDescent="0.2">
      <c r="A744" s="4"/>
      <c r="B744" s="4"/>
      <c r="C744" s="29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7.25" customHeight="1" x14ac:dyDescent="0.2">
      <c r="A745" s="4"/>
      <c r="B745" s="4"/>
      <c r="C745" s="29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7.25" customHeight="1" x14ac:dyDescent="0.2">
      <c r="A746" s="4"/>
      <c r="B746" s="4"/>
      <c r="C746" s="29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7.25" customHeight="1" x14ac:dyDescent="0.2">
      <c r="A747" s="4"/>
      <c r="B747" s="4"/>
      <c r="C747" s="29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7.25" customHeight="1" x14ac:dyDescent="0.2">
      <c r="A748" s="4"/>
      <c r="B748" s="4"/>
      <c r="C748" s="29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7.25" customHeight="1" x14ac:dyDescent="0.2">
      <c r="A749" s="4"/>
      <c r="B749" s="4"/>
      <c r="C749" s="29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7.25" customHeight="1" x14ac:dyDescent="0.2">
      <c r="A750" s="4"/>
      <c r="B750" s="4"/>
      <c r="C750" s="29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7.25" customHeight="1" x14ac:dyDescent="0.2">
      <c r="A751" s="4"/>
      <c r="B751" s="4"/>
      <c r="C751" s="29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7.25" customHeight="1" x14ac:dyDescent="0.2">
      <c r="A752" s="4"/>
      <c r="B752" s="4"/>
      <c r="C752" s="29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7.25" customHeight="1" x14ac:dyDescent="0.2">
      <c r="A753" s="4"/>
      <c r="B753" s="4"/>
      <c r="C753" s="29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7.25" customHeight="1" x14ac:dyDescent="0.2">
      <c r="A754" s="4"/>
      <c r="B754" s="4"/>
      <c r="C754" s="29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7.25" customHeight="1" x14ac:dyDescent="0.2">
      <c r="A755" s="4"/>
      <c r="B755" s="4"/>
      <c r="C755" s="29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7.25" customHeight="1" x14ac:dyDescent="0.2">
      <c r="A756" s="4"/>
      <c r="B756" s="4"/>
      <c r="C756" s="29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7.25" customHeight="1" x14ac:dyDescent="0.2">
      <c r="A757" s="4"/>
      <c r="B757" s="4"/>
      <c r="C757" s="29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7.25" customHeight="1" x14ac:dyDescent="0.2">
      <c r="A758" s="4"/>
      <c r="B758" s="4"/>
      <c r="C758" s="29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7.25" customHeight="1" x14ac:dyDescent="0.2">
      <c r="A759" s="4"/>
      <c r="B759" s="4"/>
      <c r="C759" s="29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7.25" customHeight="1" x14ac:dyDescent="0.2">
      <c r="A760" s="4"/>
      <c r="B760" s="4"/>
      <c r="C760" s="29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7.25" customHeight="1" x14ac:dyDescent="0.2">
      <c r="A761" s="4"/>
      <c r="B761" s="4"/>
      <c r="C761" s="29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7.25" customHeight="1" x14ac:dyDescent="0.2">
      <c r="A762" s="4"/>
      <c r="B762" s="4"/>
      <c r="C762" s="29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7.25" customHeight="1" x14ac:dyDescent="0.2">
      <c r="A763" s="4"/>
      <c r="B763" s="4"/>
      <c r="C763" s="29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7.25" customHeight="1" x14ac:dyDescent="0.2">
      <c r="A764" s="4"/>
      <c r="B764" s="4"/>
      <c r="C764" s="29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7.25" customHeight="1" x14ac:dyDescent="0.2">
      <c r="A765" s="4"/>
      <c r="B765" s="4"/>
      <c r="C765" s="29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7.25" customHeight="1" x14ac:dyDescent="0.2">
      <c r="A766" s="4"/>
      <c r="B766" s="4"/>
      <c r="C766" s="29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7.25" customHeight="1" x14ac:dyDescent="0.2">
      <c r="A767" s="4"/>
      <c r="B767" s="4"/>
      <c r="C767" s="29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7.25" customHeight="1" x14ac:dyDescent="0.2">
      <c r="A768" s="4"/>
      <c r="B768" s="4"/>
      <c r="C768" s="29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7.25" customHeight="1" x14ac:dyDescent="0.2">
      <c r="A769" s="4"/>
      <c r="B769" s="4"/>
      <c r="C769" s="29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7.25" customHeight="1" x14ac:dyDescent="0.2">
      <c r="A770" s="4"/>
      <c r="B770" s="4"/>
      <c r="C770" s="29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7.25" customHeight="1" x14ac:dyDescent="0.2">
      <c r="A771" s="4"/>
      <c r="B771" s="4"/>
      <c r="C771" s="29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7.25" customHeight="1" x14ac:dyDescent="0.2">
      <c r="A772" s="4"/>
      <c r="B772" s="4"/>
      <c r="C772" s="29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7.25" customHeight="1" x14ac:dyDescent="0.2">
      <c r="A773" s="4"/>
      <c r="B773" s="4"/>
      <c r="C773" s="29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7.25" customHeight="1" x14ac:dyDescent="0.2">
      <c r="A774" s="4"/>
      <c r="B774" s="4"/>
      <c r="C774" s="29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7.25" customHeight="1" x14ac:dyDescent="0.2">
      <c r="A775" s="4"/>
      <c r="B775" s="4"/>
      <c r="C775" s="29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7.25" customHeight="1" x14ac:dyDescent="0.2">
      <c r="A776" s="4"/>
      <c r="B776" s="4"/>
      <c r="C776" s="29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7.25" customHeight="1" x14ac:dyDescent="0.2">
      <c r="A777" s="4"/>
      <c r="B777" s="4"/>
      <c r="C777" s="29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7.25" customHeight="1" x14ac:dyDescent="0.2">
      <c r="A778" s="4"/>
      <c r="B778" s="4"/>
      <c r="C778" s="29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7.25" customHeight="1" x14ac:dyDescent="0.2">
      <c r="A779" s="4"/>
      <c r="B779" s="4"/>
      <c r="C779" s="29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7.25" customHeight="1" x14ac:dyDescent="0.2">
      <c r="A780" s="4"/>
      <c r="B780" s="4"/>
      <c r="C780" s="29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7.25" customHeight="1" x14ac:dyDescent="0.2">
      <c r="A781" s="4"/>
      <c r="B781" s="4"/>
      <c r="C781" s="29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7.25" customHeight="1" x14ac:dyDescent="0.2">
      <c r="A782" s="4"/>
      <c r="B782" s="4"/>
      <c r="C782" s="29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7.25" customHeight="1" x14ac:dyDescent="0.2">
      <c r="A783" s="4"/>
      <c r="B783" s="4"/>
      <c r="C783" s="29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7.25" customHeight="1" x14ac:dyDescent="0.2">
      <c r="A784" s="4"/>
      <c r="B784" s="4"/>
      <c r="C784" s="29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7.25" customHeight="1" x14ac:dyDescent="0.2">
      <c r="A785" s="4"/>
      <c r="B785" s="4"/>
      <c r="C785" s="29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7.25" customHeight="1" x14ac:dyDescent="0.2">
      <c r="A786" s="4"/>
      <c r="B786" s="4"/>
      <c r="C786" s="29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7.25" customHeight="1" x14ac:dyDescent="0.2">
      <c r="A787" s="4"/>
      <c r="B787" s="4"/>
      <c r="C787" s="29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7.25" customHeight="1" x14ac:dyDescent="0.2">
      <c r="A788" s="4"/>
      <c r="B788" s="4"/>
      <c r="C788" s="29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7.25" customHeight="1" x14ac:dyDescent="0.2">
      <c r="A789" s="4"/>
      <c r="B789" s="4"/>
      <c r="C789" s="29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7.25" customHeight="1" x14ac:dyDescent="0.2">
      <c r="A790" s="4"/>
      <c r="B790" s="4"/>
      <c r="C790" s="29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7.25" customHeight="1" x14ac:dyDescent="0.2">
      <c r="A791" s="4"/>
      <c r="B791" s="4"/>
      <c r="C791" s="29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7.25" customHeight="1" x14ac:dyDescent="0.2">
      <c r="A792" s="4"/>
      <c r="B792" s="4"/>
      <c r="C792" s="29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7.25" customHeight="1" x14ac:dyDescent="0.2">
      <c r="A793" s="4"/>
      <c r="B793" s="4"/>
      <c r="C793" s="29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7.25" customHeight="1" x14ac:dyDescent="0.2">
      <c r="A794" s="4"/>
      <c r="B794" s="4"/>
      <c r="C794" s="29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7.25" customHeight="1" x14ac:dyDescent="0.2">
      <c r="A795" s="4"/>
      <c r="B795" s="4"/>
      <c r="C795" s="29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7.25" customHeight="1" x14ac:dyDescent="0.2">
      <c r="A796" s="4"/>
      <c r="B796" s="4"/>
      <c r="C796" s="29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7.25" customHeight="1" x14ac:dyDescent="0.2">
      <c r="A797" s="4"/>
      <c r="B797" s="4"/>
      <c r="C797" s="29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7.25" customHeight="1" x14ac:dyDescent="0.2">
      <c r="A798" s="4"/>
      <c r="B798" s="4"/>
      <c r="C798" s="29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7.25" customHeight="1" x14ac:dyDescent="0.2">
      <c r="A799" s="4"/>
      <c r="B799" s="4"/>
      <c r="C799" s="29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7.25" customHeight="1" x14ac:dyDescent="0.2">
      <c r="A800" s="4"/>
      <c r="B800" s="4"/>
      <c r="C800" s="29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7.25" customHeight="1" x14ac:dyDescent="0.2">
      <c r="A801" s="4"/>
      <c r="B801" s="4"/>
      <c r="C801" s="29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7.25" customHeight="1" x14ac:dyDescent="0.2">
      <c r="A802" s="4"/>
      <c r="B802" s="4"/>
      <c r="C802" s="29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7.25" customHeight="1" x14ac:dyDescent="0.2">
      <c r="A803" s="4"/>
      <c r="B803" s="4"/>
      <c r="C803" s="29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7.25" customHeight="1" x14ac:dyDescent="0.2">
      <c r="A804" s="4"/>
      <c r="B804" s="4"/>
      <c r="C804" s="29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7.25" customHeight="1" x14ac:dyDescent="0.2">
      <c r="A805" s="4"/>
      <c r="B805" s="4"/>
      <c r="C805" s="29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7.25" customHeight="1" x14ac:dyDescent="0.2">
      <c r="A806" s="4"/>
      <c r="B806" s="4"/>
      <c r="C806" s="29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7.25" customHeight="1" x14ac:dyDescent="0.2">
      <c r="A807" s="4"/>
      <c r="B807" s="4"/>
      <c r="C807" s="29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7.25" customHeight="1" x14ac:dyDescent="0.2">
      <c r="A808" s="4"/>
      <c r="B808" s="4"/>
      <c r="C808" s="29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7.25" customHeight="1" x14ac:dyDescent="0.2">
      <c r="A809" s="4"/>
      <c r="B809" s="4"/>
      <c r="C809" s="29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7.25" customHeight="1" x14ac:dyDescent="0.2">
      <c r="A810" s="4"/>
      <c r="B810" s="4"/>
      <c r="C810" s="29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7.25" customHeight="1" x14ac:dyDescent="0.2">
      <c r="A811" s="4"/>
      <c r="B811" s="4"/>
      <c r="C811" s="29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7.25" customHeight="1" x14ac:dyDescent="0.2">
      <c r="A812" s="4"/>
      <c r="B812" s="4"/>
      <c r="C812" s="29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7.25" customHeight="1" x14ac:dyDescent="0.2">
      <c r="A813" s="4"/>
      <c r="B813" s="4"/>
      <c r="C813" s="29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7.25" customHeight="1" x14ac:dyDescent="0.2">
      <c r="A814" s="4"/>
      <c r="B814" s="4"/>
      <c r="C814" s="29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7.25" customHeight="1" x14ac:dyDescent="0.2">
      <c r="A815" s="4"/>
      <c r="B815" s="4"/>
      <c r="C815" s="29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7.25" customHeight="1" x14ac:dyDescent="0.2">
      <c r="A816" s="4"/>
      <c r="B816" s="4"/>
      <c r="C816" s="29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7.25" customHeight="1" x14ac:dyDescent="0.2">
      <c r="A817" s="4"/>
      <c r="B817" s="4"/>
      <c r="C817" s="29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7.25" customHeight="1" x14ac:dyDescent="0.2">
      <c r="A818" s="4"/>
      <c r="B818" s="4"/>
      <c r="C818" s="29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7.25" customHeight="1" x14ac:dyDescent="0.2">
      <c r="A819" s="4"/>
      <c r="B819" s="4"/>
      <c r="C819" s="29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7.25" customHeight="1" x14ac:dyDescent="0.2">
      <c r="A820" s="4"/>
      <c r="B820" s="4"/>
      <c r="C820" s="29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7.25" customHeight="1" x14ac:dyDescent="0.2">
      <c r="A821" s="4"/>
      <c r="B821" s="4"/>
      <c r="C821" s="29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7.25" customHeight="1" x14ac:dyDescent="0.2">
      <c r="A822" s="4"/>
      <c r="B822" s="4"/>
      <c r="C822" s="29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7.25" customHeight="1" x14ac:dyDescent="0.2">
      <c r="A823" s="4"/>
      <c r="B823" s="4"/>
      <c r="C823" s="29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7.25" customHeight="1" x14ac:dyDescent="0.2">
      <c r="A824" s="4"/>
      <c r="B824" s="4"/>
      <c r="C824" s="29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7.25" customHeight="1" x14ac:dyDescent="0.2">
      <c r="A825" s="4"/>
      <c r="B825" s="4"/>
      <c r="C825" s="29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7.25" customHeight="1" x14ac:dyDescent="0.2">
      <c r="A826" s="4"/>
      <c r="B826" s="4"/>
      <c r="C826" s="29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7.25" customHeight="1" x14ac:dyDescent="0.2">
      <c r="A827" s="4"/>
      <c r="B827" s="4"/>
      <c r="C827" s="29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7.25" customHeight="1" x14ac:dyDescent="0.2">
      <c r="A828" s="4"/>
      <c r="B828" s="4"/>
      <c r="C828" s="29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7.25" customHeight="1" x14ac:dyDescent="0.2">
      <c r="A829" s="4"/>
      <c r="B829" s="4"/>
      <c r="C829" s="29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7.25" customHeight="1" x14ac:dyDescent="0.2">
      <c r="A830" s="4"/>
      <c r="B830" s="4"/>
      <c r="C830" s="29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7.25" customHeight="1" x14ac:dyDescent="0.2">
      <c r="A831" s="4"/>
      <c r="B831" s="4"/>
      <c r="C831" s="29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7.25" customHeight="1" x14ac:dyDescent="0.2">
      <c r="A832" s="4"/>
      <c r="B832" s="4"/>
      <c r="C832" s="29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7.25" customHeight="1" x14ac:dyDescent="0.2">
      <c r="A833" s="4"/>
      <c r="B833" s="4"/>
      <c r="C833" s="29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7.25" customHeight="1" x14ac:dyDescent="0.2">
      <c r="A834" s="4"/>
      <c r="B834" s="4"/>
      <c r="C834" s="29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7.25" customHeight="1" x14ac:dyDescent="0.2">
      <c r="A835" s="4"/>
      <c r="B835" s="4"/>
      <c r="C835" s="29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7.25" customHeight="1" x14ac:dyDescent="0.2">
      <c r="A836" s="4"/>
      <c r="B836" s="4"/>
      <c r="C836" s="29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7.25" customHeight="1" x14ac:dyDescent="0.2">
      <c r="A837" s="4"/>
      <c r="B837" s="4"/>
      <c r="C837" s="29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7.25" customHeight="1" x14ac:dyDescent="0.2">
      <c r="A838" s="4"/>
      <c r="B838" s="4"/>
      <c r="C838" s="29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7.25" customHeight="1" x14ac:dyDescent="0.2">
      <c r="A839" s="4"/>
      <c r="B839" s="4"/>
      <c r="C839" s="29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7.25" customHeight="1" x14ac:dyDescent="0.2">
      <c r="A840" s="4"/>
      <c r="B840" s="4"/>
      <c r="C840" s="29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7.25" customHeight="1" x14ac:dyDescent="0.2">
      <c r="A841" s="4"/>
      <c r="B841" s="4"/>
      <c r="C841" s="29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7.25" customHeight="1" x14ac:dyDescent="0.2">
      <c r="A842" s="4"/>
      <c r="B842" s="4"/>
      <c r="C842" s="29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7.25" customHeight="1" x14ac:dyDescent="0.2">
      <c r="A843" s="4"/>
      <c r="B843" s="4"/>
      <c r="C843" s="29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7.25" customHeight="1" x14ac:dyDescent="0.2">
      <c r="A844" s="4"/>
      <c r="B844" s="4"/>
      <c r="C844" s="29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7.25" customHeight="1" x14ac:dyDescent="0.2">
      <c r="A845" s="4"/>
      <c r="B845" s="4"/>
      <c r="C845" s="29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7.25" customHeight="1" x14ac:dyDescent="0.2">
      <c r="A846" s="4"/>
      <c r="B846" s="4"/>
      <c r="C846" s="29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7.25" customHeight="1" x14ac:dyDescent="0.2">
      <c r="A847" s="4"/>
      <c r="B847" s="4"/>
      <c r="C847" s="29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7.25" customHeight="1" x14ac:dyDescent="0.2">
      <c r="A848" s="4"/>
      <c r="B848" s="4"/>
      <c r="C848" s="29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7.25" customHeight="1" x14ac:dyDescent="0.2">
      <c r="A849" s="4"/>
      <c r="B849" s="4"/>
      <c r="C849" s="29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7.25" customHeight="1" x14ac:dyDescent="0.2">
      <c r="A850" s="4"/>
      <c r="B850" s="4"/>
      <c r="C850" s="29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7.25" customHeight="1" x14ac:dyDescent="0.2">
      <c r="A851" s="4"/>
      <c r="B851" s="4"/>
      <c r="C851" s="29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7.25" customHeight="1" x14ac:dyDescent="0.2">
      <c r="A852" s="4"/>
      <c r="B852" s="4"/>
      <c r="C852" s="29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7.25" customHeight="1" x14ac:dyDescent="0.2">
      <c r="A853" s="4"/>
      <c r="B853" s="4"/>
      <c r="C853" s="29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7.25" customHeight="1" x14ac:dyDescent="0.2">
      <c r="A854" s="4"/>
      <c r="B854" s="4"/>
      <c r="C854" s="29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7.25" customHeight="1" x14ac:dyDescent="0.2">
      <c r="A855" s="4"/>
      <c r="B855" s="4"/>
      <c r="C855" s="29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7.25" customHeight="1" x14ac:dyDescent="0.2">
      <c r="A856" s="4"/>
      <c r="B856" s="4"/>
      <c r="C856" s="29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7.25" customHeight="1" x14ac:dyDescent="0.2">
      <c r="A857" s="4"/>
      <c r="B857" s="4"/>
      <c r="C857" s="29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7.25" customHeight="1" x14ac:dyDescent="0.2">
      <c r="A858" s="4"/>
      <c r="B858" s="4"/>
      <c r="C858" s="29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7.25" customHeight="1" x14ac:dyDescent="0.2">
      <c r="A859" s="4"/>
      <c r="B859" s="4"/>
      <c r="C859" s="29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7.25" customHeight="1" x14ac:dyDescent="0.2">
      <c r="A860" s="4"/>
      <c r="B860" s="4"/>
      <c r="C860" s="29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7.25" customHeight="1" x14ac:dyDescent="0.2">
      <c r="A861" s="4"/>
      <c r="B861" s="4"/>
      <c r="C861" s="29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7.25" customHeight="1" x14ac:dyDescent="0.2">
      <c r="A862" s="4"/>
      <c r="B862" s="4"/>
      <c r="C862" s="29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7.25" customHeight="1" x14ac:dyDescent="0.2">
      <c r="A863" s="4"/>
      <c r="B863" s="4"/>
      <c r="C863" s="29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7.25" customHeight="1" x14ac:dyDescent="0.2">
      <c r="A864" s="4"/>
      <c r="B864" s="4"/>
      <c r="C864" s="29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7.25" customHeight="1" x14ac:dyDescent="0.2">
      <c r="A865" s="4"/>
      <c r="B865" s="4"/>
      <c r="C865" s="29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7.25" customHeight="1" x14ac:dyDescent="0.2">
      <c r="A866" s="4"/>
      <c r="B866" s="4"/>
      <c r="C866" s="29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7.25" customHeight="1" x14ac:dyDescent="0.2">
      <c r="A867" s="4"/>
      <c r="B867" s="4"/>
      <c r="C867" s="29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7.25" customHeight="1" x14ac:dyDescent="0.2">
      <c r="A868" s="4"/>
      <c r="B868" s="4"/>
      <c r="C868" s="29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7.25" customHeight="1" x14ac:dyDescent="0.2">
      <c r="A869" s="4"/>
      <c r="B869" s="4"/>
      <c r="C869" s="29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7.25" customHeight="1" x14ac:dyDescent="0.2">
      <c r="A870" s="4"/>
      <c r="B870" s="4"/>
      <c r="C870" s="29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7.25" customHeight="1" x14ac:dyDescent="0.2">
      <c r="A871" s="4"/>
      <c r="B871" s="4"/>
      <c r="C871" s="29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7.25" customHeight="1" x14ac:dyDescent="0.2">
      <c r="A872" s="4"/>
      <c r="B872" s="4"/>
      <c r="C872" s="29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7.25" customHeight="1" x14ac:dyDescent="0.2">
      <c r="A873" s="4"/>
      <c r="B873" s="4"/>
      <c r="C873" s="29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7.25" customHeight="1" x14ac:dyDescent="0.2">
      <c r="A874" s="4"/>
      <c r="B874" s="4"/>
      <c r="C874" s="29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7.25" customHeight="1" x14ac:dyDescent="0.2">
      <c r="A875" s="4"/>
      <c r="B875" s="4"/>
      <c r="C875" s="29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7.25" customHeight="1" x14ac:dyDescent="0.2">
      <c r="A876" s="4"/>
      <c r="B876" s="4"/>
      <c r="C876" s="29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7.25" customHeight="1" x14ac:dyDescent="0.2">
      <c r="A877" s="4"/>
      <c r="B877" s="4"/>
      <c r="C877" s="29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7.25" customHeight="1" x14ac:dyDescent="0.2">
      <c r="A878" s="4"/>
      <c r="B878" s="4"/>
      <c r="C878" s="29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7.25" customHeight="1" x14ac:dyDescent="0.2">
      <c r="A879" s="4"/>
      <c r="B879" s="4"/>
      <c r="C879" s="29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7.25" customHeight="1" x14ac:dyDescent="0.2">
      <c r="A880" s="4"/>
      <c r="B880" s="4"/>
      <c r="C880" s="29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7.25" customHeight="1" x14ac:dyDescent="0.2">
      <c r="A881" s="4"/>
      <c r="B881" s="4"/>
      <c r="C881" s="29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7.25" customHeight="1" x14ac:dyDescent="0.2">
      <c r="A882" s="4"/>
      <c r="B882" s="4"/>
      <c r="C882" s="29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7.25" customHeight="1" x14ac:dyDescent="0.2">
      <c r="A883" s="4"/>
      <c r="B883" s="4"/>
      <c r="C883" s="29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7.25" customHeight="1" x14ac:dyDescent="0.2">
      <c r="A884" s="4"/>
      <c r="B884" s="4"/>
      <c r="C884" s="29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7.25" customHeight="1" x14ac:dyDescent="0.2">
      <c r="A885" s="4"/>
      <c r="B885" s="4"/>
      <c r="C885" s="29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7.25" customHeight="1" x14ac:dyDescent="0.2">
      <c r="A886" s="4"/>
      <c r="B886" s="4"/>
      <c r="C886" s="29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7.25" customHeight="1" x14ac:dyDescent="0.2">
      <c r="A887" s="4"/>
      <c r="B887" s="4"/>
      <c r="C887" s="29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7.25" customHeight="1" x14ac:dyDescent="0.2">
      <c r="A888" s="4"/>
      <c r="B888" s="4"/>
      <c r="C888" s="29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7.25" customHeight="1" x14ac:dyDescent="0.2">
      <c r="A889" s="4"/>
      <c r="B889" s="4"/>
      <c r="C889" s="29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7.25" customHeight="1" x14ac:dyDescent="0.2">
      <c r="A890" s="4"/>
      <c r="B890" s="4"/>
      <c r="C890" s="29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7.25" customHeight="1" x14ac:dyDescent="0.2">
      <c r="A891" s="4"/>
      <c r="B891" s="4"/>
      <c r="C891" s="29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7.25" customHeight="1" x14ac:dyDescent="0.2">
      <c r="A892" s="4"/>
      <c r="B892" s="4"/>
      <c r="C892" s="29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7.25" customHeight="1" x14ac:dyDescent="0.2">
      <c r="A893" s="4"/>
      <c r="B893" s="4"/>
      <c r="C893" s="29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7.25" customHeight="1" x14ac:dyDescent="0.2">
      <c r="A894" s="4"/>
      <c r="B894" s="4"/>
      <c r="C894" s="29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7.25" customHeight="1" x14ac:dyDescent="0.2">
      <c r="A895" s="4"/>
      <c r="B895" s="4"/>
      <c r="C895" s="29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7.25" customHeight="1" x14ac:dyDescent="0.2">
      <c r="A896" s="4"/>
      <c r="B896" s="4"/>
      <c r="C896" s="29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7.25" customHeight="1" x14ac:dyDescent="0.2">
      <c r="A897" s="4"/>
      <c r="B897" s="4"/>
      <c r="C897" s="29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7.25" customHeight="1" x14ac:dyDescent="0.2">
      <c r="A898" s="4"/>
      <c r="B898" s="4"/>
      <c r="C898" s="29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7.25" customHeight="1" x14ac:dyDescent="0.2">
      <c r="A899" s="4"/>
      <c r="B899" s="4"/>
      <c r="C899" s="29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7.25" customHeight="1" x14ac:dyDescent="0.2">
      <c r="A900" s="4"/>
      <c r="B900" s="4"/>
      <c r="C900" s="29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7.25" customHeight="1" x14ac:dyDescent="0.2">
      <c r="A901" s="4"/>
      <c r="B901" s="4"/>
      <c r="C901" s="29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7.25" customHeight="1" x14ac:dyDescent="0.2">
      <c r="A902" s="4"/>
      <c r="B902" s="4"/>
      <c r="C902" s="29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7.25" customHeight="1" x14ac:dyDescent="0.2">
      <c r="A903" s="4"/>
      <c r="B903" s="4"/>
      <c r="C903" s="29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7.25" customHeight="1" x14ac:dyDescent="0.2">
      <c r="A904" s="4"/>
      <c r="B904" s="4"/>
      <c r="C904" s="29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7.25" customHeight="1" x14ac:dyDescent="0.2">
      <c r="A905" s="4"/>
      <c r="B905" s="4"/>
      <c r="C905" s="29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7.25" customHeight="1" x14ac:dyDescent="0.2">
      <c r="A906" s="4"/>
      <c r="B906" s="4"/>
      <c r="C906" s="29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7.25" customHeight="1" x14ac:dyDescent="0.2">
      <c r="A907" s="4"/>
      <c r="B907" s="4"/>
      <c r="C907" s="29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7.25" customHeight="1" x14ac:dyDescent="0.2">
      <c r="A908" s="4"/>
      <c r="B908" s="4"/>
      <c r="C908" s="29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7.25" customHeight="1" x14ac:dyDescent="0.2">
      <c r="A909" s="4"/>
      <c r="B909" s="4"/>
      <c r="C909" s="29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7.25" customHeight="1" x14ac:dyDescent="0.2">
      <c r="A910" s="4"/>
      <c r="B910" s="4"/>
      <c r="C910" s="29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7.25" customHeight="1" x14ac:dyDescent="0.2">
      <c r="A911" s="4"/>
      <c r="B911" s="4"/>
      <c r="C911" s="29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7.25" customHeight="1" x14ac:dyDescent="0.2">
      <c r="A912" s="4"/>
      <c r="B912" s="4"/>
      <c r="C912" s="29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7.25" customHeight="1" x14ac:dyDescent="0.2">
      <c r="A913" s="4"/>
      <c r="B913" s="4"/>
      <c r="C913" s="29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7.25" customHeight="1" x14ac:dyDescent="0.2">
      <c r="A914" s="4"/>
      <c r="B914" s="4"/>
      <c r="C914" s="29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7.25" customHeight="1" x14ac:dyDescent="0.2">
      <c r="A915" s="4"/>
      <c r="B915" s="4"/>
      <c r="C915" s="29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7.25" customHeight="1" x14ac:dyDescent="0.2">
      <c r="A916" s="4"/>
      <c r="B916" s="4"/>
      <c r="C916" s="29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7.25" customHeight="1" x14ac:dyDescent="0.2">
      <c r="A917" s="4"/>
      <c r="B917" s="4"/>
      <c r="C917" s="29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7.25" customHeight="1" x14ac:dyDescent="0.2">
      <c r="A918" s="4"/>
      <c r="B918" s="4"/>
      <c r="C918" s="29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7.25" customHeight="1" x14ac:dyDescent="0.2">
      <c r="A919" s="4"/>
      <c r="B919" s="4"/>
      <c r="C919" s="29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7.25" customHeight="1" x14ac:dyDescent="0.2">
      <c r="A920" s="4"/>
      <c r="B920" s="4"/>
      <c r="C920" s="29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7.25" customHeight="1" x14ac:dyDescent="0.2">
      <c r="A921" s="4"/>
      <c r="B921" s="4"/>
      <c r="C921" s="29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7.25" customHeight="1" x14ac:dyDescent="0.2">
      <c r="A922" s="4"/>
      <c r="B922" s="4"/>
      <c r="C922" s="29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7.25" customHeight="1" x14ac:dyDescent="0.2">
      <c r="A923" s="4"/>
      <c r="B923" s="4"/>
      <c r="C923" s="29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7.25" customHeight="1" x14ac:dyDescent="0.2">
      <c r="A924" s="4"/>
      <c r="B924" s="4"/>
      <c r="C924" s="29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7.25" customHeight="1" x14ac:dyDescent="0.2">
      <c r="A925" s="4"/>
      <c r="B925" s="4"/>
      <c r="C925" s="29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7.25" customHeight="1" x14ac:dyDescent="0.2">
      <c r="A926" s="4"/>
      <c r="B926" s="4"/>
      <c r="C926" s="29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7.25" customHeight="1" x14ac:dyDescent="0.2">
      <c r="A927" s="4"/>
      <c r="B927" s="4"/>
      <c r="C927" s="29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7.25" customHeight="1" x14ac:dyDescent="0.2">
      <c r="A928" s="4"/>
      <c r="B928" s="4"/>
      <c r="C928" s="29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7.25" customHeight="1" x14ac:dyDescent="0.2">
      <c r="A929" s="4"/>
      <c r="B929" s="4"/>
      <c r="C929" s="29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7.25" customHeight="1" x14ac:dyDescent="0.2">
      <c r="A930" s="4"/>
      <c r="B930" s="4"/>
      <c r="C930" s="29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7.25" customHeight="1" x14ac:dyDescent="0.2">
      <c r="A931" s="4"/>
      <c r="B931" s="4"/>
      <c r="C931" s="29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7.25" customHeight="1" x14ac:dyDescent="0.2">
      <c r="A932" s="4"/>
      <c r="B932" s="4"/>
      <c r="C932" s="29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7.25" customHeight="1" x14ac:dyDescent="0.2">
      <c r="A933" s="4"/>
      <c r="B933" s="4"/>
      <c r="C933" s="29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7.25" customHeight="1" x14ac:dyDescent="0.2">
      <c r="A934" s="4"/>
      <c r="B934" s="4"/>
      <c r="C934" s="29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7.25" customHeight="1" x14ac:dyDescent="0.2">
      <c r="A935" s="4"/>
      <c r="B935" s="4"/>
      <c r="C935" s="29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7.25" customHeight="1" x14ac:dyDescent="0.2">
      <c r="A936" s="4"/>
      <c r="B936" s="4"/>
      <c r="C936" s="29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7.25" customHeight="1" x14ac:dyDescent="0.2">
      <c r="A937" s="4"/>
      <c r="B937" s="4"/>
      <c r="C937" s="29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7.25" customHeight="1" x14ac:dyDescent="0.2">
      <c r="A938" s="4"/>
      <c r="B938" s="4"/>
      <c r="C938" s="29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7.25" customHeight="1" x14ac:dyDescent="0.2">
      <c r="A939" s="4"/>
      <c r="B939" s="4"/>
      <c r="C939" s="29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7.25" customHeight="1" x14ac:dyDescent="0.2">
      <c r="A940" s="4"/>
      <c r="B940" s="4"/>
      <c r="C940" s="29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7.25" customHeight="1" x14ac:dyDescent="0.2">
      <c r="A941" s="4"/>
      <c r="B941" s="4"/>
      <c r="C941" s="29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7.25" customHeight="1" x14ac:dyDescent="0.2">
      <c r="A942" s="4"/>
      <c r="B942" s="4"/>
      <c r="C942" s="29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7.25" customHeight="1" x14ac:dyDescent="0.2">
      <c r="A943" s="4"/>
      <c r="B943" s="4"/>
      <c r="C943" s="29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7.25" customHeight="1" x14ac:dyDescent="0.2">
      <c r="A944" s="4"/>
      <c r="B944" s="4"/>
      <c r="C944" s="29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7.25" customHeight="1" x14ac:dyDescent="0.2">
      <c r="A945" s="4"/>
      <c r="B945" s="4"/>
      <c r="C945" s="29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7.25" customHeight="1" x14ac:dyDescent="0.2">
      <c r="A946" s="4"/>
      <c r="B946" s="4"/>
      <c r="C946" s="29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7.25" customHeight="1" x14ac:dyDescent="0.2">
      <c r="A947" s="4"/>
      <c r="B947" s="4"/>
      <c r="C947" s="29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7.25" customHeight="1" x14ac:dyDescent="0.2">
      <c r="A948" s="4"/>
      <c r="B948" s="4"/>
      <c r="C948" s="29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7.25" customHeight="1" x14ac:dyDescent="0.2">
      <c r="A949" s="4"/>
      <c r="B949" s="4"/>
      <c r="C949" s="29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7.25" customHeight="1" x14ac:dyDescent="0.2">
      <c r="A950" s="4"/>
      <c r="B950" s="4"/>
      <c r="C950" s="29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7.25" customHeight="1" x14ac:dyDescent="0.2">
      <c r="A951" s="4"/>
      <c r="B951" s="4"/>
      <c r="C951" s="29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7.25" customHeight="1" x14ac:dyDescent="0.2">
      <c r="A952" s="4"/>
      <c r="B952" s="4"/>
      <c r="C952" s="29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7.25" customHeight="1" x14ac:dyDescent="0.2">
      <c r="A953" s="4"/>
      <c r="B953" s="4"/>
      <c r="C953" s="29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7.25" customHeight="1" x14ac:dyDescent="0.2">
      <c r="A954" s="4"/>
      <c r="B954" s="4"/>
      <c r="C954" s="29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7.25" customHeight="1" x14ac:dyDescent="0.2">
      <c r="A955" s="4"/>
      <c r="B955" s="4"/>
      <c r="C955" s="29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7.25" customHeight="1" x14ac:dyDescent="0.2">
      <c r="A956" s="4"/>
      <c r="B956" s="4"/>
      <c r="C956" s="29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7.25" customHeight="1" x14ac:dyDescent="0.2">
      <c r="A957" s="4"/>
      <c r="B957" s="4"/>
      <c r="C957" s="29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7.25" customHeight="1" x14ac:dyDescent="0.2">
      <c r="A958" s="4"/>
      <c r="B958" s="4"/>
      <c r="C958" s="29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7.25" customHeight="1" x14ac:dyDescent="0.2">
      <c r="A959" s="4"/>
      <c r="B959" s="4"/>
      <c r="C959" s="29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7.25" customHeight="1" x14ac:dyDescent="0.2">
      <c r="A960" s="4"/>
      <c r="B960" s="4"/>
      <c r="C960" s="29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7.25" customHeight="1" x14ac:dyDescent="0.2">
      <c r="A961" s="4"/>
      <c r="B961" s="4"/>
      <c r="C961" s="29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7.25" customHeight="1" x14ac:dyDescent="0.2">
      <c r="A962" s="4"/>
      <c r="B962" s="4"/>
      <c r="C962" s="29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7.25" customHeight="1" x14ac:dyDescent="0.2">
      <c r="A963" s="4"/>
      <c r="B963" s="4"/>
      <c r="C963" s="29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7.25" customHeight="1" x14ac:dyDescent="0.2">
      <c r="A964" s="4"/>
      <c r="B964" s="4"/>
      <c r="C964" s="29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7.25" customHeight="1" x14ac:dyDescent="0.2">
      <c r="A965" s="4"/>
      <c r="B965" s="4"/>
      <c r="C965" s="29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7.25" customHeight="1" x14ac:dyDescent="0.2">
      <c r="A966" s="4"/>
      <c r="B966" s="4"/>
      <c r="C966" s="29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7.25" customHeight="1" x14ac:dyDescent="0.2">
      <c r="A967" s="4"/>
      <c r="B967" s="4"/>
      <c r="C967" s="29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7.25" customHeight="1" x14ac:dyDescent="0.2">
      <c r="A968" s="4"/>
      <c r="B968" s="4"/>
      <c r="C968" s="29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7.25" customHeight="1" x14ac:dyDescent="0.2">
      <c r="A969" s="4"/>
      <c r="B969" s="4"/>
      <c r="C969" s="29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7.25" customHeight="1" x14ac:dyDescent="0.2">
      <c r="A970" s="4"/>
      <c r="B970" s="4"/>
      <c r="C970" s="29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7.25" customHeight="1" x14ac:dyDescent="0.2">
      <c r="A971" s="4"/>
      <c r="B971" s="4"/>
      <c r="C971" s="29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7.25" customHeight="1" x14ac:dyDescent="0.2">
      <c r="A972" s="4"/>
      <c r="B972" s="4"/>
      <c r="C972" s="29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7.25" customHeight="1" x14ac:dyDescent="0.2">
      <c r="A973" s="4"/>
      <c r="B973" s="4"/>
      <c r="C973" s="29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7.25" customHeight="1" x14ac:dyDescent="0.2">
      <c r="A974" s="4"/>
      <c r="B974" s="4"/>
      <c r="C974" s="29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7.25" customHeight="1" x14ac:dyDescent="0.2">
      <c r="A975" s="4"/>
      <c r="B975" s="4"/>
      <c r="C975" s="29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7.25" customHeight="1" x14ac:dyDescent="0.2">
      <c r="A976" s="4"/>
      <c r="B976" s="4"/>
      <c r="C976" s="29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7.25" customHeight="1" x14ac:dyDescent="0.2">
      <c r="A977" s="4"/>
      <c r="B977" s="4"/>
      <c r="C977" s="29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7.25" customHeight="1" x14ac:dyDescent="0.2">
      <c r="A978" s="4"/>
      <c r="B978" s="4"/>
      <c r="C978" s="29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7.25" customHeight="1" x14ac:dyDescent="0.2">
      <c r="A979" s="4"/>
      <c r="B979" s="4"/>
      <c r="C979" s="29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7.25" customHeight="1" x14ac:dyDescent="0.2">
      <c r="A980" s="4"/>
      <c r="B980" s="4"/>
      <c r="C980" s="29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7.25" customHeight="1" x14ac:dyDescent="0.2">
      <c r="A981" s="4"/>
      <c r="B981" s="4"/>
      <c r="C981" s="29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7.25" customHeight="1" x14ac:dyDescent="0.2">
      <c r="A982" s="4"/>
      <c r="B982" s="4"/>
      <c r="C982" s="29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7.25" customHeight="1" x14ac:dyDescent="0.2">
      <c r="A983" s="4"/>
      <c r="B983" s="4"/>
      <c r="C983" s="29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7.25" customHeight="1" x14ac:dyDescent="0.2">
      <c r="A984" s="4"/>
      <c r="B984" s="4"/>
      <c r="C984" s="29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7.25" customHeight="1" x14ac:dyDescent="0.2">
      <c r="A985" s="4"/>
      <c r="B985" s="4"/>
      <c r="C985" s="29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7.25" customHeight="1" x14ac:dyDescent="0.2">
      <c r="A986" s="4"/>
      <c r="B986" s="4"/>
      <c r="C986" s="29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7.25" customHeight="1" x14ac:dyDescent="0.2">
      <c r="A987" s="4"/>
      <c r="B987" s="4"/>
      <c r="C987" s="29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7.25" customHeight="1" x14ac:dyDescent="0.2">
      <c r="A988" s="4"/>
      <c r="B988" s="4"/>
      <c r="C988" s="29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7.25" customHeight="1" x14ac:dyDescent="0.2">
      <c r="A989" s="4"/>
      <c r="B989" s="4"/>
      <c r="C989" s="29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7.25" customHeight="1" x14ac:dyDescent="0.2">
      <c r="A990" s="4"/>
      <c r="B990" s="4"/>
      <c r="C990" s="29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7.25" customHeight="1" x14ac:dyDescent="0.2">
      <c r="A991" s="4"/>
      <c r="B991" s="4"/>
      <c r="C991" s="29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7.25" customHeight="1" x14ac:dyDescent="0.2">
      <c r="A992" s="4"/>
      <c r="B992" s="4"/>
      <c r="C992" s="29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7.25" customHeight="1" x14ac:dyDescent="0.2">
      <c r="A993" s="4"/>
      <c r="B993" s="4"/>
      <c r="C993" s="29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7.25" customHeight="1" x14ac:dyDescent="0.2">
      <c r="A994" s="4"/>
      <c r="B994" s="4"/>
      <c r="C994" s="29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7.25" customHeight="1" x14ac:dyDescent="0.2">
      <c r="A995" s="4"/>
      <c r="B995" s="4"/>
      <c r="C995" s="29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7.25" customHeight="1" x14ac:dyDescent="0.2">
      <c r="A996" s="4"/>
      <c r="B996" s="4"/>
      <c r="C996" s="29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7.25" customHeight="1" x14ac:dyDescent="0.2">
      <c r="A997" s="4"/>
      <c r="B997" s="4"/>
      <c r="C997" s="29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7.25" customHeight="1" x14ac:dyDescent="0.2">
      <c r="A998" s="4"/>
      <c r="B998" s="4"/>
      <c r="C998" s="29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7.25" customHeight="1" x14ac:dyDescent="0.2">
      <c r="A999" s="4"/>
      <c r="B999" s="4"/>
      <c r="C999" s="29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7.25" customHeight="1" x14ac:dyDescent="0.2">
      <c r="A1000" s="4"/>
      <c r="B1000" s="4"/>
      <c r="C1000" s="29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51181102362204722" right="0.51181102362204722" top="0.78740157480314965" bottom="0.78740157480314965" header="0" footer="0"/>
  <pageSetup paperSize="9" scale="11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zoomScale="115" zoomScaleNormal="115" workbookViewId="0">
      <selection activeCell="C1" sqref="A1:C17"/>
    </sheetView>
  </sheetViews>
  <sheetFormatPr defaultColWidth="12.5703125" defaultRowHeight="15" customHeight="1" x14ac:dyDescent="0.2"/>
  <cols>
    <col min="1" max="1" width="69.42578125" customWidth="1"/>
    <col min="2" max="2" width="19.5703125" customWidth="1"/>
    <col min="3" max="3" width="23" customWidth="1"/>
    <col min="4" max="26" width="8.5703125" customWidth="1"/>
  </cols>
  <sheetData>
    <row r="1" spans="1:26" ht="39" customHeight="1" x14ac:dyDescent="0.2">
      <c r="A1" s="1" t="s">
        <v>0</v>
      </c>
      <c r="B1" s="30" t="s">
        <v>68</v>
      </c>
      <c r="C1" s="2" t="s">
        <v>25</v>
      </c>
    </row>
    <row r="2" spans="1:26" ht="23.25" customHeight="1" x14ac:dyDescent="0.2">
      <c r="A2" s="10" t="str">
        <f>'Orçamento Resumo'!A3</f>
        <v>MOVIMENTAÇÃO DE TERRA</v>
      </c>
      <c r="B2" s="31">
        <f>'Orçamento Resumo'!D3</f>
        <v>5.8435664890601968</v>
      </c>
      <c r="C2" s="32" t="s">
        <v>60</v>
      </c>
      <c r="D2" s="33">
        <v>10</v>
      </c>
      <c r="E2" s="33">
        <v>20</v>
      </c>
      <c r="F2" s="34">
        <v>22.987738957949066</v>
      </c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3.25" customHeight="1" x14ac:dyDescent="0.2">
      <c r="A3" s="5" t="str">
        <f>'Orçamento Resumo'!A4</f>
        <v xml:space="preserve">INFRAESTRUTURA </v>
      </c>
      <c r="B3" s="35">
        <f>'Orçamento Resumo'!D4</f>
        <v>99.835342931640412</v>
      </c>
      <c r="C3" s="36" t="s">
        <v>61</v>
      </c>
      <c r="D3" s="33">
        <v>140</v>
      </c>
      <c r="E3" s="33">
        <v>210</v>
      </c>
      <c r="F3" s="34">
        <v>228.06161009411107</v>
      </c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3.25" customHeight="1" x14ac:dyDescent="0.2">
      <c r="A4" s="10" t="str">
        <f>'Orçamento Resumo'!A5</f>
        <v>SUPRAESTRUTURA</v>
      </c>
      <c r="B4" s="31">
        <f>'Orçamento Resumo'!D5</f>
        <v>603.66757737218006</v>
      </c>
      <c r="C4" s="32" t="s">
        <v>26</v>
      </c>
      <c r="D4" s="33">
        <v>580</v>
      </c>
      <c r="E4" s="33">
        <v>630</v>
      </c>
      <c r="F4" s="34">
        <v>123.99160946553378</v>
      </c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3.25" customHeight="1" x14ac:dyDescent="0.2">
      <c r="A5" s="5" t="str">
        <f>'Orçamento Resumo'!A6</f>
        <v>ALVENARIA, VEDAÇÕES E DIVISÓRIAS</v>
      </c>
      <c r="B5" s="35">
        <f>'Orçamento Resumo'!D6</f>
        <v>90.595234100442127</v>
      </c>
      <c r="C5" s="36" t="s">
        <v>62</v>
      </c>
      <c r="D5" s="33">
        <v>110</v>
      </c>
      <c r="E5" s="33">
        <v>130</v>
      </c>
      <c r="F5" s="34">
        <v>289.9486068209232</v>
      </c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3.25" customHeight="1" x14ac:dyDescent="0.2">
      <c r="A6" s="10" t="str">
        <f>'Orçamento Resumo'!A7</f>
        <v>INSTALAÇÕES ELÉTRICAS, HIDROSSANITÁRIAS, PREVENTIVAS E GLP</v>
      </c>
      <c r="B6" s="31">
        <f>'Orçamento Resumo'!D7</f>
        <v>416.19824736424442</v>
      </c>
      <c r="C6" s="32" t="s">
        <v>27</v>
      </c>
      <c r="D6" s="33">
        <v>300</v>
      </c>
      <c r="E6" s="33">
        <v>350</v>
      </c>
      <c r="F6" s="34">
        <v>197.22971704913019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3.25" customHeight="1" x14ac:dyDescent="0.2">
      <c r="A7" s="5" t="str">
        <f>'Orçamento Resumo'!A8</f>
        <v>SISTEMAS ESPECIAIS E EQUIPAMENTOS</v>
      </c>
      <c r="B7" s="35">
        <f>'Orçamento Resumo'!D8</f>
        <v>168.27773041605261</v>
      </c>
      <c r="C7" s="36" t="s">
        <v>28</v>
      </c>
      <c r="D7" s="33">
        <v>220</v>
      </c>
      <c r="E7" s="33">
        <v>280</v>
      </c>
      <c r="F7" s="34">
        <v>36.807137640131174</v>
      </c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3.25" customHeight="1" x14ac:dyDescent="0.2">
      <c r="A8" s="10" t="str">
        <f>'Orçamento Resumo'!A9</f>
        <v>IMPERMEABILIZAÇÃO</v>
      </c>
      <c r="B8" s="31">
        <f>'Orçamento Resumo'!D9</f>
        <v>41.173116426708987</v>
      </c>
      <c r="C8" s="32" t="s">
        <v>29</v>
      </c>
      <c r="D8" s="33">
        <v>40</v>
      </c>
      <c r="E8" s="33">
        <v>50</v>
      </c>
      <c r="F8" s="34">
        <v>31.188924600320124</v>
      </c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3.25" customHeight="1" x14ac:dyDescent="0.2">
      <c r="A9" s="5" t="str">
        <f>'Orçamento Resumo'!A10</f>
        <v>REVESTIMENTOS INTERNOS EM PISO E PAREDE</v>
      </c>
      <c r="B9" s="35">
        <f>'Orçamento Resumo'!D10</f>
        <v>132.88768166874505</v>
      </c>
      <c r="C9" s="36" t="s">
        <v>63</v>
      </c>
      <c r="D9" s="33">
        <v>160</v>
      </c>
      <c r="E9" s="33">
        <v>200</v>
      </c>
      <c r="F9" s="34">
        <v>109.27661663438778</v>
      </c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3.25" customHeight="1" x14ac:dyDescent="0.2">
      <c r="A10" s="10" t="str">
        <f>'Orçamento Resumo'!A11</f>
        <v>REVESTIMENTOS E ACABAMENTOS INTERNOS EM TETO</v>
      </c>
      <c r="B10" s="31">
        <f>'Orçamento Resumo'!D11</f>
        <v>33.248974039224578</v>
      </c>
      <c r="C10" s="32" t="s">
        <v>29</v>
      </c>
      <c r="D10" s="33">
        <v>40</v>
      </c>
      <c r="E10" s="33">
        <v>50</v>
      </c>
      <c r="F10" s="34">
        <v>24.127146546158816</v>
      </c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23.25" customHeight="1" x14ac:dyDescent="0.2">
      <c r="A11" s="5" t="str">
        <f>'Orçamento Resumo'!A12</f>
        <v>ACABAMENTOS EM PISO E PAREDE</v>
      </c>
      <c r="B11" s="35">
        <f>'Orçamento Resumo'!D12</f>
        <v>193.80248044439406</v>
      </c>
      <c r="C11" s="36" t="s">
        <v>30</v>
      </c>
      <c r="D11" s="33">
        <v>160</v>
      </c>
      <c r="E11" s="33">
        <v>190</v>
      </c>
      <c r="F11" s="34">
        <v>61.999999999999993</v>
      </c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23.25" customHeight="1" x14ac:dyDescent="0.2">
      <c r="A12" s="10" t="str">
        <f>'Orçamento Resumo'!A13</f>
        <v>PINTURA INTERNA</v>
      </c>
      <c r="B12" s="31">
        <f>'Orçamento Resumo'!D13</f>
        <v>88.341267429996591</v>
      </c>
      <c r="C12" s="32" t="s">
        <v>64</v>
      </c>
      <c r="D12" s="33">
        <v>80</v>
      </c>
      <c r="E12" s="33">
        <v>90</v>
      </c>
      <c r="F12" s="34">
        <v>48.5</v>
      </c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23.25" customHeight="1" x14ac:dyDescent="0.2">
      <c r="A13" s="5" t="str">
        <f>'Orçamento Resumo'!A14</f>
        <v xml:space="preserve">ESQUADRIAS </v>
      </c>
      <c r="B13" s="35">
        <f>'Orçamento Resumo'!D14</f>
        <v>303.7985489173563</v>
      </c>
      <c r="C13" s="36" t="s">
        <v>65</v>
      </c>
      <c r="D13" s="33">
        <v>280</v>
      </c>
      <c r="E13" s="33">
        <v>330</v>
      </c>
      <c r="F13" s="34">
        <v>117.45240472232376</v>
      </c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23.25" customHeight="1" x14ac:dyDescent="0.2">
      <c r="A14" s="10" t="str">
        <f>'Orçamento Resumo'!A15</f>
        <v>REVESTIMENTOS E ACABAMENTOS DE FACHADA</v>
      </c>
      <c r="B14" s="31">
        <f>'Orçamento Resumo'!D15</f>
        <v>110.53578052375015</v>
      </c>
      <c r="C14" s="32" t="s">
        <v>66</v>
      </c>
      <c r="D14" s="33">
        <v>90</v>
      </c>
      <c r="E14" s="33">
        <v>130</v>
      </c>
      <c r="F14" s="34">
        <v>99.981074269122288</v>
      </c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23.25" customHeight="1" x14ac:dyDescent="0.2">
      <c r="A15" s="5" t="str">
        <f>'Orçamento Resumo'!A16</f>
        <v>COBERTURA</v>
      </c>
      <c r="B15" s="35">
        <f>'Orçamento Resumo'!D16</f>
        <v>10.851118920757283</v>
      </c>
      <c r="C15" s="36" t="s">
        <v>31</v>
      </c>
      <c r="D15" s="33">
        <v>5</v>
      </c>
      <c r="E15" s="33">
        <v>10</v>
      </c>
      <c r="F15" s="34">
        <v>15.487803394834327</v>
      </c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3.25" customHeight="1" x14ac:dyDescent="0.2">
      <c r="A16" s="10" t="str">
        <f>'Orçamento Resumo'!A17</f>
        <v>SERVIÇOS COMPLEMENTARES</v>
      </c>
      <c r="B16" s="31">
        <f>'Orçamento Resumo'!D17+'Orçamento Resumo'!D18</f>
        <v>276.76947058156674</v>
      </c>
      <c r="C16" s="32" t="s">
        <v>32</v>
      </c>
      <c r="D16" s="33">
        <v>130</v>
      </c>
      <c r="E16" s="33">
        <v>160</v>
      </c>
      <c r="F16" s="34">
        <v>120.22821193485841</v>
      </c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5" ht="19.5" customHeight="1" x14ac:dyDescent="0.2">
      <c r="A17" s="16" t="s">
        <v>22</v>
      </c>
      <c r="B17" s="37">
        <f>SUM(B2:B16)</f>
        <v>2575.8261376261194</v>
      </c>
      <c r="C17" s="38" t="s">
        <v>67</v>
      </c>
      <c r="D17" s="39">
        <f t="shared" ref="D17:E17" si="0">SUM(D2:D16)</f>
        <v>2345</v>
      </c>
      <c r="E17" s="39">
        <f t="shared" si="0"/>
        <v>2830</v>
      </c>
    </row>
    <row r="18" spans="1:5" ht="21" customHeight="1" x14ac:dyDescent="0.2">
      <c r="B18" s="40"/>
      <c r="C18" s="41"/>
    </row>
    <row r="19" spans="1:5" ht="16.5" customHeight="1" x14ac:dyDescent="0.2">
      <c r="B19" s="40"/>
      <c r="C19" s="41"/>
    </row>
    <row r="20" spans="1:5" ht="16.5" customHeight="1" x14ac:dyDescent="0.2">
      <c r="B20" s="40"/>
      <c r="C20" s="41"/>
    </row>
    <row r="21" spans="1:5" ht="16.5" customHeight="1" x14ac:dyDescent="0.2">
      <c r="B21" s="40"/>
      <c r="C21" s="41"/>
    </row>
    <row r="22" spans="1:5" ht="16.5" customHeight="1" x14ac:dyDescent="0.2">
      <c r="B22" s="40"/>
      <c r="C22" s="41"/>
    </row>
    <row r="23" spans="1:5" ht="16.5" customHeight="1" x14ac:dyDescent="0.2">
      <c r="B23" s="40"/>
      <c r="C23" s="41"/>
    </row>
    <row r="24" spans="1:5" ht="16.5" customHeight="1" x14ac:dyDescent="0.2">
      <c r="B24" s="40"/>
      <c r="C24" s="41"/>
    </row>
    <row r="25" spans="1:5" ht="16.5" customHeight="1" x14ac:dyDescent="0.2">
      <c r="B25" s="40"/>
      <c r="C25" s="41"/>
    </row>
    <row r="26" spans="1:5" ht="16.5" customHeight="1" x14ac:dyDescent="0.2">
      <c r="B26" s="40"/>
      <c r="C26" s="41"/>
    </row>
    <row r="27" spans="1:5" ht="16.5" customHeight="1" x14ac:dyDescent="0.2">
      <c r="B27" s="40"/>
      <c r="C27" s="41"/>
    </row>
    <row r="28" spans="1:5" ht="16.5" customHeight="1" x14ac:dyDescent="0.2">
      <c r="B28" s="40"/>
      <c r="C28" s="41"/>
    </row>
    <row r="29" spans="1:5" ht="16.5" customHeight="1" x14ac:dyDescent="0.2">
      <c r="B29" s="40"/>
      <c r="C29" s="41"/>
    </row>
    <row r="30" spans="1:5" ht="16.5" customHeight="1" x14ac:dyDescent="0.2">
      <c r="B30" s="40"/>
      <c r="C30" s="41"/>
    </row>
    <row r="31" spans="1:5" ht="16.5" customHeight="1" x14ac:dyDescent="0.2">
      <c r="B31" s="40"/>
      <c r="C31" s="41"/>
    </row>
    <row r="32" spans="1:5" ht="16.5" customHeight="1" x14ac:dyDescent="0.2">
      <c r="B32" s="40"/>
      <c r="C32" s="41"/>
    </row>
    <row r="33" spans="2:3" ht="16.5" customHeight="1" x14ac:dyDescent="0.2">
      <c r="B33" s="40"/>
      <c r="C33" s="41"/>
    </row>
    <row r="34" spans="2:3" ht="16.5" customHeight="1" x14ac:dyDescent="0.2">
      <c r="B34" s="40"/>
      <c r="C34" s="41"/>
    </row>
    <row r="35" spans="2:3" ht="16.5" customHeight="1" x14ac:dyDescent="0.2">
      <c r="B35" s="40"/>
      <c r="C35" s="41"/>
    </row>
    <row r="36" spans="2:3" ht="16.5" customHeight="1" x14ac:dyDescent="0.2">
      <c r="B36" s="40"/>
      <c r="C36" s="41"/>
    </row>
    <row r="37" spans="2:3" ht="16.5" customHeight="1" x14ac:dyDescent="0.2">
      <c r="B37" s="40"/>
      <c r="C37" s="41"/>
    </row>
    <row r="38" spans="2:3" ht="16.5" customHeight="1" x14ac:dyDescent="0.2">
      <c r="B38" s="40"/>
      <c r="C38" s="41"/>
    </row>
    <row r="39" spans="2:3" ht="16.5" customHeight="1" x14ac:dyDescent="0.2">
      <c r="B39" s="40"/>
      <c r="C39" s="41"/>
    </row>
    <row r="40" spans="2:3" ht="16.5" customHeight="1" x14ac:dyDescent="0.2">
      <c r="B40" s="40"/>
      <c r="C40" s="41"/>
    </row>
    <row r="41" spans="2:3" ht="16.5" customHeight="1" x14ac:dyDescent="0.2">
      <c r="B41" s="40"/>
      <c r="C41" s="41"/>
    </row>
    <row r="42" spans="2:3" ht="16.5" customHeight="1" x14ac:dyDescent="0.2">
      <c r="B42" s="40"/>
      <c r="C42" s="41"/>
    </row>
    <row r="43" spans="2:3" ht="16.5" customHeight="1" x14ac:dyDescent="0.2">
      <c r="B43" s="40"/>
      <c r="C43" s="41"/>
    </row>
    <row r="44" spans="2:3" ht="16.5" customHeight="1" x14ac:dyDescent="0.2">
      <c r="B44" s="40"/>
      <c r="C44" s="41"/>
    </row>
    <row r="45" spans="2:3" ht="16.5" customHeight="1" x14ac:dyDescent="0.2">
      <c r="B45" s="40"/>
      <c r="C45" s="41"/>
    </row>
    <row r="46" spans="2:3" ht="16.5" customHeight="1" x14ac:dyDescent="0.2">
      <c r="B46" s="40"/>
      <c r="C46" s="41"/>
    </row>
    <row r="47" spans="2:3" ht="16.5" customHeight="1" x14ac:dyDescent="0.2">
      <c r="B47" s="40"/>
      <c r="C47" s="41"/>
    </row>
    <row r="48" spans="2:3" ht="16.5" customHeight="1" x14ac:dyDescent="0.2">
      <c r="B48" s="40"/>
      <c r="C48" s="41"/>
    </row>
    <row r="49" spans="2:3" ht="16.5" customHeight="1" x14ac:dyDescent="0.2">
      <c r="B49" s="40"/>
      <c r="C49" s="41"/>
    </row>
    <row r="50" spans="2:3" ht="16.5" customHeight="1" x14ac:dyDescent="0.2">
      <c r="B50" s="40"/>
      <c r="C50" s="41"/>
    </row>
    <row r="51" spans="2:3" ht="16.5" customHeight="1" x14ac:dyDescent="0.2">
      <c r="B51" s="40"/>
      <c r="C51" s="41"/>
    </row>
    <row r="52" spans="2:3" ht="16.5" customHeight="1" x14ac:dyDescent="0.2">
      <c r="B52" s="40"/>
      <c r="C52" s="41"/>
    </row>
    <row r="53" spans="2:3" ht="16.5" customHeight="1" x14ac:dyDescent="0.2">
      <c r="B53" s="40"/>
      <c r="C53" s="41"/>
    </row>
    <row r="54" spans="2:3" ht="16.5" customHeight="1" x14ac:dyDescent="0.2">
      <c r="B54" s="40"/>
      <c r="C54" s="41"/>
    </row>
    <row r="55" spans="2:3" ht="16.5" customHeight="1" x14ac:dyDescent="0.2">
      <c r="B55" s="40"/>
      <c r="C55" s="41"/>
    </row>
    <row r="56" spans="2:3" ht="16.5" customHeight="1" x14ac:dyDescent="0.2">
      <c r="B56" s="40"/>
      <c r="C56" s="41"/>
    </row>
    <row r="57" spans="2:3" ht="16.5" customHeight="1" x14ac:dyDescent="0.2">
      <c r="B57" s="40"/>
      <c r="C57" s="41"/>
    </row>
    <row r="58" spans="2:3" ht="16.5" customHeight="1" x14ac:dyDescent="0.2">
      <c r="B58" s="40"/>
      <c r="C58" s="41"/>
    </row>
    <row r="59" spans="2:3" ht="16.5" customHeight="1" x14ac:dyDescent="0.2">
      <c r="B59" s="40"/>
      <c r="C59" s="41"/>
    </row>
    <row r="60" spans="2:3" ht="16.5" customHeight="1" x14ac:dyDescent="0.2">
      <c r="B60" s="40"/>
      <c r="C60" s="41"/>
    </row>
    <row r="61" spans="2:3" ht="16.5" customHeight="1" x14ac:dyDescent="0.2">
      <c r="B61" s="40"/>
      <c r="C61" s="41"/>
    </row>
    <row r="62" spans="2:3" ht="16.5" customHeight="1" x14ac:dyDescent="0.2">
      <c r="B62" s="40"/>
      <c r="C62" s="41"/>
    </row>
    <row r="63" spans="2:3" ht="16.5" customHeight="1" x14ac:dyDescent="0.2">
      <c r="B63" s="40"/>
      <c r="C63" s="41"/>
    </row>
    <row r="64" spans="2:3" ht="16.5" customHeight="1" x14ac:dyDescent="0.2">
      <c r="B64" s="40"/>
      <c r="C64" s="41"/>
    </row>
    <row r="65" spans="2:3" ht="16.5" customHeight="1" x14ac:dyDescent="0.2">
      <c r="B65" s="40"/>
      <c r="C65" s="41"/>
    </row>
    <row r="66" spans="2:3" ht="16.5" customHeight="1" x14ac:dyDescent="0.2">
      <c r="B66" s="40"/>
      <c r="C66" s="41"/>
    </row>
    <row r="67" spans="2:3" ht="16.5" customHeight="1" x14ac:dyDescent="0.2">
      <c r="B67" s="40"/>
      <c r="C67" s="41"/>
    </row>
    <row r="68" spans="2:3" ht="16.5" customHeight="1" x14ac:dyDescent="0.2">
      <c r="B68" s="40"/>
      <c r="C68" s="41"/>
    </row>
    <row r="69" spans="2:3" ht="16.5" customHeight="1" x14ac:dyDescent="0.2">
      <c r="B69" s="40"/>
      <c r="C69" s="41"/>
    </row>
    <row r="70" spans="2:3" ht="16.5" customHeight="1" x14ac:dyDescent="0.2">
      <c r="B70" s="40"/>
      <c r="C70" s="41"/>
    </row>
    <row r="71" spans="2:3" ht="16.5" customHeight="1" x14ac:dyDescent="0.2">
      <c r="B71" s="40"/>
      <c r="C71" s="41"/>
    </row>
    <row r="72" spans="2:3" ht="16.5" customHeight="1" x14ac:dyDescent="0.2">
      <c r="B72" s="40"/>
      <c r="C72" s="41"/>
    </row>
    <row r="73" spans="2:3" ht="16.5" customHeight="1" x14ac:dyDescent="0.2">
      <c r="B73" s="40"/>
      <c r="C73" s="41"/>
    </row>
    <row r="74" spans="2:3" ht="16.5" customHeight="1" x14ac:dyDescent="0.2">
      <c r="B74" s="40"/>
      <c r="C74" s="41"/>
    </row>
    <row r="75" spans="2:3" ht="16.5" customHeight="1" x14ac:dyDescent="0.2">
      <c r="B75" s="40"/>
      <c r="C75" s="41"/>
    </row>
    <row r="76" spans="2:3" ht="16.5" customHeight="1" x14ac:dyDescent="0.2">
      <c r="B76" s="40"/>
      <c r="C76" s="41"/>
    </row>
    <row r="77" spans="2:3" ht="16.5" customHeight="1" x14ac:dyDescent="0.2">
      <c r="B77" s="40"/>
      <c r="C77" s="41"/>
    </row>
    <row r="78" spans="2:3" ht="16.5" customHeight="1" x14ac:dyDescent="0.2">
      <c r="B78" s="40"/>
      <c r="C78" s="41"/>
    </row>
    <row r="79" spans="2:3" ht="16.5" customHeight="1" x14ac:dyDescent="0.2">
      <c r="B79" s="40"/>
      <c r="C79" s="41"/>
    </row>
    <row r="80" spans="2:3" ht="16.5" customHeight="1" x14ac:dyDescent="0.2">
      <c r="B80" s="40"/>
      <c r="C80" s="41"/>
    </row>
    <row r="81" spans="2:3" ht="16.5" customHeight="1" x14ac:dyDescent="0.2">
      <c r="B81" s="40"/>
      <c r="C81" s="41"/>
    </row>
    <row r="82" spans="2:3" ht="16.5" customHeight="1" x14ac:dyDescent="0.2">
      <c r="B82" s="40"/>
      <c r="C82" s="41"/>
    </row>
    <row r="83" spans="2:3" ht="16.5" customHeight="1" x14ac:dyDescent="0.2">
      <c r="B83" s="40"/>
      <c r="C83" s="41"/>
    </row>
    <row r="84" spans="2:3" ht="16.5" customHeight="1" x14ac:dyDescent="0.2">
      <c r="B84" s="40"/>
      <c r="C84" s="41"/>
    </row>
    <row r="85" spans="2:3" ht="16.5" customHeight="1" x14ac:dyDescent="0.2">
      <c r="B85" s="40"/>
      <c r="C85" s="41"/>
    </row>
    <row r="86" spans="2:3" ht="16.5" customHeight="1" x14ac:dyDescent="0.2">
      <c r="B86" s="40"/>
      <c r="C86" s="41"/>
    </row>
    <row r="87" spans="2:3" ht="16.5" customHeight="1" x14ac:dyDescent="0.2">
      <c r="B87" s="40"/>
      <c r="C87" s="41"/>
    </row>
    <row r="88" spans="2:3" ht="16.5" customHeight="1" x14ac:dyDescent="0.2">
      <c r="B88" s="40"/>
      <c r="C88" s="41"/>
    </row>
    <row r="89" spans="2:3" ht="16.5" customHeight="1" x14ac:dyDescent="0.2">
      <c r="B89" s="40"/>
      <c r="C89" s="41"/>
    </row>
    <row r="90" spans="2:3" ht="16.5" customHeight="1" x14ac:dyDescent="0.2">
      <c r="B90" s="40"/>
      <c r="C90" s="41"/>
    </row>
    <row r="91" spans="2:3" ht="16.5" customHeight="1" x14ac:dyDescent="0.2">
      <c r="B91" s="40"/>
      <c r="C91" s="41"/>
    </row>
    <row r="92" spans="2:3" ht="16.5" customHeight="1" x14ac:dyDescent="0.2">
      <c r="B92" s="40"/>
      <c r="C92" s="41"/>
    </row>
    <row r="93" spans="2:3" ht="16.5" customHeight="1" x14ac:dyDescent="0.2">
      <c r="B93" s="40"/>
      <c r="C93" s="41"/>
    </row>
    <row r="94" spans="2:3" ht="16.5" customHeight="1" x14ac:dyDescent="0.2">
      <c r="B94" s="40"/>
      <c r="C94" s="41"/>
    </row>
    <row r="95" spans="2:3" ht="16.5" customHeight="1" x14ac:dyDescent="0.2">
      <c r="B95" s="40"/>
      <c r="C95" s="41"/>
    </row>
    <row r="96" spans="2:3" ht="16.5" customHeight="1" x14ac:dyDescent="0.2">
      <c r="B96" s="40"/>
      <c r="C96" s="41"/>
    </row>
    <row r="97" spans="2:3" ht="16.5" customHeight="1" x14ac:dyDescent="0.2">
      <c r="B97" s="40"/>
      <c r="C97" s="41"/>
    </row>
    <row r="98" spans="2:3" ht="16.5" customHeight="1" x14ac:dyDescent="0.2">
      <c r="B98" s="40"/>
      <c r="C98" s="41"/>
    </row>
    <row r="99" spans="2:3" ht="16.5" customHeight="1" x14ac:dyDescent="0.2">
      <c r="B99" s="40"/>
      <c r="C99" s="41"/>
    </row>
    <row r="100" spans="2:3" ht="16.5" customHeight="1" x14ac:dyDescent="0.2">
      <c r="B100" s="40"/>
      <c r="C100" s="41"/>
    </row>
    <row r="101" spans="2:3" ht="16.5" customHeight="1" x14ac:dyDescent="0.2">
      <c r="B101" s="40"/>
      <c r="C101" s="41"/>
    </row>
    <row r="102" spans="2:3" ht="16.5" customHeight="1" x14ac:dyDescent="0.2">
      <c r="B102" s="40"/>
      <c r="C102" s="41"/>
    </row>
    <row r="103" spans="2:3" ht="16.5" customHeight="1" x14ac:dyDescent="0.2">
      <c r="B103" s="40"/>
      <c r="C103" s="41"/>
    </row>
    <row r="104" spans="2:3" ht="16.5" customHeight="1" x14ac:dyDescent="0.2">
      <c r="B104" s="40"/>
      <c r="C104" s="41"/>
    </row>
    <row r="105" spans="2:3" ht="16.5" customHeight="1" x14ac:dyDescent="0.2">
      <c r="B105" s="40"/>
      <c r="C105" s="41"/>
    </row>
    <row r="106" spans="2:3" ht="16.5" customHeight="1" x14ac:dyDescent="0.2">
      <c r="B106" s="40"/>
      <c r="C106" s="41"/>
    </row>
    <row r="107" spans="2:3" ht="16.5" customHeight="1" x14ac:dyDescent="0.2">
      <c r="B107" s="40"/>
      <c r="C107" s="41"/>
    </row>
    <row r="108" spans="2:3" ht="16.5" customHeight="1" x14ac:dyDescent="0.2">
      <c r="B108" s="40"/>
      <c r="C108" s="41"/>
    </row>
    <row r="109" spans="2:3" ht="16.5" customHeight="1" x14ac:dyDescent="0.2">
      <c r="B109" s="40"/>
      <c r="C109" s="41"/>
    </row>
    <row r="110" spans="2:3" ht="16.5" customHeight="1" x14ac:dyDescent="0.2">
      <c r="B110" s="40"/>
      <c r="C110" s="41"/>
    </row>
    <row r="111" spans="2:3" ht="16.5" customHeight="1" x14ac:dyDescent="0.2">
      <c r="B111" s="40"/>
      <c r="C111" s="41"/>
    </row>
    <row r="112" spans="2:3" ht="16.5" customHeight="1" x14ac:dyDescent="0.2">
      <c r="B112" s="40"/>
      <c r="C112" s="41"/>
    </row>
    <row r="113" spans="2:3" ht="16.5" customHeight="1" x14ac:dyDescent="0.2">
      <c r="B113" s="40"/>
      <c r="C113" s="41"/>
    </row>
    <row r="114" spans="2:3" ht="16.5" customHeight="1" x14ac:dyDescent="0.2">
      <c r="B114" s="40"/>
      <c r="C114" s="41"/>
    </row>
    <row r="115" spans="2:3" ht="16.5" customHeight="1" x14ac:dyDescent="0.2">
      <c r="B115" s="40"/>
      <c r="C115" s="41"/>
    </row>
    <row r="116" spans="2:3" ht="16.5" customHeight="1" x14ac:dyDescent="0.2">
      <c r="B116" s="40"/>
      <c r="C116" s="41"/>
    </row>
    <row r="117" spans="2:3" ht="16.5" customHeight="1" x14ac:dyDescent="0.2">
      <c r="B117" s="40"/>
      <c r="C117" s="41"/>
    </row>
    <row r="118" spans="2:3" ht="16.5" customHeight="1" x14ac:dyDescent="0.2">
      <c r="B118" s="40"/>
      <c r="C118" s="41"/>
    </row>
    <row r="119" spans="2:3" ht="16.5" customHeight="1" x14ac:dyDescent="0.2">
      <c r="B119" s="40"/>
      <c r="C119" s="41"/>
    </row>
    <row r="120" spans="2:3" ht="16.5" customHeight="1" x14ac:dyDescent="0.2">
      <c r="B120" s="40"/>
      <c r="C120" s="41"/>
    </row>
    <row r="121" spans="2:3" ht="16.5" customHeight="1" x14ac:dyDescent="0.2">
      <c r="B121" s="40"/>
      <c r="C121" s="41"/>
    </row>
    <row r="122" spans="2:3" ht="16.5" customHeight="1" x14ac:dyDescent="0.2">
      <c r="B122" s="40"/>
      <c r="C122" s="41"/>
    </row>
    <row r="123" spans="2:3" ht="16.5" customHeight="1" x14ac:dyDescent="0.2">
      <c r="B123" s="40"/>
      <c r="C123" s="41"/>
    </row>
    <row r="124" spans="2:3" ht="16.5" customHeight="1" x14ac:dyDescent="0.2">
      <c r="B124" s="40"/>
      <c r="C124" s="41"/>
    </row>
    <row r="125" spans="2:3" ht="16.5" customHeight="1" x14ac:dyDescent="0.2">
      <c r="B125" s="40"/>
      <c r="C125" s="41"/>
    </row>
    <row r="126" spans="2:3" ht="16.5" customHeight="1" x14ac:dyDescent="0.2">
      <c r="B126" s="40"/>
      <c r="C126" s="41"/>
    </row>
    <row r="127" spans="2:3" ht="16.5" customHeight="1" x14ac:dyDescent="0.2">
      <c r="B127" s="40"/>
      <c r="C127" s="41"/>
    </row>
    <row r="128" spans="2:3" ht="16.5" customHeight="1" x14ac:dyDescent="0.2">
      <c r="B128" s="40"/>
      <c r="C128" s="41"/>
    </row>
    <row r="129" spans="2:3" ht="16.5" customHeight="1" x14ac:dyDescent="0.2">
      <c r="B129" s="40"/>
      <c r="C129" s="41"/>
    </row>
    <row r="130" spans="2:3" ht="16.5" customHeight="1" x14ac:dyDescent="0.2">
      <c r="B130" s="40"/>
      <c r="C130" s="41"/>
    </row>
    <row r="131" spans="2:3" ht="16.5" customHeight="1" x14ac:dyDescent="0.2">
      <c r="B131" s="40"/>
      <c r="C131" s="41"/>
    </row>
    <row r="132" spans="2:3" ht="16.5" customHeight="1" x14ac:dyDescent="0.2">
      <c r="B132" s="40"/>
      <c r="C132" s="41"/>
    </row>
    <row r="133" spans="2:3" ht="16.5" customHeight="1" x14ac:dyDescent="0.2">
      <c r="B133" s="40"/>
      <c r="C133" s="41"/>
    </row>
    <row r="134" spans="2:3" ht="16.5" customHeight="1" x14ac:dyDescent="0.2">
      <c r="B134" s="40"/>
      <c r="C134" s="41"/>
    </row>
    <row r="135" spans="2:3" ht="16.5" customHeight="1" x14ac:dyDescent="0.2">
      <c r="B135" s="40"/>
      <c r="C135" s="41"/>
    </row>
    <row r="136" spans="2:3" ht="16.5" customHeight="1" x14ac:dyDescent="0.2">
      <c r="B136" s="40"/>
      <c r="C136" s="41"/>
    </row>
    <row r="137" spans="2:3" ht="16.5" customHeight="1" x14ac:dyDescent="0.2">
      <c r="B137" s="40"/>
      <c r="C137" s="41"/>
    </row>
    <row r="138" spans="2:3" ht="16.5" customHeight="1" x14ac:dyDescent="0.2">
      <c r="B138" s="40"/>
      <c r="C138" s="41"/>
    </row>
    <row r="139" spans="2:3" ht="16.5" customHeight="1" x14ac:dyDescent="0.2">
      <c r="B139" s="40"/>
      <c r="C139" s="41"/>
    </row>
    <row r="140" spans="2:3" ht="16.5" customHeight="1" x14ac:dyDescent="0.2">
      <c r="B140" s="40"/>
      <c r="C140" s="41"/>
    </row>
    <row r="141" spans="2:3" ht="16.5" customHeight="1" x14ac:dyDescent="0.2">
      <c r="B141" s="40"/>
      <c r="C141" s="41"/>
    </row>
    <row r="142" spans="2:3" ht="16.5" customHeight="1" x14ac:dyDescent="0.2">
      <c r="B142" s="40"/>
      <c r="C142" s="41"/>
    </row>
    <row r="143" spans="2:3" ht="16.5" customHeight="1" x14ac:dyDescent="0.2">
      <c r="B143" s="40"/>
      <c r="C143" s="41"/>
    </row>
    <row r="144" spans="2:3" ht="16.5" customHeight="1" x14ac:dyDescent="0.2">
      <c r="B144" s="40"/>
      <c r="C144" s="41"/>
    </row>
    <row r="145" spans="2:3" ht="16.5" customHeight="1" x14ac:dyDescent="0.2">
      <c r="B145" s="40"/>
      <c r="C145" s="41"/>
    </row>
    <row r="146" spans="2:3" ht="16.5" customHeight="1" x14ac:dyDescent="0.2">
      <c r="B146" s="40"/>
      <c r="C146" s="41"/>
    </row>
    <row r="147" spans="2:3" ht="16.5" customHeight="1" x14ac:dyDescent="0.2">
      <c r="B147" s="40"/>
      <c r="C147" s="41"/>
    </row>
    <row r="148" spans="2:3" ht="16.5" customHeight="1" x14ac:dyDescent="0.2">
      <c r="B148" s="40"/>
      <c r="C148" s="41"/>
    </row>
    <row r="149" spans="2:3" ht="16.5" customHeight="1" x14ac:dyDescent="0.2">
      <c r="B149" s="40"/>
      <c r="C149" s="41"/>
    </row>
    <row r="150" spans="2:3" ht="16.5" customHeight="1" x14ac:dyDescent="0.2">
      <c r="B150" s="40"/>
      <c r="C150" s="41"/>
    </row>
    <row r="151" spans="2:3" ht="16.5" customHeight="1" x14ac:dyDescent="0.2">
      <c r="B151" s="40"/>
      <c r="C151" s="41"/>
    </row>
    <row r="152" spans="2:3" ht="16.5" customHeight="1" x14ac:dyDescent="0.2">
      <c r="B152" s="40"/>
      <c r="C152" s="41"/>
    </row>
    <row r="153" spans="2:3" ht="16.5" customHeight="1" x14ac:dyDescent="0.2">
      <c r="B153" s="40"/>
      <c r="C153" s="41"/>
    </row>
    <row r="154" spans="2:3" ht="16.5" customHeight="1" x14ac:dyDescent="0.2">
      <c r="B154" s="40"/>
      <c r="C154" s="41"/>
    </row>
    <row r="155" spans="2:3" ht="16.5" customHeight="1" x14ac:dyDescent="0.2">
      <c r="B155" s="40"/>
      <c r="C155" s="41"/>
    </row>
    <row r="156" spans="2:3" ht="16.5" customHeight="1" x14ac:dyDescent="0.2">
      <c r="B156" s="40"/>
      <c r="C156" s="41"/>
    </row>
    <row r="157" spans="2:3" ht="16.5" customHeight="1" x14ac:dyDescent="0.2">
      <c r="B157" s="40"/>
      <c r="C157" s="41"/>
    </row>
    <row r="158" spans="2:3" ht="16.5" customHeight="1" x14ac:dyDescent="0.2">
      <c r="B158" s="40"/>
      <c r="C158" s="41"/>
    </row>
    <row r="159" spans="2:3" ht="16.5" customHeight="1" x14ac:dyDescent="0.2">
      <c r="B159" s="40"/>
      <c r="C159" s="41"/>
    </row>
    <row r="160" spans="2:3" ht="16.5" customHeight="1" x14ac:dyDescent="0.2">
      <c r="B160" s="40"/>
      <c r="C160" s="41"/>
    </row>
    <row r="161" spans="2:3" ht="16.5" customHeight="1" x14ac:dyDescent="0.2">
      <c r="B161" s="40"/>
      <c r="C161" s="41"/>
    </row>
    <row r="162" spans="2:3" ht="16.5" customHeight="1" x14ac:dyDescent="0.2">
      <c r="B162" s="40"/>
      <c r="C162" s="41"/>
    </row>
    <row r="163" spans="2:3" ht="16.5" customHeight="1" x14ac:dyDescent="0.2">
      <c r="B163" s="40"/>
      <c r="C163" s="41"/>
    </row>
    <row r="164" spans="2:3" ht="16.5" customHeight="1" x14ac:dyDescent="0.2">
      <c r="B164" s="40"/>
      <c r="C164" s="41"/>
    </row>
    <row r="165" spans="2:3" ht="16.5" customHeight="1" x14ac:dyDescent="0.2">
      <c r="B165" s="40"/>
      <c r="C165" s="41"/>
    </row>
    <row r="166" spans="2:3" ht="16.5" customHeight="1" x14ac:dyDescent="0.2">
      <c r="B166" s="40"/>
      <c r="C166" s="41"/>
    </row>
    <row r="167" spans="2:3" ht="16.5" customHeight="1" x14ac:dyDescent="0.2">
      <c r="B167" s="40"/>
      <c r="C167" s="41"/>
    </row>
    <row r="168" spans="2:3" ht="16.5" customHeight="1" x14ac:dyDescent="0.2">
      <c r="B168" s="40"/>
      <c r="C168" s="41"/>
    </row>
    <row r="169" spans="2:3" ht="16.5" customHeight="1" x14ac:dyDescent="0.2">
      <c r="B169" s="40"/>
      <c r="C169" s="41"/>
    </row>
    <row r="170" spans="2:3" ht="16.5" customHeight="1" x14ac:dyDescent="0.2">
      <c r="B170" s="40"/>
      <c r="C170" s="41"/>
    </row>
    <row r="171" spans="2:3" ht="16.5" customHeight="1" x14ac:dyDescent="0.2">
      <c r="B171" s="40"/>
      <c r="C171" s="41"/>
    </row>
    <row r="172" spans="2:3" ht="16.5" customHeight="1" x14ac:dyDescent="0.2">
      <c r="B172" s="40"/>
      <c r="C172" s="41"/>
    </row>
    <row r="173" spans="2:3" ht="16.5" customHeight="1" x14ac:dyDescent="0.2">
      <c r="B173" s="40"/>
      <c r="C173" s="41"/>
    </row>
    <row r="174" spans="2:3" ht="16.5" customHeight="1" x14ac:dyDescent="0.2">
      <c r="B174" s="40"/>
      <c r="C174" s="41"/>
    </row>
    <row r="175" spans="2:3" ht="16.5" customHeight="1" x14ac:dyDescent="0.2">
      <c r="B175" s="40"/>
      <c r="C175" s="41"/>
    </row>
    <row r="176" spans="2:3" ht="16.5" customHeight="1" x14ac:dyDescent="0.2">
      <c r="B176" s="40"/>
      <c r="C176" s="41"/>
    </row>
    <row r="177" spans="2:3" ht="16.5" customHeight="1" x14ac:dyDescent="0.2">
      <c r="B177" s="40"/>
      <c r="C177" s="41"/>
    </row>
    <row r="178" spans="2:3" ht="16.5" customHeight="1" x14ac:dyDescent="0.2">
      <c r="B178" s="40"/>
      <c r="C178" s="41"/>
    </row>
    <row r="179" spans="2:3" ht="16.5" customHeight="1" x14ac:dyDescent="0.2">
      <c r="B179" s="40"/>
      <c r="C179" s="41"/>
    </row>
    <row r="180" spans="2:3" ht="16.5" customHeight="1" x14ac:dyDescent="0.2">
      <c r="B180" s="40"/>
      <c r="C180" s="41"/>
    </row>
    <row r="181" spans="2:3" ht="16.5" customHeight="1" x14ac:dyDescent="0.2">
      <c r="B181" s="40"/>
      <c r="C181" s="41"/>
    </row>
    <row r="182" spans="2:3" ht="16.5" customHeight="1" x14ac:dyDescent="0.2">
      <c r="B182" s="40"/>
      <c r="C182" s="41"/>
    </row>
    <row r="183" spans="2:3" ht="16.5" customHeight="1" x14ac:dyDescent="0.2">
      <c r="B183" s="40"/>
      <c r="C183" s="41"/>
    </row>
    <row r="184" spans="2:3" ht="16.5" customHeight="1" x14ac:dyDescent="0.2">
      <c r="B184" s="40"/>
      <c r="C184" s="41"/>
    </row>
    <row r="185" spans="2:3" ht="16.5" customHeight="1" x14ac:dyDescent="0.2">
      <c r="B185" s="40"/>
      <c r="C185" s="41"/>
    </row>
    <row r="186" spans="2:3" ht="16.5" customHeight="1" x14ac:dyDescent="0.2">
      <c r="B186" s="40"/>
      <c r="C186" s="41"/>
    </row>
    <row r="187" spans="2:3" ht="16.5" customHeight="1" x14ac:dyDescent="0.2">
      <c r="B187" s="40"/>
      <c r="C187" s="41"/>
    </row>
    <row r="188" spans="2:3" ht="16.5" customHeight="1" x14ac:dyDescent="0.2">
      <c r="B188" s="40"/>
      <c r="C188" s="41"/>
    </row>
    <row r="189" spans="2:3" ht="16.5" customHeight="1" x14ac:dyDescent="0.2">
      <c r="B189" s="40"/>
      <c r="C189" s="41"/>
    </row>
    <row r="190" spans="2:3" ht="16.5" customHeight="1" x14ac:dyDescent="0.2">
      <c r="B190" s="40"/>
      <c r="C190" s="41"/>
    </row>
    <row r="191" spans="2:3" ht="16.5" customHeight="1" x14ac:dyDescent="0.2">
      <c r="B191" s="40"/>
      <c r="C191" s="41"/>
    </row>
    <row r="192" spans="2:3" ht="16.5" customHeight="1" x14ac:dyDescent="0.2">
      <c r="B192" s="40"/>
      <c r="C192" s="41"/>
    </row>
    <row r="193" spans="2:3" ht="16.5" customHeight="1" x14ac:dyDescent="0.2">
      <c r="B193" s="40"/>
      <c r="C193" s="41"/>
    </row>
    <row r="194" spans="2:3" ht="16.5" customHeight="1" x14ac:dyDescent="0.2">
      <c r="B194" s="40"/>
      <c r="C194" s="41"/>
    </row>
    <row r="195" spans="2:3" ht="16.5" customHeight="1" x14ac:dyDescent="0.2">
      <c r="B195" s="40"/>
      <c r="C195" s="41"/>
    </row>
    <row r="196" spans="2:3" ht="16.5" customHeight="1" x14ac:dyDescent="0.2">
      <c r="B196" s="40"/>
      <c r="C196" s="41"/>
    </row>
    <row r="197" spans="2:3" ht="16.5" customHeight="1" x14ac:dyDescent="0.2">
      <c r="B197" s="40"/>
      <c r="C197" s="41"/>
    </row>
    <row r="198" spans="2:3" ht="16.5" customHeight="1" x14ac:dyDescent="0.2">
      <c r="B198" s="40"/>
      <c r="C198" s="41"/>
    </row>
    <row r="199" spans="2:3" ht="16.5" customHeight="1" x14ac:dyDescent="0.2">
      <c r="B199" s="40"/>
      <c r="C199" s="41"/>
    </row>
    <row r="200" spans="2:3" ht="16.5" customHeight="1" x14ac:dyDescent="0.2">
      <c r="B200" s="40"/>
      <c r="C200" s="41"/>
    </row>
    <row r="201" spans="2:3" ht="16.5" customHeight="1" x14ac:dyDescent="0.2">
      <c r="B201" s="40"/>
      <c r="C201" s="41"/>
    </row>
    <row r="202" spans="2:3" ht="16.5" customHeight="1" x14ac:dyDescent="0.2">
      <c r="B202" s="40"/>
      <c r="C202" s="41"/>
    </row>
    <row r="203" spans="2:3" ht="16.5" customHeight="1" x14ac:dyDescent="0.2">
      <c r="B203" s="40"/>
      <c r="C203" s="41"/>
    </row>
    <row r="204" spans="2:3" ht="16.5" customHeight="1" x14ac:dyDescent="0.2">
      <c r="B204" s="40"/>
      <c r="C204" s="41"/>
    </row>
    <row r="205" spans="2:3" ht="16.5" customHeight="1" x14ac:dyDescent="0.2">
      <c r="B205" s="40"/>
      <c r="C205" s="41"/>
    </row>
    <row r="206" spans="2:3" ht="16.5" customHeight="1" x14ac:dyDescent="0.2">
      <c r="B206" s="40"/>
      <c r="C206" s="41"/>
    </row>
    <row r="207" spans="2:3" ht="16.5" customHeight="1" x14ac:dyDescent="0.2">
      <c r="B207" s="40"/>
      <c r="C207" s="41"/>
    </row>
    <row r="208" spans="2:3" ht="16.5" customHeight="1" x14ac:dyDescent="0.2">
      <c r="B208" s="40"/>
      <c r="C208" s="41"/>
    </row>
    <row r="209" spans="2:3" ht="16.5" customHeight="1" x14ac:dyDescent="0.2">
      <c r="B209" s="40"/>
      <c r="C209" s="41"/>
    </row>
    <row r="210" spans="2:3" ht="16.5" customHeight="1" x14ac:dyDescent="0.2">
      <c r="B210" s="40"/>
      <c r="C210" s="41"/>
    </row>
    <row r="211" spans="2:3" ht="16.5" customHeight="1" x14ac:dyDescent="0.2">
      <c r="B211" s="40"/>
      <c r="C211" s="41"/>
    </row>
    <row r="212" spans="2:3" ht="16.5" customHeight="1" x14ac:dyDescent="0.2">
      <c r="B212" s="40"/>
      <c r="C212" s="41"/>
    </row>
    <row r="213" spans="2:3" ht="16.5" customHeight="1" x14ac:dyDescent="0.2">
      <c r="B213" s="40"/>
      <c r="C213" s="41"/>
    </row>
    <row r="214" spans="2:3" ht="16.5" customHeight="1" x14ac:dyDescent="0.2">
      <c r="B214" s="40"/>
      <c r="C214" s="41"/>
    </row>
    <row r="215" spans="2:3" ht="16.5" customHeight="1" x14ac:dyDescent="0.2">
      <c r="B215" s="40"/>
      <c r="C215" s="41"/>
    </row>
    <row r="216" spans="2:3" ht="16.5" customHeight="1" x14ac:dyDescent="0.2">
      <c r="B216" s="40"/>
      <c r="C216" s="41"/>
    </row>
    <row r="217" spans="2:3" ht="16.5" customHeight="1" x14ac:dyDescent="0.2">
      <c r="B217" s="40"/>
      <c r="C217" s="41"/>
    </row>
    <row r="218" spans="2:3" ht="16.5" customHeight="1" x14ac:dyDescent="0.2">
      <c r="B218" s="40"/>
      <c r="C218" s="41"/>
    </row>
    <row r="219" spans="2:3" ht="16.5" customHeight="1" x14ac:dyDescent="0.2">
      <c r="B219" s="40"/>
      <c r="C219" s="41"/>
    </row>
    <row r="220" spans="2:3" ht="16.5" customHeight="1" x14ac:dyDescent="0.2">
      <c r="B220" s="40"/>
      <c r="C220" s="41"/>
    </row>
    <row r="221" spans="2:3" ht="16.5" customHeight="1" x14ac:dyDescent="0.2">
      <c r="B221" s="40"/>
      <c r="C221" s="41"/>
    </row>
    <row r="222" spans="2:3" ht="16.5" customHeight="1" x14ac:dyDescent="0.2">
      <c r="B222" s="40"/>
      <c r="C222" s="41"/>
    </row>
    <row r="223" spans="2:3" ht="16.5" customHeight="1" x14ac:dyDescent="0.2">
      <c r="B223" s="40"/>
      <c r="C223" s="41"/>
    </row>
    <row r="224" spans="2:3" ht="16.5" customHeight="1" x14ac:dyDescent="0.2">
      <c r="B224" s="40"/>
      <c r="C224" s="41"/>
    </row>
    <row r="225" spans="2:3" ht="16.5" customHeight="1" x14ac:dyDescent="0.2">
      <c r="B225" s="40"/>
      <c r="C225" s="41"/>
    </row>
    <row r="226" spans="2:3" ht="16.5" customHeight="1" x14ac:dyDescent="0.2">
      <c r="B226" s="40"/>
      <c r="C226" s="41"/>
    </row>
    <row r="227" spans="2:3" ht="16.5" customHeight="1" x14ac:dyDescent="0.2">
      <c r="B227" s="40"/>
      <c r="C227" s="41"/>
    </row>
    <row r="228" spans="2:3" ht="16.5" customHeight="1" x14ac:dyDescent="0.2">
      <c r="B228" s="40"/>
      <c r="C228" s="41"/>
    </row>
    <row r="229" spans="2:3" ht="16.5" customHeight="1" x14ac:dyDescent="0.2">
      <c r="B229" s="40"/>
      <c r="C229" s="41"/>
    </row>
    <row r="230" spans="2:3" ht="16.5" customHeight="1" x14ac:dyDescent="0.2">
      <c r="B230" s="40"/>
      <c r="C230" s="41"/>
    </row>
    <row r="231" spans="2:3" ht="16.5" customHeight="1" x14ac:dyDescent="0.2">
      <c r="B231" s="40"/>
      <c r="C231" s="41"/>
    </row>
    <row r="232" spans="2:3" ht="16.5" customHeight="1" x14ac:dyDescent="0.2">
      <c r="B232" s="40"/>
      <c r="C232" s="41"/>
    </row>
    <row r="233" spans="2:3" ht="16.5" customHeight="1" x14ac:dyDescent="0.2">
      <c r="B233" s="40"/>
      <c r="C233" s="41"/>
    </row>
    <row r="234" spans="2:3" ht="16.5" customHeight="1" x14ac:dyDescent="0.2">
      <c r="B234" s="40"/>
      <c r="C234" s="41"/>
    </row>
    <row r="235" spans="2:3" ht="16.5" customHeight="1" x14ac:dyDescent="0.2">
      <c r="B235" s="40"/>
      <c r="C235" s="41"/>
    </row>
    <row r="236" spans="2:3" ht="16.5" customHeight="1" x14ac:dyDescent="0.2">
      <c r="B236" s="40"/>
      <c r="C236" s="41"/>
    </row>
    <row r="237" spans="2:3" ht="16.5" customHeight="1" x14ac:dyDescent="0.2">
      <c r="B237" s="40"/>
      <c r="C237" s="41"/>
    </row>
    <row r="238" spans="2:3" ht="16.5" customHeight="1" x14ac:dyDescent="0.2">
      <c r="B238" s="40"/>
      <c r="C238" s="41"/>
    </row>
    <row r="239" spans="2:3" ht="16.5" customHeight="1" x14ac:dyDescent="0.2">
      <c r="B239" s="40"/>
      <c r="C239" s="41"/>
    </row>
    <row r="240" spans="2:3" ht="16.5" customHeight="1" x14ac:dyDescent="0.2">
      <c r="B240" s="40"/>
      <c r="C240" s="41"/>
    </row>
    <row r="241" spans="2:3" ht="16.5" customHeight="1" x14ac:dyDescent="0.2">
      <c r="B241" s="40"/>
      <c r="C241" s="41"/>
    </row>
    <row r="242" spans="2:3" ht="16.5" customHeight="1" x14ac:dyDescent="0.2">
      <c r="B242" s="40"/>
      <c r="C242" s="41"/>
    </row>
    <row r="243" spans="2:3" ht="16.5" customHeight="1" x14ac:dyDescent="0.2">
      <c r="B243" s="40"/>
      <c r="C243" s="41"/>
    </row>
    <row r="244" spans="2:3" ht="16.5" customHeight="1" x14ac:dyDescent="0.2">
      <c r="B244" s="40"/>
      <c r="C244" s="41"/>
    </row>
    <row r="245" spans="2:3" ht="16.5" customHeight="1" x14ac:dyDescent="0.2">
      <c r="B245" s="40"/>
      <c r="C245" s="41"/>
    </row>
    <row r="246" spans="2:3" ht="16.5" customHeight="1" x14ac:dyDescent="0.2">
      <c r="B246" s="40"/>
      <c r="C246" s="41"/>
    </row>
    <row r="247" spans="2:3" ht="16.5" customHeight="1" x14ac:dyDescent="0.2">
      <c r="B247" s="40"/>
      <c r="C247" s="41"/>
    </row>
    <row r="248" spans="2:3" ht="16.5" customHeight="1" x14ac:dyDescent="0.2">
      <c r="B248" s="40"/>
      <c r="C248" s="41"/>
    </row>
    <row r="249" spans="2:3" ht="16.5" customHeight="1" x14ac:dyDescent="0.2">
      <c r="B249" s="40"/>
      <c r="C249" s="41"/>
    </row>
    <row r="250" spans="2:3" ht="16.5" customHeight="1" x14ac:dyDescent="0.2">
      <c r="B250" s="40"/>
      <c r="C250" s="41"/>
    </row>
    <row r="251" spans="2:3" ht="16.5" customHeight="1" x14ac:dyDescent="0.2">
      <c r="B251" s="40"/>
      <c r="C251" s="41"/>
    </row>
    <row r="252" spans="2:3" ht="16.5" customHeight="1" x14ac:dyDescent="0.2">
      <c r="B252" s="40"/>
      <c r="C252" s="41"/>
    </row>
    <row r="253" spans="2:3" ht="16.5" customHeight="1" x14ac:dyDescent="0.2">
      <c r="B253" s="40"/>
      <c r="C253" s="41"/>
    </row>
    <row r="254" spans="2:3" ht="16.5" customHeight="1" x14ac:dyDescent="0.2">
      <c r="B254" s="40"/>
      <c r="C254" s="41"/>
    </row>
    <row r="255" spans="2:3" ht="16.5" customHeight="1" x14ac:dyDescent="0.2">
      <c r="B255" s="40"/>
      <c r="C255" s="41"/>
    </row>
    <row r="256" spans="2:3" ht="16.5" customHeight="1" x14ac:dyDescent="0.2">
      <c r="B256" s="40"/>
      <c r="C256" s="41"/>
    </row>
    <row r="257" spans="2:3" ht="16.5" customHeight="1" x14ac:dyDescent="0.2">
      <c r="B257" s="40"/>
      <c r="C257" s="41"/>
    </row>
    <row r="258" spans="2:3" ht="16.5" customHeight="1" x14ac:dyDescent="0.2">
      <c r="B258" s="40"/>
      <c r="C258" s="41"/>
    </row>
    <row r="259" spans="2:3" ht="16.5" customHeight="1" x14ac:dyDescent="0.2">
      <c r="B259" s="40"/>
      <c r="C259" s="41"/>
    </row>
    <row r="260" spans="2:3" ht="16.5" customHeight="1" x14ac:dyDescent="0.2">
      <c r="B260" s="40"/>
      <c r="C260" s="41"/>
    </row>
    <row r="261" spans="2:3" ht="16.5" customHeight="1" x14ac:dyDescent="0.2">
      <c r="B261" s="40"/>
      <c r="C261" s="41"/>
    </row>
    <row r="262" spans="2:3" ht="16.5" customHeight="1" x14ac:dyDescent="0.2">
      <c r="B262" s="40"/>
      <c r="C262" s="41"/>
    </row>
    <row r="263" spans="2:3" ht="16.5" customHeight="1" x14ac:dyDescent="0.2">
      <c r="B263" s="40"/>
      <c r="C263" s="41"/>
    </row>
    <row r="264" spans="2:3" ht="16.5" customHeight="1" x14ac:dyDescent="0.2">
      <c r="B264" s="40"/>
      <c r="C264" s="41"/>
    </row>
    <row r="265" spans="2:3" ht="16.5" customHeight="1" x14ac:dyDescent="0.2">
      <c r="B265" s="40"/>
      <c r="C265" s="41"/>
    </row>
    <row r="266" spans="2:3" ht="16.5" customHeight="1" x14ac:dyDescent="0.2">
      <c r="B266" s="40"/>
      <c r="C266" s="41"/>
    </row>
    <row r="267" spans="2:3" ht="16.5" customHeight="1" x14ac:dyDescent="0.2">
      <c r="B267" s="40"/>
      <c r="C267" s="41"/>
    </row>
    <row r="268" spans="2:3" ht="16.5" customHeight="1" x14ac:dyDescent="0.2">
      <c r="B268" s="40"/>
      <c r="C268" s="41"/>
    </row>
    <row r="269" spans="2:3" ht="16.5" customHeight="1" x14ac:dyDescent="0.2">
      <c r="B269" s="40"/>
      <c r="C269" s="41"/>
    </row>
    <row r="270" spans="2:3" ht="16.5" customHeight="1" x14ac:dyDescent="0.2">
      <c r="B270" s="40"/>
      <c r="C270" s="41"/>
    </row>
    <row r="271" spans="2:3" ht="16.5" customHeight="1" x14ac:dyDescent="0.2">
      <c r="B271" s="40"/>
      <c r="C271" s="41"/>
    </row>
    <row r="272" spans="2:3" ht="16.5" customHeight="1" x14ac:dyDescent="0.2">
      <c r="B272" s="40"/>
      <c r="C272" s="41"/>
    </row>
    <row r="273" spans="2:3" ht="16.5" customHeight="1" x14ac:dyDescent="0.2">
      <c r="B273" s="40"/>
      <c r="C273" s="41"/>
    </row>
    <row r="274" spans="2:3" ht="16.5" customHeight="1" x14ac:dyDescent="0.2">
      <c r="B274" s="40"/>
      <c r="C274" s="41"/>
    </row>
    <row r="275" spans="2:3" ht="16.5" customHeight="1" x14ac:dyDescent="0.2">
      <c r="B275" s="40"/>
      <c r="C275" s="41"/>
    </row>
    <row r="276" spans="2:3" ht="16.5" customHeight="1" x14ac:dyDescent="0.2">
      <c r="B276" s="40"/>
      <c r="C276" s="41"/>
    </row>
    <row r="277" spans="2:3" ht="16.5" customHeight="1" x14ac:dyDescent="0.2">
      <c r="B277" s="40"/>
      <c r="C277" s="41"/>
    </row>
    <row r="278" spans="2:3" ht="16.5" customHeight="1" x14ac:dyDescent="0.2">
      <c r="B278" s="40"/>
      <c r="C278" s="41"/>
    </row>
    <row r="279" spans="2:3" ht="16.5" customHeight="1" x14ac:dyDescent="0.2">
      <c r="B279" s="40"/>
      <c r="C279" s="41"/>
    </row>
    <row r="280" spans="2:3" ht="16.5" customHeight="1" x14ac:dyDescent="0.2">
      <c r="B280" s="40"/>
      <c r="C280" s="41"/>
    </row>
    <row r="281" spans="2:3" ht="16.5" customHeight="1" x14ac:dyDescent="0.2">
      <c r="B281" s="40"/>
      <c r="C281" s="41"/>
    </row>
    <row r="282" spans="2:3" ht="16.5" customHeight="1" x14ac:dyDescent="0.2">
      <c r="B282" s="40"/>
      <c r="C282" s="41"/>
    </row>
    <row r="283" spans="2:3" ht="16.5" customHeight="1" x14ac:dyDescent="0.2">
      <c r="B283" s="40"/>
      <c r="C283" s="41"/>
    </row>
    <row r="284" spans="2:3" ht="16.5" customHeight="1" x14ac:dyDescent="0.2">
      <c r="B284" s="40"/>
      <c r="C284" s="41"/>
    </row>
    <row r="285" spans="2:3" ht="16.5" customHeight="1" x14ac:dyDescent="0.2">
      <c r="B285" s="40"/>
      <c r="C285" s="41"/>
    </row>
    <row r="286" spans="2:3" ht="16.5" customHeight="1" x14ac:dyDescent="0.2">
      <c r="B286" s="40"/>
      <c r="C286" s="41"/>
    </row>
    <row r="287" spans="2:3" ht="16.5" customHeight="1" x14ac:dyDescent="0.2">
      <c r="B287" s="40"/>
      <c r="C287" s="41"/>
    </row>
    <row r="288" spans="2:3" ht="16.5" customHeight="1" x14ac:dyDescent="0.2">
      <c r="B288" s="40"/>
      <c r="C288" s="41"/>
    </row>
    <row r="289" spans="2:3" ht="16.5" customHeight="1" x14ac:dyDescent="0.2">
      <c r="B289" s="40"/>
      <c r="C289" s="41"/>
    </row>
    <row r="290" spans="2:3" ht="16.5" customHeight="1" x14ac:dyDescent="0.2">
      <c r="B290" s="40"/>
      <c r="C290" s="41"/>
    </row>
    <row r="291" spans="2:3" ht="16.5" customHeight="1" x14ac:dyDescent="0.2">
      <c r="B291" s="40"/>
      <c r="C291" s="41"/>
    </row>
    <row r="292" spans="2:3" ht="16.5" customHeight="1" x14ac:dyDescent="0.2">
      <c r="B292" s="40"/>
      <c r="C292" s="41"/>
    </row>
    <row r="293" spans="2:3" ht="16.5" customHeight="1" x14ac:dyDescent="0.2">
      <c r="B293" s="40"/>
      <c r="C293" s="41"/>
    </row>
    <row r="294" spans="2:3" ht="16.5" customHeight="1" x14ac:dyDescent="0.2">
      <c r="B294" s="40"/>
      <c r="C294" s="41"/>
    </row>
    <row r="295" spans="2:3" ht="16.5" customHeight="1" x14ac:dyDescent="0.2">
      <c r="B295" s="40"/>
      <c r="C295" s="41"/>
    </row>
    <row r="296" spans="2:3" ht="16.5" customHeight="1" x14ac:dyDescent="0.2">
      <c r="B296" s="40"/>
      <c r="C296" s="41"/>
    </row>
    <row r="297" spans="2:3" ht="16.5" customHeight="1" x14ac:dyDescent="0.2">
      <c r="B297" s="40"/>
      <c r="C297" s="41"/>
    </row>
    <row r="298" spans="2:3" ht="16.5" customHeight="1" x14ac:dyDescent="0.2">
      <c r="B298" s="40"/>
      <c r="C298" s="41"/>
    </row>
    <row r="299" spans="2:3" ht="16.5" customHeight="1" x14ac:dyDescent="0.2">
      <c r="B299" s="40"/>
      <c r="C299" s="41"/>
    </row>
    <row r="300" spans="2:3" ht="16.5" customHeight="1" x14ac:dyDescent="0.2">
      <c r="B300" s="40"/>
      <c r="C300" s="41"/>
    </row>
    <row r="301" spans="2:3" ht="16.5" customHeight="1" x14ac:dyDescent="0.2">
      <c r="B301" s="40"/>
      <c r="C301" s="41"/>
    </row>
    <row r="302" spans="2:3" ht="16.5" customHeight="1" x14ac:dyDescent="0.2">
      <c r="B302" s="40"/>
      <c r="C302" s="41"/>
    </row>
    <row r="303" spans="2:3" ht="16.5" customHeight="1" x14ac:dyDescent="0.2">
      <c r="B303" s="40"/>
      <c r="C303" s="41"/>
    </row>
    <row r="304" spans="2:3" ht="16.5" customHeight="1" x14ac:dyDescent="0.2">
      <c r="B304" s="40"/>
      <c r="C304" s="41"/>
    </row>
    <row r="305" spans="2:3" ht="16.5" customHeight="1" x14ac:dyDescent="0.2">
      <c r="B305" s="40"/>
      <c r="C305" s="41"/>
    </row>
    <row r="306" spans="2:3" ht="16.5" customHeight="1" x14ac:dyDescent="0.2">
      <c r="B306" s="40"/>
      <c r="C306" s="41"/>
    </row>
    <row r="307" spans="2:3" ht="16.5" customHeight="1" x14ac:dyDescent="0.2">
      <c r="B307" s="40"/>
      <c r="C307" s="41"/>
    </row>
    <row r="308" spans="2:3" ht="16.5" customHeight="1" x14ac:dyDescent="0.2">
      <c r="B308" s="40"/>
      <c r="C308" s="41"/>
    </row>
    <row r="309" spans="2:3" ht="16.5" customHeight="1" x14ac:dyDescent="0.2">
      <c r="B309" s="40"/>
      <c r="C309" s="41"/>
    </row>
    <row r="310" spans="2:3" ht="16.5" customHeight="1" x14ac:dyDescent="0.2">
      <c r="B310" s="40"/>
      <c r="C310" s="41"/>
    </row>
    <row r="311" spans="2:3" ht="16.5" customHeight="1" x14ac:dyDescent="0.2">
      <c r="B311" s="40"/>
      <c r="C311" s="41"/>
    </row>
    <row r="312" spans="2:3" ht="16.5" customHeight="1" x14ac:dyDescent="0.2">
      <c r="B312" s="40"/>
      <c r="C312" s="41"/>
    </row>
    <row r="313" spans="2:3" ht="16.5" customHeight="1" x14ac:dyDescent="0.2">
      <c r="B313" s="40"/>
      <c r="C313" s="41"/>
    </row>
    <row r="314" spans="2:3" ht="16.5" customHeight="1" x14ac:dyDescent="0.2">
      <c r="B314" s="40"/>
      <c r="C314" s="41"/>
    </row>
    <row r="315" spans="2:3" ht="16.5" customHeight="1" x14ac:dyDescent="0.2">
      <c r="B315" s="40"/>
      <c r="C315" s="41"/>
    </row>
    <row r="316" spans="2:3" ht="16.5" customHeight="1" x14ac:dyDescent="0.2">
      <c r="B316" s="40"/>
      <c r="C316" s="41"/>
    </row>
    <row r="317" spans="2:3" ht="16.5" customHeight="1" x14ac:dyDescent="0.2">
      <c r="B317" s="40"/>
      <c r="C317" s="41"/>
    </row>
    <row r="318" spans="2:3" ht="16.5" customHeight="1" x14ac:dyDescent="0.2">
      <c r="B318" s="40"/>
      <c r="C318" s="41"/>
    </row>
    <row r="319" spans="2:3" ht="16.5" customHeight="1" x14ac:dyDescent="0.2">
      <c r="B319" s="40"/>
      <c r="C319" s="41"/>
    </row>
    <row r="320" spans="2:3" ht="16.5" customHeight="1" x14ac:dyDescent="0.2">
      <c r="B320" s="40"/>
      <c r="C320" s="41"/>
    </row>
    <row r="321" spans="2:3" ht="16.5" customHeight="1" x14ac:dyDescent="0.2">
      <c r="B321" s="40"/>
      <c r="C321" s="41"/>
    </row>
    <row r="322" spans="2:3" ht="16.5" customHeight="1" x14ac:dyDescent="0.2">
      <c r="B322" s="40"/>
      <c r="C322" s="41"/>
    </row>
    <row r="323" spans="2:3" ht="16.5" customHeight="1" x14ac:dyDescent="0.2">
      <c r="B323" s="40"/>
      <c r="C323" s="41"/>
    </row>
    <row r="324" spans="2:3" ht="16.5" customHeight="1" x14ac:dyDescent="0.2">
      <c r="B324" s="40"/>
      <c r="C324" s="41"/>
    </row>
    <row r="325" spans="2:3" ht="16.5" customHeight="1" x14ac:dyDescent="0.2">
      <c r="B325" s="40"/>
      <c r="C325" s="41"/>
    </row>
    <row r="326" spans="2:3" ht="16.5" customHeight="1" x14ac:dyDescent="0.2">
      <c r="B326" s="40"/>
      <c r="C326" s="41"/>
    </row>
    <row r="327" spans="2:3" ht="16.5" customHeight="1" x14ac:dyDescent="0.2">
      <c r="B327" s="40"/>
      <c r="C327" s="41"/>
    </row>
    <row r="328" spans="2:3" ht="16.5" customHeight="1" x14ac:dyDescent="0.2">
      <c r="B328" s="40"/>
      <c r="C328" s="41"/>
    </row>
    <row r="329" spans="2:3" ht="16.5" customHeight="1" x14ac:dyDescent="0.2">
      <c r="B329" s="40"/>
      <c r="C329" s="41"/>
    </row>
    <row r="330" spans="2:3" ht="16.5" customHeight="1" x14ac:dyDescent="0.2">
      <c r="B330" s="40"/>
      <c r="C330" s="41"/>
    </row>
    <row r="331" spans="2:3" ht="16.5" customHeight="1" x14ac:dyDescent="0.2">
      <c r="B331" s="40"/>
      <c r="C331" s="41"/>
    </row>
    <row r="332" spans="2:3" ht="16.5" customHeight="1" x14ac:dyDescent="0.2">
      <c r="B332" s="40"/>
      <c r="C332" s="41"/>
    </row>
    <row r="333" spans="2:3" ht="16.5" customHeight="1" x14ac:dyDescent="0.2">
      <c r="B333" s="40"/>
      <c r="C333" s="41"/>
    </row>
    <row r="334" spans="2:3" ht="16.5" customHeight="1" x14ac:dyDescent="0.2">
      <c r="B334" s="40"/>
      <c r="C334" s="41"/>
    </row>
    <row r="335" spans="2:3" ht="16.5" customHeight="1" x14ac:dyDescent="0.2">
      <c r="B335" s="40"/>
      <c r="C335" s="41"/>
    </row>
    <row r="336" spans="2:3" ht="16.5" customHeight="1" x14ac:dyDescent="0.2">
      <c r="B336" s="40"/>
      <c r="C336" s="41"/>
    </row>
    <row r="337" spans="2:3" ht="16.5" customHeight="1" x14ac:dyDescent="0.2">
      <c r="B337" s="40"/>
      <c r="C337" s="41"/>
    </row>
    <row r="338" spans="2:3" ht="16.5" customHeight="1" x14ac:dyDescent="0.2">
      <c r="B338" s="40"/>
      <c r="C338" s="41"/>
    </row>
    <row r="339" spans="2:3" ht="16.5" customHeight="1" x14ac:dyDescent="0.2">
      <c r="B339" s="40"/>
      <c r="C339" s="41"/>
    </row>
    <row r="340" spans="2:3" ht="16.5" customHeight="1" x14ac:dyDescent="0.2">
      <c r="B340" s="40"/>
      <c r="C340" s="41"/>
    </row>
    <row r="341" spans="2:3" ht="16.5" customHeight="1" x14ac:dyDescent="0.2">
      <c r="B341" s="40"/>
      <c r="C341" s="41"/>
    </row>
    <row r="342" spans="2:3" ht="16.5" customHeight="1" x14ac:dyDescent="0.2">
      <c r="B342" s="40"/>
      <c r="C342" s="41"/>
    </row>
    <row r="343" spans="2:3" ht="16.5" customHeight="1" x14ac:dyDescent="0.2">
      <c r="B343" s="40"/>
      <c r="C343" s="41"/>
    </row>
    <row r="344" spans="2:3" ht="16.5" customHeight="1" x14ac:dyDescent="0.2">
      <c r="B344" s="40"/>
      <c r="C344" s="41"/>
    </row>
    <row r="345" spans="2:3" ht="16.5" customHeight="1" x14ac:dyDescent="0.2">
      <c r="B345" s="40"/>
      <c r="C345" s="41"/>
    </row>
    <row r="346" spans="2:3" ht="16.5" customHeight="1" x14ac:dyDescent="0.2">
      <c r="B346" s="40"/>
      <c r="C346" s="41"/>
    </row>
    <row r="347" spans="2:3" ht="16.5" customHeight="1" x14ac:dyDescent="0.2">
      <c r="B347" s="40"/>
      <c r="C347" s="41"/>
    </row>
    <row r="348" spans="2:3" ht="16.5" customHeight="1" x14ac:dyDescent="0.2">
      <c r="B348" s="40"/>
      <c r="C348" s="41"/>
    </row>
    <row r="349" spans="2:3" ht="16.5" customHeight="1" x14ac:dyDescent="0.2">
      <c r="B349" s="40"/>
      <c r="C349" s="41"/>
    </row>
    <row r="350" spans="2:3" ht="16.5" customHeight="1" x14ac:dyDescent="0.2">
      <c r="B350" s="40"/>
      <c r="C350" s="41"/>
    </row>
    <row r="351" spans="2:3" ht="16.5" customHeight="1" x14ac:dyDescent="0.2">
      <c r="B351" s="40"/>
      <c r="C351" s="41"/>
    </row>
    <row r="352" spans="2:3" ht="16.5" customHeight="1" x14ac:dyDescent="0.2">
      <c r="B352" s="40"/>
      <c r="C352" s="41"/>
    </row>
    <row r="353" spans="2:3" ht="16.5" customHeight="1" x14ac:dyDescent="0.2">
      <c r="B353" s="40"/>
      <c r="C353" s="41"/>
    </row>
    <row r="354" spans="2:3" ht="16.5" customHeight="1" x14ac:dyDescent="0.2">
      <c r="B354" s="40"/>
      <c r="C354" s="41"/>
    </row>
    <row r="355" spans="2:3" ht="16.5" customHeight="1" x14ac:dyDescent="0.2">
      <c r="B355" s="40"/>
      <c r="C355" s="41"/>
    </row>
    <row r="356" spans="2:3" ht="16.5" customHeight="1" x14ac:dyDescent="0.2">
      <c r="B356" s="40"/>
      <c r="C356" s="41"/>
    </row>
    <row r="357" spans="2:3" ht="16.5" customHeight="1" x14ac:dyDescent="0.2">
      <c r="B357" s="40"/>
      <c r="C357" s="41"/>
    </row>
    <row r="358" spans="2:3" ht="16.5" customHeight="1" x14ac:dyDescent="0.2">
      <c r="B358" s="40"/>
      <c r="C358" s="41"/>
    </row>
    <row r="359" spans="2:3" ht="16.5" customHeight="1" x14ac:dyDescent="0.2">
      <c r="B359" s="40"/>
      <c r="C359" s="41"/>
    </row>
    <row r="360" spans="2:3" ht="16.5" customHeight="1" x14ac:dyDescent="0.2">
      <c r="B360" s="40"/>
      <c r="C360" s="41"/>
    </row>
    <row r="361" spans="2:3" ht="16.5" customHeight="1" x14ac:dyDescent="0.2">
      <c r="B361" s="40"/>
      <c r="C361" s="41"/>
    </row>
    <row r="362" spans="2:3" ht="16.5" customHeight="1" x14ac:dyDescent="0.2">
      <c r="B362" s="40"/>
      <c r="C362" s="41"/>
    </row>
    <row r="363" spans="2:3" ht="16.5" customHeight="1" x14ac:dyDescent="0.2">
      <c r="B363" s="40"/>
      <c r="C363" s="41"/>
    </row>
    <row r="364" spans="2:3" ht="16.5" customHeight="1" x14ac:dyDescent="0.2">
      <c r="B364" s="40"/>
      <c r="C364" s="41"/>
    </row>
    <row r="365" spans="2:3" ht="16.5" customHeight="1" x14ac:dyDescent="0.2">
      <c r="B365" s="40"/>
      <c r="C365" s="41"/>
    </row>
    <row r="366" spans="2:3" ht="16.5" customHeight="1" x14ac:dyDescent="0.2">
      <c r="B366" s="40"/>
      <c r="C366" s="41"/>
    </row>
    <row r="367" spans="2:3" ht="16.5" customHeight="1" x14ac:dyDescent="0.2">
      <c r="B367" s="40"/>
      <c r="C367" s="41"/>
    </row>
    <row r="368" spans="2:3" ht="16.5" customHeight="1" x14ac:dyDescent="0.2">
      <c r="B368" s="40"/>
      <c r="C368" s="41"/>
    </row>
    <row r="369" spans="2:3" ht="16.5" customHeight="1" x14ac:dyDescent="0.2">
      <c r="B369" s="40"/>
      <c r="C369" s="41"/>
    </row>
    <row r="370" spans="2:3" ht="16.5" customHeight="1" x14ac:dyDescent="0.2">
      <c r="B370" s="40"/>
      <c r="C370" s="41"/>
    </row>
    <row r="371" spans="2:3" ht="16.5" customHeight="1" x14ac:dyDescent="0.2">
      <c r="B371" s="40"/>
      <c r="C371" s="41"/>
    </row>
    <row r="372" spans="2:3" ht="16.5" customHeight="1" x14ac:dyDescent="0.2">
      <c r="B372" s="40"/>
      <c r="C372" s="41"/>
    </row>
    <row r="373" spans="2:3" ht="16.5" customHeight="1" x14ac:dyDescent="0.2">
      <c r="B373" s="40"/>
      <c r="C373" s="41"/>
    </row>
    <row r="374" spans="2:3" ht="16.5" customHeight="1" x14ac:dyDescent="0.2">
      <c r="B374" s="40"/>
      <c r="C374" s="41"/>
    </row>
    <row r="375" spans="2:3" ht="16.5" customHeight="1" x14ac:dyDescent="0.2">
      <c r="B375" s="40"/>
      <c r="C375" s="41"/>
    </row>
    <row r="376" spans="2:3" ht="16.5" customHeight="1" x14ac:dyDescent="0.2">
      <c r="B376" s="40"/>
      <c r="C376" s="41"/>
    </row>
    <row r="377" spans="2:3" ht="16.5" customHeight="1" x14ac:dyDescent="0.2">
      <c r="B377" s="40"/>
      <c r="C377" s="41"/>
    </row>
    <row r="378" spans="2:3" ht="16.5" customHeight="1" x14ac:dyDescent="0.2">
      <c r="B378" s="40"/>
      <c r="C378" s="41"/>
    </row>
    <row r="379" spans="2:3" ht="16.5" customHeight="1" x14ac:dyDescent="0.2">
      <c r="B379" s="40"/>
      <c r="C379" s="41"/>
    </row>
    <row r="380" spans="2:3" ht="16.5" customHeight="1" x14ac:dyDescent="0.2">
      <c r="B380" s="40"/>
      <c r="C380" s="41"/>
    </row>
    <row r="381" spans="2:3" ht="16.5" customHeight="1" x14ac:dyDescent="0.2">
      <c r="B381" s="40"/>
      <c r="C381" s="41"/>
    </row>
    <row r="382" spans="2:3" ht="16.5" customHeight="1" x14ac:dyDescent="0.2">
      <c r="B382" s="40"/>
      <c r="C382" s="41"/>
    </row>
    <row r="383" spans="2:3" ht="16.5" customHeight="1" x14ac:dyDescent="0.2">
      <c r="B383" s="40"/>
      <c r="C383" s="41"/>
    </row>
    <row r="384" spans="2:3" ht="16.5" customHeight="1" x14ac:dyDescent="0.2">
      <c r="B384" s="40"/>
      <c r="C384" s="41"/>
    </row>
    <row r="385" spans="2:3" ht="16.5" customHeight="1" x14ac:dyDescent="0.2">
      <c r="B385" s="40"/>
      <c r="C385" s="41"/>
    </row>
    <row r="386" spans="2:3" ht="16.5" customHeight="1" x14ac:dyDescent="0.2">
      <c r="B386" s="40"/>
      <c r="C386" s="41"/>
    </row>
    <row r="387" spans="2:3" ht="16.5" customHeight="1" x14ac:dyDescent="0.2">
      <c r="B387" s="40"/>
      <c r="C387" s="41"/>
    </row>
    <row r="388" spans="2:3" ht="16.5" customHeight="1" x14ac:dyDescent="0.2">
      <c r="B388" s="40"/>
      <c r="C388" s="41"/>
    </row>
    <row r="389" spans="2:3" ht="16.5" customHeight="1" x14ac:dyDescent="0.2">
      <c r="B389" s="40"/>
      <c r="C389" s="41"/>
    </row>
    <row r="390" spans="2:3" ht="16.5" customHeight="1" x14ac:dyDescent="0.2">
      <c r="B390" s="40"/>
      <c r="C390" s="41"/>
    </row>
    <row r="391" spans="2:3" ht="16.5" customHeight="1" x14ac:dyDescent="0.2">
      <c r="B391" s="40"/>
      <c r="C391" s="41"/>
    </row>
    <row r="392" spans="2:3" ht="16.5" customHeight="1" x14ac:dyDescent="0.2">
      <c r="B392" s="40"/>
      <c r="C392" s="41"/>
    </row>
    <row r="393" spans="2:3" ht="16.5" customHeight="1" x14ac:dyDescent="0.2">
      <c r="B393" s="40"/>
      <c r="C393" s="41"/>
    </row>
    <row r="394" spans="2:3" ht="16.5" customHeight="1" x14ac:dyDescent="0.2">
      <c r="B394" s="40"/>
      <c r="C394" s="41"/>
    </row>
    <row r="395" spans="2:3" ht="16.5" customHeight="1" x14ac:dyDescent="0.2">
      <c r="B395" s="40"/>
      <c r="C395" s="41"/>
    </row>
    <row r="396" spans="2:3" ht="16.5" customHeight="1" x14ac:dyDescent="0.2">
      <c r="B396" s="40"/>
      <c r="C396" s="41"/>
    </row>
    <row r="397" spans="2:3" ht="16.5" customHeight="1" x14ac:dyDescent="0.2">
      <c r="B397" s="40"/>
      <c r="C397" s="41"/>
    </row>
    <row r="398" spans="2:3" ht="16.5" customHeight="1" x14ac:dyDescent="0.2">
      <c r="B398" s="40"/>
      <c r="C398" s="41"/>
    </row>
    <row r="399" spans="2:3" ht="16.5" customHeight="1" x14ac:dyDescent="0.2">
      <c r="B399" s="40"/>
      <c r="C399" s="41"/>
    </row>
    <row r="400" spans="2:3" ht="16.5" customHeight="1" x14ac:dyDescent="0.2">
      <c r="B400" s="40"/>
      <c r="C400" s="41"/>
    </row>
    <row r="401" spans="2:3" ht="16.5" customHeight="1" x14ac:dyDescent="0.2">
      <c r="B401" s="40"/>
      <c r="C401" s="41"/>
    </row>
    <row r="402" spans="2:3" ht="16.5" customHeight="1" x14ac:dyDescent="0.2">
      <c r="B402" s="40"/>
      <c r="C402" s="41"/>
    </row>
    <row r="403" spans="2:3" ht="16.5" customHeight="1" x14ac:dyDescent="0.2">
      <c r="B403" s="40"/>
      <c r="C403" s="41"/>
    </row>
    <row r="404" spans="2:3" ht="16.5" customHeight="1" x14ac:dyDescent="0.2">
      <c r="B404" s="40"/>
      <c r="C404" s="41"/>
    </row>
    <row r="405" spans="2:3" ht="16.5" customHeight="1" x14ac:dyDescent="0.2">
      <c r="B405" s="40"/>
      <c r="C405" s="41"/>
    </row>
    <row r="406" spans="2:3" ht="16.5" customHeight="1" x14ac:dyDescent="0.2">
      <c r="B406" s="40"/>
      <c r="C406" s="41"/>
    </row>
    <row r="407" spans="2:3" ht="16.5" customHeight="1" x14ac:dyDescent="0.2">
      <c r="B407" s="40"/>
      <c r="C407" s="41"/>
    </row>
    <row r="408" spans="2:3" ht="16.5" customHeight="1" x14ac:dyDescent="0.2">
      <c r="B408" s="40"/>
      <c r="C408" s="41"/>
    </row>
    <row r="409" spans="2:3" ht="16.5" customHeight="1" x14ac:dyDescent="0.2">
      <c r="B409" s="40"/>
      <c r="C409" s="41"/>
    </row>
    <row r="410" spans="2:3" ht="16.5" customHeight="1" x14ac:dyDescent="0.2">
      <c r="B410" s="40"/>
      <c r="C410" s="41"/>
    </row>
    <row r="411" spans="2:3" ht="16.5" customHeight="1" x14ac:dyDescent="0.2">
      <c r="B411" s="40"/>
      <c r="C411" s="41"/>
    </row>
    <row r="412" spans="2:3" ht="16.5" customHeight="1" x14ac:dyDescent="0.2">
      <c r="B412" s="40"/>
      <c r="C412" s="41"/>
    </row>
    <row r="413" spans="2:3" ht="16.5" customHeight="1" x14ac:dyDescent="0.2">
      <c r="B413" s="40"/>
      <c r="C413" s="41"/>
    </row>
    <row r="414" spans="2:3" ht="16.5" customHeight="1" x14ac:dyDescent="0.2">
      <c r="B414" s="40"/>
      <c r="C414" s="41"/>
    </row>
    <row r="415" spans="2:3" ht="16.5" customHeight="1" x14ac:dyDescent="0.2">
      <c r="B415" s="40"/>
      <c r="C415" s="41"/>
    </row>
    <row r="416" spans="2:3" ht="16.5" customHeight="1" x14ac:dyDescent="0.2">
      <c r="B416" s="40"/>
      <c r="C416" s="41"/>
    </row>
    <row r="417" spans="2:3" ht="16.5" customHeight="1" x14ac:dyDescent="0.2">
      <c r="B417" s="40"/>
      <c r="C417" s="41"/>
    </row>
    <row r="418" spans="2:3" ht="16.5" customHeight="1" x14ac:dyDescent="0.2">
      <c r="B418" s="40"/>
      <c r="C418" s="41"/>
    </row>
    <row r="419" spans="2:3" ht="16.5" customHeight="1" x14ac:dyDescent="0.2">
      <c r="B419" s="40"/>
      <c r="C419" s="41"/>
    </row>
    <row r="420" spans="2:3" ht="16.5" customHeight="1" x14ac:dyDescent="0.2">
      <c r="B420" s="40"/>
      <c r="C420" s="41"/>
    </row>
    <row r="421" spans="2:3" ht="16.5" customHeight="1" x14ac:dyDescent="0.2">
      <c r="B421" s="40"/>
      <c r="C421" s="41"/>
    </row>
    <row r="422" spans="2:3" ht="16.5" customHeight="1" x14ac:dyDescent="0.2">
      <c r="B422" s="40"/>
      <c r="C422" s="41"/>
    </row>
    <row r="423" spans="2:3" ht="16.5" customHeight="1" x14ac:dyDescent="0.2">
      <c r="B423" s="40"/>
      <c r="C423" s="41"/>
    </row>
    <row r="424" spans="2:3" ht="16.5" customHeight="1" x14ac:dyDescent="0.2">
      <c r="B424" s="40"/>
      <c r="C424" s="41"/>
    </row>
    <row r="425" spans="2:3" ht="16.5" customHeight="1" x14ac:dyDescent="0.2">
      <c r="B425" s="40"/>
      <c r="C425" s="41"/>
    </row>
    <row r="426" spans="2:3" ht="16.5" customHeight="1" x14ac:dyDescent="0.2">
      <c r="B426" s="40"/>
      <c r="C426" s="41"/>
    </row>
    <row r="427" spans="2:3" ht="16.5" customHeight="1" x14ac:dyDescent="0.2">
      <c r="B427" s="40"/>
      <c r="C427" s="41"/>
    </row>
    <row r="428" spans="2:3" ht="16.5" customHeight="1" x14ac:dyDescent="0.2">
      <c r="B428" s="40"/>
      <c r="C428" s="41"/>
    </row>
    <row r="429" spans="2:3" ht="16.5" customHeight="1" x14ac:dyDescent="0.2">
      <c r="B429" s="40"/>
      <c r="C429" s="41"/>
    </row>
    <row r="430" spans="2:3" ht="16.5" customHeight="1" x14ac:dyDescent="0.2">
      <c r="B430" s="40"/>
      <c r="C430" s="41"/>
    </row>
    <row r="431" spans="2:3" ht="16.5" customHeight="1" x14ac:dyDescent="0.2">
      <c r="B431" s="40"/>
      <c r="C431" s="41"/>
    </row>
    <row r="432" spans="2:3" ht="16.5" customHeight="1" x14ac:dyDescent="0.2">
      <c r="B432" s="40"/>
      <c r="C432" s="41"/>
    </row>
    <row r="433" spans="2:3" ht="16.5" customHeight="1" x14ac:dyDescent="0.2">
      <c r="B433" s="40"/>
      <c r="C433" s="41"/>
    </row>
    <row r="434" spans="2:3" ht="16.5" customHeight="1" x14ac:dyDescent="0.2">
      <c r="B434" s="40"/>
      <c r="C434" s="41"/>
    </row>
    <row r="435" spans="2:3" ht="16.5" customHeight="1" x14ac:dyDescent="0.2">
      <c r="B435" s="40"/>
      <c r="C435" s="41"/>
    </row>
    <row r="436" spans="2:3" ht="16.5" customHeight="1" x14ac:dyDescent="0.2">
      <c r="B436" s="40"/>
      <c r="C436" s="41"/>
    </row>
    <row r="437" spans="2:3" ht="16.5" customHeight="1" x14ac:dyDescent="0.2">
      <c r="B437" s="40"/>
      <c r="C437" s="41"/>
    </row>
    <row r="438" spans="2:3" ht="16.5" customHeight="1" x14ac:dyDescent="0.2">
      <c r="B438" s="40"/>
      <c r="C438" s="41"/>
    </row>
    <row r="439" spans="2:3" ht="16.5" customHeight="1" x14ac:dyDescent="0.2">
      <c r="B439" s="40"/>
      <c r="C439" s="41"/>
    </row>
    <row r="440" spans="2:3" ht="16.5" customHeight="1" x14ac:dyDescent="0.2">
      <c r="B440" s="40"/>
      <c r="C440" s="41"/>
    </row>
    <row r="441" spans="2:3" ht="16.5" customHeight="1" x14ac:dyDescent="0.2">
      <c r="B441" s="40"/>
      <c r="C441" s="41"/>
    </row>
    <row r="442" spans="2:3" ht="16.5" customHeight="1" x14ac:dyDescent="0.2">
      <c r="B442" s="40"/>
      <c r="C442" s="41"/>
    </row>
    <row r="443" spans="2:3" ht="16.5" customHeight="1" x14ac:dyDescent="0.2">
      <c r="B443" s="40"/>
      <c r="C443" s="41"/>
    </row>
    <row r="444" spans="2:3" ht="16.5" customHeight="1" x14ac:dyDescent="0.2">
      <c r="B444" s="40"/>
      <c r="C444" s="41"/>
    </row>
    <row r="445" spans="2:3" ht="16.5" customHeight="1" x14ac:dyDescent="0.2">
      <c r="B445" s="40"/>
      <c r="C445" s="41"/>
    </row>
    <row r="446" spans="2:3" ht="16.5" customHeight="1" x14ac:dyDescent="0.2">
      <c r="B446" s="40"/>
      <c r="C446" s="41"/>
    </row>
    <row r="447" spans="2:3" ht="16.5" customHeight="1" x14ac:dyDescent="0.2">
      <c r="B447" s="40"/>
      <c r="C447" s="41"/>
    </row>
    <row r="448" spans="2:3" ht="16.5" customHeight="1" x14ac:dyDescent="0.2">
      <c r="B448" s="40"/>
      <c r="C448" s="41"/>
    </row>
    <row r="449" spans="2:3" ht="16.5" customHeight="1" x14ac:dyDescent="0.2">
      <c r="B449" s="40"/>
      <c r="C449" s="41"/>
    </row>
    <row r="450" spans="2:3" ht="16.5" customHeight="1" x14ac:dyDescent="0.2">
      <c r="B450" s="40"/>
      <c r="C450" s="41"/>
    </row>
    <row r="451" spans="2:3" ht="16.5" customHeight="1" x14ac:dyDescent="0.2">
      <c r="B451" s="40"/>
      <c r="C451" s="41"/>
    </row>
    <row r="452" spans="2:3" ht="16.5" customHeight="1" x14ac:dyDescent="0.2">
      <c r="B452" s="40"/>
      <c r="C452" s="41"/>
    </row>
    <row r="453" spans="2:3" ht="16.5" customHeight="1" x14ac:dyDescent="0.2">
      <c r="B453" s="40"/>
      <c r="C453" s="41"/>
    </row>
    <row r="454" spans="2:3" ht="16.5" customHeight="1" x14ac:dyDescent="0.2">
      <c r="B454" s="40"/>
      <c r="C454" s="41"/>
    </row>
    <row r="455" spans="2:3" ht="16.5" customHeight="1" x14ac:dyDescent="0.2">
      <c r="B455" s="40"/>
      <c r="C455" s="41"/>
    </row>
    <row r="456" spans="2:3" ht="16.5" customHeight="1" x14ac:dyDescent="0.2">
      <c r="B456" s="40"/>
      <c r="C456" s="41"/>
    </row>
    <row r="457" spans="2:3" ht="16.5" customHeight="1" x14ac:dyDescent="0.2">
      <c r="B457" s="40"/>
      <c r="C457" s="41"/>
    </row>
    <row r="458" spans="2:3" ht="16.5" customHeight="1" x14ac:dyDescent="0.2">
      <c r="B458" s="40"/>
      <c r="C458" s="41"/>
    </row>
    <row r="459" spans="2:3" ht="16.5" customHeight="1" x14ac:dyDescent="0.2">
      <c r="B459" s="40"/>
      <c r="C459" s="41"/>
    </row>
    <row r="460" spans="2:3" ht="16.5" customHeight="1" x14ac:dyDescent="0.2">
      <c r="B460" s="40"/>
      <c r="C460" s="41"/>
    </row>
    <row r="461" spans="2:3" ht="16.5" customHeight="1" x14ac:dyDescent="0.2">
      <c r="B461" s="40"/>
      <c r="C461" s="41"/>
    </row>
    <row r="462" spans="2:3" ht="16.5" customHeight="1" x14ac:dyDescent="0.2">
      <c r="B462" s="40"/>
      <c r="C462" s="41"/>
    </row>
    <row r="463" spans="2:3" ht="16.5" customHeight="1" x14ac:dyDescent="0.2">
      <c r="B463" s="40"/>
      <c r="C463" s="41"/>
    </row>
    <row r="464" spans="2:3" ht="16.5" customHeight="1" x14ac:dyDescent="0.2">
      <c r="B464" s="40"/>
      <c r="C464" s="41"/>
    </row>
    <row r="465" spans="2:3" ht="16.5" customHeight="1" x14ac:dyDescent="0.2">
      <c r="B465" s="40"/>
      <c r="C465" s="41"/>
    </row>
    <row r="466" spans="2:3" ht="16.5" customHeight="1" x14ac:dyDescent="0.2">
      <c r="B466" s="40"/>
      <c r="C466" s="41"/>
    </row>
    <row r="467" spans="2:3" ht="16.5" customHeight="1" x14ac:dyDescent="0.2">
      <c r="B467" s="40"/>
      <c r="C467" s="41"/>
    </row>
    <row r="468" spans="2:3" ht="16.5" customHeight="1" x14ac:dyDescent="0.2">
      <c r="B468" s="40"/>
      <c r="C468" s="41"/>
    </row>
    <row r="469" spans="2:3" ht="16.5" customHeight="1" x14ac:dyDescent="0.2">
      <c r="B469" s="40"/>
      <c r="C469" s="41"/>
    </row>
    <row r="470" spans="2:3" ht="16.5" customHeight="1" x14ac:dyDescent="0.2">
      <c r="B470" s="40"/>
      <c r="C470" s="41"/>
    </row>
    <row r="471" spans="2:3" ht="16.5" customHeight="1" x14ac:dyDescent="0.2">
      <c r="B471" s="40"/>
      <c r="C471" s="41"/>
    </row>
    <row r="472" spans="2:3" ht="16.5" customHeight="1" x14ac:dyDescent="0.2">
      <c r="B472" s="40"/>
      <c r="C472" s="41"/>
    </row>
    <row r="473" spans="2:3" ht="16.5" customHeight="1" x14ac:dyDescent="0.2">
      <c r="B473" s="40"/>
      <c r="C473" s="41"/>
    </row>
    <row r="474" spans="2:3" ht="16.5" customHeight="1" x14ac:dyDescent="0.2">
      <c r="B474" s="40"/>
      <c r="C474" s="41"/>
    </row>
    <row r="475" spans="2:3" ht="16.5" customHeight="1" x14ac:dyDescent="0.2">
      <c r="B475" s="40"/>
      <c r="C475" s="41"/>
    </row>
    <row r="476" spans="2:3" ht="16.5" customHeight="1" x14ac:dyDescent="0.2">
      <c r="B476" s="40"/>
      <c r="C476" s="41"/>
    </row>
    <row r="477" spans="2:3" ht="16.5" customHeight="1" x14ac:dyDescent="0.2">
      <c r="B477" s="40"/>
      <c r="C477" s="41"/>
    </row>
    <row r="478" spans="2:3" ht="16.5" customHeight="1" x14ac:dyDescent="0.2">
      <c r="B478" s="40"/>
      <c r="C478" s="41"/>
    </row>
    <row r="479" spans="2:3" ht="16.5" customHeight="1" x14ac:dyDescent="0.2">
      <c r="B479" s="40"/>
      <c r="C479" s="41"/>
    </row>
    <row r="480" spans="2:3" ht="16.5" customHeight="1" x14ac:dyDescent="0.2">
      <c r="B480" s="40"/>
      <c r="C480" s="41"/>
    </row>
    <row r="481" spans="2:3" ht="16.5" customHeight="1" x14ac:dyDescent="0.2">
      <c r="B481" s="40"/>
      <c r="C481" s="41"/>
    </row>
    <row r="482" spans="2:3" ht="16.5" customHeight="1" x14ac:dyDescent="0.2">
      <c r="B482" s="40"/>
      <c r="C482" s="41"/>
    </row>
    <row r="483" spans="2:3" ht="16.5" customHeight="1" x14ac:dyDescent="0.2">
      <c r="B483" s="40"/>
      <c r="C483" s="41"/>
    </row>
    <row r="484" spans="2:3" ht="16.5" customHeight="1" x14ac:dyDescent="0.2">
      <c r="B484" s="40"/>
      <c r="C484" s="41"/>
    </row>
    <row r="485" spans="2:3" ht="16.5" customHeight="1" x14ac:dyDescent="0.2">
      <c r="B485" s="40"/>
      <c r="C485" s="41"/>
    </row>
    <row r="486" spans="2:3" ht="16.5" customHeight="1" x14ac:dyDescent="0.2">
      <c r="B486" s="40"/>
      <c r="C486" s="41"/>
    </row>
    <row r="487" spans="2:3" ht="16.5" customHeight="1" x14ac:dyDescent="0.2">
      <c r="B487" s="40"/>
      <c r="C487" s="41"/>
    </row>
    <row r="488" spans="2:3" ht="16.5" customHeight="1" x14ac:dyDescent="0.2">
      <c r="B488" s="40"/>
      <c r="C488" s="41"/>
    </row>
    <row r="489" spans="2:3" ht="16.5" customHeight="1" x14ac:dyDescent="0.2">
      <c r="B489" s="40"/>
      <c r="C489" s="41"/>
    </row>
    <row r="490" spans="2:3" ht="16.5" customHeight="1" x14ac:dyDescent="0.2">
      <c r="B490" s="40"/>
      <c r="C490" s="41"/>
    </row>
    <row r="491" spans="2:3" ht="16.5" customHeight="1" x14ac:dyDescent="0.2">
      <c r="B491" s="40"/>
      <c r="C491" s="41"/>
    </row>
    <row r="492" spans="2:3" ht="16.5" customHeight="1" x14ac:dyDescent="0.2">
      <c r="B492" s="40"/>
      <c r="C492" s="41"/>
    </row>
    <row r="493" spans="2:3" ht="16.5" customHeight="1" x14ac:dyDescent="0.2">
      <c r="B493" s="40"/>
      <c r="C493" s="41"/>
    </row>
    <row r="494" spans="2:3" ht="16.5" customHeight="1" x14ac:dyDescent="0.2">
      <c r="B494" s="40"/>
      <c r="C494" s="41"/>
    </row>
    <row r="495" spans="2:3" ht="16.5" customHeight="1" x14ac:dyDescent="0.2">
      <c r="B495" s="40"/>
      <c r="C495" s="41"/>
    </row>
    <row r="496" spans="2:3" ht="16.5" customHeight="1" x14ac:dyDescent="0.2">
      <c r="B496" s="40"/>
      <c r="C496" s="41"/>
    </row>
    <row r="497" spans="2:3" ht="16.5" customHeight="1" x14ac:dyDescent="0.2">
      <c r="B497" s="40"/>
      <c r="C497" s="41"/>
    </row>
    <row r="498" spans="2:3" ht="16.5" customHeight="1" x14ac:dyDescent="0.2">
      <c r="B498" s="40"/>
      <c r="C498" s="41"/>
    </row>
    <row r="499" spans="2:3" ht="16.5" customHeight="1" x14ac:dyDescent="0.2">
      <c r="B499" s="40"/>
      <c r="C499" s="41"/>
    </row>
    <row r="500" spans="2:3" ht="16.5" customHeight="1" x14ac:dyDescent="0.2">
      <c r="B500" s="40"/>
      <c r="C500" s="41"/>
    </row>
    <row r="501" spans="2:3" ht="16.5" customHeight="1" x14ac:dyDescent="0.2">
      <c r="B501" s="40"/>
      <c r="C501" s="41"/>
    </row>
    <row r="502" spans="2:3" ht="16.5" customHeight="1" x14ac:dyDescent="0.2">
      <c r="B502" s="40"/>
      <c r="C502" s="41"/>
    </row>
    <row r="503" spans="2:3" ht="16.5" customHeight="1" x14ac:dyDescent="0.2">
      <c r="B503" s="40"/>
      <c r="C503" s="41"/>
    </row>
    <row r="504" spans="2:3" ht="16.5" customHeight="1" x14ac:dyDescent="0.2">
      <c r="B504" s="40"/>
      <c r="C504" s="41"/>
    </row>
    <row r="505" spans="2:3" ht="16.5" customHeight="1" x14ac:dyDescent="0.2">
      <c r="B505" s="40"/>
      <c r="C505" s="41"/>
    </row>
    <row r="506" spans="2:3" ht="16.5" customHeight="1" x14ac:dyDescent="0.2">
      <c r="B506" s="40"/>
      <c r="C506" s="41"/>
    </row>
    <row r="507" spans="2:3" ht="16.5" customHeight="1" x14ac:dyDescent="0.2">
      <c r="B507" s="40"/>
      <c r="C507" s="41"/>
    </row>
    <row r="508" spans="2:3" ht="16.5" customHeight="1" x14ac:dyDescent="0.2">
      <c r="B508" s="40"/>
      <c r="C508" s="41"/>
    </row>
    <row r="509" spans="2:3" ht="16.5" customHeight="1" x14ac:dyDescent="0.2">
      <c r="B509" s="40"/>
      <c r="C509" s="41"/>
    </row>
    <row r="510" spans="2:3" ht="16.5" customHeight="1" x14ac:dyDescent="0.2">
      <c r="B510" s="40"/>
      <c r="C510" s="41"/>
    </row>
    <row r="511" spans="2:3" ht="16.5" customHeight="1" x14ac:dyDescent="0.2">
      <c r="B511" s="40"/>
      <c r="C511" s="41"/>
    </row>
    <row r="512" spans="2:3" ht="16.5" customHeight="1" x14ac:dyDescent="0.2">
      <c r="B512" s="40"/>
      <c r="C512" s="41"/>
    </row>
    <row r="513" spans="2:3" ht="16.5" customHeight="1" x14ac:dyDescent="0.2">
      <c r="B513" s="40"/>
      <c r="C513" s="41"/>
    </row>
    <row r="514" spans="2:3" ht="16.5" customHeight="1" x14ac:dyDescent="0.2">
      <c r="B514" s="40"/>
      <c r="C514" s="41"/>
    </row>
    <row r="515" spans="2:3" ht="16.5" customHeight="1" x14ac:dyDescent="0.2">
      <c r="B515" s="40"/>
      <c r="C515" s="41"/>
    </row>
    <row r="516" spans="2:3" ht="16.5" customHeight="1" x14ac:dyDescent="0.2">
      <c r="B516" s="40"/>
      <c r="C516" s="41"/>
    </row>
    <row r="517" spans="2:3" ht="16.5" customHeight="1" x14ac:dyDescent="0.2">
      <c r="B517" s="40"/>
      <c r="C517" s="41"/>
    </row>
    <row r="518" spans="2:3" ht="16.5" customHeight="1" x14ac:dyDescent="0.2">
      <c r="B518" s="40"/>
      <c r="C518" s="41"/>
    </row>
    <row r="519" spans="2:3" ht="16.5" customHeight="1" x14ac:dyDescent="0.2">
      <c r="B519" s="40"/>
      <c r="C519" s="41"/>
    </row>
    <row r="520" spans="2:3" ht="16.5" customHeight="1" x14ac:dyDescent="0.2">
      <c r="B520" s="40"/>
      <c r="C520" s="41"/>
    </row>
    <row r="521" spans="2:3" ht="16.5" customHeight="1" x14ac:dyDescent="0.2">
      <c r="B521" s="40"/>
      <c r="C521" s="41"/>
    </row>
    <row r="522" spans="2:3" ht="16.5" customHeight="1" x14ac:dyDescent="0.2">
      <c r="B522" s="40"/>
      <c r="C522" s="41"/>
    </row>
    <row r="523" spans="2:3" ht="16.5" customHeight="1" x14ac:dyDescent="0.2">
      <c r="B523" s="40"/>
      <c r="C523" s="41"/>
    </row>
    <row r="524" spans="2:3" ht="16.5" customHeight="1" x14ac:dyDescent="0.2">
      <c r="B524" s="40"/>
      <c r="C524" s="41"/>
    </row>
    <row r="525" spans="2:3" ht="16.5" customHeight="1" x14ac:dyDescent="0.2">
      <c r="B525" s="40"/>
      <c r="C525" s="41"/>
    </row>
    <row r="526" spans="2:3" ht="16.5" customHeight="1" x14ac:dyDescent="0.2">
      <c r="B526" s="40"/>
      <c r="C526" s="41"/>
    </row>
    <row r="527" spans="2:3" ht="16.5" customHeight="1" x14ac:dyDescent="0.2">
      <c r="B527" s="40"/>
      <c r="C527" s="41"/>
    </row>
    <row r="528" spans="2:3" ht="16.5" customHeight="1" x14ac:dyDescent="0.2">
      <c r="B528" s="40"/>
      <c r="C528" s="41"/>
    </row>
    <row r="529" spans="2:3" ht="16.5" customHeight="1" x14ac:dyDescent="0.2">
      <c r="B529" s="40"/>
      <c r="C529" s="41"/>
    </row>
    <row r="530" spans="2:3" ht="16.5" customHeight="1" x14ac:dyDescent="0.2">
      <c r="B530" s="40"/>
      <c r="C530" s="41"/>
    </row>
    <row r="531" spans="2:3" ht="16.5" customHeight="1" x14ac:dyDescent="0.2">
      <c r="B531" s="40"/>
      <c r="C531" s="41"/>
    </row>
    <row r="532" spans="2:3" ht="16.5" customHeight="1" x14ac:dyDescent="0.2">
      <c r="B532" s="40"/>
      <c r="C532" s="41"/>
    </row>
    <row r="533" spans="2:3" ht="16.5" customHeight="1" x14ac:dyDescent="0.2">
      <c r="B533" s="40"/>
      <c r="C533" s="41"/>
    </row>
    <row r="534" spans="2:3" ht="16.5" customHeight="1" x14ac:dyDescent="0.2">
      <c r="B534" s="40"/>
      <c r="C534" s="41"/>
    </row>
    <row r="535" spans="2:3" ht="16.5" customHeight="1" x14ac:dyDescent="0.2">
      <c r="B535" s="40"/>
      <c r="C535" s="41"/>
    </row>
    <row r="536" spans="2:3" ht="16.5" customHeight="1" x14ac:dyDescent="0.2">
      <c r="B536" s="40"/>
      <c r="C536" s="41"/>
    </row>
    <row r="537" spans="2:3" ht="16.5" customHeight="1" x14ac:dyDescent="0.2">
      <c r="B537" s="40"/>
      <c r="C537" s="41"/>
    </row>
    <row r="538" spans="2:3" ht="16.5" customHeight="1" x14ac:dyDescent="0.2">
      <c r="B538" s="40"/>
      <c r="C538" s="41"/>
    </row>
    <row r="539" spans="2:3" ht="16.5" customHeight="1" x14ac:dyDescent="0.2">
      <c r="B539" s="40"/>
      <c r="C539" s="41"/>
    </row>
    <row r="540" spans="2:3" ht="16.5" customHeight="1" x14ac:dyDescent="0.2">
      <c r="B540" s="40"/>
      <c r="C540" s="41"/>
    </row>
    <row r="541" spans="2:3" ht="16.5" customHeight="1" x14ac:dyDescent="0.2">
      <c r="B541" s="40"/>
      <c r="C541" s="41"/>
    </row>
    <row r="542" spans="2:3" ht="16.5" customHeight="1" x14ac:dyDescent="0.2">
      <c r="B542" s="40"/>
      <c r="C542" s="41"/>
    </row>
    <row r="543" spans="2:3" ht="16.5" customHeight="1" x14ac:dyDescent="0.2">
      <c r="B543" s="40"/>
      <c r="C543" s="41"/>
    </row>
    <row r="544" spans="2:3" ht="16.5" customHeight="1" x14ac:dyDescent="0.2">
      <c r="B544" s="40"/>
      <c r="C544" s="41"/>
    </row>
    <row r="545" spans="2:3" ht="16.5" customHeight="1" x14ac:dyDescent="0.2">
      <c r="B545" s="40"/>
      <c r="C545" s="41"/>
    </row>
    <row r="546" spans="2:3" ht="16.5" customHeight="1" x14ac:dyDescent="0.2">
      <c r="B546" s="40"/>
      <c r="C546" s="41"/>
    </row>
    <row r="547" spans="2:3" ht="16.5" customHeight="1" x14ac:dyDescent="0.2">
      <c r="B547" s="40"/>
      <c r="C547" s="41"/>
    </row>
    <row r="548" spans="2:3" ht="16.5" customHeight="1" x14ac:dyDescent="0.2">
      <c r="B548" s="40"/>
      <c r="C548" s="41"/>
    </row>
    <row r="549" spans="2:3" ht="16.5" customHeight="1" x14ac:dyDescent="0.2">
      <c r="B549" s="40"/>
      <c r="C549" s="41"/>
    </row>
    <row r="550" spans="2:3" ht="16.5" customHeight="1" x14ac:dyDescent="0.2">
      <c r="B550" s="40"/>
      <c r="C550" s="41"/>
    </row>
    <row r="551" spans="2:3" ht="16.5" customHeight="1" x14ac:dyDescent="0.2">
      <c r="B551" s="40"/>
      <c r="C551" s="41"/>
    </row>
    <row r="552" spans="2:3" ht="16.5" customHeight="1" x14ac:dyDescent="0.2">
      <c r="B552" s="40"/>
      <c r="C552" s="41"/>
    </row>
    <row r="553" spans="2:3" ht="16.5" customHeight="1" x14ac:dyDescent="0.2">
      <c r="B553" s="40"/>
      <c r="C553" s="41"/>
    </row>
    <row r="554" spans="2:3" ht="16.5" customHeight="1" x14ac:dyDescent="0.2">
      <c r="B554" s="40"/>
      <c r="C554" s="41"/>
    </row>
    <row r="555" spans="2:3" ht="16.5" customHeight="1" x14ac:dyDescent="0.2">
      <c r="B555" s="40"/>
      <c r="C555" s="41"/>
    </row>
    <row r="556" spans="2:3" ht="16.5" customHeight="1" x14ac:dyDescent="0.2">
      <c r="B556" s="40"/>
      <c r="C556" s="41"/>
    </row>
    <row r="557" spans="2:3" ht="16.5" customHeight="1" x14ac:dyDescent="0.2">
      <c r="B557" s="40"/>
      <c r="C557" s="41"/>
    </row>
    <row r="558" spans="2:3" ht="16.5" customHeight="1" x14ac:dyDescent="0.2">
      <c r="B558" s="40"/>
      <c r="C558" s="41"/>
    </row>
    <row r="559" spans="2:3" ht="16.5" customHeight="1" x14ac:dyDescent="0.2">
      <c r="B559" s="40"/>
      <c r="C559" s="41"/>
    </row>
    <row r="560" spans="2:3" ht="16.5" customHeight="1" x14ac:dyDescent="0.2">
      <c r="B560" s="40"/>
      <c r="C560" s="41"/>
    </row>
    <row r="561" spans="2:3" ht="16.5" customHeight="1" x14ac:dyDescent="0.2">
      <c r="B561" s="40"/>
      <c r="C561" s="41"/>
    </row>
    <row r="562" spans="2:3" ht="16.5" customHeight="1" x14ac:dyDescent="0.2">
      <c r="B562" s="40"/>
      <c r="C562" s="41"/>
    </row>
    <row r="563" spans="2:3" ht="16.5" customHeight="1" x14ac:dyDescent="0.2">
      <c r="B563" s="40"/>
      <c r="C563" s="41"/>
    </row>
    <row r="564" spans="2:3" ht="16.5" customHeight="1" x14ac:dyDescent="0.2">
      <c r="B564" s="40"/>
      <c r="C564" s="41"/>
    </row>
    <row r="565" spans="2:3" ht="16.5" customHeight="1" x14ac:dyDescent="0.2">
      <c r="B565" s="40"/>
      <c r="C565" s="41"/>
    </row>
    <row r="566" spans="2:3" ht="16.5" customHeight="1" x14ac:dyDescent="0.2">
      <c r="B566" s="40"/>
      <c r="C566" s="41"/>
    </row>
    <row r="567" spans="2:3" ht="16.5" customHeight="1" x14ac:dyDescent="0.2">
      <c r="B567" s="40"/>
      <c r="C567" s="41"/>
    </row>
    <row r="568" spans="2:3" ht="16.5" customHeight="1" x14ac:dyDescent="0.2">
      <c r="B568" s="40"/>
      <c r="C568" s="41"/>
    </row>
    <row r="569" spans="2:3" ht="16.5" customHeight="1" x14ac:dyDescent="0.2">
      <c r="B569" s="40"/>
      <c r="C569" s="41"/>
    </row>
    <row r="570" spans="2:3" ht="16.5" customHeight="1" x14ac:dyDescent="0.2">
      <c r="B570" s="40"/>
      <c r="C570" s="41"/>
    </row>
    <row r="571" spans="2:3" ht="16.5" customHeight="1" x14ac:dyDescent="0.2">
      <c r="B571" s="40"/>
      <c r="C571" s="41"/>
    </row>
    <row r="572" spans="2:3" ht="16.5" customHeight="1" x14ac:dyDescent="0.2">
      <c r="B572" s="40"/>
      <c r="C572" s="41"/>
    </row>
    <row r="573" spans="2:3" ht="16.5" customHeight="1" x14ac:dyDescent="0.2">
      <c r="B573" s="40"/>
      <c r="C573" s="41"/>
    </row>
    <row r="574" spans="2:3" ht="16.5" customHeight="1" x14ac:dyDescent="0.2">
      <c r="B574" s="40"/>
      <c r="C574" s="41"/>
    </row>
    <row r="575" spans="2:3" ht="16.5" customHeight="1" x14ac:dyDescent="0.2">
      <c r="B575" s="40"/>
      <c r="C575" s="41"/>
    </row>
    <row r="576" spans="2:3" ht="16.5" customHeight="1" x14ac:dyDescent="0.2">
      <c r="B576" s="40"/>
      <c r="C576" s="41"/>
    </row>
    <row r="577" spans="2:3" ht="16.5" customHeight="1" x14ac:dyDescent="0.2">
      <c r="B577" s="40"/>
      <c r="C577" s="41"/>
    </row>
    <row r="578" spans="2:3" ht="16.5" customHeight="1" x14ac:dyDescent="0.2">
      <c r="B578" s="40"/>
      <c r="C578" s="41"/>
    </row>
    <row r="579" spans="2:3" ht="16.5" customHeight="1" x14ac:dyDescent="0.2">
      <c r="B579" s="40"/>
      <c r="C579" s="41"/>
    </row>
    <row r="580" spans="2:3" ht="16.5" customHeight="1" x14ac:dyDescent="0.2">
      <c r="B580" s="40"/>
      <c r="C580" s="41"/>
    </row>
    <row r="581" spans="2:3" ht="16.5" customHeight="1" x14ac:dyDescent="0.2">
      <c r="B581" s="40"/>
      <c r="C581" s="41"/>
    </row>
    <row r="582" spans="2:3" ht="16.5" customHeight="1" x14ac:dyDescent="0.2">
      <c r="B582" s="40"/>
      <c r="C582" s="41"/>
    </row>
    <row r="583" spans="2:3" ht="16.5" customHeight="1" x14ac:dyDescent="0.2">
      <c r="B583" s="40"/>
      <c r="C583" s="41"/>
    </row>
    <row r="584" spans="2:3" ht="16.5" customHeight="1" x14ac:dyDescent="0.2">
      <c r="B584" s="40"/>
      <c r="C584" s="41"/>
    </row>
    <row r="585" spans="2:3" ht="16.5" customHeight="1" x14ac:dyDescent="0.2">
      <c r="B585" s="40"/>
      <c r="C585" s="41"/>
    </row>
    <row r="586" spans="2:3" ht="16.5" customHeight="1" x14ac:dyDescent="0.2">
      <c r="B586" s="40"/>
      <c r="C586" s="41"/>
    </row>
    <row r="587" spans="2:3" ht="16.5" customHeight="1" x14ac:dyDescent="0.2">
      <c r="B587" s="40"/>
      <c r="C587" s="41"/>
    </row>
    <row r="588" spans="2:3" ht="16.5" customHeight="1" x14ac:dyDescent="0.2">
      <c r="B588" s="40"/>
      <c r="C588" s="41"/>
    </row>
    <row r="589" spans="2:3" ht="16.5" customHeight="1" x14ac:dyDescent="0.2">
      <c r="B589" s="40"/>
      <c r="C589" s="41"/>
    </row>
    <row r="590" spans="2:3" ht="16.5" customHeight="1" x14ac:dyDescent="0.2">
      <c r="B590" s="40"/>
      <c r="C590" s="41"/>
    </row>
    <row r="591" spans="2:3" ht="16.5" customHeight="1" x14ac:dyDescent="0.2">
      <c r="B591" s="40"/>
      <c r="C591" s="41"/>
    </row>
    <row r="592" spans="2:3" ht="16.5" customHeight="1" x14ac:dyDescent="0.2">
      <c r="B592" s="40"/>
      <c r="C592" s="41"/>
    </row>
    <row r="593" spans="2:3" ht="16.5" customHeight="1" x14ac:dyDescent="0.2">
      <c r="B593" s="40"/>
      <c r="C593" s="41"/>
    </row>
    <row r="594" spans="2:3" ht="16.5" customHeight="1" x14ac:dyDescent="0.2">
      <c r="B594" s="40"/>
      <c r="C594" s="41"/>
    </row>
    <row r="595" spans="2:3" ht="16.5" customHeight="1" x14ac:dyDescent="0.2">
      <c r="B595" s="40"/>
      <c r="C595" s="41"/>
    </row>
    <row r="596" spans="2:3" ht="16.5" customHeight="1" x14ac:dyDescent="0.2">
      <c r="B596" s="40"/>
      <c r="C596" s="41"/>
    </row>
    <row r="597" spans="2:3" ht="16.5" customHeight="1" x14ac:dyDescent="0.2">
      <c r="B597" s="40"/>
      <c r="C597" s="41"/>
    </row>
    <row r="598" spans="2:3" ht="16.5" customHeight="1" x14ac:dyDescent="0.2">
      <c r="B598" s="40"/>
      <c r="C598" s="41"/>
    </row>
    <row r="599" spans="2:3" ht="16.5" customHeight="1" x14ac:dyDescent="0.2">
      <c r="B599" s="40"/>
      <c r="C599" s="41"/>
    </row>
    <row r="600" spans="2:3" ht="16.5" customHeight="1" x14ac:dyDescent="0.2">
      <c r="B600" s="40"/>
      <c r="C600" s="41"/>
    </row>
    <row r="601" spans="2:3" ht="16.5" customHeight="1" x14ac:dyDescent="0.2">
      <c r="B601" s="40"/>
      <c r="C601" s="41"/>
    </row>
    <row r="602" spans="2:3" ht="16.5" customHeight="1" x14ac:dyDescent="0.2">
      <c r="B602" s="40"/>
      <c r="C602" s="41"/>
    </row>
    <row r="603" spans="2:3" ht="16.5" customHeight="1" x14ac:dyDescent="0.2">
      <c r="B603" s="40"/>
      <c r="C603" s="41"/>
    </row>
    <row r="604" spans="2:3" ht="16.5" customHeight="1" x14ac:dyDescent="0.2">
      <c r="B604" s="40"/>
      <c r="C604" s="41"/>
    </row>
    <row r="605" spans="2:3" ht="16.5" customHeight="1" x14ac:dyDescent="0.2">
      <c r="B605" s="40"/>
      <c r="C605" s="41"/>
    </row>
    <row r="606" spans="2:3" ht="16.5" customHeight="1" x14ac:dyDescent="0.2">
      <c r="B606" s="40"/>
      <c r="C606" s="41"/>
    </row>
    <row r="607" spans="2:3" ht="16.5" customHeight="1" x14ac:dyDescent="0.2">
      <c r="B607" s="40"/>
      <c r="C607" s="41"/>
    </row>
    <row r="608" spans="2:3" ht="16.5" customHeight="1" x14ac:dyDescent="0.2">
      <c r="B608" s="40"/>
      <c r="C608" s="41"/>
    </row>
    <row r="609" spans="2:3" ht="16.5" customHeight="1" x14ac:dyDescent="0.2">
      <c r="B609" s="40"/>
      <c r="C609" s="41"/>
    </row>
    <row r="610" spans="2:3" ht="16.5" customHeight="1" x14ac:dyDescent="0.2">
      <c r="B610" s="40"/>
      <c r="C610" s="41"/>
    </row>
    <row r="611" spans="2:3" ht="16.5" customHeight="1" x14ac:dyDescent="0.2">
      <c r="B611" s="40"/>
      <c r="C611" s="41"/>
    </row>
    <row r="612" spans="2:3" ht="16.5" customHeight="1" x14ac:dyDescent="0.2">
      <c r="B612" s="40"/>
      <c r="C612" s="41"/>
    </row>
    <row r="613" spans="2:3" ht="16.5" customHeight="1" x14ac:dyDescent="0.2">
      <c r="B613" s="40"/>
      <c r="C613" s="41"/>
    </row>
    <row r="614" spans="2:3" ht="16.5" customHeight="1" x14ac:dyDescent="0.2">
      <c r="B614" s="40"/>
      <c r="C614" s="41"/>
    </row>
    <row r="615" spans="2:3" ht="16.5" customHeight="1" x14ac:dyDescent="0.2">
      <c r="B615" s="40"/>
      <c r="C615" s="41"/>
    </row>
    <row r="616" spans="2:3" ht="16.5" customHeight="1" x14ac:dyDescent="0.2">
      <c r="B616" s="40"/>
      <c r="C616" s="41"/>
    </row>
    <row r="617" spans="2:3" ht="16.5" customHeight="1" x14ac:dyDescent="0.2">
      <c r="B617" s="40"/>
      <c r="C617" s="41"/>
    </row>
    <row r="618" spans="2:3" ht="16.5" customHeight="1" x14ac:dyDescent="0.2">
      <c r="B618" s="40"/>
      <c r="C618" s="41"/>
    </row>
    <row r="619" spans="2:3" ht="16.5" customHeight="1" x14ac:dyDescent="0.2">
      <c r="B619" s="40"/>
      <c r="C619" s="41"/>
    </row>
    <row r="620" spans="2:3" ht="16.5" customHeight="1" x14ac:dyDescent="0.2">
      <c r="B620" s="40"/>
      <c r="C620" s="41"/>
    </row>
    <row r="621" spans="2:3" ht="16.5" customHeight="1" x14ac:dyDescent="0.2">
      <c r="B621" s="40"/>
      <c r="C621" s="41"/>
    </row>
    <row r="622" spans="2:3" ht="16.5" customHeight="1" x14ac:dyDescent="0.2">
      <c r="B622" s="40"/>
      <c r="C622" s="41"/>
    </row>
    <row r="623" spans="2:3" ht="16.5" customHeight="1" x14ac:dyDescent="0.2">
      <c r="B623" s="40"/>
      <c r="C623" s="41"/>
    </row>
    <row r="624" spans="2:3" ht="16.5" customHeight="1" x14ac:dyDescent="0.2">
      <c r="B624" s="40"/>
      <c r="C624" s="41"/>
    </row>
    <row r="625" spans="2:3" ht="16.5" customHeight="1" x14ac:dyDescent="0.2">
      <c r="B625" s="40"/>
      <c r="C625" s="41"/>
    </row>
    <row r="626" spans="2:3" ht="16.5" customHeight="1" x14ac:dyDescent="0.2">
      <c r="B626" s="40"/>
      <c r="C626" s="41"/>
    </row>
    <row r="627" spans="2:3" ht="16.5" customHeight="1" x14ac:dyDescent="0.2">
      <c r="B627" s="40"/>
      <c r="C627" s="41"/>
    </row>
    <row r="628" spans="2:3" ht="16.5" customHeight="1" x14ac:dyDescent="0.2">
      <c r="B628" s="40"/>
      <c r="C628" s="41"/>
    </row>
    <row r="629" spans="2:3" ht="16.5" customHeight="1" x14ac:dyDescent="0.2">
      <c r="B629" s="40"/>
      <c r="C629" s="41"/>
    </row>
    <row r="630" spans="2:3" ht="16.5" customHeight="1" x14ac:dyDescent="0.2">
      <c r="B630" s="40"/>
      <c r="C630" s="41"/>
    </row>
    <row r="631" spans="2:3" ht="16.5" customHeight="1" x14ac:dyDescent="0.2">
      <c r="B631" s="40"/>
      <c r="C631" s="41"/>
    </row>
    <row r="632" spans="2:3" ht="16.5" customHeight="1" x14ac:dyDescent="0.2">
      <c r="B632" s="40"/>
      <c r="C632" s="41"/>
    </row>
    <row r="633" spans="2:3" ht="16.5" customHeight="1" x14ac:dyDescent="0.2">
      <c r="B633" s="40"/>
      <c r="C633" s="41"/>
    </row>
    <row r="634" spans="2:3" ht="16.5" customHeight="1" x14ac:dyDescent="0.2">
      <c r="B634" s="40"/>
      <c r="C634" s="41"/>
    </row>
    <row r="635" spans="2:3" ht="16.5" customHeight="1" x14ac:dyDescent="0.2">
      <c r="B635" s="40"/>
      <c r="C635" s="41"/>
    </row>
    <row r="636" spans="2:3" ht="16.5" customHeight="1" x14ac:dyDescent="0.2">
      <c r="B636" s="40"/>
      <c r="C636" s="41"/>
    </row>
    <row r="637" spans="2:3" ht="16.5" customHeight="1" x14ac:dyDescent="0.2">
      <c r="B637" s="40"/>
      <c r="C637" s="41"/>
    </row>
    <row r="638" spans="2:3" ht="16.5" customHeight="1" x14ac:dyDescent="0.2">
      <c r="B638" s="40"/>
      <c r="C638" s="41"/>
    </row>
    <row r="639" spans="2:3" ht="16.5" customHeight="1" x14ac:dyDescent="0.2">
      <c r="B639" s="40"/>
      <c r="C639" s="41"/>
    </row>
    <row r="640" spans="2:3" ht="16.5" customHeight="1" x14ac:dyDescent="0.2">
      <c r="B640" s="40"/>
      <c r="C640" s="41"/>
    </row>
    <row r="641" spans="2:3" ht="16.5" customHeight="1" x14ac:dyDescent="0.2">
      <c r="B641" s="40"/>
      <c r="C641" s="41"/>
    </row>
    <row r="642" spans="2:3" ht="16.5" customHeight="1" x14ac:dyDescent="0.2">
      <c r="B642" s="40"/>
      <c r="C642" s="41"/>
    </row>
    <row r="643" spans="2:3" ht="16.5" customHeight="1" x14ac:dyDescent="0.2">
      <c r="B643" s="40"/>
      <c r="C643" s="41"/>
    </row>
    <row r="644" spans="2:3" ht="16.5" customHeight="1" x14ac:dyDescent="0.2">
      <c r="B644" s="40"/>
      <c r="C644" s="41"/>
    </row>
    <row r="645" spans="2:3" ht="16.5" customHeight="1" x14ac:dyDescent="0.2">
      <c r="B645" s="40"/>
      <c r="C645" s="41"/>
    </row>
    <row r="646" spans="2:3" ht="16.5" customHeight="1" x14ac:dyDescent="0.2">
      <c r="B646" s="40"/>
      <c r="C646" s="41"/>
    </row>
    <row r="647" spans="2:3" ht="16.5" customHeight="1" x14ac:dyDescent="0.2">
      <c r="B647" s="40"/>
      <c r="C647" s="41"/>
    </row>
    <row r="648" spans="2:3" ht="16.5" customHeight="1" x14ac:dyDescent="0.2">
      <c r="B648" s="40"/>
      <c r="C648" s="41"/>
    </row>
    <row r="649" spans="2:3" ht="16.5" customHeight="1" x14ac:dyDescent="0.2">
      <c r="B649" s="40"/>
      <c r="C649" s="41"/>
    </row>
    <row r="650" spans="2:3" ht="16.5" customHeight="1" x14ac:dyDescent="0.2">
      <c r="B650" s="40"/>
      <c r="C650" s="41"/>
    </row>
    <row r="651" spans="2:3" ht="16.5" customHeight="1" x14ac:dyDescent="0.2">
      <c r="B651" s="40"/>
      <c r="C651" s="41"/>
    </row>
    <row r="652" spans="2:3" ht="16.5" customHeight="1" x14ac:dyDescent="0.2">
      <c r="B652" s="40"/>
      <c r="C652" s="41"/>
    </row>
    <row r="653" spans="2:3" ht="16.5" customHeight="1" x14ac:dyDescent="0.2">
      <c r="B653" s="40"/>
      <c r="C653" s="41"/>
    </row>
    <row r="654" spans="2:3" ht="16.5" customHeight="1" x14ac:dyDescent="0.2">
      <c r="B654" s="40"/>
      <c r="C654" s="41"/>
    </row>
    <row r="655" spans="2:3" ht="16.5" customHeight="1" x14ac:dyDescent="0.2">
      <c r="B655" s="40"/>
      <c r="C655" s="41"/>
    </row>
    <row r="656" spans="2:3" ht="16.5" customHeight="1" x14ac:dyDescent="0.2">
      <c r="B656" s="40"/>
      <c r="C656" s="41"/>
    </row>
    <row r="657" spans="2:3" ht="16.5" customHeight="1" x14ac:dyDescent="0.2">
      <c r="B657" s="40"/>
      <c r="C657" s="41"/>
    </row>
    <row r="658" spans="2:3" ht="16.5" customHeight="1" x14ac:dyDescent="0.2">
      <c r="B658" s="40"/>
      <c r="C658" s="41"/>
    </row>
    <row r="659" spans="2:3" ht="16.5" customHeight="1" x14ac:dyDescent="0.2">
      <c r="B659" s="40"/>
      <c r="C659" s="41"/>
    </row>
    <row r="660" spans="2:3" ht="16.5" customHeight="1" x14ac:dyDescent="0.2">
      <c r="B660" s="40"/>
      <c r="C660" s="41"/>
    </row>
    <row r="661" spans="2:3" ht="16.5" customHeight="1" x14ac:dyDescent="0.2">
      <c r="B661" s="40"/>
      <c r="C661" s="41"/>
    </row>
    <row r="662" spans="2:3" ht="16.5" customHeight="1" x14ac:dyDescent="0.2">
      <c r="B662" s="40"/>
      <c r="C662" s="41"/>
    </row>
    <row r="663" spans="2:3" ht="16.5" customHeight="1" x14ac:dyDescent="0.2">
      <c r="B663" s="40"/>
      <c r="C663" s="41"/>
    </row>
    <row r="664" spans="2:3" ht="16.5" customHeight="1" x14ac:dyDescent="0.2">
      <c r="B664" s="40"/>
      <c r="C664" s="41"/>
    </row>
    <row r="665" spans="2:3" ht="16.5" customHeight="1" x14ac:dyDescent="0.2">
      <c r="B665" s="40"/>
      <c r="C665" s="41"/>
    </row>
    <row r="666" spans="2:3" ht="16.5" customHeight="1" x14ac:dyDescent="0.2">
      <c r="B666" s="40"/>
      <c r="C666" s="41"/>
    </row>
    <row r="667" spans="2:3" ht="16.5" customHeight="1" x14ac:dyDescent="0.2">
      <c r="B667" s="40"/>
      <c r="C667" s="41"/>
    </row>
    <row r="668" spans="2:3" ht="16.5" customHeight="1" x14ac:dyDescent="0.2">
      <c r="B668" s="40"/>
      <c r="C668" s="41"/>
    </row>
    <row r="669" spans="2:3" ht="16.5" customHeight="1" x14ac:dyDescent="0.2">
      <c r="B669" s="40"/>
      <c r="C669" s="41"/>
    </row>
    <row r="670" spans="2:3" ht="16.5" customHeight="1" x14ac:dyDescent="0.2">
      <c r="B670" s="40"/>
      <c r="C670" s="41"/>
    </row>
    <row r="671" spans="2:3" ht="16.5" customHeight="1" x14ac:dyDescent="0.2">
      <c r="B671" s="40"/>
      <c r="C671" s="41"/>
    </row>
    <row r="672" spans="2:3" ht="16.5" customHeight="1" x14ac:dyDescent="0.2">
      <c r="B672" s="40"/>
      <c r="C672" s="41"/>
    </row>
    <row r="673" spans="2:3" ht="16.5" customHeight="1" x14ac:dyDescent="0.2">
      <c r="B673" s="40"/>
      <c r="C673" s="41"/>
    </row>
    <row r="674" spans="2:3" ht="16.5" customHeight="1" x14ac:dyDescent="0.2">
      <c r="B674" s="40"/>
      <c r="C674" s="41"/>
    </row>
    <row r="675" spans="2:3" ht="16.5" customHeight="1" x14ac:dyDescent="0.2">
      <c r="B675" s="40"/>
      <c r="C675" s="41"/>
    </row>
    <row r="676" spans="2:3" ht="16.5" customHeight="1" x14ac:dyDescent="0.2">
      <c r="B676" s="40"/>
      <c r="C676" s="41"/>
    </row>
    <row r="677" spans="2:3" ht="16.5" customHeight="1" x14ac:dyDescent="0.2">
      <c r="B677" s="40"/>
      <c r="C677" s="41"/>
    </row>
    <row r="678" spans="2:3" ht="16.5" customHeight="1" x14ac:dyDescent="0.2">
      <c r="B678" s="40"/>
      <c r="C678" s="41"/>
    </row>
    <row r="679" spans="2:3" ht="16.5" customHeight="1" x14ac:dyDescent="0.2">
      <c r="B679" s="40"/>
      <c r="C679" s="41"/>
    </row>
    <row r="680" spans="2:3" ht="16.5" customHeight="1" x14ac:dyDescent="0.2">
      <c r="B680" s="40"/>
      <c r="C680" s="41"/>
    </row>
    <row r="681" spans="2:3" ht="16.5" customHeight="1" x14ac:dyDescent="0.2">
      <c r="B681" s="40"/>
      <c r="C681" s="41"/>
    </row>
    <row r="682" spans="2:3" ht="16.5" customHeight="1" x14ac:dyDescent="0.2">
      <c r="B682" s="40"/>
      <c r="C682" s="41"/>
    </row>
    <row r="683" spans="2:3" ht="16.5" customHeight="1" x14ac:dyDescent="0.2">
      <c r="B683" s="40"/>
      <c r="C683" s="41"/>
    </row>
    <row r="684" spans="2:3" ht="16.5" customHeight="1" x14ac:dyDescent="0.2">
      <c r="B684" s="40"/>
      <c r="C684" s="41"/>
    </row>
    <row r="685" spans="2:3" ht="16.5" customHeight="1" x14ac:dyDescent="0.2">
      <c r="B685" s="40"/>
      <c r="C685" s="41"/>
    </row>
    <row r="686" spans="2:3" ht="16.5" customHeight="1" x14ac:dyDescent="0.2">
      <c r="B686" s="40"/>
      <c r="C686" s="41"/>
    </row>
    <row r="687" spans="2:3" ht="16.5" customHeight="1" x14ac:dyDescent="0.2">
      <c r="B687" s="40"/>
      <c r="C687" s="41"/>
    </row>
    <row r="688" spans="2:3" ht="16.5" customHeight="1" x14ac:dyDescent="0.2">
      <c r="B688" s="40"/>
      <c r="C688" s="41"/>
    </row>
    <row r="689" spans="2:3" ht="16.5" customHeight="1" x14ac:dyDescent="0.2">
      <c r="B689" s="40"/>
      <c r="C689" s="41"/>
    </row>
    <row r="690" spans="2:3" ht="16.5" customHeight="1" x14ac:dyDescent="0.2">
      <c r="B690" s="40"/>
      <c r="C690" s="41"/>
    </row>
    <row r="691" spans="2:3" ht="16.5" customHeight="1" x14ac:dyDescent="0.2">
      <c r="B691" s="40"/>
      <c r="C691" s="41"/>
    </row>
    <row r="692" spans="2:3" ht="16.5" customHeight="1" x14ac:dyDescent="0.2">
      <c r="B692" s="40"/>
      <c r="C692" s="41"/>
    </row>
    <row r="693" spans="2:3" ht="16.5" customHeight="1" x14ac:dyDescent="0.2">
      <c r="B693" s="40"/>
      <c r="C693" s="41"/>
    </row>
    <row r="694" spans="2:3" ht="16.5" customHeight="1" x14ac:dyDescent="0.2">
      <c r="B694" s="40"/>
      <c r="C694" s="41"/>
    </row>
    <row r="695" spans="2:3" ht="16.5" customHeight="1" x14ac:dyDescent="0.2">
      <c r="B695" s="40"/>
      <c r="C695" s="41"/>
    </row>
    <row r="696" spans="2:3" ht="16.5" customHeight="1" x14ac:dyDescent="0.2">
      <c r="B696" s="40"/>
      <c r="C696" s="41"/>
    </row>
    <row r="697" spans="2:3" ht="16.5" customHeight="1" x14ac:dyDescent="0.2">
      <c r="B697" s="40"/>
      <c r="C697" s="41"/>
    </row>
    <row r="698" spans="2:3" ht="16.5" customHeight="1" x14ac:dyDescent="0.2">
      <c r="B698" s="40"/>
      <c r="C698" s="41"/>
    </row>
    <row r="699" spans="2:3" ht="16.5" customHeight="1" x14ac:dyDescent="0.2">
      <c r="B699" s="40"/>
      <c r="C699" s="41"/>
    </row>
    <row r="700" spans="2:3" ht="16.5" customHeight="1" x14ac:dyDescent="0.2">
      <c r="B700" s="40"/>
      <c r="C700" s="41"/>
    </row>
    <row r="701" spans="2:3" ht="16.5" customHeight="1" x14ac:dyDescent="0.2">
      <c r="B701" s="40"/>
      <c r="C701" s="41"/>
    </row>
    <row r="702" spans="2:3" ht="16.5" customHeight="1" x14ac:dyDescent="0.2">
      <c r="B702" s="40"/>
      <c r="C702" s="41"/>
    </row>
    <row r="703" spans="2:3" ht="16.5" customHeight="1" x14ac:dyDescent="0.2">
      <c r="B703" s="40"/>
      <c r="C703" s="41"/>
    </row>
    <row r="704" spans="2:3" ht="16.5" customHeight="1" x14ac:dyDescent="0.2">
      <c r="B704" s="40"/>
      <c r="C704" s="41"/>
    </row>
    <row r="705" spans="2:3" ht="16.5" customHeight="1" x14ac:dyDescent="0.2">
      <c r="B705" s="40"/>
      <c r="C705" s="41"/>
    </row>
    <row r="706" spans="2:3" ht="16.5" customHeight="1" x14ac:dyDescent="0.2">
      <c r="B706" s="40"/>
      <c r="C706" s="41"/>
    </row>
    <row r="707" spans="2:3" ht="16.5" customHeight="1" x14ac:dyDescent="0.2">
      <c r="B707" s="40"/>
      <c r="C707" s="41"/>
    </row>
    <row r="708" spans="2:3" ht="16.5" customHeight="1" x14ac:dyDescent="0.2">
      <c r="B708" s="40"/>
      <c r="C708" s="41"/>
    </row>
    <row r="709" spans="2:3" ht="16.5" customHeight="1" x14ac:dyDescent="0.2">
      <c r="B709" s="40"/>
      <c r="C709" s="41"/>
    </row>
    <row r="710" spans="2:3" ht="16.5" customHeight="1" x14ac:dyDescent="0.2">
      <c r="B710" s="40"/>
      <c r="C710" s="41"/>
    </row>
    <row r="711" spans="2:3" ht="16.5" customHeight="1" x14ac:dyDescent="0.2">
      <c r="B711" s="40"/>
      <c r="C711" s="41"/>
    </row>
    <row r="712" spans="2:3" ht="16.5" customHeight="1" x14ac:dyDescent="0.2">
      <c r="B712" s="40"/>
      <c r="C712" s="41"/>
    </row>
    <row r="713" spans="2:3" ht="16.5" customHeight="1" x14ac:dyDescent="0.2">
      <c r="B713" s="40"/>
      <c r="C713" s="41"/>
    </row>
    <row r="714" spans="2:3" ht="16.5" customHeight="1" x14ac:dyDescent="0.2">
      <c r="B714" s="40"/>
      <c r="C714" s="41"/>
    </row>
    <row r="715" spans="2:3" ht="16.5" customHeight="1" x14ac:dyDescent="0.2">
      <c r="B715" s="40"/>
      <c r="C715" s="41"/>
    </row>
    <row r="716" spans="2:3" ht="16.5" customHeight="1" x14ac:dyDescent="0.2">
      <c r="B716" s="40"/>
      <c r="C716" s="41"/>
    </row>
    <row r="717" spans="2:3" ht="16.5" customHeight="1" x14ac:dyDescent="0.2">
      <c r="B717" s="40"/>
      <c r="C717" s="41"/>
    </row>
    <row r="718" spans="2:3" ht="16.5" customHeight="1" x14ac:dyDescent="0.2">
      <c r="B718" s="40"/>
      <c r="C718" s="41"/>
    </row>
    <row r="719" spans="2:3" ht="16.5" customHeight="1" x14ac:dyDescent="0.2">
      <c r="B719" s="40"/>
      <c r="C719" s="41"/>
    </row>
    <row r="720" spans="2:3" ht="16.5" customHeight="1" x14ac:dyDescent="0.2">
      <c r="B720" s="40"/>
      <c r="C720" s="41"/>
    </row>
    <row r="721" spans="2:3" ht="16.5" customHeight="1" x14ac:dyDescent="0.2">
      <c r="B721" s="40"/>
      <c r="C721" s="41"/>
    </row>
    <row r="722" spans="2:3" ht="16.5" customHeight="1" x14ac:dyDescent="0.2">
      <c r="B722" s="40"/>
      <c r="C722" s="41"/>
    </row>
    <row r="723" spans="2:3" ht="16.5" customHeight="1" x14ac:dyDescent="0.2">
      <c r="B723" s="40"/>
      <c r="C723" s="41"/>
    </row>
    <row r="724" spans="2:3" ht="16.5" customHeight="1" x14ac:dyDescent="0.2">
      <c r="B724" s="40"/>
      <c r="C724" s="41"/>
    </row>
    <row r="725" spans="2:3" ht="16.5" customHeight="1" x14ac:dyDescent="0.2">
      <c r="B725" s="40"/>
      <c r="C725" s="41"/>
    </row>
    <row r="726" spans="2:3" ht="16.5" customHeight="1" x14ac:dyDescent="0.2">
      <c r="B726" s="40"/>
      <c r="C726" s="41"/>
    </row>
    <row r="727" spans="2:3" ht="16.5" customHeight="1" x14ac:dyDescent="0.2">
      <c r="B727" s="40"/>
      <c r="C727" s="41"/>
    </row>
    <row r="728" spans="2:3" ht="16.5" customHeight="1" x14ac:dyDescent="0.2">
      <c r="B728" s="40"/>
      <c r="C728" s="41"/>
    </row>
    <row r="729" spans="2:3" ht="16.5" customHeight="1" x14ac:dyDescent="0.2">
      <c r="B729" s="40"/>
      <c r="C729" s="41"/>
    </row>
    <row r="730" spans="2:3" ht="16.5" customHeight="1" x14ac:dyDescent="0.2">
      <c r="B730" s="40"/>
      <c r="C730" s="41"/>
    </row>
    <row r="731" spans="2:3" ht="16.5" customHeight="1" x14ac:dyDescent="0.2">
      <c r="B731" s="40"/>
      <c r="C731" s="41"/>
    </row>
    <row r="732" spans="2:3" ht="16.5" customHeight="1" x14ac:dyDescent="0.2">
      <c r="B732" s="40"/>
      <c r="C732" s="41"/>
    </row>
    <row r="733" spans="2:3" ht="16.5" customHeight="1" x14ac:dyDescent="0.2">
      <c r="B733" s="40"/>
      <c r="C733" s="41"/>
    </row>
    <row r="734" spans="2:3" ht="16.5" customHeight="1" x14ac:dyDescent="0.2">
      <c r="B734" s="40"/>
      <c r="C734" s="41"/>
    </row>
    <row r="735" spans="2:3" ht="16.5" customHeight="1" x14ac:dyDescent="0.2">
      <c r="B735" s="40"/>
      <c r="C735" s="41"/>
    </row>
    <row r="736" spans="2:3" ht="16.5" customHeight="1" x14ac:dyDescent="0.2">
      <c r="B736" s="40"/>
      <c r="C736" s="41"/>
    </row>
    <row r="737" spans="2:3" ht="16.5" customHeight="1" x14ac:dyDescent="0.2">
      <c r="B737" s="40"/>
      <c r="C737" s="41"/>
    </row>
    <row r="738" spans="2:3" ht="16.5" customHeight="1" x14ac:dyDescent="0.2">
      <c r="B738" s="40"/>
      <c r="C738" s="41"/>
    </row>
    <row r="739" spans="2:3" ht="16.5" customHeight="1" x14ac:dyDescent="0.2">
      <c r="B739" s="40"/>
      <c r="C739" s="41"/>
    </row>
    <row r="740" spans="2:3" ht="16.5" customHeight="1" x14ac:dyDescent="0.2">
      <c r="B740" s="40"/>
      <c r="C740" s="41"/>
    </row>
    <row r="741" spans="2:3" ht="16.5" customHeight="1" x14ac:dyDescent="0.2">
      <c r="B741" s="40"/>
      <c r="C741" s="41"/>
    </row>
    <row r="742" spans="2:3" ht="16.5" customHeight="1" x14ac:dyDescent="0.2">
      <c r="B742" s="40"/>
      <c r="C742" s="41"/>
    </row>
    <row r="743" spans="2:3" ht="16.5" customHeight="1" x14ac:dyDescent="0.2">
      <c r="B743" s="40"/>
      <c r="C743" s="41"/>
    </row>
    <row r="744" spans="2:3" ht="16.5" customHeight="1" x14ac:dyDescent="0.2">
      <c r="B744" s="40"/>
      <c r="C744" s="41"/>
    </row>
    <row r="745" spans="2:3" ht="16.5" customHeight="1" x14ac:dyDescent="0.2">
      <c r="B745" s="40"/>
      <c r="C745" s="41"/>
    </row>
    <row r="746" spans="2:3" ht="16.5" customHeight="1" x14ac:dyDescent="0.2">
      <c r="B746" s="40"/>
      <c r="C746" s="41"/>
    </row>
    <row r="747" spans="2:3" ht="16.5" customHeight="1" x14ac:dyDescent="0.2">
      <c r="B747" s="40"/>
      <c r="C747" s="41"/>
    </row>
    <row r="748" spans="2:3" ht="16.5" customHeight="1" x14ac:dyDescent="0.2">
      <c r="B748" s="40"/>
      <c r="C748" s="41"/>
    </row>
    <row r="749" spans="2:3" ht="16.5" customHeight="1" x14ac:dyDescent="0.2">
      <c r="B749" s="40"/>
      <c r="C749" s="41"/>
    </row>
    <row r="750" spans="2:3" ht="16.5" customHeight="1" x14ac:dyDescent="0.2">
      <c r="B750" s="40"/>
      <c r="C750" s="41"/>
    </row>
    <row r="751" spans="2:3" ht="16.5" customHeight="1" x14ac:dyDescent="0.2">
      <c r="B751" s="40"/>
      <c r="C751" s="41"/>
    </row>
    <row r="752" spans="2:3" ht="16.5" customHeight="1" x14ac:dyDescent="0.2">
      <c r="B752" s="40"/>
      <c r="C752" s="41"/>
    </row>
    <row r="753" spans="2:3" ht="16.5" customHeight="1" x14ac:dyDescent="0.2">
      <c r="B753" s="40"/>
      <c r="C753" s="41"/>
    </row>
    <row r="754" spans="2:3" ht="16.5" customHeight="1" x14ac:dyDescent="0.2">
      <c r="B754" s="40"/>
      <c r="C754" s="41"/>
    </row>
    <row r="755" spans="2:3" ht="16.5" customHeight="1" x14ac:dyDescent="0.2">
      <c r="B755" s="40"/>
      <c r="C755" s="41"/>
    </row>
    <row r="756" spans="2:3" ht="16.5" customHeight="1" x14ac:dyDescent="0.2">
      <c r="B756" s="40"/>
      <c r="C756" s="41"/>
    </row>
    <row r="757" spans="2:3" ht="16.5" customHeight="1" x14ac:dyDescent="0.2">
      <c r="B757" s="40"/>
      <c r="C757" s="41"/>
    </row>
    <row r="758" spans="2:3" ht="16.5" customHeight="1" x14ac:dyDescent="0.2">
      <c r="B758" s="40"/>
      <c r="C758" s="41"/>
    </row>
    <row r="759" spans="2:3" ht="16.5" customHeight="1" x14ac:dyDescent="0.2">
      <c r="B759" s="40"/>
      <c r="C759" s="41"/>
    </row>
    <row r="760" spans="2:3" ht="16.5" customHeight="1" x14ac:dyDescent="0.2">
      <c r="B760" s="40"/>
      <c r="C760" s="41"/>
    </row>
    <row r="761" spans="2:3" ht="16.5" customHeight="1" x14ac:dyDescent="0.2">
      <c r="B761" s="40"/>
      <c r="C761" s="41"/>
    </row>
    <row r="762" spans="2:3" ht="16.5" customHeight="1" x14ac:dyDescent="0.2">
      <c r="B762" s="40"/>
      <c r="C762" s="41"/>
    </row>
    <row r="763" spans="2:3" ht="16.5" customHeight="1" x14ac:dyDescent="0.2">
      <c r="B763" s="40"/>
      <c r="C763" s="41"/>
    </row>
    <row r="764" spans="2:3" ht="16.5" customHeight="1" x14ac:dyDescent="0.2">
      <c r="B764" s="40"/>
      <c r="C764" s="41"/>
    </row>
    <row r="765" spans="2:3" ht="16.5" customHeight="1" x14ac:dyDescent="0.2">
      <c r="B765" s="40"/>
      <c r="C765" s="41"/>
    </row>
    <row r="766" spans="2:3" ht="16.5" customHeight="1" x14ac:dyDescent="0.2">
      <c r="B766" s="40"/>
      <c r="C766" s="41"/>
    </row>
    <row r="767" spans="2:3" ht="16.5" customHeight="1" x14ac:dyDescent="0.2">
      <c r="B767" s="40"/>
      <c r="C767" s="41"/>
    </row>
    <row r="768" spans="2:3" ht="16.5" customHeight="1" x14ac:dyDescent="0.2">
      <c r="B768" s="40"/>
      <c r="C768" s="41"/>
    </row>
    <row r="769" spans="2:3" ht="16.5" customHeight="1" x14ac:dyDescent="0.2">
      <c r="B769" s="40"/>
      <c r="C769" s="41"/>
    </row>
    <row r="770" spans="2:3" ht="16.5" customHeight="1" x14ac:dyDescent="0.2">
      <c r="B770" s="40"/>
      <c r="C770" s="41"/>
    </row>
    <row r="771" spans="2:3" ht="16.5" customHeight="1" x14ac:dyDescent="0.2">
      <c r="B771" s="40"/>
      <c r="C771" s="41"/>
    </row>
    <row r="772" spans="2:3" ht="16.5" customHeight="1" x14ac:dyDescent="0.2">
      <c r="B772" s="40"/>
      <c r="C772" s="41"/>
    </row>
    <row r="773" spans="2:3" ht="16.5" customHeight="1" x14ac:dyDescent="0.2">
      <c r="B773" s="40"/>
      <c r="C773" s="41"/>
    </row>
    <row r="774" spans="2:3" ht="16.5" customHeight="1" x14ac:dyDescent="0.2">
      <c r="B774" s="40"/>
      <c r="C774" s="41"/>
    </row>
    <row r="775" spans="2:3" ht="16.5" customHeight="1" x14ac:dyDescent="0.2">
      <c r="B775" s="40"/>
      <c r="C775" s="41"/>
    </row>
    <row r="776" spans="2:3" ht="16.5" customHeight="1" x14ac:dyDescent="0.2">
      <c r="B776" s="40"/>
      <c r="C776" s="41"/>
    </row>
    <row r="777" spans="2:3" ht="16.5" customHeight="1" x14ac:dyDescent="0.2">
      <c r="B777" s="40"/>
      <c r="C777" s="41"/>
    </row>
    <row r="778" spans="2:3" ht="16.5" customHeight="1" x14ac:dyDescent="0.2">
      <c r="B778" s="40"/>
      <c r="C778" s="41"/>
    </row>
    <row r="779" spans="2:3" ht="16.5" customHeight="1" x14ac:dyDescent="0.2">
      <c r="B779" s="40"/>
      <c r="C779" s="41"/>
    </row>
    <row r="780" spans="2:3" ht="16.5" customHeight="1" x14ac:dyDescent="0.2">
      <c r="B780" s="40"/>
      <c r="C780" s="41"/>
    </row>
    <row r="781" spans="2:3" ht="16.5" customHeight="1" x14ac:dyDescent="0.2">
      <c r="B781" s="40"/>
      <c r="C781" s="41"/>
    </row>
    <row r="782" spans="2:3" ht="16.5" customHeight="1" x14ac:dyDescent="0.2">
      <c r="B782" s="40"/>
      <c r="C782" s="41"/>
    </row>
    <row r="783" spans="2:3" ht="16.5" customHeight="1" x14ac:dyDescent="0.2">
      <c r="B783" s="40"/>
      <c r="C783" s="41"/>
    </row>
    <row r="784" spans="2:3" ht="16.5" customHeight="1" x14ac:dyDescent="0.2">
      <c r="B784" s="40"/>
      <c r="C784" s="41"/>
    </row>
    <row r="785" spans="2:3" ht="16.5" customHeight="1" x14ac:dyDescent="0.2">
      <c r="B785" s="40"/>
      <c r="C785" s="41"/>
    </row>
    <row r="786" spans="2:3" ht="16.5" customHeight="1" x14ac:dyDescent="0.2">
      <c r="B786" s="40"/>
      <c r="C786" s="41"/>
    </row>
    <row r="787" spans="2:3" ht="16.5" customHeight="1" x14ac:dyDescent="0.2">
      <c r="B787" s="40"/>
      <c r="C787" s="41"/>
    </row>
    <row r="788" spans="2:3" ht="16.5" customHeight="1" x14ac:dyDescent="0.2">
      <c r="B788" s="40"/>
      <c r="C788" s="41"/>
    </row>
    <row r="789" spans="2:3" ht="16.5" customHeight="1" x14ac:dyDescent="0.2">
      <c r="B789" s="40"/>
      <c r="C789" s="41"/>
    </row>
    <row r="790" spans="2:3" ht="16.5" customHeight="1" x14ac:dyDescent="0.2">
      <c r="B790" s="40"/>
      <c r="C790" s="41"/>
    </row>
    <row r="791" spans="2:3" ht="16.5" customHeight="1" x14ac:dyDescent="0.2">
      <c r="B791" s="40"/>
      <c r="C791" s="41"/>
    </row>
    <row r="792" spans="2:3" ht="16.5" customHeight="1" x14ac:dyDescent="0.2">
      <c r="B792" s="40"/>
      <c r="C792" s="41"/>
    </row>
    <row r="793" spans="2:3" ht="16.5" customHeight="1" x14ac:dyDescent="0.2">
      <c r="B793" s="40"/>
      <c r="C793" s="41"/>
    </row>
    <row r="794" spans="2:3" ht="16.5" customHeight="1" x14ac:dyDescent="0.2">
      <c r="B794" s="40"/>
      <c r="C794" s="41"/>
    </row>
    <row r="795" spans="2:3" ht="16.5" customHeight="1" x14ac:dyDescent="0.2">
      <c r="B795" s="40"/>
      <c r="C795" s="41"/>
    </row>
    <row r="796" spans="2:3" ht="16.5" customHeight="1" x14ac:dyDescent="0.2">
      <c r="B796" s="40"/>
      <c r="C796" s="41"/>
    </row>
    <row r="797" spans="2:3" ht="16.5" customHeight="1" x14ac:dyDescent="0.2">
      <c r="B797" s="40"/>
      <c r="C797" s="41"/>
    </row>
    <row r="798" spans="2:3" ht="16.5" customHeight="1" x14ac:dyDescent="0.2">
      <c r="B798" s="40"/>
      <c r="C798" s="41"/>
    </row>
    <row r="799" spans="2:3" ht="16.5" customHeight="1" x14ac:dyDescent="0.2">
      <c r="B799" s="40"/>
      <c r="C799" s="41"/>
    </row>
    <row r="800" spans="2:3" ht="16.5" customHeight="1" x14ac:dyDescent="0.2">
      <c r="B800" s="40"/>
      <c r="C800" s="41"/>
    </row>
    <row r="801" spans="2:3" ht="16.5" customHeight="1" x14ac:dyDescent="0.2">
      <c r="B801" s="40"/>
      <c r="C801" s="41"/>
    </row>
    <row r="802" spans="2:3" ht="16.5" customHeight="1" x14ac:dyDescent="0.2">
      <c r="B802" s="40"/>
      <c r="C802" s="41"/>
    </row>
    <row r="803" spans="2:3" ht="16.5" customHeight="1" x14ac:dyDescent="0.2">
      <c r="B803" s="40"/>
      <c r="C803" s="41"/>
    </row>
    <row r="804" spans="2:3" ht="16.5" customHeight="1" x14ac:dyDescent="0.2">
      <c r="B804" s="40"/>
      <c r="C804" s="41"/>
    </row>
    <row r="805" spans="2:3" ht="16.5" customHeight="1" x14ac:dyDescent="0.2">
      <c r="B805" s="40"/>
      <c r="C805" s="41"/>
    </row>
    <row r="806" spans="2:3" ht="16.5" customHeight="1" x14ac:dyDescent="0.2">
      <c r="B806" s="40"/>
      <c r="C806" s="41"/>
    </row>
    <row r="807" spans="2:3" ht="16.5" customHeight="1" x14ac:dyDescent="0.2">
      <c r="B807" s="40"/>
      <c r="C807" s="41"/>
    </row>
    <row r="808" spans="2:3" ht="16.5" customHeight="1" x14ac:dyDescent="0.2">
      <c r="B808" s="40"/>
      <c r="C808" s="41"/>
    </row>
    <row r="809" spans="2:3" ht="16.5" customHeight="1" x14ac:dyDescent="0.2">
      <c r="B809" s="40"/>
      <c r="C809" s="41"/>
    </row>
    <row r="810" spans="2:3" ht="16.5" customHeight="1" x14ac:dyDescent="0.2">
      <c r="B810" s="40"/>
      <c r="C810" s="41"/>
    </row>
    <row r="811" spans="2:3" ht="16.5" customHeight="1" x14ac:dyDescent="0.2">
      <c r="B811" s="40"/>
      <c r="C811" s="41"/>
    </row>
    <row r="812" spans="2:3" ht="16.5" customHeight="1" x14ac:dyDescent="0.2">
      <c r="B812" s="40"/>
      <c r="C812" s="41"/>
    </row>
    <row r="813" spans="2:3" ht="16.5" customHeight="1" x14ac:dyDescent="0.2">
      <c r="B813" s="40"/>
      <c r="C813" s="41"/>
    </row>
    <row r="814" spans="2:3" ht="16.5" customHeight="1" x14ac:dyDescent="0.2">
      <c r="B814" s="40"/>
      <c r="C814" s="41"/>
    </row>
    <row r="815" spans="2:3" ht="16.5" customHeight="1" x14ac:dyDescent="0.2">
      <c r="B815" s="40"/>
      <c r="C815" s="41"/>
    </row>
    <row r="816" spans="2:3" ht="16.5" customHeight="1" x14ac:dyDescent="0.2">
      <c r="B816" s="40"/>
      <c r="C816" s="41"/>
    </row>
    <row r="817" spans="2:3" ht="16.5" customHeight="1" x14ac:dyDescent="0.2">
      <c r="B817" s="40"/>
      <c r="C817" s="41"/>
    </row>
    <row r="818" spans="2:3" ht="16.5" customHeight="1" x14ac:dyDescent="0.2">
      <c r="B818" s="40"/>
      <c r="C818" s="41"/>
    </row>
    <row r="819" spans="2:3" ht="16.5" customHeight="1" x14ac:dyDescent="0.2">
      <c r="B819" s="40"/>
      <c r="C819" s="41"/>
    </row>
    <row r="820" spans="2:3" ht="16.5" customHeight="1" x14ac:dyDescent="0.2">
      <c r="B820" s="40"/>
      <c r="C820" s="41"/>
    </row>
    <row r="821" spans="2:3" ht="16.5" customHeight="1" x14ac:dyDescent="0.2">
      <c r="B821" s="40"/>
      <c r="C821" s="41"/>
    </row>
    <row r="822" spans="2:3" ht="16.5" customHeight="1" x14ac:dyDescent="0.2">
      <c r="B822" s="40"/>
      <c r="C822" s="41"/>
    </row>
    <row r="823" spans="2:3" ht="16.5" customHeight="1" x14ac:dyDescent="0.2">
      <c r="B823" s="40"/>
      <c r="C823" s="41"/>
    </row>
    <row r="824" spans="2:3" ht="16.5" customHeight="1" x14ac:dyDescent="0.2">
      <c r="B824" s="40"/>
      <c r="C824" s="41"/>
    </row>
    <row r="825" spans="2:3" ht="16.5" customHeight="1" x14ac:dyDescent="0.2">
      <c r="B825" s="40"/>
      <c r="C825" s="41"/>
    </row>
    <row r="826" spans="2:3" ht="16.5" customHeight="1" x14ac:dyDescent="0.2">
      <c r="B826" s="40"/>
      <c r="C826" s="41"/>
    </row>
    <row r="827" spans="2:3" ht="16.5" customHeight="1" x14ac:dyDescent="0.2">
      <c r="B827" s="40"/>
      <c r="C827" s="41"/>
    </row>
    <row r="828" spans="2:3" ht="16.5" customHeight="1" x14ac:dyDescent="0.2">
      <c r="B828" s="40"/>
      <c r="C828" s="41"/>
    </row>
    <row r="829" spans="2:3" ht="16.5" customHeight="1" x14ac:dyDescent="0.2">
      <c r="B829" s="40"/>
      <c r="C829" s="41"/>
    </row>
    <row r="830" spans="2:3" ht="16.5" customHeight="1" x14ac:dyDescent="0.2">
      <c r="B830" s="40"/>
      <c r="C830" s="41"/>
    </row>
    <row r="831" spans="2:3" ht="16.5" customHeight="1" x14ac:dyDescent="0.2">
      <c r="B831" s="40"/>
      <c r="C831" s="41"/>
    </row>
    <row r="832" spans="2:3" ht="16.5" customHeight="1" x14ac:dyDescent="0.2">
      <c r="B832" s="40"/>
      <c r="C832" s="41"/>
    </row>
    <row r="833" spans="2:3" ht="16.5" customHeight="1" x14ac:dyDescent="0.2">
      <c r="B833" s="40"/>
      <c r="C833" s="41"/>
    </row>
    <row r="834" spans="2:3" ht="16.5" customHeight="1" x14ac:dyDescent="0.2">
      <c r="B834" s="40"/>
      <c r="C834" s="41"/>
    </row>
    <row r="835" spans="2:3" ht="16.5" customHeight="1" x14ac:dyDescent="0.2">
      <c r="B835" s="40"/>
      <c r="C835" s="41"/>
    </row>
    <row r="836" spans="2:3" ht="16.5" customHeight="1" x14ac:dyDescent="0.2">
      <c r="B836" s="40"/>
      <c r="C836" s="41"/>
    </row>
    <row r="837" spans="2:3" ht="16.5" customHeight="1" x14ac:dyDescent="0.2">
      <c r="B837" s="40"/>
      <c r="C837" s="41"/>
    </row>
    <row r="838" spans="2:3" ht="16.5" customHeight="1" x14ac:dyDescent="0.2">
      <c r="B838" s="40"/>
      <c r="C838" s="41"/>
    </row>
    <row r="839" spans="2:3" ht="16.5" customHeight="1" x14ac:dyDescent="0.2">
      <c r="B839" s="40"/>
      <c r="C839" s="41"/>
    </row>
    <row r="840" spans="2:3" ht="16.5" customHeight="1" x14ac:dyDescent="0.2">
      <c r="B840" s="40"/>
      <c r="C840" s="41"/>
    </row>
    <row r="841" spans="2:3" ht="16.5" customHeight="1" x14ac:dyDescent="0.2">
      <c r="B841" s="40"/>
      <c r="C841" s="41"/>
    </row>
    <row r="842" spans="2:3" ht="16.5" customHeight="1" x14ac:dyDescent="0.2">
      <c r="B842" s="40"/>
      <c r="C842" s="41"/>
    </row>
    <row r="843" spans="2:3" ht="16.5" customHeight="1" x14ac:dyDescent="0.2">
      <c r="B843" s="40"/>
      <c r="C843" s="41"/>
    </row>
    <row r="844" spans="2:3" ht="16.5" customHeight="1" x14ac:dyDescent="0.2">
      <c r="B844" s="40"/>
      <c r="C844" s="41"/>
    </row>
    <row r="845" spans="2:3" ht="16.5" customHeight="1" x14ac:dyDescent="0.2">
      <c r="B845" s="40"/>
      <c r="C845" s="41"/>
    </row>
    <row r="846" spans="2:3" ht="16.5" customHeight="1" x14ac:dyDescent="0.2">
      <c r="B846" s="40"/>
      <c r="C846" s="41"/>
    </row>
    <row r="847" spans="2:3" ht="16.5" customHeight="1" x14ac:dyDescent="0.2">
      <c r="B847" s="40"/>
      <c r="C847" s="41"/>
    </row>
    <row r="848" spans="2:3" ht="16.5" customHeight="1" x14ac:dyDescent="0.2">
      <c r="B848" s="40"/>
      <c r="C848" s="41"/>
    </row>
    <row r="849" spans="2:3" ht="16.5" customHeight="1" x14ac:dyDescent="0.2">
      <c r="B849" s="40"/>
      <c r="C849" s="41"/>
    </row>
    <row r="850" spans="2:3" ht="16.5" customHeight="1" x14ac:dyDescent="0.2">
      <c r="B850" s="40"/>
      <c r="C850" s="41"/>
    </row>
    <row r="851" spans="2:3" ht="16.5" customHeight="1" x14ac:dyDescent="0.2">
      <c r="B851" s="40"/>
      <c r="C851" s="41"/>
    </row>
    <row r="852" spans="2:3" ht="16.5" customHeight="1" x14ac:dyDescent="0.2">
      <c r="B852" s="40"/>
      <c r="C852" s="41"/>
    </row>
    <row r="853" spans="2:3" ht="16.5" customHeight="1" x14ac:dyDescent="0.2">
      <c r="B853" s="40"/>
      <c r="C853" s="41"/>
    </row>
    <row r="854" spans="2:3" ht="16.5" customHeight="1" x14ac:dyDescent="0.2">
      <c r="B854" s="40"/>
      <c r="C854" s="41"/>
    </row>
    <row r="855" spans="2:3" ht="16.5" customHeight="1" x14ac:dyDescent="0.2">
      <c r="B855" s="40"/>
      <c r="C855" s="41"/>
    </row>
    <row r="856" spans="2:3" ht="16.5" customHeight="1" x14ac:dyDescent="0.2">
      <c r="B856" s="40"/>
      <c r="C856" s="41"/>
    </row>
    <row r="857" spans="2:3" ht="16.5" customHeight="1" x14ac:dyDescent="0.2">
      <c r="B857" s="40"/>
      <c r="C857" s="41"/>
    </row>
    <row r="858" spans="2:3" ht="16.5" customHeight="1" x14ac:dyDescent="0.2">
      <c r="B858" s="40"/>
      <c r="C858" s="41"/>
    </row>
    <row r="859" spans="2:3" ht="16.5" customHeight="1" x14ac:dyDescent="0.2">
      <c r="B859" s="40"/>
      <c r="C859" s="41"/>
    </row>
    <row r="860" spans="2:3" ht="16.5" customHeight="1" x14ac:dyDescent="0.2">
      <c r="B860" s="40"/>
      <c r="C860" s="41"/>
    </row>
    <row r="861" spans="2:3" ht="16.5" customHeight="1" x14ac:dyDescent="0.2">
      <c r="B861" s="40"/>
      <c r="C861" s="41"/>
    </row>
    <row r="862" spans="2:3" ht="16.5" customHeight="1" x14ac:dyDescent="0.2">
      <c r="B862" s="40"/>
      <c r="C862" s="41"/>
    </row>
    <row r="863" spans="2:3" ht="16.5" customHeight="1" x14ac:dyDescent="0.2">
      <c r="B863" s="40"/>
      <c r="C863" s="41"/>
    </row>
    <row r="864" spans="2:3" ht="16.5" customHeight="1" x14ac:dyDescent="0.2">
      <c r="B864" s="40"/>
      <c r="C864" s="41"/>
    </row>
    <row r="865" spans="2:3" ht="16.5" customHeight="1" x14ac:dyDescent="0.2">
      <c r="B865" s="40"/>
      <c r="C865" s="41"/>
    </row>
    <row r="866" spans="2:3" ht="16.5" customHeight="1" x14ac:dyDescent="0.2">
      <c r="B866" s="40"/>
      <c r="C866" s="41"/>
    </row>
    <row r="867" spans="2:3" ht="16.5" customHeight="1" x14ac:dyDescent="0.2">
      <c r="B867" s="40"/>
      <c r="C867" s="41"/>
    </row>
    <row r="868" spans="2:3" ht="16.5" customHeight="1" x14ac:dyDescent="0.2">
      <c r="B868" s="40"/>
      <c r="C868" s="41"/>
    </row>
    <row r="869" spans="2:3" ht="16.5" customHeight="1" x14ac:dyDescent="0.2">
      <c r="B869" s="40"/>
      <c r="C869" s="41"/>
    </row>
    <row r="870" spans="2:3" ht="16.5" customHeight="1" x14ac:dyDescent="0.2">
      <c r="B870" s="40"/>
      <c r="C870" s="41"/>
    </row>
    <row r="871" spans="2:3" ht="16.5" customHeight="1" x14ac:dyDescent="0.2">
      <c r="B871" s="40"/>
      <c r="C871" s="41"/>
    </row>
    <row r="872" spans="2:3" ht="16.5" customHeight="1" x14ac:dyDescent="0.2">
      <c r="B872" s="40"/>
      <c r="C872" s="41"/>
    </row>
    <row r="873" spans="2:3" ht="16.5" customHeight="1" x14ac:dyDescent="0.2">
      <c r="B873" s="40"/>
      <c r="C873" s="41"/>
    </row>
    <row r="874" spans="2:3" ht="16.5" customHeight="1" x14ac:dyDescent="0.2">
      <c r="B874" s="40"/>
      <c r="C874" s="41"/>
    </row>
    <row r="875" spans="2:3" ht="16.5" customHeight="1" x14ac:dyDescent="0.2">
      <c r="B875" s="40"/>
      <c r="C875" s="41"/>
    </row>
    <row r="876" spans="2:3" ht="16.5" customHeight="1" x14ac:dyDescent="0.2">
      <c r="B876" s="40"/>
      <c r="C876" s="41"/>
    </row>
    <row r="877" spans="2:3" ht="16.5" customHeight="1" x14ac:dyDescent="0.2">
      <c r="B877" s="40"/>
      <c r="C877" s="41"/>
    </row>
    <row r="878" spans="2:3" ht="16.5" customHeight="1" x14ac:dyDescent="0.2">
      <c r="B878" s="40"/>
      <c r="C878" s="41"/>
    </row>
    <row r="879" spans="2:3" ht="16.5" customHeight="1" x14ac:dyDescent="0.2">
      <c r="B879" s="40"/>
      <c r="C879" s="41"/>
    </row>
    <row r="880" spans="2:3" ht="16.5" customHeight="1" x14ac:dyDescent="0.2">
      <c r="B880" s="40"/>
      <c r="C880" s="41"/>
    </row>
    <row r="881" spans="2:3" ht="16.5" customHeight="1" x14ac:dyDescent="0.2">
      <c r="B881" s="40"/>
      <c r="C881" s="41"/>
    </row>
    <row r="882" spans="2:3" ht="16.5" customHeight="1" x14ac:dyDescent="0.2">
      <c r="B882" s="40"/>
      <c r="C882" s="41"/>
    </row>
    <row r="883" spans="2:3" ht="16.5" customHeight="1" x14ac:dyDescent="0.2">
      <c r="B883" s="40"/>
      <c r="C883" s="41"/>
    </row>
    <row r="884" spans="2:3" ht="16.5" customHeight="1" x14ac:dyDescent="0.2">
      <c r="B884" s="40"/>
      <c r="C884" s="41"/>
    </row>
    <row r="885" spans="2:3" ht="16.5" customHeight="1" x14ac:dyDescent="0.2">
      <c r="B885" s="40"/>
      <c r="C885" s="41"/>
    </row>
    <row r="886" spans="2:3" ht="16.5" customHeight="1" x14ac:dyDescent="0.2">
      <c r="B886" s="40"/>
      <c r="C886" s="41"/>
    </row>
    <row r="887" spans="2:3" ht="16.5" customHeight="1" x14ac:dyDescent="0.2">
      <c r="B887" s="40"/>
      <c r="C887" s="41"/>
    </row>
    <row r="888" spans="2:3" ht="16.5" customHeight="1" x14ac:dyDescent="0.2">
      <c r="B888" s="40"/>
      <c r="C888" s="41"/>
    </row>
    <row r="889" spans="2:3" ht="16.5" customHeight="1" x14ac:dyDescent="0.2">
      <c r="B889" s="40"/>
      <c r="C889" s="41"/>
    </row>
    <row r="890" spans="2:3" ht="16.5" customHeight="1" x14ac:dyDescent="0.2">
      <c r="B890" s="40"/>
      <c r="C890" s="41"/>
    </row>
    <row r="891" spans="2:3" ht="16.5" customHeight="1" x14ac:dyDescent="0.2">
      <c r="B891" s="40"/>
      <c r="C891" s="41"/>
    </row>
    <row r="892" spans="2:3" ht="16.5" customHeight="1" x14ac:dyDescent="0.2">
      <c r="B892" s="40"/>
      <c r="C892" s="41"/>
    </row>
    <row r="893" spans="2:3" ht="16.5" customHeight="1" x14ac:dyDescent="0.2">
      <c r="B893" s="40"/>
      <c r="C893" s="41"/>
    </row>
    <row r="894" spans="2:3" ht="16.5" customHeight="1" x14ac:dyDescent="0.2">
      <c r="B894" s="40"/>
      <c r="C894" s="41"/>
    </row>
    <row r="895" spans="2:3" ht="16.5" customHeight="1" x14ac:dyDescent="0.2">
      <c r="B895" s="40"/>
      <c r="C895" s="41"/>
    </row>
    <row r="896" spans="2:3" ht="16.5" customHeight="1" x14ac:dyDescent="0.2">
      <c r="B896" s="40"/>
      <c r="C896" s="41"/>
    </row>
    <row r="897" spans="2:3" ht="16.5" customHeight="1" x14ac:dyDescent="0.2">
      <c r="B897" s="40"/>
      <c r="C897" s="41"/>
    </row>
    <row r="898" spans="2:3" ht="16.5" customHeight="1" x14ac:dyDescent="0.2">
      <c r="B898" s="40"/>
      <c r="C898" s="41"/>
    </row>
    <row r="899" spans="2:3" ht="16.5" customHeight="1" x14ac:dyDescent="0.2">
      <c r="B899" s="40"/>
      <c r="C899" s="41"/>
    </row>
    <row r="900" spans="2:3" ht="16.5" customHeight="1" x14ac:dyDescent="0.2">
      <c r="B900" s="40"/>
      <c r="C900" s="41"/>
    </row>
    <row r="901" spans="2:3" ht="16.5" customHeight="1" x14ac:dyDescent="0.2">
      <c r="B901" s="40"/>
      <c r="C901" s="41"/>
    </row>
    <row r="902" spans="2:3" ht="16.5" customHeight="1" x14ac:dyDescent="0.2">
      <c r="B902" s="40"/>
      <c r="C902" s="41"/>
    </row>
    <row r="903" spans="2:3" ht="16.5" customHeight="1" x14ac:dyDescent="0.2">
      <c r="B903" s="40"/>
      <c r="C903" s="41"/>
    </row>
    <row r="904" spans="2:3" ht="16.5" customHeight="1" x14ac:dyDescent="0.2">
      <c r="B904" s="40"/>
      <c r="C904" s="41"/>
    </row>
    <row r="905" spans="2:3" ht="16.5" customHeight="1" x14ac:dyDescent="0.2">
      <c r="B905" s="40"/>
      <c r="C905" s="41"/>
    </row>
    <row r="906" spans="2:3" ht="16.5" customHeight="1" x14ac:dyDescent="0.2">
      <c r="B906" s="40"/>
      <c r="C906" s="41"/>
    </row>
    <row r="907" spans="2:3" ht="16.5" customHeight="1" x14ac:dyDescent="0.2">
      <c r="B907" s="40"/>
      <c r="C907" s="41"/>
    </row>
    <row r="908" spans="2:3" ht="16.5" customHeight="1" x14ac:dyDescent="0.2">
      <c r="B908" s="40"/>
      <c r="C908" s="41"/>
    </row>
    <row r="909" spans="2:3" ht="16.5" customHeight="1" x14ac:dyDescent="0.2">
      <c r="B909" s="40"/>
      <c r="C909" s="41"/>
    </row>
    <row r="910" spans="2:3" ht="16.5" customHeight="1" x14ac:dyDescent="0.2">
      <c r="B910" s="40"/>
      <c r="C910" s="41"/>
    </row>
    <row r="911" spans="2:3" ht="16.5" customHeight="1" x14ac:dyDescent="0.2">
      <c r="B911" s="40"/>
      <c r="C911" s="41"/>
    </row>
    <row r="912" spans="2:3" ht="16.5" customHeight="1" x14ac:dyDescent="0.2">
      <c r="B912" s="40"/>
      <c r="C912" s="41"/>
    </row>
    <row r="913" spans="2:3" ht="16.5" customHeight="1" x14ac:dyDescent="0.2">
      <c r="B913" s="40"/>
      <c r="C913" s="41"/>
    </row>
    <row r="914" spans="2:3" ht="16.5" customHeight="1" x14ac:dyDescent="0.2">
      <c r="B914" s="40"/>
      <c r="C914" s="41"/>
    </row>
    <row r="915" spans="2:3" ht="16.5" customHeight="1" x14ac:dyDescent="0.2">
      <c r="B915" s="40"/>
      <c r="C915" s="41"/>
    </row>
    <row r="916" spans="2:3" ht="16.5" customHeight="1" x14ac:dyDescent="0.2">
      <c r="B916" s="40"/>
      <c r="C916" s="41"/>
    </row>
    <row r="917" spans="2:3" ht="16.5" customHeight="1" x14ac:dyDescent="0.2">
      <c r="B917" s="40"/>
      <c r="C917" s="41"/>
    </row>
    <row r="918" spans="2:3" ht="16.5" customHeight="1" x14ac:dyDescent="0.2">
      <c r="B918" s="40"/>
      <c r="C918" s="41"/>
    </row>
    <row r="919" spans="2:3" ht="16.5" customHeight="1" x14ac:dyDescent="0.2">
      <c r="B919" s="40"/>
      <c r="C919" s="41"/>
    </row>
    <row r="920" spans="2:3" ht="16.5" customHeight="1" x14ac:dyDescent="0.2">
      <c r="B920" s="40"/>
      <c r="C920" s="41"/>
    </row>
    <row r="921" spans="2:3" ht="16.5" customHeight="1" x14ac:dyDescent="0.2">
      <c r="B921" s="40"/>
      <c r="C921" s="41"/>
    </row>
    <row r="922" spans="2:3" ht="16.5" customHeight="1" x14ac:dyDescent="0.2">
      <c r="B922" s="40"/>
      <c r="C922" s="41"/>
    </row>
    <row r="923" spans="2:3" ht="16.5" customHeight="1" x14ac:dyDescent="0.2">
      <c r="B923" s="40"/>
      <c r="C923" s="41"/>
    </row>
    <row r="924" spans="2:3" ht="16.5" customHeight="1" x14ac:dyDescent="0.2">
      <c r="B924" s="40"/>
      <c r="C924" s="41"/>
    </row>
    <row r="925" spans="2:3" ht="16.5" customHeight="1" x14ac:dyDescent="0.2">
      <c r="B925" s="40"/>
      <c r="C925" s="41"/>
    </row>
    <row r="926" spans="2:3" ht="16.5" customHeight="1" x14ac:dyDescent="0.2">
      <c r="B926" s="40"/>
      <c r="C926" s="41"/>
    </row>
    <row r="927" spans="2:3" ht="16.5" customHeight="1" x14ac:dyDescent="0.2">
      <c r="B927" s="40"/>
      <c r="C927" s="41"/>
    </row>
    <row r="928" spans="2:3" ht="16.5" customHeight="1" x14ac:dyDescent="0.2">
      <c r="B928" s="40"/>
      <c r="C928" s="41"/>
    </row>
    <row r="929" spans="2:3" ht="16.5" customHeight="1" x14ac:dyDescent="0.2">
      <c r="B929" s="40"/>
      <c r="C929" s="41"/>
    </row>
    <row r="930" spans="2:3" ht="16.5" customHeight="1" x14ac:dyDescent="0.2">
      <c r="B930" s="40"/>
      <c r="C930" s="41"/>
    </row>
    <row r="931" spans="2:3" ht="16.5" customHeight="1" x14ac:dyDescent="0.2">
      <c r="B931" s="40"/>
      <c r="C931" s="41"/>
    </row>
    <row r="932" spans="2:3" ht="16.5" customHeight="1" x14ac:dyDescent="0.2">
      <c r="B932" s="40"/>
      <c r="C932" s="41"/>
    </row>
    <row r="933" spans="2:3" ht="16.5" customHeight="1" x14ac:dyDescent="0.2">
      <c r="B933" s="40"/>
      <c r="C933" s="41"/>
    </row>
    <row r="934" spans="2:3" ht="16.5" customHeight="1" x14ac:dyDescent="0.2">
      <c r="B934" s="40"/>
      <c r="C934" s="41"/>
    </row>
    <row r="935" spans="2:3" ht="16.5" customHeight="1" x14ac:dyDescent="0.2">
      <c r="B935" s="40"/>
      <c r="C935" s="41"/>
    </row>
    <row r="936" spans="2:3" ht="16.5" customHeight="1" x14ac:dyDescent="0.2">
      <c r="B936" s="40"/>
      <c r="C936" s="41"/>
    </row>
    <row r="937" spans="2:3" ht="16.5" customHeight="1" x14ac:dyDescent="0.2">
      <c r="B937" s="40"/>
      <c r="C937" s="41"/>
    </row>
    <row r="938" spans="2:3" ht="16.5" customHeight="1" x14ac:dyDescent="0.2">
      <c r="B938" s="40"/>
      <c r="C938" s="41"/>
    </row>
    <row r="939" spans="2:3" ht="16.5" customHeight="1" x14ac:dyDescent="0.2">
      <c r="B939" s="40"/>
      <c r="C939" s="41"/>
    </row>
    <row r="940" spans="2:3" ht="16.5" customHeight="1" x14ac:dyDescent="0.2">
      <c r="B940" s="40"/>
      <c r="C940" s="41"/>
    </row>
    <row r="941" spans="2:3" ht="16.5" customHeight="1" x14ac:dyDescent="0.2">
      <c r="B941" s="40"/>
      <c r="C941" s="41"/>
    </row>
    <row r="942" spans="2:3" ht="16.5" customHeight="1" x14ac:dyDescent="0.2">
      <c r="B942" s="40"/>
      <c r="C942" s="41"/>
    </row>
    <row r="943" spans="2:3" ht="16.5" customHeight="1" x14ac:dyDescent="0.2">
      <c r="B943" s="40"/>
      <c r="C943" s="41"/>
    </row>
    <row r="944" spans="2:3" ht="16.5" customHeight="1" x14ac:dyDescent="0.2">
      <c r="B944" s="40"/>
      <c r="C944" s="41"/>
    </row>
    <row r="945" spans="2:3" ht="16.5" customHeight="1" x14ac:dyDescent="0.2">
      <c r="B945" s="40"/>
      <c r="C945" s="41"/>
    </row>
    <row r="946" spans="2:3" ht="16.5" customHeight="1" x14ac:dyDescent="0.2">
      <c r="B946" s="40"/>
      <c r="C946" s="41"/>
    </row>
    <row r="947" spans="2:3" ht="16.5" customHeight="1" x14ac:dyDescent="0.2">
      <c r="B947" s="40"/>
      <c r="C947" s="41"/>
    </row>
    <row r="948" spans="2:3" ht="16.5" customHeight="1" x14ac:dyDescent="0.2">
      <c r="B948" s="40"/>
      <c r="C948" s="41"/>
    </row>
    <row r="949" spans="2:3" ht="16.5" customHeight="1" x14ac:dyDescent="0.2">
      <c r="B949" s="40"/>
      <c r="C949" s="41"/>
    </row>
    <row r="950" spans="2:3" ht="16.5" customHeight="1" x14ac:dyDescent="0.2">
      <c r="B950" s="40"/>
      <c r="C950" s="41"/>
    </row>
    <row r="951" spans="2:3" ht="16.5" customHeight="1" x14ac:dyDescent="0.2">
      <c r="B951" s="40"/>
      <c r="C951" s="41"/>
    </row>
    <row r="952" spans="2:3" ht="16.5" customHeight="1" x14ac:dyDescent="0.2">
      <c r="B952" s="40"/>
      <c r="C952" s="41"/>
    </row>
    <row r="953" spans="2:3" ht="16.5" customHeight="1" x14ac:dyDescent="0.2">
      <c r="B953" s="40"/>
      <c r="C953" s="41"/>
    </row>
    <row r="954" spans="2:3" ht="16.5" customHeight="1" x14ac:dyDescent="0.2">
      <c r="B954" s="40"/>
      <c r="C954" s="41"/>
    </row>
    <row r="955" spans="2:3" ht="16.5" customHeight="1" x14ac:dyDescent="0.2">
      <c r="B955" s="40"/>
      <c r="C955" s="41"/>
    </row>
    <row r="956" spans="2:3" ht="16.5" customHeight="1" x14ac:dyDescent="0.2">
      <c r="B956" s="40"/>
      <c r="C956" s="41"/>
    </row>
    <row r="957" spans="2:3" ht="16.5" customHeight="1" x14ac:dyDescent="0.2">
      <c r="B957" s="40"/>
      <c r="C957" s="41"/>
    </row>
    <row r="958" spans="2:3" ht="16.5" customHeight="1" x14ac:dyDescent="0.2">
      <c r="B958" s="40"/>
      <c r="C958" s="41"/>
    </row>
    <row r="959" spans="2:3" ht="16.5" customHeight="1" x14ac:dyDescent="0.2">
      <c r="B959" s="40"/>
      <c r="C959" s="41"/>
    </row>
    <row r="960" spans="2:3" ht="16.5" customHeight="1" x14ac:dyDescent="0.2">
      <c r="B960" s="40"/>
      <c r="C960" s="41"/>
    </row>
    <row r="961" spans="2:3" ht="16.5" customHeight="1" x14ac:dyDescent="0.2">
      <c r="B961" s="40"/>
      <c r="C961" s="41"/>
    </row>
    <row r="962" spans="2:3" ht="16.5" customHeight="1" x14ac:dyDescent="0.2">
      <c r="B962" s="40"/>
      <c r="C962" s="41"/>
    </row>
    <row r="963" spans="2:3" ht="16.5" customHeight="1" x14ac:dyDescent="0.2">
      <c r="B963" s="40"/>
      <c r="C963" s="41"/>
    </row>
    <row r="964" spans="2:3" ht="16.5" customHeight="1" x14ac:dyDescent="0.2">
      <c r="B964" s="40"/>
      <c r="C964" s="41"/>
    </row>
    <row r="965" spans="2:3" ht="16.5" customHeight="1" x14ac:dyDescent="0.2">
      <c r="B965" s="40"/>
      <c r="C965" s="41"/>
    </row>
    <row r="966" spans="2:3" ht="16.5" customHeight="1" x14ac:dyDescent="0.2">
      <c r="B966" s="40"/>
      <c r="C966" s="41"/>
    </row>
    <row r="967" spans="2:3" ht="16.5" customHeight="1" x14ac:dyDescent="0.2">
      <c r="B967" s="40"/>
      <c r="C967" s="41"/>
    </row>
    <row r="968" spans="2:3" ht="16.5" customHeight="1" x14ac:dyDescent="0.2">
      <c r="B968" s="40"/>
      <c r="C968" s="41"/>
    </row>
    <row r="969" spans="2:3" ht="16.5" customHeight="1" x14ac:dyDescent="0.2">
      <c r="B969" s="40"/>
      <c r="C969" s="41"/>
    </row>
    <row r="970" spans="2:3" ht="16.5" customHeight="1" x14ac:dyDescent="0.2">
      <c r="B970" s="40"/>
      <c r="C970" s="41"/>
    </row>
    <row r="971" spans="2:3" ht="16.5" customHeight="1" x14ac:dyDescent="0.2">
      <c r="B971" s="40"/>
      <c r="C971" s="41"/>
    </row>
    <row r="972" spans="2:3" ht="16.5" customHeight="1" x14ac:dyDescent="0.2">
      <c r="B972" s="40"/>
      <c r="C972" s="41"/>
    </row>
    <row r="973" spans="2:3" ht="16.5" customHeight="1" x14ac:dyDescent="0.2">
      <c r="B973" s="40"/>
      <c r="C973" s="41"/>
    </row>
    <row r="974" spans="2:3" ht="16.5" customHeight="1" x14ac:dyDescent="0.2">
      <c r="B974" s="40"/>
      <c r="C974" s="41"/>
    </row>
    <row r="975" spans="2:3" ht="16.5" customHeight="1" x14ac:dyDescent="0.2">
      <c r="B975" s="40"/>
      <c r="C975" s="41"/>
    </row>
    <row r="976" spans="2:3" ht="16.5" customHeight="1" x14ac:dyDescent="0.2">
      <c r="B976" s="40"/>
      <c r="C976" s="41"/>
    </row>
    <row r="977" spans="2:3" ht="16.5" customHeight="1" x14ac:dyDescent="0.2">
      <c r="B977" s="40"/>
      <c r="C977" s="41"/>
    </row>
    <row r="978" spans="2:3" ht="16.5" customHeight="1" x14ac:dyDescent="0.2">
      <c r="B978" s="40"/>
      <c r="C978" s="41"/>
    </row>
    <row r="979" spans="2:3" ht="16.5" customHeight="1" x14ac:dyDescent="0.2">
      <c r="B979" s="40"/>
      <c r="C979" s="41"/>
    </row>
    <row r="980" spans="2:3" ht="16.5" customHeight="1" x14ac:dyDescent="0.2">
      <c r="B980" s="40"/>
      <c r="C980" s="41"/>
    </row>
    <row r="981" spans="2:3" ht="16.5" customHeight="1" x14ac:dyDescent="0.2">
      <c r="B981" s="40"/>
      <c r="C981" s="41"/>
    </row>
    <row r="982" spans="2:3" ht="16.5" customHeight="1" x14ac:dyDescent="0.2">
      <c r="B982" s="40"/>
      <c r="C982" s="41"/>
    </row>
    <row r="983" spans="2:3" ht="16.5" customHeight="1" x14ac:dyDescent="0.2">
      <c r="B983" s="40"/>
      <c r="C983" s="41"/>
    </row>
    <row r="984" spans="2:3" ht="16.5" customHeight="1" x14ac:dyDescent="0.2">
      <c r="B984" s="40"/>
      <c r="C984" s="41"/>
    </row>
    <row r="985" spans="2:3" ht="16.5" customHeight="1" x14ac:dyDescent="0.2">
      <c r="B985" s="40"/>
      <c r="C985" s="41"/>
    </row>
    <row r="986" spans="2:3" ht="16.5" customHeight="1" x14ac:dyDescent="0.2">
      <c r="B986" s="40"/>
      <c r="C986" s="41"/>
    </row>
    <row r="987" spans="2:3" ht="16.5" customHeight="1" x14ac:dyDescent="0.2">
      <c r="B987" s="40"/>
      <c r="C987" s="41"/>
    </row>
    <row r="988" spans="2:3" ht="16.5" customHeight="1" x14ac:dyDescent="0.2">
      <c r="B988" s="40"/>
      <c r="C988" s="41"/>
    </row>
    <row r="989" spans="2:3" ht="16.5" customHeight="1" x14ac:dyDescent="0.2">
      <c r="B989" s="40"/>
      <c r="C989" s="41"/>
    </row>
    <row r="990" spans="2:3" ht="16.5" customHeight="1" x14ac:dyDescent="0.2">
      <c r="B990" s="40"/>
      <c r="C990" s="41"/>
    </row>
    <row r="991" spans="2:3" ht="16.5" customHeight="1" x14ac:dyDescent="0.2">
      <c r="B991" s="40"/>
      <c r="C991" s="41"/>
    </row>
    <row r="992" spans="2:3" ht="16.5" customHeight="1" x14ac:dyDescent="0.2">
      <c r="B992" s="40"/>
      <c r="C992" s="41"/>
    </row>
    <row r="993" spans="2:3" ht="16.5" customHeight="1" x14ac:dyDescent="0.2">
      <c r="B993" s="40"/>
      <c r="C993" s="41"/>
    </row>
    <row r="994" spans="2:3" ht="16.5" customHeight="1" x14ac:dyDescent="0.2">
      <c r="B994" s="40"/>
      <c r="C994" s="41"/>
    </row>
    <row r="995" spans="2:3" ht="16.5" customHeight="1" x14ac:dyDescent="0.2">
      <c r="B995" s="40"/>
      <c r="C995" s="41"/>
    </row>
    <row r="996" spans="2:3" ht="16.5" customHeight="1" x14ac:dyDescent="0.2">
      <c r="B996" s="40"/>
      <c r="C996" s="41"/>
    </row>
    <row r="997" spans="2:3" ht="16.5" customHeight="1" x14ac:dyDescent="0.2">
      <c r="B997" s="40"/>
      <c r="C997" s="41"/>
    </row>
    <row r="998" spans="2:3" ht="16.5" customHeight="1" x14ac:dyDescent="0.2">
      <c r="B998" s="40"/>
      <c r="C998" s="41"/>
    </row>
    <row r="999" spans="2:3" ht="16.5" customHeight="1" x14ac:dyDescent="0.2">
      <c r="B999" s="40"/>
      <c r="C999" s="41"/>
    </row>
    <row r="1000" spans="2:3" ht="16.5" customHeight="1" x14ac:dyDescent="0.2">
      <c r="B1000" s="40"/>
      <c r="C1000" s="41"/>
    </row>
  </sheetData>
  <pageMargins left="0.511811024" right="0.511811024" top="0.78740157499999996" bottom="0.78740157499999996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1000"/>
  <sheetViews>
    <sheetView workbookViewId="0"/>
  </sheetViews>
  <sheetFormatPr defaultColWidth="12.5703125" defaultRowHeight="15" customHeight="1" x14ac:dyDescent="0.2"/>
  <cols>
    <col min="1" max="1" width="8.5703125" customWidth="1"/>
    <col min="2" max="2" width="22.140625" customWidth="1"/>
    <col min="3" max="3" width="16.85546875" customWidth="1"/>
    <col min="4" max="4" width="18" customWidth="1"/>
    <col min="5" max="5" width="13.42578125" customWidth="1"/>
    <col min="6" max="6" width="9.5703125" customWidth="1"/>
    <col min="7" max="8" width="14.42578125" customWidth="1"/>
    <col min="9" max="9" width="10.5703125" customWidth="1"/>
    <col min="10" max="10" width="9.5703125" customWidth="1"/>
    <col min="11" max="11" width="8.5703125" customWidth="1"/>
    <col min="12" max="13" width="12.42578125" customWidth="1"/>
    <col min="14" max="26" width="8.5703125" customWidth="1"/>
  </cols>
  <sheetData>
    <row r="1" spans="2:14" ht="12.75" customHeight="1" x14ac:dyDescent="0.2">
      <c r="L1" s="40"/>
      <c r="M1" s="40"/>
    </row>
    <row r="2" spans="2:14" ht="12.75" customHeight="1" x14ac:dyDescent="0.2">
      <c r="C2" s="39" t="s">
        <v>33</v>
      </c>
      <c r="D2" s="42">
        <v>11637.74</v>
      </c>
      <c r="E2" s="39" t="s">
        <v>34</v>
      </c>
      <c r="G2" s="39" t="s">
        <v>35</v>
      </c>
      <c r="H2" s="42">
        <v>2295.8000000000002</v>
      </c>
      <c r="I2" s="39" t="s">
        <v>34</v>
      </c>
      <c r="L2" s="40" t="s">
        <v>36</v>
      </c>
      <c r="M2" s="40" t="s">
        <v>37</v>
      </c>
      <c r="N2" s="39" t="s">
        <v>38</v>
      </c>
    </row>
    <row r="3" spans="2:14" ht="12.75" customHeight="1" x14ac:dyDescent="0.2">
      <c r="C3" s="43">
        <v>43556</v>
      </c>
      <c r="D3" s="43">
        <v>44470</v>
      </c>
      <c r="E3" s="39" t="s">
        <v>39</v>
      </c>
      <c r="G3" s="43">
        <v>43556</v>
      </c>
      <c r="H3" s="43">
        <v>44470</v>
      </c>
      <c r="I3" s="39" t="s">
        <v>39</v>
      </c>
      <c r="L3" s="40">
        <v>1848.59</v>
      </c>
      <c r="M3" s="40">
        <v>2381.0500000000002</v>
      </c>
      <c r="N3" s="42">
        <f>M3/L3</f>
        <v>1.2880357461632921</v>
      </c>
    </row>
    <row r="4" spans="2:14" ht="12.75" customHeight="1" x14ac:dyDescent="0.2">
      <c r="B4" s="39" t="s">
        <v>40</v>
      </c>
      <c r="C4" s="40">
        <v>137870.79</v>
      </c>
      <c r="D4" s="40">
        <f t="shared" ref="D4:D21" si="0">C4*$N$3</f>
        <v>177582.50587177256</v>
      </c>
      <c r="E4" s="40">
        <f t="shared" ref="E4:E21" si="1">D4/$D$2</f>
        <v>15.259191722084577</v>
      </c>
      <c r="F4" s="40"/>
      <c r="G4" s="40">
        <v>44000</v>
      </c>
      <c r="H4" s="40">
        <f t="shared" ref="H4:H21" si="2">G4*$N$3</f>
        <v>56673.572831184851</v>
      </c>
      <c r="I4" s="40">
        <f t="shared" ref="I4:I21" si="3">H4/$H$2</f>
        <v>24.685762187988868</v>
      </c>
      <c r="L4" s="40"/>
      <c r="M4" s="40"/>
    </row>
    <row r="5" spans="2:14" ht="12.75" customHeight="1" x14ac:dyDescent="0.2">
      <c r="B5" s="39" t="s">
        <v>41</v>
      </c>
      <c r="C5" s="40">
        <v>792845.7</v>
      </c>
      <c r="D5" s="40">
        <f t="shared" si="0"/>
        <v>1021213.6027918576</v>
      </c>
      <c r="E5" s="40">
        <f t="shared" si="1"/>
        <v>87.750164790746112</v>
      </c>
      <c r="F5" s="40"/>
      <c r="G5" s="40">
        <v>202131.20000000001</v>
      </c>
      <c r="H5" s="40">
        <f t="shared" si="2"/>
        <v>260352.21101488164</v>
      </c>
      <c r="I5" s="40">
        <f t="shared" si="3"/>
        <v>113.40369849938219</v>
      </c>
      <c r="L5" s="40"/>
      <c r="M5" s="40"/>
    </row>
    <row r="6" spans="2:14" ht="12.75" customHeight="1" x14ac:dyDescent="0.2">
      <c r="B6" s="39" t="s">
        <v>42</v>
      </c>
      <c r="C6" s="40">
        <v>1075697.18</v>
      </c>
      <c r="D6" s="40">
        <f t="shared" si="0"/>
        <v>1385536.4198870491</v>
      </c>
      <c r="E6" s="40">
        <f t="shared" si="1"/>
        <v>119.05545405611821</v>
      </c>
      <c r="F6" s="40"/>
      <c r="G6" s="40">
        <v>216705.25</v>
      </c>
      <c r="H6" s="40">
        <f t="shared" si="2"/>
        <v>279124.10838125274</v>
      </c>
      <c r="I6" s="40">
        <f t="shared" si="3"/>
        <v>121.58032423610625</v>
      </c>
      <c r="L6" s="40"/>
      <c r="M6" s="40"/>
    </row>
    <row r="7" spans="2:14" ht="12.75" customHeight="1" x14ac:dyDescent="0.2">
      <c r="B7" s="39" t="s">
        <v>43</v>
      </c>
      <c r="C7" s="40">
        <v>1263098.28</v>
      </c>
      <c r="D7" s="40">
        <f t="shared" si="0"/>
        <v>1626915.7355573708</v>
      </c>
      <c r="E7" s="40">
        <f t="shared" si="1"/>
        <v>139.79653571547146</v>
      </c>
      <c r="F7" s="40"/>
      <c r="G7" s="40">
        <v>244348.48</v>
      </c>
      <c r="H7" s="40">
        <f t="shared" si="2"/>
        <v>314729.57676066627</v>
      </c>
      <c r="I7" s="40">
        <f t="shared" si="3"/>
        <v>137.0892833699217</v>
      </c>
      <c r="L7" s="40"/>
      <c r="M7" s="40"/>
    </row>
    <row r="8" spans="2:14" ht="12.75" customHeight="1" x14ac:dyDescent="0.2">
      <c r="B8" s="39" t="s">
        <v>44</v>
      </c>
      <c r="C8" s="40">
        <v>104564.96</v>
      </c>
      <c r="D8" s="40">
        <f t="shared" si="0"/>
        <v>134683.4062761348</v>
      </c>
      <c r="E8" s="40">
        <f t="shared" si="1"/>
        <v>11.572986359562492</v>
      </c>
      <c r="F8" s="40"/>
      <c r="G8" s="40">
        <v>38453.879999999997</v>
      </c>
      <c r="H8" s="40">
        <f t="shared" si="2"/>
        <v>49529.972018673689</v>
      </c>
      <c r="I8" s="40">
        <f t="shared" si="3"/>
        <v>21.574166747396848</v>
      </c>
      <c r="L8" s="40"/>
      <c r="M8" s="40"/>
    </row>
    <row r="9" spans="2:14" ht="12.75" customHeight="1" x14ac:dyDescent="0.2">
      <c r="B9" s="39" t="s">
        <v>45</v>
      </c>
      <c r="C9" s="40">
        <v>985469.46</v>
      </c>
      <c r="D9" s="40">
        <f t="shared" si="0"/>
        <v>1269319.8912322365</v>
      </c>
      <c r="E9" s="40">
        <f t="shared" si="1"/>
        <v>109.06927730231442</v>
      </c>
      <c r="F9" s="40"/>
      <c r="G9" s="40">
        <v>199597.41</v>
      </c>
      <c r="H9" s="40">
        <f t="shared" si="2"/>
        <v>257088.59892161054</v>
      </c>
      <c r="I9" s="40">
        <f t="shared" si="3"/>
        <v>111.98214083178435</v>
      </c>
      <c r="J9" s="40"/>
      <c r="L9" s="40"/>
      <c r="M9" s="40"/>
    </row>
    <row r="10" spans="2:14" ht="12.75" customHeight="1" x14ac:dyDescent="0.2">
      <c r="B10" s="39" t="s">
        <v>46</v>
      </c>
      <c r="C10" s="40">
        <v>889104.92</v>
      </c>
      <c r="D10" s="40">
        <f t="shared" si="0"/>
        <v>1145198.9190496542</v>
      </c>
      <c r="E10" s="40">
        <f t="shared" si="1"/>
        <v>98.403892770387912</v>
      </c>
      <c r="F10" s="40"/>
      <c r="G10" s="40">
        <v>130497.38</v>
      </c>
      <c r="H10" s="40">
        <f t="shared" si="2"/>
        <v>168085.29022065469</v>
      </c>
      <c r="I10" s="40">
        <f t="shared" si="3"/>
        <v>73.214256564445805</v>
      </c>
      <c r="L10" s="40"/>
      <c r="M10" s="40"/>
    </row>
    <row r="11" spans="2:14" ht="12.75" customHeight="1" x14ac:dyDescent="0.2">
      <c r="B11" s="39" t="s">
        <v>47</v>
      </c>
      <c r="C11" s="40">
        <v>90622.66</v>
      </c>
      <c r="D11" s="40">
        <f t="shared" si="0"/>
        <v>116725.22549240233</v>
      </c>
      <c r="E11" s="40">
        <f t="shared" si="1"/>
        <v>10.029887718096669</v>
      </c>
      <c r="F11" s="40"/>
      <c r="G11" s="40">
        <v>27895.1</v>
      </c>
      <c r="H11" s="40">
        <f t="shared" si="2"/>
        <v>35929.88594279965</v>
      </c>
      <c r="I11" s="40">
        <f t="shared" si="3"/>
        <v>15.65026829114019</v>
      </c>
      <c r="L11" s="40"/>
      <c r="M11" s="40"/>
    </row>
    <row r="12" spans="2:14" ht="12.75" customHeight="1" x14ac:dyDescent="0.2">
      <c r="B12" s="39" t="s">
        <v>48</v>
      </c>
      <c r="C12" s="40">
        <v>84135.46</v>
      </c>
      <c r="D12" s="40">
        <f t="shared" si="0"/>
        <v>108369.47999989182</v>
      </c>
      <c r="E12" s="40">
        <f t="shared" si="1"/>
        <v>9.3119007642284348</v>
      </c>
      <c r="F12" s="40"/>
      <c r="G12" s="40">
        <v>16914.25</v>
      </c>
      <c r="H12" s="40">
        <f t="shared" si="2"/>
        <v>21786.158619542464</v>
      </c>
      <c r="I12" s="40">
        <f t="shared" si="3"/>
        <v>9.4895716610952441</v>
      </c>
      <c r="L12" s="40"/>
      <c r="M12" s="40"/>
    </row>
    <row r="13" spans="2:14" ht="12.75" customHeight="1" x14ac:dyDescent="0.2">
      <c r="B13" s="39" t="s">
        <v>49</v>
      </c>
      <c r="C13" s="40">
        <v>668146.88</v>
      </c>
      <c r="D13" s="40">
        <f t="shared" si="0"/>
        <v>860597.06512747554</v>
      </c>
      <c r="E13" s="40">
        <f t="shared" si="1"/>
        <v>73.948813526292525</v>
      </c>
      <c r="F13" s="40"/>
      <c r="G13" s="40">
        <v>115886.47</v>
      </c>
      <c r="H13" s="40">
        <f t="shared" si="2"/>
        <v>149265.91585667996</v>
      </c>
      <c r="I13" s="40">
        <f t="shared" si="3"/>
        <v>65.01695089148879</v>
      </c>
      <c r="J13" s="40"/>
      <c r="L13" s="40"/>
      <c r="M13" s="40"/>
    </row>
    <row r="14" spans="2:14" ht="12.75" customHeight="1" x14ac:dyDescent="0.2">
      <c r="B14" s="39" t="s">
        <v>50</v>
      </c>
      <c r="C14" s="40">
        <v>0</v>
      </c>
      <c r="D14" s="40">
        <f t="shared" si="0"/>
        <v>0</v>
      </c>
      <c r="E14" s="40">
        <f t="shared" si="1"/>
        <v>0</v>
      </c>
      <c r="F14" s="40"/>
      <c r="G14" s="40">
        <v>0</v>
      </c>
      <c r="H14" s="40">
        <f t="shared" si="2"/>
        <v>0</v>
      </c>
      <c r="I14" s="40">
        <f t="shared" si="3"/>
        <v>0</v>
      </c>
      <c r="L14" s="40"/>
      <c r="M14" s="40"/>
    </row>
    <row r="15" spans="2:14" ht="12.75" customHeight="1" x14ac:dyDescent="0.2">
      <c r="B15" s="39" t="s">
        <v>51</v>
      </c>
      <c r="C15" s="40">
        <v>144071.4</v>
      </c>
      <c r="D15" s="40">
        <f t="shared" si="0"/>
        <v>185569.11319979012</v>
      </c>
      <c r="E15" s="40">
        <f t="shared" si="1"/>
        <v>15.945459616711675</v>
      </c>
      <c r="F15" s="40"/>
      <c r="G15" s="40">
        <v>30879.96</v>
      </c>
      <c r="H15" s="40">
        <f t="shared" si="2"/>
        <v>39774.492320092613</v>
      </c>
      <c r="I15" s="40">
        <f t="shared" si="3"/>
        <v>17.324894293968381</v>
      </c>
      <c r="L15" s="40"/>
      <c r="M15" s="40"/>
    </row>
    <row r="16" spans="2:14" ht="12.75" customHeight="1" x14ac:dyDescent="0.2">
      <c r="B16" s="39" t="s">
        <v>52</v>
      </c>
      <c r="C16" s="40">
        <v>1325809.99</v>
      </c>
      <c r="D16" s="40">
        <f t="shared" si="0"/>
        <v>1707690.6597403968</v>
      </c>
      <c r="E16" s="40">
        <f t="shared" si="1"/>
        <v>146.73730979901569</v>
      </c>
      <c r="F16" s="40"/>
      <c r="G16" s="40">
        <v>140000</v>
      </c>
      <c r="H16" s="40">
        <f t="shared" si="2"/>
        <v>180325.0044628609</v>
      </c>
      <c r="I16" s="40">
        <f t="shared" si="3"/>
        <v>78.545606961782767</v>
      </c>
      <c r="L16" s="40"/>
      <c r="M16" s="40"/>
    </row>
    <row r="17" spans="2:13" ht="12.75" customHeight="1" x14ac:dyDescent="0.2">
      <c r="B17" s="39" t="s">
        <v>53</v>
      </c>
      <c r="C17" s="40">
        <v>980000</v>
      </c>
      <c r="D17" s="40">
        <f t="shared" si="0"/>
        <v>1262275.0312400262</v>
      </c>
      <c r="E17" s="40">
        <f t="shared" si="1"/>
        <v>108.46393124782185</v>
      </c>
      <c r="F17" s="40"/>
      <c r="G17" s="40">
        <v>180000</v>
      </c>
      <c r="H17" s="40">
        <f t="shared" si="2"/>
        <v>231846.43430939259</v>
      </c>
      <c r="I17" s="40">
        <f t="shared" si="3"/>
        <v>100.98720895086356</v>
      </c>
      <c r="L17" s="40"/>
      <c r="M17" s="40"/>
    </row>
    <row r="18" spans="2:13" ht="12.75" customHeight="1" x14ac:dyDescent="0.2">
      <c r="B18" s="39" t="s">
        <v>54</v>
      </c>
      <c r="C18" s="40">
        <v>150000</v>
      </c>
      <c r="D18" s="40">
        <f t="shared" si="0"/>
        <v>193205.3619244938</v>
      </c>
      <c r="E18" s="40">
        <f t="shared" si="1"/>
        <v>16.60162212976865</v>
      </c>
      <c r="F18" s="40"/>
      <c r="G18" s="40">
        <v>42000</v>
      </c>
      <c r="H18" s="40">
        <f t="shared" si="2"/>
        <v>54097.501338858267</v>
      </c>
      <c r="I18" s="40">
        <f t="shared" si="3"/>
        <v>23.563682088534829</v>
      </c>
      <c r="J18" s="40"/>
      <c r="L18" s="40"/>
      <c r="M18" s="40"/>
    </row>
    <row r="19" spans="2:13" ht="12.75" customHeight="1" x14ac:dyDescent="0.2">
      <c r="B19" s="39" t="s">
        <v>55</v>
      </c>
      <c r="C19" s="40">
        <v>553273.04</v>
      </c>
      <c r="D19" s="40">
        <f t="shared" si="0"/>
        <v>712635.45290843304</v>
      </c>
      <c r="E19" s="40">
        <f t="shared" si="1"/>
        <v>61.234866297789182</v>
      </c>
      <c r="F19" s="40"/>
      <c r="G19" s="40">
        <v>143399.74</v>
      </c>
      <c r="H19" s="40">
        <f t="shared" si="2"/>
        <v>184703.99111052207</v>
      </c>
      <c r="I19" s="40">
        <f t="shared" si="3"/>
        <v>80.452997260441705</v>
      </c>
      <c r="J19" s="40"/>
      <c r="L19" s="40"/>
      <c r="M19" s="40"/>
    </row>
    <row r="20" spans="2:13" ht="12.75" customHeight="1" x14ac:dyDescent="0.2">
      <c r="B20" s="39" t="s">
        <v>56</v>
      </c>
      <c r="C20" s="40">
        <v>0</v>
      </c>
      <c r="D20" s="40">
        <f t="shared" si="0"/>
        <v>0</v>
      </c>
      <c r="E20" s="40">
        <f t="shared" si="1"/>
        <v>0</v>
      </c>
      <c r="F20" s="40"/>
      <c r="G20" s="40">
        <v>0</v>
      </c>
      <c r="H20" s="40">
        <f t="shared" si="2"/>
        <v>0</v>
      </c>
      <c r="I20" s="40">
        <f t="shared" si="3"/>
        <v>0</v>
      </c>
      <c r="L20" s="40"/>
      <c r="M20" s="40"/>
    </row>
    <row r="21" spans="2:13" ht="12.75" customHeight="1" x14ac:dyDescent="0.2">
      <c r="B21" s="39" t="s">
        <v>57</v>
      </c>
      <c r="C21" s="40">
        <v>137000</v>
      </c>
      <c r="D21" s="40">
        <f t="shared" si="0"/>
        <v>176460.897224371</v>
      </c>
      <c r="E21" s="40">
        <f t="shared" si="1"/>
        <v>15.162814878522033</v>
      </c>
      <c r="F21" s="40"/>
      <c r="G21" s="40">
        <v>18000</v>
      </c>
      <c r="H21" s="40">
        <f t="shared" si="2"/>
        <v>23184.643430939257</v>
      </c>
      <c r="I21" s="40">
        <f t="shared" si="3"/>
        <v>10.098720895086355</v>
      </c>
      <c r="L21" s="40"/>
      <c r="M21" s="40"/>
    </row>
    <row r="22" spans="2:13" ht="12.75" customHeight="1" x14ac:dyDescent="0.2">
      <c r="L22" s="40"/>
      <c r="M22" s="40"/>
    </row>
    <row r="23" spans="2:13" ht="12.75" customHeight="1" x14ac:dyDescent="0.2">
      <c r="B23" s="39" t="s">
        <v>58</v>
      </c>
      <c r="C23" s="40">
        <v>304235.61</v>
      </c>
      <c r="G23" s="40">
        <v>73010.179999999993</v>
      </c>
      <c r="L23" s="40"/>
      <c r="M23" s="40"/>
    </row>
    <row r="24" spans="2:13" ht="12.75" customHeight="1" x14ac:dyDescent="0.2">
      <c r="B24" s="39" t="s">
        <v>59</v>
      </c>
      <c r="C24" s="40">
        <v>151891.25</v>
      </c>
      <c r="G24" s="40">
        <v>45145</v>
      </c>
      <c r="I24" s="40"/>
      <c r="L24" s="40"/>
      <c r="M24" s="40"/>
    </row>
    <row r="25" spans="2:13" ht="12.75" customHeight="1" x14ac:dyDescent="0.2">
      <c r="C25" s="40">
        <f>SUM(C23:C24)</f>
        <v>456126.86</v>
      </c>
      <c r="D25" s="40">
        <f>C25*$N$3</f>
        <v>587507.70046521944</v>
      </c>
      <c r="E25" s="40">
        <f>D25/$D$2</f>
        <v>50.482971819719246</v>
      </c>
      <c r="G25" s="40">
        <f>SUM(G23:G24)</f>
        <v>118155.18</v>
      </c>
      <c r="H25" s="40">
        <f>G25*$N$3</f>
        <v>152188.09543435808</v>
      </c>
      <c r="I25" s="40">
        <f>H25/$H$2</f>
        <v>66.289788062704972</v>
      </c>
      <c r="L25" s="40"/>
      <c r="M25" s="40"/>
    </row>
    <row r="26" spans="2:13" ht="12.75" customHeight="1" x14ac:dyDescent="0.2">
      <c r="L26" s="40"/>
      <c r="M26" s="40"/>
    </row>
    <row r="27" spans="2:13" ht="12.75" customHeight="1" x14ac:dyDescent="0.2">
      <c r="L27" s="40"/>
      <c r="M27" s="40"/>
    </row>
    <row r="28" spans="2:13" ht="12.75" customHeight="1" x14ac:dyDescent="0.2">
      <c r="L28" s="40"/>
      <c r="M28" s="40"/>
    </row>
    <row r="29" spans="2:13" ht="12.75" customHeight="1" x14ac:dyDescent="0.2">
      <c r="L29" s="40"/>
      <c r="M29" s="40"/>
    </row>
    <row r="30" spans="2:13" ht="12.75" customHeight="1" x14ac:dyDescent="0.2">
      <c r="L30" s="40"/>
      <c r="M30" s="40"/>
    </row>
    <row r="31" spans="2:13" ht="12.75" customHeight="1" x14ac:dyDescent="0.2">
      <c r="L31" s="40"/>
      <c r="M31" s="40"/>
    </row>
    <row r="32" spans="2:13" ht="12.75" customHeight="1" x14ac:dyDescent="0.2">
      <c r="L32" s="40"/>
      <c r="M32" s="40"/>
    </row>
    <row r="33" spans="12:13" ht="12.75" customHeight="1" x14ac:dyDescent="0.2">
      <c r="L33" s="40"/>
      <c r="M33" s="40"/>
    </row>
    <row r="34" spans="12:13" ht="12.75" customHeight="1" x14ac:dyDescent="0.2">
      <c r="L34" s="40"/>
      <c r="M34" s="40"/>
    </row>
    <row r="35" spans="12:13" ht="12.75" customHeight="1" x14ac:dyDescent="0.2">
      <c r="L35" s="40"/>
      <c r="M35" s="40"/>
    </row>
    <row r="36" spans="12:13" ht="12.75" customHeight="1" x14ac:dyDescent="0.2">
      <c r="L36" s="40"/>
      <c r="M36" s="40"/>
    </row>
    <row r="37" spans="12:13" ht="12.75" customHeight="1" x14ac:dyDescent="0.2">
      <c r="L37" s="40"/>
      <c r="M37" s="40"/>
    </row>
    <row r="38" spans="12:13" ht="12.75" customHeight="1" x14ac:dyDescent="0.2">
      <c r="L38" s="40"/>
      <c r="M38" s="40"/>
    </row>
    <row r="39" spans="12:13" ht="12.75" customHeight="1" x14ac:dyDescent="0.2">
      <c r="L39" s="40"/>
      <c r="M39" s="40"/>
    </row>
    <row r="40" spans="12:13" ht="12.75" customHeight="1" x14ac:dyDescent="0.2">
      <c r="L40" s="40"/>
      <c r="M40" s="40"/>
    </row>
    <row r="41" spans="12:13" ht="12.75" customHeight="1" x14ac:dyDescent="0.2">
      <c r="L41" s="40"/>
      <c r="M41" s="40"/>
    </row>
    <row r="42" spans="12:13" ht="12.75" customHeight="1" x14ac:dyDescent="0.2">
      <c r="L42" s="40"/>
      <c r="M42" s="40"/>
    </row>
    <row r="43" spans="12:13" ht="12.75" customHeight="1" x14ac:dyDescent="0.2">
      <c r="L43" s="40"/>
      <c r="M43" s="40"/>
    </row>
    <row r="44" spans="12:13" ht="12.75" customHeight="1" x14ac:dyDescent="0.2">
      <c r="L44" s="40"/>
      <c r="M44" s="40"/>
    </row>
    <row r="45" spans="12:13" ht="12.75" customHeight="1" x14ac:dyDescent="0.2">
      <c r="L45" s="40"/>
      <c r="M45" s="40"/>
    </row>
    <row r="46" spans="12:13" ht="12.75" customHeight="1" x14ac:dyDescent="0.2">
      <c r="L46" s="40"/>
      <c r="M46" s="40"/>
    </row>
    <row r="47" spans="12:13" ht="12.75" customHeight="1" x14ac:dyDescent="0.2">
      <c r="L47" s="40"/>
      <c r="M47" s="40"/>
    </row>
    <row r="48" spans="12:13" ht="12.75" customHeight="1" x14ac:dyDescent="0.2">
      <c r="L48" s="40"/>
      <c r="M48" s="40"/>
    </row>
    <row r="49" spans="12:13" ht="12.75" customHeight="1" x14ac:dyDescent="0.2">
      <c r="L49" s="40"/>
      <c r="M49" s="40"/>
    </row>
    <row r="50" spans="12:13" ht="12.75" customHeight="1" x14ac:dyDescent="0.2">
      <c r="L50" s="40"/>
      <c r="M50" s="40"/>
    </row>
    <row r="51" spans="12:13" ht="12.75" customHeight="1" x14ac:dyDescent="0.2">
      <c r="L51" s="40"/>
      <c r="M51" s="40"/>
    </row>
    <row r="52" spans="12:13" ht="12.75" customHeight="1" x14ac:dyDescent="0.2">
      <c r="L52" s="40"/>
      <c r="M52" s="40"/>
    </row>
    <row r="53" spans="12:13" ht="12.75" customHeight="1" x14ac:dyDescent="0.2">
      <c r="L53" s="40"/>
      <c r="M53" s="40"/>
    </row>
    <row r="54" spans="12:13" ht="12.75" customHeight="1" x14ac:dyDescent="0.2">
      <c r="L54" s="40"/>
      <c r="M54" s="40"/>
    </row>
    <row r="55" spans="12:13" ht="12.75" customHeight="1" x14ac:dyDescent="0.2">
      <c r="L55" s="40"/>
      <c r="M55" s="40"/>
    </row>
    <row r="56" spans="12:13" ht="12.75" customHeight="1" x14ac:dyDescent="0.2">
      <c r="L56" s="40"/>
      <c r="M56" s="40"/>
    </row>
    <row r="57" spans="12:13" ht="12.75" customHeight="1" x14ac:dyDescent="0.2">
      <c r="L57" s="40"/>
      <c r="M57" s="40"/>
    </row>
    <row r="58" spans="12:13" ht="12.75" customHeight="1" x14ac:dyDescent="0.2">
      <c r="L58" s="40"/>
      <c r="M58" s="40"/>
    </row>
    <row r="59" spans="12:13" ht="12.75" customHeight="1" x14ac:dyDescent="0.2">
      <c r="L59" s="40"/>
      <c r="M59" s="40"/>
    </row>
    <row r="60" spans="12:13" ht="12.75" customHeight="1" x14ac:dyDescent="0.2">
      <c r="L60" s="40"/>
      <c r="M60" s="40"/>
    </row>
    <row r="61" spans="12:13" ht="12.75" customHeight="1" x14ac:dyDescent="0.2">
      <c r="L61" s="40"/>
      <c r="M61" s="40"/>
    </row>
    <row r="62" spans="12:13" ht="12.75" customHeight="1" x14ac:dyDescent="0.2">
      <c r="L62" s="40"/>
      <c r="M62" s="40"/>
    </row>
    <row r="63" spans="12:13" ht="12.75" customHeight="1" x14ac:dyDescent="0.2">
      <c r="L63" s="40"/>
      <c r="M63" s="40"/>
    </row>
    <row r="64" spans="12:13" ht="12.75" customHeight="1" x14ac:dyDescent="0.2">
      <c r="L64" s="40"/>
      <c r="M64" s="40"/>
    </row>
    <row r="65" spans="12:13" ht="12.75" customHeight="1" x14ac:dyDescent="0.2">
      <c r="L65" s="40"/>
      <c r="M65" s="40"/>
    </row>
    <row r="66" spans="12:13" ht="12.75" customHeight="1" x14ac:dyDescent="0.2">
      <c r="L66" s="40"/>
      <c r="M66" s="40"/>
    </row>
    <row r="67" spans="12:13" ht="12.75" customHeight="1" x14ac:dyDescent="0.2">
      <c r="L67" s="40"/>
      <c r="M67" s="40"/>
    </row>
    <row r="68" spans="12:13" ht="12.75" customHeight="1" x14ac:dyDescent="0.2">
      <c r="L68" s="40"/>
      <c r="M68" s="40"/>
    </row>
    <row r="69" spans="12:13" ht="12.75" customHeight="1" x14ac:dyDescent="0.2">
      <c r="L69" s="40"/>
      <c r="M69" s="40"/>
    </row>
    <row r="70" spans="12:13" ht="12.75" customHeight="1" x14ac:dyDescent="0.2">
      <c r="L70" s="40"/>
      <c r="M70" s="40"/>
    </row>
    <row r="71" spans="12:13" ht="12.75" customHeight="1" x14ac:dyDescent="0.2">
      <c r="L71" s="40"/>
      <c r="M71" s="40"/>
    </row>
    <row r="72" spans="12:13" ht="12.75" customHeight="1" x14ac:dyDescent="0.2">
      <c r="L72" s="40"/>
      <c r="M72" s="40"/>
    </row>
    <row r="73" spans="12:13" ht="12.75" customHeight="1" x14ac:dyDescent="0.2">
      <c r="L73" s="40"/>
      <c r="M73" s="40"/>
    </row>
    <row r="74" spans="12:13" ht="12.75" customHeight="1" x14ac:dyDescent="0.2">
      <c r="L74" s="40"/>
      <c r="M74" s="40"/>
    </row>
    <row r="75" spans="12:13" ht="12.75" customHeight="1" x14ac:dyDescent="0.2">
      <c r="L75" s="40"/>
      <c r="M75" s="40"/>
    </row>
    <row r="76" spans="12:13" ht="12.75" customHeight="1" x14ac:dyDescent="0.2">
      <c r="L76" s="40"/>
      <c r="M76" s="40"/>
    </row>
    <row r="77" spans="12:13" ht="12.75" customHeight="1" x14ac:dyDescent="0.2">
      <c r="L77" s="40"/>
      <c r="M77" s="40"/>
    </row>
    <row r="78" spans="12:13" ht="12.75" customHeight="1" x14ac:dyDescent="0.2">
      <c r="L78" s="40"/>
      <c r="M78" s="40"/>
    </row>
    <row r="79" spans="12:13" ht="12.75" customHeight="1" x14ac:dyDescent="0.2">
      <c r="L79" s="40"/>
      <c r="M79" s="40"/>
    </row>
    <row r="80" spans="12:13" ht="12.75" customHeight="1" x14ac:dyDescent="0.2">
      <c r="L80" s="40"/>
      <c r="M80" s="40"/>
    </row>
    <row r="81" spans="12:13" ht="12.75" customHeight="1" x14ac:dyDescent="0.2">
      <c r="L81" s="40"/>
      <c r="M81" s="40"/>
    </row>
    <row r="82" spans="12:13" ht="12.75" customHeight="1" x14ac:dyDescent="0.2">
      <c r="L82" s="40"/>
      <c r="M82" s="40"/>
    </row>
    <row r="83" spans="12:13" ht="12.75" customHeight="1" x14ac:dyDescent="0.2">
      <c r="L83" s="40"/>
      <c r="M83" s="40"/>
    </row>
    <row r="84" spans="12:13" ht="12.75" customHeight="1" x14ac:dyDescent="0.2">
      <c r="L84" s="40"/>
      <c r="M84" s="40"/>
    </row>
    <row r="85" spans="12:13" ht="12.75" customHeight="1" x14ac:dyDescent="0.2">
      <c r="L85" s="40"/>
      <c r="M85" s="40"/>
    </row>
    <row r="86" spans="12:13" ht="12.75" customHeight="1" x14ac:dyDescent="0.2">
      <c r="L86" s="40"/>
      <c r="M86" s="40"/>
    </row>
    <row r="87" spans="12:13" ht="12.75" customHeight="1" x14ac:dyDescent="0.2">
      <c r="L87" s="40"/>
      <c r="M87" s="40"/>
    </row>
    <row r="88" spans="12:13" ht="12.75" customHeight="1" x14ac:dyDescent="0.2">
      <c r="L88" s="40"/>
      <c r="M88" s="40"/>
    </row>
    <row r="89" spans="12:13" ht="12.75" customHeight="1" x14ac:dyDescent="0.2">
      <c r="L89" s="40"/>
      <c r="M89" s="40"/>
    </row>
    <row r="90" spans="12:13" ht="12.75" customHeight="1" x14ac:dyDescent="0.2">
      <c r="L90" s="40"/>
      <c r="M90" s="40"/>
    </row>
    <row r="91" spans="12:13" ht="12.75" customHeight="1" x14ac:dyDescent="0.2">
      <c r="L91" s="40"/>
      <c r="M91" s="40"/>
    </row>
    <row r="92" spans="12:13" ht="12.75" customHeight="1" x14ac:dyDescent="0.2">
      <c r="L92" s="40"/>
      <c r="M92" s="40"/>
    </row>
    <row r="93" spans="12:13" ht="12.75" customHeight="1" x14ac:dyDescent="0.2">
      <c r="L93" s="40"/>
      <c r="M93" s="40"/>
    </row>
    <row r="94" spans="12:13" ht="12.75" customHeight="1" x14ac:dyDescent="0.2">
      <c r="L94" s="40"/>
      <c r="M94" s="40"/>
    </row>
    <row r="95" spans="12:13" ht="12.75" customHeight="1" x14ac:dyDescent="0.2">
      <c r="L95" s="40"/>
      <c r="M95" s="40"/>
    </row>
    <row r="96" spans="12:13" ht="12.75" customHeight="1" x14ac:dyDescent="0.2">
      <c r="L96" s="40"/>
      <c r="M96" s="40"/>
    </row>
    <row r="97" spans="12:13" ht="12.75" customHeight="1" x14ac:dyDescent="0.2">
      <c r="L97" s="40"/>
      <c r="M97" s="40"/>
    </row>
    <row r="98" spans="12:13" ht="12.75" customHeight="1" x14ac:dyDescent="0.2">
      <c r="L98" s="40"/>
      <c r="M98" s="40"/>
    </row>
    <row r="99" spans="12:13" ht="12.75" customHeight="1" x14ac:dyDescent="0.2">
      <c r="L99" s="40"/>
      <c r="M99" s="40"/>
    </row>
    <row r="100" spans="12:13" ht="12.75" customHeight="1" x14ac:dyDescent="0.2">
      <c r="L100" s="40"/>
      <c r="M100" s="40"/>
    </row>
    <row r="101" spans="12:13" ht="12.75" customHeight="1" x14ac:dyDescent="0.2">
      <c r="L101" s="40"/>
      <c r="M101" s="40"/>
    </row>
    <row r="102" spans="12:13" ht="12.75" customHeight="1" x14ac:dyDescent="0.2">
      <c r="L102" s="40"/>
      <c r="M102" s="40"/>
    </row>
    <row r="103" spans="12:13" ht="12.75" customHeight="1" x14ac:dyDescent="0.2">
      <c r="L103" s="40"/>
      <c r="M103" s="40"/>
    </row>
    <row r="104" spans="12:13" ht="12.75" customHeight="1" x14ac:dyDescent="0.2">
      <c r="L104" s="40"/>
      <c r="M104" s="40"/>
    </row>
    <row r="105" spans="12:13" ht="12.75" customHeight="1" x14ac:dyDescent="0.2">
      <c r="L105" s="40"/>
      <c r="M105" s="40"/>
    </row>
    <row r="106" spans="12:13" ht="12.75" customHeight="1" x14ac:dyDescent="0.2">
      <c r="L106" s="40"/>
      <c r="M106" s="40"/>
    </row>
    <row r="107" spans="12:13" ht="12.75" customHeight="1" x14ac:dyDescent="0.2">
      <c r="L107" s="40"/>
      <c r="M107" s="40"/>
    </row>
    <row r="108" spans="12:13" ht="12.75" customHeight="1" x14ac:dyDescent="0.2">
      <c r="L108" s="40"/>
      <c r="M108" s="40"/>
    </row>
    <row r="109" spans="12:13" ht="12.75" customHeight="1" x14ac:dyDescent="0.2">
      <c r="L109" s="40"/>
      <c r="M109" s="40"/>
    </row>
    <row r="110" spans="12:13" ht="12.75" customHeight="1" x14ac:dyDescent="0.2">
      <c r="L110" s="40"/>
      <c r="M110" s="40"/>
    </row>
    <row r="111" spans="12:13" ht="12.75" customHeight="1" x14ac:dyDescent="0.2">
      <c r="L111" s="40"/>
      <c r="M111" s="40"/>
    </row>
    <row r="112" spans="12:13" ht="12.75" customHeight="1" x14ac:dyDescent="0.2">
      <c r="L112" s="40"/>
      <c r="M112" s="40"/>
    </row>
    <row r="113" spans="12:13" ht="12.75" customHeight="1" x14ac:dyDescent="0.2">
      <c r="L113" s="40"/>
      <c r="M113" s="40"/>
    </row>
    <row r="114" spans="12:13" ht="12.75" customHeight="1" x14ac:dyDescent="0.2">
      <c r="L114" s="40"/>
      <c r="M114" s="40"/>
    </row>
    <row r="115" spans="12:13" ht="12.75" customHeight="1" x14ac:dyDescent="0.2">
      <c r="L115" s="40"/>
      <c r="M115" s="40"/>
    </row>
    <row r="116" spans="12:13" ht="12.75" customHeight="1" x14ac:dyDescent="0.2">
      <c r="L116" s="40"/>
      <c r="M116" s="40"/>
    </row>
    <row r="117" spans="12:13" ht="12.75" customHeight="1" x14ac:dyDescent="0.2">
      <c r="L117" s="40"/>
      <c r="M117" s="40"/>
    </row>
    <row r="118" spans="12:13" ht="12.75" customHeight="1" x14ac:dyDescent="0.2">
      <c r="L118" s="40"/>
      <c r="M118" s="40"/>
    </row>
    <row r="119" spans="12:13" ht="12.75" customHeight="1" x14ac:dyDescent="0.2">
      <c r="L119" s="40"/>
      <c r="M119" s="40"/>
    </row>
    <row r="120" spans="12:13" ht="12.75" customHeight="1" x14ac:dyDescent="0.2">
      <c r="L120" s="40"/>
      <c r="M120" s="40"/>
    </row>
    <row r="121" spans="12:13" ht="12.75" customHeight="1" x14ac:dyDescent="0.2">
      <c r="L121" s="40"/>
      <c r="M121" s="40"/>
    </row>
    <row r="122" spans="12:13" ht="12.75" customHeight="1" x14ac:dyDescent="0.2">
      <c r="L122" s="40"/>
      <c r="M122" s="40"/>
    </row>
    <row r="123" spans="12:13" ht="12.75" customHeight="1" x14ac:dyDescent="0.2">
      <c r="L123" s="40"/>
      <c r="M123" s="40"/>
    </row>
    <row r="124" spans="12:13" ht="12.75" customHeight="1" x14ac:dyDescent="0.2">
      <c r="L124" s="40"/>
      <c r="M124" s="40"/>
    </row>
    <row r="125" spans="12:13" ht="12.75" customHeight="1" x14ac:dyDescent="0.2">
      <c r="L125" s="40"/>
      <c r="M125" s="40"/>
    </row>
    <row r="126" spans="12:13" ht="12.75" customHeight="1" x14ac:dyDescent="0.2">
      <c r="L126" s="40"/>
      <c r="M126" s="40"/>
    </row>
    <row r="127" spans="12:13" ht="12.75" customHeight="1" x14ac:dyDescent="0.2">
      <c r="L127" s="40"/>
      <c r="M127" s="40"/>
    </row>
    <row r="128" spans="12:13" ht="12.75" customHeight="1" x14ac:dyDescent="0.2">
      <c r="L128" s="40"/>
      <c r="M128" s="40"/>
    </row>
    <row r="129" spans="12:13" ht="12.75" customHeight="1" x14ac:dyDescent="0.2">
      <c r="L129" s="40"/>
      <c r="M129" s="40"/>
    </row>
    <row r="130" spans="12:13" ht="12.75" customHeight="1" x14ac:dyDescent="0.2">
      <c r="L130" s="40"/>
      <c r="M130" s="40"/>
    </row>
    <row r="131" spans="12:13" ht="12.75" customHeight="1" x14ac:dyDescent="0.2">
      <c r="L131" s="40"/>
      <c r="M131" s="40"/>
    </row>
    <row r="132" spans="12:13" ht="12.75" customHeight="1" x14ac:dyDescent="0.2">
      <c r="L132" s="40"/>
      <c r="M132" s="40"/>
    </row>
    <row r="133" spans="12:13" ht="12.75" customHeight="1" x14ac:dyDescent="0.2">
      <c r="L133" s="40"/>
      <c r="M133" s="40"/>
    </row>
    <row r="134" spans="12:13" ht="12.75" customHeight="1" x14ac:dyDescent="0.2">
      <c r="L134" s="40"/>
      <c r="M134" s="40"/>
    </row>
    <row r="135" spans="12:13" ht="12.75" customHeight="1" x14ac:dyDescent="0.2">
      <c r="L135" s="40"/>
      <c r="M135" s="40"/>
    </row>
    <row r="136" spans="12:13" ht="12.75" customHeight="1" x14ac:dyDescent="0.2">
      <c r="L136" s="40"/>
      <c r="M136" s="40"/>
    </row>
    <row r="137" spans="12:13" ht="12.75" customHeight="1" x14ac:dyDescent="0.2">
      <c r="L137" s="40"/>
      <c r="M137" s="40"/>
    </row>
    <row r="138" spans="12:13" ht="12.75" customHeight="1" x14ac:dyDescent="0.2">
      <c r="L138" s="40"/>
      <c r="M138" s="40"/>
    </row>
    <row r="139" spans="12:13" ht="12.75" customHeight="1" x14ac:dyDescent="0.2">
      <c r="L139" s="40"/>
      <c r="M139" s="40"/>
    </row>
    <row r="140" spans="12:13" ht="12.75" customHeight="1" x14ac:dyDescent="0.2">
      <c r="L140" s="40"/>
      <c r="M140" s="40"/>
    </row>
    <row r="141" spans="12:13" ht="12.75" customHeight="1" x14ac:dyDescent="0.2">
      <c r="L141" s="40"/>
      <c r="M141" s="40"/>
    </row>
    <row r="142" spans="12:13" ht="12.75" customHeight="1" x14ac:dyDescent="0.2">
      <c r="L142" s="40"/>
      <c r="M142" s="40"/>
    </row>
    <row r="143" spans="12:13" ht="12.75" customHeight="1" x14ac:dyDescent="0.2">
      <c r="L143" s="40"/>
      <c r="M143" s="40"/>
    </row>
    <row r="144" spans="12:13" ht="12.75" customHeight="1" x14ac:dyDescent="0.2">
      <c r="L144" s="40"/>
      <c r="M144" s="40"/>
    </row>
    <row r="145" spans="12:13" ht="12.75" customHeight="1" x14ac:dyDescent="0.2">
      <c r="L145" s="40"/>
      <c r="M145" s="40"/>
    </row>
    <row r="146" spans="12:13" ht="12.75" customHeight="1" x14ac:dyDescent="0.2">
      <c r="L146" s="40"/>
      <c r="M146" s="40"/>
    </row>
    <row r="147" spans="12:13" ht="12.75" customHeight="1" x14ac:dyDescent="0.2">
      <c r="L147" s="40"/>
      <c r="M147" s="40"/>
    </row>
    <row r="148" spans="12:13" ht="12.75" customHeight="1" x14ac:dyDescent="0.2">
      <c r="L148" s="40"/>
      <c r="M148" s="40"/>
    </row>
    <row r="149" spans="12:13" ht="12.75" customHeight="1" x14ac:dyDescent="0.2">
      <c r="L149" s="40"/>
      <c r="M149" s="40"/>
    </row>
    <row r="150" spans="12:13" ht="12.75" customHeight="1" x14ac:dyDescent="0.2">
      <c r="L150" s="40"/>
      <c r="M150" s="40"/>
    </row>
    <row r="151" spans="12:13" ht="12.75" customHeight="1" x14ac:dyDescent="0.2">
      <c r="L151" s="40"/>
      <c r="M151" s="40"/>
    </row>
    <row r="152" spans="12:13" ht="12.75" customHeight="1" x14ac:dyDescent="0.2">
      <c r="L152" s="40"/>
      <c r="M152" s="40"/>
    </row>
    <row r="153" spans="12:13" ht="12.75" customHeight="1" x14ac:dyDescent="0.2">
      <c r="L153" s="40"/>
      <c r="M153" s="40"/>
    </row>
    <row r="154" spans="12:13" ht="12.75" customHeight="1" x14ac:dyDescent="0.2">
      <c r="L154" s="40"/>
      <c r="M154" s="40"/>
    </row>
    <row r="155" spans="12:13" ht="12.75" customHeight="1" x14ac:dyDescent="0.2">
      <c r="L155" s="40"/>
      <c r="M155" s="40"/>
    </row>
    <row r="156" spans="12:13" ht="12.75" customHeight="1" x14ac:dyDescent="0.2">
      <c r="L156" s="40"/>
      <c r="M156" s="40"/>
    </row>
    <row r="157" spans="12:13" ht="12.75" customHeight="1" x14ac:dyDescent="0.2">
      <c r="L157" s="40"/>
      <c r="M157" s="40"/>
    </row>
    <row r="158" spans="12:13" ht="12.75" customHeight="1" x14ac:dyDescent="0.2">
      <c r="L158" s="40"/>
      <c r="M158" s="40"/>
    </row>
    <row r="159" spans="12:13" ht="12.75" customHeight="1" x14ac:dyDescent="0.2">
      <c r="L159" s="40"/>
      <c r="M159" s="40"/>
    </row>
    <row r="160" spans="12:13" ht="12.75" customHeight="1" x14ac:dyDescent="0.2">
      <c r="L160" s="40"/>
      <c r="M160" s="40"/>
    </row>
    <row r="161" spans="12:13" ht="12.75" customHeight="1" x14ac:dyDescent="0.2">
      <c r="L161" s="40"/>
      <c r="M161" s="40"/>
    </row>
    <row r="162" spans="12:13" ht="12.75" customHeight="1" x14ac:dyDescent="0.2">
      <c r="L162" s="40"/>
      <c r="M162" s="40"/>
    </row>
    <row r="163" spans="12:13" ht="12.75" customHeight="1" x14ac:dyDescent="0.2">
      <c r="L163" s="40"/>
      <c r="M163" s="40"/>
    </row>
    <row r="164" spans="12:13" ht="12.75" customHeight="1" x14ac:dyDescent="0.2">
      <c r="L164" s="40"/>
      <c r="M164" s="40"/>
    </row>
    <row r="165" spans="12:13" ht="12.75" customHeight="1" x14ac:dyDescent="0.2">
      <c r="L165" s="40"/>
      <c r="M165" s="40"/>
    </row>
    <row r="166" spans="12:13" ht="12.75" customHeight="1" x14ac:dyDescent="0.2">
      <c r="L166" s="40"/>
      <c r="M166" s="40"/>
    </row>
    <row r="167" spans="12:13" ht="12.75" customHeight="1" x14ac:dyDescent="0.2">
      <c r="L167" s="40"/>
      <c r="M167" s="40"/>
    </row>
    <row r="168" spans="12:13" ht="12.75" customHeight="1" x14ac:dyDescent="0.2">
      <c r="L168" s="40"/>
      <c r="M168" s="40"/>
    </row>
    <row r="169" spans="12:13" ht="12.75" customHeight="1" x14ac:dyDescent="0.2">
      <c r="L169" s="40"/>
      <c r="M169" s="40"/>
    </row>
    <row r="170" spans="12:13" ht="12.75" customHeight="1" x14ac:dyDescent="0.2">
      <c r="L170" s="40"/>
      <c r="M170" s="40"/>
    </row>
    <row r="171" spans="12:13" ht="12.75" customHeight="1" x14ac:dyDescent="0.2">
      <c r="L171" s="40"/>
      <c r="M171" s="40"/>
    </row>
    <row r="172" spans="12:13" ht="12.75" customHeight="1" x14ac:dyDescent="0.2">
      <c r="L172" s="40"/>
      <c r="M172" s="40"/>
    </row>
    <row r="173" spans="12:13" ht="12.75" customHeight="1" x14ac:dyDescent="0.2">
      <c r="L173" s="40"/>
      <c r="M173" s="40"/>
    </row>
    <row r="174" spans="12:13" ht="12.75" customHeight="1" x14ac:dyDescent="0.2">
      <c r="L174" s="40"/>
      <c r="M174" s="40"/>
    </row>
    <row r="175" spans="12:13" ht="12.75" customHeight="1" x14ac:dyDescent="0.2">
      <c r="L175" s="40"/>
      <c r="M175" s="40"/>
    </row>
    <row r="176" spans="12:13" ht="12.75" customHeight="1" x14ac:dyDescent="0.2">
      <c r="L176" s="40"/>
      <c r="M176" s="40"/>
    </row>
    <row r="177" spans="12:13" ht="12.75" customHeight="1" x14ac:dyDescent="0.2">
      <c r="L177" s="40"/>
      <c r="M177" s="40"/>
    </row>
    <row r="178" spans="12:13" ht="12.75" customHeight="1" x14ac:dyDescent="0.2">
      <c r="L178" s="40"/>
      <c r="M178" s="40"/>
    </row>
    <row r="179" spans="12:13" ht="12.75" customHeight="1" x14ac:dyDescent="0.2">
      <c r="L179" s="40"/>
      <c r="M179" s="40"/>
    </row>
    <row r="180" spans="12:13" ht="12.75" customHeight="1" x14ac:dyDescent="0.2">
      <c r="L180" s="40"/>
      <c r="M180" s="40"/>
    </row>
    <row r="181" spans="12:13" ht="12.75" customHeight="1" x14ac:dyDescent="0.2">
      <c r="L181" s="40"/>
      <c r="M181" s="40"/>
    </row>
    <row r="182" spans="12:13" ht="12.75" customHeight="1" x14ac:dyDescent="0.2">
      <c r="L182" s="40"/>
      <c r="M182" s="40"/>
    </row>
    <row r="183" spans="12:13" ht="12.75" customHeight="1" x14ac:dyDescent="0.2">
      <c r="L183" s="40"/>
      <c r="M183" s="40"/>
    </row>
    <row r="184" spans="12:13" ht="12.75" customHeight="1" x14ac:dyDescent="0.2">
      <c r="L184" s="40"/>
      <c r="M184" s="40"/>
    </row>
    <row r="185" spans="12:13" ht="12.75" customHeight="1" x14ac:dyDescent="0.2">
      <c r="L185" s="40"/>
      <c r="M185" s="40"/>
    </row>
    <row r="186" spans="12:13" ht="12.75" customHeight="1" x14ac:dyDescent="0.2">
      <c r="L186" s="40"/>
      <c r="M186" s="40"/>
    </row>
    <row r="187" spans="12:13" ht="12.75" customHeight="1" x14ac:dyDescent="0.2">
      <c r="L187" s="40"/>
      <c r="M187" s="40"/>
    </row>
    <row r="188" spans="12:13" ht="12.75" customHeight="1" x14ac:dyDescent="0.2">
      <c r="L188" s="40"/>
      <c r="M188" s="40"/>
    </row>
    <row r="189" spans="12:13" ht="12.75" customHeight="1" x14ac:dyDescent="0.2">
      <c r="L189" s="40"/>
      <c r="M189" s="40"/>
    </row>
    <row r="190" spans="12:13" ht="12.75" customHeight="1" x14ac:dyDescent="0.2">
      <c r="L190" s="40"/>
      <c r="M190" s="40"/>
    </row>
    <row r="191" spans="12:13" ht="12.75" customHeight="1" x14ac:dyDescent="0.2">
      <c r="L191" s="40"/>
      <c r="M191" s="40"/>
    </row>
    <row r="192" spans="12:13" ht="12.75" customHeight="1" x14ac:dyDescent="0.2">
      <c r="L192" s="40"/>
      <c r="M192" s="40"/>
    </row>
    <row r="193" spans="12:13" ht="12.75" customHeight="1" x14ac:dyDescent="0.2">
      <c r="L193" s="40"/>
      <c r="M193" s="40"/>
    </row>
    <row r="194" spans="12:13" ht="12.75" customHeight="1" x14ac:dyDescent="0.2">
      <c r="L194" s="40"/>
      <c r="M194" s="40"/>
    </row>
    <row r="195" spans="12:13" ht="12.75" customHeight="1" x14ac:dyDescent="0.2">
      <c r="L195" s="40"/>
      <c r="M195" s="40"/>
    </row>
    <row r="196" spans="12:13" ht="12.75" customHeight="1" x14ac:dyDescent="0.2">
      <c r="L196" s="40"/>
      <c r="M196" s="40"/>
    </row>
    <row r="197" spans="12:13" ht="12.75" customHeight="1" x14ac:dyDescent="0.2">
      <c r="L197" s="40"/>
      <c r="M197" s="40"/>
    </row>
    <row r="198" spans="12:13" ht="12.75" customHeight="1" x14ac:dyDescent="0.2">
      <c r="L198" s="40"/>
      <c r="M198" s="40"/>
    </row>
    <row r="199" spans="12:13" ht="12.75" customHeight="1" x14ac:dyDescent="0.2">
      <c r="L199" s="40"/>
      <c r="M199" s="40"/>
    </row>
    <row r="200" spans="12:13" ht="12.75" customHeight="1" x14ac:dyDescent="0.2">
      <c r="L200" s="40"/>
      <c r="M200" s="40"/>
    </row>
    <row r="201" spans="12:13" ht="12.75" customHeight="1" x14ac:dyDescent="0.2">
      <c r="L201" s="40"/>
      <c r="M201" s="40"/>
    </row>
    <row r="202" spans="12:13" ht="12.75" customHeight="1" x14ac:dyDescent="0.2">
      <c r="L202" s="40"/>
      <c r="M202" s="40"/>
    </row>
    <row r="203" spans="12:13" ht="12.75" customHeight="1" x14ac:dyDescent="0.2">
      <c r="L203" s="40"/>
      <c r="M203" s="40"/>
    </row>
    <row r="204" spans="12:13" ht="12.75" customHeight="1" x14ac:dyDescent="0.2">
      <c r="L204" s="40"/>
      <c r="M204" s="40"/>
    </row>
    <row r="205" spans="12:13" ht="12.75" customHeight="1" x14ac:dyDescent="0.2">
      <c r="L205" s="40"/>
      <c r="M205" s="40"/>
    </row>
    <row r="206" spans="12:13" ht="12.75" customHeight="1" x14ac:dyDescent="0.2">
      <c r="L206" s="40"/>
      <c r="M206" s="40"/>
    </row>
    <row r="207" spans="12:13" ht="12.75" customHeight="1" x14ac:dyDescent="0.2">
      <c r="L207" s="40"/>
      <c r="M207" s="40"/>
    </row>
    <row r="208" spans="12:13" ht="12.75" customHeight="1" x14ac:dyDescent="0.2">
      <c r="L208" s="40"/>
      <c r="M208" s="40"/>
    </row>
    <row r="209" spans="12:13" ht="12.75" customHeight="1" x14ac:dyDescent="0.2">
      <c r="L209" s="40"/>
      <c r="M209" s="40"/>
    </row>
    <row r="210" spans="12:13" ht="12.75" customHeight="1" x14ac:dyDescent="0.2">
      <c r="L210" s="40"/>
      <c r="M210" s="40"/>
    </row>
    <row r="211" spans="12:13" ht="12.75" customHeight="1" x14ac:dyDescent="0.2">
      <c r="L211" s="40"/>
      <c r="M211" s="40"/>
    </row>
    <row r="212" spans="12:13" ht="12.75" customHeight="1" x14ac:dyDescent="0.2">
      <c r="L212" s="40"/>
      <c r="M212" s="40"/>
    </row>
    <row r="213" spans="12:13" ht="12.75" customHeight="1" x14ac:dyDescent="0.2">
      <c r="L213" s="40"/>
      <c r="M213" s="40"/>
    </row>
    <row r="214" spans="12:13" ht="12.75" customHeight="1" x14ac:dyDescent="0.2">
      <c r="L214" s="40"/>
      <c r="M214" s="40"/>
    </row>
    <row r="215" spans="12:13" ht="12.75" customHeight="1" x14ac:dyDescent="0.2">
      <c r="L215" s="40"/>
      <c r="M215" s="40"/>
    </row>
    <row r="216" spans="12:13" ht="12.75" customHeight="1" x14ac:dyDescent="0.2">
      <c r="L216" s="40"/>
      <c r="M216" s="40"/>
    </row>
    <row r="217" spans="12:13" ht="12.75" customHeight="1" x14ac:dyDescent="0.2">
      <c r="L217" s="40"/>
      <c r="M217" s="40"/>
    </row>
    <row r="218" spans="12:13" ht="12.75" customHeight="1" x14ac:dyDescent="0.2">
      <c r="L218" s="40"/>
      <c r="M218" s="40"/>
    </row>
    <row r="219" spans="12:13" ht="12.75" customHeight="1" x14ac:dyDescent="0.2">
      <c r="L219" s="40"/>
      <c r="M219" s="40"/>
    </row>
    <row r="220" spans="12:13" ht="12.75" customHeight="1" x14ac:dyDescent="0.2">
      <c r="L220" s="40"/>
      <c r="M220" s="40"/>
    </row>
    <row r="221" spans="12:13" ht="12.75" customHeight="1" x14ac:dyDescent="0.2">
      <c r="L221" s="40"/>
      <c r="M221" s="40"/>
    </row>
    <row r="222" spans="12:13" ht="12.75" customHeight="1" x14ac:dyDescent="0.2">
      <c r="L222" s="40"/>
      <c r="M222" s="40"/>
    </row>
    <row r="223" spans="12:13" ht="12.75" customHeight="1" x14ac:dyDescent="0.2">
      <c r="L223" s="40"/>
      <c r="M223" s="40"/>
    </row>
    <row r="224" spans="12:13" ht="12.75" customHeight="1" x14ac:dyDescent="0.2">
      <c r="L224" s="40"/>
      <c r="M224" s="40"/>
    </row>
    <row r="225" spans="12:13" ht="12.75" customHeight="1" x14ac:dyDescent="0.2">
      <c r="L225" s="40"/>
      <c r="M225" s="40"/>
    </row>
    <row r="226" spans="12:13" ht="12.75" customHeight="1" x14ac:dyDescent="0.2">
      <c r="L226" s="40"/>
      <c r="M226" s="40"/>
    </row>
    <row r="227" spans="12:13" ht="12.75" customHeight="1" x14ac:dyDescent="0.2">
      <c r="L227" s="40"/>
      <c r="M227" s="40"/>
    </row>
    <row r="228" spans="12:13" ht="12.75" customHeight="1" x14ac:dyDescent="0.2">
      <c r="L228" s="40"/>
      <c r="M228" s="40"/>
    </row>
    <row r="229" spans="12:13" ht="12.75" customHeight="1" x14ac:dyDescent="0.2">
      <c r="L229" s="40"/>
      <c r="M229" s="40"/>
    </row>
    <row r="230" spans="12:13" ht="12.75" customHeight="1" x14ac:dyDescent="0.2">
      <c r="L230" s="40"/>
      <c r="M230" s="40"/>
    </row>
    <row r="231" spans="12:13" ht="12.75" customHeight="1" x14ac:dyDescent="0.2">
      <c r="L231" s="40"/>
      <c r="M231" s="40"/>
    </row>
    <row r="232" spans="12:13" ht="12.75" customHeight="1" x14ac:dyDescent="0.2">
      <c r="L232" s="40"/>
      <c r="M232" s="40"/>
    </row>
    <row r="233" spans="12:13" ht="12.75" customHeight="1" x14ac:dyDescent="0.2">
      <c r="L233" s="40"/>
      <c r="M233" s="40"/>
    </row>
    <row r="234" spans="12:13" ht="12.75" customHeight="1" x14ac:dyDescent="0.2">
      <c r="L234" s="40"/>
      <c r="M234" s="40"/>
    </row>
    <row r="235" spans="12:13" ht="12.75" customHeight="1" x14ac:dyDescent="0.2">
      <c r="L235" s="40"/>
      <c r="M235" s="40"/>
    </row>
    <row r="236" spans="12:13" ht="12.75" customHeight="1" x14ac:dyDescent="0.2">
      <c r="L236" s="40"/>
      <c r="M236" s="40"/>
    </row>
    <row r="237" spans="12:13" ht="12.75" customHeight="1" x14ac:dyDescent="0.2">
      <c r="L237" s="40"/>
      <c r="M237" s="40"/>
    </row>
    <row r="238" spans="12:13" ht="12.75" customHeight="1" x14ac:dyDescent="0.2">
      <c r="L238" s="40"/>
      <c r="M238" s="40"/>
    </row>
    <row r="239" spans="12:13" ht="12.75" customHeight="1" x14ac:dyDescent="0.2">
      <c r="L239" s="40"/>
      <c r="M239" s="40"/>
    </row>
    <row r="240" spans="12:13" ht="12.75" customHeight="1" x14ac:dyDescent="0.2">
      <c r="L240" s="40"/>
      <c r="M240" s="40"/>
    </row>
    <row r="241" spans="12:13" ht="12.75" customHeight="1" x14ac:dyDescent="0.2">
      <c r="L241" s="40"/>
      <c r="M241" s="40"/>
    </row>
    <row r="242" spans="12:13" ht="12.75" customHeight="1" x14ac:dyDescent="0.2">
      <c r="L242" s="40"/>
      <c r="M242" s="40"/>
    </row>
    <row r="243" spans="12:13" ht="12.75" customHeight="1" x14ac:dyDescent="0.2">
      <c r="L243" s="40"/>
      <c r="M243" s="40"/>
    </row>
    <row r="244" spans="12:13" ht="12.75" customHeight="1" x14ac:dyDescent="0.2">
      <c r="L244" s="40"/>
      <c r="M244" s="40"/>
    </row>
    <row r="245" spans="12:13" ht="12.75" customHeight="1" x14ac:dyDescent="0.2">
      <c r="L245" s="40"/>
      <c r="M245" s="40"/>
    </row>
    <row r="246" spans="12:13" ht="12.75" customHeight="1" x14ac:dyDescent="0.2">
      <c r="L246" s="40"/>
      <c r="M246" s="40"/>
    </row>
    <row r="247" spans="12:13" ht="12.75" customHeight="1" x14ac:dyDescent="0.2">
      <c r="L247" s="40"/>
      <c r="M247" s="40"/>
    </row>
    <row r="248" spans="12:13" ht="12.75" customHeight="1" x14ac:dyDescent="0.2">
      <c r="L248" s="40"/>
      <c r="M248" s="40"/>
    </row>
    <row r="249" spans="12:13" ht="12.75" customHeight="1" x14ac:dyDescent="0.2">
      <c r="L249" s="40"/>
      <c r="M249" s="40"/>
    </row>
    <row r="250" spans="12:13" ht="12.75" customHeight="1" x14ac:dyDescent="0.2">
      <c r="L250" s="40"/>
      <c r="M250" s="40"/>
    </row>
    <row r="251" spans="12:13" ht="12.75" customHeight="1" x14ac:dyDescent="0.2">
      <c r="L251" s="40"/>
      <c r="M251" s="40"/>
    </row>
    <row r="252" spans="12:13" ht="12.75" customHeight="1" x14ac:dyDescent="0.2">
      <c r="L252" s="40"/>
      <c r="M252" s="40"/>
    </row>
    <row r="253" spans="12:13" ht="12.75" customHeight="1" x14ac:dyDescent="0.2">
      <c r="L253" s="40"/>
      <c r="M253" s="40"/>
    </row>
    <row r="254" spans="12:13" ht="12.75" customHeight="1" x14ac:dyDescent="0.2">
      <c r="L254" s="40"/>
      <c r="M254" s="40"/>
    </row>
    <row r="255" spans="12:13" ht="12.75" customHeight="1" x14ac:dyDescent="0.2">
      <c r="L255" s="40"/>
      <c r="M255" s="40"/>
    </row>
    <row r="256" spans="12:13" ht="12.75" customHeight="1" x14ac:dyDescent="0.2">
      <c r="L256" s="40"/>
      <c r="M256" s="40"/>
    </row>
    <row r="257" spans="12:13" ht="12.75" customHeight="1" x14ac:dyDescent="0.2">
      <c r="L257" s="40"/>
      <c r="M257" s="40"/>
    </row>
    <row r="258" spans="12:13" ht="12.75" customHeight="1" x14ac:dyDescent="0.2">
      <c r="L258" s="40"/>
      <c r="M258" s="40"/>
    </row>
    <row r="259" spans="12:13" ht="12.75" customHeight="1" x14ac:dyDescent="0.2">
      <c r="L259" s="40"/>
      <c r="M259" s="40"/>
    </row>
    <row r="260" spans="12:13" ht="12.75" customHeight="1" x14ac:dyDescent="0.2">
      <c r="L260" s="40"/>
      <c r="M260" s="40"/>
    </row>
    <row r="261" spans="12:13" ht="12.75" customHeight="1" x14ac:dyDescent="0.2">
      <c r="L261" s="40"/>
      <c r="M261" s="40"/>
    </row>
    <row r="262" spans="12:13" ht="12.75" customHeight="1" x14ac:dyDescent="0.2">
      <c r="L262" s="40"/>
      <c r="M262" s="40"/>
    </row>
    <row r="263" spans="12:13" ht="12.75" customHeight="1" x14ac:dyDescent="0.2">
      <c r="L263" s="40"/>
      <c r="M263" s="40"/>
    </row>
    <row r="264" spans="12:13" ht="12.75" customHeight="1" x14ac:dyDescent="0.2">
      <c r="L264" s="40"/>
      <c r="M264" s="40"/>
    </row>
    <row r="265" spans="12:13" ht="12.75" customHeight="1" x14ac:dyDescent="0.2">
      <c r="L265" s="40"/>
      <c r="M265" s="40"/>
    </row>
    <row r="266" spans="12:13" ht="12.75" customHeight="1" x14ac:dyDescent="0.2">
      <c r="L266" s="40"/>
      <c r="M266" s="40"/>
    </row>
    <row r="267" spans="12:13" ht="12.75" customHeight="1" x14ac:dyDescent="0.2">
      <c r="L267" s="40"/>
      <c r="M267" s="40"/>
    </row>
    <row r="268" spans="12:13" ht="12.75" customHeight="1" x14ac:dyDescent="0.2">
      <c r="L268" s="40"/>
      <c r="M268" s="40"/>
    </row>
    <row r="269" spans="12:13" ht="12.75" customHeight="1" x14ac:dyDescent="0.2">
      <c r="L269" s="40"/>
      <c r="M269" s="40"/>
    </row>
    <row r="270" spans="12:13" ht="12.75" customHeight="1" x14ac:dyDescent="0.2">
      <c r="L270" s="40"/>
      <c r="M270" s="40"/>
    </row>
    <row r="271" spans="12:13" ht="12.75" customHeight="1" x14ac:dyDescent="0.2">
      <c r="L271" s="40"/>
      <c r="M271" s="40"/>
    </row>
    <row r="272" spans="12:13" ht="12.75" customHeight="1" x14ac:dyDescent="0.2">
      <c r="L272" s="40"/>
      <c r="M272" s="40"/>
    </row>
    <row r="273" spans="12:13" ht="12.75" customHeight="1" x14ac:dyDescent="0.2">
      <c r="L273" s="40"/>
      <c r="M273" s="40"/>
    </row>
    <row r="274" spans="12:13" ht="12.75" customHeight="1" x14ac:dyDescent="0.2">
      <c r="L274" s="40"/>
      <c r="M274" s="40"/>
    </row>
    <row r="275" spans="12:13" ht="12.75" customHeight="1" x14ac:dyDescent="0.2">
      <c r="L275" s="40"/>
      <c r="M275" s="40"/>
    </row>
    <row r="276" spans="12:13" ht="12.75" customHeight="1" x14ac:dyDescent="0.2">
      <c r="L276" s="40"/>
      <c r="M276" s="40"/>
    </row>
    <row r="277" spans="12:13" ht="12.75" customHeight="1" x14ac:dyDescent="0.2">
      <c r="L277" s="40"/>
      <c r="M277" s="40"/>
    </row>
    <row r="278" spans="12:13" ht="12.75" customHeight="1" x14ac:dyDescent="0.2">
      <c r="L278" s="40"/>
      <c r="M278" s="40"/>
    </row>
    <row r="279" spans="12:13" ht="12.75" customHeight="1" x14ac:dyDescent="0.2">
      <c r="L279" s="40"/>
      <c r="M279" s="40"/>
    </row>
    <row r="280" spans="12:13" ht="12.75" customHeight="1" x14ac:dyDescent="0.2">
      <c r="L280" s="40"/>
      <c r="M280" s="40"/>
    </row>
    <row r="281" spans="12:13" ht="12.75" customHeight="1" x14ac:dyDescent="0.2">
      <c r="L281" s="40"/>
      <c r="M281" s="40"/>
    </row>
    <row r="282" spans="12:13" ht="12.75" customHeight="1" x14ac:dyDescent="0.2">
      <c r="L282" s="40"/>
      <c r="M282" s="40"/>
    </row>
    <row r="283" spans="12:13" ht="12.75" customHeight="1" x14ac:dyDescent="0.2">
      <c r="L283" s="40"/>
      <c r="M283" s="40"/>
    </row>
    <row r="284" spans="12:13" ht="12.75" customHeight="1" x14ac:dyDescent="0.2">
      <c r="L284" s="40"/>
      <c r="M284" s="40"/>
    </row>
    <row r="285" spans="12:13" ht="12.75" customHeight="1" x14ac:dyDescent="0.2">
      <c r="L285" s="40"/>
      <c r="M285" s="40"/>
    </row>
    <row r="286" spans="12:13" ht="12.75" customHeight="1" x14ac:dyDescent="0.2">
      <c r="L286" s="40"/>
      <c r="M286" s="40"/>
    </row>
    <row r="287" spans="12:13" ht="12.75" customHeight="1" x14ac:dyDescent="0.2">
      <c r="L287" s="40"/>
      <c r="M287" s="40"/>
    </row>
    <row r="288" spans="12:13" ht="12.75" customHeight="1" x14ac:dyDescent="0.2">
      <c r="L288" s="40"/>
      <c r="M288" s="40"/>
    </row>
    <row r="289" spans="12:13" ht="12.75" customHeight="1" x14ac:dyDescent="0.2">
      <c r="L289" s="40"/>
      <c r="M289" s="40"/>
    </row>
    <row r="290" spans="12:13" ht="12.75" customHeight="1" x14ac:dyDescent="0.2">
      <c r="L290" s="40"/>
      <c r="M290" s="40"/>
    </row>
    <row r="291" spans="12:13" ht="12.75" customHeight="1" x14ac:dyDescent="0.2">
      <c r="L291" s="40"/>
      <c r="M291" s="40"/>
    </row>
    <row r="292" spans="12:13" ht="12.75" customHeight="1" x14ac:dyDescent="0.2">
      <c r="L292" s="40"/>
      <c r="M292" s="40"/>
    </row>
    <row r="293" spans="12:13" ht="12.75" customHeight="1" x14ac:dyDescent="0.2">
      <c r="L293" s="40"/>
      <c r="M293" s="40"/>
    </row>
    <row r="294" spans="12:13" ht="12.75" customHeight="1" x14ac:dyDescent="0.2">
      <c r="L294" s="40"/>
      <c r="M294" s="40"/>
    </row>
    <row r="295" spans="12:13" ht="12.75" customHeight="1" x14ac:dyDescent="0.2">
      <c r="L295" s="40"/>
      <c r="M295" s="40"/>
    </row>
    <row r="296" spans="12:13" ht="12.75" customHeight="1" x14ac:dyDescent="0.2">
      <c r="L296" s="40"/>
      <c r="M296" s="40"/>
    </row>
    <row r="297" spans="12:13" ht="12.75" customHeight="1" x14ac:dyDescent="0.2">
      <c r="L297" s="40"/>
      <c r="M297" s="40"/>
    </row>
    <row r="298" spans="12:13" ht="12.75" customHeight="1" x14ac:dyDescent="0.2">
      <c r="L298" s="40"/>
      <c r="M298" s="40"/>
    </row>
    <row r="299" spans="12:13" ht="12.75" customHeight="1" x14ac:dyDescent="0.2">
      <c r="L299" s="40"/>
      <c r="M299" s="40"/>
    </row>
    <row r="300" spans="12:13" ht="12.75" customHeight="1" x14ac:dyDescent="0.2">
      <c r="L300" s="40"/>
      <c r="M300" s="40"/>
    </row>
    <row r="301" spans="12:13" ht="12.75" customHeight="1" x14ac:dyDescent="0.2">
      <c r="L301" s="40"/>
      <c r="M301" s="40"/>
    </row>
    <row r="302" spans="12:13" ht="12.75" customHeight="1" x14ac:dyDescent="0.2">
      <c r="L302" s="40"/>
      <c r="M302" s="40"/>
    </row>
    <row r="303" spans="12:13" ht="12.75" customHeight="1" x14ac:dyDescent="0.2">
      <c r="L303" s="40"/>
      <c r="M303" s="40"/>
    </row>
    <row r="304" spans="12:13" ht="12.75" customHeight="1" x14ac:dyDescent="0.2">
      <c r="L304" s="40"/>
      <c r="M304" s="40"/>
    </row>
    <row r="305" spans="12:13" ht="12.75" customHeight="1" x14ac:dyDescent="0.2">
      <c r="L305" s="40"/>
      <c r="M305" s="40"/>
    </row>
    <row r="306" spans="12:13" ht="12.75" customHeight="1" x14ac:dyDescent="0.2">
      <c r="L306" s="40"/>
      <c r="M306" s="40"/>
    </row>
    <row r="307" spans="12:13" ht="12.75" customHeight="1" x14ac:dyDescent="0.2">
      <c r="L307" s="40"/>
      <c r="M307" s="40"/>
    </row>
    <row r="308" spans="12:13" ht="12.75" customHeight="1" x14ac:dyDescent="0.2">
      <c r="L308" s="40"/>
      <c r="M308" s="40"/>
    </row>
    <row r="309" spans="12:13" ht="12.75" customHeight="1" x14ac:dyDescent="0.2">
      <c r="L309" s="40"/>
      <c r="M309" s="40"/>
    </row>
    <row r="310" spans="12:13" ht="12.75" customHeight="1" x14ac:dyDescent="0.2">
      <c r="L310" s="40"/>
      <c r="M310" s="40"/>
    </row>
    <row r="311" spans="12:13" ht="12.75" customHeight="1" x14ac:dyDescent="0.2">
      <c r="L311" s="40"/>
      <c r="M311" s="40"/>
    </row>
    <row r="312" spans="12:13" ht="12.75" customHeight="1" x14ac:dyDescent="0.2">
      <c r="L312" s="40"/>
      <c r="M312" s="40"/>
    </row>
    <row r="313" spans="12:13" ht="12.75" customHeight="1" x14ac:dyDescent="0.2">
      <c r="L313" s="40"/>
      <c r="M313" s="40"/>
    </row>
    <row r="314" spans="12:13" ht="12.75" customHeight="1" x14ac:dyDescent="0.2">
      <c r="L314" s="40"/>
      <c r="M314" s="40"/>
    </row>
    <row r="315" spans="12:13" ht="12.75" customHeight="1" x14ac:dyDescent="0.2">
      <c r="L315" s="40"/>
      <c r="M315" s="40"/>
    </row>
    <row r="316" spans="12:13" ht="12.75" customHeight="1" x14ac:dyDescent="0.2">
      <c r="L316" s="40"/>
      <c r="M316" s="40"/>
    </row>
    <row r="317" spans="12:13" ht="12.75" customHeight="1" x14ac:dyDescent="0.2">
      <c r="L317" s="40"/>
      <c r="M317" s="40"/>
    </row>
    <row r="318" spans="12:13" ht="12.75" customHeight="1" x14ac:dyDescent="0.2">
      <c r="L318" s="40"/>
      <c r="M318" s="40"/>
    </row>
    <row r="319" spans="12:13" ht="12.75" customHeight="1" x14ac:dyDescent="0.2">
      <c r="L319" s="40"/>
      <c r="M319" s="40"/>
    </row>
    <row r="320" spans="12:13" ht="12.75" customHeight="1" x14ac:dyDescent="0.2">
      <c r="L320" s="40"/>
      <c r="M320" s="40"/>
    </row>
    <row r="321" spans="12:13" ht="12.75" customHeight="1" x14ac:dyDescent="0.2">
      <c r="L321" s="40"/>
      <c r="M321" s="40"/>
    </row>
    <row r="322" spans="12:13" ht="12.75" customHeight="1" x14ac:dyDescent="0.2">
      <c r="L322" s="40"/>
      <c r="M322" s="40"/>
    </row>
    <row r="323" spans="12:13" ht="12.75" customHeight="1" x14ac:dyDescent="0.2">
      <c r="L323" s="40"/>
      <c r="M323" s="40"/>
    </row>
    <row r="324" spans="12:13" ht="12.75" customHeight="1" x14ac:dyDescent="0.2">
      <c r="L324" s="40"/>
      <c r="M324" s="40"/>
    </row>
    <row r="325" spans="12:13" ht="12.75" customHeight="1" x14ac:dyDescent="0.2">
      <c r="L325" s="40"/>
      <c r="M325" s="40"/>
    </row>
    <row r="326" spans="12:13" ht="12.75" customHeight="1" x14ac:dyDescent="0.2">
      <c r="L326" s="40"/>
      <c r="M326" s="40"/>
    </row>
    <row r="327" spans="12:13" ht="12.75" customHeight="1" x14ac:dyDescent="0.2">
      <c r="L327" s="40"/>
      <c r="M327" s="40"/>
    </row>
    <row r="328" spans="12:13" ht="12.75" customHeight="1" x14ac:dyDescent="0.2">
      <c r="L328" s="40"/>
      <c r="M328" s="40"/>
    </row>
    <row r="329" spans="12:13" ht="12.75" customHeight="1" x14ac:dyDescent="0.2">
      <c r="L329" s="40"/>
      <c r="M329" s="40"/>
    </row>
    <row r="330" spans="12:13" ht="12.75" customHeight="1" x14ac:dyDescent="0.2">
      <c r="L330" s="40"/>
      <c r="M330" s="40"/>
    </row>
    <row r="331" spans="12:13" ht="12.75" customHeight="1" x14ac:dyDescent="0.2">
      <c r="L331" s="40"/>
      <c r="M331" s="40"/>
    </row>
    <row r="332" spans="12:13" ht="12.75" customHeight="1" x14ac:dyDescent="0.2">
      <c r="L332" s="40"/>
      <c r="M332" s="40"/>
    </row>
    <row r="333" spans="12:13" ht="12.75" customHeight="1" x14ac:dyDescent="0.2">
      <c r="L333" s="40"/>
      <c r="M333" s="40"/>
    </row>
    <row r="334" spans="12:13" ht="12.75" customHeight="1" x14ac:dyDescent="0.2">
      <c r="L334" s="40"/>
      <c r="M334" s="40"/>
    </row>
    <row r="335" spans="12:13" ht="12.75" customHeight="1" x14ac:dyDescent="0.2">
      <c r="L335" s="40"/>
      <c r="M335" s="40"/>
    </row>
    <row r="336" spans="12:13" ht="12.75" customHeight="1" x14ac:dyDescent="0.2">
      <c r="L336" s="40"/>
      <c r="M336" s="40"/>
    </row>
    <row r="337" spans="12:13" ht="12.75" customHeight="1" x14ac:dyDescent="0.2">
      <c r="L337" s="40"/>
      <c r="M337" s="40"/>
    </row>
    <row r="338" spans="12:13" ht="12.75" customHeight="1" x14ac:dyDescent="0.2">
      <c r="L338" s="40"/>
      <c r="M338" s="40"/>
    </row>
    <row r="339" spans="12:13" ht="12.75" customHeight="1" x14ac:dyDescent="0.2">
      <c r="L339" s="40"/>
      <c r="M339" s="40"/>
    </row>
    <row r="340" spans="12:13" ht="12.75" customHeight="1" x14ac:dyDescent="0.2">
      <c r="L340" s="40"/>
      <c r="M340" s="40"/>
    </row>
    <row r="341" spans="12:13" ht="12.75" customHeight="1" x14ac:dyDescent="0.2">
      <c r="L341" s="40"/>
      <c r="M341" s="40"/>
    </row>
    <row r="342" spans="12:13" ht="12.75" customHeight="1" x14ac:dyDescent="0.2">
      <c r="L342" s="40"/>
      <c r="M342" s="40"/>
    </row>
    <row r="343" spans="12:13" ht="12.75" customHeight="1" x14ac:dyDescent="0.2">
      <c r="L343" s="40"/>
      <c r="M343" s="40"/>
    </row>
    <row r="344" spans="12:13" ht="12.75" customHeight="1" x14ac:dyDescent="0.2">
      <c r="L344" s="40"/>
      <c r="M344" s="40"/>
    </row>
    <row r="345" spans="12:13" ht="12.75" customHeight="1" x14ac:dyDescent="0.2">
      <c r="L345" s="40"/>
      <c r="M345" s="40"/>
    </row>
    <row r="346" spans="12:13" ht="12.75" customHeight="1" x14ac:dyDescent="0.2">
      <c r="L346" s="40"/>
      <c r="M346" s="40"/>
    </row>
    <row r="347" spans="12:13" ht="12.75" customHeight="1" x14ac:dyDescent="0.2">
      <c r="L347" s="40"/>
      <c r="M347" s="40"/>
    </row>
    <row r="348" spans="12:13" ht="12.75" customHeight="1" x14ac:dyDescent="0.2">
      <c r="L348" s="40"/>
      <c r="M348" s="40"/>
    </row>
    <row r="349" spans="12:13" ht="12.75" customHeight="1" x14ac:dyDescent="0.2">
      <c r="L349" s="40"/>
      <c r="M349" s="40"/>
    </row>
    <row r="350" spans="12:13" ht="12.75" customHeight="1" x14ac:dyDescent="0.2">
      <c r="L350" s="40"/>
      <c r="M350" s="40"/>
    </row>
    <row r="351" spans="12:13" ht="12.75" customHeight="1" x14ac:dyDescent="0.2">
      <c r="L351" s="40"/>
      <c r="M351" s="40"/>
    </row>
    <row r="352" spans="12:13" ht="12.75" customHeight="1" x14ac:dyDescent="0.2">
      <c r="L352" s="40"/>
      <c r="M352" s="40"/>
    </row>
    <row r="353" spans="12:13" ht="12.75" customHeight="1" x14ac:dyDescent="0.2">
      <c r="L353" s="40"/>
      <c r="M353" s="40"/>
    </row>
    <row r="354" spans="12:13" ht="12.75" customHeight="1" x14ac:dyDescent="0.2">
      <c r="L354" s="40"/>
      <c r="M354" s="40"/>
    </row>
    <row r="355" spans="12:13" ht="12.75" customHeight="1" x14ac:dyDescent="0.2">
      <c r="L355" s="40"/>
      <c r="M355" s="40"/>
    </row>
    <row r="356" spans="12:13" ht="12.75" customHeight="1" x14ac:dyDescent="0.2">
      <c r="L356" s="40"/>
      <c r="M356" s="40"/>
    </row>
    <row r="357" spans="12:13" ht="12.75" customHeight="1" x14ac:dyDescent="0.2">
      <c r="L357" s="40"/>
      <c r="M357" s="40"/>
    </row>
    <row r="358" spans="12:13" ht="12.75" customHeight="1" x14ac:dyDescent="0.2">
      <c r="L358" s="40"/>
      <c r="M358" s="40"/>
    </row>
    <row r="359" spans="12:13" ht="12.75" customHeight="1" x14ac:dyDescent="0.2">
      <c r="L359" s="40"/>
      <c r="M359" s="40"/>
    </row>
    <row r="360" spans="12:13" ht="12.75" customHeight="1" x14ac:dyDescent="0.2">
      <c r="L360" s="40"/>
      <c r="M360" s="40"/>
    </row>
    <row r="361" spans="12:13" ht="12.75" customHeight="1" x14ac:dyDescent="0.2">
      <c r="L361" s="40"/>
      <c r="M361" s="40"/>
    </row>
    <row r="362" spans="12:13" ht="12.75" customHeight="1" x14ac:dyDescent="0.2">
      <c r="L362" s="40"/>
      <c r="M362" s="40"/>
    </row>
    <row r="363" spans="12:13" ht="12.75" customHeight="1" x14ac:dyDescent="0.2">
      <c r="L363" s="40"/>
      <c r="M363" s="40"/>
    </row>
    <row r="364" spans="12:13" ht="12.75" customHeight="1" x14ac:dyDescent="0.2">
      <c r="L364" s="40"/>
      <c r="M364" s="40"/>
    </row>
    <row r="365" spans="12:13" ht="12.75" customHeight="1" x14ac:dyDescent="0.2">
      <c r="L365" s="40"/>
      <c r="M365" s="40"/>
    </row>
    <row r="366" spans="12:13" ht="12.75" customHeight="1" x14ac:dyDescent="0.2">
      <c r="L366" s="40"/>
      <c r="M366" s="40"/>
    </row>
    <row r="367" spans="12:13" ht="12.75" customHeight="1" x14ac:dyDescent="0.2">
      <c r="L367" s="40"/>
      <c r="M367" s="40"/>
    </row>
    <row r="368" spans="12:13" ht="12.75" customHeight="1" x14ac:dyDescent="0.2">
      <c r="L368" s="40"/>
      <c r="M368" s="40"/>
    </row>
    <row r="369" spans="12:13" ht="12.75" customHeight="1" x14ac:dyDescent="0.2">
      <c r="L369" s="40"/>
      <c r="M369" s="40"/>
    </row>
    <row r="370" spans="12:13" ht="12.75" customHeight="1" x14ac:dyDescent="0.2">
      <c r="L370" s="40"/>
      <c r="M370" s="40"/>
    </row>
    <row r="371" spans="12:13" ht="12.75" customHeight="1" x14ac:dyDescent="0.2">
      <c r="L371" s="40"/>
      <c r="M371" s="40"/>
    </row>
    <row r="372" spans="12:13" ht="12.75" customHeight="1" x14ac:dyDescent="0.2">
      <c r="L372" s="40"/>
      <c r="M372" s="40"/>
    </row>
    <row r="373" spans="12:13" ht="12.75" customHeight="1" x14ac:dyDescent="0.2">
      <c r="L373" s="40"/>
      <c r="M373" s="40"/>
    </row>
    <row r="374" spans="12:13" ht="12.75" customHeight="1" x14ac:dyDescent="0.2">
      <c r="L374" s="40"/>
      <c r="M374" s="40"/>
    </row>
    <row r="375" spans="12:13" ht="12.75" customHeight="1" x14ac:dyDescent="0.2">
      <c r="L375" s="40"/>
      <c r="M375" s="40"/>
    </row>
    <row r="376" spans="12:13" ht="12.75" customHeight="1" x14ac:dyDescent="0.2">
      <c r="L376" s="40"/>
      <c r="M376" s="40"/>
    </row>
    <row r="377" spans="12:13" ht="12.75" customHeight="1" x14ac:dyDescent="0.2">
      <c r="L377" s="40"/>
      <c r="M377" s="40"/>
    </row>
    <row r="378" spans="12:13" ht="12.75" customHeight="1" x14ac:dyDescent="0.2">
      <c r="L378" s="40"/>
      <c r="M378" s="40"/>
    </row>
    <row r="379" spans="12:13" ht="12.75" customHeight="1" x14ac:dyDescent="0.2">
      <c r="L379" s="40"/>
      <c r="M379" s="40"/>
    </row>
    <row r="380" spans="12:13" ht="12.75" customHeight="1" x14ac:dyDescent="0.2">
      <c r="L380" s="40"/>
      <c r="M380" s="40"/>
    </row>
    <row r="381" spans="12:13" ht="12.75" customHeight="1" x14ac:dyDescent="0.2">
      <c r="L381" s="40"/>
      <c r="M381" s="40"/>
    </row>
    <row r="382" spans="12:13" ht="12.75" customHeight="1" x14ac:dyDescent="0.2">
      <c r="L382" s="40"/>
      <c r="M382" s="40"/>
    </row>
    <row r="383" spans="12:13" ht="12.75" customHeight="1" x14ac:dyDescent="0.2">
      <c r="L383" s="40"/>
      <c r="M383" s="40"/>
    </row>
    <row r="384" spans="12:13" ht="12.75" customHeight="1" x14ac:dyDescent="0.2">
      <c r="L384" s="40"/>
      <c r="M384" s="40"/>
    </row>
    <row r="385" spans="12:13" ht="12.75" customHeight="1" x14ac:dyDescent="0.2">
      <c r="L385" s="40"/>
      <c r="M385" s="40"/>
    </row>
    <row r="386" spans="12:13" ht="12.75" customHeight="1" x14ac:dyDescent="0.2">
      <c r="L386" s="40"/>
      <c r="M386" s="40"/>
    </row>
    <row r="387" spans="12:13" ht="12.75" customHeight="1" x14ac:dyDescent="0.2">
      <c r="L387" s="40"/>
      <c r="M387" s="40"/>
    </row>
    <row r="388" spans="12:13" ht="12.75" customHeight="1" x14ac:dyDescent="0.2">
      <c r="L388" s="40"/>
      <c r="M388" s="40"/>
    </row>
    <row r="389" spans="12:13" ht="12.75" customHeight="1" x14ac:dyDescent="0.2">
      <c r="L389" s="40"/>
      <c r="M389" s="40"/>
    </row>
    <row r="390" spans="12:13" ht="12.75" customHeight="1" x14ac:dyDescent="0.2">
      <c r="L390" s="40"/>
      <c r="M390" s="40"/>
    </row>
    <row r="391" spans="12:13" ht="12.75" customHeight="1" x14ac:dyDescent="0.2">
      <c r="L391" s="40"/>
      <c r="M391" s="40"/>
    </row>
    <row r="392" spans="12:13" ht="12.75" customHeight="1" x14ac:dyDescent="0.2">
      <c r="L392" s="40"/>
      <c r="M392" s="40"/>
    </row>
    <row r="393" spans="12:13" ht="12.75" customHeight="1" x14ac:dyDescent="0.2">
      <c r="L393" s="40"/>
      <c r="M393" s="40"/>
    </row>
    <row r="394" spans="12:13" ht="12.75" customHeight="1" x14ac:dyDescent="0.2">
      <c r="L394" s="40"/>
      <c r="M394" s="40"/>
    </row>
    <row r="395" spans="12:13" ht="12.75" customHeight="1" x14ac:dyDescent="0.2">
      <c r="L395" s="40"/>
      <c r="M395" s="40"/>
    </row>
    <row r="396" spans="12:13" ht="12.75" customHeight="1" x14ac:dyDescent="0.2">
      <c r="L396" s="40"/>
      <c r="M396" s="40"/>
    </row>
    <row r="397" spans="12:13" ht="12.75" customHeight="1" x14ac:dyDescent="0.2">
      <c r="L397" s="40"/>
      <c r="M397" s="40"/>
    </row>
    <row r="398" spans="12:13" ht="12.75" customHeight="1" x14ac:dyDescent="0.2">
      <c r="L398" s="40"/>
      <c r="M398" s="40"/>
    </row>
    <row r="399" spans="12:13" ht="12.75" customHeight="1" x14ac:dyDescent="0.2">
      <c r="L399" s="40"/>
      <c r="M399" s="40"/>
    </row>
    <row r="400" spans="12:13" ht="12.75" customHeight="1" x14ac:dyDescent="0.2">
      <c r="L400" s="40"/>
      <c r="M400" s="40"/>
    </row>
    <row r="401" spans="12:13" ht="12.75" customHeight="1" x14ac:dyDescent="0.2">
      <c r="L401" s="40"/>
      <c r="M401" s="40"/>
    </row>
    <row r="402" spans="12:13" ht="12.75" customHeight="1" x14ac:dyDescent="0.2">
      <c r="L402" s="40"/>
      <c r="M402" s="40"/>
    </row>
    <row r="403" spans="12:13" ht="12.75" customHeight="1" x14ac:dyDescent="0.2">
      <c r="L403" s="40"/>
      <c r="M403" s="40"/>
    </row>
    <row r="404" spans="12:13" ht="12.75" customHeight="1" x14ac:dyDescent="0.2">
      <c r="L404" s="40"/>
      <c r="M404" s="40"/>
    </row>
    <row r="405" spans="12:13" ht="12.75" customHeight="1" x14ac:dyDescent="0.2">
      <c r="L405" s="40"/>
      <c r="M405" s="40"/>
    </row>
    <row r="406" spans="12:13" ht="12.75" customHeight="1" x14ac:dyDescent="0.2">
      <c r="L406" s="40"/>
      <c r="M406" s="40"/>
    </row>
    <row r="407" spans="12:13" ht="12.75" customHeight="1" x14ac:dyDescent="0.2">
      <c r="L407" s="40"/>
      <c r="M407" s="40"/>
    </row>
    <row r="408" spans="12:13" ht="12.75" customHeight="1" x14ac:dyDescent="0.2">
      <c r="L408" s="40"/>
      <c r="M408" s="40"/>
    </row>
    <row r="409" spans="12:13" ht="12.75" customHeight="1" x14ac:dyDescent="0.2">
      <c r="L409" s="40"/>
      <c r="M409" s="40"/>
    </row>
    <row r="410" spans="12:13" ht="12.75" customHeight="1" x14ac:dyDescent="0.2">
      <c r="L410" s="40"/>
      <c r="M410" s="40"/>
    </row>
    <row r="411" spans="12:13" ht="12.75" customHeight="1" x14ac:dyDescent="0.2">
      <c r="L411" s="40"/>
      <c r="M411" s="40"/>
    </row>
    <row r="412" spans="12:13" ht="12.75" customHeight="1" x14ac:dyDescent="0.2">
      <c r="L412" s="40"/>
      <c r="M412" s="40"/>
    </row>
    <row r="413" spans="12:13" ht="12.75" customHeight="1" x14ac:dyDescent="0.2">
      <c r="L413" s="40"/>
      <c r="M413" s="40"/>
    </row>
    <row r="414" spans="12:13" ht="12.75" customHeight="1" x14ac:dyDescent="0.2">
      <c r="L414" s="40"/>
      <c r="M414" s="40"/>
    </row>
    <row r="415" spans="12:13" ht="12.75" customHeight="1" x14ac:dyDescent="0.2">
      <c r="L415" s="40"/>
      <c r="M415" s="40"/>
    </row>
    <row r="416" spans="12:13" ht="12.75" customHeight="1" x14ac:dyDescent="0.2">
      <c r="L416" s="40"/>
      <c r="M416" s="40"/>
    </row>
    <row r="417" spans="12:13" ht="12.75" customHeight="1" x14ac:dyDescent="0.2">
      <c r="L417" s="40"/>
      <c r="M417" s="40"/>
    </row>
    <row r="418" spans="12:13" ht="12.75" customHeight="1" x14ac:dyDescent="0.2">
      <c r="L418" s="40"/>
      <c r="M418" s="40"/>
    </row>
    <row r="419" spans="12:13" ht="12.75" customHeight="1" x14ac:dyDescent="0.2">
      <c r="L419" s="40"/>
      <c r="M419" s="40"/>
    </row>
    <row r="420" spans="12:13" ht="12.75" customHeight="1" x14ac:dyDescent="0.2">
      <c r="L420" s="40"/>
      <c r="M420" s="40"/>
    </row>
    <row r="421" spans="12:13" ht="12.75" customHeight="1" x14ac:dyDescent="0.2">
      <c r="L421" s="40"/>
      <c r="M421" s="40"/>
    </row>
    <row r="422" spans="12:13" ht="12.75" customHeight="1" x14ac:dyDescent="0.2">
      <c r="L422" s="40"/>
      <c r="M422" s="40"/>
    </row>
    <row r="423" spans="12:13" ht="12.75" customHeight="1" x14ac:dyDescent="0.2">
      <c r="L423" s="40"/>
      <c r="M423" s="40"/>
    </row>
    <row r="424" spans="12:13" ht="12.75" customHeight="1" x14ac:dyDescent="0.2">
      <c r="L424" s="40"/>
      <c r="M424" s="40"/>
    </row>
    <row r="425" spans="12:13" ht="12.75" customHeight="1" x14ac:dyDescent="0.2">
      <c r="L425" s="40"/>
      <c r="M425" s="40"/>
    </row>
    <row r="426" spans="12:13" ht="12.75" customHeight="1" x14ac:dyDescent="0.2">
      <c r="L426" s="40"/>
      <c r="M426" s="40"/>
    </row>
    <row r="427" spans="12:13" ht="12.75" customHeight="1" x14ac:dyDescent="0.2">
      <c r="L427" s="40"/>
      <c r="M427" s="40"/>
    </row>
    <row r="428" spans="12:13" ht="12.75" customHeight="1" x14ac:dyDescent="0.2">
      <c r="L428" s="40"/>
      <c r="M428" s="40"/>
    </row>
    <row r="429" spans="12:13" ht="12.75" customHeight="1" x14ac:dyDescent="0.2">
      <c r="L429" s="40"/>
      <c r="M429" s="40"/>
    </row>
    <row r="430" spans="12:13" ht="12.75" customHeight="1" x14ac:dyDescent="0.2">
      <c r="L430" s="40"/>
      <c r="M430" s="40"/>
    </row>
    <row r="431" spans="12:13" ht="12.75" customHeight="1" x14ac:dyDescent="0.2">
      <c r="L431" s="40"/>
      <c r="M431" s="40"/>
    </row>
    <row r="432" spans="12:13" ht="12.75" customHeight="1" x14ac:dyDescent="0.2">
      <c r="L432" s="40"/>
      <c r="M432" s="40"/>
    </row>
    <row r="433" spans="12:13" ht="12.75" customHeight="1" x14ac:dyDescent="0.2">
      <c r="L433" s="40"/>
      <c r="M433" s="40"/>
    </row>
    <row r="434" spans="12:13" ht="12.75" customHeight="1" x14ac:dyDescent="0.2">
      <c r="L434" s="40"/>
      <c r="M434" s="40"/>
    </row>
    <row r="435" spans="12:13" ht="12.75" customHeight="1" x14ac:dyDescent="0.2">
      <c r="L435" s="40"/>
      <c r="M435" s="40"/>
    </row>
    <row r="436" spans="12:13" ht="12.75" customHeight="1" x14ac:dyDescent="0.2">
      <c r="L436" s="40"/>
      <c r="M436" s="40"/>
    </row>
    <row r="437" spans="12:13" ht="12.75" customHeight="1" x14ac:dyDescent="0.2">
      <c r="L437" s="40"/>
      <c r="M437" s="40"/>
    </row>
    <row r="438" spans="12:13" ht="12.75" customHeight="1" x14ac:dyDescent="0.2">
      <c r="L438" s="40"/>
      <c r="M438" s="40"/>
    </row>
    <row r="439" spans="12:13" ht="12.75" customHeight="1" x14ac:dyDescent="0.2">
      <c r="L439" s="40"/>
      <c r="M439" s="40"/>
    </row>
    <row r="440" spans="12:13" ht="12.75" customHeight="1" x14ac:dyDescent="0.2">
      <c r="L440" s="40"/>
      <c r="M440" s="40"/>
    </row>
    <row r="441" spans="12:13" ht="12.75" customHeight="1" x14ac:dyDescent="0.2">
      <c r="L441" s="40"/>
      <c r="M441" s="40"/>
    </row>
    <row r="442" spans="12:13" ht="12.75" customHeight="1" x14ac:dyDescent="0.2">
      <c r="L442" s="40"/>
      <c r="M442" s="40"/>
    </row>
    <row r="443" spans="12:13" ht="12.75" customHeight="1" x14ac:dyDescent="0.2">
      <c r="L443" s="40"/>
      <c r="M443" s="40"/>
    </row>
    <row r="444" spans="12:13" ht="12.75" customHeight="1" x14ac:dyDescent="0.2">
      <c r="L444" s="40"/>
      <c r="M444" s="40"/>
    </row>
    <row r="445" spans="12:13" ht="12.75" customHeight="1" x14ac:dyDescent="0.2">
      <c r="L445" s="40"/>
      <c r="M445" s="40"/>
    </row>
    <row r="446" spans="12:13" ht="12.75" customHeight="1" x14ac:dyDescent="0.2">
      <c r="L446" s="40"/>
      <c r="M446" s="40"/>
    </row>
    <row r="447" spans="12:13" ht="12.75" customHeight="1" x14ac:dyDescent="0.2">
      <c r="L447" s="40"/>
      <c r="M447" s="40"/>
    </row>
    <row r="448" spans="12:13" ht="12.75" customHeight="1" x14ac:dyDescent="0.2">
      <c r="L448" s="40"/>
      <c r="M448" s="40"/>
    </row>
    <row r="449" spans="12:13" ht="12.75" customHeight="1" x14ac:dyDescent="0.2">
      <c r="L449" s="40"/>
      <c r="M449" s="40"/>
    </row>
    <row r="450" spans="12:13" ht="12.75" customHeight="1" x14ac:dyDescent="0.2">
      <c r="L450" s="40"/>
      <c r="M450" s="40"/>
    </row>
    <row r="451" spans="12:13" ht="12.75" customHeight="1" x14ac:dyDescent="0.2">
      <c r="L451" s="40"/>
      <c r="M451" s="40"/>
    </row>
    <row r="452" spans="12:13" ht="12.75" customHeight="1" x14ac:dyDescent="0.2">
      <c r="L452" s="40"/>
      <c r="M452" s="40"/>
    </row>
    <row r="453" spans="12:13" ht="12.75" customHeight="1" x14ac:dyDescent="0.2">
      <c r="L453" s="40"/>
      <c r="M453" s="40"/>
    </row>
    <row r="454" spans="12:13" ht="12.75" customHeight="1" x14ac:dyDescent="0.2">
      <c r="L454" s="40"/>
      <c r="M454" s="40"/>
    </row>
    <row r="455" spans="12:13" ht="12.75" customHeight="1" x14ac:dyDescent="0.2">
      <c r="L455" s="40"/>
      <c r="M455" s="40"/>
    </row>
    <row r="456" spans="12:13" ht="12.75" customHeight="1" x14ac:dyDescent="0.2">
      <c r="L456" s="40"/>
      <c r="M456" s="40"/>
    </row>
    <row r="457" spans="12:13" ht="12.75" customHeight="1" x14ac:dyDescent="0.2">
      <c r="L457" s="40"/>
      <c r="M457" s="40"/>
    </row>
    <row r="458" spans="12:13" ht="12.75" customHeight="1" x14ac:dyDescent="0.2">
      <c r="L458" s="40"/>
      <c r="M458" s="40"/>
    </row>
    <row r="459" spans="12:13" ht="12.75" customHeight="1" x14ac:dyDescent="0.2">
      <c r="L459" s="40"/>
      <c r="M459" s="40"/>
    </row>
    <row r="460" spans="12:13" ht="12.75" customHeight="1" x14ac:dyDescent="0.2">
      <c r="L460" s="40"/>
      <c r="M460" s="40"/>
    </row>
    <row r="461" spans="12:13" ht="12.75" customHeight="1" x14ac:dyDescent="0.2">
      <c r="L461" s="40"/>
      <c r="M461" s="40"/>
    </row>
    <row r="462" spans="12:13" ht="12.75" customHeight="1" x14ac:dyDescent="0.2">
      <c r="L462" s="40"/>
      <c r="M462" s="40"/>
    </row>
    <row r="463" spans="12:13" ht="12.75" customHeight="1" x14ac:dyDescent="0.2">
      <c r="L463" s="40"/>
      <c r="M463" s="40"/>
    </row>
    <row r="464" spans="12:13" ht="12.75" customHeight="1" x14ac:dyDescent="0.2">
      <c r="L464" s="40"/>
      <c r="M464" s="40"/>
    </row>
    <row r="465" spans="12:13" ht="12.75" customHeight="1" x14ac:dyDescent="0.2">
      <c r="L465" s="40"/>
      <c r="M465" s="40"/>
    </row>
    <row r="466" spans="12:13" ht="12.75" customHeight="1" x14ac:dyDescent="0.2">
      <c r="L466" s="40"/>
      <c r="M466" s="40"/>
    </row>
    <row r="467" spans="12:13" ht="12.75" customHeight="1" x14ac:dyDescent="0.2">
      <c r="L467" s="40"/>
      <c r="M467" s="40"/>
    </row>
    <row r="468" spans="12:13" ht="12.75" customHeight="1" x14ac:dyDescent="0.2">
      <c r="L468" s="40"/>
      <c r="M468" s="40"/>
    </row>
    <row r="469" spans="12:13" ht="12.75" customHeight="1" x14ac:dyDescent="0.2">
      <c r="L469" s="40"/>
      <c r="M469" s="40"/>
    </row>
    <row r="470" spans="12:13" ht="12.75" customHeight="1" x14ac:dyDescent="0.2">
      <c r="L470" s="40"/>
      <c r="M470" s="40"/>
    </row>
    <row r="471" spans="12:13" ht="12.75" customHeight="1" x14ac:dyDescent="0.2">
      <c r="L471" s="40"/>
      <c r="M471" s="40"/>
    </row>
    <row r="472" spans="12:13" ht="12.75" customHeight="1" x14ac:dyDescent="0.2">
      <c r="L472" s="40"/>
      <c r="M472" s="40"/>
    </row>
    <row r="473" spans="12:13" ht="12.75" customHeight="1" x14ac:dyDescent="0.2">
      <c r="L473" s="40"/>
      <c r="M473" s="40"/>
    </row>
    <row r="474" spans="12:13" ht="12.75" customHeight="1" x14ac:dyDescent="0.2">
      <c r="L474" s="40"/>
      <c r="M474" s="40"/>
    </row>
    <row r="475" spans="12:13" ht="12.75" customHeight="1" x14ac:dyDescent="0.2">
      <c r="L475" s="40"/>
      <c r="M475" s="40"/>
    </row>
    <row r="476" spans="12:13" ht="12.75" customHeight="1" x14ac:dyDescent="0.2">
      <c r="L476" s="40"/>
      <c r="M476" s="40"/>
    </row>
    <row r="477" spans="12:13" ht="12.75" customHeight="1" x14ac:dyDescent="0.2">
      <c r="L477" s="40"/>
      <c r="M477" s="40"/>
    </row>
    <row r="478" spans="12:13" ht="12.75" customHeight="1" x14ac:dyDescent="0.2">
      <c r="L478" s="40"/>
      <c r="M478" s="40"/>
    </row>
    <row r="479" spans="12:13" ht="12.75" customHeight="1" x14ac:dyDescent="0.2">
      <c r="L479" s="40"/>
      <c r="M479" s="40"/>
    </row>
    <row r="480" spans="12:13" ht="12.75" customHeight="1" x14ac:dyDescent="0.2">
      <c r="L480" s="40"/>
      <c r="M480" s="40"/>
    </row>
    <row r="481" spans="12:13" ht="12.75" customHeight="1" x14ac:dyDescent="0.2">
      <c r="L481" s="40"/>
      <c r="M481" s="40"/>
    </row>
    <row r="482" spans="12:13" ht="12.75" customHeight="1" x14ac:dyDescent="0.2">
      <c r="L482" s="40"/>
      <c r="M482" s="40"/>
    </row>
    <row r="483" spans="12:13" ht="12.75" customHeight="1" x14ac:dyDescent="0.2">
      <c r="L483" s="40"/>
      <c r="M483" s="40"/>
    </row>
    <row r="484" spans="12:13" ht="12.75" customHeight="1" x14ac:dyDescent="0.2">
      <c r="L484" s="40"/>
      <c r="M484" s="40"/>
    </row>
    <row r="485" spans="12:13" ht="12.75" customHeight="1" x14ac:dyDescent="0.2">
      <c r="L485" s="40"/>
      <c r="M485" s="40"/>
    </row>
    <row r="486" spans="12:13" ht="12.75" customHeight="1" x14ac:dyDescent="0.2">
      <c r="L486" s="40"/>
      <c r="M486" s="40"/>
    </row>
    <row r="487" spans="12:13" ht="12.75" customHeight="1" x14ac:dyDescent="0.2">
      <c r="L487" s="40"/>
      <c r="M487" s="40"/>
    </row>
    <row r="488" spans="12:13" ht="12.75" customHeight="1" x14ac:dyDescent="0.2">
      <c r="L488" s="40"/>
      <c r="M488" s="40"/>
    </row>
    <row r="489" spans="12:13" ht="12.75" customHeight="1" x14ac:dyDescent="0.2">
      <c r="L489" s="40"/>
      <c r="M489" s="40"/>
    </row>
    <row r="490" spans="12:13" ht="12.75" customHeight="1" x14ac:dyDescent="0.2">
      <c r="L490" s="40"/>
      <c r="M490" s="40"/>
    </row>
    <row r="491" spans="12:13" ht="12.75" customHeight="1" x14ac:dyDescent="0.2">
      <c r="L491" s="40"/>
      <c r="M491" s="40"/>
    </row>
    <row r="492" spans="12:13" ht="12.75" customHeight="1" x14ac:dyDescent="0.2">
      <c r="L492" s="40"/>
      <c r="M492" s="40"/>
    </row>
    <row r="493" spans="12:13" ht="12.75" customHeight="1" x14ac:dyDescent="0.2">
      <c r="L493" s="40"/>
      <c r="M493" s="40"/>
    </row>
    <row r="494" spans="12:13" ht="12.75" customHeight="1" x14ac:dyDescent="0.2">
      <c r="L494" s="40"/>
      <c r="M494" s="40"/>
    </row>
    <row r="495" spans="12:13" ht="12.75" customHeight="1" x14ac:dyDescent="0.2">
      <c r="L495" s="40"/>
      <c r="M495" s="40"/>
    </row>
    <row r="496" spans="12:13" ht="12.75" customHeight="1" x14ac:dyDescent="0.2">
      <c r="L496" s="40"/>
      <c r="M496" s="40"/>
    </row>
    <row r="497" spans="12:13" ht="12.75" customHeight="1" x14ac:dyDescent="0.2">
      <c r="L497" s="40"/>
      <c r="M497" s="40"/>
    </row>
    <row r="498" spans="12:13" ht="12.75" customHeight="1" x14ac:dyDescent="0.2">
      <c r="L498" s="40"/>
      <c r="M498" s="40"/>
    </row>
    <row r="499" spans="12:13" ht="12.75" customHeight="1" x14ac:dyDescent="0.2">
      <c r="L499" s="40"/>
      <c r="M499" s="40"/>
    </row>
    <row r="500" spans="12:13" ht="12.75" customHeight="1" x14ac:dyDescent="0.2">
      <c r="L500" s="40"/>
      <c r="M500" s="40"/>
    </row>
    <row r="501" spans="12:13" ht="12.75" customHeight="1" x14ac:dyDescent="0.2">
      <c r="L501" s="40"/>
      <c r="M501" s="40"/>
    </row>
    <row r="502" spans="12:13" ht="12.75" customHeight="1" x14ac:dyDescent="0.2">
      <c r="L502" s="40"/>
      <c r="M502" s="40"/>
    </row>
    <row r="503" spans="12:13" ht="12.75" customHeight="1" x14ac:dyDescent="0.2">
      <c r="L503" s="40"/>
      <c r="M503" s="40"/>
    </row>
    <row r="504" spans="12:13" ht="12.75" customHeight="1" x14ac:dyDescent="0.2">
      <c r="L504" s="40"/>
      <c r="M504" s="40"/>
    </row>
    <row r="505" spans="12:13" ht="12.75" customHeight="1" x14ac:dyDescent="0.2">
      <c r="L505" s="40"/>
      <c r="M505" s="40"/>
    </row>
    <row r="506" spans="12:13" ht="12.75" customHeight="1" x14ac:dyDescent="0.2">
      <c r="L506" s="40"/>
      <c r="M506" s="40"/>
    </row>
    <row r="507" spans="12:13" ht="12.75" customHeight="1" x14ac:dyDescent="0.2">
      <c r="L507" s="40"/>
      <c r="M507" s="40"/>
    </row>
    <row r="508" spans="12:13" ht="12.75" customHeight="1" x14ac:dyDescent="0.2">
      <c r="L508" s="40"/>
      <c r="M508" s="40"/>
    </row>
    <row r="509" spans="12:13" ht="12.75" customHeight="1" x14ac:dyDescent="0.2">
      <c r="L509" s="40"/>
      <c r="M509" s="40"/>
    </row>
    <row r="510" spans="12:13" ht="12.75" customHeight="1" x14ac:dyDescent="0.2">
      <c r="L510" s="40"/>
      <c r="M510" s="40"/>
    </row>
    <row r="511" spans="12:13" ht="12.75" customHeight="1" x14ac:dyDescent="0.2">
      <c r="L511" s="40"/>
      <c r="M511" s="40"/>
    </row>
    <row r="512" spans="12:13" ht="12.75" customHeight="1" x14ac:dyDescent="0.2">
      <c r="L512" s="40"/>
      <c r="M512" s="40"/>
    </row>
    <row r="513" spans="12:13" ht="12.75" customHeight="1" x14ac:dyDescent="0.2">
      <c r="L513" s="40"/>
      <c r="M513" s="40"/>
    </row>
    <row r="514" spans="12:13" ht="12.75" customHeight="1" x14ac:dyDescent="0.2">
      <c r="L514" s="40"/>
      <c r="M514" s="40"/>
    </row>
    <row r="515" spans="12:13" ht="12.75" customHeight="1" x14ac:dyDescent="0.2">
      <c r="L515" s="40"/>
      <c r="M515" s="40"/>
    </row>
    <row r="516" spans="12:13" ht="12.75" customHeight="1" x14ac:dyDescent="0.2">
      <c r="L516" s="40"/>
      <c r="M516" s="40"/>
    </row>
    <row r="517" spans="12:13" ht="12.75" customHeight="1" x14ac:dyDescent="0.2">
      <c r="L517" s="40"/>
      <c r="M517" s="40"/>
    </row>
    <row r="518" spans="12:13" ht="12.75" customHeight="1" x14ac:dyDescent="0.2">
      <c r="L518" s="40"/>
      <c r="M518" s="40"/>
    </row>
    <row r="519" spans="12:13" ht="12.75" customHeight="1" x14ac:dyDescent="0.2">
      <c r="L519" s="40"/>
      <c r="M519" s="40"/>
    </row>
    <row r="520" spans="12:13" ht="12.75" customHeight="1" x14ac:dyDescent="0.2">
      <c r="L520" s="40"/>
      <c r="M520" s="40"/>
    </row>
    <row r="521" spans="12:13" ht="12.75" customHeight="1" x14ac:dyDescent="0.2">
      <c r="L521" s="40"/>
      <c r="M521" s="40"/>
    </row>
    <row r="522" spans="12:13" ht="12.75" customHeight="1" x14ac:dyDescent="0.2">
      <c r="L522" s="40"/>
      <c r="M522" s="40"/>
    </row>
    <row r="523" spans="12:13" ht="12.75" customHeight="1" x14ac:dyDescent="0.2">
      <c r="L523" s="40"/>
      <c r="M523" s="40"/>
    </row>
    <row r="524" spans="12:13" ht="12.75" customHeight="1" x14ac:dyDescent="0.2">
      <c r="L524" s="40"/>
      <c r="M524" s="40"/>
    </row>
    <row r="525" spans="12:13" ht="12.75" customHeight="1" x14ac:dyDescent="0.2">
      <c r="L525" s="40"/>
      <c r="M525" s="40"/>
    </row>
    <row r="526" spans="12:13" ht="12.75" customHeight="1" x14ac:dyDescent="0.2">
      <c r="L526" s="40"/>
      <c r="M526" s="40"/>
    </row>
    <row r="527" spans="12:13" ht="12.75" customHeight="1" x14ac:dyDescent="0.2">
      <c r="L527" s="40"/>
      <c r="M527" s="40"/>
    </row>
    <row r="528" spans="12:13" ht="12.75" customHeight="1" x14ac:dyDescent="0.2">
      <c r="L528" s="40"/>
      <c r="M528" s="40"/>
    </row>
    <row r="529" spans="12:13" ht="12.75" customHeight="1" x14ac:dyDescent="0.2">
      <c r="L529" s="40"/>
      <c r="M529" s="40"/>
    </row>
    <row r="530" spans="12:13" ht="12.75" customHeight="1" x14ac:dyDescent="0.2">
      <c r="L530" s="40"/>
      <c r="M530" s="40"/>
    </row>
    <row r="531" spans="12:13" ht="12.75" customHeight="1" x14ac:dyDescent="0.2">
      <c r="L531" s="40"/>
      <c r="M531" s="40"/>
    </row>
    <row r="532" spans="12:13" ht="12.75" customHeight="1" x14ac:dyDescent="0.2">
      <c r="L532" s="40"/>
      <c r="M532" s="40"/>
    </row>
    <row r="533" spans="12:13" ht="12.75" customHeight="1" x14ac:dyDescent="0.2">
      <c r="L533" s="40"/>
      <c r="M533" s="40"/>
    </row>
    <row r="534" spans="12:13" ht="12.75" customHeight="1" x14ac:dyDescent="0.2">
      <c r="L534" s="40"/>
      <c r="M534" s="40"/>
    </row>
    <row r="535" spans="12:13" ht="12.75" customHeight="1" x14ac:dyDescent="0.2">
      <c r="L535" s="40"/>
      <c r="M535" s="40"/>
    </row>
    <row r="536" spans="12:13" ht="12.75" customHeight="1" x14ac:dyDescent="0.2">
      <c r="L536" s="40"/>
      <c r="M536" s="40"/>
    </row>
    <row r="537" spans="12:13" ht="12.75" customHeight="1" x14ac:dyDescent="0.2">
      <c r="L537" s="40"/>
      <c r="M537" s="40"/>
    </row>
    <row r="538" spans="12:13" ht="12.75" customHeight="1" x14ac:dyDescent="0.2">
      <c r="L538" s="40"/>
      <c r="M538" s="40"/>
    </row>
    <row r="539" spans="12:13" ht="12.75" customHeight="1" x14ac:dyDescent="0.2">
      <c r="L539" s="40"/>
      <c r="M539" s="40"/>
    </row>
    <row r="540" spans="12:13" ht="12.75" customHeight="1" x14ac:dyDescent="0.2">
      <c r="L540" s="40"/>
      <c r="M540" s="40"/>
    </row>
    <row r="541" spans="12:13" ht="12.75" customHeight="1" x14ac:dyDescent="0.2">
      <c r="L541" s="40"/>
      <c r="M541" s="40"/>
    </row>
    <row r="542" spans="12:13" ht="12.75" customHeight="1" x14ac:dyDescent="0.2">
      <c r="L542" s="40"/>
      <c r="M542" s="40"/>
    </row>
    <row r="543" spans="12:13" ht="12.75" customHeight="1" x14ac:dyDescent="0.2">
      <c r="L543" s="40"/>
      <c r="M543" s="40"/>
    </row>
    <row r="544" spans="12:13" ht="12.75" customHeight="1" x14ac:dyDescent="0.2">
      <c r="L544" s="40"/>
      <c r="M544" s="40"/>
    </row>
    <row r="545" spans="12:13" ht="12.75" customHeight="1" x14ac:dyDescent="0.2">
      <c r="L545" s="40"/>
      <c r="M545" s="40"/>
    </row>
    <row r="546" spans="12:13" ht="12.75" customHeight="1" x14ac:dyDescent="0.2">
      <c r="L546" s="40"/>
      <c r="M546" s="40"/>
    </row>
    <row r="547" spans="12:13" ht="12.75" customHeight="1" x14ac:dyDescent="0.2">
      <c r="L547" s="40"/>
      <c r="M547" s="40"/>
    </row>
    <row r="548" spans="12:13" ht="12.75" customHeight="1" x14ac:dyDescent="0.2">
      <c r="L548" s="40"/>
      <c r="M548" s="40"/>
    </row>
    <row r="549" spans="12:13" ht="12.75" customHeight="1" x14ac:dyDescent="0.2">
      <c r="L549" s="40"/>
      <c r="M549" s="40"/>
    </row>
    <row r="550" spans="12:13" ht="12.75" customHeight="1" x14ac:dyDescent="0.2">
      <c r="L550" s="40"/>
      <c r="M550" s="40"/>
    </row>
    <row r="551" spans="12:13" ht="12.75" customHeight="1" x14ac:dyDescent="0.2">
      <c r="L551" s="40"/>
      <c r="M551" s="40"/>
    </row>
    <row r="552" spans="12:13" ht="12.75" customHeight="1" x14ac:dyDescent="0.2">
      <c r="L552" s="40"/>
      <c r="M552" s="40"/>
    </row>
    <row r="553" spans="12:13" ht="12.75" customHeight="1" x14ac:dyDescent="0.2">
      <c r="L553" s="40"/>
      <c r="M553" s="40"/>
    </row>
    <row r="554" spans="12:13" ht="12.75" customHeight="1" x14ac:dyDescent="0.2">
      <c r="L554" s="40"/>
      <c r="M554" s="40"/>
    </row>
    <row r="555" spans="12:13" ht="12.75" customHeight="1" x14ac:dyDescent="0.2">
      <c r="L555" s="40"/>
      <c r="M555" s="40"/>
    </row>
    <row r="556" spans="12:13" ht="12.75" customHeight="1" x14ac:dyDescent="0.2">
      <c r="L556" s="40"/>
      <c r="M556" s="40"/>
    </row>
    <row r="557" spans="12:13" ht="12.75" customHeight="1" x14ac:dyDescent="0.2">
      <c r="L557" s="40"/>
      <c r="M557" s="40"/>
    </row>
    <row r="558" spans="12:13" ht="12.75" customHeight="1" x14ac:dyDescent="0.2">
      <c r="L558" s="40"/>
      <c r="M558" s="40"/>
    </row>
    <row r="559" spans="12:13" ht="12.75" customHeight="1" x14ac:dyDescent="0.2">
      <c r="L559" s="40"/>
      <c r="M559" s="40"/>
    </row>
    <row r="560" spans="12:13" ht="12.75" customHeight="1" x14ac:dyDescent="0.2">
      <c r="L560" s="40"/>
      <c r="M560" s="40"/>
    </row>
    <row r="561" spans="12:13" ht="12.75" customHeight="1" x14ac:dyDescent="0.2">
      <c r="L561" s="40"/>
      <c r="M561" s="40"/>
    </row>
    <row r="562" spans="12:13" ht="12.75" customHeight="1" x14ac:dyDescent="0.2">
      <c r="L562" s="40"/>
      <c r="M562" s="40"/>
    </row>
    <row r="563" spans="12:13" ht="12.75" customHeight="1" x14ac:dyDescent="0.2">
      <c r="L563" s="40"/>
      <c r="M563" s="40"/>
    </row>
    <row r="564" spans="12:13" ht="12.75" customHeight="1" x14ac:dyDescent="0.2">
      <c r="L564" s="40"/>
      <c r="M564" s="40"/>
    </row>
    <row r="565" spans="12:13" ht="12.75" customHeight="1" x14ac:dyDescent="0.2">
      <c r="L565" s="40"/>
      <c r="M565" s="40"/>
    </row>
    <row r="566" spans="12:13" ht="12.75" customHeight="1" x14ac:dyDescent="0.2">
      <c r="L566" s="40"/>
      <c r="M566" s="40"/>
    </row>
    <row r="567" spans="12:13" ht="12.75" customHeight="1" x14ac:dyDescent="0.2">
      <c r="L567" s="40"/>
      <c r="M567" s="40"/>
    </row>
    <row r="568" spans="12:13" ht="12.75" customHeight="1" x14ac:dyDescent="0.2">
      <c r="L568" s="40"/>
      <c r="M568" s="40"/>
    </row>
    <row r="569" spans="12:13" ht="12.75" customHeight="1" x14ac:dyDescent="0.2">
      <c r="L569" s="40"/>
      <c r="M569" s="40"/>
    </row>
    <row r="570" spans="12:13" ht="12.75" customHeight="1" x14ac:dyDescent="0.2">
      <c r="L570" s="40"/>
      <c r="M570" s="40"/>
    </row>
    <row r="571" spans="12:13" ht="12.75" customHeight="1" x14ac:dyDescent="0.2">
      <c r="L571" s="40"/>
      <c r="M571" s="40"/>
    </row>
    <row r="572" spans="12:13" ht="12.75" customHeight="1" x14ac:dyDescent="0.2">
      <c r="L572" s="40"/>
      <c r="M572" s="40"/>
    </row>
    <row r="573" spans="12:13" ht="12.75" customHeight="1" x14ac:dyDescent="0.2">
      <c r="L573" s="40"/>
      <c r="M573" s="40"/>
    </row>
    <row r="574" spans="12:13" ht="12.75" customHeight="1" x14ac:dyDescent="0.2">
      <c r="L574" s="40"/>
      <c r="M574" s="40"/>
    </row>
    <row r="575" spans="12:13" ht="12.75" customHeight="1" x14ac:dyDescent="0.2">
      <c r="L575" s="40"/>
      <c r="M575" s="40"/>
    </row>
    <row r="576" spans="12:13" ht="12.75" customHeight="1" x14ac:dyDescent="0.2">
      <c r="L576" s="40"/>
      <c r="M576" s="40"/>
    </row>
    <row r="577" spans="12:13" ht="12.75" customHeight="1" x14ac:dyDescent="0.2">
      <c r="L577" s="40"/>
      <c r="M577" s="40"/>
    </row>
    <row r="578" spans="12:13" ht="12.75" customHeight="1" x14ac:dyDescent="0.2">
      <c r="L578" s="40"/>
      <c r="M578" s="40"/>
    </row>
    <row r="579" spans="12:13" ht="12.75" customHeight="1" x14ac:dyDescent="0.2">
      <c r="L579" s="40"/>
      <c r="M579" s="40"/>
    </row>
    <row r="580" spans="12:13" ht="12.75" customHeight="1" x14ac:dyDescent="0.2">
      <c r="L580" s="40"/>
      <c r="M580" s="40"/>
    </row>
    <row r="581" spans="12:13" ht="12.75" customHeight="1" x14ac:dyDescent="0.2">
      <c r="L581" s="40"/>
      <c r="M581" s="40"/>
    </row>
    <row r="582" spans="12:13" ht="12.75" customHeight="1" x14ac:dyDescent="0.2">
      <c r="L582" s="40"/>
      <c r="M582" s="40"/>
    </row>
    <row r="583" spans="12:13" ht="12.75" customHeight="1" x14ac:dyDescent="0.2">
      <c r="L583" s="40"/>
      <c r="M583" s="40"/>
    </row>
    <row r="584" spans="12:13" ht="12.75" customHeight="1" x14ac:dyDescent="0.2">
      <c r="L584" s="40"/>
      <c r="M584" s="40"/>
    </row>
    <row r="585" spans="12:13" ht="12.75" customHeight="1" x14ac:dyDescent="0.2">
      <c r="L585" s="40"/>
      <c r="M585" s="40"/>
    </row>
    <row r="586" spans="12:13" ht="12.75" customHeight="1" x14ac:dyDescent="0.2">
      <c r="L586" s="40"/>
      <c r="M586" s="40"/>
    </row>
    <row r="587" spans="12:13" ht="12.75" customHeight="1" x14ac:dyDescent="0.2">
      <c r="L587" s="40"/>
      <c r="M587" s="40"/>
    </row>
    <row r="588" spans="12:13" ht="12.75" customHeight="1" x14ac:dyDescent="0.2">
      <c r="L588" s="40"/>
      <c r="M588" s="40"/>
    </row>
    <row r="589" spans="12:13" ht="12.75" customHeight="1" x14ac:dyDescent="0.2">
      <c r="L589" s="40"/>
      <c r="M589" s="40"/>
    </row>
    <row r="590" spans="12:13" ht="12.75" customHeight="1" x14ac:dyDescent="0.2">
      <c r="L590" s="40"/>
      <c r="M590" s="40"/>
    </row>
    <row r="591" spans="12:13" ht="12.75" customHeight="1" x14ac:dyDescent="0.2">
      <c r="L591" s="40"/>
      <c r="M591" s="40"/>
    </row>
    <row r="592" spans="12:13" ht="12.75" customHeight="1" x14ac:dyDescent="0.2">
      <c r="L592" s="40"/>
      <c r="M592" s="40"/>
    </row>
    <row r="593" spans="12:13" ht="12.75" customHeight="1" x14ac:dyDescent="0.2">
      <c r="L593" s="40"/>
      <c r="M593" s="40"/>
    </row>
    <row r="594" spans="12:13" ht="12.75" customHeight="1" x14ac:dyDescent="0.2">
      <c r="L594" s="40"/>
      <c r="M594" s="40"/>
    </row>
    <row r="595" spans="12:13" ht="12.75" customHeight="1" x14ac:dyDescent="0.2">
      <c r="L595" s="40"/>
      <c r="M595" s="40"/>
    </row>
    <row r="596" spans="12:13" ht="12.75" customHeight="1" x14ac:dyDescent="0.2">
      <c r="L596" s="40"/>
      <c r="M596" s="40"/>
    </row>
    <row r="597" spans="12:13" ht="12.75" customHeight="1" x14ac:dyDescent="0.2">
      <c r="L597" s="40"/>
      <c r="M597" s="40"/>
    </row>
    <row r="598" spans="12:13" ht="12.75" customHeight="1" x14ac:dyDescent="0.2">
      <c r="L598" s="40"/>
      <c r="M598" s="40"/>
    </row>
    <row r="599" spans="12:13" ht="12.75" customHeight="1" x14ac:dyDescent="0.2">
      <c r="L599" s="40"/>
      <c r="M599" s="40"/>
    </row>
    <row r="600" spans="12:13" ht="12.75" customHeight="1" x14ac:dyDescent="0.2">
      <c r="L600" s="40"/>
      <c r="M600" s="40"/>
    </row>
    <row r="601" spans="12:13" ht="12.75" customHeight="1" x14ac:dyDescent="0.2">
      <c r="L601" s="40"/>
      <c r="M601" s="40"/>
    </row>
    <row r="602" spans="12:13" ht="12.75" customHeight="1" x14ac:dyDescent="0.2">
      <c r="L602" s="40"/>
      <c r="M602" s="40"/>
    </row>
    <row r="603" spans="12:13" ht="12.75" customHeight="1" x14ac:dyDescent="0.2">
      <c r="L603" s="40"/>
      <c r="M603" s="40"/>
    </row>
    <row r="604" spans="12:13" ht="12.75" customHeight="1" x14ac:dyDescent="0.2">
      <c r="L604" s="40"/>
      <c r="M604" s="40"/>
    </row>
    <row r="605" spans="12:13" ht="12.75" customHeight="1" x14ac:dyDescent="0.2">
      <c r="L605" s="40"/>
      <c r="M605" s="40"/>
    </row>
    <row r="606" spans="12:13" ht="12.75" customHeight="1" x14ac:dyDescent="0.2">
      <c r="L606" s="40"/>
      <c r="M606" s="40"/>
    </row>
    <row r="607" spans="12:13" ht="12.75" customHeight="1" x14ac:dyDescent="0.2">
      <c r="L607" s="40"/>
      <c r="M607" s="40"/>
    </row>
    <row r="608" spans="12:13" ht="12.75" customHeight="1" x14ac:dyDescent="0.2">
      <c r="L608" s="40"/>
      <c r="M608" s="40"/>
    </row>
    <row r="609" spans="12:13" ht="12.75" customHeight="1" x14ac:dyDescent="0.2">
      <c r="L609" s="40"/>
      <c r="M609" s="40"/>
    </row>
    <row r="610" spans="12:13" ht="12.75" customHeight="1" x14ac:dyDescent="0.2">
      <c r="L610" s="40"/>
      <c r="M610" s="40"/>
    </row>
    <row r="611" spans="12:13" ht="12.75" customHeight="1" x14ac:dyDescent="0.2">
      <c r="L611" s="40"/>
      <c r="M611" s="40"/>
    </row>
    <row r="612" spans="12:13" ht="12.75" customHeight="1" x14ac:dyDescent="0.2">
      <c r="L612" s="40"/>
      <c r="M612" s="40"/>
    </row>
    <row r="613" spans="12:13" ht="12.75" customHeight="1" x14ac:dyDescent="0.2">
      <c r="L613" s="40"/>
      <c r="M613" s="40"/>
    </row>
    <row r="614" spans="12:13" ht="12.75" customHeight="1" x14ac:dyDescent="0.2">
      <c r="L614" s="40"/>
      <c r="M614" s="40"/>
    </row>
    <row r="615" spans="12:13" ht="12.75" customHeight="1" x14ac:dyDescent="0.2">
      <c r="L615" s="40"/>
      <c r="M615" s="40"/>
    </row>
    <row r="616" spans="12:13" ht="12.75" customHeight="1" x14ac:dyDescent="0.2">
      <c r="L616" s="40"/>
      <c r="M616" s="40"/>
    </row>
    <row r="617" spans="12:13" ht="12.75" customHeight="1" x14ac:dyDescent="0.2">
      <c r="L617" s="40"/>
      <c r="M617" s="40"/>
    </row>
    <row r="618" spans="12:13" ht="12.75" customHeight="1" x14ac:dyDescent="0.2">
      <c r="L618" s="40"/>
      <c r="M618" s="40"/>
    </row>
    <row r="619" spans="12:13" ht="12.75" customHeight="1" x14ac:dyDescent="0.2">
      <c r="L619" s="40"/>
      <c r="M619" s="40"/>
    </row>
    <row r="620" spans="12:13" ht="12.75" customHeight="1" x14ac:dyDescent="0.2">
      <c r="L620" s="40"/>
      <c r="M620" s="40"/>
    </row>
    <row r="621" spans="12:13" ht="12.75" customHeight="1" x14ac:dyDescent="0.2">
      <c r="L621" s="40"/>
      <c r="M621" s="40"/>
    </row>
    <row r="622" spans="12:13" ht="12.75" customHeight="1" x14ac:dyDescent="0.2">
      <c r="L622" s="40"/>
      <c r="M622" s="40"/>
    </row>
    <row r="623" spans="12:13" ht="12.75" customHeight="1" x14ac:dyDescent="0.2">
      <c r="L623" s="40"/>
      <c r="M623" s="40"/>
    </row>
    <row r="624" spans="12:13" ht="12.75" customHeight="1" x14ac:dyDescent="0.2">
      <c r="L624" s="40"/>
      <c r="M624" s="40"/>
    </row>
    <row r="625" spans="12:13" ht="12.75" customHeight="1" x14ac:dyDescent="0.2">
      <c r="L625" s="40"/>
      <c r="M625" s="40"/>
    </row>
    <row r="626" spans="12:13" ht="12.75" customHeight="1" x14ac:dyDescent="0.2">
      <c r="L626" s="40"/>
      <c r="M626" s="40"/>
    </row>
    <row r="627" spans="12:13" ht="12.75" customHeight="1" x14ac:dyDescent="0.2">
      <c r="L627" s="40"/>
      <c r="M627" s="40"/>
    </row>
    <row r="628" spans="12:13" ht="12.75" customHeight="1" x14ac:dyDescent="0.2">
      <c r="L628" s="40"/>
      <c r="M628" s="40"/>
    </row>
    <row r="629" spans="12:13" ht="12.75" customHeight="1" x14ac:dyDescent="0.2">
      <c r="L629" s="40"/>
      <c r="M629" s="40"/>
    </row>
    <row r="630" spans="12:13" ht="12.75" customHeight="1" x14ac:dyDescent="0.2">
      <c r="L630" s="40"/>
      <c r="M630" s="40"/>
    </row>
    <row r="631" spans="12:13" ht="12.75" customHeight="1" x14ac:dyDescent="0.2">
      <c r="L631" s="40"/>
      <c r="M631" s="40"/>
    </row>
    <row r="632" spans="12:13" ht="12.75" customHeight="1" x14ac:dyDescent="0.2">
      <c r="L632" s="40"/>
      <c r="M632" s="40"/>
    </row>
    <row r="633" spans="12:13" ht="12.75" customHeight="1" x14ac:dyDescent="0.2">
      <c r="L633" s="40"/>
      <c r="M633" s="40"/>
    </row>
    <row r="634" spans="12:13" ht="12.75" customHeight="1" x14ac:dyDescent="0.2">
      <c r="L634" s="40"/>
      <c r="M634" s="40"/>
    </row>
    <row r="635" spans="12:13" ht="12.75" customHeight="1" x14ac:dyDescent="0.2">
      <c r="L635" s="40"/>
      <c r="M635" s="40"/>
    </row>
    <row r="636" spans="12:13" ht="12.75" customHeight="1" x14ac:dyDescent="0.2">
      <c r="L636" s="40"/>
      <c r="M636" s="40"/>
    </row>
    <row r="637" spans="12:13" ht="12.75" customHeight="1" x14ac:dyDescent="0.2">
      <c r="L637" s="40"/>
      <c r="M637" s="40"/>
    </row>
    <row r="638" spans="12:13" ht="12.75" customHeight="1" x14ac:dyDescent="0.2">
      <c r="L638" s="40"/>
      <c r="M638" s="40"/>
    </row>
    <row r="639" spans="12:13" ht="12.75" customHeight="1" x14ac:dyDescent="0.2">
      <c r="L639" s="40"/>
      <c r="M639" s="40"/>
    </row>
    <row r="640" spans="12:13" ht="12.75" customHeight="1" x14ac:dyDescent="0.2">
      <c r="L640" s="40"/>
      <c r="M640" s="40"/>
    </row>
    <row r="641" spans="12:13" ht="12.75" customHeight="1" x14ac:dyDescent="0.2">
      <c r="L641" s="40"/>
      <c r="M641" s="40"/>
    </row>
    <row r="642" spans="12:13" ht="12.75" customHeight="1" x14ac:dyDescent="0.2">
      <c r="L642" s="40"/>
      <c r="M642" s="40"/>
    </row>
    <row r="643" spans="12:13" ht="12.75" customHeight="1" x14ac:dyDescent="0.2">
      <c r="L643" s="40"/>
      <c r="M643" s="40"/>
    </row>
    <row r="644" spans="12:13" ht="12.75" customHeight="1" x14ac:dyDescent="0.2">
      <c r="L644" s="40"/>
      <c r="M644" s="40"/>
    </row>
    <row r="645" spans="12:13" ht="12.75" customHeight="1" x14ac:dyDescent="0.2">
      <c r="L645" s="40"/>
      <c r="M645" s="40"/>
    </row>
    <row r="646" spans="12:13" ht="12.75" customHeight="1" x14ac:dyDescent="0.2">
      <c r="L646" s="40"/>
      <c r="M646" s="40"/>
    </row>
    <row r="647" spans="12:13" ht="12.75" customHeight="1" x14ac:dyDescent="0.2">
      <c r="L647" s="40"/>
      <c r="M647" s="40"/>
    </row>
    <row r="648" spans="12:13" ht="12.75" customHeight="1" x14ac:dyDescent="0.2">
      <c r="L648" s="40"/>
      <c r="M648" s="40"/>
    </row>
    <row r="649" spans="12:13" ht="12.75" customHeight="1" x14ac:dyDescent="0.2">
      <c r="L649" s="40"/>
      <c r="M649" s="40"/>
    </row>
    <row r="650" spans="12:13" ht="12.75" customHeight="1" x14ac:dyDescent="0.2">
      <c r="L650" s="40"/>
      <c r="M650" s="40"/>
    </row>
    <row r="651" spans="12:13" ht="12.75" customHeight="1" x14ac:dyDescent="0.2">
      <c r="L651" s="40"/>
      <c r="M651" s="40"/>
    </row>
    <row r="652" spans="12:13" ht="12.75" customHeight="1" x14ac:dyDescent="0.2">
      <c r="L652" s="40"/>
      <c r="M652" s="40"/>
    </row>
    <row r="653" spans="12:13" ht="12.75" customHeight="1" x14ac:dyDescent="0.2">
      <c r="L653" s="40"/>
      <c r="M653" s="40"/>
    </row>
    <row r="654" spans="12:13" ht="12.75" customHeight="1" x14ac:dyDescent="0.2">
      <c r="L654" s="40"/>
      <c r="M654" s="40"/>
    </row>
    <row r="655" spans="12:13" ht="12.75" customHeight="1" x14ac:dyDescent="0.2">
      <c r="L655" s="40"/>
      <c r="M655" s="40"/>
    </row>
    <row r="656" spans="12:13" ht="12.75" customHeight="1" x14ac:dyDescent="0.2">
      <c r="L656" s="40"/>
      <c r="M656" s="40"/>
    </row>
    <row r="657" spans="12:13" ht="12.75" customHeight="1" x14ac:dyDescent="0.2">
      <c r="L657" s="40"/>
      <c r="M657" s="40"/>
    </row>
    <row r="658" spans="12:13" ht="12.75" customHeight="1" x14ac:dyDescent="0.2">
      <c r="L658" s="40"/>
      <c r="M658" s="40"/>
    </row>
    <row r="659" spans="12:13" ht="12.75" customHeight="1" x14ac:dyDescent="0.2">
      <c r="L659" s="40"/>
      <c r="M659" s="40"/>
    </row>
    <row r="660" spans="12:13" ht="12.75" customHeight="1" x14ac:dyDescent="0.2">
      <c r="L660" s="40"/>
      <c r="M660" s="40"/>
    </row>
    <row r="661" spans="12:13" ht="12.75" customHeight="1" x14ac:dyDescent="0.2">
      <c r="L661" s="40"/>
      <c r="M661" s="40"/>
    </row>
    <row r="662" spans="12:13" ht="12.75" customHeight="1" x14ac:dyDescent="0.2">
      <c r="L662" s="40"/>
      <c r="M662" s="40"/>
    </row>
    <row r="663" spans="12:13" ht="12.75" customHeight="1" x14ac:dyDescent="0.2">
      <c r="L663" s="40"/>
      <c r="M663" s="40"/>
    </row>
    <row r="664" spans="12:13" ht="12.75" customHeight="1" x14ac:dyDescent="0.2">
      <c r="L664" s="40"/>
      <c r="M664" s="40"/>
    </row>
    <row r="665" spans="12:13" ht="12.75" customHeight="1" x14ac:dyDescent="0.2">
      <c r="L665" s="40"/>
      <c r="M665" s="40"/>
    </row>
    <row r="666" spans="12:13" ht="12.75" customHeight="1" x14ac:dyDescent="0.2">
      <c r="L666" s="40"/>
      <c r="M666" s="40"/>
    </row>
    <row r="667" spans="12:13" ht="12.75" customHeight="1" x14ac:dyDescent="0.2">
      <c r="L667" s="40"/>
      <c r="M667" s="40"/>
    </row>
    <row r="668" spans="12:13" ht="12.75" customHeight="1" x14ac:dyDescent="0.2">
      <c r="L668" s="40"/>
      <c r="M668" s="40"/>
    </row>
    <row r="669" spans="12:13" ht="12.75" customHeight="1" x14ac:dyDescent="0.2">
      <c r="L669" s="40"/>
      <c r="M669" s="40"/>
    </row>
    <row r="670" spans="12:13" ht="12.75" customHeight="1" x14ac:dyDescent="0.2">
      <c r="L670" s="40"/>
      <c r="M670" s="40"/>
    </row>
    <row r="671" spans="12:13" ht="12.75" customHeight="1" x14ac:dyDescent="0.2">
      <c r="L671" s="40"/>
      <c r="M671" s="40"/>
    </row>
    <row r="672" spans="12:13" ht="12.75" customHeight="1" x14ac:dyDescent="0.2">
      <c r="L672" s="40"/>
      <c r="M672" s="40"/>
    </row>
    <row r="673" spans="12:13" ht="12.75" customHeight="1" x14ac:dyDescent="0.2">
      <c r="L673" s="40"/>
      <c r="M673" s="40"/>
    </row>
    <row r="674" spans="12:13" ht="12.75" customHeight="1" x14ac:dyDescent="0.2">
      <c r="L674" s="40"/>
      <c r="M674" s="40"/>
    </row>
    <row r="675" spans="12:13" ht="12.75" customHeight="1" x14ac:dyDescent="0.2">
      <c r="L675" s="40"/>
      <c r="M675" s="40"/>
    </row>
    <row r="676" spans="12:13" ht="12.75" customHeight="1" x14ac:dyDescent="0.2">
      <c r="L676" s="40"/>
      <c r="M676" s="40"/>
    </row>
    <row r="677" spans="12:13" ht="12.75" customHeight="1" x14ac:dyDescent="0.2">
      <c r="L677" s="40"/>
      <c r="M677" s="40"/>
    </row>
    <row r="678" spans="12:13" ht="12.75" customHeight="1" x14ac:dyDescent="0.2">
      <c r="L678" s="40"/>
      <c r="M678" s="40"/>
    </row>
    <row r="679" spans="12:13" ht="12.75" customHeight="1" x14ac:dyDescent="0.2">
      <c r="L679" s="40"/>
      <c r="M679" s="40"/>
    </row>
    <row r="680" spans="12:13" ht="12.75" customHeight="1" x14ac:dyDescent="0.2">
      <c r="L680" s="40"/>
      <c r="M680" s="40"/>
    </row>
    <row r="681" spans="12:13" ht="12.75" customHeight="1" x14ac:dyDescent="0.2">
      <c r="L681" s="40"/>
      <c r="M681" s="40"/>
    </row>
    <row r="682" spans="12:13" ht="12.75" customHeight="1" x14ac:dyDescent="0.2">
      <c r="L682" s="40"/>
      <c r="M682" s="40"/>
    </row>
    <row r="683" spans="12:13" ht="12.75" customHeight="1" x14ac:dyDescent="0.2">
      <c r="L683" s="40"/>
      <c r="M683" s="40"/>
    </row>
    <row r="684" spans="12:13" ht="12.75" customHeight="1" x14ac:dyDescent="0.2">
      <c r="L684" s="40"/>
      <c r="M684" s="40"/>
    </row>
    <row r="685" spans="12:13" ht="12.75" customHeight="1" x14ac:dyDescent="0.2">
      <c r="L685" s="40"/>
      <c r="M685" s="40"/>
    </row>
    <row r="686" spans="12:13" ht="12.75" customHeight="1" x14ac:dyDescent="0.2">
      <c r="L686" s="40"/>
      <c r="M686" s="40"/>
    </row>
    <row r="687" spans="12:13" ht="12.75" customHeight="1" x14ac:dyDescent="0.2">
      <c r="L687" s="40"/>
      <c r="M687" s="40"/>
    </row>
    <row r="688" spans="12:13" ht="12.75" customHeight="1" x14ac:dyDescent="0.2">
      <c r="L688" s="40"/>
      <c r="M688" s="40"/>
    </row>
    <row r="689" spans="12:13" ht="12.75" customHeight="1" x14ac:dyDescent="0.2">
      <c r="L689" s="40"/>
      <c r="M689" s="40"/>
    </row>
    <row r="690" spans="12:13" ht="12.75" customHeight="1" x14ac:dyDescent="0.2">
      <c r="L690" s="40"/>
      <c r="M690" s="40"/>
    </row>
    <row r="691" spans="12:13" ht="12.75" customHeight="1" x14ac:dyDescent="0.2">
      <c r="L691" s="40"/>
      <c r="M691" s="40"/>
    </row>
    <row r="692" spans="12:13" ht="12.75" customHeight="1" x14ac:dyDescent="0.2">
      <c r="L692" s="40"/>
      <c r="M692" s="40"/>
    </row>
    <row r="693" spans="12:13" ht="12.75" customHeight="1" x14ac:dyDescent="0.2">
      <c r="L693" s="40"/>
      <c r="M693" s="40"/>
    </row>
    <row r="694" spans="12:13" ht="12.75" customHeight="1" x14ac:dyDescent="0.2">
      <c r="L694" s="40"/>
      <c r="M694" s="40"/>
    </row>
    <row r="695" spans="12:13" ht="12.75" customHeight="1" x14ac:dyDescent="0.2">
      <c r="L695" s="40"/>
      <c r="M695" s="40"/>
    </row>
    <row r="696" spans="12:13" ht="12.75" customHeight="1" x14ac:dyDescent="0.2">
      <c r="L696" s="40"/>
      <c r="M696" s="40"/>
    </row>
    <row r="697" spans="12:13" ht="12.75" customHeight="1" x14ac:dyDescent="0.2">
      <c r="L697" s="40"/>
      <c r="M697" s="40"/>
    </row>
    <row r="698" spans="12:13" ht="12.75" customHeight="1" x14ac:dyDescent="0.2">
      <c r="L698" s="40"/>
      <c r="M698" s="40"/>
    </row>
    <row r="699" spans="12:13" ht="12.75" customHeight="1" x14ac:dyDescent="0.2">
      <c r="L699" s="40"/>
      <c r="M699" s="40"/>
    </row>
    <row r="700" spans="12:13" ht="12.75" customHeight="1" x14ac:dyDescent="0.2">
      <c r="L700" s="40"/>
      <c r="M700" s="40"/>
    </row>
    <row r="701" spans="12:13" ht="12.75" customHeight="1" x14ac:dyDescent="0.2">
      <c r="L701" s="40"/>
      <c r="M701" s="40"/>
    </row>
    <row r="702" spans="12:13" ht="12.75" customHeight="1" x14ac:dyDescent="0.2">
      <c r="L702" s="40"/>
      <c r="M702" s="40"/>
    </row>
    <row r="703" spans="12:13" ht="12.75" customHeight="1" x14ac:dyDescent="0.2">
      <c r="L703" s="40"/>
      <c r="M703" s="40"/>
    </row>
    <row r="704" spans="12:13" ht="12.75" customHeight="1" x14ac:dyDescent="0.2">
      <c r="L704" s="40"/>
      <c r="M704" s="40"/>
    </row>
    <row r="705" spans="12:13" ht="12.75" customHeight="1" x14ac:dyDescent="0.2">
      <c r="L705" s="40"/>
      <c r="M705" s="40"/>
    </row>
    <row r="706" spans="12:13" ht="12.75" customHeight="1" x14ac:dyDescent="0.2">
      <c r="L706" s="40"/>
      <c r="M706" s="40"/>
    </row>
    <row r="707" spans="12:13" ht="12.75" customHeight="1" x14ac:dyDescent="0.2">
      <c r="L707" s="40"/>
      <c r="M707" s="40"/>
    </row>
    <row r="708" spans="12:13" ht="12.75" customHeight="1" x14ac:dyDescent="0.2">
      <c r="L708" s="40"/>
      <c r="M708" s="40"/>
    </row>
    <row r="709" spans="12:13" ht="12.75" customHeight="1" x14ac:dyDescent="0.2">
      <c r="L709" s="40"/>
      <c r="M709" s="40"/>
    </row>
    <row r="710" spans="12:13" ht="12.75" customHeight="1" x14ac:dyDescent="0.2">
      <c r="L710" s="40"/>
      <c r="M710" s="40"/>
    </row>
    <row r="711" spans="12:13" ht="12.75" customHeight="1" x14ac:dyDescent="0.2">
      <c r="L711" s="40"/>
      <c r="M711" s="40"/>
    </row>
    <row r="712" spans="12:13" ht="12.75" customHeight="1" x14ac:dyDescent="0.2">
      <c r="L712" s="40"/>
      <c r="M712" s="40"/>
    </row>
    <row r="713" spans="12:13" ht="12.75" customHeight="1" x14ac:dyDescent="0.2">
      <c r="L713" s="40"/>
      <c r="M713" s="40"/>
    </row>
    <row r="714" spans="12:13" ht="12.75" customHeight="1" x14ac:dyDescent="0.2">
      <c r="L714" s="40"/>
      <c r="M714" s="40"/>
    </row>
    <row r="715" spans="12:13" ht="12.75" customHeight="1" x14ac:dyDescent="0.2">
      <c r="L715" s="40"/>
      <c r="M715" s="40"/>
    </row>
    <row r="716" spans="12:13" ht="12.75" customHeight="1" x14ac:dyDescent="0.2">
      <c r="L716" s="40"/>
      <c r="M716" s="40"/>
    </row>
    <row r="717" spans="12:13" ht="12.75" customHeight="1" x14ac:dyDescent="0.2">
      <c r="L717" s="40"/>
      <c r="M717" s="40"/>
    </row>
    <row r="718" spans="12:13" ht="12.75" customHeight="1" x14ac:dyDescent="0.2">
      <c r="L718" s="40"/>
      <c r="M718" s="40"/>
    </row>
    <row r="719" spans="12:13" ht="12.75" customHeight="1" x14ac:dyDescent="0.2">
      <c r="L719" s="40"/>
      <c r="M719" s="40"/>
    </row>
    <row r="720" spans="12:13" ht="12.75" customHeight="1" x14ac:dyDescent="0.2">
      <c r="L720" s="40"/>
      <c r="M720" s="40"/>
    </row>
    <row r="721" spans="12:13" ht="12.75" customHeight="1" x14ac:dyDescent="0.2">
      <c r="L721" s="40"/>
      <c r="M721" s="40"/>
    </row>
    <row r="722" spans="12:13" ht="12.75" customHeight="1" x14ac:dyDescent="0.2">
      <c r="L722" s="40"/>
      <c r="M722" s="40"/>
    </row>
    <row r="723" spans="12:13" ht="12.75" customHeight="1" x14ac:dyDescent="0.2">
      <c r="L723" s="40"/>
      <c r="M723" s="40"/>
    </row>
    <row r="724" spans="12:13" ht="12.75" customHeight="1" x14ac:dyDescent="0.2">
      <c r="L724" s="40"/>
      <c r="M724" s="40"/>
    </row>
    <row r="725" spans="12:13" ht="12.75" customHeight="1" x14ac:dyDescent="0.2">
      <c r="L725" s="40"/>
      <c r="M725" s="40"/>
    </row>
    <row r="726" spans="12:13" ht="12.75" customHeight="1" x14ac:dyDescent="0.2">
      <c r="L726" s="40"/>
      <c r="M726" s="40"/>
    </row>
    <row r="727" spans="12:13" ht="12.75" customHeight="1" x14ac:dyDescent="0.2">
      <c r="L727" s="40"/>
      <c r="M727" s="40"/>
    </row>
    <row r="728" spans="12:13" ht="12.75" customHeight="1" x14ac:dyDescent="0.2">
      <c r="L728" s="40"/>
      <c r="M728" s="40"/>
    </row>
    <row r="729" spans="12:13" ht="12.75" customHeight="1" x14ac:dyDescent="0.2">
      <c r="L729" s="40"/>
      <c r="M729" s="40"/>
    </row>
    <row r="730" spans="12:13" ht="12.75" customHeight="1" x14ac:dyDescent="0.2">
      <c r="L730" s="40"/>
      <c r="M730" s="40"/>
    </row>
    <row r="731" spans="12:13" ht="12.75" customHeight="1" x14ac:dyDescent="0.2">
      <c r="L731" s="40"/>
      <c r="M731" s="40"/>
    </row>
    <row r="732" spans="12:13" ht="12.75" customHeight="1" x14ac:dyDescent="0.2">
      <c r="L732" s="40"/>
      <c r="M732" s="40"/>
    </row>
    <row r="733" spans="12:13" ht="12.75" customHeight="1" x14ac:dyDescent="0.2">
      <c r="L733" s="40"/>
      <c r="M733" s="40"/>
    </row>
    <row r="734" spans="12:13" ht="12.75" customHeight="1" x14ac:dyDescent="0.2">
      <c r="L734" s="40"/>
      <c r="M734" s="40"/>
    </row>
    <row r="735" spans="12:13" ht="12.75" customHeight="1" x14ac:dyDescent="0.2">
      <c r="L735" s="40"/>
      <c r="M735" s="40"/>
    </row>
    <row r="736" spans="12:13" ht="12.75" customHeight="1" x14ac:dyDescent="0.2">
      <c r="L736" s="40"/>
      <c r="M736" s="40"/>
    </row>
    <row r="737" spans="12:13" ht="12.75" customHeight="1" x14ac:dyDescent="0.2">
      <c r="L737" s="40"/>
      <c r="M737" s="40"/>
    </row>
    <row r="738" spans="12:13" ht="12.75" customHeight="1" x14ac:dyDescent="0.2">
      <c r="L738" s="40"/>
      <c r="M738" s="40"/>
    </row>
    <row r="739" spans="12:13" ht="12.75" customHeight="1" x14ac:dyDescent="0.2">
      <c r="L739" s="40"/>
      <c r="M739" s="40"/>
    </row>
    <row r="740" spans="12:13" ht="12.75" customHeight="1" x14ac:dyDescent="0.2">
      <c r="L740" s="40"/>
      <c r="M740" s="40"/>
    </row>
    <row r="741" spans="12:13" ht="12.75" customHeight="1" x14ac:dyDescent="0.2">
      <c r="L741" s="40"/>
      <c r="M741" s="40"/>
    </row>
    <row r="742" spans="12:13" ht="12.75" customHeight="1" x14ac:dyDescent="0.2">
      <c r="L742" s="40"/>
      <c r="M742" s="40"/>
    </row>
    <row r="743" spans="12:13" ht="12.75" customHeight="1" x14ac:dyDescent="0.2">
      <c r="L743" s="40"/>
      <c r="M743" s="40"/>
    </row>
    <row r="744" spans="12:13" ht="12.75" customHeight="1" x14ac:dyDescent="0.2">
      <c r="L744" s="40"/>
      <c r="M744" s="40"/>
    </row>
    <row r="745" spans="12:13" ht="12.75" customHeight="1" x14ac:dyDescent="0.2">
      <c r="L745" s="40"/>
      <c r="M745" s="40"/>
    </row>
    <row r="746" spans="12:13" ht="12.75" customHeight="1" x14ac:dyDescent="0.2">
      <c r="L746" s="40"/>
      <c r="M746" s="40"/>
    </row>
    <row r="747" spans="12:13" ht="12.75" customHeight="1" x14ac:dyDescent="0.2">
      <c r="L747" s="40"/>
      <c r="M747" s="40"/>
    </row>
    <row r="748" spans="12:13" ht="12.75" customHeight="1" x14ac:dyDescent="0.2">
      <c r="L748" s="40"/>
      <c r="M748" s="40"/>
    </row>
    <row r="749" spans="12:13" ht="12.75" customHeight="1" x14ac:dyDescent="0.2">
      <c r="L749" s="40"/>
      <c r="M749" s="40"/>
    </row>
    <row r="750" spans="12:13" ht="12.75" customHeight="1" x14ac:dyDescent="0.2">
      <c r="L750" s="40"/>
      <c r="M750" s="40"/>
    </row>
    <row r="751" spans="12:13" ht="12.75" customHeight="1" x14ac:dyDescent="0.2">
      <c r="L751" s="40"/>
      <c r="M751" s="40"/>
    </row>
    <row r="752" spans="12:13" ht="12.75" customHeight="1" x14ac:dyDescent="0.2">
      <c r="L752" s="40"/>
      <c r="M752" s="40"/>
    </row>
    <row r="753" spans="12:13" ht="12.75" customHeight="1" x14ac:dyDescent="0.2">
      <c r="L753" s="40"/>
      <c r="M753" s="40"/>
    </row>
    <row r="754" spans="12:13" ht="12.75" customHeight="1" x14ac:dyDescent="0.2">
      <c r="L754" s="40"/>
      <c r="M754" s="40"/>
    </row>
    <row r="755" spans="12:13" ht="12.75" customHeight="1" x14ac:dyDescent="0.2">
      <c r="L755" s="40"/>
      <c r="M755" s="40"/>
    </row>
    <row r="756" spans="12:13" ht="12.75" customHeight="1" x14ac:dyDescent="0.2">
      <c r="L756" s="40"/>
      <c r="M756" s="40"/>
    </row>
    <row r="757" spans="12:13" ht="12.75" customHeight="1" x14ac:dyDescent="0.2">
      <c r="L757" s="40"/>
      <c r="M757" s="40"/>
    </row>
    <row r="758" spans="12:13" ht="12.75" customHeight="1" x14ac:dyDescent="0.2">
      <c r="L758" s="40"/>
      <c r="M758" s="40"/>
    </row>
    <row r="759" spans="12:13" ht="12.75" customHeight="1" x14ac:dyDescent="0.2">
      <c r="L759" s="40"/>
      <c r="M759" s="40"/>
    </row>
    <row r="760" spans="12:13" ht="12.75" customHeight="1" x14ac:dyDescent="0.2">
      <c r="L760" s="40"/>
      <c r="M760" s="40"/>
    </row>
    <row r="761" spans="12:13" ht="12.75" customHeight="1" x14ac:dyDescent="0.2">
      <c r="L761" s="40"/>
      <c r="M761" s="40"/>
    </row>
    <row r="762" spans="12:13" ht="12.75" customHeight="1" x14ac:dyDescent="0.2">
      <c r="L762" s="40"/>
      <c r="M762" s="40"/>
    </row>
    <row r="763" spans="12:13" ht="12.75" customHeight="1" x14ac:dyDescent="0.2">
      <c r="L763" s="40"/>
      <c r="M763" s="40"/>
    </row>
    <row r="764" spans="12:13" ht="12.75" customHeight="1" x14ac:dyDescent="0.2">
      <c r="L764" s="40"/>
      <c r="M764" s="40"/>
    </row>
    <row r="765" spans="12:13" ht="12.75" customHeight="1" x14ac:dyDescent="0.2">
      <c r="L765" s="40"/>
      <c r="M765" s="40"/>
    </row>
    <row r="766" spans="12:13" ht="12.75" customHeight="1" x14ac:dyDescent="0.2">
      <c r="L766" s="40"/>
      <c r="M766" s="40"/>
    </row>
    <row r="767" spans="12:13" ht="12.75" customHeight="1" x14ac:dyDescent="0.2">
      <c r="L767" s="40"/>
      <c r="M767" s="40"/>
    </row>
    <row r="768" spans="12:13" ht="12.75" customHeight="1" x14ac:dyDescent="0.2">
      <c r="L768" s="40"/>
      <c r="M768" s="40"/>
    </row>
    <row r="769" spans="12:13" ht="12.75" customHeight="1" x14ac:dyDescent="0.2">
      <c r="L769" s="40"/>
      <c r="M769" s="40"/>
    </row>
    <row r="770" spans="12:13" ht="12.75" customHeight="1" x14ac:dyDescent="0.2">
      <c r="L770" s="40"/>
      <c r="M770" s="40"/>
    </row>
    <row r="771" spans="12:13" ht="12.75" customHeight="1" x14ac:dyDescent="0.2">
      <c r="L771" s="40"/>
      <c r="M771" s="40"/>
    </row>
    <row r="772" spans="12:13" ht="12.75" customHeight="1" x14ac:dyDescent="0.2">
      <c r="L772" s="40"/>
      <c r="M772" s="40"/>
    </row>
    <row r="773" spans="12:13" ht="12.75" customHeight="1" x14ac:dyDescent="0.2">
      <c r="L773" s="40"/>
      <c r="M773" s="40"/>
    </row>
    <row r="774" spans="12:13" ht="12.75" customHeight="1" x14ac:dyDescent="0.2">
      <c r="L774" s="40"/>
      <c r="M774" s="40"/>
    </row>
    <row r="775" spans="12:13" ht="12.75" customHeight="1" x14ac:dyDescent="0.2">
      <c r="L775" s="40"/>
      <c r="M775" s="40"/>
    </row>
    <row r="776" spans="12:13" ht="12.75" customHeight="1" x14ac:dyDescent="0.2">
      <c r="L776" s="40"/>
      <c r="M776" s="40"/>
    </row>
    <row r="777" spans="12:13" ht="12.75" customHeight="1" x14ac:dyDescent="0.2">
      <c r="L777" s="40"/>
      <c r="M777" s="40"/>
    </row>
    <row r="778" spans="12:13" ht="12.75" customHeight="1" x14ac:dyDescent="0.2">
      <c r="L778" s="40"/>
      <c r="M778" s="40"/>
    </row>
    <row r="779" spans="12:13" ht="12.75" customHeight="1" x14ac:dyDescent="0.2">
      <c r="L779" s="40"/>
      <c r="M779" s="40"/>
    </row>
    <row r="780" spans="12:13" ht="12.75" customHeight="1" x14ac:dyDescent="0.2">
      <c r="L780" s="40"/>
      <c r="M780" s="40"/>
    </row>
    <row r="781" spans="12:13" ht="12.75" customHeight="1" x14ac:dyDescent="0.2">
      <c r="L781" s="40"/>
      <c r="M781" s="40"/>
    </row>
    <row r="782" spans="12:13" ht="12.75" customHeight="1" x14ac:dyDescent="0.2">
      <c r="L782" s="40"/>
      <c r="M782" s="40"/>
    </row>
    <row r="783" spans="12:13" ht="12.75" customHeight="1" x14ac:dyDescent="0.2">
      <c r="L783" s="40"/>
      <c r="M783" s="40"/>
    </row>
    <row r="784" spans="12:13" ht="12.75" customHeight="1" x14ac:dyDescent="0.2">
      <c r="L784" s="40"/>
      <c r="M784" s="40"/>
    </row>
    <row r="785" spans="12:13" ht="12.75" customHeight="1" x14ac:dyDescent="0.2">
      <c r="L785" s="40"/>
      <c r="M785" s="40"/>
    </row>
    <row r="786" spans="12:13" ht="12.75" customHeight="1" x14ac:dyDescent="0.2">
      <c r="L786" s="40"/>
      <c r="M786" s="40"/>
    </row>
    <row r="787" spans="12:13" ht="12.75" customHeight="1" x14ac:dyDescent="0.2">
      <c r="L787" s="40"/>
      <c r="M787" s="40"/>
    </row>
    <row r="788" spans="12:13" ht="12.75" customHeight="1" x14ac:dyDescent="0.2">
      <c r="L788" s="40"/>
      <c r="M788" s="40"/>
    </row>
    <row r="789" spans="12:13" ht="12.75" customHeight="1" x14ac:dyDescent="0.2">
      <c r="L789" s="40"/>
      <c r="M789" s="40"/>
    </row>
    <row r="790" spans="12:13" ht="12.75" customHeight="1" x14ac:dyDescent="0.2">
      <c r="L790" s="40"/>
      <c r="M790" s="40"/>
    </row>
    <row r="791" spans="12:13" ht="12.75" customHeight="1" x14ac:dyDescent="0.2">
      <c r="L791" s="40"/>
      <c r="M791" s="40"/>
    </row>
    <row r="792" spans="12:13" ht="12.75" customHeight="1" x14ac:dyDescent="0.2">
      <c r="L792" s="40"/>
      <c r="M792" s="40"/>
    </row>
    <row r="793" spans="12:13" ht="12.75" customHeight="1" x14ac:dyDescent="0.2">
      <c r="L793" s="40"/>
      <c r="M793" s="40"/>
    </row>
    <row r="794" spans="12:13" ht="12.75" customHeight="1" x14ac:dyDescent="0.2">
      <c r="L794" s="40"/>
      <c r="M794" s="40"/>
    </row>
    <row r="795" spans="12:13" ht="12.75" customHeight="1" x14ac:dyDescent="0.2">
      <c r="L795" s="40"/>
      <c r="M795" s="40"/>
    </row>
    <row r="796" spans="12:13" ht="12.75" customHeight="1" x14ac:dyDescent="0.2">
      <c r="L796" s="40"/>
      <c r="M796" s="40"/>
    </row>
    <row r="797" spans="12:13" ht="12.75" customHeight="1" x14ac:dyDescent="0.2">
      <c r="L797" s="40"/>
      <c r="M797" s="40"/>
    </row>
    <row r="798" spans="12:13" ht="12.75" customHeight="1" x14ac:dyDescent="0.2">
      <c r="L798" s="40"/>
      <c r="M798" s="40"/>
    </row>
    <row r="799" spans="12:13" ht="12.75" customHeight="1" x14ac:dyDescent="0.2">
      <c r="L799" s="40"/>
      <c r="M799" s="40"/>
    </row>
    <row r="800" spans="12:13" ht="12.75" customHeight="1" x14ac:dyDescent="0.2">
      <c r="L800" s="40"/>
      <c r="M800" s="40"/>
    </row>
    <row r="801" spans="12:13" ht="12.75" customHeight="1" x14ac:dyDescent="0.2">
      <c r="L801" s="40"/>
      <c r="M801" s="40"/>
    </row>
    <row r="802" spans="12:13" ht="12.75" customHeight="1" x14ac:dyDescent="0.2">
      <c r="L802" s="40"/>
      <c r="M802" s="40"/>
    </row>
    <row r="803" spans="12:13" ht="12.75" customHeight="1" x14ac:dyDescent="0.2">
      <c r="L803" s="40"/>
      <c r="M803" s="40"/>
    </row>
    <row r="804" spans="12:13" ht="12.75" customHeight="1" x14ac:dyDescent="0.2">
      <c r="L804" s="40"/>
      <c r="M804" s="40"/>
    </row>
    <row r="805" spans="12:13" ht="12.75" customHeight="1" x14ac:dyDescent="0.2">
      <c r="L805" s="40"/>
      <c r="M805" s="40"/>
    </row>
    <row r="806" spans="12:13" ht="12.75" customHeight="1" x14ac:dyDescent="0.2">
      <c r="L806" s="40"/>
      <c r="M806" s="40"/>
    </row>
    <row r="807" spans="12:13" ht="12.75" customHeight="1" x14ac:dyDescent="0.2">
      <c r="L807" s="40"/>
      <c r="M807" s="40"/>
    </row>
    <row r="808" spans="12:13" ht="12.75" customHeight="1" x14ac:dyDescent="0.2">
      <c r="L808" s="40"/>
      <c r="M808" s="40"/>
    </row>
    <row r="809" spans="12:13" ht="12.75" customHeight="1" x14ac:dyDescent="0.2">
      <c r="L809" s="40"/>
      <c r="M809" s="40"/>
    </row>
    <row r="810" spans="12:13" ht="12.75" customHeight="1" x14ac:dyDescent="0.2">
      <c r="L810" s="40"/>
      <c r="M810" s="40"/>
    </row>
    <row r="811" spans="12:13" ht="12.75" customHeight="1" x14ac:dyDescent="0.2">
      <c r="L811" s="40"/>
      <c r="M811" s="40"/>
    </row>
    <row r="812" spans="12:13" ht="12.75" customHeight="1" x14ac:dyDescent="0.2">
      <c r="L812" s="40"/>
      <c r="M812" s="40"/>
    </row>
    <row r="813" spans="12:13" ht="12.75" customHeight="1" x14ac:dyDescent="0.2">
      <c r="L813" s="40"/>
      <c r="M813" s="40"/>
    </row>
    <row r="814" spans="12:13" ht="12.75" customHeight="1" x14ac:dyDescent="0.2">
      <c r="L814" s="40"/>
      <c r="M814" s="40"/>
    </row>
    <row r="815" spans="12:13" ht="12.75" customHeight="1" x14ac:dyDescent="0.2">
      <c r="L815" s="40"/>
      <c r="M815" s="40"/>
    </row>
    <row r="816" spans="12:13" ht="12.75" customHeight="1" x14ac:dyDescent="0.2">
      <c r="L816" s="40"/>
      <c r="M816" s="40"/>
    </row>
    <row r="817" spans="12:13" ht="12.75" customHeight="1" x14ac:dyDescent="0.2">
      <c r="L817" s="40"/>
      <c r="M817" s="40"/>
    </row>
    <row r="818" spans="12:13" ht="12.75" customHeight="1" x14ac:dyDescent="0.2">
      <c r="L818" s="40"/>
      <c r="M818" s="40"/>
    </row>
    <row r="819" spans="12:13" ht="12.75" customHeight="1" x14ac:dyDescent="0.2">
      <c r="L819" s="40"/>
      <c r="M819" s="40"/>
    </row>
    <row r="820" spans="12:13" ht="12.75" customHeight="1" x14ac:dyDescent="0.2">
      <c r="L820" s="40"/>
      <c r="M820" s="40"/>
    </row>
    <row r="821" spans="12:13" ht="12.75" customHeight="1" x14ac:dyDescent="0.2">
      <c r="L821" s="40"/>
      <c r="M821" s="40"/>
    </row>
    <row r="822" spans="12:13" ht="12.75" customHeight="1" x14ac:dyDescent="0.2">
      <c r="L822" s="40"/>
      <c r="M822" s="40"/>
    </row>
    <row r="823" spans="12:13" ht="12.75" customHeight="1" x14ac:dyDescent="0.2">
      <c r="L823" s="40"/>
      <c r="M823" s="40"/>
    </row>
    <row r="824" spans="12:13" ht="12.75" customHeight="1" x14ac:dyDescent="0.2">
      <c r="L824" s="40"/>
      <c r="M824" s="40"/>
    </row>
    <row r="825" spans="12:13" ht="12.75" customHeight="1" x14ac:dyDescent="0.2">
      <c r="L825" s="40"/>
      <c r="M825" s="40"/>
    </row>
    <row r="826" spans="12:13" ht="12.75" customHeight="1" x14ac:dyDescent="0.2">
      <c r="L826" s="40"/>
      <c r="M826" s="40"/>
    </row>
    <row r="827" spans="12:13" ht="12.75" customHeight="1" x14ac:dyDescent="0.2">
      <c r="L827" s="40"/>
      <c r="M827" s="40"/>
    </row>
    <row r="828" spans="12:13" ht="12.75" customHeight="1" x14ac:dyDescent="0.2">
      <c r="L828" s="40"/>
      <c r="M828" s="40"/>
    </row>
    <row r="829" spans="12:13" ht="12.75" customHeight="1" x14ac:dyDescent="0.2">
      <c r="L829" s="40"/>
      <c r="M829" s="40"/>
    </row>
    <row r="830" spans="12:13" ht="12.75" customHeight="1" x14ac:dyDescent="0.2">
      <c r="L830" s="40"/>
      <c r="M830" s="40"/>
    </row>
    <row r="831" spans="12:13" ht="12.75" customHeight="1" x14ac:dyDescent="0.2">
      <c r="L831" s="40"/>
      <c r="M831" s="40"/>
    </row>
    <row r="832" spans="12:13" ht="12.75" customHeight="1" x14ac:dyDescent="0.2">
      <c r="L832" s="40"/>
      <c r="M832" s="40"/>
    </row>
    <row r="833" spans="12:13" ht="12.75" customHeight="1" x14ac:dyDescent="0.2">
      <c r="L833" s="40"/>
      <c r="M833" s="40"/>
    </row>
    <row r="834" spans="12:13" ht="12.75" customHeight="1" x14ac:dyDescent="0.2">
      <c r="L834" s="40"/>
      <c r="M834" s="40"/>
    </row>
    <row r="835" spans="12:13" ht="12.75" customHeight="1" x14ac:dyDescent="0.2">
      <c r="L835" s="40"/>
      <c r="M835" s="40"/>
    </row>
    <row r="836" spans="12:13" ht="12.75" customHeight="1" x14ac:dyDescent="0.2">
      <c r="L836" s="40"/>
      <c r="M836" s="40"/>
    </row>
    <row r="837" spans="12:13" ht="12.75" customHeight="1" x14ac:dyDescent="0.2">
      <c r="L837" s="40"/>
      <c r="M837" s="40"/>
    </row>
    <row r="838" spans="12:13" ht="12.75" customHeight="1" x14ac:dyDescent="0.2">
      <c r="L838" s="40"/>
      <c r="M838" s="40"/>
    </row>
    <row r="839" spans="12:13" ht="12.75" customHeight="1" x14ac:dyDescent="0.2">
      <c r="L839" s="40"/>
      <c r="M839" s="40"/>
    </row>
    <row r="840" spans="12:13" ht="12.75" customHeight="1" x14ac:dyDescent="0.2">
      <c r="L840" s="40"/>
      <c r="M840" s="40"/>
    </row>
    <row r="841" spans="12:13" ht="12.75" customHeight="1" x14ac:dyDescent="0.2">
      <c r="L841" s="40"/>
      <c r="M841" s="40"/>
    </row>
    <row r="842" spans="12:13" ht="12.75" customHeight="1" x14ac:dyDescent="0.2">
      <c r="L842" s="40"/>
      <c r="M842" s="40"/>
    </row>
    <row r="843" spans="12:13" ht="12.75" customHeight="1" x14ac:dyDescent="0.2">
      <c r="L843" s="40"/>
      <c r="M843" s="40"/>
    </row>
    <row r="844" spans="12:13" ht="12.75" customHeight="1" x14ac:dyDescent="0.2">
      <c r="L844" s="40"/>
      <c r="M844" s="40"/>
    </row>
    <row r="845" spans="12:13" ht="12.75" customHeight="1" x14ac:dyDescent="0.2">
      <c r="L845" s="40"/>
      <c r="M845" s="40"/>
    </row>
    <row r="846" spans="12:13" ht="12.75" customHeight="1" x14ac:dyDescent="0.2">
      <c r="L846" s="40"/>
      <c r="M846" s="40"/>
    </row>
    <row r="847" spans="12:13" ht="12.75" customHeight="1" x14ac:dyDescent="0.2">
      <c r="L847" s="40"/>
      <c r="M847" s="40"/>
    </row>
    <row r="848" spans="12:13" ht="12.75" customHeight="1" x14ac:dyDescent="0.2">
      <c r="L848" s="40"/>
      <c r="M848" s="40"/>
    </row>
    <row r="849" spans="12:13" ht="12.75" customHeight="1" x14ac:dyDescent="0.2">
      <c r="L849" s="40"/>
      <c r="M849" s="40"/>
    </row>
    <row r="850" spans="12:13" ht="12.75" customHeight="1" x14ac:dyDescent="0.2">
      <c r="L850" s="40"/>
      <c r="M850" s="40"/>
    </row>
    <row r="851" spans="12:13" ht="12.75" customHeight="1" x14ac:dyDescent="0.2">
      <c r="L851" s="40"/>
      <c r="M851" s="40"/>
    </row>
    <row r="852" spans="12:13" ht="12.75" customHeight="1" x14ac:dyDescent="0.2">
      <c r="L852" s="40"/>
      <c r="M852" s="40"/>
    </row>
    <row r="853" spans="12:13" ht="12.75" customHeight="1" x14ac:dyDescent="0.2">
      <c r="L853" s="40"/>
      <c r="M853" s="40"/>
    </row>
    <row r="854" spans="12:13" ht="12.75" customHeight="1" x14ac:dyDescent="0.2">
      <c r="L854" s="40"/>
      <c r="M854" s="40"/>
    </row>
    <row r="855" spans="12:13" ht="12.75" customHeight="1" x14ac:dyDescent="0.2">
      <c r="L855" s="40"/>
      <c r="M855" s="40"/>
    </row>
    <row r="856" spans="12:13" ht="12.75" customHeight="1" x14ac:dyDescent="0.2">
      <c r="L856" s="40"/>
      <c r="M856" s="40"/>
    </row>
    <row r="857" spans="12:13" ht="12.75" customHeight="1" x14ac:dyDescent="0.2">
      <c r="L857" s="40"/>
      <c r="M857" s="40"/>
    </row>
    <row r="858" spans="12:13" ht="12.75" customHeight="1" x14ac:dyDescent="0.2">
      <c r="L858" s="40"/>
      <c r="M858" s="40"/>
    </row>
    <row r="859" spans="12:13" ht="12.75" customHeight="1" x14ac:dyDescent="0.2">
      <c r="L859" s="40"/>
      <c r="M859" s="40"/>
    </row>
    <row r="860" spans="12:13" ht="12.75" customHeight="1" x14ac:dyDescent="0.2">
      <c r="L860" s="40"/>
      <c r="M860" s="40"/>
    </row>
    <row r="861" spans="12:13" ht="12.75" customHeight="1" x14ac:dyDescent="0.2">
      <c r="L861" s="40"/>
      <c r="M861" s="40"/>
    </row>
    <row r="862" spans="12:13" ht="12.75" customHeight="1" x14ac:dyDescent="0.2">
      <c r="L862" s="40"/>
      <c r="M862" s="40"/>
    </row>
    <row r="863" spans="12:13" ht="12.75" customHeight="1" x14ac:dyDescent="0.2">
      <c r="L863" s="40"/>
      <c r="M863" s="40"/>
    </row>
    <row r="864" spans="12:13" ht="12.75" customHeight="1" x14ac:dyDescent="0.2">
      <c r="L864" s="40"/>
      <c r="M864" s="40"/>
    </row>
    <row r="865" spans="12:13" ht="12.75" customHeight="1" x14ac:dyDescent="0.2">
      <c r="L865" s="40"/>
      <c r="M865" s="40"/>
    </row>
    <row r="866" spans="12:13" ht="12.75" customHeight="1" x14ac:dyDescent="0.2">
      <c r="L866" s="40"/>
      <c r="M866" s="40"/>
    </row>
    <row r="867" spans="12:13" ht="12.75" customHeight="1" x14ac:dyDescent="0.2">
      <c r="L867" s="40"/>
      <c r="M867" s="40"/>
    </row>
    <row r="868" spans="12:13" ht="12.75" customHeight="1" x14ac:dyDescent="0.2">
      <c r="L868" s="40"/>
      <c r="M868" s="40"/>
    </row>
    <row r="869" spans="12:13" ht="12.75" customHeight="1" x14ac:dyDescent="0.2">
      <c r="L869" s="40"/>
      <c r="M869" s="40"/>
    </row>
    <row r="870" spans="12:13" ht="12.75" customHeight="1" x14ac:dyDescent="0.2">
      <c r="L870" s="40"/>
      <c r="M870" s="40"/>
    </row>
    <row r="871" spans="12:13" ht="12.75" customHeight="1" x14ac:dyDescent="0.2">
      <c r="L871" s="40"/>
      <c r="M871" s="40"/>
    </row>
    <row r="872" spans="12:13" ht="12.75" customHeight="1" x14ac:dyDescent="0.2">
      <c r="L872" s="40"/>
      <c r="M872" s="40"/>
    </row>
    <row r="873" spans="12:13" ht="12.75" customHeight="1" x14ac:dyDescent="0.2">
      <c r="L873" s="40"/>
      <c r="M873" s="40"/>
    </row>
    <row r="874" spans="12:13" ht="12.75" customHeight="1" x14ac:dyDescent="0.2">
      <c r="L874" s="40"/>
      <c r="M874" s="40"/>
    </row>
    <row r="875" spans="12:13" ht="12.75" customHeight="1" x14ac:dyDescent="0.2">
      <c r="L875" s="40"/>
      <c r="M875" s="40"/>
    </row>
    <row r="876" spans="12:13" ht="12.75" customHeight="1" x14ac:dyDescent="0.2">
      <c r="L876" s="40"/>
      <c r="M876" s="40"/>
    </row>
    <row r="877" spans="12:13" ht="12.75" customHeight="1" x14ac:dyDescent="0.2">
      <c r="L877" s="40"/>
      <c r="M877" s="40"/>
    </row>
    <row r="878" spans="12:13" ht="12.75" customHeight="1" x14ac:dyDescent="0.2">
      <c r="L878" s="40"/>
      <c r="M878" s="40"/>
    </row>
    <row r="879" spans="12:13" ht="12.75" customHeight="1" x14ac:dyDescent="0.2">
      <c r="L879" s="40"/>
      <c r="M879" s="40"/>
    </row>
    <row r="880" spans="12:13" ht="12.75" customHeight="1" x14ac:dyDescent="0.2">
      <c r="L880" s="40"/>
      <c r="M880" s="40"/>
    </row>
    <row r="881" spans="12:13" ht="12.75" customHeight="1" x14ac:dyDescent="0.2">
      <c r="L881" s="40"/>
      <c r="M881" s="40"/>
    </row>
    <row r="882" spans="12:13" ht="12.75" customHeight="1" x14ac:dyDescent="0.2">
      <c r="L882" s="40"/>
      <c r="M882" s="40"/>
    </row>
    <row r="883" spans="12:13" ht="12.75" customHeight="1" x14ac:dyDescent="0.2">
      <c r="L883" s="40"/>
      <c r="M883" s="40"/>
    </row>
    <row r="884" spans="12:13" ht="12.75" customHeight="1" x14ac:dyDescent="0.2">
      <c r="L884" s="40"/>
      <c r="M884" s="40"/>
    </row>
    <row r="885" spans="12:13" ht="12.75" customHeight="1" x14ac:dyDescent="0.2">
      <c r="L885" s="40"/>
      <c r="M885" s="40"/>
    </row>
    <row r="886" spans="12:13" ht="12.75" customHeight="1" x14ac:dyDescent="0.2">
      <c r="L886" s="40"/>
      <c r="M886" s="40"/>
    </row>
    <row r="887" spans="12:13" ht="12.75" customHeight="1" x14ac:dyDescent="0.2">
      <c r="L887" s="40"/>
      <c r="M887" s="40"/>
    </row>
    <row r="888" spans="12:13" ht="12.75" customHeight="1" x14ac:dyDescent="0.2">
      <c r="L888" s="40"/>
      <c r="M888" s="40"/>
    </row>
    <row r="889" spans="12:13" ht="12.75" customHeight="1" x14ac:dyDescent="0.2">
      <c r="L889" s="40"/>
      <c r="M889" s="40"/>
    </row>
    <row r="890" spans="12:13" ht="12.75" customHeight="1" x14ac:dyDescent="0.2">
      <c r="L890" s="40"/>
      <c r="M890" s="40"/>
    </row>
    <row r="891" spans="12:13" ht="12.75" customHeight="1" x14ac:dyDescent="0.2">
      <c r="L891" s="40"/>
      <c r="M891" s="40"/>
    </row>
    <row r="892" spans="12:13" ht="12.75" customHeight="1" x14ac:dyDescent="0.2">
      <c r="L892" s="40"/>
      <c r="M892" s="40"/>
    </row>
    <row r="893" spans="12:13" ht="12.75" customHeight="1" x14ac:dyDescent="0.2">
      <c r="L893" s="40"/>
      <c r="M893" s="40"/>
    </row>
    <row r="894" spans="12:13" ht="12.75" customHeight="1" x14ac:dyDescent="0.2">
      <c r="L894" s="40"/>
      <c r="M894" s="40"/>
    </row>
    <row r="895" spans="12:13" ht="12.75" customHeight="1" x14ac:dyDescent="0.2">
      <c r="L895" s="40"/>
      <c r="M895" s="40"/>
    </row>
    <row r="896" spans="12:13" ht="12.75" customHeight="1" x14ac:dyDescent="0.2">
      <c r="L896" s="40"/>
      <c r="M896" s="40"/>
    </row>
    <row r="897" spans="12:13" ht="12.75" customHeight="1" x14ac:dyDescent="0.2">
      <c r="L897" s="40"/>
      <c r="M897" s="40"/>
    </row>
    <row r="898" spans="12:13" ht="12.75" customHeight="1" x14ac:dyDescent="0.2">
      <c r="L898" s="40"/>
      <c r="M898" s="40"/>
    </row>
    <row r="899" spans="12:13" ht="12.75" customHeight="1" x14ac:dyDescent="0.2">
      <c r="L899" s="40"/>
      <c r="M899" s="40"/>
    </row>
    <row r="900" spans="12:13" ht="12.75" customHeight="1" x14ac:dyDescent="0.2">
      <c r="L900" s="40"/>
      <c r="M900" s="40"/>
    </row>
    <row r="901" spans="12:13" ht="12.75" customHeight="1" x14ac:dyDescent="0.2">
      <c r="L901" s="40"/>
      <c r="M901" s="40"/>
    </row>
    <row r="902" spans="12:13" ht="12.75" customHeight="1" x14ac:dyDescent="0.2">
      <c r="L902" s="40"/>
      <c r="M902" s="40"/>
    </row>
    <row r="903" spans="12:13" ht="12.75" customHeight="1" x14ac:dyDescent="0.2">
      <c r="L903" s="40"/>
      <c r="M903" s="40"/>
    </row>
    <row r="904" spans="12:13" ht="12.75" customHeight="1" x14ac:dyDescent="0.2">
      <c r="L904" s="40"/>
      <c r="M904" s="40"/>
    </row>
    <row r="905" spans="12:13" ht="12.75" customHeight="1" x14ac:dyDescent="0.2">
      <c r="L905" s="40"/>
      <c r="M905" s="40"/>
    </row>
    <row r="906" spans="12:13" ht="12.75" customHeight="1" x14ac:dyDescent="0.2">
      <c r="L906" s="40"/>
      <c r="M906" s="40"/>
    </row>
    <row r="907" spans="12:13" ht="12.75" customHeight="1" x14ac:dyDescent="0.2">
      <c r="L907" s="40"/>
      <c r="M907" s="40"/>
    </row>
    <row r="908" spans="12:13" ht="12.75" customHeight="1" x14ac:dyDescent="0.2">
      <c r="L908" s="40"/>
      <c r="M908" s="40"/>
    </row>
    <row r="909" spans="12:13" ht="12.75" customHeight="1" x14ac:dyDescent="0.2">
      <c r="L909" s="40"/>
      <c r="M909" s="40"/>
    </row>
    <row r="910" spans="12:13" ht="12.75" customHeight="1" x14ac:dyDescent="0.2">
      <c r="L910" s="40"/>
      <c r="M910" s="40"/>
    </row>
    <row r="911" spans="12:13" ht="12.75" customHeight="1" x14ac:dyDescent="0.2">
      <c r="L911" s="40"/>
      <c r="M911" s="40"/>
    </row>
    <row r="912" spans="12:13" ht="12.75" customHeight="1" x14ac:dyDescent="0.2">
      <c r="L912" s="40"/>
      <c r="M912" s="40"/>
    </row>
    <row r="913" spans="12:13" ht="12.75" customHeight="1" x14ac:dyDescent="0.2">
      <c r="L913" s="40"/>
      <c r="M913" s="40"/>
    </row>
    <row r="914" spans="12:13" ht="12.75" customHeight="1" x14ac:dyDescent="0.2">
      <c r="L914" s="40"/>
      <c r="M914" s="40"/>
    </row>
    <row r="915" spans="12:13" ht="12.75" customHeight="1" x14ac:dyDescent="0.2">
      <c r="L915" s="40"/>
      <c r="M915" s="40"/>
    </row>
    <row r="916" spans="12:13" ht="12.75" customHeight="1" x14ac:dyDescent="0.2">
      <c r="L916" s="40"/>
      <c r="M916" s="40"/>
    </row>
    <row r="917" spans="12:13" ht="12.75" customHeight="1" x14ac:dyDescent="0.2">
      <c r="L917" s="40"/>
      <c r="M917" s="40"/>
    </row>
    <row r="918" spans="12:13" ht="12.75" customHeight="1" x14ac:dyDescent="0.2">
      <c r="L918" s="40"/>
      <c r="M918" s="40"/>
    </row>
    <row r="919" spans="12:13" ht="12.75" customHeight="1" x14ac:dyDescent="0.2">
      <c r="L919" s="40"/>
      <c r="M919" s="40"/>
    </row>
    <row r="920" spans="12:13" ht="12.75" customHeight="1" x14ac:dyDescent="0.2">
      <c r="L920" s="40"/>
      <c r="M920" s="40"/>
    </row>
    <row r="921" spans="12:13" ht="12.75" customHeight="1" x14ac:dyDescent="0.2">
      <c r="L921" s="40"/>
      <c r="M921" s="40"/>
    </row>
    <row r="922" spans="12:13" ht="12.75" customHeight="1" x14ac:dyDescent="0.2">
      <c r="L922" s="40"/>
      <c r="M922" s="40"/>
    </row>
    <row r="923" spans="12:13" ht="12.75" customHeight="1" x14ac:dyDescent="0.2">
      <c r="L923" s="40"/>
      <c r="M923" s="40"/>
    </row>
    <row r="924" spans="12:13" ht="12.75" customHeight="1" x14ac:dyDescent="0.2">
      <c r="L924" s="40"/>
      <c r="M924" s="40"/>
    </row>
    <row r="925" spans="12:13" ht="12.75" customHeight="1" x14ac:dyDescent="0.2">
      <c r="L925" s="40"/>
      <c r="M925" s="40"/>
    </row>
    <row r="926" spans="12:13" ht="12.75" customHeight="1" x14ac:dyDescent="0.2">
      <c r="L926" s="40"/>
      <c r="M926" s="40"/>
    </row>
    <row r="927" spans="12:13" ht="12.75" customHeight="1" x14ac:dyDescent="0.2">
      <c r="L927" s="40"/>
      <c r="M927" s="40"/>
    </row>
    <row r="928" spans="12:13" ht="12.75" customHeight="1" x14ac:dyDescent="0.2">
      <c r="L928" s="40"/>
      <c r="M928" s="40"/>
    </row>
    <row r="929" spans="12:13" ht="12.75" customHeight="1" x14ac:dyDescent="0.2">
      <c r="L929" s="40"/>
      <c r="M929" s="40"/>
    </row>
    <row r="930" spans="12:13" ht="12.75" customHeight="1" x14ac:dyDescent="0.2">
      <c r="L930" s="40"/>
      <c r="M930" s="40"/>
    </row>
    <row r="931" spans="12:13" ht="12.75" customHeight="1" x14ac:dyDescent="0.2">
      <c r="L931" s="40"/>
      <c r="M931" s="40"/>
    </row>
    <row r="932" spans="12:13" ht="12.75" customHeight="1" x14ac:dyDescent="0.2">
      <c r="L932" s="40"/>
      <c r="M932" s="40"/>
    </row>
    <row r="933" spans="12:13" ht="12.75" customHeight="1" x14ac:dyDescent="0.2">
      <c r="L933" s="40"/>
      <c r="M933" s="40"/>
    </row>
    <row r="934" spans="12:13" ht="12.75" customHeight="1" x14ac:dyDescent="0.2">
      <c r="L934" s="40"/>
      <c r="M934" s="40"/>
    </row>
    <row r="935" spans="12:13" ht="12.75" customHeight="1" x14ac:dyDescent="0.2">
      <c r="L935" s="40"/>
      <c r="M935" s="40"/>
    </row>
    <row r="936" spans="12:13" ht="12.75" customHeight="1" x14ac:dyDescent="0.2">
      <c r="L936" s="40"/>
      <c r="M936" s="40"/>
    </row>
    <row r="937" spans="12:13" ht="12.75" customHeight="1" x14ac:dyDescent="0.2">
      <c r="L937" s="40"/>
      <c r="M937" s="40"/>
    </row>
    <row r="938" spans="12:13" ht="12.75" customHeight="1" x14ac:dyDescent="0.2">
      <c r="L938" s="40"/>
      <c r="M938" s="40"/>
    </row>
    <row r="939" spans="12:13" ht="12.75" customHeight="1" x14ac:dyDescent="0.2">
      <c r="L939" s="40"/>
      <c r="M939" s="40"/>
    </row>
    <row r="940" spans="12:13" ht="12.75" customHeight="1" x14ac:dyDescent="0.2">
      <c r="L940" s="40"/>
      <c r="M940" s="40"/>
    </row>
    <row r="941" spans="12:13" ht="12.75" customHeight="1" x14ac:dyDescent="0.2">
      <c r="L941" s="40"/>
      <c r="M941" s="40"/>
    </row>
    <row r="942" spans="12:13" ht="12.75" customHeight="1" x14ac:dyDescent="0.2">
      <c r="L942" s="40"/>
      <c r="M942" s="40"/>
    </row>
    <row r="943" spans="12:13" ht="12.75" customHeight="1" x14ac:dyDescent="0.2">
      <c r="L943" s="40"/>
      <c r="M943" s="40"/>
    </row>
    <row r="944" spans="12:13" ht="12.75" customHeight="1" x14ac:dyDescent="0.2">
      <c r="L944" s="40"/>
      <c r="M944" s="40"/>
    </row>
    <row r="945" spans="12:13" ht="12.75" customHeight="1" x14ac:dyDescent="0.2">
      <c r="L945" s="40"/>
      <c r="M945" s="40"/>
    </row>
    <row r="946" spans="12:13" ht="12.75" customHeight="1" x14ac:dyDescent="0.2">
      <c r="L946" s="40"/>
      <c r="M946" s="40"/>
    </row>
    <row r="947" spans="12:13" ht="12.75" customHeight="1" x14ac:dyDescent="0.2">
      <c r="L947" s="40"/>
      <c r="M947" s="40"/>
    </row>
    <row r="948" spans="12:13" ht="12.75" customHeight="1" x14ac:dyDescent="0.2">
      <c r="L948" s="40"/>
      <c r="M948" s="40"/>
    </row>
    <row r="949" spans="12:13" ht="12.75" customHeight="1" x14ac:dyDescent="0.2">
      <c r="L949" s="40"/>
      <c r="M949" s="40"/>
    </row>
    <row r="950" spans="12:13" ht="12.75" customHeight="1" x14ac:dyDescent="0.2">
      <c r="L950" s="40"/>
      <c r="M950" s="40"/>
    </row>
    <row r="951" spans="12:13" ht="12.75" customHeight="1" x14ac:dyDescent="0.2">
      <c r="L951" s="40"/>
      <c r="M951" s="40"/>
    </row>
    <row r="952" spans="12:13" ht="12.75" customHeight="1" x14ac:dyDescent="0.2">
      <c r="L952" s="40"/>
      <c r="M952" s="40"/>
    </row>
    <row r="953" spans="12:13" ht="12.75" customHeight="1" x14ac:dyDescent="0.2">
      <c r="L953" s="40"/>
      <c r="M953" s="40"/>
    </row>
    <row r="954" spans="12:13" ht="12.75" customHeight="1" x14ac:dyDescent="0.2">
      <c r="L954" s="40"/>
      <c r="M954" s="40"/>
    </row>
    <row r="955" spans="12:13" ht="12.75" customHeight="1" x14ac:dyDescent="0.2">
      <c r="L955" s="40"/>
      <c r="M955" s="40"/>
    </row>
    <row r="956" spans="12:13" ht="12.75" customHeight="1" x14ac:dyDescent="0.2">
      <c r="L956" s="40"/>
      <c r="M956" s="40"/>
    </row>
    <row r="957" spans="12:13" ht="12.75" customHeight="1" x14ac:dyDescent="0.2">
      <c r="L957" s="40"/>
      <c r="M957" s="40"/>
    </row>
    <row r="958" spans="12:13" ht="12.75" customHeight="1" x14ac:dyDescent="0.2">
      <c r="L958" s="40"/>
      <c r="M958" s="40"/>
    </row>
    <row r="959" spans="12:13" ht="12.75" customHeight="1" x14ac:dyDescent="0.2">
      <c r="L959" s="40"/>
      <c r="M959" s="40"/>
    </row>
    <row r="960" spans="12:13" ht="12.75" customHeight="1" x14ac:dyDescent="0.2">
      <c r="L960" s="40"/>
      <c r="M960" s="40"/>
    </row>
    <row r="961" spans="12:13" ht="12.75" customHeight="1" x14ac:dyDescent="0.2">
      <c r="L961" s="40"/>
      <c r="M961" s="40"/>
    </row>
    <row r="962" spans="12:13" ht="12.75" customHeight="1" x14ac:dyDescent="0.2">
      <c r="L962" s="40"/>
      <c r="M962" s="40"/>
    </row>
    <row r="963" spans="12:13" ht="12.75" customHeight="1" x14ac:dyDescent="0.2">
      <c r="L963" s="40"/>
      <c r="M963" s="40"/>
    </row>
    <row r="964" spans="12:13" ht="12.75" customHeight="1" x14ac:dyDescent="0.2">
      <c r="L964" s="40"/>
      <c r="M964" s="40"/>
    </row>
    <row r="965" spans="12:13" ht="12.75" customHeight="1" x14ac:dyDescent="0.2">
      <c r="L965" s="40"/>
      <c r="M965" s="40"/>
    </row>
    <row r="966" spans="12:13" ht="12.75" customHeight="1" x14ac:dyDescent="0.2">
      <c r="L966" s="40"/>
      <c r="M966" s="40"/>
    </row>
    <row r="967" spans="12:13" ht="12.75" customHeight="1" x14ac:dyDescent="0.2">
      <c r="L967" s="40"/>
      <c r="M967" s="40"/>
    </row>
    <row r="968" spans="12:13" ht="12.75" customHeight="1" x14ac:dyDescent="0.2">
      <c r="L968" s="40"/>
      <c r="M968" s="40"/>
    </row>
    <row r="969" spans="12:13" ht="12.75" customHeight="1" x14ac:dyDescent="0.2">
      <c r="L969" s="40"/>
      <c r="M969" s="40"/>
    </row>
    <row r="970" spans="12:13" ht="12.75" customHeight="1" x14ac:dyDescent="0.2">
      <c r="L970" s="40"/>
      <c r="M970" s="40"/>
    </row>
    <row r="971" spans="12:13" ht="12.75" customHeight="1" x14ac:dyDescent="0.2">
      <c r="L971" s="40"/>
      <c r="M971" s="40"/>
    </row>
    <row r="972" spans="12:13" ht="12.75" customHeight="1" x14ac:dyDescent="0.2">
      <c r="L972" s="40"/>
      <c r="M972" s="40"/>
    </row>
    <row r="973" spans="12:13" ht="12.75" customHeight="1" x14ac:dyDescent="0.2">
      <c r="L973" s="40"/>
      <c r="M973" s="40"/>
    </row>
    <row r="974" spans="12:13" ht="12.75" customHeight="1" x14ac:dyDescent="0.2">
      <c r="L974" s="40"/>
      <c r="M974" s="40"/>
    </row>
    <row r="975" spans="12:13" ht="12.75" customHeight="1" x14ac:dyDescent="0.2">
      <c r="L975" s="40"/>
      <c r="M975" s="40"/>
    </row>
    <row r="976" spans="12:13" ht="12.75" customHeight="1" x14ac:dyDescent="0.2">
      <c r="L976" s="40"/>
      <c r="M976" s="40"/>
    </row>
    <row r="977" spans="12:13" ht="12.75" customHeight="1" x14ac:dyDescent="0.2">
      <c r="L977" s="40"/>
      <c r="M977" s="40"/>
    </row>
    <row r="978" spans="12:13" ht="12.75" customHeight="1" x14ac:dyDescent="0.2">
      <c r="L978" s="40"/>
      <c r="M978" s="40"/>
    </row>
    <row r="979" spans="12:13" ht="12.75" customHeight="1" x14ac:dyDescent="0.2">
      <c r="L979" s="40"/>
      <c r="M979" s="40"/>
    </row>
    <row r="980" spans="12:13" ht="12.75" customHeight="1" x14ac:dyDescent="0.2">
      <c r="L980" s="40"/>
      <c r="M980" s="40"/>
    </row>
    <row r="981" spans="12:13" ht="12.75" customHeight="1" x14ac:dyDescent="0.2">
      <c r="L981" s="40"/>
      <c r="M981" s="40"/>
    </row>
    <row r="982" spans="12:13" ht="12.75" customHeight="1" x14ac:dyDescent="0.2">
      <c r="L982" s="40"/>
      <c r="M982" s="40"/>
    </row>
    <row r="983" spans="12:13" ht="12.75" customHeight="1" x14ac:dyDescent="0.2">
      <c r="L983" s="40"/>
      <c r="M983" s="40"/>
    </row>
    <row r="984" spans="12:13" ht="12.75" customHeight="1" x14ac:dyDescent="0.2">
      <c r="L984" s="40"/>
      <c r="M984" s="40"/>
    </row>
    <row r="985" spans="12:13" ht="12.75" customHeight="1" x14ac:dyDescent="0.2">
      <c r="L985" s="40"/>
      <c r="M985" s="40"/>
    </row>
    <row r="986" spans="12:13" ht="12.75" customHeight="1" x14ac:dyDescent="0.2">
      <c r="L986" s="40"/>
      <c r="M986" s="40"/>
    </row>
    <row r="987" spans="12:13" ht="12.75" customHeight="1" x14ac:dyDescent="0.2">
      <c r="L987" s="40"/>
      <c r="M987" s="40"/>
    </row>
    <row r="988" spans="12:13" ht="12.75" customHeight="1" x14ac:dyDescent="0.2">
      <c r="L988" s="40"/>
      <c r="M988" s="40"/>
    </row>
    <row r="989" spans="12:13" ht="12.75" customHeight="1" x14ac:dyDescent="0.2">
      <c r="L989" s="40"/>
      <c r="M989" s="40"/>
    </row>
    <row r="990" spans="12:13" ht="12.75" customHeight="1" x14ac:dyDescent="0.2">
      <c r="L990" s="40"/>
      <c r="M990" s="40"/>
    </row>
    <row r="991" spans="12:13" ht="12.75" customHeight="1" x14ac:dyDescent="0.2">
      <c r="L991" s="40"/>
      <c r="M991" s="40"/>
    </row>
    <row r="992" spans="12:13" ht="12.75" customHeight="1" x14ac:dyDescent="0.2">
      <c r="L992" s="40"/>
      <c r="M992" s="40"/>
    </row>
    <row r="993" spans="12:13" ht="12.75" customHeight="1" x14ac:dyDescent="0.2">
      <c r="L993" s="40"/>
      <c r="M993" s="40"/>
    </row>
    <row r="994" spans="12:13" ht="12.75" customHeight="1" x14ac:dyDescent="0.2">
      <c r="L994" s="40"/>
      <c r="M994" s="40"/>
    </row>
    <row r="995" spans="12:13" ht="12.75" customHeight="1" x14ac:dyDescent="0.2">
      <c r="L995" s="40"/>
      <c r="M995" s="40"/>
    </row>
    <row r="996" spans="12:13" ht="12.75" customHeight="1" x14ac:dyDescent="0.2">
      <c r="L996" s="40"/>
      <c r="M996" s="40"/>
    </row>
    <row r="997" spans="12:13" ht="12.75" customHeight="1" x14ac:dyDescent="0.2">
      <c r="L997" s="40"/>
      <c r="M997" s="40"/>
    </row>
    <row r="998" spans="12:13" ht="12.75" customHeight="1" x14ac:dyDescent="0.2">
      <c r="L998" s="40"/>
      <c r="M998" s="40"/>
    </row>
    <row r="999" spans="12:13" ht="12.75" customHeight="1" x14ac:dyDescent="0.2">
      <c r="L999" s="40"/>
      <c r="M999" s="40"/>
    </row>
    <row r="1000" spans="12:13" ht="12.75" customHeight="1" x14ac:dyDescent="0.2">
      <c r="L1000" s="40"/>
      <c r="M1000" s="40"/>
    </row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Orçamento Resumo</vt:lpstr>
      <vt:lpstr>Análise custos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Kelen</dc:creator>
  <cp:lastModifiedBy>iOS</cp:lastModifiedBy>
  <dcterms:created xsi:type="dcterms:W3CDTF">2020-06-25T16:50:19Z</dcterms:created>
  <dcterms:modified xsi:type="dcterms:W3CDTF">2022-12-20T17:37:09Z</dcterms:modified>
</cp:coreProperties>
</file>