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Fasolo - 09.2021\Elysium\01.1 Integração - Orçamento Paramétrico\"/>
    </mc:Choice>
  </mc:AlternateContent>
  <xr:revisionPtr revIDLastSave="0" documentId="13_ncr:1_{079CB517-C251-490A-857C-00695FF377B0}" xr6:coauthVersionLast="47" xr6:coauthVersionMax="47" xr10:uidLastSave="{00000000-0000-0000-0000-000000000000}"/>
  <bookViews>
    <workbookView xWindow="-108" yWindow="-108" windowWidth="23256" windowHeight="12456" tabRatio="831" firstSheet="10" activeTab="16" xr2:uid="{00000000-000D-0000-FFFF-FFFF00000000}"/>
  </bookViews>
  <sheets>
    <sheet name="Dados Gerais" sheetId="14" r:id="rId1"/>
    <sheet name="Resumo" sheetId="35" r:id="rId2"/>
    <sheet name="Movimentação de Terra" sheetId="13" r:id="rId3"/>
    <sheet name="Conteções" sheetId="37" r:id="rId4"/>
    <sheet name="Infraestrutura" sheetId="21" r:id="rId5"/>
    <sheet name="Supraestrutura" sheetId="22" r:id="rId6"/>
    <sheet name="Alvenaria" sheetId="23" r:id="rId7"/>
    <sheet name="Instalações" sheetId="24" r:id="rId8"/>
    <sheet name="Sistemas especiais" sheetId="38" r:id="rId9"/>
    <sheet name="Impermeabilização" sheetId="25" r:id="rId10"/>
    <sheet name="Rev. Internos Piso e Parede" sheetId="26" r:id="rId11"/>
    <sheet name="Acabamentos de Teto" sheetId="27" r:id="rId12"/>
    <sheet name="Acabamentos de Piso e Parede" sheetId="28" r:id="rId13"/>
    <sheet name="Pintura Interna" sheetId="29" r:id="rId14"/>
    <sheet name="Esquadrias" sheetId="30" r:id="rId15"/>
    <sheet name="Auxiliar" sheetId="36" state="hidden" r:id="rId16"/>
    <sheet name="Rev. Fachada" sheetId="31" r:id="rId17"/>
    <sheet name="Cobertura" sheetId="33" r:id="rId18"/>
    <sheet name="Complementares" sheetId="34" r:id="rId19"/>
  </sheets>
  <externalReferences>
    <externalReference r:id="rId20"/>
  </externalReferences>
  <definedNames>
    <definedName name="_xlnm._FilterDatabase" localSheetId="15" hidden="1">Auxiliar!$A$1:$D$68</definedName>
    <definedName name="_xlnm.Print_Area" localSheetId="12">'Acabamentos de Piso e Parede'!$A$1:$K$20</definedName>
    <definedName name="_xlnm.Print_Area" localSheetId="11">'Acabamentos de Teto'!$A$1:$K$19</definedName>
    <definedName name="_xlnm.Print_Area" localSheetId="6">Alvenaria!$A$1:$K$25</definedName>
    <definedName name="_xlnm.Print_Area" localSheetId="17">Cobertura!$A$1:$K$17</definedName>
    <definedName name="_xlnm.Print_Area" localSheetId="18">Complementares!$A$1:$K$20</definedName>
    <definedName name="_xlnm.Print_Area" localSheetId="3">Conteções!$A$1:$K$28</definedName>
    <definedName name="_xlnm.Print_Area" localSheetId="14">Esquadrias!$A$1:$K$25</definedName>
    <definedName name="_xlnm.Print_Area" localSheetId="9">Impermeabilização!$A$1:$K$24</definedName>
    <definedName name="_xlnm.Print_Area" localSheetId="4">Infraestrutura!$A$1:$K$36</definedName>
    <definedName name="_xlnm.Print_Area" localSheetId="7">Instalações!$A$1:$K$25</definedName>
    <definedName name="_xlnm.Print_Area" localSheetId="2">'Movimentação de Terra'!$A$1:$K$40</definedName>
    <definedName name="_xlnm.Print_Area" localSheetId="13">'Pintura Interna'!$A$1:$K$17</definedName>
    <definedName name="_xlnm.Print_Area" localSheetId="1">Resumo!$A$1:$I$43</definedName>
    <definedName name="_xlnm.Print_Area" localSheetId="16">'Rev. Fachada'!$A$1:$K$26</definedName>
    <definedName name="_xlnm.Print_Area" localSheetId="10">'Rev. Internos Piso e Parede'!$A$1:$K$20</definedName>
    <definedName name="_xlnm.Print_Area" localSheetId="8">'Sistemas especiais'!$A$1:$K$11</definedName>
    <definedName name="_xlnm.Print_Area" localSheetId="5">Supraestrutura!$A$1:$K$25</definedName>
    <definedName name="_xlnm.Print_Titles" localSheetId="12">'Acabamentos de Piso e Parede'!$7:$11</definedName>
    <definedName name="_xlnm.Print_Titles" localSheetId="11">'Acabamentos de Teto'!$7:$11</definedName>
    <definedName name="_xlnm.Print_Titles" localSheetId="6">Alvenaria!$7:$11</definedName>
    <definedName name="_xlnm.Print_Titles" localSheetId="17">Cobertura!$7:$11</definedName>
    <definedName name="_xlnm.Print_Titles" localSheetId="18">Complementares!$7:$11</definedName>
    <definedName name="_xlnm.Print_Titles" localSheetId="3">Conteções!$7:$11</definedName>
    <definedName name="_xlnm.Print_Titles" localSheetId="0">'Dados Gerais'!$7:$11</definedName>
    <definedName name="_xlnm.Print_Titles" localSheetId="14">Esquadrias!$7:$11</definedName>
    <definedName name="_xlnm.Print_Titles" localSheetId="9">Impermeabilização!$7:$11</definedName>
    <definedName name="_xlnm.Print_Titles" localSheetId="4">Infraestrutura!$7:$11</definedName>
    <definedName name="_xlnm.Print_Titles" localSheetId="7">Instalações!$7:$11</definedName>
    <definedName name="_xlnm.Print_Titles" localSheetId="2">'Movimentação de Terra'!$7:$11</definedName>
    <definedName name="_xlnm.Print_Titles" localSheetId="13">'Pintura Interna'!$7:$11</definedName>
    <definedName name="_xlnm.Print_Titles" localSheetId="1">Resumo!$7:$11</definedName>
    <definedName name="_xlnm.Print_Titles" localSheetId="16">'Rev. Fachada'!$7:$11</definedName>
    <definedName name="_xlnm.Print_Titles" localSheetId="10">'Rev. Internos Piso e Parede'!$7:$11</definedName>
    <definedName name="_xlnm.Print_Titles" localSheetId="8">'Sistemas especiais'!$7:$11</definedName>
    <definedName name="_xlnm.Print_Titles" localSheetId="5">Supraestrutura!$7:$11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4" i="31" l="1"/>
  <c r="D18" i="23" l="1"/>
  <c r="I18" i="23" s="1"/>
  <c r="I38" i="38" l="1"/>
  <c r="I39" i="38"/>
  <c r="I15" i="38"/>
  <c r="I40" i="38"/>
  <c r="I37" i="38"/>
  <c r="I30" i="38"/>
  <c r="I31" i="38" s="1"/>
  <c r="I23" i="38"/>
  <c r="I24" i="38" s="1"/>
  <c r="I16" i="38"/>
  <c r="I41" i="38" l="1"/>
  <c r="J45" i="38" s="1"/>
  <c r="I17" i="38"/>
  <c r="I16" i="27" l="1"/>
  <c r="I17" i="26"/>
  <c r="I15" i="26"/>
  <c r="I20" i="22"/>
  <c r="I16" i="22" l="1"/>
  <c r="I15" i="22"/>
  <c r="I19" i="22"/>
  <c r="D16" i="22"/>
  <c r="D15" i="22" s="1"/>
  <c r="D19" i="22"/>
  <c r="D20" i="22"/>
  <c r="I25" i="37" l="1"/>
  <c r="D24" i="37"/>
  <c r="D26" i="37"/>
  <c r="D16" i="37"/>
  <c r="D17" i="37"/>
  <c r="I32" i="21"/>
  <c r="D32" i="21"/>
  <c r="D15" i="33"/>
  <c r="D16" i="28"/>
  <c r="I16" i="26"/>
  <c r="I26" i="37" l="1"/>
  <c r="I24" i="37"/>
  <c r="D23" i="37"/>
  <c r="I23" i="37" s="1"/>
  <c r="I17" i="37"/>
  <c r="I16" i="37"/>
  <c r="D15" i="37"/>
  <c r="I15" i="37" s="1"/>
  <c r="I38" i="13"/>
  <c r="I30" i="13"/>
  <c r="I29" i="13"/>
  <c r="D38" i="13"/>
  <c r="D30" i="13"/>
  <c r="D29" i="13"/>
  <c r="D30" i="21"/>
  <c r="E24" i="14"/>
  <c r="I27" i="37" l="1"/>
  <c r="I18" i="37"/>
  <c r="J30" i="37" l="1"/>
  <c r="I31" i="31"/>
  <c r="D42" i="31"/>
  <c r="B42" i="31"/>
  <c r="A42" i="31"/>
  <c r="C42" i="31" s="1"/>
  <c r="D22" i="30"/>
  <c r="H11" i="36"/>
  <c r="I23" i="30"/>
  <c r="D23" i="30"/>
  <c r="D21" i="30"/>
  <c r="D20" i="30"/>
  <c r="D18" i="30"/>
  <c r="I18" i="30" s="1"/>
  <c r="D19" i="30"/>
  <c r="D16" i="30"/>
  <c r="I16" i="30" s="1"/>
  <c r="H10" i="36"/>
  <c r="H9" i="36"/>
  <c r="H8" i="36"/>
  <c r="H7" i="36"/>
  <c r="H6" i="36"/>
  <c r="H12" i="36"/>
  <c r="H5" i="36"/>
  <c r="E42" i="31" l="1"/>
  <c r="D15" i="30"/>
  <c r="I15" i="30" s="1"/>
  <c r="D17" i="31"/>
  <c r="D16" i="31"/>
  <c r="D15" i="31"/>
  <c r="I15" i="31" s="1"/>
  <c r="I33" i="24"/>
  <c r="I15" i="33"/>
  <c r="I15" i="28"/>
  <c r="I22" i="30"/>
  <c r="I21" i="30"/>
  <c r="I20" i="30"/>
  <c r="I19" i="30"/>
  <c r="I17" i="31" l="1"/>
  <c r="D24" i="31"/>
  <c r="I16" i="31"/>
  <c r="I18" i="31" l="1"/>
  <c r="I25" i="31"/>
  <c r="D17" i="25"/>
  <c r="I16" i="28" l="1"/>
  <c r="I44" i="24" l="1"/>
  <c r="I43" i="24"/>
  <c r="I20" i="24" l="1"/>
  <c r="I30" i="21" l="1"/>
  <c r="D31" i="21" l="1"/>
  <c r="D17" i="23"/>
  <c r="I17" i="23" s="1"/>
  <c r="D16" i="23"/>
  <c r="D22" i="22"/>
  <c r="I31" i="21" l="1"/>
  <c r="I22" i="22" l="1"/>
  <c r="D15" i="21" l="1"/>
  <c r="D27" i="35" l="1"/>
  <c r="D21" i="22"/>
  <c r="I21" i="22" s="1"/>
  <c r="L17" i="31" l="1"/>
  <c r="I16" i="34"/>
  <c r="I15" i="34" l="1"/>
  <c r="I17" i="27" l="1"/>
  <c r="D20" i="23"/>
  <c r="I20" i="23" s="1"/>
  <c r="D19" i="23"/>
  <c r="I19" i="23" s="1"/>
  <c r="I17" i="30" l="1"/>
  <c r="D15" i="27" l="1"/>
  <c r="I15" i="27" s="1"/>
  <c r="I15" i="24" l="1"/>
  <c r="D17" i="22" l="1"/>
  <c r="I22" i="13"/>
  <c r="I30" i="31" l="1"/>
  <c r="I32" i="31" s="1"/>
  <c r="I34" i="31" s="1"/>
  <c r="A100" i="35"/>
  <c r="A102" i="35"/>
  <c r="A101" i="35"/>
  <c r="D101" i="35" l="1"/>
  <c r="D102" i="35"/>
  <c r="D16" i="26" l="1"/>
  <c r="D17" i="26"/>
  <c r="D15" i="26"/>
  <c r="D20" i="25"/>
  <c r="D19" i="25"/>
  <c r="D21" i="23"/>
  <c r="I21" i="23" l="1"/>
  <c r="I20" i="25"/>
  <c r="D22" i="25"/>
  <c r="I19" i="25"/>
  <c r="D15" i="25"/>
  <c r="D18" i="22"/>
  <c r="D20" i="21" l="1"/>
  <c r="D16" i="21"/>
  <c r="D17" i="21" s="1"/>
  <c r="I17" i="21" s="1"/>
  <c r="D18" i="21"/>
  <c r="D19" i="21" l="1"/>
  <c r="I19" i="21" s="1"/>
  <c r="D21" i="21"/>
  <c r="I21" i="21" s="1"/>
  <c r="D23" i="21" l="1"/>
  <c r="D31" i="13" s="1"/>
  <c r="D100" i="35"/>
  <c r="D16" i="27"/>
  <c r="I31" i="13" l="1"/>
  <c r="I32" i="13" s="1"/>
  <c r="D22" i="21"/>
  <c r="I22" i="21" s="1"/>
  <c r="I23" i="21"/>
  <c r="I24" i="21" s="1"/>
  <c r="N24" i="21" s="1"/>
  <c r="I16" i="23"/>
  <c r="D15" i="23"/>
  <c r="D22" i="23" s="1"/>
  <c r="I15" i="23" l="1"/>
  <c r="A123" i="35"/>
  <c r="A109" i="35"/>
  <c r="A116" i="35"/>
  <c r="A93" i="35"/>
  <c r="A79" i="35"/>
  <c r="A86" i="35"/>
  <c r="A72" i="35"/>
  <c r="A65" i="35"/>
  <c r="A58" i="35"/>
  <c r="A51" i="35"/>
  <c r="A50" i="35"/>
  <c r="A49" i="35"/>
  <c r="A48" i="35"/>
  <c r="A41" i="35"/>
  <c r="A34" i="35"/>
  <c r="A26" i="35"/>
  <c r="A25" i="35"/>
  <c r="A17" i="35"/>
  <c r="A16" i="35"/>
  <c r="A15" i="35"/>
  <c r="I17" i="34" l="1"/>
  <c r="I18" i="34"/>
  <c r="I19" i="34" l="1"/>
  <c r="I16" i="33"/>
  <c r="D103" i="35"/>
  <c r="I17" i="28"/>
  <c r="D123" i="35" l="1"/>
  <c r="D124" i="35" s="1"/>
  <c r="J22" i="34"/>
  <c r="D109" i="35"/>
  <c r="D110" i="35" s="1"/>
  <c r="J19" i="33"/>
  <c r="I24" i="30"/>
  <c r="K27" i="30" s="1"/>
  <c r="I15" i="29"/>
  <c r="I16" i="29" s="1"/>
  <c r="D86" i="35" l="1"/>
  <c r="D87" i="35" s="1"/>
  <c r="J19" i="29"/>
  <c r="D93" i="35"/>
  <c r="D94" i="35" s="1"/>
  <c r="I18" i="28"/>
  <c r="I19" i="28" s="1"/>
  <c r="J22" i="28" s="1"/>
  <c r="I18" i="26"/>
  <c r="D79" i="35" l="1"/>
  <c r="D80" i="35" s="1"/>
  <c r="I22" i="25"/>
  <c r="I15" i="25"/>
  <c r="I16" i="25"/>
  <c r="I17" i="25"/>
  <c r="I21" i="25"/>
  <c r="I18" i="25"/>
  <c r="I42" i="24"/>
  <c r="I41" i="24"/>
  <c r="I45" i="24" l="1"/>
  <c r="D50" i="35" s="1"/>
  <c r="I18" i="27"/>
  <c r="I23" i="25"/>
  <c r="D58" i="35" s="1"/>
  <c r="D59" i="35" s="1"/>
  <c r="I19" i="26"/>
  <c r="K22" i="26" s="1"/>
  <c r="J23" i="27" l="1"/>
  <c r="D72" i="35"/>
  <c r="D73" i="35" s="1"/>
  <c r="D51" i="35"/>
  <c r="D65" i="35"/>
  <c r="D66" i="35" s="1"/>
  <c r="I34" i="24"/>
  <c r="I32" i="24"/>
  <c r="I31" i="24"/>
  <c r="I30" i="24"/>
  <c r="I29" i="24"/>
  <c r="I28" i="24"/>
  <c r="I35" i="24" l="1"/>
  <c r="D49" i="35" s="1"/>
  <c r="D116" i="35"/>
  <c r="D117" i="35" s="1"/>
  <c r="I16" i="24" l="1"/>
  <c r="I17" i="24"/>
  <c r="I18" i="24"/>
  <c r="I19" i="24"/>
  <c r="I21" i="24"/>
  <c r="I22" i="24"/>
  <c r="I23" i="24" l="1"/>
  <c r="M45" i="24" s="1"/>
  <c r="I22" i="23"/>
  <c r="I23" i="23" s="1"/>
  <c r="J27" i="23" s="1"/>
  <c r="D48" i="35" l="1"/>
  <c r="D52" i="35"/>
  <c r="D41" i="35"/>
  <c r="I17" i="22"/>
  <c r="D33" i="21"/>
  <c r="I33" i="21" s="1"/>
  <c r="I23" i="13"/>
  <c r="D15" i="13"/>
  <c r="I15" i="13" s="1"/>
  <c r="D15" i="35" l="1"/>
  <c r="D42" i="35"/>
  <c r="I16" i="13"/>
  <c r="I34" i="21"/>
  <c r="I37" i="21" s="1"/>
  <c r="D25" i="35"/>
  <c r="D26" i="35" l="1"/>
  <c r="D28" i="35" s="1"/>
  <c r="I39" i="13"/>
  <c r="D17" i="35" l="1"/>
  <c r="I42" i="13"/>
  <c r="D16" i="35"/>
  <c r="D18" i="35" s="1"/>
  <c r="I18" i="22"/>
  <c r="I23" i="22" s="1"/>
  <c r="K27" i="22" s="1"/>
  <c r="D34" i="35" l="1"/>
  <c r="D35" i="35" l="1"/>
</calcChain>
</file>

<file path=xl/sharedStrings.xml><?xml version="1.0" encoding="utf-8"?>
<sst xmlns="http://schemas.openxmlformats.org/spreadsheetml/2006/main" count="1137" uniqueCount="310">
  <si>
    <t>Documento</t>
  </si>
  <si>
    <t>Cliente</t>
  </si>
  <si>
    <t>Obra</t>
  </si>
  <si>
    <t>Data</t>
  </si>
  <si>
    <t>Revisão</t>
  </si>
  <si>
    <t>R00</t>
  </si>
  <si>
    <t>Status</t>
  </si>
  <si>
    <t>Responsável</t>
  </si>
  <si>
    <t>Kelen</t>
  </si>
  <si>
    <t>01</t>
  </si>
  <si>
    <t>UC</t>
  </si>
  <si>
    <t>Em andamento</t>
  </si>
  <si>
    <t>N° total de pavimentos</t>
  </si>
  <si>
    <t>Área do terreno</t>
  </si>
  <si>
    <t>N° de pavimentos tipo</t>
  </si>
  <si>
    <t>Área de projeção da torre</t>
  </si>
  <si>
    <t>Perímetro de projeção da torre</t>
  </si>
  <si>
    <t>Área total construída</t>
  </si>
  <si>
    <t>m²</t>
  </si>
  <si>
    <t>un</t>
  </si>
  <si>
    <t>m</t>
  </si>
  <si>
    <t>Área de subsolos</t>
  </si>
  <si>
    <t>N° de subsolos</t>
  </si>
  <si>
    <t>Locação da obra</t>
  </si>
  <si>
    <t>Parâmetro</t>
  </si>
  <si>
    <t>R$ / AC</t>
  </si>
  <si>
    <t>AT</t>
  </si>
  <si>
    <t>AC</t>
  </si>
  <si>
    <t>NP</t>
  </si>
  <si>
    <t>NPT</t>
  </si>
  <si>
    <t>APT</t>
  </si>
  <si>
    <t>PPT</t>
  </si>
  <si>
    <t>LC</t>
  </si>
  <si>
    <t>AS</t>
  </si>
  <si>
    <t>NS</t>
  </si>
  <si>
    <t>Descrição</t>
  </si>
  <si>
    <t>Identificador</t>
  </si>
  <si>
    <t>Informação</t>
  </si>
  <si>
    <t>R$ / AT</t>
  </si>
  <si>
    <t>Valor total</t>
  </si>
  <si>
    <t>Referência</t>
  </si>
  <si>
    <t>Resp.</t>
  </si>
  <si>
    <t>-</t>
  </si>
  <si>
    <t>TOTAL</t>
  </si>
  <si>
    <t>Concluído</t>
  </si>
  <si>
    <t>EQUIPAMENTOS</t>
  </si>
  <si>
    <r>
      <t xml:space="preserve">ORÇAMENTO PARAMÉTRICO
</t>
    </r>
    <r>
      <rPr>
        <b/>
        <sz val="11"/>
        <color rgb="FF003C66"/>
        <rFont val="Roboto"/>
      </rPr>
      <t>GERENCIAMENTO EXECUTIVO</t>
    </r>
  </si>
  <si>
    <r>
      <t xml:space="preserve">ORÇAMENTO PARAMÉTRICO 
</t>
    </r>
    <r>
      <rPr>
        <b/>
        <sz val="11"/>
        <color rgb="FF003C66"/>
        <rFont val="Roboto"/>
      </rPr>
      <t>GERENCIAMENTO EXECUTIVO</t>
    </r>
  </si>
  <si>
    <r>
      <t xml:space="preserve">ORÇAMENTO PARAMÉTRICO
</t>
    </r>
    <r>
      <rPr>
        <b/>
        <sz val="11"/>
        <color rgb="FF003C66"/>
        <rFont val="Roboto"/>
      </rPr>
      <t>MOVIMENTAÇÃO DE TERRA</t>
    </r>
  </si>
  <si>
    <t>02</t>
  </si>
  <si>
    <t>Escavação</t>
  </si>
  <si>
    <t>R$ / m³</t>
  </si>
  <si>
    <t>Quantidade</t>
  </si>
  <si>
    <t>Pedro Chaves</t>
  </si>
  <si>
    <t>ESCAVAÇÃO E REATERRO DE VALAS</t>
  </si>
  <si>
    <t>Movimentação de terra das estacas</t>
  </si>
  <si>
    <t>REBAIXAMENTO DE LENÇOL</t>
  </si>
  <si>
    <t>Rebaixamento de Lençol</t>
  </si>
  <si>
    <t>Escavação mecanizada para blocos e baldrames</t>
  </si>
  <si>
    <t>Reaterro para blocos e baldrames</t>
  </si>
  <si>
    <t>m³ / AT</t>
  </si>
  <si>
    <t>m³</t>
  </si>
  <si>
    <t xml:space="preserve">Lastro de concreto magro e= 10cm - Blocos </t>
  </si>
  <si>
    <t>Armação</t>
  </si>
  <si>
    <t>Concreto</t>
  </si>
  <si>
    <t>Mão de obra</t>
  </si>
  <si>
    <t>ESCAVAÇÃO</t>
  </si>
  <si>
    <t>kg</t>
  </si>
  <si>
    <t>vb</t>
  </si>
  <si>
    <t>R$ / m²</t>
  </si>
  <si>
    <t>Estaca Hélice Continua Diâmetro 60</t>
  </si>
  <si>
    <t>FUNDAÇÃO PROFUNDA</t>
  </si>
  <si>
    <t>FUNDAÇÃO RASA</t>
  </si>
  <si>
    <t>Fabricação, montagem e desmontagem de forma para blocos e baldrames</t>
  </si>
  <si>
    <r>
      <t xml:space="preserve">ORÇAMENTO PARAMÉTRICO
</t>
    </r>
    <r>
      <rPr>
        <b/>
        <sz val="11"/>
        <color rgb="FF003C66"/>
        <rFont val="Roboto"/>
      </rPr>
      <t>INFRAESTRUTURA</t>
    </r>
  </si>
  <si>
    <r>
      <t xml:space="preserve">ORÇAMENTO PARAMÉTRICO
</t>
    </r>
    <r>
      <rPr>
        <b/>
        <sz val="11"/>
        <color rgb="FF003C66"/>
        <rFont val="Roboto"/>
      </rPr>
      <t>SUPRAESTRUTURA</t>
    </r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</si>
  <si>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</si>
  <si>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</si>
  <si>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</si>
  <si>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</si>
  <si>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</si>
  <si>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</si>
  <si>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r>
      <t xml:space="preserve">ORÇAMENTO PARAMÉTRICO
</t>
    </r>
    <r>
      <rPr>
        <b/>
        <sz val="11"/>
        <color rgb="FF003C66"/>
        <rFont val="Roboto"/>
      </rPr>
      <t>ALVENARIA</t>
    </r>
  </si>
  <si>
    <t>ALVENARIA</t>
  </si>
  <si>
    <t>m² / APT</t>
  </si>
  <si>
    <t>Alvenaria embasamento</t>
  </si>
  <si>
    <t>Alvenaria cobertura / reservatório</t>
  </si>
  <si>
    <r>
      <t xml:space="preserve">ORÇAMENTO PARAMÉTRICO
</t>
    </r>
    <r>
      <rPr>
        <b/>
        <sz val="11"/>
        <color rgb="FF003C66"/>
        <rFont val="Roboto"/>
      </rPr>
      <t>INSTALAÇÕES</t>
    </r>
  </si>
  <si>
    <t>INSTALAÇÕES ELÉTRICAS</t>
  </si>
  <si>
    <t>Entrada de Energia</t>
  </si>
  <si>
    <t>Eletrodutos e Eletrocalhas</t>
  </si>
  <si>
    <t>Instalações Embutidas e Aparentes</t>
  </si>
  <si>
    <t>Cabos e Fiações</t>
  </si>
  <si>
    <t>Quadros e Disjuntores</t>
  </si>
  <si>
    <t>Equipamentos e Iluminação</t>
  </si>
  <si>
    <t>Mão de Obra para Instalações Elétricas</t>
  </si>
  <si>
    <t>INSTALAÇÕES HIDRÁULICAS</t>
  </si>
  <si>
    <t>Instalações de Água Fria</t>
  </si>
  <si>
    <t>Instalações de Água Quente</t>
  </si>
  <si>
    <t>Instalações de Águas Pluviais</t>
  </si>
  <si>
    <t>Instalações Sanitárias</t>
  </si>
  <si>
    <t>Suportes</t>
  </si>
  <si>
    <t>Louças e Metais</t>
  </si>
  <si>
    <t>Mão de Obra para Instalações Hidráulicas</t>
  </si>
  <si>
    <t>INSTALAÇÕES PREVENTIVAS E GLP</t>
  </si>
  <si>
    <t>Instalações Preventivas</t>
  </si>
  <si>
    <t>Instalações de GLP</t>
  </si>
  <si>
    <t>CLIMATIZAÇÃO, EXAUSTÃO MECÂNICA E PRESSURIZAÇÃO</t>
  </si>
  <si>
    <t>Churrasqueiras</t>
  </si>
  <si>
    <t>IMPERMEABILIZAÇÃO</t>
  </si>
  <si>
    <t>Poço do elevador</t>
  </si>
  <si>
    <t>Baldrames</t>
  </si>
  <si>
    <t>Ralos</t>
  </si>
  <si>
    <t>Impermeabilizações cimenticias</t>
  </si>
  <si>
    <t>Impermeabilização de peitoril</t>
  </si>
  <si>
    <t>Regularização de Superfície</t>
  </si>
  <si>
    <r>
      <t xml:space="preserve">ORÇAMENTO PARAMÉTRICO
</t>
    </r>
    <r>
      <rPr>
        <b/>
        <sz val="11"/>
        <color rgb="FF003C66"/>
        <rFont val="Roboto"/>
      </rPr>
      <t>IMPERMEABILIZAÇÃO</t>
    </r>
  </si>
  <si>
    <t>R$ / NP</t>
  </si>
  <si>
    <t>Impermeabilizações com manta asfaltica</t>
  </si>
  <si>
    <t>Proteção Mecânica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</si>
  <si>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</si>
  <si>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Chapisco</t>
  </si>
  <si>
    <t>Reboco</t>
  </si>
  <si>
    <t>Contrapiso</t>
  </si>
  <si>
    <t>Forro de Gesso</t>
  </si>
  <si>
    <t>Negativo</t>
  </si>
  <si>
    <t>kg / m³</t>
  </si>
  <si>
    <t>%</t>
  </si>
  <si>
    <r>
      <t xml:space="preserve">ORÇAMENTO PARAMÉTRICO
</t>
    </r>
    <r>
      <rPr>
        <b/>
        <sz val="11"/>
        <color rgb="FF003C66"/>
        <rFont val="Roboto"/>
      </rPr>
      <t>REVESTIMENTOS E ACABAMENTOS INTERNOS EM TETO</t>
    </r>
  </si>
  <si>
    <r>
      <t xml:space="preserve">ORÇAMENTO PARAMÉTRICO
</t>
    </r>
    <r>
      <rPr>
        <b/>
        <sz val="11"/>
        <color rgb="FF003C66"/>
        <rFont val="Roboto"/>
      </rPr>
      <t>REVESTIMENTOS INTERNOS EM PISO E PAREDE</t>
    </r>
  </si>
  <si>
    <r>
      <t xml:space="preserve">ORÇAMENTO PARAMÉTRICO
</t>
    </r>
    <r>
      <rPr>
        <b/>
        <sz val="11"/>
        <color rgb="FF003C66"/>
        <rFont val="Roboto"/>
      </rPr>
      <t>ACABAMENTOS EM PISO E PAREDE</t>
    </r>
  </si>
  <si>
    <t>ACABAMENTOS DE TETO</t>
  </si>
  <si>
    <t>Estucamento</t>
  </si>
  <si>
    <t>ACABAMENTOS EM PISO E PAREDE</t>
  </si>
  <si>
    <t>Revestimentos de Piso</t>
  </si>
  <si>
    <t>Revestimentos de Parede</t>
  </si>
  <si>
    <r>
      <t xml:space="preserve">ORÇAMENTO PARAMÉTRICO
</t>
    </r>
    <r>
      <rPr>
        <b/>
        <sz val="11"/>
        <color rgb="FF003C66"/>
        <rFont val="Roboto"/>
      </rPr>
      <t>PINTURA INTERNA</t>
    </r>
  </si>
  <si>
    <t>PINTURA INTERNA</t>
  </si>
  <si>
    <t>Pintura Interna</t>
  </si>
  <si>
    <r>
      <t xml:space="preserve">ORÇAMENTO PARAMÉTRICO
</t>
    </r>
    <r>
      <rPr>
        <b/>
        <sz val="11"/>
        <color rgb="FF003C66"/>
        <rFont val="Roboto"/>
      </rPr>
      <t>ESQUADRIAS</t>
    </r>
  </si>
  <si>
    <t>ESQUADRIAS</t>
  </si>
  <si>
    <t>Esquadrias Metálicas</t>
  </si>
  <si>
    <t>Esquadrias de Alumínio</t>
  </si>
  <si>
    <t>Esquadrias de Madeira</t>
  </si>
  <si>
    <t>Rodapés</t>
  </si>
  <si>
    <r>
      <t xml:space="preserve">ORÇAMENTO PARAMÉTRICO
</t>
    </r>
    <r>
      <rPr>
        <b/>
        <sz val="11"/>
        <color rgb="FF003C66"/>
        <rFont val="Roboto"/>
      </rPr>
      <t>REVESTIMENTOS E ACABAMENTOS DE FACHADA</t>
    </r>
  </si>
  <si>
    <t>REVESTIMENTOS ARGAMASSADOS</t>
  </si>
  <si>
    <t>PINTURA</t>
  </si>
  <si>
    <t>REVESTIMENTOS ESPECIAIS</t>
  </si>
  <si>
    <r>
      <t xml:space="preserve">ORÇAMENTO PARAMÉTRICO
</t>
    </r>
    <r>
      <rPr>
        <b/>
        <sz val="11"/>
        <color rgb="FF003C66"/>
        <rFont val="Roboto"/>
      </rPr>
      <t>EQUIPAMENTOS</t>
    </r>
  </si>
  <si>
    <t>Elevadores</t>
  </si>
  <si>
    <t>Equipamentos para Piscina</t>
  </si>
  <si>
    <r>
      <t xml:space="preserve">ORÇAMENTO PARAMÉTRICO
</t>
    </r>
    <r>
      <rPr>
        <b/>
        <sz val="11"/>
        <color rgb="FF003C66"/>
        <rFont val="Roboto"/>
      </rPr>
      <t>COBERTURA</t>
    </r>
  </si>
  <si>
    <t>R$</t>
  </si>
  <si>
    <t>SERVIÇOS COMPLEMENTARES</t>
  </si>
  <si>
    <t>Móveis e decoração</t>
  </si>
  <si>
    <t>Comunicação visual</t>
  </si>
  <si>
    <t>Paisagismo</t>
  </si>
  <si>
    <t>Limpeza</t>
  </si>
  <si>
    <t>MOVIMENTAÇÃO DE TERRA</t>
  </si>
  <si>
    <t>INFRAESTRUTURA</t>
  </si>
  <si>
    <t>INSTALAÇÕES</t>
  </si>
  <si>
    <t>REVESTIMENTOS INTERNOS EM PISO E PAREDE</t>
  </si>
  <si>
    <t>REVESTIMENTOS E ACABAMENTOS INTERNOS EM TETO</t>
  </si>
  <si>
    <t>REVESTIMENTOS DE FACHADA</t>
  </si>
  <si>
    <t>COBERTURA</t>
  </si>
  <si>
    <t>Alvenaria lazer</t>
  </si>
  <si>
    <t>Área do embasamento</t>
  </si>
  <si>
    <t>AE</t>
  </si>
  <si>
    <t>Área Lazer</t>
  </si>
  <si>
    <t>AL</t>
  </si>
  <si>
    <t>m² / AE</t>
  </si>
  <si>
    <t>m² / AL</t>
  </si>
  <si>
    <t>PASS-E</t>
  </si>
  <si>
    <t>m² / AT</t>
  </si>
  <si>
    <t>Número de Estacas</t>
  </si>
  <si>
    <t>Média</t>
  </si>
  <si>
    <t>m / un</t>
  </si>
  <si>
    <t>m³ / m³</t>
  </si>
  <si>
    <t>m² / AC</t>
  </si>
  <si>
    <t>m³ / AC</t>
  </si>
  <si>
    <t>m² / APT*NPT</t>
  </si>
  <si>
    <r>
      <t>m</t>
    </r>
    <r>
      <rPr>
        <sz val="10"/>
        <color theme="1"/>
        <rFont val="Roboto"/>
      </rPr>
      <t xml:space="preserve"> / AC</t>
    </r>
  </si>
  <si>
    <t>Cobertura</t>
  </si>
  <si>
    <t>PPE</t>
  </si>
  <si>
    <t>Perímetro de projeção embasamento</t>
  </si>
  <si>
    <t>Área de projeção do embasamento</t>
  </si>
  <si>
    <t>N° de pavimentos de embasamento</t>
  </si>
  <si>
    <t>NPE</t>
  </si>
  <si>
    <t>APE</t>
  </si>
  <si>
    <t>Detalhes</t>
  </si>
  <si>
    <t>REGULARIZAÇÃO E APILOAmENTO DE FUNDO DE VALAS</t>
  </si>
  <si>
    <t>MTH_INC-RES Orçamento Paramétrico</t>
  </si>
  <si>
    <t>Reserva</t>
  </si>
  <si>
    <t>Testada do terreno</t>
  </si>
  <si>
    <t>TT</t>
  </si>
  <si>
    <t>N° de pavimentos duplex</t>
  </si>
  <si>
    <t>NPD</t>
  </si>
  <si>
    <t>un / m²</t>
  </si>
  <si>
    <t>m131</t>
  </si>
  <si>
    <t>Alvenaria tipo diferenciado</t>
  </si>
  <si>
    <t>m132</t>
  </si>
  <si>
    <t>m² / APT*NPD</t>
  </si>
  <si>
    <t>N° de pavimentos tipo diferenciado</t>
  </si>
  <si>
    <t>ND</t>
  </si>
  <si>
    <t>m² / APT*ND</t>
  </si>
  <si>
    <t>R$ / AL</t>
  </si>
  <si>
    <t>Gerador</t>
  </si>
  <si>
    <t>Protensão - Material e mão de obra</t>
  </si>
  <si>
    <t>Estaca Hélice Continua Diâmetro 70</t>
  </si>
  <si>
    <t>Mão de obra - estrutura em concreto armado</t>
  </si>
  <si>
    <t>CONTENÇÃO</t>
  </si>
  <si>
    <t>Acabamentos Elétricos</t>
  </si>
  <si>
    <t>Instalações de Proteção e Aterramento - SPDA</t>
  </si>
  <si>
    <t>Mão de Obra</t>
  </si>
  <si>
    <t>Serralherias</t>
  </si>
  <si>
    <t xml:space="preserve">m² </t>
  </si>
  <si>
    <t>Alvenaria duplex</t>
  </si>
  <si>
    <t>Chapisco em Estrutura</t>
  </si>
  <si>
    <t>Chapisco em Alvenaria</t>
  </si>
  <si>
    <t>Estaca Hélice Continua Diâmetro 50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</si>
  <si>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</si>
  <si>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</si>
  <si>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</si>
  <si>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</si>
  <si>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</si>
  <si>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</si>
  <si>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</si>
  <si>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</si>
  <si>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</si>
  <si>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</si>
  <si>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</si>
  <si>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</si>
  <si>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</si>
  <si>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</si>
  <si>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</si>
  <si>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</si>
  <si>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</si>
  <si>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</si>
  <si>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</si>
  <si>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</si>
  <si>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</si>
  <si>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</si>
  <si>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</si>
  <si>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</si>
  <si>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</si>
  <si>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</si>
  <si>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</si>
  <si>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</si>
  <si>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</si>
  <si>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</si>
  <si>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</si>
  <si>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</si>
  <si>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</si>
  <si>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</si>
  <si>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</si>
  <si>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</si>
  <si>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</si>
  <si>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</si>
  <si>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</si>
  <si>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</si>
  <si>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</si>
  <si>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</si>
  <si>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</si>
  <si>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</si>
  <si>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</si>
  <si>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</si>
  <si>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</si>
  <si>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</si>
  <si>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</si>
  <si>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</si>
  <si>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</si>
  <si>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</si>
  <si>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</si>
  <si>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</si>
  <si>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</si>
  <si>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</si>
  <si>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</si>
  <si>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>R$ / un</t>
  </si>
  <si>
    <t>Guarda Corpo de vidro</t>
  </si>
  <si>
    <t>Gradil de alumínio</t>
  </si>
  <si>
    <t>Brise de alumínio</t>
  </si>
  <si>
    <t>Porta pivotante</t>
  </si>
  <si>
    <t>Portão de alumínio</t>
  </si>
  <si>
    <t>ACM</t>
  </si>
  <si>
    <r>
      <t xml:space="preserve">ORÇAMENTO PARAMÉTRICO
</t>
    </r>
    <r>
      <rPr>
        <b/>
        <sz val="11"/>
        <color rgb="FF003C66"/>
        <rFont val="Roboto"/>
      </rPr>
      <t>CONTENÇÕES</t>
    </r>
  </si>
  <si>
    <t>MTH_MEN BRM Dados Gerais</t>
  </si>
  <si>
    <t>MENDES</t>
  </si>
  <si>
    <t>Brava Mundo</t>
  </si>
  <si>
    <t>R01</t>
  </si>
  <si>
    <t>MURETA GUIA</t>
  </si>
  <si>
    <r>
      <t>kg / m</t>
    </r>
    <r>
      <rPr>
        <i/>
        <sz val="10"/>
        <color theme="1"/>
        <rFont val="Roboto"/>
      </rPr>
      <t>³</t>
    </r>
  </si>
  <si>
    <t xml:space="preserve">Forma </t>
  </si>
  <si>
    <t>PAREDE DIAFRAGMA</t>
  </si>
  <si>
    <t>m³ / m²</t>
  </si>
  <si>
    <t>Revestimentos de Piso - laminado</t>
  </si>
  <si>
    <t>Tirantes</t>
  </si>
  <si>
    <t xml:space="preserve">Concreto </t>
  </si>
  <si>
    <t>MTH_COTA-AFP Orçamento Paramétrico</t>
  </si>
  <si>
    <t>COTA</t>
  </si>
  <si>
    <t>AFONSO PENA</t>
  </si>
  <si>
    <t>Infraestrutura para Instalação de Ar Condicionado</t>
  </si>
  <si>
    <t>AUTOMAÇÃO</t>
  </si>
  <si>
    <t>Automação, teleocomunicação e sistemas de segurança</t>
  </si>
  <si>
    <t>OUTROS SISTEMAS ESPECIAIS</t>
  </si>
  <si>
    <t>Outros sistemas</t>
  </si>
  <si>
    <t>Pressurização de escadas</t>
  </si>
  <si>
    <t>Alvenaria tipo - externo</t>
  </si>
  <si>
    <t>Alvenaria tipo - interno</t>
  </si>
  <si>
    <t>Pastilha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</si>
</sst>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D_M_-;\-* #,##0.00\ _D_M_-;_-* &quot;-&quot;??\ _D_M_-;_-@_-"/>
    <numFmt numFmtId="165" formatCode="_-* #,##0.0000_-;\-* #,##0.0000_-;_-* &quot;-&quot;??_-;_-@_-"/>
    <numFmt numFmtId="166" formatCode="_-* #,##0.0000_-;\-* #,##0.0000_-;_-* &quot;-&quot;??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4"/>
      <color rgb="FF293549"/>
      <name val="Roboto"/>
    </font>
    <font>
      <sz val="10"/>
      <color rgb="FF000000"/>
      <name val="Roboto"/>
    </font>
    <font>
      <b/>
      <sz val="10"/>
      <name val="Roboto"/>
    </font>
    <font>
      <sz val="10"/>
      <color theme="1"/>
      <name val="Roboto"/>
    </font>
    <font>
      <sz val="10"/>
      <color rgb="FFFF0000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b/>
      <sz val="11"/>
      <color rgb="FF003C66"/>
      <name val="Roboto"/>
    </font>
    <font>
      <i/>
      <sz val="10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medium">
        <color rgb="FFCECE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68">
    <xf numFmtId="0" fontId="0" fillId="0" borderId="0" xfId="0"/>
    <xf numFmtId="0" fontId="3" fillId="0" borderId="0" xfId="0" applyFont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5" borderId="35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3" fontId="7" fillId="0" borderId="5" xfId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43" fontId="7" fillId="0" borderId="7" xfId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43" fontId="7" fillId="0" borderId="0" xfId="1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43" fontId="7" fillId="0" borderId="7" xfId="1" applyFont="1" applyBorder="1" applyAlignment="1">
      <alignment vertical="center"/>
    </xf>
    <xf numFmtId="43" fontId="9" fillId="0" borderId="7" xfId="1" applyFont="1" applyBorder="1" applyAlignment="1">
      <alignment vertical="center"/>
    </xf>
    <xf numFmtId="49" fontId="3" fillId="3" borderId="11" xfId="0" applyNumberFormat="1" applyFont="1" applyFill="1" applyBorder="1" applyAlignment="1">
      <alignment vertical="center"/>
    </xf>
    <xf numFmtId="165" fontId="7" fillId="0" borderId="23" xfId="1" applyNumberFormat="1" applyFont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/>
    </xf>
    <xf numFmtId="165" fontId="7" fillId="0" borderId="29" xfId="1" applyNumberFormat="1" applyFont="1" applyBorder="1" applyAlignment="1">
      <alignment horizontal="center" vertical="center"/>
    </xf>
    <xf numFmtId="165" fontId="7" fillId="0" borderId="38" xfId="1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43" fontId="7" fillId="0" borderId="23" xfId="1" applyFont="1" applyBorder="1" applyAlignment="1">
      <alignment horizontal="left" vertical="center" wrapText="1"/>
    </xf>
    <xf numFmtId="43" fontId="7" fillId="0" borderId="23" xfId="1" applyFont="1" applyBorder="1" applyAlignment="1">
      <alignment horizontal="center" vertical="center" wrapText="1"/>
    </xf>
    <xf numFmtId="165" fontId="7" fillId="0" borderId="29" xfId="1" applyNumberFormat="1" applyFont="1" applyBorder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2" borderId="9" xfId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43" fontId="7" fillId="0" borderId="2" xfId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7" fillId="0" borderId="0" xfId="1" applyFont="1" applyBorder="1" applyAlignment="1">
      <alignment vertical="center"/>
    </xf>
    <xf numFmtId="43" fontId="7" fillId="0" borderId="26" xfId="1" applyFont="1" applyBorder="1" applyAlignment="1">
      <alignment horizontal="center" vertical="center" wrapText="1"/>
    </xf>
    <xf numFmtId="43" fontId="7" fillId="0" borderId="0" xfId="1" applyFont="1" applyAlignment="1">
      <alignment vertical="center"/>
    </xf>
    <xf numFmtId="43" fontId="7" fillId="0" borderId="42" xfId="1" applyFont="1" applyBorder="1" applyAlignment="1">
      <alignment horizontal="center" vertical="center" wrapText="1"/>
    </xf>
    <xf numFmtId="43" fontId="3" fillId="0" borderId="0" xfId="1" applyFont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7" fillId="0" borderId="29" xfId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43" fontId="7" fillId="0" borderId="31" xfId="1" applyFont="1" applyBorder="1" applyAlignment="1">
      <alignment horizontal="center" vertical="center" wrapText="1"/>
    </xf>
    <xf numFmtId="43" fontId="7" fillId="0" borderId="32" xfId="1" applyFont="1" applyBorder="1" applyAlignment="1">
      <alignment horizontal="center" vertical="center" wrapText="1"/>
    </xf>
    <xf numFmtId="43" fontId="7" fillId="0" borderId="33" xfId="1" applyFont="1" applyBorder="1" applyAlignment="1">
      <alignment horizontal="center" vertical="center" wrapText="1"/>
    </xf>
    <xf numFmtId="43" fontId="7" fillId="0" borderId="37" xfId="1" applyFont="1" applyBorder="1" applyAlignment="1">
      <alignment horizontal="center" vertical="center" wrapText="1"/>
    </xf>
    <xf numFmtId="43" fontId="7" fillId="0" borderId="38" xfId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43" fontId="7" fillId="0" borderId="37" xfId="1" applyNumberFormat="1" applyFont="1" applyBorder="1" applyAlignment="1">
      <alignment horizontal="center" vertical="center" wrapText="1"/>
    </xf>
    <xf numFmtId="43" fontId="7" fillId="0" borderId="33" xfId="1" quotePrefix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/>
    </xf>
    <xf numFmtId="43" fontId="7" fillId="0" borderId="31" xfId="1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43" fontId="7" fillId="0" borderId="7" xfId="0" applyNumberFormat="1" applyFont="1" applyBorder="1" applyAlignment="1">
      <alignment vertical="center"/>
    </xf>
    <xf numFmtId="43" fontId="7" fillId="0" borderId="31" xfId="1" applyNumberFormat="1" applyFont="1" applyBorder="1" applyAlignment="1">
      <alignment horizontal="center" vertical="center" wrapText="1"/>
    </xf>
    <xf numFmtId="165" fontId="7" fillId="0" borderId="31" xfId="1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43" fontId="7" fillId="0" borderId="32" xfId="1" applyNumberFormat="1" applyFont="1" applyBorder="1" applyAlignment="1">
      <alignment horizontal="center" vertical="center" wrapText="1"/>
    </xf>
    <xf numFmtId="165" fontId="7" fillId="0" borderId="32" xfId="1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43" fontId="7" fillId="0" borderId="32" xfId="1" applyNumberFormat="1" applyFont="1" applyBorder="1" applyAlignment="1">
      <alignment horizontal="center" vertical="center"/>
    </xf>
    <xf numFmtId="43" fontId="7" fillId="0" borderId="33" xfId="1" applyNumberFormat="1" applyFont="1" applyBorder="1" applyAlignment="1">
      <alignment horizontal="center" vertical="center" wrapText="1"/>
    </xf>
    <xf numFmtId="165" fontId="7" fillId="0" borderId="33" xfId="1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43" fontId="7" fillId="0" borderId="43" xfId="1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43" fontId="7" fillId="0" borderId="23" xfId="1" applyNumberFormat="1" applyFont="1" applyBorder="1" applyAlignment="1">
      <alignment horizontal="center" vertical="center" wrapText="1"/>
    </xf>
    <xf numFmtId="43" fontId="7" fillId="0" borderId="26" xfId="1" applyNumberFormat="1" applyFont="1" applyBorder="1" applyAlignment="1">
      <alignment horizontal="center" vertical="center" wrapText="1"/>
    </xf>
    <xf numFmtId="43" fontId="7" fillId="0" borderId="38" xfId="1" applyFont="1" applyBorder="1" applyAlignment="1">
      <alignment horizontal="left" vertical="center" wrapText="1"/>
    </xf>
    <xf numFmtId="43" fontId="7" fillId="0" borderId="26" xfId="1" applyFont="1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vertical="center"/>
    </xf>
    <xf numFmtId="0" fontId="7" fillId="0" borderId="28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horizontal="center" vertical="center"/>
    </xf>
    <xf numFmtId="43" fontId="7" fillId="0" borderId="29" xfId="1" applyNumberFormat="1" applyFont="1" applyBorder="1" applyAlignment="1">
      <alignment horizontal="center" vertical="center"/>
    </xf>
    <xf numFmtId="43" fontId="7" fillId="0" borderId="38" xfId="1" applyFont="1" applyFill="1" applyBorder="1" applyAlignment="1">
      <alignment horizontal="left" vertical="center" wrapText="1"/>
    </xf>
    <xf numFmtId="43" fontId="7" fillId="0" borderId="26" xfId="1" applyFont="1" applyFill="1" applyBorder="1" applyAlignment="1">
      <alignment horizontal="left" vertical="center" wrapText="1"/>
    </xf>
    <xf numFmtId="43" fontId="7" fillId="0" borderId="29" xfId="1" applyFont="1" applyFill="1" applyBorder="1" applyAlignment="1">
      <alignment horizontal="center" vertical="center" wrapText="1"/>
    </xf>
    <xf numFmtId="43" fontId="7" fillId="0" borderId="32" xfId="1" applyFont="1" applyFill="1" applyBorder="1" applyAlignment="1">
      <alignment horizontal="center" vertical="center" wrapText="1"/>
    </xf>
    <xf numFmtId="165" fontId="7" fillId="0" borderId="26" xfId="1" applyNumberFormat="1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43" fontId="7" fillId="0" borderId="32" xfId="1" quotePrefix="1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43" fontId="7" fillId="0" borderId="31" xfId="1" applyFont="1" applyFill="1" applyBorder="1" applyAlignment="1">
      <alignment horizontal="center" vertical="center" wrapText="1"/>
    </xf>
    <xf numFmtId="43" fontId="7" fillId="0" borderId="31" xfId="1" applyNumberFormat="1" applyFont="1" applyFill="1" applyBorder="1" applyAlignment="1">
      <alignment horizontal="center" vertical="center" wrapText="1"/>
    </xf>
    <xf numFmtId="165" fontId="7" fillId="0" borderId="31" xfId="1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/>
    </xf>
    <xf numFmtId="43" fontId="7" fillId="0" borderId="31" xfId="1" applyFont="1" applyBorder="1" applyAlignment="1">
      <alignment horizontal="center" vertical="center"/>
    </xf>
    <xf numFmtId="165" fontId="7" fillId="0" borderId="23" xfId="1" applyNumberFormat="1" applyFont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/>
    </xf>
    <xf numFmtId="43" fontId="0" fillId="0" borderId="0" xfId="1" applyFont="1"/>
    <xf numFmtId="0" fontId="3" fillId="2" borderId="0" xfId="0" applyFont="1" applyFill="1" applyAlignment="1">
      <alignment vertical="center"/>
    </xf>
    <xf numFmtId="0" fontId="9" fillId="5" borderId="24" xfId="0" applyFont="1" applyFill="1" applyBorder="1" applyAlignment="1">
      <alignment horizontal="center" vertical="center"/>
    </xf>
    <xf numFmtId="43" fontId="7" fillId="0" borderId="26" xfId="1" applyFont="1" applyBorder="1" applyAlignment="1">
      <alignment horizontal="left" vertical="center" wrapText="1"/>
    </xf>
    <xf numFmtId="43" fontId="7" fillId="0" borderId="29" xfId="1" applyFont="1" applyBorder="1" applyAlignment="1">
      <alignment horizontal="left" vertical="center" wrapText="1"/>
    </xf>
    <xf numFmtId="43" fontId="7" fillId="0" borderId="0" xfId="0" applyNumberFormat="1" applyFont="1" applyAlignment="1">
      <alignment horizontal="center" vertical="center"/>
    </xf>
    <xf numFmtId="43" fontId="7" fillId="0" borderId="33" xfId="1" applyFont="1" applyBorder="1" applyAlignment="1">
      <alignment horizontal="center" vertical="center"/>
    </xf>
    <xf numFmtId="165" fontId="7" fillId="0" borderId="37" xfId="1" applyNumberFormat="1" applyFont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43" fontId="7" fillId="4" borderId="18" xfId="1" applyFont="1" applyFill="1" applyBorder="1" applyAlignment="1">
      <alignment horizontal="center" vertical="center"/>
    </xf>
    <xf numFmtId="43" fontId="7" fillId="4" borderId="20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14" fontId="3" fillId="3" borderId="11" xfId="0" applyNumberFormat="1" applyFont="1" applyFill="1" applyBorder="1" applyAlignment="1">
      <alignment horizontal="left" vertical="center"/>
    </xf>
    <xf numFmtId="14" fontId="3" fillId="3" borderId="12" xfId="0" applyNumberFormat="1" applyFont="1" applyFill="1" applyBorder="1" applyAlignment="1">
      <alignment horizontal="left" vertical="center"/>
    </xf>
    <xf numFmtId="14" fontId="3" fillId="3" borderId="13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43" fontId="7" fillId="4" borderId="15" xfId="1" applyFont="1" applyFill="1" applyBorder="1" applyAlignment="1">
      <alignment horizontal="center" vertical="center"/>
    </xf>
    <xf numFmtId="43" fontId="7" fillId="4" borderId="16" xfId="1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43" fontId="7" fillId="0" borderId="26" xfId="1" applyFont="1" applyBorder="1" applyAlignment="1">
      <alignment horizontal="center" vertical="center"/>
    </xf>
    <xf numFmtId="43" fontId="7" fillId="0" borderId="27" xfId="1" applyFont="1" applyBorder="1" applyAlignment="1">
      <alignment horizontal="center" vertical="center"/>
    </xf>
    <xf numFmtId="43" fontId="7" fillId="0" borderId="28" xfId="1" applyFont="1" applyBorder="1" applyAlignment="1">
      <alignment horizontal="center" vertical="center"/>
    </xf>
    <xf numFmtId="43" fontId="7" fillId="0" borderId="29" xfId="1" applyFont="1" applyBorder="1" applyAlignment="1">
      <alignment horizontal="center" vertical="center"/>
    </xf>
    <xf numFmtId="43" fontId="7" fillId="0" borderId="41" xfId="1" applyFont="1" applyBorder="1" applyAlignment="1">
      <alignment horizontal="center" vertical="center"/>
    </xf>
    <xf numFmtId="43" fontId="7" fillId="0" borderId="30" xfId="1" applyFont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43" fontId="9" fillId="6" borderId="34" xfId="1" applyFont="1" applyFill="1" applyBorder="1" applyAlignment="1">
      <alignment horizontal="center" vertical="center"/>
    </xf>
    <xf numFmtId="43" fontId="9" fillId="6" borderId="35" xfId="1" applyFont="1" applyFill="1" applyBorder="1" applyAlignment="1">
      <alignment horizontal="center" vertical="center"/>
    </xf>
    <xf numFmtId="43" fontId="9" fillId="6" borderId="36" xfId="1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left" vertical="center"/>
    </xf>
    <xf numFmtId="0" fontId="9" fillId="5" borderId="35" xfId="0" applyFont="1" applyFill="1" applyBorder="1" applyAlignment="1">
      <alignment horizontal="left" vertical="center"/>
    </xf>
    <xf numFmtId="0" fontId="9" fillId="5" borderId="36" xfId="0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43" fontId="7" fillId="0" borderId="23" xfId="1" applyFont="1" applyBorder="1" applyAlignment="1">
      <alignment horizontal="center" vertical="center"/>
    </xf>
    <xf numFmtId="43" fontId="7" fillId="0" borderId="24" xfId="1" applyFont="1" applyBorder="1" applyAlignment="1">
      <alignment horizontal="center" vertical="center"/>
    </xf>
    <xf numFmtId="43" fontId="7" fillId="0" borderId="25" xfId="1" applyFont="1" applyBorder="1" applyAlignment="1">
      <alignment horizontal="center" vertical="center"/>
    </xf>
    <xf numFmtId="43" fontId="7" fillId="0" borderId="32" xfId="1" applyFont="1" applyBorder="1" applyAlignment="1">
      <alignment horizontal="left" vertical="center" wrapText="1"/>
    </xf>
    <xf numFmtId="43" fontId="7" fillId="0" borderId="31" xfId="0" applyNumberFormat="1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43" fontId="7" fillId="0" borderId="22" xfId="0" applyNumberFormat="1" applyFont="1" applyBorder="1" applyAlignment="1">
      <alignment horizontal="left" vertical="center" wrapText="1"/>
    </xf>
    <xf numFmtId="43" fontId="7" fillId="0" borderId="36" xfId="1" applyFont="1" applyBorder="1" applyAlignment="1">
      <alignment horizontal="center" vertical="center"/>
    </xf>
    <xf numFmtId="43" fontId="7" fillId="0" borderId="31" xfId="1" applyFont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 wrapText="1"/>
    </xf>
    <xf numFmtId="43" fontId="9" fillId="6" borderId="22" xfId="1" applyFont="1" applyFill="1" applyBorder="1" applyAlignment="1">
      <alignment horizontal="center" vertical="center"/>
    </xf>
    <xf numFmtId="43" fontId="7" fillId="0" borderId="26" xfId="1" applyNumberFormat="1" applyFont="1" applyBorder="1" applyAlignment="1">
      <alignment horizontal="center" vertical="center"/>
    </xf>
    <xf numFmtId="43" fontId="9" fillId="5" borderId="34" xfId="1" applyFont="1" applyFill="1" applyBorder="1" applyAlignment="1">
      <alignment horizontal="center" vertical="center"/>
    </xf>
    <xf numFmtId="43" fontId="9" fillId="5" borderId="36" xfId="1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43" fontId="9" fillId="5" borderId="23" xfId="1" applyFont="1" applyFill="1" applyBorder="1" applyAlignment="1">
      <alignment horizontal="center" vertical="center"/>
    </xf>
    <xf numFmtId="43" fontId="9" fillId="5" borderId="25" xfId="1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left" vertical="center" wrapText="1"/>
    </xf>
    <xf numFmtId="43" fontId="7" fillId="0" borderId="38" xfId="1" applyFont="1" applyBorder="1" applyAlignment="1">
      <alignment horizontal="center" vertical="center"/>
    </xf>
    <xf numFmtId="43" fontId="7" fillId="0" borderId="39" xfId="1" applyFont="1" applyBorder="1" applyAlignment="1">
      <alignment horizontal="center" vertical="center"/>
    </xf>
    <xf numFmtId="43" fontId="7" fillId="0" borderId="34" xfId="0" applyNumberFormat="1" applyFont="1" applyBorder="1" applyAlignment="1">
      <alignment horizontal="center" vertical="center"/>
    </xf>
    <xf numFmtId="43" fontId="7" fillId="0" borderId="23" xfId="1" applyNumberFormat="1" applyFont="1" applyBorder="1" applyAlignment="1">
      <alignment horizontal="center" vertical="center"/>
    </xf>
    <xf numFmtId="43" fontId="7" fillId="0" borderId="29" xfId="1" applyNumberFormat="1" applyFont="1" applyBorder="1" applyAlignment="1">
      <alignment horizontal="center" vertical="center"/>
    </xf>
    <xf numFmtId="43" fontId="7" fillId="0" borderId="30" xfId="1" applyNumberFormat="1" applyFont="1" applyBorder="1" applyAlignment="1">
      <alignment horizontal="center" vertical="center"/>
    </xf>
    <xf numFmtId="43" fontId="7" fillId="0" borderId="28" xfId="1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left" vertical="center" wrapText="1"/>
    </xf>
    <xf numFmtId="0" fontId="7" fillId="0" borderId="32" xfId="0" applyFont="1" applyFill="1" applyBorder="1" applyAlignment="1">
      <alignment horizontal="left" vertical="center" wrapText="1"/>
    </xf>
    <xf numFmtId="43" fontId="7" fillId="0" borderId="26" xfId="1" applyNumberFormat="1" applyFont="1" applyFill="1" applyBorder="1" applyAlignment="1">
      <alignment horizontal="center" vertical="center"/>
    </xf>
    <xf numFmtId="43" fontId="7" fillId="0" borderId="28" xfId="1" applyNumberFormat="1" applyFont="1" applyFill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2" xfId="0" applyFont="1" applyBorder="1" applyAlignment="1">
      <alignment vertical="center" wrapText="1"/>
    </xf>
    <xf numFmtId="43" fontId="7" fillId="0" borderId="38" xfId="1" applyNumberFormat="1" applyFont="1" applyBorder="1" applyAlignment="1">
      <alignment horizontal="center" vertical="center"/>
    </xf>
    <xf numFmtId="43" fontId="7" fillId="0" borderId="39" xfId="1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43" fontId="7" fillId="0" borderId="32" xfId="1" applyNumberFormat="1" applyFont="1" applyFill="1" applyBorder="1" applyAlignment="1">
      <alignment horizontal="center" vertical="center"/>
    </xf>
    <xf numFmtId="43" fontId="7" fillId="0" borderId="32" xfId="1" applyFont="1" applyFill="1" applyBorder="1" applyAlignment="1">
      <alignment horizontal="center" vertical="center"/>
    </xf>
    <xf numFmtId="43" fontId="7" fillId="0" borderId="31" xfId="1" applyNumberFormat="1" applyFont="1" applyBorder="1" applyAlignment="1">
      <alignment horizontal="center" vertical="center"/>
    </xf>
    <xf numFmtId="43" fontId="7" fillId="0" borderId="29" xfId="1" applyNumberFormat="1" applyFont="1" applyFill="1" applyBorder="1" applyAlignment="1">
      <alignment horizontal="center" vertical="center"/>
    </xf>
    <xf numFmtId="43" fontId="7" fillId="0" borderId="30" xfId="1" applyNumberFormat="1" applyFont="1" applyFill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/>
    </xf>
    <xf numFmtId="165" fontId="7" fillId="0" borderId="28" xfId="1" applyNumberFormat="1" applyFont="1" applyBorder="1" applyAlignment="1">
      <alignment horizontal="center" vertical="center"/>
    </xf>
    <xf numFmtId="43" fontId="7" fillId="0" borderId="32" xfId="1" applyNumberFormat="1" applyFont="1" applyBorder="1" applyAlignment="1">
      <alignment horizontal="center" vertical="center"/>
    </xf>
    <xf numFmtId="43" fontId="7" fillId="0" borderId="32" xfId="1" applyFont="1" applyBorder="1" applyAlignment="1">
      <alignment horizontal="center" vertical="center"/>
    </xf>
    <xf numFmtId="0" fontId="7" fillId="0" borderId="23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 wrapText="1"/>
    </xf>
    <xf numFmtId="43" fontId="7" fillId="0" borderId="23" xfId="1" applyNumberFormat="1" applyFont="1" applyFill="1" applyBorder="1" applyAlignment="1">
      <alignment horizontal="center" vertical="center"/>
    </xf>
    <xf numFmtId="43" fontId="7" fillId="0" borderId="25" xfId="1" applyNumberFormat="1" applyFont="1" applyFill="1" applyBorder="1" applyAlignment="1">
      <alignment horizontal="center" vertical="center"/>
    </xf>
    <xf numFmtId="165" fontId="7" fillId="0" borderId="23" xfId="1" applyNumberFormat="1" applyFont="1" applyBorder="1" applyAlignment="1">
      <alignment horizontal="center" vertical="center"/>
    </xf>
    <xf numFmtId="165" fontId="7" fillId="0" borderId="25" xfId="1" applyNumberFormat="1" applyFont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/>
    </xf>
    <xf numFmtId="43" fontId="7" fillId="0" borderId="25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Vírgula" xfId="1" builtinId="3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0</xdr:row>
      <xdr:rowOff>28575</xdr:rowOff>
    </xdr:from>
    <xdr:to>
      <xdr:col>11</xdr:col>
      <xdr:colOff>0</xdr:colOff>
      <xdr:row>4</xdr:row>
      <xdr:rowOff>95943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285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66675</xdr:rowOff>
    </xdr:from>
    <xdr:to>
      <xdr:col>8</xdr:col>
      <xdr:colOff>381000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254661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12009</xdr:colOff>
      <xdr:row>4</xdr:row>
      <xdr:rowOff>124518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DD187CC-AC81-4971-9432-6DEBDD1CE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4210" y="66675"/>
          <a:ext cx="960699" cy="728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131445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281940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7620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398145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9</xdr:col>
      <xdr:colOff>914288</xdr:colOff>
      <xdr:row>4</xdr:row>
      <xdr:rowOff>124518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5485BA1-2A01-400C-BC32-608A868E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66675"/>
          <a:ext cx="963818" cy="728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398145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401955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7620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11430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11430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135255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36195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590550</xdr:colOff>
      <xdr:row>0</xdr:row>
      <xdr:rowOff>66675</xdr:rowOff>
    </xdr:from>
    <xdr:to>
      <xdr:col>10</xdr:col>
      <xdr:colOff>36195</xdr:colOff>
      <xdr:row>4</xdr:row>
      <xdr:rowOff>130233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125730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11430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postas%20Fechadas/COTA%2008.2021/S&#227;o%20Francisco/03.%20Custo/03.0%20Custo%20-%20Or&#231;amento%20Param&#233;trico/MTH_COTA-SFC_Gerenciamento%20executivo%20-%20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Movimentação de Terra"/>
      <sheetName val="Conteções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Teto"/>
      <sheetName val="Acabamentos de Piso e Parede"/>
      <sheetName val="Pintura Interna"/>
      <sheetName val="Esquadrias"/>
      <sheetName val="Rev. Fachada"/>
      <sheetName val="Complementares"/>
    </sheetNames>
    <sheetDataSet>
      <sheetData sheetId="0">
        <row r="14">
          <cell r="E14">
            <v>14108.49</v>
          </cell>
        </row>
        <row r="15">
          <cell r="E15">
            <v>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M29"/>
  <sheetViews>
    <sheetView showGridLines="0" topLeftCell="A11" zoomScale="115" zoomScaleNormal="115" zoomScaleSheetLayoutView="95" workbookViewId="0">
      <selection activeCell="E24" sqref="E24:G24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14" style="12" customWidth="1"/>
    <col min="4" max="4" width="12.6640625" style="12" customWidth="1"/>
    <col min="5" max="5" width="8.33203125" style="12" customWidth="1"/>
    <col min="6" max="6" width="9.33203125" style="12" customWidth="1"/>
    <col min="7" max="7" width="7.33203125" style="12" bestFit="1" customWidth="1"/>
    <col min="8" max="8" width="13.5546875" style="12" customWidth="1"/>
    <col min="9" max="9" width="12" style="12" customWidth="1"/>
    <col min="10" max="10" width="7.33203125" style="12" bestFit="1" customWidth="1"/>
    <col min="11" max="11" width="9" style="12" bestFit="1" customWidth="1"/>
    <col min="12" max="16384" width="9.109375" style="12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3"/>
    </row>
    <row r="2" spans="1:13" x14ac:dyDescent="0.3">
      <c r="A2" s="152" t="s">
        <v>46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3"/>
      <c r="E5" s="3"/>
      <c r="F5" s="3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5"/>
      <c r="E6" s="5"/>
      <c r="F6" s="5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/>
      <c r="C9" s="157"/>
      <c r="D9" s="157"/>
      <c r="E9" s="157"/>
      <c r="F9" s="157"/>
      <c r="G9" s="157"/>
      <c r="H9" s="157"/>
      <c r="I9" s="157"/>
      <c r="J9" s="157"/>
      <c r="K9" s="158"/>
      <c r="M9" s="13"/>
    </row>
    <row r="10" spans="1:13" x14ac:dyDescent="0.3">
      <c r="A10" s="8" t="s">
        <v>3</v>
      </c>
      <c r="B10" s="159">
        <v>44294</v>
      </c>
      <c r="C10" s="160"/>
      <c r="D10" s="161"/>
      <c r="E10" s="10" t="s">
        <v>4</v>
      </c>
      <c r="F10" s="9" t="s">
        <v>5</v>
      </c>
      <c r="G10" s="7" t="s">
        <v>6</v>
      </c>
      <c r="H10" s="9" t="s">
        <v>11</v>
      </c>
      <c r="I10" s="7" t="s">
        <v>7</v>
      </c>
      <c r="J10" s="162" t="s">
        <v>8</v>
      </c>
      <c r="K10" s="163"/>
      <c r="M10" s="13"/>
    </row>
    <row r="12" spans="1:13" ht="17.100000000000001" customHeight="1" x14ac:dyDescent="0.3">
      <c r="A12" s="164" t="s">
        <v>35</v>
      </c>
      <c r="B12" s="165"/>
      <c r="C12" s="166"/>
      <c r="D12" s="18" t="s">
        <v>36</v>
      </c>
      <c r="E12" s="164" t="s">
        <v>37</v>
      </c>
      <c r="F12" s="165"/>
      <c r="G12" s="165"/>
      <c r="H12" s="166"/>
    </row>
    <row r="13" spans="1:13" ht="17.100000000000001" customHeight="1" x14ac:dyDescent="0.3">
      <c r="A13" s="167" t="s">
        <v>13</v>
      </c>
      <c r="B13" s="168"/>
      <c r="C13" s="169"/>
      <c r="D13" s="14" t="s">
        <v>26</v>
      </c>
      <c r="E13" s="170">
        <v>581.35</v>
      </c>
      <c r="F13" s="171"/>
      <c r="G13" s="171"/>
      <c r="H13" s="15" t="s">
        <v>18</v>
      </c>
    </row>
    <row r="14" spans="1:13" ht="17.100000000000001" customHeight="1" x14ac:dyDescent="0.3">
      <c r="A14" s="147" t="s">
        <v>194</v>
      </c>
      <c r="B14" s="148"/>
      <c r="C14" s="149"/>
      <c r="D14" s="16" t="s">
        <v>195</v>
      </c>
      <c r="E14" s="150">
        <v>33.590000000000003</v>
      </c>
      <c r="F14" s="151"/>
      <c r="G14" s="151"/>
      <c r="H14" s="17" t="s">
        <v>20</v>
      </c>
    </row>
    <row r="15" spans="1:13" ht="17.100000000000001" customHeight="1" x14ac:dyDescent="0.3">
      <c r="A15" s="147" t="s">
        <v>17</v>
      </c>
      <c r="B15" s="148"/>
      <c r="C15" s="149"/>
      <c r="D15" s="16" t="s">
        <v>27</v>
      </c>
      <c r="E15" s="150">
        <v>6964.97</v>
      </c>
      <c r="F15" s="151"/>
      <c r="G15" s="151"/>
      <c r="H15" s="17" t="s">
        <v>18</v>
      </c>
    </row>
    <row r="16" spans="1:13" ht="17.100000000000001" customHeight="1" x14ac:dyDescent="0.3">
      <c r="A16" s="147" t="s">
        <v>12</v>
      </c>
      <c r="B16" s="148"/>
      <c r="C16" s="149"/>
      <c r="D16" s="16" t="s">
        <v>28</v>
      </c>
      <c r="E16" s="150">
        <v>29</v>
      </c>
      <c r="F16" s="151"/>
      <c r="G16" s="151"/>
      <c r="H16" s="17" t="s">
        <v>19</v>
      </c>
    </row>
    <row r="17" spans="1:9" ht="17.100000000000001" customHeight="1" x14ac:dyDescent="0.3">
      <c r="A17" s="147" t="s">
        <v>14</v>
      </c>
      <c r="B17" s="148"/>
      <c r="C17" s="149"/>
      <c r="D17" s="16" t="s">
        <v>29</v>
      </c>
      <c r="E17" s="150">
        <v>19</v>
      </c>
      <c r="F17" s="151"/>
      <c r="G17" s="151"/>
      <c r="H17" s="17" t="s">
        <v>19</v>
      </c>
    </row>
    <row r="18" spans="1:9" ht="17.100000000000001" customHeight="1" x14ac:dyDescent="0.3">
      <c r="A18" s="147" t="s">
        <v>203</v>
      </c>
      <c r="B18" s="148"/>
      <c r="C18" s="149"/>
      <c r="D18" s="16" t="s">
        <v>197</v>
      </c>
      <c r="E18" s="150">
        <v>0</v>
      </c>
      <c r="F18" s="151"/>
      <c r="G18" s="151"/>
      <c r="H18" s="17" t="s">
        <v>19</v>
      </c>
    </row>
    <row r="19" spans="1:9" ht="17.100000000000001" customHeight="1" x14ac:dyDescent="0.3">
      <c r="A19" s="147" t="s">
        <v>196</v>
      </c>
      <c r="B19" s="148"/>
      <c r="C19" s="149"/>
      <c r="D19" s="16" t="s">
        <v>204</v>
      </c>
      <c r="E19" s="150">
        <v>2</v>
      </c>
      <c r="F19" s="151"/>
      <c r="G19" s="151"/>
      <c r="H19" s="17" t="s">
        <v>19</v>
      </c>
    </row>
    <row r="20" spans="1:9" ht="17.100000000000001" customHeight="1" x14ac:dyDescent="0.3">
      <c r="A20" s="147" t="s">
        <v>15</v>
      </c>
      <c r="B20" s="148"/>
      <c r="C20" s="149"/>
      <c r="D20" s="16" t="s">
        <v>30</v>
      </c>
      <c r="E20" s="150">
        <v>188.51</v>
      </c>
      <c r="F20" s="151"/>
      <c r="G20" s="151"/>
      <c r="H20" s="17" t="s">
        <v>18</v>
      </c>
      <c r="I20" s="91"/>
    </row>
    <row r="21" spans="1:9" ht="17.100000000000001" customHeight="1" x14ac:dyDescent="0.3">
      <c r="A21" s="147" t="s">
        <v>16</v>
      </c>
      <c r="B21" s="148"/>
      <c r="C21" s="149"/>
      <c r="D21" s="16" t="s">
        <v>31</v>
      </c>
      <c r="E21" s="150">
        <v>64.23</v>
      </c>
      <c r="F21" s="151"/>
      <c r="G21" s="151"/>
      <c r="H21" s="17" t="s">
        <v>20</v>
      </c>
    </row>
    <row r="22" spans="1:9" ht="17.100000000000001" customHeight="1" x14ac:dyDescent="0.3">
      <c r="A22" s="147" t="s">
        <v>169</v>
      </c>
      <c r="B22" s="148"/>
      <c r="C22" s="149"/>
      <c r="D22" s="16" t="s">
        <v>170</v>
      </c>
      <c r="E22" s="150">
        <v>146.88999999999999</v>
      </c>
      <c r="F22" s="151"/>
      <c r="G22" s="151"/>
      <c r="H22" s="17" t="s">
        <v>18</v>
      </c>
    </row>
    <row r="23" spans="1:9" ht="17.100000000000001" customHeight="1" x14ac:dyDescent="0.3">
      <c r="A23" s="147" t="s">
        <v>23</v>
      </c>
      <c r="B23" s="148"/>
      <c r="C23" s="149"/>
      <c r="D23" s="16" t="s">
        <v>32</v>
      </c>
      <c r="E23" s="150">
        <v>106.87</v>
      </c>
      <c r="F23" s="151"/>
      <c r="G23" s="151"/>
      <c r="H23" s="17" t="s">
        <v>20</v>
      </c>
    </row>
    <row r="24" spans="1:9" ht="17.100000000000001" customHeight="1" x14ac:dyDescent="0.3">
      <c r="A24" s="147" t="s">
        <v>167</v>
      </c>
      <c r="B24" s="148"/>
      <c r="C24" s="149"/>
      <c r="D24" s="16" t="s">
        <v>168</v>
      </c>
      <c r="E24" s="150">
        <f>432.16+485.68+485.68+485.68+310.37+485.94</f>
        <v>2685.51</v>
      </c>
      <c r="F24" s="151"/>
      <c r="G24" s="151"/>
      <c r="H24" s="17" t="s">
        <v>18</v>
      </c>
    </row>
    <row r="25" spans="1:9" ht="17.100000000000001" customHeight="1" x14ac:dyDescent="0.3">
      <c r="A25" s="147" t="s">
        <v>21</v>
      </c>
      <c r="B25" s="148"/>
      <c r="C25" s="149"/>
      <c r="D25" s="16" t="s">
        <v>33</v>
      </c>
      <c r="E25" s="150">
        <v>0</v>
      </c>
      <c r="F25" s="151"/>
      <c r="G25" s="151"/>
      <c r="H25" s="17" t="s">
        <v>18</v>
      </c>
    </row>
    <row r="26" spans="1:9" ht="17.100000000000001" customHeight="1" x14ac:dyDescent="0.3">
      <c r="A26" s="147" t="s">
        <v>22</v>
      </c>
      <c r="B26" s="148"/>
      <c r="C26" s="149"/>
      <c r="D26" s="16" t="s">
        <v>34</v>
      </c>
      <c r="E26" s="150">
        <v>0</v>
      </c>
      <c r="F26" s="151"/>
      <c r="G26" s="151"/>
      <c r="H26" s="17" t="s">
        <v>19</v>
      </c>
    </row>
    <row r="27" spans="1:9" ht="17.100000000000001" customHeight="1" x14ac:dyDescent="0.3">
      <c r="A27" s="147" t="s">
        <v>186</v>
      </c>
      <c r="B27" s="148"/>
      <c r="C27" s="149"/>
      <c r="D27" s="16" t="s">
        <v>189</v>
      </c>
      <c r="E27" s="150">
        <v>432.11</v>
      </c>
      <c r="F27" s="151"/>
      <c r="G27" s="151"/>
      <c r="H27" s="17" t="s">
        <v>18</v>
      </c>
    </row>
    <row r="28" spans="1:9" ht="17.100000000000001" customHeight="1" x14ac:dyDescent="0.3">
      <c r="A28" s="147" t="s">
        <v>185</v>
      </c>
      <c r="B28" s="148"/>
      <c r="C28" s="149"/>
      <c r="D28" s="16" t="s">
        <v>184</v>
      </c>
      <c r="E28" s="150">
        <v>100.35</v>
      </c>
      <c r="F28" s="151"/>
      <c r="G28" s="151"/>
      <c r="H28" s="17" t="s">
        <v>20</v>
      </c>
    </row>
    <row r="29" spans="1:9" ht="17.100000000000001" customHeight="1" x14ac:dyDescent="0.3">
      <c r="A29" s="147" t="s">
        <v>187</v>
      </c>
      <c r="B29" s="148"/>
      <c r="C29" s="149"/>
      <c r="D29" s="16" t="s">
        <v>188</v>
      </c>
      <c r="E29" s="150">
        <v>6</v>
      </c>
      <c r="F29" s="151"/>
      <c r="G29" s="151"/>
      <c r="H29" s="17" t="s">
        <v>19</v>
      </c>
    </row>
  </sheetData>
  <mergeCells count="42">
    <mergeCell ref="A15:C15"/>
    <mergeCell ref="E17:G17"/>
    <mergeCell ref="E16:G16"/>
    <mergeCell ref="E15:G15"/>
    <mergeCell ref="A16:C16"/>
    <mergeCell ref="A17:C17"/>
    <mergeCell ref="E26:G26"/>
    <mergeCell ref="A26:C26"/>
    <mergeCell ref="A27:C27"/>
    <mergeCell ref="A29:C29"/>
    <mergeCell ref="E29:G29"/>
    <mergeCell ref="E27:G27"/>
    <mergeCell ref="A28:C28"/>
    <mergeCell ref="E28:G28"/>
    <mergeCell ref="E12:H12"/>
    <mergeCell ref="A14:C14"/>
    <mergeCell ref="A13:C13"/>
    <mergeCell ref="A12:C12"/>
    <mergeCell ref="E13:G13"/>
    <mergeCell ref="E14:G14"/>
    <mergeCell ref="A2:K4"/>
    <mergeCell ref="B7:K7"/>
    <mergeCell ref="B8:K8"/>
    <mergeCell ref="B9:K9"/>
    <mergeCell ref="B10:D10"/>
    <mergeCell ref="J10:K10"/>
    <mergeCell ref="A19:C19"/>
    <mergeCell ref="E19:G19"/>
    <mergeCell ref="A18:C18"/>
    <mergeCell ref="E18:G18"/>
    <mergeCell ref="A25:C25"/>
    <mergeCell ref="E25:G25"/>
    <mergeCell ref="A24:C24"/>
    <mergeCell ref="A22:C22"/>
    <mergeCell ref="E22:G22"/>
    <mergeCell ref="E24:G24"/>
    <mergeCell ref="A20:C20"/>
    <mergeCell ref="A21:C21"/>
    <mergeCell ref="A23:C23"/>
    <mergeCell ref="E23:G23"/>
    <mergeCell ref="E21:G21"/>
    <mergeCell ref="E20:G20"/>
  </mergeCells>
  <dataValidations disablePrompts="1" count="1">
    <dataValidation type="list" allowBlank="1" showInputMessage="1" showErrorMessage="1" sqref="J10" xr:uid="{00000000-0002-0000-00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642"/>
  </sheetPr>
  <dimension ref="A1:K295"/>
  <sheetViews>
    <sheetView showGridLines="0" zoomScaleNormal="100" zoomScaleSheetLayoutView="95" workbookViewId="0">
      <selection activeCell="D18" sqref="D18:H18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0.6640625" style="19" customWidth="1"/>
    <col min="5" max="5" width="13.33203125" style="12" customWidth="1"/>
    <col min="6" max="6" width="12.88671875" style="12" customWidth="1"/>
    <col min="7" max="7" width="9.33203125" style="12" customWidth="1"/>
    <col min="8" max="8" width="7.33203125" style="12" bestFit="1" customWidth="1"/>
    <col min="9" max="9" width="6.44140625" style="12" customWidth="1"/>
    <col min="10" max="16384" width="9.109375" style="12"/>
  </cols>
  <sheetData>
    <row r="1" spans="1:11" x14ac:dyDescent="0.3">
      <c r="A1" s="1"/>
      <c r="B1" s="1"/>
      <c r="C1" s="1"/>
      <c r="D1" s="20"/>
      <c r="E1" s="1"/>
      <c r="F1" s="1"/>
      <c r="G1" s="1"/>
      <c r="H1" s="1"/>
      <c r="I1" s="1"/>
      <c r="K1" s="13"/>
    </row>
    <row r="2" spans="1:11" x14ac:dyDescent="0.3">
      <c r="A2" s="152" t="s">
        <v>47</v>
      </c>
      <c r="B2" s="152"/>
      <c r="C2" s="152"/>
      <c r="D2" s="152"/>
      <c r="E2" s="152"/>
      <c r="F2" s="152"/>
      <c r="G2" s="152"/>
      <c r="H2" s="152"/>
      <c r="I2" s="152"/>
      <c r="K2" s="13"/>
    </row>
    <row r="3" spans="1:11" x14ac:dyDescent="0.3">
      <c r="A3" s="152"/>
      <c r="B3" s="152"/>
      <c r="C3" s="152"/>
      <c r="D3" s="152"/>
      <c r="E3" s="152"/>
      <c r="F3" s="152"/>
      <c r="G3" s="152"/>
      <c r="H3" s="152"/>
      <c r="I3" s="152"/>
      <c r="K3" s="13"/>
    </row>
    <row r="4" spans="1:11" x14ac:dyDescent="0.3">
      <c r="A4" s="152"/>
      <c r="B4" s="152"/>
      <c r="C4" s="152"/>
      <c r="D4" s="152"/>
      <c r="E4" s="152"/>
      <c r="F4" s="152"/>
      <c r="G4" s="152"/>
      <c r="H4" s="152"/>
      <c r="I4" s="152"/>
      <c r="K4" s="13"/>
    </row>
    <row r="5" spans="1:11" ht="13.8" thickBot="1" x14ac:dyDescent="0.35">
      <c r="A5" s="2"/>
      <c r="B5" s="2"/>
      <c r="C5" s="2"/>
      <c r="D5" s="21"/>
      <c r="E5" s="3"/>
      <c r="F5" s="3"/>
      <c r="G5" s="3"/>
      <c r="H5" s="3"/>
      <c r="I5" s="3"/>
      <c r="K5" s="13"/>
    </row>
    <row r="6" spans="1:11" x14ac:dyDescent="0.3">
      <c r="A6" s="4"/>
      <c r="B6" s="4"/>
      <c r="C6" s="4"/>
      <c r="D6" s="22"/>
      <c r="E6" s="5"/>
      <c r="F6" s="5"/>
      <c r="G6" s="5"/>
      <c r="H6" s="5"/>
      <c r="I6" s="5"/>
      <c r="K6" s="13"/>
    </row>
    <row r="7" spans="1:11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K7" s="13"/>
    </row>
    <row r="8" spans="1:11" x14ac:dyDescent="0.3">
      <c r="A8" s="6" t="s">
        <v>1</v>
      </c>
      <c r="B8" s="155" t="s">
        <v>173</v>
      </c>
      <c r="C8" s="155"/>
      <c r="D8" s="155"/>
      <c r="E8" s="155"/>
      <c r="F8" s="155"/>
      <c r="G8" s="155"/>
      <c r="H8" s="155"/>
      <c r="I8" s="155"/>
      <c r="K8" s="13"/>
    </row>
    <row r="9" spans="1:11" ht="15" customHeight="1" x14ac:dyDescent="0.3">
      <c r="A9" s="6" t="s">
        <v>2</v>
      </c>
      <c r="B9" s="156" t="s">
        <v>193</v>
      </c>
      <c r="C9" s="157"/>
      <c r="D9" s="158"/>
      <c r="E9" s="10" t="s">
        <v>10</v>
      </c>
      <c r="F9" s="51" t="s">
        <v>9</v>
      </c>
      <c r="G9" s="7" t="s">
        <v>6</v>
      </c>
      <c r="H9" s="155" t="s">
        <v>44</v>
      </c>
      <c r="I9" s="155"/>
    </row>
    <row r="10" spans="1:11" x14ac:dyDescent="0.3">
      <c r="A10" s="8" t="s">
        <v>3</v>
      </c>
      <c r="B10" s="159">
        <v>44294</v>
      </c>
      <c r="C10" s="160"/>
      <c r="D10" s="161"/>
      <c r="E10" s="10" t="s">
        <v>4</v>
      </c>
      <c r="F10" s="9" t="s">
        <v>5</v>
      </c>
      <c r="G10" s="7" t="s">
        <v>41</v>
      </c>
      <c r="H10" s="162" t="s">
        <v>8</v>
      </c>
      <c r="I10" s="163"/>
    </row>
    <row r="12" spans="1:11" ht="14.1" customHeight="1" x14ac:dyDescent="0.3">
      <c r="A12" s="23" t="s">
        <v>159</v>
      </c>
      <c r="B12" s="24"/>
      <c r="C12" s="24"/>
      <c r="D12" s="25"/>
      <c r="E12" s="24"/>
      <c r="F12" s="24"/>
      <c r="G12" s="24"/>
      <c r="H12" s="24"/>
      <c r="I12" s="26"/>
    </row>
    <row r="13" spans="1:11" ht="14.1" customHeight="1" x14ac:dyDescent="0.3">
      <c r="A13" s="27"/>
      <c r="B13" s="28"/>
      <c r="C13" s="28"/>
      <c r="D13" s="29"/>
      <c r="E13" s="28"/>
      <c r="F13" s="28"/>
      <c r="G13" s="30"/>
      <c r="H13" s="30"/>
      <c r="I13" s="31"/>
    </row>
    <row r="14" spans="1:11" ht="15.9" customHeight="1" x14ac:dyDescent="0.3">
      <c r="A14" s="189" t="s">
        <v>35</v>
      </c>
      <c r="B14" s="190"/>
      <c r="C14" s="191"/>
      <c r="D14" s="192" t="s">
        <v>39</v>
      </c>
      <c r="E14" s="193"/>
      <c r="F14" s="193"/>
      <c r="G14" s="193"/>
      <c r="H14" s="194"/>
      <c r="I14" s="31"/>
    </row>
    <row r="15" spans="1:11" s="38" customFormat="1" ht="15.9" customHeight="1" x14ac:dyDescent="0.3">
      <c r="A15" s="174" t="str">
        <f>+'Movimentação de Terra'!A19</f>
        <v>REBAIXAMENTO DE LENÇOL</v>
      </c>
      <c r="B15" s="175"/>
      <c r="C15" s="176"/>
      <c r="D15" s="177">
        <f>+'Movimentação de Terra'!I23</f>
        <v>23254</v>
      </c>
      <c r="E15" s="178"/>
      <c r="F15" s="178"/>
      <c r="G15" s="178"/>
      <c r="H15" s="179"/>
      <c r="I15" s="11"/>
    </row>
    <row r="16" spans="1:11" ht="15.9" customHeight="1" x14ac:dyDescent="0.3">
      <c r="A16" s="174" t="str">
        <f>+'Movimentação de Terra'!A26</f>
        <v>ESCAVAÇÃO E REATERRO DE VALAS</v>
      </c>
      <c r="B16" s="175"/>
      <c r="C16" s="176"/>
      <c r="D16" s="177">
        <f>+'Movimentação de Terra'!I32</f>
        <v>64148.026464362905</v>
      </c>
      <c r="E16" s="178"/>
      <c r="F16" s="178"/>
      <c r="G16" s="178"/>
      <c r="H16" s="179"/>
      <c r="I16" s="39"/>
    </row>
    <row r="17" spans="1:9" ht="32.25" customHeight="1" x14ac:dyDescent="0.3">
      <c r="A17" s="174" t="str">
        <f>+'Movimentação de Terra'!A35</f>
        <v>REGULARIZAÇÃO E APILOAmENTO DE FUNDO DE VALAS</v>
      </c>
      <c r="B17" s="175"/>
      <c r="C17" s="176"/>
      <c r="D17" s="180">
        <f>+'Movimentação de Terra'!I39</f>
        <v>2093</v>
      </c>
      <c r="E17" s="181"/>
      <c r="F17" s="181"/>
      <c r="G17" s="181"/>
      <c r="H17" s="182"/>
      <c r="I17" s="39"/>
    </row>
    <row r="18" spans="1:9" ht="15.9" customHeight="1" x14ac:dyDescent="0.3">
      <c r="A18" s="183" t="s">
        <v>43</v>
      </c>
      <c r="B18" s="184"/>
      <c r="C18" s="185"/>
      <c r="D18" s="186">
        <f>SUM(D15:H17)</f>
        <v>89495.026464362905</v>
      </c>
      <c r="E18" s="187"/>
      <c r="F18" s="187"/>
      <c r="G18" s="187"/>
      <c r="H18" s="188"/>
      <c r="I18" s="39"/>
    </row>
    <row r="19" spans="1:9" ht="15" customHeight="1" x14ac:dyDescent="0.3">
      <c r="A19" s="172"/>
      <c r="B19" s="173"/>
      <c r="C19" s="173"/>
      <c r="D19" s="173"/>
      <c r="E19" s="173"/>
      <c r="F19" s="173"/>
      <c r="G19" s="41"/>
      <c r="H19" s="41"/>
      <c r="I19" s="43"/>
    </row>
    <row r="20" spans="1:9" x14ac:dyDescent="0.3">
      <c r="A20" s="30"/>
      <c r="B20" s="30"/>
      <c r="C20" s="30"/>
      <c r="D20" s="44"/>
      <c r="E20" s="30"/>
      <c r="F20" s="30"/>
      <c r="G20" s="30"/>
      <c r="H20" s="30"/>
      <c r="I20" s="30"/>
    </row>
    <row r="22" spans="1:9" x14ac:dyDescent="0.3">
      <c r="A22" s="23" t="s">
        <v>160</v>
      </c>
      <c r="B22" s="24"/>
      <c r="C22" s="24"/>
      <c r="D22" s="45"/>
      <c r="E22" s="24"/>
      <c r="F22" s="24"/>
      <c r="G22" s="24"/>
      <c r="H22" s="24"/>
      <c r="I22" s="26"/>
    </row>
    <row r="23" spans="1:9" x14ac:dyDescent="0.3">
      <c r="A23" s="46"/>
      <c r="B23" s="30"/>
      <c r="C23" s="30"/>
      <c r="D23" s="44"/>
      <c r="E23" s="30"/>
      <c r="F23" s="30"/>
      <c r="G23" s="30"/>
      <c r="H23" s="30"/>
      <c r="I23" s="31"/>
    </row>
    <row r="24" spans="1:9" x14ac:dyDescent="0.3">
      <c r="A24" s="189" t="s">
        <v>35</v>
      </c>
      <c r="B24" s="190"/>
      <c r="C24" s="190"/>
      <c r="D24" s="192" t="s">
        <v>39</v>
      </c>
      <c r="E24" s="193"/>
      <c r="F24" s="193"/>
      <c r="G24" s="193"/>
      <c r="H24" s="194"/>
      <c r="I24" s="31"/>
    </row>
    <row r="25" spans="1:9" ht="15.9" customHeight="1" x14ac:dyDescent="0.3">
      <c r="A25" s="200" t="str">
        <f>+Infraestrutura!A12</f>
        <v>FUNDAÇÃO PROFUNDA</v>
      </c>
      <c r="B25" s="201"/>
      <c r="C25" s="201"/>
      <c r="D25" s="196">
        <f>+Infraestrutura!I24</f>
        <v>1059697</v>
      </c>
      <c r="E25" s="197"/>
      <c r="F25" s="197"/>
      <c r="G25" s="197"/>
      <c r="H25" s="198"/>
      <c r="I25" s="31"/>
    </row>
    <row r="26" spans="1:9" ht="15.9" customHeight="1" x14ac:dyDescent="0.3">
      <c r="A26" s="199" t="str">
        <f>+Infraestrutura!A27</f>
        <v>FUNDAÇÃO RASA</v>
      </c>
      <c r="B26" s="199"/>
      <c r="C26" s="199"/>
      <c r="D26" s="177">
        <f>+Infraestrutura!I34</f>
        <v>603816.27075000003</v>
      </c>
      <c r="E26" s="178"/>
      <c r="F26" s="178"/>
      <c r="G26" s="178"/>
      <c r="H26" s="179"/>
      <c r="I26" s="31"/>
    </row>
    <row r="27" spans="1:9" ht="15.9" customHeight="1" x14ac:dyDescent="0.3">
      <c r="A27" s="199" t="s">
        <v>211</v>
      </c>
      <c r="B27" s="199"/>
      <c r="C27" s="199"/>
      <c r="D27" s="177" t="e">
        <f>Infraestrutura!#REF!</f>
        <v>#REF!</v>
      </c>
      <c r="E27" s="178"/>
      <c r="F27" s="178"/>
      <c r="G27" s="178"/>
      <c r="H27" s="179"/>
      <c r="I27" s="31"/>
    </row>
    <row r="28" spans="1:9" ht="15.9" customHeight="1" x14ac:dyDescent="0.3">
      <c r="A28" s="183" t="s">
        <v>43</v>
      </c>
      <c r="B28" s="184"/>
      <c r="C28" s="185"/>
      <c r="D28" s="186" t="e">
        <f>SUM(D25:H27)</f>
        <v>#REF!</v>
      </c>
      <c r="E28" s="187"/>
      <c r="F28" s="187"/>
      <c r="G28" s="187"/>
      <c r="H28" s="188"/>
      <c r="I28" s="31"/>
    </row>
    <row r="29" spans="1:9" x14ac:dyDescent="0.3">
      <c r="A29" s="47"/>
      <c r="B29" s="41"/>
      <c r="C29" s="41"/>
      <c r="D29" s="48"/>
      <c r="E29" s="41"/>
      <c r="F29" s="41"/>
      <c r="G29" s="41"/>
      <c r="H29" s="41"/>
      <c r="I29" s="43"/>
    </row>
    <row r="31" spans="1:9" x14ac:dyDescent="0.3">
      <c r="A31" s="23" t="s">
        <v>76</v>
      </c>
      <c r="B31" s="24"/>
      <c r="C31" s="24"/>
      <c r="D31" s="45"/>
      <c r="E31" s="24"/>
      <c r="F31" s="24"/>
      <c r="G31" s="24"/>
      <c r="H31" s="24"/>
      <c r="I31" s="26"/>
    </row>
    <row r="32" spans="1:9" x14ac:dyDescent="0.3">
      <c r="A32" s="46"/>
      <c r="B32" s="30"/>
      <c r="C32" s="30"/>
      <c r="D32" s="44"/>
      <c r="E32" s="30"/>
      <c r="F32" s="30"/>
      <c r="G32" s="30"/>
      <c r="H32" s="30"/>
      <c r="I32" s="31"/>
    </row>
    <row r="33" spans="1:9" x14ac:dyDescent="0.3">
      <c r="A33" s="189" t="s">
        <v>35</v>
      </c>
      <c r="B33" s="190"/>
      <c r="C33" s="190"/>
      <c r="D33" s="192" t="s">
        <v>39</v>
      </c>
      <c r="E33" s="193"/>
      <c r="F33" s="193"/>
      <c r="G33" s="193"/>
      <c r="H33" s="194"/>
      <c r="I33" s="31"/>
    </row>
    <row r="34" spans="1:9" ht="15.9" customHeight="1" x14ac:dyDescent="0.3">
      <c r="A34" s="195" t="str">
        <f>+Supraestrutura!A12</f>
        <v>SUPRAESTRUTURA</v>
      </c>
      <c r="B34" s="195"/>
      <c r="C34" s="195"/>
      <c r="D34" s="196">
        <f>+Supraestrutura!I23</f>
        <v>4497095.1625000006</v>
      </c>
      <c r="E34" s="197"/>
      <c r="F34" s="197"/>
      <c r="G34" s="197"/>
      <c r="H34" s="198"/>
      <c r="I34" s="31"/>
    </row>
    <row r="35" spans="1:9" ht="15.9" customHeight="1" x14ac:dyDescent="0.3">
      <c r="A35" s="183" t="s">
        <v>43</v>
      </c>
      <c r="B35" s="184"/>
      <c r="C35" s="185"/>
      <c r="D35" s="186">
        <f>SUM(D34:H34)</f>
        <v>4497095.1625000006</v>
      </c>
      <c r="E35" s="187"/>
      <c r="F35" s="187"/>
      <c r="G35" s="187"/>
      <c r="H35" s="188"/>
      <c r="I35" s="31"/>
    </row>
    <row r="36" spans="1:9" x14ac:dyDescent="0.3">
      <c r="A36" s="47"/>
      <c r="B36" s="41"/>
      <c r="C36" s="41"/>
      <c r="D36" s="48"/>
      <c r="E36" s="41"/>
      <c r="F36" s="41"/>
      <c r="G36" s="41"/>
      <c r="H36" s="41"/>
      <c r="I36" s="43"/>
    </row>
    <row r="38" spans="1:9" x14ac:dyDescent="0.3">
      <c r="A38" s="23" t="s">
        <v>83</v>
      </c>
      <c r="B38" s="24"/>
      <c r="C38" s="24"/>
      <c r="D38" s="45"/>
      <c r="E38" s="24"/>
      <c r="F38" s="24"/>
      <c r="G38" s="24"/>
      <c r="H38" s="24"/>
      <c r="I38" s="26"/>
    </row>
    <row r="39" spans="1:9" x14ac:dyDescent="0.3">
      <c r="A39" s="46"/>
      <c r="B39" s="30"/>
      <c r="C39" s="30"/>
      <c r="D39" s="44"/>
      <c r="E39" s="30"/>
      <c r="F39" s="30"/>
      <c r="G39" s="30"/>
      <c r="H39" s="30"/>
      <c r="I39" s="31"/>
    </row>
    <row r="40" spans="1:9" x14ac:dyDescent="0.3">
      <c r="A40" s="189" t="s">
        <v>35</v>
      </c>
      <c r="B40" s="190"/>
      <c r="C40" s="190"/>
      <c r="D40" s="192" t="s">
        <v>39</v>
      </c>
      <c r="E40" s="193"/>
      <c r="F40" s="193"/>
      <c r="G40" s="193"/>
      <c r="H40" s="194"/>
      <c r="I40" s="31"/>
    </row>
    <row r="41" spans="1:9" ht="15.9" customHeight="1" x14ac:dyDescent="0.3">
      <c r="A41" s="205" t="str">
        <f>+Alvenaria!A12</f>
        <v>ALVENARIA</v>
      </c>
      <c r="B41" s="205"/>
      <c r="C41" s="205"/>
      <c r="D41" s="177">
        <f>+Alvenaria!I23</f>
        <v>1217886.4994999999</v>
      </c>
      <c r="E41" s="178"/>
      <c r="F41" s="178"/>
      <c r="G41" s="178"/>
      <c r="H41" s="179"/>
      <c r="I41" s="31"/>
    </row>
    <row r="42" spans="1:9" ht="15.9" customHeight="1" x14ac:dyDescent="0.3">
      <c r="A42" s="183" t="s">
        <v>43</v>
      </c>
      <c r="B42" s="184"/>
      <c r="C42" s="185"/>
      <c r="D42" s="186">
        <f>SUM(D41)</f>
        <v>1217886.4994999999</v>
      </c>
      <c r="E42" s="187"/>
      <c r="F42" s="187"/>
      <c r="G42" s="187"/>
      <c r="H42" s="188"/>
      <c r="I42" s="31"/>
    </row>
    <row r="43" spans="1:9" ht="15.75" customHeight="1" x14ac:dyDescent="0.3">
      <c r="A43" s="47"/>
      <c r="B43" s="41"/>
      <c r="C43" s="41"/>
      <c r="D43" s="42"/>
      <c r="E43" s="49"/>
      <c r="F43" s="49"/>
      <c r="G43" s="50"/>
      <c r="H43" s="41"/>
      <c r="I43" s="43"/>
    </row>
    <row r="44" spans="1:9" ht="15.75" customHeight="1" x14ac:dyDescent="0.3"/>
    <row r="45" spans="1:9" ht="15.75" customHeight="1" x14ac:dyDescent="0.3">
      <c r="A45" s="23" t="s">
        <v>161</v>
      </c>
      <c r="B45" s="24"/>
      <c r="C45" s="24"/>
      <c r="D45" s="25"/>
      <c r="E45" s="24"/>
      <c r="F45" s="24"/>
      <c r="G45" s="24"/>
      <c r="H45" s="24"/>
      <c r="I45" s="26"/>
    </row>
    <row r="46" spans="1:9" ht="15.75" customHeight="1" x14ac:dyDescent="0.3">
      <c r="A46" s="27"/>
      <c r="B46" s="28"/>
      <c r="C46" s="28"/>
      <c r="D46" s="29"/>
      <c r="E46" s="28"/>
      <c r="F46" s="28"/>
      <c r="G46" s="30"/>
      <c r="H46" s="30"/>
      <c r="I46" s="31"/>
    </row>
    <row r="47" spans="1:9" ht="15.75" customHeight="1" x14ac:dyDescent="0.3">
      <c r="A47" s="189" t="s">
        <v>35</v>
      </c>
      <c r="B47" s="190"/>
      <c r="C47" s="191"/>
      <c r="D47" s="192" t="s">
        <v>39</v>
      </c>
      <c r="E47" s="193"/>
      <c r="F47" s="193"/>
      <c r="G47" s="193"/>
      <c r="H47" s="194"/>
      <c r="I47" s="31"/>
    </row>
    <row r="48" spans="1:9" ht="15.75" customHeight="1" x14ac:dyDescent="0.3">
      <c r="A48" s="202" t="str">
        <f>+Instalações!A12</f>
        <v>INSTALAÇÕES ELÉTRICAS</v>
      </c>
      <c r="B48" s="203"/>
      <c r="C48" s="204"/>
      <c r="D48" s="196">
        <f>+Instalações!I23</f>
        <v>1187527.3850000002</v>
      </c>
      <c r="E48" s="197"/>
      <c r="F48" s="197"/>
      <c r="G48" s="197"/>
      <c r="H48" s="198"/>
      <c r="I48" s="35"/>
    </row>
    <row r="49" spans="1:9" ht="15.75" customHeight="1" x14ac:dyDescent="0.3">
      <c r="A49" s="174" t="str">
        <f>+Instalações!A25</f>
        <v>INSTALAÇÕES HIDRÁULICAS</v>
      </c>
      <c r="B49" s="175"/>
      <c r="C49" s="176"/>
      <c r="D49" s="177">
        <f>+Instalações!I35</f>
        <v>1000270.95</v>
      </c>
      <c r="E49" s="178"/>
      <c r="F49" s="178"/>
      <c r="G49" s="178"/>
      <c r="H49" s="179"/>
      <c r="I49" s="11"/>
    </row>
    <row r="50" spans="1:9" ht="15.75" customHeight="1" x14ac:dyDescent="0.3">
      <c r="A50" s="174" t="str">
        <f>+Instalações!A38</f>
        <v>INSTALAÇÕES PREVENTIVAS E GLP</v>
      </c>
      <c r="B50" s="175"/>
      <c r="C50" s="176"/>
      <c r="D50" s="177">
        <f>+Instalações!I45</f>
        <v>219396.55499999999</v>
      </c>
      <c r="E50" s="178"/>
      <c r="F50" s="178"/>
      <c r="G50" s="178"/>
      <c r="H50" s="179"/>
      <c r="I50" s="39"/>
    </row>
    <row r="51" spans="1:9" ht="27.75" customHeight="1" x14ac:dyDescent="0.3">
      <c r="A51" s="174" t="e">
        <f>+Instalações!#REF!</f>
        <v>#REF!</v>
      </c>
      <c r="B51" s="175"/>
      <c r="C51" s="176"/>
      <c r="D51" s="180" t="e">
        <f>+Instalações!#REF!</f>
        <v>#REF!</v>
      </c>
      <c r="E51" s="181"/>
      <c r="F51" s="181"/>
      <c r="G51" s="181"/>
      <c r="H51" s="182"/>
      <c r="I51" s="39"/>
    </row>
    <row r="52" spans="1:9" ht="15.75" customHeight="1" x14ac:dyDescent="0.3">
      <c r="A52" s="183" t="s">
        <v>43</v>
      </c>
      <c r="B52" s="184"/>
      <c r="C52" s="185"/>
      <c r="D52" s="186" t="e">
        <f>SUM(D48:H51)</f>
        <v>#REF!</v>
      </c>
      <c r="E52" s="187"/>
      <c r="F52" s="187"/>
      <c r="G52" s="187"/>
      <c r="H52" s="188"/>
      <c r="I52" s="39"/>
    </row>
    <row r="53" spans="1:9" ht="15.75" customHeight="1" x14ac:dyDescent="0.3">
      <c r="A53" s="172"/>
      <c r="B53" s="173"/>
      <c r="C53" s="173"/>
      <c r="D53" s="173"/>
      <c r="E53" s="173"/>
      <c r="F53" s="173"/>
      <c r="G53" s="41"/>
      <c r="H53" s="41"/>
      <c r="I53" s="43"/>
    </row>
    <row r="54" spans="1:9" ht="15.75" customHeight="1" x14ac:dyDescent="0.3"/>
    <row r="55" spans="1:9" ht="15.75" customHeight="1" x14ac:dyDescent="0.3">
      <c r="A55" s="23" t="s">
        <v>109</v>
      </c>
      <c r="B55" s="24"/>
      <c r="C55" s="24"/>
      <c r="D55" s="45"/>
      <c r="E55" s="24"/>
      <c r="F55" s="24"/>
      <c r="G55" s="24"/>
      <c r="H55" s="24"/>
      <c r="I55" s="26"/>
    </row>
    <row r="56" spans="1:9" ht="15.75" customHeight="1" x14ac:dyDescent="0.3">
      <c r="A56" s="46"/>
      <c r="B56" s="30"/>
      <c r="C56" s="30"/>
      <c r="D56" s="44"/>
      <c r="E56" s="30"/>
      <c r="F56" s="30"/>
      <c r="G56" s="30"/>
      <c r="H56" s="30"/>
      <c r="I56" s="31"/>
    </row>
    <row r="57" spans="1:9" ht="15.75" customHeight="1" x14ac:dyDescent="0.3">
      <c r="A57" s="189" t="s">
        <v>35</v>
      </c>
      <c r="B57" s="190"/>
      <c r="C57" s="190"/>
      <c r="D57" s="192" t="s">
        <v>39</v>
      </c>
      <c r="E57" s="193"/>
      <c r="F57" s="193"/>
      <c r="G57" s="193"/>
      <c r="H57" s="194"/>
      <c r="I57" s="31"/>
    </row>
    <row r="58" spans="1:9" ht="15.75" customHeight="1" x14ac:dyDescent="0.3">
      <c r="A58" s="205" t="str">
        <f>+Impermeabilização!A12</f>
        <v>IMPERMEABILIZAÇÃO</v>
      </c>
      <c r="B58" s="205"/>
      <c r="C58" s="205"/>
      <c r="D58" s="177">
        <f>+Impermeabilização!I23</f>
        <v>303240.47075000004</v>
      </c>
      <c r="E58" s="178"/>
      <c r="F58" s="178"/>
      <c r="G58" s="178"/>
      <c r="H58" s="179"/>
      <c r="I58" s="31"/>
    </row>
    <row r="59" spans="1:9" ht="15.75" customHeight="1" x14ac:dyDescent="0.3">
      <c r="A59" s="183" t="s">
        <v>43</v>
      </c>
      <c r="B59" s="184"/>
      <c r="C59" s="185"/>
      <c r="D59" s="186">
        <f>SUM(D58)</f>
        <v>303240.47075000004</v>
      </c>
      <c r="E59" s="187"/>
      <c r="F59" s="187"/>
      <c r="G59" s="187"/>
      <c r="H59" s="188"/>
      <c r="I59" s="31"/>
    </row>
    <row r="60" spans="1:9" ht="15.75" customHeight="1" x14ac:dyDescent="0.3">
      <c r="A60" s="47"/>
      <c r="B60" s="41"/>
      <c r="C60" s="41"/>
      <c r="D60" s="42"/>
      <c r="E60" s="49"/>
      <c r="F60" s="49"/>
      <c r="G60" s="50"/>
      <c r="H60" s="41"/>
      <c r="I60" s="43"/>
    </row>
    <row r="61" spans="1:9" ht="15.75" customHeight="1" x14ac:dyDescent="0.3"/>
    <row r="62" spans="1:9" ht="15.75" customHeight="1" x14ac:dyDescent="0.3">
      <c r="A62" s="23" t="s">
        <v>162</v>
      </c>
      <c r="B62" s="24"/>
      <c r="C62" s="24"/>
      <c r="D62" s="45"/>
      <c r="E62" s="24"/>
      <c r="F62" s="24"/>
      <c r="G62" s="24"/>
      <c r="H62" s="24"/>
      <c r="I62" s="26"/>
    </row>
    <row r="63" spans="1:9" ht="15.75" customHeight="1" x14ac:dyDescent="0.3">
      <c r="A63" s="46"/>
      <c r="B63" s="30"/>
      <c r="C63" s="30"/>
      <c r="D63" s="44"/>
      <c r="E63" s="30"/>
      <c r="F63" s="30"/>
      <c r="G63" s="30"/>
      <c r="H63" s="30"/>
      <c r="I63" s="31"/>
    </row>
    <row r="64" spans="1:9" ht="15.75" customHeight="1" x14ac:dyDescent="0.3">
      <c r="A64" s="189" t="s">
        <v>35</v>
      </c>
      <c r="B64" s="190"/>
      <c r="C64" s="190"/>
      <c r="D64" s="192" t="s">
        <v>39</v>
      </c>
      <c r="E64" s="193"/>
      <c r="F64" s="193"/>
      <c r="G64" s="193"/>
      <c r="H64" s="194"/>
      <c r="I64" s="31"/>
    </row>
    <row r="65" spans="1:9" ht="32.25" customHeight="1" x14ac:dyDescent="0.3">
      <c r="A65" s="205" t="str">
        <f>+'Rev. Internos Piso e Parede'!A12</f>
        <v>REVESTIMENTOS INTERNOS EM PISO E PAREDE</v>
      </c>
      <c r="B65" s="205"/>
      <c r="C65" s="205"/>
      <c r="D65" s="177">
        <f>+'Rev. Internos Piso e Parede'!I19</f>
        <v>1100465.26</v>
      </c>
      <c r="E65" s="178"/>
      <c r="F65" s="178"/>
      <c r="G65" s="178"/>
      <c r="H65" s="179"/>
      <c r="I65" s="31"/>
    </row>
    <row r="66" spans="1:9" ht="15.75" customHeight="1" x14ac:dyDescent="0.3">
      <c r="A66" s="183" t="s">
        <v>43</v>
      </c>
      <c r="B66" s="184"/>
      <c r="C66" s="185"/>
      <c r="D66" s="186">
        <f>SUM(D65)</f>
        <v>1100465.26</v>
      </c>
      <c r="E66" s="187"/>
      <c r="F66" s="187"/>
      <c r="G66" s="187"/>
      <c r="H66" s="188"/>
      <c r="I66" s="31"/>
    </row>
    <row r="67" spans="1:9" ht="15.75" customHeight="1" x14ac:dyDescent="0.3">
      <c r="A67" s="47"/>
      <c r="B67" s="41"/>
      <c r="C67" s="41"/>
      <c r="D67" s="42"/>
      <c r="E67" s="49"/>
      <c r="F67" s="49"/>
      <c r="G67" s="50"/>
      <c r="H67" s="41"/>
      <c r="I67" s="43"/>
    </row>
    <row r="68" spans="1:9" ht="15.75" customHeight="1" x14ac:dyDescent="0.3"/>
    <row r="69" spans="1:9" ht="15.75" customHeight="1" x14ac:dyDescent="0.3">
      <c r="A69" s="23" t="s">
        <v>163</v>
      </c>
      <c r="B69" s="24"/>
      <c r="C69" s="24"/>
      <c r="D69" s="45"/>
      <c r="E69" s="24"/>
      <c r="F69" s="24"/>
      <c r="G69" s="24"/>
      <c r="H69" s="24"/>
      <c r="I69" s="26"/>
    </row>
    <row r="70" spans="1:9" ht="15.75" customHeight="1" x14ac:dyDescent="0.3">
      <c r="A70" s="46"/>
      <c r="B70" s="30"/>
      <c r="C70" s="30"/>
      <c r="D70" s="44"/>
      <c r="E70" s="30"/>
      <c r="F70" s="30"/>
      <c r="G70" s="30"/>
      <c r="H70" s="30"/>
      <c r="I70" s="31"/>
    </row>
    <row r="71" spans="1:9" ht="15.75" customHeight="1" x14ac:dyDescent="0.3">
      <c r="A71" s="189" t="s">
        <v>35</v>
      </c>
      <c r="B71" s="190"/>
      <c r="C71" s="190"/>
      <c r="D71" s="192" t="s">
        <v>39</v>
      </c>
      <c r="E71" s="193"/>
      <c r="F71" s="193"/>
      <c r="G71" s="193"/>
      <c r="H71" s="194"/>
      <c r="I71" s="31"/>
    </row>
    <row r="72" spans="1:9" ht="15.75" customHeight="1" x14ac:dyDescent="0.3">
      <c r="A72" s="205" t="str">
        <f>+'Acabamentos de Teto'!A12</f>
        <v>ACABAMENTOS DE TETO</v>
      </c>
      <c r="B72" s="205"/>
      <c r="C72" s="205"/>
      <c r="D72" s="177">
        <f>+'Acabamentos de Teto'!I18</f>
        <v>564162.56999999995</v>
      </c>
      <c r="E72" s="178"/>
      <c r="F72" s="178"/>
      <c r="G72" s="178"/>
      <c r="H72" s="179"/>
      <c r="I72" s="31"/>
    </row>
    <row r="73" spans="1:9" ht="15.75" customHeight="1" x14ac:dyDescent="0.3">
      <c r="A73" s="183" t="s">
        <v>43</v>
      </c>
      <c r="B73" s="184"/>
      <c r="C73" s="185"/>
      <c r="D73" s="186">
        <f>SUM(D72)</f>
        <v>564162.56999999995</v>
      </c>
      <c r="E73" s="187"/>
      <c r="F73" s="187"/>
      <c r="G73" s="187"/>
      <c r="H73" s="188"/>
      <c r="I73" s="31"/>
    </row>
    <row r="74" spans="1:9" ht="15.75" customHeight="1" x14ac:dyDescent="0.3">
      <c r="A74" s="47"/>
      <c r="B74" s="41"/>
      <c r="C74" s="41"/>
      <c r="D74" s="42"/>
      <c r="E74" s="49"/>
      <c r="F74" s="49"/>
      <c r="G74" s="50"/>
      <c r="H74" s="41"/>
      <c r="I74" s="43"/>
    </row>
    <row r="75" spans="1:9" ht="15.75" customHeight="1" x14ac:dyDescent="0.3"/>
    <row r="76" spans="1:9" ht="15.75" customHeight="1" x14ac:dyDescent="0.3">
      <c r="A76" s="23" t="s">
        <v>133</v>
      </c>
      <c r="B76" s="24"/>
      <c r="C76" s="24"/>
      <c r="D76" s="45"/>
      <c r="E76" s="24"/>
      <c r="F76" s="24"/>
      <c r="G76" s="24"/>
      <c r="H76" s="24"/>
      <c r="I76" s="26"/>
    </row>
    <row r="77" spans="1:9" ht="15.75" customHeight="1" x14ac:dyDescent="0.3">
      <c r="A77" s="46"/>
      <c r="B77" s="30"/>
      <c r="C77" s="30"/>
      <c r="D77" s="44"/>
      <c r="E77" s="30"/>
      <c r="F77" s="30"/>
      <c r="G77" s="30"/>
      <c r="H77" s="30"/>
      <c r="I77" s="31"/>
    </row>
    <row r="78" spans="1:9" ht="15.75" customHeight="1" x14ac:dyDescent="0.3">
      <c r="A78" s="189" t="s">
        <v>35</v>
      </c>
      <c r="B78" s="190"/>
      <c r="C78" s="190"/>
      <c r="D78" s="192" t="s">
        <v>39</v>
      </c>
      <c r="E78" s="193"/>
      <c r="F78" s="193"/>
      <c r="G78" s="193"/>
      <c r="H78" s="194"/>
      <c r="I78" s="31"/>
    </row>
    <row r="79" spans="1:9" ht="15.75" customHeight="1" x14ac:dyDescent="0.3">
      <c r="A79" s="205" t="str">
        <f>+'Acabamentos de Piso e Parede'!A12</f>
        <v>ACABAMENTOS EM PISO E PAREDE</v>
      </c>
      <c r="B79" s="205"/>
      <c r="C79" s="205"/>
      <c r="D79" s="177">
        <f>+'Acabamentos de Piso e Parede'!I19</f>
        <v>1290855.0999999999</v>
      </c>
      <c r="E79" s="178"/>
      <c r="F79" s="178"/>
      <c r="G79" s="178"/>
      <c r="H79" s="179"/>
      <c r="I79" s="31"/>
    </row>
    <row r="80" spans="1:9" ht="15.75" customHeight="1" x14ac:dyDescent="0.3">
      <c r="A80" s="183" t="s">
        <v>43</v>
      </c>
      <c r="B80" s="184"/>
      <c r="C80" s="185"/>
      <c r="D80" s="186">
        <f>SUM(D79)</f>
        <v>1290855.0999999999</v>
      </c>
      <c r="E80" s="187"/>
      <c r="F80" s="187"/>
      <c r="G80" s="187"/>
      <c r="H80" s="188"/>
      <c r="I80" s="31"/>
    </row>
    <row r="81" spans="1:9" ht="15.75" customHeight="1" x14ac:dyDescent="0.3">
      <c r="A81" s="47"/>
      <c r="B81" s="41"/>
      <c r="C81" s="41"/>
      <c r="D81" s="42"/>
      <c r="E81" s="49"/>
      <c r="F81" s="49"/>
      <c r="G81" s="50"/>
      <c r="H81" s="41"/>
      <c r="I81" s="43"/>
    </row>
    <row r="82" spans="1:9" ht="15.75" customHeight="1" x14ac:dyDescent="0.3"/>
    <row r="83" spans="1:9" ht="15.75" customHeight="1" x14ac:dyDescent="0.3">
      <c r="A83" s="23" t="s">
        <v>137</v>
      </c>
      <c r="B83" s="24"/>
      <c r="C83" s="24"/>
      <c r="D83" s="45"/>
      <c r="E83" s="24"/>
      <c r="F83" s="24"/>
      <c r="G83" s="24"/>
      <c r="H83" s="24"/>
      <c r="I83" s="26"/>
    </row>
    <row r="84" spans="1:9" ht="15.75" customHeight="1" x14ac:dyDescent="0.3">
      <c r="A84" s="46"/>
      <c r="B84" s="30"/>
      <c r="C84" s="30"/>
      <c r="D84" s="44"/>
      <c r="E84" s="30"/>
      <c r="F84" s="30"/>
      <c r="G84" s="30"/>
      <c r="H84" s="30"/>
      <c r="I84" s="31"/>
    </row>
    <row r="85" spans="1:9" ht="15.75" customHeight="1" x14ac:dyDescent="0.3">
      <c r="A85" s="189" t="s">
        <v>35</v>
      </c>
      <c r="B85" s="190"/>
      <c r="C85" s="190"/>
      <c r="D85" s="192" t="s">
        <v>39</v>
      </c>
      <c r="E85" s="193"/>
      <c r="F85" s="193"/>
      <c r="G85" s="193"/>
      <c r="H85" s="194"/>
      <c r="I85" s="31"/>
    </row>
    <row r="86" spans="1:9" ht="15.75" customHeight="1" x14ac:dyDescent="0.3">
      <c r="A86" s="205" t="str">
        <f>+'Pintura Interna'!A12</f>
        <v>PINTURA INTERNA</v>
      </c>
      <c r="B86" s="205"/>
      <c r="C86" s="205"/>
      <c r="D86" s="177">
        <f>+'Pintura Interna'!I16</f>
        <v>800971.55</v>
      </c>
      <c r="E86" s="178"/>
      <c r="F86" s="178"/>
      <c r="G86" s="178"/>
      <c r="H86" s="179"/>
      <c r="I86" s="31"/>
    </row>
    <row r="87" spans="1:9" ht="15.75" customHeight="1" x14ac:dyDescent="0.3">
      <c r="A87" s="183" t="s">
        <v>43</v>
      </c>
      <c r="B87" s="184"/>
      <c r="C87" s="185"/>
      <c r="D87" s="186">
        <f>SUM(D86)</f>
        <v>800971.55</v>
      </c>
      <c r="E87" s="187"/>
      <c r="F87" s="187"/>
      <c r="G87" s="187"/>
      <c r="H87" s="188"/>
      <c r="I87" s="31"/>
    </row>
    <row r="88" spans="1:9" ht="15.75" customHeight="1" x14ac:dyDescent="0.3">
      <c r="A88" s="47"/>
      <c r="B88" s="41"/>
      <c r="C88" s="41"/>
      <c r="D88" s="42"/>
      <c r="E88" s="49"/>
      <c r="F88" s="49"/>
      <c r="G88" s="50"/>
      <c r="H88" s="41"/>
      <c r="I88" s="43"/>
    </row>
    <row r="89" spans="1:9" ht="15.75" customHeight="1" x14ac:dyDescent="0.3"/>
    <row r="90" spans="1:9" ht="15.75" customHeight="1" x14ac:dyDescent="0.3">
      <c r="A90" s="23" t="s">
        <v>140</v>
      </c>
      <c r="B90" s="24"/>
      <c r="C90" s="24"/>
      <c r="D90" s="45"/>
      <c r="E90" s="24"/>
      <c r="F90" s="24"/>
      <c r="G90" s="24"/>
      <c r="H90" s="24"/>
      <c r="I90" s="26"/>
    </row>
    <row r="91" spans="1:9" ht="15.75" customHeight="1" x14ac:dyDescent="0.3">
      <c r="A91" s="46"/>
      <c r="B91" s="30"/>
      <c r="C91" s="30"/>
      <c r="D91" s="44"/>
      <c r="E91" s="30"/>
      <c r="F91" s="30"/>
      <c r="G91" s="30"/>
      <c r="H91" s="30"/>
      <c r="I91" s="31"/>
    </row>
    <row r="92" spans="1:9" ht="15.75" customHeight="1" x14ac:dyDescent="0.3">
      <c r="A92" s="189" t="s">
        <v>35</v>
      </c>
      <c r="B92" s="190"/>
      <c r="C92" s="190"/>
      <c r="D92" s="192" t="s">
        <v>39</v>
      </c>
      <c r="E92" s="193"/>
      <c r="F92" s="193"/>
      <c r="G92" s="193"/>
      <c r="H92" s="194"/>
      <c r="I92" s="31"/>
    </row>
    <row r="93" spans="1:9" ht="15.75" customHeight="1" x14ac:dyDescent="0.3">
      <c r="A93" s="205" t="str">
        <f>+Esquadrias!A12</f>
        <v>ESQUADRIAS</v>
      </c>
      <c r="B93" s="205"/>
      <c r="C93" s="205"/>
      <c r="D93" s="177">
        <f>+Esquadrias!I24</f>
        <v>2695126.5950000002</v>
      </c>
      <c r="E93" s="178"/>
      <c r="F93" s="178"/>
      <c r="G93" s="178"/>
      <c r="H93" s="179"/>
      <c r="I93" s="31"/>
    </row>
    <row r="94" spans="1:9" ht="15.75" customHeight="1" x14ac:dyDescent="0.3">
      <c r="A94" s="183" t="s">
        <v>43</v>
      </c>
      <c r="B94" s="184"/>
      <c r="C94" s="185"/>
      <c r="D94" s="186">
        <f>SUM(D93)</f>
        <v>2695126.5950000002</v>
      </c>
      <c r="E94" s="187"/>
      <c r="F94" s="187"/>
      <c r="G94" s="187"/>
      <c r="H94" s="188"/>
      <c r="I94" s="31"/>
    </row>
    <row r="95" spans="1:9" ht="15.75" customHeight="1" x14ac:dyDescent="0.3">
      <c r="A95" s="47"/>
      <c r="B95" s="41"/>
      <c r="C95" s="41"/>
      <c r="D95" s="42"/>
      <c r="E95" s="49"/>
      <c r="F95" s="49"/>
      <c r="G95" s="50"/>
      <c r="H95" s="41"/>
      <c r="I95" s="43"/>
    </row>
    <row r="96" spans="1:9" ht="15.75" customHeight="1" x14ac:dyDescent="0.3"/>
    <row r="97" spans="1:9" ht="15.75" customHeight="1" x14ac:dyDescent="0.3">
      <c r="A97" s="23" t="s">
        <v>164</v>
      </c>
      <c r="B97" s="24"/>
      <c r="C97" s="24"/>
      <c r="D97" s="45"/>
      <c r="E97" s="24"/>
      <c r="F97" s="24"/>
      <c r="G97" s="24"/>
      <c r="H97" s="24"/>
      <c r="I97" s="26"/>
    </row>
    <row r="98" spans="1:9" ht="15.75" customHeight="1" x14ac:dyDescent="0.3">
      <c r="A98" s="46"/>
      <c r="B98" s="30"/>
      <c r="C98" s="30"/>
      <c r="D98" s="44"/>
      <c r="E98" s="30"/>
      <c r="F98" s="30"/>
      <c r="G98" s="30"/>
      <c r="H98" s="30"/>
      <c r="I98" s="31"/>
    </row>
    <row r="99" spans="1:9" ht="15.75" customHeight="1" x14ac:dyDescent="0.3">
      <c r="A99" s="189" t="s">
        <v>35</v>
      </c>
      <c r="B99" s="190"/>
      <c r="C99" s="190"/>
      <c r="D99" s="192" t="s">
        <v>39</v>
      </c>
      <c r="E99" s="193"/>
      <c r="F99" s="193"/>
      <c r="G99" s="193"/>
      <c r="H99" s="194"/>
      <c r="I99" s="31"/>
    </row>
    <row r="100" spans="1:9" ht="15.75" customHeight="1" x14ac:dyDescent="0.3">
      <c r="A100" s="201" t="str">
        <f>+'Rev. Fachada'!A12</f>
        <v>REVESTIMENTOS ARGAMASSADOS</v>
      </c>
      <c r="B100" s="201"/>
      <c r="C100" s="201"/>
      <c r="D100" s="177">
        <f>+'Rev. Fachada'!I18</f>
        <v>133418.31950202124</v>
      </c>
      <c r="E100" s="178"/>
      <c r="F100" s="178"/>
      <c r="G100" s="178"/>
      <c r="H100" s="179"/>
      <c r="I100" s="31"/>
    </row>
    <row r="101" spans="1:9" ht="15.75" customHeight="1" x14ac:dyDescent="0.3">
      <c r="A101" s="195" t="str">
        <f>+'Rev. Fachada'!A21</f>
        <v>PINTURA</v>
      </c>
      <c r="B101" s="195"/>
      <c r="C101" s="195"/>
      <c r="D101" s="177">
        <f>+'Rev. Fachada'!I25</f>
        <v>1191009.8699999999</v>
      </c>
      <c r="E101" s="178"/>
      <c r="F101" s="178"/>
      <c r="G101" s="178"/>
      <c r="H101" s="179"/>
      <c r="I101" s="31"/>
    </row>
    <row r="102" spans="1:9" ht="15.75" customHeight="1" x14ac:dyDescent="0.3">
      <c r="A102" s="195" t="str">
        <f>+'Rev. Fachada'!A27</f>
        <v>REVESTIMENTOS ESPECIAIS</v>
      </c>
      <c r="B102" s="195"/>
      <c r="C102" s="195"/>
      <c r="D102" s="177">
        <f>+'Rev. Fachada'!I32</f>
        <v>251892.5</v>
      </c>
      <c r="E102" s="178"/>
      <c r="F102" s="178"/>
      <c r="G102" s="178"/>
      <c r="H102" s="179"/>
      <c r="I102" s="31"/>
    </row>
    <row r="103" spans="1:9" ht="15.75" customHeight="1" x14ac:dyDescent="0.3">
      <c r="A103" s="183" t="s">
        <v>43</v>
      </c>
      <c r="B103" s="184"/>
      <c r="C103" s="185"/>
      <c r="D103" s="186">
        <f>SUM(D100:H102)</f>
        <v>1576320.6895020211</v>
      </c>
      <c r="E103" s="187"/>
      <c r="F103" s="187"/>
      <c r="G103" s="187"/>
      <c r="H103" s="188"/>
      <c r="I103" s="31"/>
    </row>
    <row r="104" spans="1:9" ht="15.75" customHeight="1" x14ac:dyDescent="0.3">
      <c r="A104" s="47"/>
      <c r="B104" s="41"/>
      <c r="C104" s="41"/>
      <c r="D104" s="42"/>
      <c r="E104" s="49"/>
      <c r="F104" s="49"/>
      <c r="G104" s="50"/>
      <c r="H104" s="41"/>
      <c r="I104" s="43"/>
    </row>
    <row r="105" spans="1:9" ht="15.75" customHeight="1" x14ac:dyDescent="0.3"/>
    <row r="106" spans="1:9" ht="15.75" customHeight="1" x14ac:dyDescent="0.3">
      <c r="A106" s="23" t="s">
        <v>165</v>
      </c>
      <c r="B106" s="24"/>
      <c r="C106" s="24"/>
      <c r="D106" s="45"/>
      <c r="E106" s="24"/>
      <c r="F106" s="24"/>
      <c r="G106" s="24"/>
      <c r="H106" s="24"/>
      <c r="I106" s="26"/>
    </row>
    <row r="107" spans="1:9" ht="15.75" customHeight="1" x14ac:dyDescent="0.3">
      <c r="A107" s="46"/>
      <c r="B107" s="30"/>
      <c r="C107" s="30"/>
      <c r="D107" s="44"/>
      <c r="E107" s="30"/>
      <c r="F107" s="30"/>
      <c r="G107" s="30"/>
      <c r="H107" s="30"/>
      <c r="I107" s="31"/>
    </row>
    <row r="108" spans="1:9" ht="15.75" customHeight="1" x14ac:dyDescent="0.3">
      <c r="A108" s="189" t="s">
        <v>35</v>
      </c>
      <c r="B108" s="190"/>
      <c r="C108" s="190"/>
      <c r="D108" s="192" t="s">
        <v>39</v>
      </c>
      <c r="E108" s="193"/>
      <c r="F108" s="193"/>
      <c r="G108" s="193"/>
      <c r="H108" s="194"/>
      <c r="I108" s="31"/>
    </row>
    <row r="109" spans="1:9" ht="15.75" customHeight="1" x14ac:dyDescent="0.3">
      <c r="A109" s="206" t="str">
        <f>+Cobertura!A12</f>
        <v>COBERTURA</v>
      </c>
      <c r="B109" s="205"/>
      <c r="C109" s="205"/>
      <c r="D109" s="177">
        <f>+Cobertura!I16</f>
        <v>57800</v>
      </c>
      <c r="E109" s="178"/>
      <c r="F109" s="178"/>
      <c r="G109" s="178"/>
      <c r="H109" s="179"/>
      <c r="I109" s="31"/>
    </row>
    <row r="110" spans="1:9" ht="15.75" customHeight="1" x14ac:dyDescent="0.3">
      <c r="A110" s="183" t="s">
        <v>43</v>
      </c>
      <c r="B110" s="184"/>
      <c r="C110" s="185"/>
      <c r="D110" s="186">
        <f>SUM(D109)</f>
        <v>57800</v>
      </c>
      <c r="E110" s="187"/>
      <c r="F110" s="187"/>
      <c r="G110" s="187"/>
      <c r="H110" s="188"/>
      <c r="I110" s="31"/>
    </row>
    <row r="111" spans="1:9" ht="15.75" customHeight="1" x14ac:dyDescent="0.3">
      <c r="A111" s="47"/>
      <c r="B111" s="41"/>
      <c r="C111" s="41"/>
      <c r="D111" s="42"/>
      <c r="E111" s="49"/>
      <c r="F111" s="49"/>
      <c r="G111" s="50"/>
      <c r="H111" s="41"/>
      <c r="I111" s="43"/>
    </row>
    <row r="112" spans="1:9" ht="15.75" customHeight="1" x14ac:dyDescent="0.3"/>
    <row r="113" spans="1:9" ht="15.75" customHeight="1" x14ac:dyDescent="0.3">
      <c r="A113" s="23" t="s">
        <v>45</v>
      </c>
      <c r="B113" s="24"/>
      <c r="C113" s="24"/>
      <c r="D113" s="45"/>
      <c r="E113" s="24"/>
      <c r="F113" s="24"/>
      <c r="G113" s="24"/>
      <c r="H113" s="24"/>
      <c r="I113" s="26"/>
    </row>
    <row r="114" spans="1:9" ht="15.75" customHeight="1" x14ac:dyDescent="0.3">
      <c r="A114" s="46"/>
      <c r="B114" s="30"/>
      <c r="C114" s="30"/>
      <c r="D114" s="44"/>
      <c r="E114" s="30"/>
      <c r="F114" s="30"/>
      <c r="G114" s="30"/>
      <c r="H114" s="30"/>
      <c r="I114" s="31"/>
    </row>
    <row r="115" spans="1:9" ht="15.75" customHeight="1" x14ac:dyDescent="0.3">
      <c r="A115" s="189" t="s">
        <v>35</v>
      </c>
      <c r="B115" s="190"/>
      <c r="C115" s="190"/>
      <c r="D115" s="192" t="s">
        <v>39</v>
      </c>
      <c r="E115" s="193"/>
      <c r="F115" s="193"/>
      <c r="G115" s="193"/>
      <c r="H115" s="194"/>
      <c r="I115" s="31"/>
    </row>
    <row r="116" spans="1:9" ht="15.75" customHeight="1" x14ac:dyDescent="0.3">
      <c r="A116" s="206" t="e">
        <f>+#REF!</f>
        <v>#REF!</v>
      </c>
      <c r="B116" s="205"/>
      <c r="C116" s="205"/>
      <c r="D116" s="177" t="e">
        <f>+#REF!</f>
        <v>#REF!</v>
      </c>
      <c r="E116" s="178"/>
      <c r="F116" s="178"/>
      <c r="G116" s="178"/>
      <c r="H116" s="179"/>
      <c r="I116" s="31"/>
    </row>
    <row r="117" spans="1:9" ht="15.75" customHeight="1" x14ac:dyDescent="0.3">
      <c r="A117" s="183" t="s">
        <v>43</v>
      </c>
      <c r="B117" s="184"/>
      <c r="C117" s="185"/>
      <c r="D117" s="186" t="e">
        <f>SUM(D116)</f>
        <v>#REF!</v>
      </c>
      <c r="E117" s="187"/>
      <c r="F117" s="187"/>
      <c r="G117" s="187"/>
      <c r="H117" s="188"/>
      <c r="I117" s="31"/>
    </row>
    <row r="118" spans="1:9" ht="15.75" customHeight="1" x14ac:dyDescent="0.3">
      <c r="A118" s="47"/>
      <c r="B118" s="41"/>
      <c r="C118" s="41"/>
      <c r="D118" s="42"/>
      <c r="E118" s="49"/>
      <c r="F118" s="49"/>
      <c r="G118" s="50"/>
      <c r="H118" s="41"/>
      <c r="I118" s="43"/>
    </row>
    <row r="119" spans="1:9" ht="15.75" customHeight="1" x14ac:dyDescent="0.3"/>
    <row r="120" spans="1:9" ht="15.75" customHeight="1" x14ac:dyDescent="0.3">
      <c r="A120" s="23" t="s">
        <v>154</v>
      </c>
      <c r="B120" s="24"/>
      <c r="C120" s="24"/>
      <c r="D120" s="45"/>
      <c r="E120" s="24"/>
      <c r="F120" s="24"/>
      <c r="G120" s="24"/>
      <c r="H120" s="24"/>
      <c r="I120" s="26"/>
    </row>
    <row r="121" spans="1:9" ht="15.75" customHeight="1" x14ac:dyDescent="0.3">
      <c r="A121" s="46"/>
      <c r="B121" s="30"/>
      <c r="C121" s="30"/>
      <c r="D121" s="44"/>
      <c r="E121" s="30"/>
      <c r="F121" s="30"/>
      <c r="G121" s="30"/>
      <c r="H121" s="30"/>
      <c r="I121" s="31"/>
    </row>
    <row r="122" spans="1:9" ht="15.75" customHeight="1" x14ac:dyDescent="0.3">
      <c r="A122" s="189" t="s">
        <v>35</v>
      </c>
      <c r="B122" s="190"/>
      <c r="C122" s="190"/>
      <c r="D122" s="192" t="s">
        <v>39</v>
      </c>
      <c r="E122" s="193"/>
      <c r="F122" s="193"/>
      <c r="G122" s="193"/>
      <c r="H122" s="194"/>
      <c r="I122" s="31"/>
    </row>
    <row r="123" spans="1:9" ht="15.75" customHeight="1" x14ac:dyDescent="0.3">
      <c r="A123" s="206" t="str">
        <f>+Complementares!A12</f>
        <v>SERVIÇOS COMPLEMENTARES</v>
      </c>
      <c r="B123" s="205"/>
      <c r="C123" s="205"/>
      <c r="D123" s="177">
        <f>+Complementares!I19</f>
        <v>624928.8899999999</v>
      </c>
      <c r="E123" s="178"/>
      <c r="F123" s="178"/>
      <c r="G123" s="178"/>
      <c r="H123" s="179"/>
      <c r="I123" s="31"/>
    </row>
    <row r="124" spans="1:9" ht="15.75" customHeight="1" x14ac:dyDescent="0.3">
      <c r="A124" s="183" t="s">
        <v>43</v>
      </c>
      <c r="B124" s="184"/>
      <c r="C124" s="185"/>
      <c r="D124" s="186">
        <f>SUM(D123)</f>
        <v>624928.8899999999</v>
      </c>
      <c r="E124" s="187"/>
      <c r="F124" s="187"/>
      <c r="G124" s="187"/>
      <c r="H124" s="188"/>
      <c r="I124" s="31"/>
    </row>
    <row r="125" spans="1:9" ht="15.75" customHeight="1" x14ac:dyDescent="0.3">
      <c r="A125" s="47"/>
      <c r="B125" s="41"/>
      <c r="C125" s="41"/>
      <c r="D125" s="42"/>
      <c r="E125" s="49"/>
      <c r="F125" s="49"/>
      <c r="G125" s="50"/>
      <c r="H125" s="41"/>
      <c r="I125" s="43"/>
    </row>
    <row r="126" spans="1:9" ht="15.75" customHeight="1" x14ac:dyDescent="0.3"/>
    <row r="127" spans="1:9" ht="15.75" customHeight="1" x14ac:dyDescent="0.3"/>
    <row r="128" spans="1:9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</sheetData>
  <mergeCells count="117">
    <mergeCell ref="A122:C122"/>
    <mergeCell ref="D122:H122"/>
    <mergeCell ref="A123:C123"/>
    <mergeCell ref="D123:H123"/>
    <mergeCell ref="A124:C124"/>
    <mergeCell ref="D124:H124"/>
    <mergeCell ref="A115:C115"/>
    <mergeCell ref="D115:H115"/>
    <mergeCell ref="A116:C116"/>
    <mergeCell ref="D116:H116"/>
    <mergeCell ref="A117:C117"/>
    <mergeCell ref="D117:H117"/>
    <mergeCell ref="A108:C108"/>
    <mergeCell ref="D108:H108"/>
    <mergeCell ref="A109:C109"/>
    <mergeCell ref="D109:H109"/>
    <mergeCell ref="A110:C110"/>
    <mergeCell ref="D110:H110"/>
    <mergeCell ref="A103:C103"/>
    <mergeCell ref="D103:H103"/>
    <mergeCell ref="A101:C101"/>
    <mergeCell ref="D101:H101"/>
    <mergeCell ref="A102:C102"/>
    <mergeCell ref="D102:H102"/>
    <mergeCell ref="A94:C94"/>
    <mergeCell ref="D94:H94"/>
    <mergeCell ref="A99:C99"/>
    <mergeCell ref="D99:H99"/>
    <mergeCell ref="A100:C100"/>
    <mergeCell ref="D100:H100"/>
    <mergeCell ref="A87:C87"/>
    <mergeCell ref="D87:H87"/>
    <mergeCell ref="A92:C92"/>
    <mergeCell ref="D92:H92"/>
    <mergeCell ref="A93:C93"/>
    <mergeCell ref="D93:H93"/>
    <mergeCell ref="A80:C80"/>
    <mergeCell ref="D80:H80"/>
    <mergeCell ref="A85:C85"/>
    <mergeCell ref="D85:H85"/>
    <mergeCell ref="A86:C86"/>
    <mergeCell ref="D86:H86"/>
    <mergeCell ref="A73:C73"/>
    <mergeCell ref="D73:H73"/>
    <mergeCell ref="A78:C78"/>
    <mergeCell ref="D78:H78"/>
    <mergeCell ref="A79:C79"/>
    <mergeCell ref="D79:H79"/>
    <mergeCell ref="A66:C66"/>
    <mergeCell ref="D66:H66"/>
    <mergeCell ref="A71:C71"/>
    <mergeCell ref="D71:H71"/>
    <mergeCell ref="A72:C72"/>
    <mergeCell ref="D72:H72"/>
    <mergeCell ref="A59:C59"/>
    <mergeCell ref="D59:H59"/>
    <mergeCell ref="A64:C64"/>
    <mergeCell ref="D64:H64"/>
    <mergeCell ref="A65:C65"/>
    <mergeCell ref="D65:H65"/>
    <mergeCell ref="A52:C52"/>
    <mergeCell ref="D52:H52"/>
    <mergeCell ref="A53:F53"/>
    <mergeCell ref="A57:C57"/>
    <mergeCell ref="D57:H57"/>
    <mergeCell ref="A58:C58"/>
    <mergeCell ref="D58:H58"/>
    <mergeCell ref="A49:C49"/>
    <mergeCell ref="D49:H49"/>
    <mergeCell ref="A50:C50"/>
    <mergeCell ref="D50:H50"/>
    <mergeCell ref="A51:C51"/>
    <mergeCell ref="D51:H51"/>
    <mergeCell ref="A42:C42"/>
    <mergeCell ref="D42:H42"/>
    <mergeCell ref="A47:C47"/>
    <mergeCell ref="D47:H47"/>
    <mergeCell ref="A48:C48"/>
    <mergeCell ref="D48:H48"/>
    <mergeCell ref="A35:C35"/>
    <mergeCell ref="D35:H35"/>
    <mergeCell ref="A40:C40"/>
    <mergeCell ref="D40:H40"/>
    <mergeCell ref="A41:C41"/>
    <mergeCell ref="D41:H41"/>
    <mergeCell ref="A28:C28"/>
    <mergeCell ref="D28:H28"/>
    <mergeCell ref="A33:C33"/>
    <mergeCell ref="D33:H33"/>
    <mergeCell ref="A34:C34"/>
    <mergeCell ref="D34:H34"/>
    <mergeCell ref="A26:C26"/>
    <mergeCell ref="D26:H26"/>
    <mergeCell ref="A24:C24"/>
    <mergeCell ref="D24:H24"/>
    <mergeCell ref="A25:C25"/>
    <mergeCell ref="D25:H25"/>
    <mergeCell ref="A27:C27"/>
    <mergeCell ref="D27:H27"/>
    <mergeCell ref="A2:I4"/>
    <mergeCell ref="B7:I7"/>
    <mergeCell ref="B8:I8"/>
    <mergeCell ref="B9:D9"/>
    <mergeCell ref="H9:I9"/>
    <mergeCell ref="B10:D10"/>
    <mergeCell ref="H10:I10"/>
    <mergeCell ref="A19:F19"/>
    <mergeCell ref="A16:C16"/>
    <mergeCell ref="D16:H16"/>
    <mergeCell ref="A17:C17"/>
    <mergeCell ref="D17:H17"/>
    <mergeCell ref="A18:C18"/>
    <mergeCell ref="D18:H18"/>
    <mergeCell ref="A14:C14"/>
    <mergeCell ref="D14:H14"/>
    <mergeCell ref="A15:C15"/>
    <mergeCell ref="D15:H15"/>
  </mergeCells>
  <dataValidations count="1">
    <dataValidation type="list" allowBlank="1" showInputMessage="1" showErrorMessage="1" sqref="H10" xr:uid="{00000000-0002-0000-0100-000000000000}">
      <formula1>$L$1:$L$6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rowBreaks count="1" manualBreakCount="1">
    <brk id="2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C66"/>
  </sheetPr>
  <dimension ref="A1:M42"/>
  <sheetViews>
    <sheetView showGridLines="0" topLeftCell="A19" zoomScale="85" zoomScaleNormal="85" zoomScaleSheetLayoutView="95" workbookViewId="0">
      <selection activeCell="I39" sqref="I39:J39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3" style="70" customWidth="1"/>
    <col min="5" max="5" width="7.5546875" style="76" customWidth="1"/>
    <col min="6" max="6" width="10.6640625" style="19" customWidth="1"/>
    <col min="7" max="7" width="13.33203125" style="12" customWidth="1"/>
    <col min="8" max="8" width="12.88671875" style="12" customWidth="1"/>
    <col min="9" max="9" width="11.44140625" style="12" bestFit="1" customWidth="1"/>
    <col min="10" max="10" width="7.33203125" style="12" bestFit="1" customWidth="1"/>
    <col min="11" max="11" width="6.44140625" style="12" customWidth="1"/>
    <col min="12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48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7"/>
      <c r="G9" s="157"/>
      <c r="H9" s="158"/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ht="14.1" hidden="1" customHeight="1" x14ac:dyDescent="0.3">
      <c r="A12" s="23" t="s">
        <v>66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4.1" hidden="1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hidden="1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32" t="s">
        <v>40</v>
      </c>
      <c r="I14" s="192" t="s">
        <v>39</v>
      </c>
      <c r="J14" s="194"/>
      <c r="K14" s="31"/>
    </row>
    <row r="15" spans="1:13" ht="15.9" hidden="1" customHeight="1" x14ac:dyDescent="0.3">
      <c r="A15" s="201" t="s">
        <v>50</v>
      </c>
      <c r="B15" s="201"/>
      <c r="C15" s="201"/>
      <c r="D15" s="60">
        <f>+'Dados Gerais'!E25*3.06</f>
        <v>0</v>
      </c>
      <c r="E15" s="61" t="s">
        <v>61</v>
      </c>
      <c r="F15" s="52">
        <v>28.5</v>
      </c>
      <c r="G15" s="33" t="s">
        <v>51</v>
      </c>
      <c r="H15" s="34" t="s">
        <v>53</v>
      </c>
      <c r="I15" s="196">
        <f>+D15*F15</f>
        <v>0</v>
      </c>
      <c r="J15" s="198"/>
      <c r="K15" s="35"/>
    </row>
    <row r="16" spans="1:13" ht="15.9" hidden="1" customHeight="1" x14ac:dyDescent="0.3">
      <c r="A16" s="209" t="s">
        <v>43</v>
      </c>
      <c r="B16" s="209"/>
      <c r="C16" s="209"/>
      <c r="D16" s="209"/>
      <c r="E16" s="209"/>
      <c r="F16" s="209"/>
      <c r="G16" s="209"/>
      <c r="H16" s="209"/>
      <c r="I16" s="210">
        <f>SUM(I15:J15)</f>
        <v>0</v>
      </c>
      <c r="J16" s="210"/>
      <c r="K16" s="39"/>
    </row>
    <row r="17" spans="1:11" ht="15" hidden="1" customHeight="1" x14ac:dyDescent="0.3">
      <c r="A17" s="172"/>
      <c r="B17" s="173"/>
      <c r="C17" s="173"/>
      <c r="D17" s="173"/>
      <c r="E17" s="173"/>
      <c r="F17" s="173"/>
      <c r="G17" s="173"/>
      <c r="H17" s="173"/>
      <c r="I17" s="41"/>
      <c r="J17" s="41"/>
      <c r="K17" s="43"/>
    </row>
    <row r="18" spans="1:11" hidden="1" x14ac:dyDescent="0.3">
      <c r="A18" s="30"/>
      <c r="B18" s="30"/>
      <c r="C18" s="30"/>
      <c r="D18" s="68"/>
      <c r="E18" s="44"/>
      <c r="F18" s="44"/>
      <c r="G18" s="30"/>
      <c r="H18" s="30"/>
      <c r="I18" s="30"/>
      <c r="J18" s="30"/>
      <c r="K18" s="30"/>
    </row>
    <row r="19" spans="1:11" x14ac:dyDescent="0.3">
      <c r="A19" s="23" t="s">
        <v>56</v>
      </c>
      <c r="B19" s="24"/>
      <c r="C19" s="24"/>
      <c r="D19" s="66"/>
      <c r="E19" s="45"/>
      <c r="F19" s="25"/>
      <c r="G19" s="24"/>
      <c r="H19" s="24"/>
      <c r="I19" s="24"/>
      <c r="J19" s="24"/>
      <c r="K19" s="26"/>
    </row>
    <row r="20" spans="1:11" ht="15.9" customHeight="1" x14ac:dyDescent="0.3">
      <c r="A20" s="27"/>
      <c r="B20" s="28"/>
      <c r="C20" s="28"/>
      <c r="D20" s="67"/>
      <c r="E20" s="75"/>
      <c r="F20" s="29"/>
      <c r="G20" s="28"/>
      <c r="H20" s="28"/>
      <c r="I20" s="30"/>
      <c r="J20" s="30"/>
      <c r="K20" s="31"/>
    </row>
    <row r="21" spans="1:11" ht="15.9" customHeight="1" x14ac:dyDescent="0.3">
      <c r="A21" s="189" t="s">
        <v>35</v>
      </c>
      <c r="B21" s="190"/>
      <c r="C21" s="190"/>
      <c r="D21" s="212" t="s">
        <v>52</v>
      </c>
      <c r="E21" s="213"/>
      <c r="F21" s="192" t="s">
        <v>24</v>
      </c>
      <c r="G21" s="194"/>
      <c r="H21" s="58" t="s">
        <v>40</v>
      </c>
      <c r="I21" s="192" t="s">
        <v>39</v>
      </c>
      <c r="J21" s="194"/>
      <c r="K21" s="31"/>
    </row>
    <row r="22" spans="1:11" ht="15.9" customHeight="1" x14ac:dyDescent="0.3">
      <c r="A22" s="201" t="s">
        <v>57</v>
      </c>
      <c r="B22" s="201"/>
      <c r="C22" s="201"/>
      <c r="D22" s="61">
        <v>0</v>
      </c>
      <c r="E22" s="61" t="s">
        <v>42</v>
      </c>
      <c r="F22" s="52">
        <v>40</v>
      </c>
      <c r="G22" s="33" t="s">
        <v>38</v>
      </c>
      <c r="H22" s="34" t="s">
        <v>176</v>
      </c>
      <c r="I22" s="211">
        <f>F22*'Dados Gerais'!E13</f>
        <v>23254</v>
      </c>
      <c r="J22" s="179"/>
      <c r="K22" s="35"/>
    </row>
    <row r="23" spans="1:11" ht="15.9" customHeight="1" x14ac:dyDescent="0.3">
      <c r="A23" s="209" t="s">
        <v>43</v>
      </c>
      <c r="B23" s="209"/>
      <c r="C23" s="209"/>
      <c r="D23" s="209"/>
      <c r="E23" s="209"/>
      <c r="F23" s="209"/>
      <c r="G23" s="209"/>
      <c r="H23" s="209"/>
      <c r="I23" s="210">
        <f>SUM(I22:J22)</f>
        <v>23254</v>
      </c>
      <c r="J23" s="210"/>
      <c r="K23" s="39"/>
    </row>
    <row r="24" spans="1:11" ht="15.9" customHeight="1" x14ac:dyDescent="0.3">
      <c r="A24" s="172"/>
      <c r="B24" s="173"/>
      <c r="C24" s="173"/>
      <c r="D24" s="173"/>
      <c r="E24" s="173"/>
      <c r="F24" s="173"/>
      <c r="G24" s="173"/>
      <c r="H24" s="173"/>
      <c r="I24" s="41"/>
      <c r="J24" s="41"/>
      <c r="K24" s="43"/>
    </row>
    <row r="25" spans="1:11" x14ac:dyDescent="0.3">
      <c r="A25" s="30"/>
      <c r="B25" s="30"/>
      <c r="C25" s="30"/>
      <c r="D25" s="68"/>
      <c r="E25" s="44"/>
      <c r="F25" s="44"/>
      <c r="G25" s="30"/>
      <c r="H25" s="30"/>
      <c r="I25" s="30"/>
      <c r="J25" s="30"/>
      <c r="K25" s="30"/>
    </row>
    <row r="26" spans="1:11" ht="13.5" customHeight="1" x14ac:dyDescent="0.3">
      <c r="A26" s="23" t="s">
        <v>54</v>
      </c>
      <c r="B26" s="24"/>
      <c r="C26" s="24"/>
      <c r="D26" s="66"/>
      <c r="E26" s="45"/>
      <c r="F26" s="45"/>
      <c r="G26" s="24"/>
      <c r="H26" s="24"/>
      <c r="I26" s="24"/>
      <c r="J26" s="24"/>
      <c r="K26" s="26"/>
    </row>
    <row r="27" spans="1:11" x14ac:dyDescent="0.3">
      <c r="A27" s="46"/>
      <c r="B27" s="30"/>
      <c r="C27" s="30"/>
      <c r="D27" s="68"/>
      <c r="E27" s="44"/>
      <c r="F27" s="44"/>
      <c r="G27" s="30"/>
      <c r="H27" s="30"/>
      <c r="I27" s="30"/>
      <c r="J27" s="30"/>
      <c r="K27" s="31"/>
    </row>
    <row r="28" spans="1:11" ht="15.9" customHeight="1" x14ac:dyDescent="0.3">
      <c r="A28" s="189" t="s">
        <v>35</v>
      </c>
      <c r="B28" s="190"/>
      <c r="C28" s="190"/>
      <c r="D28" s="212" t="s">
        <v>52</v>
      </c>
      <c r="E28" s="213"/>
      <c r="F28" s="192" t="s">
        <v>24</v>
      </c>
      <c r="G28" s="194"/>
      <c r="H28" s="32" t="s">
        <v>40</v>
      </c>
      <c r="I28" s="192" t="s">
        <v>39</v>
      </c>
      <c r="J28" s="194"/>
      <c r="K28" s="31"/>
    </row>
    <row r="29" spans="1:11" ht="25.5" customHeight="1" x14ac:dyDescent="0.3">
      <c r="A29" s="201" t="s">
        <v>58</v>
      </c>
      <c r="B29" s="201"/>
      <c r="C29" s="201"/>
      <c r="D29" s="111">
        <f>F29*'Dados Gerais'!E13</f>
        <v>232.54000000000002</v>
      </c>
      <c r="E29" s="61" t="s">
        <v>42</v>
      </c>
      <c r="F29" s="52">
        <v>0.4</v>
      </c>
      <c r="G29" s="33" t="s">
        <v>60</v>
      </c>
      <c r="H29" s="87" t="s">
        <v>176</v>
      </c>
      <c r="I29" s="208">
        <f>+ROUNDUP((D29*35),0)</f>
        <v>8139</v>
      </c>
      <c r="J29" s="208"/>
      <c r="K29" s="31"/>
    </row>
    <row r="30" spans="1:11" x14ac:dyDescent="0.3">
      <c r="A30" s="195" t="s">
        <v>59</v>
      </c>
      <c r="B30" s="195"/>
      <c r="C30" s="195"/>
      <c r="D30" s="69">
        <f>F30*'Dados Gerais'!E13</f>
        <v>116.27000000000001</v>
      </c>
      <c r="E30" s="69" t="s">
        <v>42</v>
      </c>
      <c r="F30" s="53">
        <v>0.2</v>
      </c>
      <c r="G30" s="36" t="s">
        <v>60</v>
      </c>
      <c r="H30" s="84" t="s">
        <v>176</v>
      </c>
      <c r="I30" s="177">
        <f>+ROUNDUP((D30*25),0)</f>
        <v>2907</v>
      </c>
      <c r="J30" s="179"/>
      <c r="K30" s="31"/>
    </row>
    <row r="31" spans="1:11" x14ac:dyDescent="0.3">
      <c r="A31" s="195" t="s">
        <v>55</v>
      </c>
      <c r="B31" s="195"/>
      <c r="C31" s="195"/>
      <c r="D31" s="123">
        <f>+Infraestrutura!D23*F31</f>
        <v>1517.2007561246544</v>
      </c>
      <c r="E31" s="77" t="s">
        <v>61</v>
      </c>
      <c r="F31" s="120">
        <v>1.2</v>
      </c>
      <c r="G31" s="40" t="s">
        <v>178</v>
      </c>
      <c r="H31" s="129" t="s">
        <v>176</v>
      </c>
      <c r="I31" s="180">
        <f>+D31*35</f>
        <v>53102.026464362905</v>
      </c>
      <c r="J31" s="182"/>
      <c r="K31" s="31"/>
    </row>
    <row r="32" spans="1:11" ht="15.9" customHeight="1" x14ac:dyDescent="0.3">
      <c r="A32" s="209" t="s">
        <v>43</v>
      </c>
      <c r="B32" s="209"/>
      <c r="C32" s="209"/>
      <c r="D32" s="209"/>
      <c r="E32" s="209"/>
      <c r="F32" s="209"/>
      <c r="G32" s="209"/>
      <c r="H32" s="209"/>
      <c r="I32" s="210">
        <f>SUM(I29:J31)</f>
        <v>64148.026464362905</v>
      </c>
      <c r="J32" s="210"/>
      <c r="K32" s="31"/>
    </row>
    <row r="33" spans="1:11" x14ac:dyDescent="0.3">
      <c r="A33" s="47"/>
      <c r="B33" s="41"/>
      <c r="C33" s="41"/>
      <c r="D33" s="49"/>
      <c r="E33" s="42"/>
      <c r="F33" s="48"/>
      <c r="G33" s="41"/>
      <c r="H33" s="41"/>
      <c r="I33" s="41"/>
      <c r="J33" s="41"/>
      <c r="K33" s="43"/>
    </row>
    <row r="35" spans="1:11" x14ac:dyDescent="0.3">
      <c r="A35" s="23" t="s">
        <v>191</v>
      </c>
      <c r="B35" s="24"/>
      <c r="C35" s="24"/>
      <c r="D35" s="66"/>
      <c r="E35" s="45"/>
      <c r="F35" s="45"/>
      <c r="G35" s="24"/>
      <c r="H35" s="24"/>
      <c r="I35" s="24"/>
      <c r="J35" s="24"/>
      <c r="K35" s="26"/>
    </row>
    <row r="36" spans="1:11" x14ac:dyDescent="0.3">
      <c r="A36" s="46"/>
      <c r="B36" s="30"/>
      <c r="C36" s="30"/>
      <c r="D36" s="68"/>
      <c r="E36" s="44"/>
      <c r="F36" s="44"/>
      <c r="G36" s="30"/>
      <c r="H36" s="30"/>
      <c r="I36" s="30"/>
      <c r="J36" s="30"/>
      <c r="K36" s="31"/>
    </row>
    <row r="37" spans="1:11" x14ac:dyDescent="0.3">
      <c r="A37" s="189" t="s">
        <v>35</v>
      </c>
      <c r="B37" s="190"/>
      <c r="C37" s="190"/>
      <c r="D37" s="212" t="s">
        <v>52</v>
      </c>
      <c r="E37" s="213"/>
      <c r="F37" s="192" t="s">
        <v>24</v>
      </c>
      <c r="G37" s="194"/>
      <c r="H37" s="32" t="s">
        <v>40</v>
      </c>
      <c r="I37" s="192" t="s">
        <v>39</v>
      </c>
      <c r="J37" s="194"/>
      <c r="K37" s="31"/>
    </row>
    <row r="38" spans="1:11" ht="30.75" customHeight="1" x14ac:dyDescent="0.3">
      <c r="A38" s="201" t="s">
        <v>62</v>
      </c>
      <c r="B38" s="201"/>
      <c r="C38" s="201"/>
      <c r="D38" s="112">
        <f>F38*'Dados Gerais'!E13</f>
        <v>116.27000000000001</v>
      </c>
      <c r="E38" s="71" t="s">
        <v>18</v>
      </c>
      <c r="F38" s="53">
        <v>0.2</v>
      </c>
      <c r="G38" s="36" t="s">
        <v>174</v>
      </c>
      <c r="H38" s="87" t="s">
        <v>176</v>
      </c>
      <c r="I38" s="180">
        <f>ROUNDUP((D38*18),0)</f>
        <v>2093</v>
      </c>
      <c r="J38" s="207"/>
      <c r="K38" s="31"/>
    </row>
    <row r="39" spans="1:11" ht="15.9" customHeight="1" x14ac:dyDescent="0.3">
      <c r="A39" s="209" t="s">
        <v>43</v>
      </c>
      <c r="B39" s="209"/>
      <c r="C39" s="209"/>
      <c r="D39" s="209"/>
      <c r="E39" s="209"/>
      <c r="F39" s="209"/>
      <c r="G39" s="209"/>
      <c r="H39" s="209"/>
      <c r="I39" s="210">
        <f>SUM(I38:J38)</f>
        <v>2093</v>
      </c>
      <c r="J39" s="210"/>
      <c r="K39" s="31"/>
    </row>
    <row r="40" spans="1:11" x14ac:dyDescent="0.3">
      <c r="A40" s="47"/>
      <c r="B40" s="41"/>
      <c r="C40" s="41"/>
      <c r="D40" s="49"/>
      <c r="E40" s="42"/>
      <c r="F40" s="48"/>
      <c r="G40" s="41"/>
      <c r="H40" s="41"/>
      <c r="I40" s="41"/>
      <c r="J40" s="41"/>
      <c r="K40" s="43"/>
    </row>
    <row r="42" spans="1:11" x14ac:dyDescent="0.3">
      <c r="I42" s="91">
        <f>I39+I32+I23</f>
        <v>89495.026464362905</v>
      </c>
    </row>
  </sheetData>
  <mergeCells count="45">
    <mergeCell ref="D28:E28"/>
    <mergeCell ref="D37:E37"/>
    <mergeCell ref="D14:E14"/>
    <mergeCell ref="F37:G37"/>
    <mergeCell ref="A39:H39"/>
    <mergeCell ref="A21:C21"/>
    <mergeCell ref="A14:C14"/>
    <mergeCell ref="I39:J39"/>
    <mergeCell ref="F14:G14"/>
    <mergeCell ref="I14:J14"/>
    <mergeCell ref="I15:J15"/>
    <mergeCell ref="A32:H32"/>
    <mergeCell ref="I32:J32"/>
    <mergeCell ref="F21:G21"/>
    <mergeCell ref="I21:J21"/>
    <mergeCell ref="A22:C22"/>
    <mergeCell ref="I22:J22"/>
    <mergeCell ref="A23:H23"/>
    <mergeCell ref="I23:J23"/>
    <mergeCell ref="A24:H24"/>
    <mergeCell ref="A15:C15"/>
    <mergeCell ref="D21:E21"/>
    <mergeCell ref="I16:J16"/>
    <mergeCell ref="A2:K4"/>
    <mergeCell ref="B7:K7"/>
    <mergeCell ref="B8:K8"/>
    <mergeCell ref="B10:F10"/>
    <mergeCell ref="J10:K10"/>
    <mergeCell ref="B9:H9"/>
    <mergeCell ref="I37:J37"/>
    <mergeCell ref="A37:C37"/>
    <mergeCell ref="A38:C38"/>
    <mergeCell ref="J9:K9"/>
    <mergeCell ref="I38:J38"/>
    <mergeCell ref="A29:C29"/>
    <mergeCell ref="I29:J29"/>
    <mergeCell ref="A30:C30"/>
    <mergeCell ref="I30:J30"/>
    <mergeCell ref="A31:C31"/>
    <mergeCell ref="I31:J31"/>
    <mergeCell ref="A28:C28"/>
    <mergeCell ref="F28:G28"/>
    <mergeCell ref="I28:J28"/>
    <mergeCell ref="A17:H17"/>
    <mergeCell ref="A16:H16"/>
  </mergeCells>
  <dataValidations disablePrompts="1" count="1">
    <dataValidation type="list" allowBlank="1" showInputMessage="1" showErrorMessage="1" sqref="J10" xr:uid="{00000000-0002-0000-02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C001-05F4-4AEF-A53B-F26202BF3B7C}">
  <sheetPr>
    <tabColor rgb="FF003C66"/>
  </sheetPr>
  <dimension ref="A1:M30"/>
  <sheetViews>
    <sheetView showGridLines="0" view="pageBreakPreview" topLeftCell="A7" zoomScale="115" zoomScaleNormal="100" zoomScaleSheetLayoutView="115" workbookViewId="0">
      <selection activeCell="F26" sqref="F26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3" style="70" customWidth="1"/>
    <col min="5" max="5" width="7.5546875" style="76" customWidth="1"/>
    <col min="6" max="6" width="10.6640625" style="19" customWidth="1"/>
    <col min="7" max="7" width="13.3320312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285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139"/>
      <c r="B6" s="139"/>
      <c r="C6" s="139"/>
      <c r="D6" s="65"/>
      <c r="E6" s="74"/>
      <c r="F6" s="20"/>
      <c r="G6" s="1"/>
      <c r="H6" s="1"/>
      <c r="I6" s="1"/>
      <c r="J6" s="1"/>
      <c r="K6" s="1"/>
      <c r="M6" s="13"/>
    </row>
    <row r="7" spans="1:13" x14ac:dyDescent="0.3">
      <c r="A7" s="6" t="s">
        <v>0</v>
      </c>
      <c r="B7" s="154" t="s">
        <v>286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 t="s">
        <v>287</v>
      </c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288</v>
      </c>
      <c r="C9" s="157"/>
      <c r="D9" s="157"/>
      <c r="E9" s="157"/>
      <c r="F9" s="158"/>
      <c r="G9" s="10" t="s">
        <v>10</v>
      </c>
      <c r="H9" s="51" t="s">
        <v>49</v>
      </c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44160</v>
      </c>
      <c r="C10" s="160"/>
      <c r="D10" s="160"/>
      <c r="E10" s="160"/>
      <c r="F10" s="161"/>
      <c r="G10" s="10" t="s">
        <v>4</v>
      </c>
      <c r="H10" s="9" t="s">
        <v>289</v>
      </c>
      <c r="I10" s="7" t="s">
        <v>41</v>
      </c>
      <c r="J10" s="162" t="s">
        <v>8</v>
      </c>
      <c r="K10" s="163"/>
    </row>
    <row r="12" spans="1:13" ht="14.1" customHeight="1" x14ac:dyDescent="0.3">
      <c r="A12" s="23" t="s">
        <v>290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4.1" customHeight="1" x14ac:dyDescent="0.3">
      <c r="A13" s="27"/>
      <c r="B13" s="29"/>
      <c r="C13" s="29"/>
      <c r="D13" s="67"/>
      <c r="E13" s="75"/>
      <c r="F13" s="29"/>
      <c r="G13" s="29"/>
      <c r="H13" s="29"/>
      <c r="K13" s="31"/>
    </row>
    <row r="14" spans="1:13" ht="15.9" customHeight="1" x14ac:dyDescent="0.3">
      <c r="A14" s="214" t="s">
        <v>35</v>
      </c>
      <c r="B14" s="215"/>
      <c r="C14" s="215"/>
      <c r="D14" s="216" t="s">
        <v>52</v>
      </c>
      <c r="E14" s="217"/>
      <c r="F14" s="218" t="s">
        <v>24</v>
      </c>
      <c r="G14" s="219"/>
      <c r="H14" s="140" t="s">
        <v>40</v>
      </c>
      <c r="I14" s="218" t="s">
        <v>39</v>
      </c>
      <c r="J14" s="219"/>
      <c r="K14" s="31"/>
    </row>
    <row r="15" spans="1:13" ht="15.9" customHeight="1" x14ac:dyDescent="0.3">
      <c r="A15" s="195" t="s">
        <v>63</v>
      </c>
      <c r="B15" s="195"/>
      <c r="C15" s="195"/>
      <c r="D15" s="141">
        <f>+F15*D16</f>
        <v>1428.2400000000002</v>
      </c>
      <c r="E15" s="69" t="s">
        <v>67</v>
      </c>
      <c r="F15" s="137">
        <v>110</v>
      </c>
      <c r="G15" s="36" t="s">
        <v>291</v>
      </c>
      <c r="H15" s="37" t="s">
        <v>42</v>
      </c>
      <c r="I15" s="177">
        <f>+D15*8.5</f>
        <v>12140.040000000003</v>
      </c>
      <c r="J15" s="179"/>
      <c r="K15" s="35"/>
    </row>
    <row r="16" spans="1:13" ht="15.9" customHeight="1" x14ac:dyDescent="0.3">
      <c r="A16" s="195" t="s">
        <v>64</v>
      </c>
      <c r="B16" s="195"/>
      <c r="C16" s="195"/>
      <c r="D16" s="141">
        <f>(64.92*1*0.2)</f>
        <v>12.984000000000002</v>
      </c>
      <c r="E16" s="69" t="s">
        <v>61</v>
      </c>
      <c r="F16" s="137">
        <v>350</v>
      </c>
      <c r="G16" s="36" t="s">
        <v>51</v>
      </c>
      <c r="H16" s="37" t="s">
        <v>42</v>
      </c>
      <c r="I16" s="177">
        <f>F16*D16</f>
        <v>4544.4000000000005</v>
      </c>
      <c r="J16" s="179"/>
      <c r="K16" s="35"/>
    </row>
    <row r="17" spans="1:11" ht="15.9" customHeight="1" x14ac:dyDescent="0.3">
      <c r="A17" s="195" t="s">
        <v>292</v>
      </c>
      <c r="B17" s="195"/>
      <c r="C17" s="195"/>
      <c r="D17" s="141">
        <f>64.92*1*2</f>
        <v>129.84</v>
      </c>
      <c r="E17" s="69" t="s">
        <v>18</v>
      </c>
      <c r="F17" s="137">
        <v>110</v>
      </c>
      <c r="G17" s="36" t="s">
        <v>69</v>
      </c>
      <c r="H17" s="37" t="s">
        <v>42</v>
      </c>
      <c r="I17" s="177">
        <f>+D17*F17</f>
        <v>14282.4</v>
      </c>
      <c r="J17" s="179"/>
      <c r="K17" s="35"/>
    </row>
    <row r="18" spans="1:11" ht="15.9" customHeight="1" x14ac:dyDescent="0.3">
      <c r="A18" s="209" t="s">
        <v>43</v>
      </c>
      <c r="B18" s="209"/>
      <c r="C18" s="209"/>
      <c r="D18" s="209"/>
      <c r="E18" s="209"/>
      <c r="F18" s="209"/>
      <c r="G18" s="209"/>
      <c r="H18" s="209"/>
      <c r="I18" s="210">
        <f>SUM(I15:J17)</f>
        <v>30966.840000000004</v>
      </c>
      <c r="J18" s="210"/>
      <c r="K18" s="39"/>
    </row>
    <row r="19" spans="1:11" ht="15" customHeight="1" x14ac:dyDescent="0.3">
      <c r="A19" s="172"/>
      <c r="B19" s="173"/>
      <c r="C19" s="173"/>
      <c r="D19" s="173"/>
      <c r="E19" s="173"/>
      <c r="F19" s="173"/>
      <c r="G19" s="173"/>
      <c r="H19" s="173"/>
      <c r="I19" s="41"/>
      <c r="J19" s="41"/>
      <c r="K19" s="43"/>
    </row>
    <row r="20" spans="1:11" ht="14.1" customHeight="1" x14ac:dyDescent="0.3">
      <c r="A20" s="23" t="s">
        <v>293</v>
      </c>
      <c r="B20" s="24"/>
      <c r="C20" s="24"/>
      <c r="D20" s="66"/>
      <c r="E20" s="45"/>
      <c r="F20" s="25"/>
      <c r="G20" s="24"/>
      <c r="H20" s="24"/>
      <c r="I20" s="24"/>
      <c r="J20" s="24"/>
      <c r="K20" s="26"/>
    </row>
    <row r="21" spans="1:11" ht="14.1" customHeight="1" x14ac:dyDescent="0.3">
      <c r="A21" s="27"/>
      <c r="B21" s="29"/>
      <c r="C21" s="29"/>
      <c r="D21" s="67"/>
      <c r="E21" s="75"/>
      <c r="F21" s="29"/>
      <c r="G21" s="29"/>
      <c r="H21" s="29"/>
      <c r="K21" s="31"/>
    </row>
    <row r="22" spans="1:11" ht="15.9" customHeight="1" x14ac:dyDescent="0.3">
      <c r="A22" s="214" t="s">
        <v>35</v>
      </c>
      <c r="B22" s="215"/>
      <c r="C22" s="215"/>
      <c r="D22" s="216" t="s">
        <v>52</v>
      </c>
      <c r="E22" s="217"/>
      <c r="F22" s="218" t="s">
        <v>24</v>
      </c>
      <c r="G22" s="219"/>
      <c r="H22" s="140" t="s">
        <v>40</v>
      </c>
      <c r="I22" s="218" t="s">
        <v>39</v>
      </c>
      <c r="J22" s="219"/>
      <c r="K22" s="31"/>
    </row>
    <row r="23" spans="1:11" ht="15.9" customHeight="1" x14ac:dyDescent="0.3">
      <c r="A23" s="195" t="s">
        <v>63</v>
      </c>
      <c r="B23" s="195"/>
      <c r="C23" s="195"/>
      <c r="D23" s="141">
        <f>+F23*D24</f>
        <v>25708.32</v>
      </c>
      <c r="E23" s="69" t="s">
        <v>67</v>
      </c>
      <c r="F23" s="137">
        <v>110</v>
      </c>
      <c r="G23" s="36" t="s">
        <v>291</v>
      </c>
      <c r="H23" s="37" t="s">
        <v>42</v>
      </c>
      <c r="I23" s="177">
        <f>+D23*8.5</f>
        <v>218520.72</v>
      </c>
      <c r="J23" s="179"/>
      <c r="K23" s="35"/>
    </row>
    <row r="24" spans="1:11" ht="15.9" customHeight="1" x14ac:dyDescent="0.3">
      <c r="A24" s="195" t="s">
        <v>64</v>
      </c>
      <c r="B24" s="195"/>
      <c r="C24" s="195"/>
      <c r="D24" s="141">
        <f>64.92*9*0.4</f>
        <v>233.71199999999999</v>
      </c>
      <c r="E24" s="69" t="s">
        <v>61</v>
      </c>
      <c r="F24" s="137">
        <v>0.4</v>
      </c>
      <c r="G24" s="36" t="s">
        <v>294</v>
      </c>
      <c r="H24" s="37" t="s">
        <v>42</v>
      </c>
      <c r="I24" s="177">
        <f>+D24*560</f>
        <v>130878.72</v>
      </c>
      <c r="J24" s="179"/>
      <c r="K24" s="35"/>
    </row>
    <row r="25" spans="1:11" ht="15.9" customHeight="1" x14ac:dyDescent="0.3">
      <c r="A25" s="220" t="s">
        <v>296</v>
      </c>
      <c r="B25" s="220"/>
      <c r="C25" s="220"/>
      <c r="D25" s="142"/>
      <c r="E25" s="77" t="s">
        <v>68</v>
      </c>
      <c r="F25" s="62">
        <v>23</v>
      </c>
      <c r="G25" s="40" t="s">
        <v>25</v>
      </c>
      <c r="H25" s="78" t="s">
        <v>42</v>
      </c>
      <c r="I25" s="180">
        <f>F25*'Dados Gerais'!E15</f>
        <v>160194.31</v>
      </c>
      <c r="J25" s="182"/>
      <c r="K25" s="35"/>
    </row>
    <row r="26" spans="1:11" ht="15.9" customHeight="1" x14ac:dyDescent="0.3">
      <c r="A26" s="220" t="s">
        <v>65</v>
      </c>
      <c r="B26" s="220"/>
      <c r="C26" s="220"/>
      <c r="D26" s="142">
        <f>64.92*9*2</f>
        <v>1168.56</v>
      </c>
      <c r="E26" s="77" t="s">
        <v>18</v>
      </c>
      <c r="F26" s="62">
        <v>300</v>
      </c>
      <c r="G26" s="40" t="s">
        <v>69</v>
      </c>
      <c r="H26" s="78" t="s">
        <v>42</v>
      </c>
      <c r="I26" s="180">
        <f>+D26*F26</f>
        <v>350568</v>
      </c>
      <c r="J26" s="182"/>
      <c r="K26" s="35"/>
    </row>
    <row r="27" spans="1:11" ht="15.9" customHeight="1" x14ac:dyDescent="0.3">
      <c r="A27" s="209" t="s">
        <v>43</v>
      </c>
      <c r="B27" s="209"/>
      <c r="C27" s="209"/>
      <c r="D27" s="209"/>
      <c r="E27" s="209"/>
      <c r="F27" s="209"/>
      <c r="G27" s="209"/>
      <c r="H27" s="209"/>
      <c r="I27" s="210">
        <f>SUM(I23:J26)</f>
        <v>860161.75</v>
      </c>
      <c r="J27" s="210"/>
      <c r="K27" s="39"/>
    </row>
    <row r="28" spans="1:11" ht="15" customHeight="1" x14ac:dyDescent="0.3">
      <c r="A28" s="172"/>
      <c r="B28" s="173"/>
      <c r="C28" s="173"/>
      <c r="D28" s="173"/>
      <c r="E28" s="173"/>
      <c r="F28" s="173"/>
      <c r="G28" s="173"/>
      <c r="H28" s="173"/>
      <c r="I28" s="41"/>
      <c r="J28" s="41"/>
      <c r="K28" s="43"/>
    </row>
    <row r="30" spans="1:11" x14ac:dyDescent="0.3">
      <c r="F30" s="143"/>
      <c r="J30" s="91">
        <f>I27+I18</f>
        <v>891128.59</v>
      </c>
    </row>
  </sheetData>
  <mergeCells count="35">
    <mergeCell ref="A28:H28"/>
    <mergeCell ref="A25:C25"/>
    <mergeCell ref="I25:J25"/>
    <mergeCell ref="A24:C24"/>
    <mergeCell ref="I24:J24"/>
    <mergeCell ref="A26:C26"/>
    <mergeCell ref="I26:J26"/>
    <mergeCell ref="A27:H27"/>
    <mergeCell ref="I27:J27"/>
    <mergeCell ref="A23:C23"/>
    <mergeCell ref="I23:J23"/>
    <mergeCell ref="A16:C16"/>
    <mergeCell ref="I16:J16"/>
    <mergeCell ref="A17:C17"/>
    <mergeCell ref="I17:J17"/>
    <mergeCell ref="A18:H18"/>
    <mergeCell ref="I18:J18"/>
    <mergeCell ref="A19:H19"/>
    <mergeCell ref="A22:C22"/>
    <mergeCell ref="D22:E22"/>
    <mergeCell ref="F22:G22"/>
    <mergeCell ref="I22:J22"/>
    <mergeCell ref="A14:C14"/>
    <mergeCell ref="D14:E14"/>
    <mergeCell ref="F14:G14"/>
    <mergeCell ref="I14:J14"/>
    <mergeCell ref="A15:C15"/>
    <mergeCell ref="I15:J15"/>
    <mergeCell ref="B10:F10"/>
    <mergeCell ref="J10:K10"/>
    <mergeCell ref="A2:K4"/>
    <mergeCell ref="B7:K7"/>
    <mergeCell ref="B8:K8"/>
    <mergeCell ref="B9:F9"/>
    <mergeCell ref="J9:K9"/>
  </mergeCells>
  <dataValidations disablePrompts="1" count="1">
    <dataValidation type="list" allowBlank="1" showInputMessage="1" showErrorMessage="1" sqref="J10" xr:uid="{1A4CF14F-DC17-4DBE-9578-E1ABC707BF2C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3C66"/>
  </sheetPr>
  <dimension ref="A1:N37"/>
  <sheetViews>
    <sheetView showGridLines="0" topLeftCell="A4" zoomScale="85" zoomScaleNormal="85" zoomScaleSheetLayoutView="95" workbookViewId="0">
      <selection activeCell="F22" sqref="F22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3" style="70" customWidth="1"/>
    <col min="5" max="5" width="7.5546875" style="76" customWidth="1"/>
    <col min="6" max="6" width="10.6640625" style="19" customWidth="1"/>
    <col min="7" max="7" width="13.33203125" style="12" customWidth="1"/>
    <col min="8" max="8" width="12.88671875" style="12" customWidth="1"/>
    <col min="9" max="9" width="13.109375" style="12" bestFit="1" customWidth="1"/>
    <col min="10" max="10" width="7.33203125" style="12" bestFit="1" customWidth="1"/>
    <col min="11" max="11" width="6.44140625" style="12" customWidth="1"/>
    <col min="12" max="13" width="9.109375" style="12"/>
    <col min="14" max="14" width="10.44140625" style="12" bestFit="1" customWidth="1"/>
    <col min="15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74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/>
      <c r="C9" s="157"/>
      <c r="D9" s="157"/>
      <c r="E9" s="157"/>
      <c r="F9" s="157"/>
      <c r="G9" s="157"/>
      <c r="H9" s="158"/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/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/>
      <c r="K10" s="163"/>
    </row>
    <row r="12" spans="1:13" ht="14.1" customHeight="1" x14ac:dyDescent="0.3">
      <c r="A12" s="23" t="s">
        <v>71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4.1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58" t="s">
        <v>40</v>
      </c>
      <c r="I14" s="192" t="s">
        <v>39</v>
      </c>
      <c r="J14" s="194"/>
      <c r="K14" s="31"/>
    </row>
    <row r="15" spans="1:13" ht="15.9" customHeight="1" x14ac:dyDescent="0.3">
      <c r="A15" s="201" t="s">
        <v>175</v>
      </c>
      <c r="B15" s="201"/>
      <c r="C15" s="201"/>
      <c r="D15" s="60">
        <f>ROUNDUP((F15*'Dados Gerais'!$E$13),0)</f>
        <v>146</v>
      </c>
      <c r="E15" s="61" t="s">
        <v>19</v>
      </c>
      <c r="F15" s="52">
        <v>0.25</v>
      </c>
      <c r="G15" s="33" t="s">
        <v>198</v>
      </c>
      <c r="H15" s="34" t="s">
        <v>176</v>
      </c>
      <c r="I15" s="196">
        <v>0</v>
      </c>
      <c r="J15" s="198"/>
      <c r="K15" s="35"/>
    </row>
    <row r="16" spans="1:13" ht="15.9" customHeight="1" x14ac:dyDescent="0.3">
      <c r="A16" s="174" t="s">
        <v>220</v>
      </c>
      <c r="B16" s="175"/>
      <c r="C16" s="176"/>
      <c r="D16" s="113">
        <f>ROUNDUP(($D$15*(F16/100)),0)</f>
        <v>37</v>
      </c>
      <c r="E16" s="83" t="s">
        <v>19</v>
      </c>
      <c r="F16" s="55">
        <v>25</v>
      </c>
      <c r="G16" s="56" t="s">
        <v>127</v>
      </c>
      <c r="H16" s="57" t="s">
        <v>176</v>
      </c>
      <c r="I16" s="177">
        <v>0</v>
      </c>
      <c r="J16" s="179"/>
      <c r="K16" s="35"/>
    </row>
    <row r="17" spans="1:14" ht="15.9" customHeight="1" x14ac:dyDescent="0.3">
      <c r="A17" s="228" t="s">
        <v>220</v>
      </c>
      <c r="B17" s="228"/>
      <c r="C17" s="228"/>
      <c r="D17" s="113">
        <f>ROUNDUP((F17*D16),0)</f>
        <v>1110</v>
      </c>
      <c r="E17" s="83" t="s">
        <v>20</v>
      </c>
      <c r="F17" s="55">
        <v>30</v>
      </c>
      <c r="G17" s="56" t="s">
        <v>177</v>
      </c>
      <c r="H17" s="57" t="s">
        <v>176</v>
      </c>
      <c r="I17" s="221">
        <f>+ROUNDUP((D17*54),0)</f>
        <v>59940</v>
      </c>
      <c r="J17" s="222"/>
      <c r="K17" s="35"/>
    </row>
    <row r="18" spans="1:14" ht="15.9" customHeight="1" x14ac:dyDescent="0.3">
      <c r="A18" s="195" t="s">
        <v>70</v>
      </c>
      <c r="B18" s="195"/>
      <c r="C18" s="195"/>
      <c r="D18" s="113">
        <f>ROUNDUP(($D$15*(F18/100)),0)</f>
        <v>73</v>
      </c>
      <c r="E18" s="83" t="s">
        <v>19</v>
      </c>
      <c r="F18" s="53">
        <v>50</v>
      </c>
      <c r="G18" s="36" t="s">
        <v>127</v>
      </c>
      <c r="H18" s="37" t="s">
        <v>176</v>
      </c>
      <c r="I18" s="177">
        <v>0</v>
      </c>
      <c r="J18" s="179"/>
      <c r="K18" s="35"/>
    </row>
    <row r="19" spans="1:14" ht="15.9" customHeight="1" x14ac:dyDescent="0.3">
      <c r="A19" s="174" t="s">
        <v>70</v>
      </c>
      <c r="B19" s="175"/>
      <c r="C19" s="176"/>
      <c r="D19" s="113">
        <f>ROUNDUP((F19*D18),0)</f>
        <v>2190</v>
      </c>
      <c r="E19" s="69" t="s">
        <v>20</v>
      </c>
      <c r="F19" s="55">
        <v>30</v>
      </c>
      <c r="G19" s="56" t="s">
        <v>177</v>
      </c>
      <c r="H19" s="37" t="s">
        <v>176</v>
      </c>
      <c r="I19" s="221">
        <f>+ROUNDUP((D19*70),0)</f>
        <v>153300</v>
      </c>
      <c r="J19" s="222"/>
      <c r="K19" s="35"/>
    </row>
    <row r="20" spans="1:14" ht="15.9" customHeight="1" x14ac:dyDescent="0.3">
      <c r="A20" s="195" t="s">
        <v>209</v>
      </c>
      <c r="B20" s="195"/>
      <c r="C20" s="195"/>
      <c r="D20" s="113">
        <f>ROUNDUP(($D$15*(F20/100)),0)</f>
        <v>37</v>
      </c>
      <c r="E20" s="83" t="s">
        <v>19</v>
      </c>
      <c r="F20" s="53">
        <v>25</v>
      </c>
      <c r="G20" s="36" t="s">
        <v>127</v>
      </c>
      <c r="H20" s="37" t="s">
        <v>176</v>
      </c>
      <c r="I20" s="177">
        <v>0</v>
      </c>
      <c r="J20" s="179"/>
      <c r="K20" s="35"/>
    </row>
    <row r="21" spans="1:14" ht="15.9" customHeight="1" x14ac:dyDescent="0.3">
      <c r="A21" s="174" t="s">
        <v>209</v>
      </c>
      <c r="B21" s="175"/>
      <c r="C21" s="176"/>
      <c r="D21" s="113">
        <f>ROUNDUP((F21*D20),0)</f>
        <v>1110</v>
      </c>
      <c r="E21" s="69" t="s">
        <v>20</v>
      </c>
      <c r="F21" s="55">
        <v>30</v>
      </c>
      <c r="G21" s="56" t="s">
        <v>177</v>
      </c>
      <c r="H21" s="37" t="s">
        <v>176</v>
      </c>
      <c r="I21" s="221">
        <f>+ROUNDUP((D21*80),0)</f>
        <v>88800</v>
      </c>
      <c r="J21" s="222"/>
      <c r="K21" s="35"/>
    </row>
    <row r="22" spans="1:14" ht="15.9" customHeight="1" x14ac:dyDescent="0.3">
      <c r="A22" s="195" t="s">
        <v>63</v>
      </c>
      <c r="B22" s="195"/>
      <c r="C22" s="195"/>
      <c r="D22" s="121">
        <f>ROUNDUP((D23*F22),0)</f>
        <v>13276</v>
      </c>
      <c r="E22" s="69" t="s">
        <v>67</v>
      </c>
      <c r="F22" s="53">
        <v>10.5</v>
      </c>
      <c r="G22" s="36" t="s">
        <v>126</v>
      </c>
      <c r="H22" s="37" t="s">
        <v>176</v>
      </c>
      <c r="I22" s="177">
        <f>+ROUNDUP((D22*8.5),0)</f>
        <v>112846</v>
      </c>
      <c r="J22" s="179"/>
      <c r="K22" s="35"/>
    </row>
    <row r="23" spans="1:14" ht="15.9" customHeight="1" x14ac:dyDescent="0.3">
      <c r="A23" s="195" t="s">
        <v>64</v>
      </c>
      <c r="B23" s="195"/>
      <c r="C23" s="195"/>
      <c r="D23" s="122">
        <f>PI()*(0.5^2)/4*D17+PI()*(0.6^2)/4*D19+PI()*(0.7^2)/4*D21</f>
        <v>1264.3339634372121</v>
      </c>
      <c r="E23" s="69" t="s">
        <v>61</v>
      </c>
      <c r="F23" s="53">
        <v>510</v>
      </c>
      <c r="G23" s="36" t="s">
        <v>51</v>
      </c>
      <c r="H23" s="37" t="s">
        <v>176</v>
      </c>
      <c r="I23" s="177">
        <f>+ROUNDUP((D23*F23),0)</f>
        <v>644811</v>
      </c>
      <c r="J23" s="179"/>
      <c r="K23" s="35"/>
      <c r="M23" s="91"/>
    </row>
    <row r="24" spans="1:14" ht="15.9" customHeight="1" x14ac:dyDescent="0.3">
      <c r="A24" s="209" t="s">
        <v>43</v>
      </c>
      <c r="B24" s="209"/>
      <c r="C24" s="209"/>
      <c r="D24" s="209"/>
      <c r="E24" s="209"/>
      <c r="F24" s="209"/>
      <c r="G24" s="209"/>
      <c r="H24" s="209"/>
      <c r="I24" s="210">
        <f>SUM(I15:J23)</f>
        <v>1059697</v>
      </c>
      <c r="J24" s="210"/>
      <c r="K24" s="39"/>
      <c r="N24" s="70">
        <f>I24/'Dados Gerais'!E15</f>
        <v>152.1466711270831</v>
      </c>
    </row>
    <row r="25" spans="1:14" ht="15" customHeight="1" x14ac:dyDescent="0.3">
      <c r="A25" s="223"/>
      <c r="B25" s="173"/>
      <c r="C25" s="173"/>
      <c r="D25" s="173"/>
      <c r="E25" s="173"/>
      <c r="F25" s="173"/>
      <c r="G25" s="173"/>
      <c r="H25" s="173"/>
      <c r="I25" s="41"/>
      <c r="J25" s="41"/>
      <c r="K25" s="43"/>
    </row>
    <row r="26" spans="1:14" x14ac:dyDescent="0.3">
      <c r="A26" s="30"/>
      <c r="B26" s="30"/>
      <c r="C26" s="30"/>
      <c r="D26" s="68"/>
      <c r="E26" s="44"/>
      <c r="F26" s="44"/>
      <c r="G26" s="30"/>
      <c r="H26" s="30"/>
      <c r="I26" s="30"/>
      <c r="J26" s="30"/>
      <c r="K26" s="30"/>
    </row>
    <row r="27" spans="1:14" x14ac:dyDescent="0.3">
      <c r="A27" s="23" t="s">
        <v>72</v>
      </c>
      <c r="B27" s="24"/>
      <c r="C27" s="24"/>
      <c r="D27" s="66"/>
      <c r="E27" s="45"/>
      <c r="F27" s="25"/>
      <c r="G27" s="24"/>
      <c r="H27" s="24"/>
      <c r="I27" s="24"/>
      <c r="J27" s="24"/>
      <c r="K27" s="26"/>
    </row>
    <row r="28" spans="1:14" ht="15.9" customHeight="1" x14ac:dyDescent="0.3">
      <c r="A28" s="27"/>
      <c r="B28" s="28"/>
      <c r="C28" s="28"/>
      <c r="D28" s="67"/>
      <c r="E28" s="75"/>
      <c r="F28" s="29"/>
      <c r="G28" s="28"/>
      <c r="H28" s="28"/>
      <c r="I28" s="30"/>
      <c r="J28" s="30"/>
      <c r="K28" s="31"/>
    </row>
    <row r="29" spans="1:14" ht="15.9" customHeight="1" x14ac:dyDescent="0.3">
      <c r="A29" s="189" t="s">
        <v>35</v>
      </c>
      <c r="B29" s="190"/>
      <c r="C29" s="190"/>
      <c r="D29" s="212" t="s">
        <v>52</v>
      </c>
      <c r="E29" s="213"/>
      <c r="F29" s="192" t="s">
        <v>24</v>
      </c>
      <c r="G29" s="194"/>
      <c r="H29" s="58" t="s">
        <v>40</v>
      </c>
      <c r="I29" s="192" t="s">
        <v>39</v>
      </c>
      <c r="J29" s="194"/>
      <c r="K29" s="31"/>
    </row>
    <row r="30" spans="1:14" ht="30.75" customHeight="1" x14ac:dyDescent="0.3">
      <c r="A30" s="201" t="s">
        <v>73</v>
      </c>
      <c r="B30" s="201"/>
      <c r="C30" s="201"/>
      <c r="D30" s="97">
        <f>'Dados Gerais'!E13*Infraestrutura!F30</f>
        <v>494.14749999999998</v>
      </c>
      <c r="E30" s="61" t="s">
        <v>18</v>
      </c>
      <c r="F30" s="52">
        <v>0.85</v>
      </c>
      <c r="G30" s="33" t="s">
        <v>174</v>
      </c>
      <c r="H30" s="84" t="s">
        <v>176</v>
      </c>
      <c r="I30" s="224">
        <f>+D30*33.7</f>
        <v>16652.77075</v>
      </c>
      <c r="J30" s="198"/>
      <c r="K30" s="35"/>
    </row>
    <row r="31" spans="1:14" x14ac:dyDescent="0.3">
      <c r="A31" s="195" t="s">
        <v>63</v>
      </c>
      <c r="B31" s="195"/>
      <c r="C31" s="195"/>
      <c r="D31" s="80">
        <f>D32*F31</f>
        <v>29067.5</v>
      </c>
      <c r="E31" s="69" t="s">
        <v>67</v>
      </c>
      <c r="F31" s="53">
        <v>100</v>
      </c>
      <c r="G31" s="36" t="s">
        <v>126</v>
      </c>
      <c r="H31" s="84" t="s">
        <v>176</v>
      </c>
      <c r="I31" s="211">
        <f>+D31*9.5</f>
        <v>276141.25</v>
      </c>
      <c r="J31" s="227"/>
      <c r="K31" s="35"/>
      <c r="L31" s="91"/>
    </row>
    <row r="32" spans="1:14" x14ac:dyDescent="0.3">
      <c r="A32" s="195" t="s">
        <v>64</v>
      </c>
      <c r="B32" s="195"/>
      <c r="C32" s="195"/>
      <c r="D32" s="80">
        <f>F32*'Dados Gerais'!E13</f>
        <v>290.67500000000001</v>
      </c>
      <c r="E32" s="69" t="s">
        <v>61</v>
      </c>
      <c r="F32" s="53">
        <v>0.5</v>
      </c>
      <c r="G32" s="36" t="s">
        <v>60</v>
      </c>
      <c r="H32" s="84" t="s">
        <v>176</v>
      </c>
      <c r="I32" s="211">
        <f>+D32*510</f>
        <v>148244.25</v>
      </c>
      <c r="J32" s="227"/>
      <c r="K32" s="35"/>
    </row>
    <row r="33" spans="1:14" ht="15.9" customHeight="1" x14ac:dyDescent="0.3">
      <c r="A33" s="195" t="s">
        <v>65</v>
      </c>
      <c r="B33" s="195"/>
      <c r="C33" s="195"/>
      <c r="D33" s="81">
        <f>+'Dados Gerais'!E13</f>
        <v>581.35</v>
      </c>
      <c r="E33" s="69" t="s">
        <v>18</v>
      </c>
      <c r="F33" s="53">
        <v>280</v>
      </c>
      <c r="G33" s="36" t="s">
        <v>38</v>
      </c>
      <c r="H33" s="37" t="s">
        <v>176</v>
      </c>
      <c r="I33" s="225">
        <f>+D33*F33</f>
        <v>162778</v>
      </c>
      <c r="J33" s="226"/>
      <c r="K33" s="35"/>
    </row>
    <row r="34" spans="1:14" ht="15.9" customHeight="1" x14ac:dyDescent="0.3">
      <c r="A34" s="209" t="s">
        <v>43</v>
      </c>
      <c r="B34" s="209"/>
      <c r="C34" s="209"/>
      <c r="D34" s="209"/>
      <c r="E34" s="209"/>
      <c r="F34" s="209"/>
      <c r="G34" s="209"/>
      <c r="H34" s="209"/>
      <c r="I34" s="210">
        <f>SUM(I30:J33)</f>
        <v>603816.27075000003</v>
      </c>
      <c r="J34" s="210"/>
      <c r="K34" s="39"/>
    </row>
    <row r="35" spans="1:14" ht="15.9" customHeight="1" x14ac:dyDescent="0.3">
      <c r="A35" s="172"/>
      <c r="B35" s="173"/>
      <c r="C35" s="173"/>
      <c r="D35" s="173"/>
      <c r="E35" s="173"/>
      <c r="F35" s="173"/>
      <c r="G35" s="173"/>
      <c r="H35" s="173"/>
      <c r="I35" s="41"/>
      <c r="J35" s="41"/>
      <c r="K35" s="43"/>
      <c r="N35" s="70"/>
    </row>
    <row r="36" spans="1:14" x14ac:dyDescent="0.3">
      <c r="A36" s="30"/>
      <c r="B36" s="30"/>
      <c r="C36" s="30"/>
      <c r="D36" s="68"/>
      <c r="E36" s="44"/>
      <c r="F36" s="44"/>
      <c r="G36" s="30"/>
      <c r="H36" s="30"/>
      <c r="I36" s="30"/>
      <c r="J36" s="30"/>
      <c r="K36" s="30"/>
    </row>
    <row r="37" spans="1:14" x14ac:dyDescent="0.3">
      <c r="I37" s="91">
        <f>I34+I24</f>
        <v>1663513.2707500001</v>
      </c>
    </row>
  </sheetData>
  <mergeCells count="47">
    <mergeCell ref="I16:J16"/>
    <mergeCell ref="A16:C16"/>
    <mergeCell ref="A20:C20"/>
    <mergeCell ref="I20:J20"/>
    <mergeCell ref="A21:C21"/>
    <mergeCell ref="I21:J21"/>
    <mergeCell ref="A18:C18"/>
    <mergeCell ref="I18:J18"/>
    <mergeCell ref="A17:C17"/>
    <mergeCell ref="I17:J17"/>
    <mergeCell ref="A30:C30"/>
    <mergeCell ref="I30:J30"/>
    <mergeCell ref="A34:H34"/>
    <mergeCell ref="I34:J34"/>
    <mergeCell ref="A35:H35"/>
    <mergeCell ref="I33:J33"/>
    <mergeCell ref="I32:J32"/>
    <mergeCell ref="I31:J31"/>
    <mergeCell ref="A31:C31"/>
    <mergeCell ref="A32:C32"/>
    <mergeCell ref="A33:C33"/>
    <mergeCell ref="A24:H24"/>
    <mergeCell ref="I24:J24"/>
    <mergeCell ref="A25:H25"/>
    <mergeCell ref="A29:C29"/>
    <mergeCell ref="D29:E29"/>
    <mergeCell ref="F29:G29"/>
    <mergeCell ref="I29:J29"/>
    <mergeCell ref="A14:C14"/>
    <mergeCell ref="D14:E14"/>
    <mergeCell ref="F14:G14"/>
    <mergeCell ref="I14:J14"/>
    <mergeCell ref="A15:C15"/>
    <mergeCell ref="I15:J15"/>
    <mergeCell ref="B10:F10"/>
    <mergeCell ref="J10:K10"/>
    <mergeCell ref="A2:K4"/>
    <mergeCell ref="B7:K7"/>
    <mergeCell ref="B8:K8"/>
    <mergeCell ref="J9:K9"/>
    <mergeCell ref="B9:H9"/>
    <mergeCell ref="A22:C22"/>
    <mergeCell ref="I22:J22"/>
    <mergeCell ref="A23:C23"/>
    <mergeCell ref="I23:J23"/>
    <mergeCell ref="A19:C19"/>
    <mergeCell ref="I19:J19"/>
  </mergeCells>
  <dataValidations disablePrompts="1" count="1">
    <dataValidation type="list" allowBlank="1" showInputMessage="1" showErrorMessage="1" sqref="J10" xr:uid="{00000000-0002-0000-03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3C66"/>
  </sheetPr>
  <dimension ref="A1:M27"/>
  <sheetViews>
    <sheetView showGridLines="0" topLeftCell="A5" zoomScaleNormal="100" zoomScaleSheetLayoutView="95" workbookViewId="0">
      <selection activeCell="A23" sqref="A23:H23"/>
    </sheetView>
  </sheetViews>
  <sheetFormatPr defaultColWidth="9.109375" defaultRowHeight="13.2" x14ac:dyDescent="0.3"/>
  <cols>
    <col min="1" max="1" width="17.44140625" style="12" customWidth="1"/>
    <col min="2" max="2" width="11.33203125" style="12" customWidth="1"/>
    <col min="3" max="3" width="8.88671875" style="12" customWidth="1"/>
    <col min="4" max="4" width="13" style="70" customWidth="1"/>
    <col min="5" max="5" width="7.5546875" style="76" customWidth="1"/>
    <col min="6" max="6" width="10.6640625" style="19" customWidth="1"/>
    <col min="7" max="7" width="13.33203125" style="12" customWidth="1"/>
    <col min="8" max="8" width="12.88671875" style="12" customWidth="1"/>
    <col min="9" max="9" width="9.33203125" style="12" customWidth="1"/>
    <col min="10" max="10" width="9.33203125" style="12" bestFit="1" customWidth="1"/>
    <col min="11" max="11" width="14.109375" style="12" bestFit="1" customWidth="1"/>
    <col min="12" max="12" width="11.5546875" style="12" bestFit="1" customWidth="1"/>
    <col min="13" max="14" width="9.109375" style="12"/>
    <col min="15" max="15" width="11.33203125" style="12" bestFit="1" customWidth="1"/>
    <col min="16" max="16384" width="9.109375" style="12"/>
  </cols>
  <sheetData>
    <row r="1" spans="1:12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L1" s="13"/>
    </row>
    <row r="2" spans="1:12" x14ac:dyDescent="0.3">
      <c r="A2" s="152" t="s">
        <v>75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3"/>
    </row>
    <row r="3" spans="1:12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3"/>
    </row>
    <row r="4" spans="1:12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3"/>
    </row>
    <row r="5" spans="1:12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L5" s="13"/>
    </row>
    <row r="6" spans="1:12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L6" s="13"/>
    </row>
    <row r="7" spans="1:12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L7" s="13"/>
    </row>
    <row r="8" spans="1:12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3"/>
    </row>
    <row r="9" spans="1:12" ht="15" customHeight="1" x14ac:dyDescent="0.3">
      <c r="A9" s="6" t="s">
        <v>2</v>
      </c>
      <c r="B9" s="156" t="s">
        <v>193</v>
      </c>
      <c r="C9" s="157"/>
      <c r="D9" s="157"/>
      <c r="E9" s="157"/>
      <c r="F9" s="157"/>
      <c r="G9" s="157"/>
      <c r="H9" s="158"/>
      <c r="I9" s="7" t="s">
        <v>6</v>
      </c>
      <c r="J9" s="155" t="s">
        <v>44</v>
      </c>
      <c r="K9" s="155"/>
    </row>
    <row r="10" spans="1:12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2" x14ac:dyDescent="0.3">
      <c r="A12" s="23" t="s">
        <v>76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2" ht="15.9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2" ht="15.75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58" t="s">
        <v>40</v>
      </c>
      <c r="I14" s="192" t="s">
        <v>39</v>
      </c>
      <c r="J14" s="194"/>
      <c r="K14" s="31"/>
    </row>
    <row r="15" spans="1:12" ht="15.75" customHeight="1" x14ac:dyDescent="0.3">
      <c r="A15" s="201" t="s">
        <v>77</v>
      </c>
      <c r="B15" s="201"/>
      <c r="C15" s="201"/>
      <c r="D15" s="79">
        <f>+D16*F15/100</f>
        <v>2611.86375</v>
      </c>
      <c r="E15" s="61" t="s">
        <v>18</v>
      </c>
      <c r="F15" s="52">
        <v>15</v>
      </c>
      <c r="G15" s="33" t="s">
        <v>127</v>
      </c>
      <c r="H15" s="34" t="s">
        <v>176</v>
      </c>
      <c r="I15" s="224">
        <f>+D15*90</f>
        <v>235067.73749999999</v>
      </c>
      <c r="J15" s="198"/>
      <c r="K15" s="35"/>
    </row>
    <row r="16" spans="1:12" ht="15.75" customHeight="1" x14ac:dyDescent="0.3">
      <c r="A16" s="174" t="s">
        <v>78</v>
      </c>
      <c r="B16" s="175"/>
      <c r="C16" s="176"/>
      <c r="D16" s="82">
        <f>+'Dados Gerais'!$E$15*F16</f>
        <v>17412.424999999999</v>
      </c>
      <c r="E16" s="83" t="s">
        <v>18</v>
      </c>
      <c r="F16" s="55">
        <v>2.5</v>
      </c>
      <c r="G16" s="56" t="s">
        <v>179</v>
      </c>
      <c r="H16" s="57" t="s">
        <v>176</v>
      </c>
      <c r="I16" s="211">
        <f>+D16*7</f>
        <v>121886.97499999999</v>
      </c>
      <c r="J16" s="227"/>
      <c r="K16" s="35"/>
    </row>
    <row r="17" spans="1:13" ht="15.75" customHeight="1" x14ac:dyDescent="0.3">
      <c r="A17" s="174" t="s">
        <v>80</v>
      </c>
      <c r="B17" s="175"/>
      <c r="C17" s="176"/>
      <c r="D17" s="85">
        <f>+'Dados Gerais'!E20*'Dados Gerais'!E17</f>
        <v>3581.6899999999996</v>
      </c>
      <c r="E17" s="83" t="s">
        <v>18</v>
      </c>
      <c r="F17" s="55">
        <v>25</v>
      </c>
      <c r="G17" s="56" t="s">
        <v>69</v>
      </c>
      <c r="H17" s="57" t="s">
        <v>176</v>
      </c>
      <c r="I17" s="211">
        <f t="shared" ref="I17" si="0">+D17*F17</f>
        <v>89542.249999999985</v>
      </c>
      <c r="J17" s="227"/>
      <c r="K17" s="35"/>
      <c r="L17" s="91"/>
      <c r="M17" s="91"/>
    </row>
    <row r="18" spans="1:13" ht="15.75" customHeight="1" x14ac:dyDescent="0.3">
      <c r="A18" s="174" t="s">
        <v>81</v>
      </c>
      <c r="B18" s="175"/>
      <c r="C18" s="176"/>
      <c r="D18" s="82">
        <f>+'Dados Gerais'!E24</f>
        <v>2685.51</v>
      </c>
      <c r="E18" s="83" t="s">
        <v>18</v>
      </c>
      <c r="F18" s="55">
        <v>30</v>
      </c>
      <c r="G18" s="56" t="s">
        <v>69</v>
      </c>
      <c r="H18" s="57" t="s">
        <v>176</v>
      </c>
      <c r="I18" s="211">
        <f t="shared" ref="I18" si="1">+D18*F18</f>
        <v>80565.3</v>
      </c>
      <c r="J18" s="227"/>
      <c r="K18" s="35"/>
    </row>
    <row r="19" spans="1:13" ht="15" customHeight="1" x14ac:dyDescent="0.3">
      <c r="A19" s="195" t="s">
        <v>79</v>
      </c>
      <c r="B19" s="195"/>
      <c r="C19" s="195"/>
      <c r="D19" s="80">
        <f>(D20)*F19</f>
        <v>148005.61250000002</v>
      </c>
      <c r="E19" s="69" t="s">
        <v>67</v>
      </c>
      <c r="F19" s="53">
        <v>85</v>
      </c>
      <c r="G19" s="36" t="s">
        <v>126</v>
      </c>
      <c r="H19" s="57" t="s">
        <v>176</v>
      </c>
      <c r="I19" s="211">
        <f>+D19*8</f>
        <v>1184044.9000000001</v>
      </c>
      <c r="J19" s="227"/>
      <c r="K19" s="35"/>
    </row>
    <row r="20" spans="1:13" ht="15.75" customHeight="1" x14ac:dyDescent="0.3">
      <c r="A20" s="229" t="s">
        <v>297</v>
      </c>
      <c r="B20" s="229"/>
      <c r="C20" s="229"/>
      <c r="D20" s="124">
        <f>(+'Dados Gerais'!E15)*Supraestrutura!$F$20</f>
        <v>1741.2425000000001</v>
      </c>
      <c r="E20" s="114" t="s">
        <v>61</v>
      </c>
      <c r="F20" s="125">
        <v>0.25</v>
      </c>
      <c r="G20" s="126" t="s">
        <v>180</v>
      </c>
      <c r="H20" s="127" t="s">
        <v>176</v>
      </c>
      <c r="I20" s="230">
        <f>+D20*500</f>
        <v>870621.25</v>
      </c>
      <c r="J20" s="231"/>
      <c r="K20" s="35"/>
    </row>
    <row r="21" spans="1:13" ht="15.75" customHeight="1" x14ac:dyDescent="0.3">
      <c r="A21" s="229" t="s">
        <v>208</v>
      </c>
      <c r="B21" s="229"/>
      <c r="C21" s="229"/>
      <c r="D21" s="128">
        <f>'Dados Gerais'!E15</f>
        <v>6964.97</v>
      </c>
      <c r="E21" s="114" t="s">
        <v>18</v>
      </c>
      <c r="F21" s="125">
        <v>60</v>
      </c>
      <c r="G21" s="126" t="s">
        <v>25</v>
      </c>
      <c r="H21" s="127" t="s">
        <v>176</v>
      </c>
      <c r="I21" s="230">
        <f t="shared" ref="I21" si="2">+D21*F21</f>
        <v>417898.2</v>
      </c>
      <c r="J21" s="231"/>
      <c r="K21" s="35"/>
    </row>
    <row r="22" spans="1:13" ht="33.6" customHeight="1" x14ac:dyDescent="0.3">
      <c r="A22" s="229" t="s">
        <v>210</v>
      </c>
      <c r="B22" s="229"/>
      <c r="C22" s="229"/>
      <c r="D22" s="128">
        <f>+'Dados Gerais'!E15</f>
        <v>6964.97</v>
      </c>
      <c r="E22" s="114" t="s">
        <v>18</v>
      </c>
      <c r="F22" s="125">
        <v>215</v>
      </c>
      <c r="G22" s="126" t="s">
        <v>69</v>
      </c>
      <c r="H22" s="127" t="s">
        <v>176</v>
      </c>
      <c r="I22" s="230">
        <f>+D22*F22</f>
        <v>1497468.55</v>
      </c>
      <c r="J22" s="231"/>
      <c r="K22" s="35"/>
    </row>
    <row r="23" spans="1:13" ht="15.75" customHeight="1" x14ac:dyDescent="0.3">
      <c r="A23" s="209" t="s">
        <v>43</v>
      </c>
      <c r="B23" s="209"/>
      <c r="C23" s="209"/>
      <c r="D23" s="209"/>
      <c r="E23" s="209"/>
      <c r="F23" s="209"/>
      <c r="G23" s="209"/>
      <c r="H23" s="209"/>
      <c r="I23" s="210">
        <f>SUM(I15:J22)</f>
        <v>4497095.1625000006</v>
      </c>
      <c r="J23" s="210"/>
      <c r="K23" s="39"/>
    </row>
    <row r="24" spans="1:13" ht="15.9" customHeight="1" x14ac:dyDescent="0.3">
      <c r="A24" s="172"/>
      <c r="B24" s="173"/>
      <c r="C24" s="173"/>
      <c r="D24" s="173"/>
      <c r="E24" s="173"/>
      <c r="F24" s="173"/>
      <c r="G24" s="173"/>
      <c r="H24" s="173"/>
      <c r="I24" s="41"/>
      <c r="J24" s="41"/>
      <c r="K24" s="43"/>
    </row>
    <row r="25" spans="1:13" x14ac:dyDescent="0.3">
      <c r="A25" s="30"/>
      <c r="B25" s="30"/>
      <c r="C25" s="30"/>
      <c r="D25" s="68"/>
      <c r="E25" s="44"/>
      <c r="F25" s="44"/>
      <c r="G25" s="30"/>
      <c r="H25" s="30"/>
      <c r="I25" s="30"/>
      <c r="J25" s="116"/>
      <c r="K25" s="30"/>
    </row>
    <row r="26" spans="1:13" x14ac:dyDescent="0.3">
      <c r="J26" s="91"/>
      <c r="K26" s="91"/>
    </row>
    <row r="27" spans="1:13" x14ac:dyDescent="0.3">
      <c r="I27" s="91"/>
      <c r="K27" s="91">
        <f>I23</f>
        <v>4497095.1625000006</v>
      </c>
    </row>
  </sheetData>
  <mergeCells count="30">
    <mergeCell ref="A24:H24"/>
    <mergeCell ref="A19:C19"/>
    <mergeCell ref="I19:J19"/>
    <mergeCell ref="A20:C20"/>
    <mergeCell ref="I20:J20"/>
    <mergeCell ref="A21:C21"/>
    <mergeCell ref="I21:J21"/>
    <mergeCell ref="A22:C22"/>
    <mergeCell ref="I22:J22"/>
    <mergeCell ref="A17:C17"/>
    <mergeCell ref="I17:J17"/>
    <mergeCell ref="A18:C18"/>
    <mergeCell ref="I18:J18"/>
    <mergeCell ref="A23:H23"/>
    <mergeCell ref="I23:J23"/>
    <mergeCell ref="B10:F10"/>
    <mergeCell ref="J10:K10"/>
    <mergeCell ref="A2:K4"/>
    <mergeCell ref="B7:K7"/>
    <mergeCell ref="B8:K8"/>
    <mergeCell ref="J9:K9"/>
    <mergeCell ref="B9:H9"/>
    <mergeCell ref="A14:C14"/>
    <mergeCell ref="D14:E14"/>
    <mergeCell ref="F14:G14"/>
    <mergeCell ref="I14:J14"/>
    <mergeCell ref="A16:C16"/>
    <mergeCell ref="A15:C15"/>
    <mergeCell ref="I15:J15"/>
    <mergeCell ref="I16:J16"/>
  </mergeCells>
  <dataValidations disablePrompts="1" count="1">
    <dataValidation type="list" allowBlank="1" showInputMessage="1" showErrorMessage="1" sqref="J10" xr:uid="{00000000-0002-0000-0400-000000000000}">
      <formula1>$M$1:$M$6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C66"/>
  </sheetPr>
  <dimension ref="A1:M27"/>
  <sheetViews>
    <sheetView showGridLines="0" topLeftCell="A5" zoomScale="85" zoomScaleNormal="85" zoomScaleSheetLayoutView="95" workbookViewId="0">
      <selection activeCell="F18" sqref="F18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82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7"/>
      <c r="G9" s="157"/>
      <c r="H9" s="158"/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x14ac:dyDescent="0.3">
      <c r="A12" s="23" t="s">
        <v>83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58" t="s">
        <v>40</v>
      </c>
      <c r="I14" s="192" t="s">
        <v>39</v>
      </c>
      <c r="J14" s="194"/>
      <c r="K14" s="31"/>
    </row>
    <row r="15" spans="1:13" ht="36.75" customHeight="1" x14ac:dyDescent="0.3">
      <c r="A15" s="201" t="s">
        <v>85</v>
      </c>
      <c r="B15" s="201"/>
      <c r="C15" s="201"/>
      <c r="D15" s="97">
        <f>+F15*'Dados Gerais'!E24</f>
        <v>2416.9590000000003</v>
      </c>
      <c r="E15" s="61" t="s">
        <v>18</v>
      </c>
      <c r="F15" s="52">
        <v>0.9</v>
      </c>
      <c r="G15" s="110" t="s">
        <v>171</v>
      </c>
      <c r="H15" s="87" t="s">
        <v>176</v>
      </c>
      <c r="I15" s="224">
        <f>+D15*43.5</f>
        <v>105137.71650000001</v>
      </c>
      <c r="J15" s="198"/>
      <c r="K15" s="35"/>
    </row>
    <row r="16" spans="1:13" ht="36.75" customHeight="1" x14ac:dyDescent="0.3">
      <c r="A16" s="195" t="s">
        <v>166</v>
      </c>
      <c r="B16" s="195"/>
      <c r="C16" s="195"/>
      <c r="D16" s="80">
        <f>+'Dados Gerais'!$E$22*Alvenaria!F16</f>
        <v>132.20099999999999</v>
      </c>
      <c r="E16" s="69" t="s">
        <v>18</v>
      </c>
      <c r="F16" s="53">
        <v>0.9</v>
      </c>
      <c r="G16" s="36" t="s">
        <v>172</v>
      </c>
      <c r="H16" s="84" t="s">
        <v>176</v>
      </c>
      <c r="I16" s="211">
        <f>+D16*43.5</f>
        <v>5750.7434999999996</v>
      </c>
      <c r="J16" s="227"/>
      <c r="K16" s="35"/>
    </row>
    <row r="17" spans="1:11" ht="36.75" customHeight="1" x14ac:dyDescent="0.3">
      <c r="A17" s="195" t="s">
        <v>307</v>
      </c>
      <c r="B17" s="195"/>
      <c r="C17" s="195"/>
      <c r="D17" s="80">
        <f>+'Dados Gerais'!$E$20*'Dados Gerais'!$E$17*Alvenaria!F17</f>
        <v>4298.0279999999993</v>
      </c>
      <c r="E17" s="69" t="s">
        <v>18</v>
      </c>
      <c r="F17" s="53">
        <v>1.2</v>
      </c>
      <c r="G17" s="117" t="s">
        <v>181</v>
      </c>
      <c r="H17" s="84" t="s">
        <v>176</v>
      </c>
      <c r="I17" s="211">
        <f t="shared" ref="I17:I21" si="0">+D17*43.5</f>
        <v>186964.21799999996</v>
      </c>
      <c r="J17" s="227"/>
      <c r="K17" s="35"/>
    </row>
    <row r="18" spans="1:11" ht="36.75" customHeight="1" x14ac:dyDescent="0.3">
      <c r="A18" s="195" t="s">
        <v>308</v>
      </c>
      <c r="B18" s="195"/>
      <c r="C18" s="195"/>
      <c r="D18" s="80">
        <f>+'Dados Gerais'!$E$20*'Dados Gerais'!$E$17*Alvenaria!F18</f>
        <v>5372.5349999999999</v>
      </c>
      <c r="E18" s="69" t="s">
        <v>18</v>
      </c>
      <c r="F18" s="146">
        <v>1.5</v>
      </c>
      <c r="G18" s="117" t="s">
        <v>181</v>
      </c>
      <c r="H18" s="84" t="s">
        <v>176</v>
      </c>
      <c r="I18" s="211">
        <f>+D18*110</f>
        <v>590978.85</v>
      </c>
      <c r="J18" s="227"/>
      <c r="K18" s="35"/>
    </row>
    <row r="19" spans="1:11" ht="36.75" customHeight="1" x14ac:dyDescent="0.3">
      <c r="A19" s="195" t="s">
        <v>200</v>
      </c>
      <c r="B19" s="195"/>
      <c r="C19" s="195"/>
      <c r="D19" s="80">
        <f>+'Dados Gerais'!$E$20*'Dados Gerais'!$E$18*Alvenaria!F19</f>
        <v>0</v>
      </c>
      <c r="E19" s="69" t="s">
        <v>199</v>
      </c>
      <c r="F19" s="53">
        <v>2.5</v>
      </c>
      <c r="G19" s="117" t="s">
        <v>202</v>
      </c>
      <c r="H19" s="84" t="s">
        <v>176</v>
      </c>
      <c r="I19" s="211">
        <f t="shared" ref="I19" si="1">+D19*43.5</f>
        <v>0</v>
      </c>
      <c r="J19" s="227"/>
      <c r="K19" s="35"/>
    </row>
    <row r="20" spans="1:11" ht="36.75" customHeight="1" x14ac:dyDescent="0.3">
      <c r="A20" s="195" t="s">
        <v>217</v>
      </c>
      <c r="B20" s="195"/>
      <c r="C20" s="195"/>
      <c r="D20" s="80">
        <f>+'Dados Gerais'!$E$20*'Dados Gerais'!$E$19*Alvenaria!F20</f>
        <v>942.55</v>
      </c>
      <c r="E20" s="69" t="s">
        <v>201</v>
      </c>
      <c r="F20" s="53">
        <v>2.5</v>
      </c>
      <c r="G20" s="117" t="s">
        <v>205</v>
      </c>
      <c r="H20" s="84" t="s">
        <v>176</v>
      </c>
      <c r="I20" s="211">
        <f t="shared" ref="I20" si="2">+D20*43.5</f>
        <v>41000.924999999996</v>
      </c>
      <c r="J20" s="227"/>
      <c r="K20" s="35"/>
    </row>
    <row r="21" spans="1:11" ht="36.75" customHeight="1" x14ac:dyDescent="0.3">
      <c r="A21" s="195" t="s">
        <v>86</v>
      </c>
      <c r="B21" s="195"/>
      <c r="C21" s="195"/>
      <c r="D21" s="80">
        <f>+'Dados Gerais'!E20*F21</f>
        <v>169.65899999999999</v>
      </c>
      <c r="E21" s="69" t="s">
        <v>18</v>
      </c>
      <c r="F21" s="53">
        <v>0.9</v>
      </c>
      <c r="G21" s="56" t="s">
        <v>84</v>
      </c>
      <c r="H21" s="84" t="s">
        <v>176</v>
      </c>
      <c r="I21" s="211">
        <f t="shared" si="0"/>
        <v>7380.1664999999994</v>
      </c>
      <c r="J21" s="227"/>
      <c r="K21" s="35"/>
    </row>
    <row r="22" spans="1:11" ht="15.9" customHeight="1" x14ac:dyDescent="0.3">
      <c r="A22" s="220" t="s">
        <v>65</v>
      </c>
      <c r="B22" s="220"/>
      <c r="C22" s="220"/>
      <c r="D22" s="86">
        <f>+D15+D17+D16+D21</f>
        <v>7016.8469999999988</v>
      </c>
      <c r="E22" s="77" t="s">
        <v>18</v>
      </c>
      <c r="F22" s="54">
        <v>40</v>
      </c>
      <c r="G22" s="40" t="s">
        <v>69</v>
      </c>
      <c r="H22" s="78" t="s">
        <v>176</v>
      </c>
      <c r="I22" s="225">
        <f>+D22*F22</f>
        <v>280673.87999999995</v>
      </c>
      <c r="J22" s="226"/>
      <c r="K22" s="35"/>
    </row>
    <row r="23" spans="1:11" ht="15.9" customHeight="1" x14ac:dyDescent="0.3">
      <c r="A23" s="209" t="s">
        <v>43</v>
      </c>
      <c r="B23" s="209"/>
      <c r="C23" s="209"/>
      <c r="D23" s="209"/>
      <c r="E23" s="209"/>
      <c r="F23" s="209"/>
      <c r="G23" s="209"/>
      <c r="H23" s="209"/>
      <c r="I23" s="210">
        <f>SUM(I15:J22)</f>
        <v>1217886.4994999999</v>
      </c>
      <c r="J23" s="210"/>
      <c r="K23" s="39"/>
    </row>
    <row r="24" spans="1:11" ht="15.9" customHeight="1" x14ac:dyDescent="0.3">
      <c r="A24" s="172"/>
      <c r="B24" s="173"/>
      <c r="C24" s="173"/>
      <c r="D24" s="173"/>
      <c r="E24" s="173"/>
      <c r="F24" s="173"/>
      <c r="G24" s="173"/>
      <c r="H24" s="173"/>
      <c r="I24" s="41"/>
      <c r="J24" s="41"/>
      <c r="K24" s="43"/>
    </row>
    <row r="25" spans="1:11" x14ac:dyDescent="0.3">
      <c r="A25" s="30"/>
      <c r="B25" s="30"/>
      <c r="C25" s="30"/>
      <c r="D25" s="68"/>
      <c r="E25" s="44"/>
      <c r="F25" s="44"/>
      <c r="G25" s="30"/>
      <c r="H25" s="30"/>
      <c r="I25" s="30"/>
      <c r="J25" s="30"/>
      <c r="K25" s="30"/>
    </row>
    <row r="27" spans="1:11" x14ac:dyDescent="0.3">
      <c r="J27" s="91">
        <f>I23</f>
        <v>1217886.4994999999</v>
      </c>
    </row>
  </sheetData>
  <mergeCells count="30">
    <mergeCell ref="A18:C18"/>
    <mergeCell ref="I18:J18"/>
    <mergeCell ref="A22:C22"/>
    <mergeCell ref="I22:J22"/>
    <mergeCell ref="A23:H23"/>
    <mergeCell ref="I23:J23"/>
    <mergeCell ref="A24:H24"/>
    <mergeCell ref="A17:C17"/>
    <mergeCell ref="I17:J17"/>
    <mergeCell ref="A21:C21"/>
    <mergeCell ref="I21:J21"/>
    <mergeCell ref="A14:C14"/>
    <mergeCell ref="D14:E14"/>
    <mergeCell ref="F14:G14"/>
    <mergeCell ref="I14:J14"/>
    <mergeCell ref="A15:C15"/>
    <mergeCell ref="I15:J15"/>
    <mergeCell ref="A16:C16"/>
    <mergeCell ref="I16:J16"/>
    <mergeCell ref="A19:C19"/>
    <mergeCell ref="I19:J19"/>
    <mergeCell ref="A20:C20"/>
    <mergeCell ref="I20:J20"/>
    <mergeCell ref="B10:F10"/>
    <mergeCell ref="J10:K10"/>
    <mergeCell ref="A2:K4"/>
    <mergeCell ref="B7:K7"/>
    <mergeCell ref="B8:K8"/>
    <mergeCell ref="J9:K9"/>
    <mergeCell ref="B9:H9"/>
  </mergeCells>
  <dataValidations disablePrompts="1" count="1">
    <dataValidation type="list" allowBlank="1" showInputMessage="1" showErrorMessage="1" sqref="J10" xr:uid="{00000000-0002-0000-05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3C66"/>
  </sheetPr>
  <dimension ref="A1:N46"/>
  <sheetViews>
    <sheetView showGridLines="0" topLeftCell="A33" zoomScaleNormal="100" zoomScaleSheetLayoutView="95" workbookViewId="0">
      <selection activeCell="O50" sqref="O50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12.5546875" style="12" customWidth="1"/>
    <col min="4" max="4" width="14" style="70" customWidth="1"/>
    <col min="5" max="5" width="7.5546875" style="76" customWidth="1"/>
    <col min="6" max="6" width="11.77734375" style="19" bestFit="1" customWidth="1"/>
    <col min="7" max="7" width="15.88671875" style="12" customWidth="1"/>
    <col min="8" max="8" width="12.88671875" style="12" customWidth="1"/>
    <col min="9" max="9" width="9.33203125" style="12" customWidth="1"/>
    <col min="10" max="10" width="7.33203125" style="12" bestFit="1" customWidth="1"/>
    <col min="11" max="11" width="6.44140625" style="12" customWidth="1"/>
    <col min="12" max="12" width="11.33203125" style="12" bestFit="1" customWidth="1"/>
    <col min="13" max="13" width="13.109375" style="12" bestFit="1" customWidth="1"/>
    <col min="14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87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7"/>
      <c r="G9" s="157"/>
      <c r="H9" s="158"/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x14ac:dyDescent="0.3">
      <c r="A12" s="23" t="s">
        <v>88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58" t="s">
        <v>40</v>
      </c>
      <c r="I14" s="192" t="s">
        <v>39</v>
      </c>
      <c r="J14" s="194"/>
      <c r="K14" s="31"/>
    </row>
    <row r="15" spans="1:13" ht="15.9" customHeight="1" x14ac:dyDescent="0.3">
      <c r="A15" s="202" t="s">
        <v>89</v>
      </c>
      <c r="B15" s="203"/>
      <c r="C15" s="204"/>
      <c r="D15" s="79">
        <v>1</v>
      </c>
      <c r="E15" s="61" t="s">
        <v>68</v>
      </c>
      <c r="F15" s="52">
        <v>5.5</v>
      </c>
      <c r="G15" s="33" t="s">
        <v>25</v>
      </c>
      <c r="H15" s="87" t="s">
        <v>176</v>
      </c>
      <c r="I15" s="224">
        <f>+F15*'Dados Gerais'!$E$15</f>
        <v>38307.334999999999</v>
      </c>
      <c r="J15" s="198"/>
      <c r="K15" s="35"/>
    </row>
    <row r="16" spans="1:13" ht="15.9" customHeight="1" x14ac:dyDescent="0.3">
      <c r="A16" s="174" t="s">
        <v>90</v>
      </c>
      <c r="B16" s="175"/>
      <c r="C16" s="176"/>
      <c r="D16" s="82">
        <v>1</v>
      </c>
      <c r="E16" s="83" t="s">
        <v>68</v>
      </c>
      <c r="F16" s="55">
        <v>10</v>
      </c>
      <c r="G16" s="56" t="s">
        <v>25</v>
      </c>
      <c r="H16" s="88" t="s">
        <v>176</v>
      </c>
      <c r="I16" s="211">
        <f>+F16*'Dados Gerais'!$E$15</f>
        <v>69649.7</v>
      </c>
      <c r="J16" s="227"/>
      <c r="K16" s="35"/>
    </row>
    <row r="17" spans="1:11" ht="15.9" customHeight="1" x14ac:dyDescent="0.3">
      <c r="A17" s="174" t="s">
        <v>91</v>
      </c>
      <c r="B17" s="175"/>
      <c r="C17" s="176"/>
      <c r="D17" s="82">
        <v>1</v>
      </c>
      <c r="E17" s="83" t="s">
        <v>68</v>
      </c>
      <c r="F17" s="55">
        <v>15</v>
      </c>
      <c r="G17" s="56" t="s">
        <v>25</v>
      </c>
      <c r="H17" s="88" t="s">
        <v>176</v>
      </c>
      <c r="I17" s="211">
        <f>+F17*'Dados Gerais'!$E$15</f>
        <v>104474.55</v>
      </c>
      <c r="J17" s="227"/>
      <c r="K17" s="35"/>
    </row>
    <row r="18" spans="1:11" ht="15.9" customHeight="1" x14ac:dyDescent="0.3">
      <c r="A18" s="174" t="s">
        <v>92</v>
      </c>
      <c r="B18" s="175"/>
      <c r="C18" s="176"/>
      <c r="D18" s="82">
        <v>1</v>
      </c>
      <c r="E18" s="83" t="s">
        <v>68</v>
      </c>
      <c r="F18" s="55">
        <v>35</v>
      </c>
      <c r="G18" s="56" t="s">
        <v>25</v>
      </c>
      <c r="H18" s="88" t="s">
        <v>176</v>
      </c>
      <c r="I18" s="211">
        <f>+F18*'Dados Gerais'!$E$15</f>
        <v>243773.95</v>
      </c>
      <c r="J18" s="227"/>
      <c r="K18" s="35"/>
    </row>
    <row r="19" spans="1:11" ht="15.9" customHeight="1" x14ac:dyDescent="0.3">
      <c r="A19" s="174" t="s">
        <v>93</v>
      </c>
      <c r="B19" s="175"/>
      <c r="C19" s="176"/>
      <c r="D19" s="80">
        <v>1</v>
      </c>
      <c r="E19" s="69" t="s">
        <v>68</v>
      </c>
      <c r="F19" s="53">
        <v>20</v>
      </c>
      <c r="G19" s="36" t="s">
        <v>25</v>
      </c>
      <c r="H19" s="84" t="s">
        <v>176</v>
      </c>
      <c r="I19" s="211">
        <f>+F19*'Dados Gerais'!$E$15</f>
        <v>139299.4</v>
      </c>
      <c r="J19" s="227"/>
      <c r="K19" s="35"/>
    </row>
    <row r="20" spans="1:11" ht="15.9" customHeight="1" x14ac:dyDescent="0.3">
      <c r="A20" s="174" t="s">
        <v>212</v>
      </c>
      <c r="B20" s="175"/>
      <c r="C20" s="176"/>
      <c r="D20" s="80">
        <v>1</v>
      </c>
      <c r="E20" s="69" t="s">
        <v>68</v>
      </c>
      <c r="F20" s="53">
        <v>15</v>
      </c>
      <c r="G20" s="36" t="s">
        <v>25</v>
      </c>
      <c r="H20" s="84" t="s">
        <v>176</v>
      </c>
      <c r="I20" s="211">
        <f>+F20*'Dados Gerais'!$E$15</f>
        <v>104474.55</v>
      </c>
      <c r="J20" s="227"/>
      <c r="K20" s="35"/>
    </row>
    <row r="21" spans="1:11" ht="15.9" customHeight="1" x14ac:dyDescent="0.3">
      <c r="A21" s="174" t="s">
        <v>94</v>
      </c>
      <c r="B21" s="175"/>
      <c r="C21" s="176"/>
      <c r="D21" s="80">
        <v>1</v>
      </c>
      <c r="E21" s="69" t="s">
        <v>68</v>
      </c>
      <c r="F21" s="53">
        <v>15</v>
      </c>
      <c r="G21" s="36" t="s">
        <v>25</v>
      </c>
      <c r="H21" s="84" t="s">
        <v>176</v>
      </c>
      <c r="I21" s="211">
        <f>+F21*'Dados Gerais'!$E$15</f>
        <v>104474.55</v>
      </c>
      <c r="J21" s="227"/>
      <c r="K21" s="35"/>
    </row>
    <row r="22" spans="1:11" ht="15.9" customHeight="1" x14ac:dyDescent="0.3">
      <c r="A22" s="241" t="s">
        <v>95</v>
      </c>
      <c r="B22" s="242"/>
      <c r="C22" s="243"/>
      <c r="D22" s="86">
        <v>1</v>
      </c>
      <c r="E22" s="77" t="s">
        <v>68</v>
      </c>
      <c r="F22" s="54">
        <v>55</v>
      </c>
      <c r="G22" s="40" t="s">
        <v>25</v>
      </c>
      <c r="H22" s="78" t="s">
        <v>176</v>
      </c>
      <c r="I22" s="225">
        <f>+F22*'Dados Gerais'!$E$15</f>
        <v>383073.35000000003</v>
      </c>
      <c r="J22" s="226"/>
      <c r="K22" s="35"/>
    </row>
    <row r="23" spans="1:11" ht="15.9" customHeight="1" x14ac:dyDescent="0.3">
      <c r="A23" s="209" t="s">
        <v>43</v>
      </c>
      <c r="B23" s="209"/>
      <c r="C23" s="209"/>
      <c r="D23" s="209"/>
      <c r="E23" s="209"/>
      <c r="F23" s="209"/>
      <c r="G23" s="209"/>
      <c r="H23" s="209"/>
      <c r="I23" s="210">
        <f>SUM(I15:J22)</f>
        <v>1187527.3850000002</v>
      </c>
      <c r="J23" s="210"/>
      <c r="K23" s="39"/>
    </row>
    <row r="24" spans="1:11" ht="15.9" customHeight="1" x14ac:dyDescent="0.3">
      <c r="A24" s="172"/>
      <c r="B24" s="173"/>
      <c r="C24" s="173"/>
      <c r="D24" s="173"/>
      <c r="E24" s="173"/>
      <c r="F24" s="173"/>
      <c r="G24" s="173"/>
      <c r="H24" s="173"/>
      <c r="I24" s="41"/>
      <c r="J24" s="41"/>
      <c r="K24" s="43"/>
    </row>
    <row r="25" spans="1:11" x14ac:dyDescent="0.3">
      <c r="A25" s="23" t="s">
        <v>96</v>
      </c>
      <c r="B25" s="24"/>
      <c r="C25" s="24"/>
      <c r="D25" s="66"/>
      <c r="E25" s="45"/>
      <c r="F25" s="25"/>
      <c r="G25" s="24"/>
      <c r="H25" s="24"/>
      <c r="I25" s="24"/>
      <c r="J25" s="24"/>
      <c r="K25" s="26"/>
    </row>
    <row r="26" spans="1:11" x14ac:dyDescent="0.3">
      <c r="A26" s="27"/>
      <c r="B26" s="28"/>
      <c r="C26" s="28"/>
      <c r="D26" s="67"/>
      <c r="E26" s="75"/>
      <c r="F26" s="29"/>
      <c r="G26" s="28"/>
      <c r="H26" s="28"/>
      <c r="I26" s="30"/>
      <c r="J26" s="30"/>
      <c r="K26" s="31"/>
    </row>
    <row r="27" spans="1:11" x14ac:dyDescent="0.3">
      <c r="A27" s="189" t="s">
        <v>35</v>
      </c>
      <c r="B27" s="190"/>
      <c r="C27" s="190"/>
      <c r="D27" s="212" t="s">
        <v>52</v>
      </c>
      <c r="E27" s="213"/>
      <c r="F27" s="192" t="s">
        <v>24</v>
      </c>
      <c r="G27" s="194"/>
      <c r="H27" s="59" t="s">
        <v>40</v>
      </c>
      <c r="I27" s="192" t="s">
        <v>39</v>
      </c>
      <c r="J27" s="194"/>
      <c r="K27" s="31"/>
    </row>
    <row r="28" spans="1:11" ht="15.75" customHeight="1" x14ac:dyDescent="0.3">
      <c r="A28" s="238" t="s">
        <v>97</v>
      </c>
      <c r="B28" s="239"/>
      <c r="C28" s="240"/>
      <c r="D28" s="79">
        <v>1</v>
      </c>
      <c r="E28" s="61" t="s">
        <v>68</v>
      </c>
      <c r="F28" s="52">
        <v>20</v>
      </c>
      <c r="G28" s="33" t="s">
        <v>25</v>
      </c>
      <c r="H28" s="87" t="s">
        <v>176</v>
      </c>
      <c r="I28" s="224">
        <f>+F28*'Dados Gerais'!$E$15</f>
        <v>139299.4</v>
      </c>
      <c r="J28" s="198"/>
      <c r="K28" s="35"/>
    </row>
    <row r="29" spans="1:11" ht="15.75" customHeight="1" x14ac:dyDescent="0.3">
      <c r="A29" s="232" t="s">
        <v>98</v>
      </c>
      <c r="B29" s="233"/>
      <c r="C29" s="234"/>
      <c r="D29" s="82">
        <v>1</v>
      </c>
      <c r="E29" s="83" t="s">
        <v>68</v>
      </c>
      <c r="F29" s="55">
        <v>15</v>
      </c>
      <c r="G29" s="56" t="s">
        <v>25</v>
      </c>
      <c r="H29" s="88" t="s">
        <v>176</v>
      </c>
      <c r="I29" s="211">
        <f>+F29*'Dados Gerais'!$E$15</f>
        <v>104474.55</v>
      </c>
      <c r="J29" s="227"/>
      <c r="K29" s="35"/>
    </row>
    <row r="30" spans="1:11" ht="15.75" customHeight="1" x14ac:dyDescent="0.3">
      <c r="A30" s="232" t="s">
        <v>99</v>
      </c>
      <c r="B30" s="233"/>
      <c r="C30" s="234"/>
      <c r="D30" s="82">
        <v>1</v>
      </c>
      <c r="E30" s="83" t="s">
        <v>68</v>
      </c>
      <c r="F30" s="55">
        <v>10</v>
      </c>
      <c r="G30" s="56" t="s">
        <v>25</v>
      </c>
      <c r="H30" s="88" t="s">
        <v>176</v>
      </c>
      <c r="I30" s="211">
        <f>+F30*'Dados Gerais'!$E$15</f>
        <v>69649.7</v>
      </c>
      <c r="J30" s="227"/>
      <c r="K30" s="35"/>
    </row>
    <row r="31" spans="1:11" ht="15.75" customHeight="1" x14ac:dyDescent="0.3">
      <c r="A31" s="232" t="s">
        <v>100</v>
      </c>
      <c r="B31" s="233"/>
      <c r="C31" s="234"/>
      <c r="D31" s="82">
        <v>1</v>
      </c>
      <c r="E31" s="83" t="s">
        <v>68</v>
      </c>
      <c r="F31" s="55">
        <v>10</v>
      </c>
      <c r="G31" s="56" t="s">
        <v>25</v>
      </c>
      <c r="H31" s="88" t="s">
        <v>176</v>
      </c>
      <c r="I31" s="211">
        <f>+F31*'Dados Gerais'!$E$15</f>
        <v>69649.7</v>
      </c>
      <c r="J31" s="227"/>
      <c r="K31" s="35"/>
    </row>
    <row r="32" spans="1:11" ht="15.75" customHeight="1" x14ac:dyDescent="0.3">
      <c r="A32" s="232" t="s">
        <v>101</v>
      </c>
      <c r="B32" s="233"/>
      <c r="C32" s="234"/>
      <c r="D32" s="80">
        <v>1</v>
      </c>
      <c r="E32" s="69" t="s">
        <v>68</v>
      </c>
      <c r="F32" s="53">
        <v>0</v>
      </c>
      <c r="G32" s="36" t="s">
        <v>25</v>
      </c>
      <c r="H32" s="84" t="s">
        <v>176</v>
      </c>
      <c r="I32" s="211">
        <f>+F32*'Dados Gerais'!$E$15</f>
        <v>0</v>
      </c>
      <c r="J32" s="227"/>
      <c r="K32" s="35"/>
    </row>
    <row r="33" spans="1:14" ht="15.75" customHeight="1" x14ac:dyDescent="0.3">
      <c r="A33" s="232" t="s">
        <v>102</v>
      </c>
      <c r="B33" s="233"/>
      <c r="C33" s="234"/>
      <c r="D33" s="80">
        <v>1</v>
      </c>
      <c r="E33" s="69" t="s">
        <v>68</v>
      </c>
      <c r="F33" s="53">
        <v>30</v>
      </c>
      <c r="G33" s="36" t="s">
        <v>25</v>
      </c>
      <c r="H33" s="84" t="s">
        <v>176</v>
      </c>
      <c r="I33" s="211">
        <f>+F33*'Dados Gerais'!$E$15+7500*4*2</f>
        <v>268949.09999999998</v>
      </c>
      <c r="J33" s="227"/>
      <c r="K33" s="35"/>
    </row>
    <row r="34" spans="1:14" ht="15.75" customHeight="1" x14ac:dyDescent="0.3">
      <c r="A34" s="232" t="s">
        <v>103</v>
      </c>
      <c r="B34" s="233"/>
      <c r="C34" s="234"/>
      <c r="D34" s="86">
        <v>1</v>
      </c>
      <c r="E34" s="77" t="s">
        <v>68</v>
      </c>
      <c r="F34" s="62">
        <v>50</v>
      </c>
      <c r="G34" s="40" t="s">
        <v>25</v>
      </c>
      <c r="H34" s="78" t="s">
        <v>176</v>
      </c>
      <c r="I34" s="225">
        <f>+F34*'Dados Gerais'!$E$15</f>
        <v>348248.5</v>
      </c>
      <c r="J34" s="226"/>
      <c r="K34" s="35"/>
    </row>
    <row r="35" spans="1:14" x14ac:dyDescent="0.3">
      <c r="A35" s="209" t="s">
        <v>43</v>
      </c>
      <c r="B35" s="209"/>
      <c r="C35" s="209"/>
      <c r="D35" s="209"/>
      <c r="E35" s="209"/>
      <c r="F35" s="209"/>
      <c r="G35" s="209"/>
      <c r="H35" s="209"/>
      <c r="I35" s="210">
        <f>SUM(I28:J34)</f>
        <v>1000270.95</v>
      </c>
      <c r="J35" s="210"/>
      <c r="K35" s="39"/>
    </row>
    <row r="36" spans="1:14" x14ac:dyDescent="0.3">
      <c r="A36" s="172"/>
      <c r="B36" s="173"/>
      <c r="C36" s="173"/>
      <c r="D36" s="173"/>
      <c r="E36" s="173"/>
      <c r="F36" s="173"/>
      <c r="G36" s="173"/>
      <c r="H36" s="173"/>
      <c r="I36" s="41"/>
      <c r="J36" s="41"/>
      <c r="K36" s="43"/>
    </row>
    <row r="38" spans="1:14" x14ac:dyDescent="0.3">
      <c r="A38" s="23" t="s">
        <v>104</v>
      </c>
      <c r="B38" s="24"/>
      <c r="C38" s="24"/>
      <c r="D38" s="66"/>
      <c r="E38" s="45"/>
      <c r="F38" s="25"/>
      <c r="G38" s="24"/>
      <c r="H38" s="24"/>
      <c r="I38" s="24"/>
      <c r="J38" s="24"/>
      <c r="K38" s="26"/>
    </row>
    <row r="39" spans="1:14" x14ac:dyDescent="0.3">
      <c r="A39" s="27"/>
      <c r="B39" s="28"/>
      <c r="C39" s="28"/>
      <c r="D39" s="67"/>
      <c r="E39" s="75"/>
      <c r="F39" s="29"/>
      <c r="G39" s="28"/>
      <c r="H39" s="28"/>
      <c r="I39" s="30"/>
      <c r="J39" s="30"/>
      <c r="K39" s="31"/>
    </row>
    <row r="40" spans="1:14" ht="15.75" customHeight="1" x14ac:dyDescent="0.3">
      <c r="A40" s="189" t="s">
        <v>35</v>
      </c>
      <c r="B40" s="190"/>
      <c r="C40" s="190"/>
      <c r="D40" s="212" t="s">
        <v>52</v>
      </c>
      <c r="E40" s="213"/>
      <c r="F40" s="192" t="s">
        <v>24</v>
      </c>
      <c r="G40" s="194"/>
      <c r="H40" s="59" t="s">
        <v>40</v>
      </c>
      <c r="I40" s="192" t="s">
        <v>39</v>
      </c>
      <c r="J40" s="194"/>
      <c r="K40" s="31"/>
    </row>
    <row r="41" spans="1:14" ht="15.75" customHeight="1" x14ac:dyDescent="0.3">
      <c r="A41" s="238" t="s">
        <v>105</v>
      </c>
      <c r="B41" s="239"/>
      <c r="C41" s="240"/>
      <c r="D41" s="79">
        <v>1</v>
      </c>
      <c r="E41" s="61" t="s">
        <v>68</v>
      </c>
      <c r="F41" s="52">
        <v>9.5</v>
      </c>
      <c r="G41" s="33" t="s">
        <v>25</v>
      </c>
      <c r="H41" s="87" t="s">
        <v>176</v>
      </c>
      <c r="I41" s="224">
        <f>+F41*'Dados Gerais'!$E$15</f>
        <v>66167.214999999997</v>
      </c>
      <c r="J41" s="198"/>
      <c r="K41" s="35"/>
      <c r="L41" s="91"/>
      <c r="M41" s="92"/>
      <c r="N41" s="92"/>
    </row>
    <row r="42" spans="1:14" ht="15.75" customHeight="1" x14ac:dyDescent="0.3">
      <c r="A42" s="232" t="s">
        <v>106</v>
      </c>
      <c r="B42" s="233"/>
      <c r="C42" s="234"/>
      <c r="D42" s="82">
        <v>1</v>
      </c>
      <c r="E42" s="83" t="s">
        <v>68</v>
      </c>
      <c r="F42" s="55">
        <v>5</v>
      </c>
      <c r="G42" s="56" t="s">
        <v>25</v>
      </c>
      <c r="H42" s="88" t="s">
        <v>176</v>
      </c>
      <c r="I42" s="211">
        <f>+F42*'Dados Gerais'!$E$15</f>
        <v>34824.85</v>
      </c>
      <c r="J42" s="227"/>
      <c r="K42" s="35"/>
      <c r="L42" s="91"/>
    </row>
    <row r="43" spans="1:14" ht="15.75" customHeight="1" x14ac:dyDescent="0.3">
      <c r="A43" s="235" t="s">
        <v>213</v>
      </c>
      <c r="B43" s="236"/>
      <c r="C43" s="237"/>
      <c r="D43" s="82">
        <v>1</v>
      </c>
      <c r="E43" s="83" t="s">
        <v>68</v>
      </c>
      <c r="F43" s="55">
        <v>5</v>
      </c>
      <c r="G43" s="56" t="s">
        <v>25</v>
      </c>
      <c r="H43" s="88" t="s">
        <v>176</v>
      </c>
      <c r="I43" s="211">
        <f>+F43*'Dados Gerais'!$E$15</f>
        <v>34824.85</v>
      </c>
      <c r="J43" s="227"/>
      <c r="K43" s="35"/>
      <c r="L43" s="91"/>
    </row>
    <row r="44" spans="1:14" ht="15.75" customHeight="1" x14ac:dyDescent="0.3">
      <c r="A44" s="235" t="s">
        <v>214</v>
      </c>
      <c r="B44" s="236"/>
      <c r="C44" s="237"/>
      <c r="D44" s="82">
        <v>1</v>
      </c>
      <c r="E44" s="83" t="s">
        <v>68</v>
      </c>
      <c r="F44" s="55">
        <v>12</v>
      </c>
      <c r="G44" s="56" t="s">
        <v>25</v>
      </c>
      <c r="H44" s="88" t="s">
        <v>176</v>
      </c>
      <c r="I44" s="211">
        <f>+F44*'Dados Gerais'!$E$15</f>
        <v>83579.64</v>
      </c>
      <c r="J44" s="227"/>
      <c r="K44" s="35"/>
      <c r="L44" s="91"/>
    </row>
    <row r="45" spans="1:14" ht="15.75" customHeight="1" x14ac:dyDescent="0.3">
      <c r="A45" s="209" t="s">
        <v>43</v>
      </c>
      <c r="B45" s="209"/>
      <c r="C45" s="209"/>
      <c r="D45" s="209"/>
      <c r="E45" s="209"/>
      <c r="F45" s="209"/>
      <c r="G45" s="209"/>
      <c r="H45" s="209"/>
      <c r="I45" s="210">
        <f>SUM(I41:J44)</f>
        <v>219396.55499999999</v>
      </c>
      <c r="J45" s="210"/>
      <c r="K45" s="39"/>
      <c r="L45" s="91"/>
      <c r="M45" s="91">
        <f>I45+I35+I23</f>
        <v>2407194.89</v>
      </c>
    </row>
    <row r="46" spans="1:14" x14ac:dyDescent="0.3">
      <c r="A46" s="172"/>
      <c r="B46" s="173"/>
      <c r="C46" s="173"/>
      <c r="D46" s="173"/>
      <c r="E46" s="173"/>
      <c r="F46" s="173"/>
      <c r="G46" s="173"/>
      <c r="H46" s="173"/>
      <c r="I46" s="41"/>
      <c r="J46" s="41"/>
      <c r="K46" s="43"/>
    </row>
  </sheetData>
  <mergeCells count="66">
    <mergeCell ref="A19:C19"/>
    <mergeCell ref="I19:J19"/>
    <mergeCell ref="A21:C21"/>
    <mergeCell ref="I21:J21"/>
    <mergeCell ref="A22:C22"/>
    <mergeCell ref="I22:J22"/>
    <mergeCell ref="A20:C20"/>
    <mergeCell ref="I20:J20"/>
    <mergeCell ref="A17:C17"/>
    <mergeCell ref="A18:C18"/>
    <mergeCell ref="I16:J16"/>
    <mergeCell ref="I17:J17"/>
    <mergeCell ref="I18:J18"/>
    <mergeCell ref="A2:K4"/>
    <mergeCell ref="B7:K7"/>
    <mergeCell ref="B8:K8"/>
    <mergeCell ref="J9:K9"/>
    <mergeCell ref="B9:H9"/>
    <mergeCell ref="B10:F10"/>
    <mergeCell ref="J10:K10"/>
    <mergeCell ref="A27:C27"/>
    <mergeCell ref="D27:E27"/>
    <mergeCell ref="F27:G27"/>
    <mergeCell ref="I27:J27"/>
    <mergeCell ref="A14:C14"/>
    <mergeCell ref="D14:E14"/>
    <mergeCell ref="F14:G14"/>
    <mergeCell ref="I14:J14"/>
    <mergeCell ref="A15:C15"/>
    <mergeCell ref="I15:J15"/>
    <mergeCell ref="A23:H23"/>
    <mergeCell ref="I23:J23"/>
    <mergeCell ref="A24:H24"/>
    <mergeCell ref="A16:C16"/>
    <mergeCell ref="A28:C28"/>
    <mergeCell ref="I28:J28"/>
    <mergeCell ref="A29:C29"/>
    <mergeCell ref="I29:J29"/>
    <mergeCell ref="A30:C30"/>
    <mergeCell ref="I30:J30"/>
    <mergeCell ref="A31:C31"/>
    <mergeCell ref="I31:J31"/>
    <mergeCell ref="A32:C32"/>
    <mergeCell ref="I32:J32"/>
    <mergeCell ref="A33:C33"/>
    <mergeCell ref="I33:J33"/>
    <mergeCell ref="A34:C34"/>
    <mergeCell ref="I34:J34"/>
    <mergeCell ref="A35:H35"/>
    <mergeCell ref="I35:J35"/>
    <mergeCell ref="A36:H36"/>
    <mergeCell ref="A40:C40"/>
    <mergeCell ref="D40:E40"/>
    <mergeCell ref="F40:G40"/>
    <mergeCell ref="I40:J40"/>
    <mergeCell ref="A41:C41"/>
    <mergeCell ref="I41:J41"/>
    <mergeCell ref="A45:H45"/>
    <mergeCell ref="I45:J45"/>
    <mergeCell ref="A46:H46"/>
    <mergeCell ref="A42:C42"/>
    <mergeCell ref="I42:J42"/>
    <mergeCell ref="A43:C43"/>
    <mergeCell ref="I43:J43"/>
    <mergeCell ref="A44:C44"/>
    <mergeCell ref="I44:J44"/>
  </mergeCells>
  <dataValidations disablePrompts="1" count="1">
    <dataValidation type="list" allowBlank="1" showInputMessage="1" showErrorMessage="1" sqref="J10" xr:uid="{00000000-0002-0000-06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EE1F-56B2-4D36-8402-222A573DBA20}">
  <sheetPr>
    <tabColor rgb="FF003C66"/>
  </sheetPr>
  <dimension ref="A1:M45"/>
  <sheetViews>
    <sheetView showGridLines="0" topLeftCell="A19" zoomScaleNormal="100" zoomScaleSheetLayoutView="95" workbookViewId="0">
      <selection activeCell="J46" sqref="J46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2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44140625" style="12" bestFit="1" customWidth="1"/>
    <col min="11" max="11" width="6.44140625" style="12" customWidth="1"/>
    <col min="12" max="12" width="11.33203125" style="12" bestFit="1" customWidth="1"/>
    <col min="13" max="13" width="11" style="12" bestFit="1" customWidth="1"/>
    <col min="14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87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139"/>
      <c r="B6" s="139"/>
      <c r="C6" s="139"/>
      <c r="D6" s="65"/>
      <c r="E6" s="74"/>
      <c r="F6" s="20"/>
      <c r="G6" s="1"/>
      <c r="H6" s="1"/>
      <c r="I6" s="1"/>
      <c r="J6" s="1"/>
      <c r="K6" s="1"/>
      <c r="M6" s="13"/>
    </row>
    <row r="7" spans="1:13" x14ac:dyDescent="0.3">
      <c r="A7" s="6" t="s">
        <v>0</v>
      </c>
      <c r="B7" s="154" t="s">
        <v>298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 t="s">
        <v>299</v>
      </c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300</v>
      </c>
      <c r="C9" s="157"/>
      <c r="D9" s="157"/>
      <c r="E9" s="157"/>
      <c r="F9" s="157"/>
      <c r="G9" s="157"/>
      <c r="H9" s="158"/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44454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x14ac:dyDescent="0.3">
      <c r="A12" s="23" t="s">
        <v>107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x14ac:dyDescent="0.3">
      <c r="A13" s="27"/>
      <c r="B13" s="29"/>
      <c r="C13" s="29"/>
      <c r="D13" s="67"/>
      <c r="E13" s="75"/>
      <c r="F13" s="29"/>
      <c r="G13" s="29"/>
      <c r="H13" s="29"/>
      <c r="K13" s="31"/>
    </row>
    <row r="14" spans="1:13" ht="15.75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134" t="s">
        <v>40</v>
      </c>
      <c r="I14" s="192" t="s">
        <v>39</v>
      </c>
      <c r="J14" s="194"/>
      <c r="K14" s="31"/>
    </row>
    <row r="15" spans="1:13" ht="30" customHeight="1" x14ac:dyDescent="0.3">
      <c r="A15" s="238" t="s">
        <v>301</v>
      </c>
      <c r="B15" s="239"/>
      <c r="C15" s="240"/>
      <c r="D15" s="79">
        <v>1</v>
      </c>
      <c r="E15" s="61" t="s">
        <v>68</v>
      </c>
      <c r="F15" s="136">
        <v>40</v>
      </c>
      <c r="G15" s="33" t="s">
        <v>25</v>
      </c>
      <c r="H15" s="87" t="s">
        <v>176</v>
      </c>
      <c r="I15" s="196">
        <f>F15*'Dados Gerais'!E15</f>
        <v>278598.8</v>
      </c>
      <c r="J15" s="198"/>
      <c r="K15" s="35"/>
    </row>
    <row r="16" spans="1:13" ht="15.75" customHeight="1" x14ac:dyDescent="0.3">
      <c r="A16" s="244" t="s">
        <v>108</v>
      </c>
      <c r="B16" s="244"/>
      <c r="C16" s="244"/>
      <c r="D16" s="80">
        <v>22</v>
      </c>
      <c r="E16" s="80" t="s">
        <v>19</v>
      </c>
      <c r="F16" s="137">
        <v>1750</v>
      </c>
      <c r="G16" s="36" t="s">
        <v>278</v>
      </c>
      <c r="H16" s="94" t="s">
        <v>176</v>
      </c>
      <c r="I16" s="177">
        <f>+D16*F16</f>
        <v>38500</v>
      </c>
      <c r="J16" s="179"/>
      <c r="K16" s="35"/>
    </row>
    <row r="17" spans="1:13" ht="15.75" customHeight="1" x14ac:dyDescent="0.3">
      <c r="A17" s="209" t="s">
        <v>43</v>
      </c>
      <c r="B17" s="209"/>
      <c r="C17" s="209"/>
      <c r="D17" s="209"/>
      <c r="E17" s="209"/>
      <c r="F17" s="209"/>
      <c r="G17" s="209"/>
      <c r="H17" s="209"/>
      <c r="I17" s="210">
        <f>SUM(I15:J16)</f>
        <v>317098.8</v>
      </c>
      <c r="J17" s="210"/>
      <c r="K17" s="39"/>
    </row>
    <row r="18" spans="1:13" x14ac:dyDescent="0.3">
      <c r="A18" s="172"/>
      <c r="B18" s="173"/>
      <c r="C18" s="173"/>
      <c r="D18" s="173"/>
      <c r="E18" s="173"/>
      <c r="F18" s="173"/>
      <c r="G18" s="173"/>
      <c r="H18" s="173"/>
      <c r="I18" s="41"/>
      <c r="J18" s="41"/>
      <c r="K18" s="43"/>
    </row>
    <row r="20" spans="1:13" x14ac:dyDescent="0.3">
      <c r="A20" s="23" t="s">
        <v>302</v>
      </c>
      <c r="B20" s="24"/>
      <c r="C20" s="24"/>
      <c r="D20" s="66"/>
      <c r="E20" s="45"/>
      <c r="F20" s="25"/>
      <c r="G20" s="24"/>
      <c r="H20" s="24"/>
      <c r="I20" s="24"/>
      <c r="J20" s="24"/>
      <c r="K20" s="26"/>
    </row>
    <row r="21" spans="1:13" x14ac:dyDescent="0.3">
      <c r="A21" s="27"/>
      <c r="B21" s="29"/>
      <c r="C21" s="29"/>
      <c r="D21" s="67"/>
      <c r="E21" s="75"/>
      <c r="F21" s="29"/>
      <c r="G21" s="29"/>
      <c r="H21" s="29"/>
      <c r="K21" s="31"/>
    </row>
    <row r="22" spans="1:13" x14ac:dyDescent="0.3">
      <c r="A22" s="189" t="s">
        <v>35</v>
      </c>
      <c r="B22" s="190"/>
      <c r="C22" s="190"/>
      <c r="D22" s="212" t="s">
        <v>52</v>
      </c>
      <c r="E22" s="213"/>
      <c r="F22" s="192" t="s">
        <v>24</v>
      </c>
      <c r="G22" s="194"/>
      <c r="H22" s="134" t="s">
        <v>40</v>
      </c>
      <c r="I22" s="192" t="s">
        <v>39</v>
      </c>
      <c r="J22" s="194"/>
      <c r="K22" s="31"/>
    </row>
    <row r="23" spans="1:13" ht="29.25" customHeight="1" x14ac:dyDescent="0.3">
      <c r="A23" s="238" t="s">
        <v>303</v>
      </c>
      <c r="B23" s="239"/>
      <c r="C23" s="240"/>
      <c r="D23" s="79">
        <v>1</v>
      </c>
      <c r="E23" s="61" t="s">
        <v>68</v>
      </c>
      <c r="F23" s="136">
        <v>15</v>
      </c>
      <c r="G23" s="33" t="s">
        <v>25</v>
      </c>
      <c r="H23" s="87" t="s">
        <v>42</v>
      </c>
      <c r="I23" s="196">
        <f>+F23*'[1]Dados Gerais'!$E$14</f>
        <v>211627.35</v>
      </c>
      <c r="J23" s="198"/>
      <c r="K23" s="35"/>
      <c r="L23" s="91"/>
      <c r="M23" s="91"/>
    </row>
    <row r="24" spans="1:13" ht="15.75" customHeight="1" x14ac:dyDescent="0.3">
      <c r="A24" s="209" t="s">
        <v>43</v>
      </c>
      <c r="B24" s="209"/>
      <c r="C24" s="209"/>
      <c r="D24" s="209"/>
      <c r="E24" s="209"/>
      <c r="F24" s="209"/>
      <c r="G24" s="209"/>
      <c r="H24" s="209"/>
      <c r="I24" s="210">
        <f>SUM(I23:J23)</f>
        <v>211627.35</v>
      </c>
      <c r="J24" s="210"/>
      <c r="K24" s="39"/>
    </row>
    <row r="25" spans="1:13" x14ac:dyDescent="0.3">
      <c r="A25" s="172"/>
      <c r="B25" s="173"/>
      <c r="C25" s="173"/>
      <c r="D25" s="173"/>
      <c r="E25" s="173"/>
      <c r="F25" s="173"/>
      <c r="G25" s="173"/>
      <c r="H25" s="173"/>
      <c r="I25" s="41"/>
      <c r="J25" s="41"/>
      <c r="K25" s="43"/>
    </row>
    <row r="27" spans="1:13" ht="15.75" customHeight="1" x14ac:dyDescent="0.3">
      <c r="A27" s="23" t="s">
        <v>304</v>
      </c>
      <c r="B27" s="24"/>
      <c r="C27" s="24"/>
      <c r="D27" s="66"/>
      <c r="E27" s="45"/>
      <c r="F27" s="25"/>
      <c r="G27" s="24"/>
      <c r="H27" s="24"/>
      <c r="I27" s="24"/>
      <c r="J27" s="24"/>
      <c r="K27" s="26"/>
    </row>
    <row r="28" spans="1:13" ht="15.75" customHeight="1" x14ac:dyDescent="0.3">
      <c r="A28" s="27"/>
      <c r="B28" s="29"/>
      <c r="C28" s="29"/>
      <c r="D28" s="67"/>
      <c r="E28" s="75"/>
      <c r="F28" s="29"/>
      <c r="G28" s="29"/>
      <c r="H28" s="29"/>
      <c r="K28" s="31"/>
    </row>
    <row r="29" spans="1:13" ht="15.75" customHeight="1" x14ac:dyDescent="0.3">
      <c r="A29" s="189" t="s">
        <v>35</v>
      </c>
      <c r="B29" s="190"/>
      <c r="C29" s="190"/>
      <c r="D29" s="212" t="s">
        <v>52</v>
      </c>
      <c r="E29" s="213"/>
      <c r="F29" s="192" t="s">
        <v>24</v>
      </c>
      <c r="G29" s="194"/>
      <c r="H29" s="134" t="s">
        <v>40</v>
      </c>
      <c r="I29" s="192" t="s">
        <v>39</v>
      </c>
      <c r="J29" s="194"/>
      <c r="K29" s="31"/>
    </row>
    <row r="30" spans="1:13" ht="15.75" customHeight="1" x14ac:dyDescent="0.3">
      <c r="A30" s="238" t="s">
        <v>305</v>
      </c>
      <c r="B30" s="239"/>
      <c r="C30" s="240"/>
      <c r="D30" s="79">
        <v>1</v>
      </c>
      <c r="E30" s="61" t="s">
        <v>68</v>
      </c>
      <c r="F30" s="136">
        <v>5</v>
      </c>
      <c r="G30" s="33" t="s">
        <v>25</v>
      </c>
      <c r="H30" s="87" t="s">
        <v>176</v>
      </c>
      <c r="I30" s="196">
        <f>+F30*'[1]Dados Gerais'!$E$14</f>
        <v>70542.45</v>
      </c>
      <c r="J30" s="198"/>
      <c r="K30" s="35"/>
    </row>
    <row r="31" spans="1:13" ht="15.75" customHeight="1" x14ac:dyDescent="0.3">
      <c r="A31" s="209" t="s">
        <v>43</v>
      </c>
      <c r="B31" s="209"/>
      <c r="C31" s="209"/>
      <c r="D31" s="209"/>
      <c r="E31" s="209"/>
      <c r="F31" s="209"/>
      <c r="G31" s="209"/>
      <c r="H31" s="209"/>
      <c r="I31" s="210">
        <f>SUM(I30:J30)</f>
        <v>70542.45</v>
      </c>
      <c r="J31" s="210"/>
      <c r="K31" s="39"/>
    </row>
    <row r="32" spans="1:13" ht="15.75" customHeight="1" x14ac:dyDescent="0.3">
      <c r="A32" s="172"/>
      <c r="B32" s="173"/>
      <c r="C32" s="173"/>
      <c r="D32" s="173"/>
      <c r="E32" s="173"/>
      <c r="F32" s="173"/>
      <c r="G32" s="173"/>
      <c r="H32" s="173"/>
      <c r="I32" s="41"/>
      <c r="J32" s="41"/>
      <c r="K32" s="43"/>
    </row>
    <row r="34" spans="1:11" x14ac:dyDescent="0.3">
      <c r="A34" s="23" t="s">
        <v>45</v>
      </c>
      <c r="B34" s="24"/>
      <c r="C34" s="24"/>
      <c r="D34" s="66"/>
      <c r="E34" s="45"/>
      <c r="F34" s="25"/>
      <c r="G34" s="24"/>
      <c r="H34" s="24"/>
      <c r="I34" s="24"/>
      <c r="J34" s="24"/>
      <c r="K34" s="26"/>
    </row>
    <row r="35" spans="1:11" x14ac:dyDescent="0.3">
      <c r="A35" s="27"/>
      <c r="B35" s="29"/>
      <c r="C35" s="29"/>
      <c r="D35" s="67"/>
      <c r="E35" s="75"/>
      <c r="F35" s="29"/>
      <c r="G35" s="29"/>
      <c r="H35" s="29"/>
      <c r="K35" s="31"/>
    </row>
    <row r="36" spans="1:11" x14ac:dyDescent="0.3">
      <c r="A36" s="189" t="s">
        <v>35</v>
      </c>
      <c r="B36" s="190"/>
      <c r="C36" s="190"/>
      <c r="D36" s="212" t="s">
        <v>52</v>
      </c>
      <c r="E36" s="213"/>
      <c r="F36" s="192" t="s">
        <v>24</v>
      </c>
      <c r="G36" s="194"/>
      <c r="H36" s="134" t="s">
        <v>40</v>
      </c>
      <c r="I36" s="192" t="s">
        <v>39</v>
      </c>
      <c r="J36" s="194"/>
      <c r="K36" s="31"/>
    </row>
    <row r="37" spans="1:11" x14ac:dyDescent="0.3">
      <c r="A37" s="201" t="s">
        <v>150</v>
      </c>
      <c r="B37" s="201"/>
      <c r="C37" s="201"/>
      <c r="D37" s="79">
        <v>2</v>
      </c>
      <c r="E37" s="79" t="s">
        <v>19</v>
      </c>
      <c r="F37" s="135">
        <v>13500</v>
      </c>
      <c r="G37" s="33" t="s">
        <v>117</v>
      </c>
      <c r="H37" s="100" t="s">
        <v>176</v>
      </c>
      <c r="I37" s="196">
        <f>D37*F37*('[1]Dados Gerais'!$E$15-1)</f>
        <v>405000</v>
      </c>
      <c r="J37" s="198"/>
      <c r="K37" s="31"/>
    </row>
    <row r="38" spans="1:11" x14ac:dyDescent="0.3">
      <c r="A38" s="220" t="s">
        <v>207</v>
      </c>
      <c r="B38" s="220"/>
      <c r="C38" s="220"/>
      <c r="D38" s="82">
        <v>1</v>
      </c>
      <c r="E38" s="83" t="s">
        <v>68</v>
      </c>
      <c r="F38" s="145">
        <v>70000</v>
      </c>
      <c r="G38" s="56" t="s">
        <v>117</v>
      </c>
      <c r="H38" s="93" t="s">
        <v>176</v>
      </c>
      <c r="I38" s="245">
        <f>F38*D38</f>
        <v>70000</v>
      </c>
      <c r="J38" s="246"/>
      <c r="K38" s="31"/>
    </row>
    <row r="39" spans="1:11" x14ac:dyDescent="0.3">
      <c r="A39" s="220" t="s">
        <v>306</v>
      </c>
      <c r="B39" s="220"/>
      <c r="C39" s="220"/>
      <c r="D39" s="82">
        <v>1</v>
      </c>
      <c r="E39" s="83" t="s">
        <v>68</v>
      </c>
      <c r="F39" s="145">
        <v>4500</v>
      </c>
      <c r="G39" s="56" t="s">
        <v>117</v>
      </c>
      <c r="H39" s="93" t="s">
        <v>176</v>
      </c>
      <c r="I39" s="245">
        <f>F39*'Dados Gerais'!E16</f>
        <v>130500</v>
      </c>
      <c r="J39" s="246"/>
      <c r="K39" s="31"/>
    </row>
    <row r="40" spans="1:11" x14ac:dyDescent="0.3">
      <c r="A40" s="220" t="s">
        <v>151</v>
      </c>
      <c r="B40" s="220"/>
      <c r="C40" s="220"/>
      <c r="D40" s="81">
        <v>1</v>
      </c>
      <c r="E40" s="81" t="s">
        <v>68</v>
      </c>
      <c r="F40" s="144">
        <v>15000</v>
      </c>
      <c r="G40" s="40" t="s">
        <v>153</v>
      </c>
      <c r="H40" s="93" t="s">
        <v>176</v>
      </c>
      <c r="I40" s="180">
        <f>+D40*F40</f>
        <v>15000</v>
      </c>
      <c r="J40" s="182"/>
      <c r="K40" s="31"/>
    </row>
    <row r="41" spans="1:11" x14ac:dyDescent="0.3">
      <c r="A41" s="209" t="s">
        <v>43</v>
      </c>
      <c r="B41" s="209"/>
      <c r="C41" s="209"/>
      <c r="D41" s="209"/>
      <c r="E41" s="209"/>
      <c r="F41" s="209"/>
      <c r="G41" s="209"/>
      <c r="H41" s="209"/>
      <c r="I41" s="210">
        <f>SUM(I37:J40)</f>
        <v>620500</v>
      </c>
      <c r="J41" s="210"/>
      <c r="K41" s="39"/>
    </row>
    <row r="42" spans="1:11" x14ac:dyDescent="0.3">
      <c r="A42" s="172"/>
      <c r="B42" s="173"/>
      <c r="C42" s="173"/>
      <c r="D42" s="173"/>
      <c r="E42" s="173"/>
      <c r="F42" s="173"/>
      <c r="G42" s="173"/>
      <c r="H42" s="173"/>
      <c r="I42" s="96"/>
      <c r="J42" s="41"/>
      <c r="K42" s="43"/>
    </row>
    <row r="45" spans="1:11" x14ac:dyDescent="0.3">
      <c r="J45" s="91">
        <f>I41+I31+I24+I17</f>
        <v>1219768.5999999999</v>
      </c>
    </row>
  </sheetData>
  <mergeCells count="51">
    <mergeCell ref="A41:H41"/>
    <mergeCell ref="I41:J41"/>
    <mergeCell ref="A42:H42"/>
    <mergeCell ref="A39:C39"/>
    <mergeCell ref="I39:J39"/>
    <mergeCell ref="I31:J31"/>
    <mergeCell ref="A32:H32"/>
    <mergeCell ref="A37:C37"/>
    <mergeCell ref="I37:J37"/>
    <mergeCell ref="A40:C40"/>
    <mergeCell ref="I40:J40"/>
    <mergeCell ref="A38:C38"/>
    <mergeCell ref="I38:J38"/>
    <mergeCell ref="A36:C36"/>
    <mergeCell ref="D36:E36"/>
    <mergeCell ref="F36:G36"/>
    <mergeCell ref="I36:J36"/>
    <mergeCell ref="A23:C23"/>
    <mergeCell ref="I23:J23"/>
    <mergeCell ref="A24:H24"/>
    <mergeCell ref="I24:J24"/>
    <mergeCell ref="A25:H25"/>
    <mergeCell ref="A29:C29"/>
    <mergeCell ref="D29:E29"/>
    <mergeCell ref="F29:G29"/>
    <mergeCell ref="I29:J29"/>
    <mergeCell ref="A30:C30"/>
    <mergeCell ref="I30:J30"/>
    <mergeCell ref="A31:H31"/>
    <mergeCell ref="A22:C22"/>
    <mergeCell ref="D22:E22"/>
    <mergeCell ref="F22:G22"/>
    <mergeCell ref="I22:J22"/>
    <mergeCell ref="A14:C14"/>
    <mergeCell ref="D14:E14"/>
    <mergeCell ref="F14:G14"/>
    <mergeCell ref="I14:J14"/>
    <mergeCell ref="A15:C15"/>
    <mergeCell ref="I15:J15"/>
    <mergeCell ref="A16:C16"/>
    <mergeCell ref="I16:J16"/>
    <mergeCell ref="A17:H17"/>
    <mergeCell ref="I17:J17"/>
    <mergeCell ref="A18:H18"/>
    <mergeCell ref="B10:F10"/>
    <mergeCell ref="J10:K10"/>
    <mergeCell ref="A2:K4"/>
    <mergeCell ref="B7:K7"/>
    <mergeCell ref="B8:K8"/>
    <mergeCell ref="B9:H9"/>
    <mergeCell ref="J9:K9"/>
  </mergeCells>
  <dataValidations disablePrompts="1" count="1">
    <dataValidation type="list" allowBlank="1" showInputMessage="1" showErrorMessage="1" sqref="J10" xr:uid="{6913020A-4011-45AE-9C8D-FB4995D34EAC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3C66"/>
  </sheetPr>
  <dimension ref="A1:K24"/>
  <sheetViews>
    <sheetView showGridLines="0" zoomScaleNormal="100" zoomScaleSheetLayoutView="95" workbookViewId="0">
      <selection activeCell="E38" sqref="E38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7.33203125" style="12" bestFit="1" customWidth="1"/>
    <col min="11" max="11" width="6.44140625" style="12" customWidth="1"/>
    <col min="12" max="16384" width="9.109375" style="12"/>
  </cols>
  <sheetData>
    <row r="1" spans="1:11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</row>
    <row r="2" spans="1:11" x14ac:dyDescent="0.3">
      <c r="A2" s="152" t="s">
        <v>116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1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1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1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</row>
    <row r="6" spans="1:11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</row>
    <row r="7" spans="1:11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</row>
    <row r="8" spans="1:11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</row>
    <row r="9" spans="1:11" ht="15" customHeight="1" x14ac:dyDescent="0.3">
      <c r="A9" s="6" t="s">
        <v>2</v>
      </c>
      <c r="B9" s="156" t="s">
        <v>193</v>
      </c>
      <c r="C9" s="157"/>
      <c r="D9" s="157"/>
      <c r="E9" s="157"/>
      <c r="F9" s="157"/>
      <c r="G9" s="157"/>
      <c r="H9" s="158"/>
      <c r="I9" s="7" t="s">
        <v>6</v>
      </c>
      <c r="J9" s="155" t="s">
        <v>44</v>
      </c>
      <c r="K9" s="155"/>
    </row>
    <row r="10" spans="1:11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1" x14ac:dyDescent="0.3">
      <c r="A12" s="23" t="s">
        <v>109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1" ht="15.9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1" ht="15.9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59" t="s">
        <v>40</v>
      </c>
      <c r="I14" s="192" t="s">
        <v>39</v>
      </c>
      <c r="J14" s="194"/>
      <c r="K14" s="31"/>
    </row>
    <row r="15" spans="1:11" ht="15.9" customHeight="1" x14ac:dyDescent="0.3">
      <c r="A15" s="202" t="s">
        <v>115</v>
      </c>
      <c r="B15" s="203"/>
      <c r="C15" s="204"/>
      <c r="D15" s="79">
        <f>+D19+D20</f>
        <v>2437.7395000000001</v>
      </c>
      <c r="E15" s="83" t="s">
        <v>18</v>
      </c>
      <c r="F15" s="52">
        <v>15.5</v>
      </c>
      <c r="G15" s="33" t="s">
        <v>69</v>
      </c>
      <c r="H15" s="87" t="s">
        <v>176</v>
      </c>
      <c r="I15" s="224">
        <f>+D15*F15</f>
        <v>37784.962250000004</v>
      </c>
      <c r="J15" s="198"/>
      <c r="K15" s="31"/>
    </row>
    <row r="16" spans="1:11" ht="15.9" customHeight="1" x14ac:dyDescent="0.3">
      <c r="A16" s="247" t="s">
        <v>110</v>
      </c>
      <c r="B16" s="248"/>
      <c r="C16" s="249"/>
      <c r="D16" s="82">
        <v>50</v>
      </c>
      <c r="E16" s="83" t="s">
        <v>18</v>
      </c>
      <c r="F16" s="55">
        <v>45</v>
      </c>
      <c r="G16" s="56" t="s">
        <v>69</v>
      </c>
      <c r="H16" s="88" t="s">
        <v>176</v>
      </c>
      <c r="I16" s="211">
        <f>+D16*F16</f>
        <v>2250</v>
      </c>
      <c r="J16" s="227"/>
      <c r="K16" s="35"/>
    </row>
    <row r="17" spans="1:11" ht="15.9" customHeight="1" x14ac:dyDescent="0.3">
      <c r="A17" s="174" t="s">
        <v>111</v>
      </c>
      <c r="B17" s="175"/>
      <c r="C17" s="176"/>
      <c r="D17" s="82">
        <f>0.7*Infraestrutura!D30</f>
        <v>345.90324999999996</v>
      </c>
      <c r="E17" s="83" t="s">
        <v>18</v>
      </c>
      <c r="F17" s="55">
        <v>30</v>
      </c>
      <c r="G17" s="56" t="s">
        <v>69</v>
      </c>
      <c r="H17" s="88" t="s">
        <v>176</v>
      </c>
      <c r="I17" s="211">
        <f>+D17*F17</f>
        <v>10377.097499999998</v>
      </c>
      <c r="J17" s="227"/>
      <c r="K17" s="35"/>
    </row>
    <row r="18" spans="1:11" ht="15.9" customHeight="1" x14ac:dyDescent="0.3">
      <c r="A18" s="174" t="s">
        <v>112</v>
      </c>
      <c r="B18" s="175"/>
      <c r="C18" s="176"/>
      <c r="D18" s="82">
        <v>1</v>
      </c>
      <c r="E18" s="83" t="s">
        <v>68</v>
      </c>
      <c r="F18" s="55">
        <v>2.8</v>
      </c>
      <c r="G18" s="56" t="s">
        <v>25</v>
      </c>
      <c r="H18" s="88" t="s">
        <v>176</v>
      </c>
      <c r="I18" s="211">
        <f>+F18*'Dados Gerais'!$E$15</f>
        <v>19501.916000000001</v>
      </c>
      <c r="J18" s="227"/>
      <c r="K18" s="35"/>
    </row>
    <row r="19" spans="1:11" ht="15.9" customHeight="1" x14ac:dyDescent="0.3">
      <c r="A19" s="174" t="s">
        <v>113</v>
      </c>
      <c r="B19" s="175"/>
      <c r="C19" s="176"/>
      <c r="D19" s="82">
        <f>+F19*'Dados Gerais'!$E$15</f>
        <v>1392.9940000000001</v>
      </c>
      <c r="E19" s="83" t="s">
        <v>18</v>
      </c>
      <c r="F19" s="55">
        <v>0.2</v>
      </c>
      <c r="G19" s="56" t="s">
        <v>179</v>
      </c>
      <c r="H19" s="88" t="s">
        <v>176</v>
      </c>
      <c r="I19" s="211">
        <f>+D19*40</f>
        <v>55719.760000000009</v>
      </c>
      <c r="J19" s="227"/>
      <c r="K19" s="35"/>
    </row>
    <row r="20" spans="1:11" ht="15.9" customHeight="1" x14ac:dyDescent="0.3">
      <c r="A20" s="174" t="s">
        <v>118</v>
      </c>
      <c r="B20" s="175"/>
      <c r="C20" s="176"/>
      <c r="D20" s="82">
        <f>+F20*'Dados Gerais'!$E$15</f>
        <v>1044.7455</v>
      </c>
      <c r="E20" s="83" t="s">
        <v>18</v>
      </c>
      <c r="F20" s="53">
        <v>0.15</v>
      </c>
      <c r="G20" s="56" t="s">
        <v>179</v>
      </c>
      <c r="H20" s="84" t="s">
        <v>176</v>
      </c>
      <c r="I20" s="211">
        <f>+D20*105</f>
        <v>109698.2775</v>
      </c>
      <c r="J20" s="227"/>
      <c r="K20" s="35"/>
    </row>
    <row r="21" spans="1:11" ht="15.9" customHeight="1" x14ac:dyDescent="0.3">
      <c r="A21" s="174" t="s">
        <v>114</v>
      </c>
      <c r="B21" s="175"/>
      <c r="C21" s="176"/>
      <c r="D21" s="82">
        <v>1</v>
      </c>
      <c r="E21" s="83" t="s">
        <v>68</v>
      </c>
      <c r="F21" s="53">
        <v>0.75</v>
      </c>
      <c r="G21" s="36" t="s">
        <v>25</v>
      </c>
      <c r="H21" s="84" t="s">
        <v>176</v>
      </c>
      <c r="I21" s="211">
        <f>+F21*'Dados Gerais'!$E$15</f>
        <v>5223.7275</v>
      </c>
      <c r="J21" s="227"/>
      <c r="K21" s="35"/>
    </row>
    <row r="22" spans="1:11" ht="15.9" customHeight="1" x14ac:dyDescent="0.3">
      <c r="A22" s="241" t="s">
        <v>119</v>
      </c>
      <c r="B22" s="242"/>
      <c r="C22" s="243"/>
      <c r="D22" s="86">
        <f>+D20</f>
        <v>1044.7455</v>
      </c>
      <c r="E22" s="77" t="s">
        <v>18</v>
      </c>
      <c r="F22" s="62">
        <v>60</v>
      </c>
      <c r="G22" s="40" t="s">
        <v>69</v>
      </c>
      <c r="H22" s="78" t="s">
        <v>176</v>
      </c>
      <c r="I22" s="225">
        <f>+D22*60</f>
        <v>62684.729999999996</v>
      </c>
      <c r="J22" s="226"/>
      <c r="K22" s="35"/>
    </row>
    <row r="23" spans="1:11" ht="15.9" customHeight="1" x14ac:dyDescent="0.3">
      <c r="A23" s="209" t="s">
        <v>43</v>
      </c>
      <c r="B23" s="209"/>
      <c r="C23" s="209"/>
      <c r="D23" s="209"/>
      <c r="E23" s="209"/>
      <c r="F23" s="209"/>
      <c r="G23" s="209"/>
      <c r="H23" s="209"/>
      <c r="I23" s="210">
        <f>SUM(I15:J22)</f>
        <v>303240.47075000004</v>
      </c>
      <c r="J23" s="210"/>
      <c r="K23" s="39"/>
    </row>
    <row r="24" spans="1:11" ht="15.9" customHeight="1" x14ac:dyDescent="0.3">
      <c r="A24" s="172"/>
      <c r="B24" s="173"/>
      <c r="C24" s="173"/>
      <c r="D24" s="173"/>
      <c r="E24" s="173"/>
      <c r="F24" s="173"/>
      <c r="G24" s="173"/>
      <c r="H24" s="173"/>
      <c r="I24" s="96"/>
      <c r="J24" s="41"/>
      <c r="K24" s="43"/>
    </row>
  </sheetData>
  <mergeCells count="30">
    <mergeCell ref="B10:F10"/>
    <mergeCell ref="J10:K10"/>
    <mergeCell ref="A2:K4"/>
    <mergeCell ref="B7:K7"/>
    <mergeCell ref="B8:K8"/>
    <mergeCell ref="J9:K9"/>
    <mergeCell ref="B9:H9"/>
    <mergeCell ref="A14:C14"/>
    <mergeCell ref="D14:E14"/>
    <mergeCell ref="F14:G14"/>
    <mergeCell ref="I14:J14"/>
    <mergeCell ref="A16:C16"/>
    <mergeCell ref="I16:J16"/>
    <mergeCell ref="A15:C15"/>
    <mergeCell ref="I15:J15"/>
    <mergeCell ref="A24:H24"/>
    <mergeCell ref="A20:C20"/>
    <mergeCell ref="I20:J20"/>
    <mergeCell ref="A21:C21"/>
    <mergeCell ref="I21:J21"/>
    <mergeCell ref="A22:C22"/>
    <mergeCell ref="I22:J22"/>
    <mergeCell ref="A23:H23"/>
    <mergeCell ref="I23:J23"/>
    <mergeCell ref="A17:C17"/>
    <mergeCell ref="I17:J17"/>
    <mergeCell ref="A18:C18"/>
    <mergeCell ref="I18:J18"/>
    <mergeCell ref="A19:C19"/>
    <mergeCell ref="I19:J19"/>
  </mergeCells>
  <dataValidations count="1">
    <dataValidation type="list" allowBlank="1" showInputMessage="1" showErrorMessage="1" sqref="J10" xr:uid="{00000000-0002-0000-0700-000000000000}">
      <formula1>#REF!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3C66"/>
  </sheetPr>
  <dimension ref="A1:M22"/>
  <sheetViews>
    <sheetView showGridLines="0" topLeftCell="A3" zoomScaleNormal="100" zoomScaleSheetLayoutView="95" workbookViewId="0">
      <selection activeCell="I18" sqref="I18:J18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5.109375" style="12" customWidth="1"/>
    <col min="9" max="9" width="9.33203125" style="12" customWidth="1"/>
    <col min="10" max="10" width="7.33203125" style="12" bestFit="1" customWidth="1"/>
    <col min="11" max="11" width="6.44140625" style="12" customWidth="1"/>
    <col min="12" max="12" width="11.33203125" style="12" bestFit="1" customWidth="1"/>
    <col min="13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129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7"/>
      <c r="G9" s="157"/>
      <c r="H9" s="158"/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x14ac:dyDescent="0.3">
      <c r="A12" s="23" t="s">
        <v>162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59" t="s">
        <v>40</v>
      </c>
      <c r="I14" s="192" t="s">
        <v>39</v>
      </c>
      <c r="J14" s="194"/>
      <c r="K14" s="31"/>
    </row>
    <row r="15" spans="1:13" ht="15.9" customHeight="1" x14ac:dyDescent="0.3">
      <c r="A15" s="202" t="s">
        <v>123</v>
      </c>
      <c r="B15" s="203"/>
      <c r="C15" s="204"/>
      <c r="D15" s="97">
        <f>+'Dados Gerais'!$E$15*'Rev. Internos Piso e Parede'!F15</f>
        <v>6964.97</v>
      </c>
      <c r="E15" s="83" t="s">
        <v>18</v>
      </c>
      <c r="F15" s="52">
        <v>1</v>
      </c>
      <c r="G15" s="33" t="s">
        <v>120</v>
      </c>
      <c r="H15" s="87" t="s">
        <v>176</v>
      </c>
      <c r="I15" s="224">
        <f>+D15*58</f>
        <v>403968.26</v>
      </c>
      <c r="J15" s="198"/>
      <c r="K15" s="31"/>
    </row>
    <row r="16" spans="1:13" ht="27" customHeight="1" x14ac:dyDescent="0.3">
      <c r="A16" s="247" t="s">
        <v>121</v>
      </c>
      <c r="B16" s="248"/>
      <c r="C16" s="249"/>
      <c r="D16" s="82">
        <f>+'Dados Gerais'!$E$15*'Rev. Internos Piso e Parede'!F16</f>
        <v>15322.934000000001</v>
      </c>
      <c r="E16" s="83" t="s">
        <v>18</v>
      </c>
      <c r="F16" s="55">
        <v>2.2000000000000002</v>
      </c>
      <c r="G16" s="56" t="s">
        <v>120</v>
      </c>
      <c r="H16" s="88" t="s">
        <v>176</v>
      </c>
      <c r="I16" s="211">
        <f>+D16*5</f>
        <v>76614.670000000013</v>
      </c>
      <c r="J16" s="227"/>
      <c r="K16" s="35"/>
    </row>
    <row r="17" spans="1:11" ht="27" customHeight="1" x14ac:dyDescent="0.3">
      <c r="A17" s="174" t="s">
        <v>122</v>
      </c>
      <c r="B17" s="175"/>
      <c r="C17" s="176"/>
      <c r="D17" s="82">
        <f>+'Dados Gerais'!$E$15*'Rev. Internos Piso e Parede'!F17</f>
        <v>15322.934000000001</v>
      </c>
      <c r="E17" s="83" t="s">
        <v>18</v>
      </c>
      <c r="F17" s="55">
        <v>2.2000000000000002</v>
      </c>
      <c r="G17" s="56" t="s">
        <v>120</v>
      </c>
      <c r="H17" s="88" t="s">
        <v>176</v>
      </c>
      <c r="I17" s="211">
        <f>(25+15)*D17</f>
        <v>612917.3600000001</v>
      </c>
      <c r="J17" s="227"/>
      <c r="K17" s="35"/>
    </row>
    <row r="18" spans="1:11" ht="15.9" customHeight="1" x14ac:dyDescent="0.3">
      <c r="A18" s="174" t="s">
        <v>132</v>
      </c>
      <c r="B18" s="175"/>
      <c r="C18" s="176"/>
      <c r="D18" s="82">
        <v>1</v>
      </c>
      <c r="E18" s="83" t="s">
        <v>68</v>
      </c>
      <c r="F18" s="55">
        <v>1</v>
      </c>
      <c r="G18" s="56" t="s">
        <v>25</v>
      </c>
      <c r="H18" s="88" t="s">
        <v>176</v>
      </c>
      <c r="I18" s="211">
        <f>+F18*'Dados Gerais'!$E$15</f>
        <v>6964.97</v>
      </c>
      <c r="J18" s="227"/>
      <c r="K18" s="35"/>
    </row>
    <row r="19" spans="1:11" ht="15.9" customHeight="1" x14ac:dyDescent="0.3">
      <c r="A19" s="209" t="s">
        <v>43</v>
      </c>
      <c r="B19" s="209"/>
      <c r="C19" s="209"/>
      <c r="D19" s="209"/>
      <c r="E19" s="209"/>
      <c r="F19" s="209"/>
      <c r="G19" s="209"/>
      <c r="H19" s="209"/>
      <c r="I19" s="210">
        <f>SUM(I15:J18)</f>
        <v>1100465.26</v>
      </c>
      <c r="J19" s="210"/>
      <c r="K19" s="39"/>
    </row>
    <row r="20" spans="1:11" ht="15.9" customHeight="1" x14ac:dyDescent="0.3">
      <c r="A20" s="172"/>
      <c r="B20" s="173"/>
      <c r="C20" s="173"/>
      <c r="D20" s="173"/>
      <c r="E20" s="173"/>
      <c r="F20" s="173"/>
      <c r="G20" s="173"/>
      <c r="H20" s="173"/>
      <c r="I20" s="96"/>
      <c r="J20" s="41"/>
      <c r="K20" s="43"/>
    </row>
    <row r="22" spans="1:11" x14ac:dyDescent="0.3">
      <c r="K22" s="91">
        <f>I19</f>
        <v>1100465.26</v>
      </c>
    </row>
  </sheetData>
  <mergeCells count="22">
    <mergeCell ref="B10:F10"/>
    <mergeCell ref="J10:K10"/>
    <mergeCell ref="A18:C18"/>
    <mergeCell ref="I18:J18"/>
    <mergeCell ref="A2:K4"/>
    <mergeCell ref="B7:K7"/>
    <mergeCell ref="B8:K8"/>
    <mergeCell ref="J9:K9"/>
    <mergeCell ref="A14:C14"/>
    <mergeCell ref="D14:E14"/>
    <mergeCell ref="F14:G14"/>
    <mergeCell ref="I14:J14"/>
    <mergeCell ref="A15:C15"/>
    <mergeCell ref="I15:J15"/>
    <mergeCell ref="B9:H9"/>
    <mergeCell ref="A20:H20"/>
    <mergeCell ref="A19:H19"/>
    <mergeCell ref="I19:J19"/>
    <mergeCell ref="A16:C16"/>
    <mergeCell ref="I16:J16"/>
    <mergeCell ref="A17:C17"/>
    <mergeCell ref="I17:J17"/>
  </mergeCells>
  <dataValidations disablePrompts="1" count="1">
    <dataValidation type="list" allowBlank="1" showInputMessage="1" showErrorMessage="1" sqref="J10" xr:uid="{00000000-0002-0000-08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3C66"/>
  </sheetPr>
  <dimension ref="A1:M23"/>
  <sheetViews>
    <sheetView showGridLines="0" zoomScaleNormal="100" zoomScaleSheetLayoutView="95" workbookViewId="0">
      <selection activeCell="F16" sqref="F16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2" width="11.33203125" style="12" bestFit="1" customWidth="1"/>
    <col min="13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128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8"/>
      <c r="G9" s="10" t="s">
        <v>10</v>
      </c>
      <c r="H9" s="51" t="s">
        <v>49</v>
      </c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x14ac:dyDescent="0.3">
      <c r="A12" s="23" t="s">
        <v>131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59" t="s">
        <v>40</v>
      </c>
      <c r="I14" s="192" t="s">
        <v>39</v>
      </c>
      <c r="J14" s="194"/>
      <c r="K14" s="31"/>
    </row>
    <row r="15" spans="1:13" ht="15.9" customHeight="1" x14ac:dyDescent="0.3">
      <c r="A15" s="202" t="s">
        <v>124</v>
      </c>
      <c r="B15" s="203"/>
      <c r="C15" s="204"/>
      <c r="D15" s="97">
        <f>+'Dados Gerais'!E15*F15</f>
        <v>4875.4790000000003</v>
      </c>
      <c r="E15" s="83" t="s">
        <v>18</v>
      </c>
      <c r="F15" s="52">
        <v>0.7</v>
      </c>
      <c r="G15" s="33" t="s">
        <v>120</v>
      </c>
      <c r="H15" s="87" t="s">
        <v>176</v>
      </c>
      <c r="I15" s="224">
        <f>+D15*100</f>
        <v>487547.9</v>
      </c>
      <c r="J15" s="198"/>
      <c r="K15" s="31"/>
    </row>
    <row r="16" spans="1:13" ht="15.9" customHeight="1" x14ac:dyDescent="0.3">
      <c r="A16" s="247" t="s">
        <v>125</v>
      </c>
      <c r="B16" s="248"/>
      <c r="C16" s="249"/>
      <c r="D16" s="82">
        <f>+F16*'Dados Gerais'!$E$15</f>
        <v>3482.4850000000001</v>
      </c>
      <c r="E16" s="83" t="s">
        <v>18</v>
      </c>
      <c r="F16" s="55">
        <v>0.5</v>
      </c>
      <c r="G16" s="56" t="s">
        <v>182</v>
      </c>
      <c r="H16" s="88" t="s">
        <v>176</v>
      </c>
      <c r="I16" s="211">
        <f>+D16*20</f>
        <v>69649.7</v>
      </c>
      <c r="J16" s="227"/>
      <c r="K16" s="35"/>
    </row>
    <row r="17" spans="1:11" ht="15.9" customHeight="1" x14ac:dyDescent="0.3">
      <c r="A17" s="174" t="s">
        <v>132</v>
      </c>
      <c r="B17" s="175"/>
      <c r="C17" s="176"/>
      <c r="D17" s="82">
        <v>1</v>
      </c>
      <c r="E17" s="83" t="s">
        <v>68</v>
      </c>
      <c r="F17" s="55">
        <v>1</v>
      </c>
      <c r="G17" s="56" t="s">
        <v>25</v>
      </c>
      <c r="H17" s="88" t="s">
        <v>176</v>
      </c>
      <c r="I17" s="211">
        <f>+F17*'Dados Gerais'!$E$15</f>
        <v>6964.97</v>
      </c>
      <c r="J17" s="227"/>
      <c r="K17" s="35"/>
    </row>
    <row r="18" spans="1:11" ht="15.9" customHeight="1" x14ac:dyDescent="0.3">
      <c r="A18" s="209" t="s">
        <v>43</v>
      </c>
      <c r="B18" s="209"/>
      <c r="C18" s="209"/>
      <c r="D18" s="209"/>
      <c r="E18" s="209"/>
      <c r="F18" s="209"/>
      <c r="G18" s="209"/>
      <c r="H18" s="209"/>
      <c r="I18" s="210">
        <f>SUM(I15:J17)</f>
        <v>564162.56999999995</v>
      </c>
      <c r="J18" s="210"/>
      <c r="K18" s="39"/>
    </row>
    <row r="19" spans="1:11" ht="15.9" customHeight="1" x14ac:dyDescent="0.3">
      <c r="A19" s="172"/>
      <c r="B19" s="173"/>
      <c r="C19" s="173"/>
      <c r="D19" s="173"/>
      <c r="E19" s="173"/>
      <c r="F19" s="173"/>
      <c r="G19" s="173"/>
      <c r="H19" s="173"/>
      <c r="I19" s="96"/>
      <c r="J19" s="41"/>
      <c r="K19" s="43"/>
    </row>
    <row r="20" spans="1:11" x14ac:dyDescent="0.3">
      <c r="J20" s="91"/>
    </row>
    <row r="23" spans="1:11" x14ac:dyDescent="0.3">
      <c r="J23" s="91">
        <f>I18</f>
        <v>564162.56999999995</v>
      </c>
    </row>
  </sheetData>
  <mergeCells count="20"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  <mergeCell ref="A19:H19"/>
    <mergeCell ref="A16:C16"/>
    <mergeCell ref="I16:J16"/>
    <mergeCell ref="A18:H18"/>
    <mergeCell ref="I18:J18"/>
    <mergeCell ref="A17:C17"/>
    <mergeCell ref="I17:J17"/>
  </mergeCells>
  <dataValidations count="1">
    <dataValidation type="list" allowBlank="1" showInputMessage="1" showErrorMessage="1" sqref="J10" xr:uid="{00000000-0002-0000-09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C66"/>
  </sheetPr>
  <dimension ref="A1:M22"/>
  <sheetViews>
    <sheetView showGridLines="0" zoomScaleNormal="100" zoomScaleSheetLayoutView="95" workbookViewId="0">
      <selection activeCell="F16" sqref="F16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2" width="13.109375" style="12" bestFit="1" customWidth="1"/>
    <col min="13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130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8"/>
      <c r="G9" s="10" t="s">
        <v>10</v>
      </c>
      <c r="H9" s="51" t="s">
        <v>49</v>
      </c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x14ac:dyDescent="0.3">
      <c r="A12" s="23" t="s">
        <v>133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89" t="s">
        <v>40</v>
      </c>
      <c r="I14" s="192" t="s">
        <v>39</v>
      </c>
      <c r="J14" s="194"/>
      <c r="K14" s="31"/>
    </row>
    <row r="15" spans="1:13" ht="15.9" customHeight="1" x14ac:dyDescent="0.3">
      <c r="A15" s="202" t="s">
        <v>134</v>
      </c>
      <c r="B15" s="203"/>
      <c r="C15" s="204"/>
      <c r="D15" s="97"/>
      <c r="E15" s="83" t="s">
        <v>68</v>
      </c>
      <c r="F15" s="52">
        <v>100</v>
      </c>
      <c r="G15" s="33" t="s">
        <v>25</v>
      </c>
      <c r="H15" s="87" t="s">
        <v>176</v>
      </c>
      <c r="I15" s="224">
        <f>+F15*'Dados Gerais'!$E$15</f>
        <v>696497</v>
      </c>
      <c r="J15" s="198"/>
      <c r="K15" s="31"/>
      <c r="L15" s="91"/>
    </row>
    <row r="16" spans="1:13" ht="15.9" customHeight="1" x14ac:dyDescent="0.3">
      <c r="A16" s="174" t="s">
        <v>295</v>
      </c>
      <c r="B16" s="175"/>
      <c r="C16" s="176"/>
      <c r="D16" s="85">
        <f>(14.1+14.07+4.86+15.41)*21</f>
        <v>1017.24</v>
      </c>
      <c r="E16" s="83" t="s">
        <v>216</v>
      </c>
      <c r="F16" s="55">
        <v>105</v>
      </c>
      <c r="G16" s="56" t="s">
        <v>69</v>
      </c>
      <c r="H16" s="88" t="s">
        <v>176</v>
      </c>
      <c r="I16" s="211">
        <f>+F16*D16</f>
        <v>106810.2</v>
      </c>
      <c r="J16" s="227"/>
      <c r="K16" s="31"/>
    </row>
    <row r="17" spans="1:11" ht="15.9" customHeight="1" x14ac:dyDescent="0.3">
      <c r="A17" s="174" t="s">
        <v>144</v>
      </c>
      <c r="B17" s="175"/>
      <c r="C17" s="176"/>
      <c r="D17" s="85">
        <v>1</v>
      </c>
      <c r="E17" s="83" t="s">
        <v>68</v>
      </c>
      <c r="F17" s="55">
        <v>30</v>
      </c>
      <c r="G17" s="56" t="s">
        <v>25</v>
      </c>
      <c r="H17" s="88" t="s">
        <v>176</v>
      </c>
      <c r="I17" s="211">
        <f>+F17*'Dados Gerais'!$E$15</f>
        <v>208949.1</v>
      </c>
      <c r="J17" s="227"/>
      <c r="K17" s="31"/>
    </row>
    <row r="18" spans="1:11" ht="15.9" customHeight="1" x14ac:dyDescent="0.3">
      <c r="A18" s="247" t="s">
        <v>135</v>
      </c>
      <c r="B18" s="248"/>
      <c r="C18" s="249"/>
      <c r="D18" s="82">
        <v>1</v>
      </c>
      <c r="E18" s="83" t="s">
        <v>68</v>
      </c>
      <c r="F18" s="55">
        <v>40</v>
      </c>
      <c r="G18" s="56" t="s">
        <v>25</v>
      </c>
      <c r="H18" s="88" t="s">
        <v>176</v>
      </c>
      <c r="I18" s="211">
        <f>+F18*'Dados Gerais'!$E$15</f>
        <v>278598.8</v>
      </c>
      <c r="J18" s="227"/>
      <c r="K18" s="35"/>
    </row>
    <row r="19" spans="1:11" ht="15.9" customHeight="1" x14ac:dyDescent="0.3">
      <c r="A19" s="209" t="s">
        <v>43</v>
      </c>
      <c r="B19" s="209"/>
      <c r="C19" s="209"/>
      <c r="D19" s="209"/>
      <c r="E19" s="209"/>
      <c r="F19" s="209"/>
      <c r="G19" s="209"/>
      <c r="H19" s="209"/>
      <c r="I19" s="210">
        <f>SUM(I15:J18)</f>
        <v>1290855.0999999999</v>
      </c>
      <c r="J19" s="210"/>
      <c r="K19" s="39"/>
    </row>
    <row r="20" spans="1:11" ht="15.9" customHeight="1" x14ac:dyDescent="0.3">
      <c r="A20" s="172"/>
      <c r="B20" s="173"/>
      <c r="C20" s="173"/>
      <c r="D20" s="173"/>
      <c r="E20" s="173"/>
      <c r="F20" s="173"/>
      <c r="G20" s="173"/>
      <c r="H20" s="173"/>
      <c r="I20" s="96"/>
      <c r="J20" s="41"/>
      <c r="K20" s="43"/>
    </row>
    <row r="22" spans="1:11" x14ac:dyDescent="0.3">
      <c r="J22" s="91">
        <f>I19</f>
        <v>1290855.0999999999</v>
      </c>
    </row>
  </sheetData>
  <mergeCells count="22">
    <mergeCell ref="A20:H20"/>
    <mergeCell ref="A17:C17"/>
    <mergeCell ref="I17:J17"/>
    <mergeCell ref="A18:C18"/>
    <mergeCell ref="I18:J18"/>
    <mergeCell ref="A19:H19"/>
    <mergeCell ref="I19:J19"/>
    <mergeCell ref="A16:C16"/>
    <mergeCell ref="I16:J16"/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</mergeCells>
  <dataValidations count="1">
    <dataValidation type="list" allowBlank="1" showInputMessage="1" showErrorMessage="1" sqref="J10" xr:uid="{00000000-0002-0000-0A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3C66"/>
  </sheetPr>
  <dimension ref="A1:M19"/>
  <sheetViews>
    <sheetView showGridLines="0" zoomScaleNormal="100" zoomScaleSheetLayoutView="95" workbookViewId="0">
      <selection activeCell="F15" sqref="F15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2" width="11.33203125" style="12" bestFit="1" customWidth="1"/>
    <col min="13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136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8"/>
      <c r="G9" s="10" t="s">
        <v>10</v>
      </c>
      <c r="H9" s="51" t="s">
        <v>49</v>
      </c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x14ac:dyDescent="0.3">
      <c r="A12" s="23" t="s">
        <v>137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89" t="s">
        <v>40</v>
      </c>
      <c r="I14" s="192" t="s">
        <v>39</v>
      </c>
      <c r="J14" s="194"/>
      <c r="K14" s="31"/>
    </row>
    <row r="15" spans="1:13" ht="15.9" customHeight="1" x14ac:dyDescent="0.3">
      <c r="A15" s="202" t="s">
        <v>138</v>
      </c>
      <c r="B15" s="203"/>
      <c r="C15" s="204"/>
      <c r="D15" s="97">
        <v>1</v>
      </c>
      <c r="E15" s="83" t="s">
        <v>68</v>
      </c>
      <c r="F15" s="52">
        <v>115</v>
      </c>
      <c r="G15" s="33" t="s">
        <v>25</v>
      </c>
      <c r="H15" s="87" t="s">
        <v>176</v>
      </c>
      <c r="I15" s="224">
        <f>+F15*'Dados Gerais'!$E$15</f>
        <v>800971.55</v>
      </c>
      <c r="J15" s="198"/>
      <c r="K15" s="31"/>
    </row>
    <row r="16" spans="1:13" ht="15.9" customHeight="1" x14ac:dyDescent="0.3">
      <c r="A16" s="209" t="s">
        <v>43</v>
      </c>
      <c r="B16" s="209"/>
      <c r="C16" s="209"/>
      <c r="D16" s="209"/>
      <c r="E16" s="209"/>
      <c r="F16" s="209"/>
      <c r="G16" s="209"/>
      <c r="H16" s="209"/>
      <c r="I16" s="210">
        <f>SUM(I15:J15)</f>
        <v>800971.55</v>
      </c>
      <c r="J16" s="210"/>
      <c r="K16" s="39"/>
    </row>
    <row r="17" spans="1:11" ht="15.9" customHeight="1" x14ac:dyDescent="0.3">
      <c r="A17" s="172"/>
      <c r="B17" s="173"/>
      <c r="C17" s="173"/>
      <c r="D17" s="173"/>
      <c r="E17" s="173"/>
      <c r="F17" s="173"/>
      <c r="G17" s="173"/>
      <c r="H17" s="173"/>
      <c r="I17" s="96"/>
      <c r="J17" s="41"/>
      <c r="K17" s="43"/>
    </row>
    <row r="19" spans="1:11" x14ac:dyDescent="0.3">
      <c r="J19" s="91">
        <f>I16</f>
        <v>800971.55</v>
      </c>
    </row>
  </sheetData>
  <mergeCells count="16">
    <mergeCell ref="A16:H16"/>
    <mergeCell ref="I16:J16"/>
    <mergeCell ref="A17:H17"/>
    <mergeCell ref="A14:C14"/>
    <mergeCell ref="D14:E14"/>
    <mergeCell ref="F14:G14"/>
    <mergeCell ref="I14:J14"/>
    <mergeCell ref="A15:C15"/>
    <mergeCell ref="I15:J15"/>
    <mergeCell ref="B10:F10"/>
    <mergeCell ref="J10:K10"/>
    <mergeCell ref="A2:K4"/>
    <mergeCell ref="B7:K7"/>
    <mergeCell ref="B8:K8"/>
    <mergeCell ref="B9:F9"/>
    <mergeCell ref="J9:K9"/>
  </mergeCells>
  <dataValidations count="1">
    <dataValidation type="list" allowBlank="1" showInputMessage="1" showErrorMessage="1" sqref="J10" xr:uid="{00000000-0002-0000-0B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3C66"/>
  </sheetPr>
  <dimension ref="A1:M27"/>
  <sheetViews>
    <sheetView showGridLines="0" topLeftCell="A8" zoomScaleNormal="100" zoomScaleSheetLayoutView="95" workbookViewId="0">
      <selection activeCell="I23" sqref="I23:J23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1.554687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1.33203125" style="12" bestFit="1" customWidth="1"/>
    <col min="11" max="11" width="13.109375" style="12" bestFit="1" customWidth="1"/>
    <col min="12" max="12" width="11.33203125" style="12" bestFit="1" customWidth="1"/>
    <col min="13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139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8"/>
      <c r="G9" s="10" t="s">
        <v>10</v>
      </c>
      <c r="H9" s="51" t="s">
        <v>49</v>
      </c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ht="15.75" customHeight="1" x14ac:dyDescent="0.3">
      <c r="A12" s="23" t="s">
        <v>140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75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75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89" t="s">
        <v>40</v>
      </c>
      <c r="I14" s="192" t="s">
        <v>39</v>
      </c>
      <c r="J14" s="194"/>
      <c r="K14" s="31"/>
    </row>
    <row r="15" spans="1:13" ht="15.75" customHeight="1" x14ac:dyDescent="0.3">
      <c r="A15" s="201" t="s">
        <v>142</v>
      </c>
      <c r="B15" s="201"/>
      <c r="C15" s="201"/>
      <c r="D15" s="97">
        <f>Auxiliar!H6+Auxiliar!H10</f>
        <v>1941.68</v>
      </c>
      <c r="E15" s="79" t="s">
        <v>18</v>
      </c>
      <c r="F15" s="98">
        <v>900</v>
      </c>
      <c r="G15" s="99" t="s">
        <v>69</v>
      </c>
      <c r="H15" s="100" t="s">
        <v>176</v>
      </c>
      <c r="I15" s="252">
        <f>+F15*D15</f>
        <v>1747512</v>
      </c>
      <c r="J15" s="208"/>
      <c r="K15" s="31"/>
    </row>
    <row r="16" spans="1:13" ht="15.75" customHeight="1" x14ac:dyDescent="0.3">
      <c r="A16" s="195" t="s">
        <v>141</v>
      </c>
      <c r="B16" s="195"/>
      <c r="C16" s="195"/>
      <c r="D16" s="101">
        <f>Auxiliar!H8</f>
        <v>60</v>
      </c>
      <c r="E16" s="80" t="s">
        <v>19</v>
      </c>
      <c r="F16" s="102">
        <v>1200</v>
      </c>
      <c r="G16" s="103" t="s">
        <v>278</v>
      </c>
      <c r="H16" s="94" t="s">
        <v>176</v>
      </c>
      <c r="I16" s="211">
        <f>F16*D16</f>
        <v>72000</v>
      </c>
      <c r="J16" s="227"/>
      <c r="K16" s="31"/>
    </row>
    <row r="17" spans="1:11" ht="15.75" customHeight="1" x14ac:dyDescent="0.3">
      <c r="A17" s="195" t="s">
        <v>215</v>
      </c>
      <c r="B17" s="195"/>
      <c r="C17" s="195"/>
      <c r="D17" s="101">
        <v>1</v>
      </c>
      <c r="E17" s="80" t="s">
        <v>68</v>
      </c>
      <c r="F17" s="109">
        <v>80000</v>
      </c>
      <c r="G17" s="108" t="s">
        <v>153</v>
      </c>
      <c r="H17" s="95" t="s">
        <v>176</v>
      </c>
      <c r="I17" s="211">
        <f>+D17*F17</f>
        <v>80000</v>
      </c>
      <c r="J17" s="227"/>
      <c r="K17" s="31"/>
    </row>
    <row r="18" spans="1:11" x14ac:dyDescent="0.3">
      <c r="A18" s="228" t="s">
        <v>280</v>
      </c>
      <c r="B18" s="228"/>
      <c r="C18" s="228"/>
      <c r="D18" s="85">
        <f>Auxiliar!H12</f>
        <v>113.88000000000002</v>
      </c>
      <c r="E18" s="82" t="s">
        <v>18</v>
      </c>
      <c r="F18" s="109">
        <v>800</v>
      </c>
      <c r="G18" s="108" t="s">
        <v>69</v>
      </c>
      <c r="H18" s="95" t="s">
        <v>176</v>
      </c>
      <c r="I18" s="250">
        <f>+F18*D18</f>
        <v>91104.000000000015</v>
      </c>
      <c r="J18" s="251"/>
      <c r="K18" s="31"/>
    </row>
    <row r="19" spans="1:11" x14ac:dyDescent="0.3">
      <c r="A19" s="228" t="s">
        <v>279</v>
      </c>
      <c r="B19" s="228"/>
      <c r="C19" s="228"/>
      <c r="D19" s="85">
        <f>Auxiliar!H5</f>
        <v>400.52209999999991</v>
      </c>
      <c r="E19" s="82" t="s">
        <v>18</v>
      </c>
      <c r="F19" s="109">
        <v>950</v>
      </c>
      <c r="G19" s="108" t="s">
        <v>69</v>
      </c>
      <c r="H19" s="95" t="s">
        <v>176</v>
      </c>
      <c r="I19" s="250">
        <f>+F19*D19</f>
        <v>380495.99499999994</v>
      </c>
      <c r="J19" s="251"/>
      <c r="K19" s="31"/>
    </row>
    <row r="20" spans="1:11" x14ac:dyDescent="0.3">
      <c r="A20" s="228" t="s">
        <v>281</v>
      </c>
      <c r="B20" s="228"/>
      <c r="C20" s="228"/>
      <c r="D20" s="85">
        <f>Auxiliar!H13</f>
        <v>109.3146</v>
      </c>
      <c r="E20" s="82" t="s">
        <v>18</v>
      </c>
      <c r="F20" s="109">
        <v>1000</v>
      </c>
      <c r="G20" s="108" t="s">
        <v>69</v>
      </c>
      <c r="H20" s="95" t="s">
        <v>176</v>
      </c>
      <c r="I20" s="250">
        <f>+F20*D20</f>
        <v>109314.6</v>
      </c>
      <c r="J20" s="251"/>
      <c r="K20" s="31"/>
    </row>
    <row r="21" spans="1:11" x14ac:dyDescent="0.3">
      <c r="A21" s="228" t="s">
        <v>282</v>
      </c>
      <c r="B21" s="228"/>
      <c r="C21" s="228"/>
      <c r="D21" s="85">
        <f>Auxiliar!H9</f>
        <v>1</v>
      </c>
      <c r="E21" s="82" t="s">
        <v>19</v>
      </c>
      <c r="F21" s="109">
        <v>2500</v>
      </c>
      <c r="G21" s="108" t="s">
        <v>278</v>
      </c>
      <c r="H21" s="95" t="s">
        <v>176</v>
      </c>
      <c r="I21" s="250">
        <f>+F21*D21</f>
        <v>2500</v>
      </c>
      <c r="J21" s="251"/>
      <c r="K21" s="31"/>
    </row>
    <row r="22" spans="1:11" x14ac:dyDescent="0.3">
      <c r="A22" s="228" t="s">
        <v>283</v>
      </c>
      <c r="B22" s="228"/>
      <c r="C22" s="228"/>
      <c r="D22" s="85">
        <f>Auxiliar!H11</f>
        <v>2</v>
      </c>
      <c r="E22" s="82" t="s">
        <v>19</v>
      </c>
      <c r="F22" s="109">
        <v>8000</v>
      </c>
      <c r="G22" s="108" t="s">
        <v>278</v>
      </c>
      <c r="H22" s="95" t="s">
        <v>176</v>
      </c>
      <c r="I22" s="250">
        <f>+F22*D22</f>
        <v>16000</v>
      </c>
      <c r="J22" s="251"/>
      <c r="K22" s="31"/>
    </row>
    <row r="23" spans="1:11" ht="15.75" customHeight="1" x14ac:dyDescent="0.3">
      <c r="A23" s="220" t="s">
        <v>143</v>
      </c>
      <c r="B23" s="220"/>
      <c r="C23" s="220"/>
      <c r="D23" s="105">
        <f>Auxiliar!H7</f>
        <v>218</v>
      </c>
      <c r="E23" s="81" t="s">
        <v>19</v>
      </c>
      <c r="F23" s="106">
        <v>900</v>
      </c>
      <c r="G23" s="107" t="s">
        <v>278</v>
      </c>
      <c r="H23" s="93" t="s">
        <v>176</v>
      </c>
      <c r="I23" s="253">
        <f>F23*D23</f>
        <v>196200</v>
      </c>
      <c r="J23" s="254"/>
      <c r="K23" s="31"/>
    </row>
    <row r="24" spans="1:11" ht="15.75" customHeight="1" x14ac:dyDescent="0.3">
      <c r="A24" s="209" t="s">
        <v>43</v>
      </c>
      <c r="B24" s="209"/>
      <c r="C24" s="209"/>
      <c r="D24" s="209"/>
      <c r="E24" s="209"/>
      <c r="F24" s="209"/>
      <c r="G24" s="209"/>
      <c r="H24" s="209"/>
      <c r="I24" s="210">
        <f>SUM(I15:J23)</f>
        <v>2695126.5950000002</v>
      </c>
      <c r="J24" s="210"/>
      <c r="K24" s="39"/>
    </row>
    <row r="25" spans="1:11" ht="15.75" customHeight="1" x14ac:dyDescent="0.3">
      <c r="A25" s="172"/>
      <c r="B25" s="173"/>
      <c r="C25" s="173"/>
      <c r="D25" s="173"/>
      <c r="E25" s="173"/>
      <c r="F25" s="173"/>
      <c r="G25" s="173"/>
      <c r="H25" s="173"/>
      <c r="I25" s="96"/>
      <c r="J25" s="41"/>
      <c r="K25" s="43"/>
    </row>
    <row r="27" spans="1:11" x14ac:dyDescent="0.3">
      <c r="K27" s="91">
        <f>I24</f>
        <v>2695126.5950000002</v>
      </c>
    </row>
  </sheetData>
  <mergeCells count="32">
    <mergeCell ref="A25:H25"/>
    <mergeCell ref="A16:C16"/>
    <mergeCell ref="A23:C23"/>
    <mergeCell ref="I16:J16"/>
    <mergeCell ref="I23:J23"/>
    <mergeCell ref="A17:C17"/>
    <mergeCell ref="I17:J17"/>
    <mergeCell ref="A24:H24"/>
    <mergeCell ref="I24:J24"/>
    <mergeCell ref="A19:C19"/>
    <mergeCell ref="I19:J19"/>
    <mergeCell ref="I21:J21"/>
    <mergeCell ref="A22:C22"/>
    <mergeCell ref="I22:J22"/>
    <mergeCell ref="A20:C20"/>
    <mergeCell ref="I20:J20"/>
    <mergeCell ref="A2:K4"/>
    <mergeCell ref="B7:K7"/>
    <mergeCell ref="B8:K8"/>
    <mergeCell ref="B9:F9"/>
    <mergeCell ref="J9:K9"/>
    <mergeCell ref="A21:C21"/>
    <mergeCell ref="A18:C18"/>
    <mergeCell ref="I18:J18"/>
    <mergeCell ref="B10:F10"/>
    <mergeCell ref="J10:K10"/>
    <mergeCell ref="A14:C14"/>
    <mergeCell ref="D14:E14"/>
    <mergeCell ref="F14:G14"/>
    <mergeCell ref="I14:J14"/>
    <mergeCell ref="A15:C15"/>
    <mergeCell ref="I15:J15"/>
  </mergeCells>
  <dataValidations disablePrompts="1" count="1">
    <dataValidation type="list" allowBlank="1" showInputMessage="1" showErrorMessage="1" sqref="J10" xr:uid="{00000000-0002-0000-0C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4.4" x14ac:dyDescent="0.3"/>
  <cols>
    <col min="1" max="1" width="106.5546875" bestFit="1" customWidth="1"/>
    <col min="3" max="3" width="15.77734375" bestFit="1" customWidth="1"/>
    <col min="4" max="4" width="8.88671875" style="138"/>
    <col min="7" max="7" width="14.88671875" bestFit="1" customWidth="1"/>
    <col min="8" max="8" width="9.33203125" style="138" bestFit="1" customWidth="1"/>
  </cols>
  <sheetData>
    <row r="2" spans="1:8" x14ac:dyDescent="0.3">
      <c r="A2" t="s">
        <v>221</v>
      </c>
      <c r="B2">
        <v>2</v>
      </c>
      <c r="C2" t="s">
        <v>268</v>
      </c>
      <c r="D2" s="138">
        <v>18.399999999999999</v>
      </c>
    </row>
    <row r="3" spans="1:8" x14ac:dyDescent="0.3">
      <c r="A3" t="s">
        <v>222</v>
      </c>
      <c r="B3">
        <v>2</v>
      </c>
      <c r="C3" t="s">
        <v>269</v>
      </c>
    </row>
    <row r="4" spans="1:8" x14ac:dyDescent="0.3">
      <c r="A4" t="s">
        <v>223</v>
      </c>
      <c r="B4">
        <v>1</v>
      </c>
      <c r="C4" t="s">
        <v>270</v>
      </c>
      <c r="D4" s="138">
        <v>3.4649999999999999</v>
      </c>
    </row>
    <row r="5" spans="1:8" x14ac:dyDescent="0.3">
      <c r="A5" t="s">
        <v>224</v>
      </c>
      <c r="B5">
        <v>1</v>
      </c>
      <c r="C5" t="s">
        <v>270</v>
      </c>
      <c r="D5" s="138">
        <v>1.7324999999999999</v>
      </c>
      <c r="G5" t="s">
        <v>274</v>
      </c>
      <c r="H5" s="138">
        <f>SUMIF(C:C,G5,D:D)</f>
        <v>400.52209999999991</v>
      </c>
    </row>
    <row r="6" spans="1:8" x14ac:dyDescent="0.3">
      <c r="A6" t="s">
        <v>225</v>
      </c>
      <c r="B6">
        <v>2</v>
      </c>
      <c r="C6" t="s">
        <v>270</v>
      </c>
      <c r="D6" s="138">
        <v>5.2751999999999999</v>
      </c>
      <c r="G6" t="s">
        <v>275</v>
      </c>
      <c r="H6" s="138">
        <f t="shared" ref="H6:H12" si="0">SUMIF(C:C,G6,D:D)</f>
        <v>1895.0600000000002</v>
      </c>
    </row>
    <row r="7" spans="1:8" x14ac:dyDescent="0.3">
      <c r="A7" t="s">
        <v>226</v>
      </c>
      <c r="B7">
        <v>1</v>
      </c>
      <c r="C7" t="s">
        <v>270</v>
      </c>
      <c r="D7" s="138">
        <v>4.1916000000000002</v>
      </c>
      <c r="G7" t="s">
        <v>272</v>
      </c>
      <c r="H7" s="138">
        <f>SUMIF(C:C,G7,B:B)</f>
        <v>218</v>
      </c>
    </row>
    <row r="8" spans="1:8" x14ac:dyDescent="0.3">
      <c r="A8" t="s">
        <v>227</v>
      </c>
      <c r="B8">
        <v>1</v>
      </c>
      <c r="C8" t="s">
        <v>273</v>
      </c>
      <c r="G8" t="s">
        <v>269</v>
      </c>
      <c r="H8" s="138">
        <f>SUMIF(C:C,G8,B:B)</f>
        <v>60</v>
      </c>
    </row>
    <row r="9" spans="1:8" x14ac:dyDescent="0.3">
      <c r="A9" t="s">
        <v>228</v>
      </c>
      <c r="B9">
        <v>19</v>
      </c>
      <c r="C9" t="s">
        <v>272</v>
      </c>
      <c r="G9" t="s">
        <v>273</v>
      </c>
      <c r="H9" s="138">
        <f>SUMIF(C:C,G9,B:B)</f>
        <v>1</v>
      </c>
    </row>
    <row r="10" spans="1:8" x14ac:dyDescent="0.3">
      <c r="A10" t="s">
        <v>229</v>
      </c>
      <c r="B10">
        <v>3</v>
      </c>
      <c r="C10" t="s">
        <v>270</v>
      </c>
      <c r="D10" s="138">
        <v>6.3</v>
      </c>
      <c r="G10" t="s">
        <v>271</v>
      </c>
      <c r="H10" s="138">
        <f>SUMIF(C:C,G10,D:D)</f>
        <v>46.62</v>
      </c>
    </row>
    <row r="11" spans="1:8" x14ac:dyDescent="0.3">
      <c r="A11" t="s">
        <v>230</v>
      </c>
      <c r="B11">
        <v>2</v>
      </c>
      <c r="C11" t="s">
        <v>270</v>
      </c>
      <c r="D11" s="138">
        <v>3.78</v>
      </c>
      <c r="G11" t="s">
        <v>268</v>
      </c>
      <c r="H11" s="138">
        <f>SUMIF(C:C,G11,B:B)</f>
        <v>2</v>
      </c>
    </row>
    <row r="12" spans="1:8" x14ac:dyDescent="0.3">
      <c r="A12" t="s">
        <v>231</v>
      </c>
      <c r="B12">
        <v>1</v>
      </c>
      <c r="C12" t="s">
        <v>270</v>
      </c>
      <c r="D12" s="138">
        <v>2.0076000000000001</v>
      </c>
      <c r="G12" t="s">
        <v>276</v>
      </c>
      <c r="H12" s="138">
        <f t="shared" si="0"/>
        <v>113.88000000000002</v>
      </c>
    </row>
    <row r="13" spans="1:8" x14ac:dyDescent="0.3">
      <c r="A13" t="s">
        <v>232</v>
      </c>
      <c r="C13" t="s">
        <v>275</v>
      </c>
      <c r="D13" s="138">
        <v>23.4526</v>
      </c>
      <c r="G13" t="s">
        <v>277</v>
      </c>
      <c r="H13" s="138">
        <v>109.3146</v>
      </c>
    </row>
    <row r="14" spans="1:8" x14ac:dyDescent="0.3">
      <c r="A14" t="s">
        <v>233</v>
      </c>
      <c r="C14" t="s">
        <v>274</v>
      </c>
      <c r="D14" s="138">
        <v>20.8062</v>
      </c>
    </row>
    <row r="15" spans="1:8" x14ac:dyDescent="0.3">
      <c r="A15" t="s">
        <v>234</v>
      </c>
      <c r="B15">
        <v>8</v>
      </c>
      <c r="C15" t="s">
        <v>269</v>
      </c>
    </row>
    <row r="16" spans="1:8" x14ac:dyDescent="0.3">
      <c r="A16" t="s">
        <v>235</v>
      </c>
      <c r="C16" t="s">
        <v>275</v>
      </c>
      <c r="D16" s="138">
        <v>124.1564</v>
      </c>
    </row>
    <row r="17" spans="1:4" x14ac:dyDescent="0.3">
      <c r="A17" t="s">
        <v>236</v>
      </c>
      <c r="B17">
        <v>2</v>
      </c>
      <c r="C17" t="s">
        <v>269</v>
      </c>
    </row>
    <row r="18" spans="1:4" x14ac:dyDescent="0.3">
      <c r="A18" t="s">
        <v>237</v>
      </c>
      <c r="B18">
        <v>2</v>
      </c>
      <c r="C18" t="s">
        <v>271</v>
      </c>
      <c r="D18" s="138">
        <v>2.94</v>
      </c>
    </row>
    <row r="19" spans="1:4" x14ac:dyDescent="0.3">
      <c r="A19" t="s">
        <v>238</v>
      </c>
      <c r="B19">
        <v>2</v>
      </c>
      <c r="C19" t="s">
        <v>271</v>
      </c>
      <c r="D19" s="138">
        <v>3.78</v>
      </c>
    </row>
    <row r="20" spans="1:4" x14ac:dyDescent="0.3">
      <c r="A20" t="s">
        <v>239</v>
      </c>
      <c r="B20">
        <v>5</v>
      </c>
      <c r="C20" t="s">
        <v>272</v>
      </c>
    </row>
    <row r="21" spans="1:4" x14ac:dyDescent="0.3">
      <c r="A21" t="s">
        <v>240</v>
      </c>
      <c r="B21">
        <v>1</v>
      </c>
      <c r="C21" t="s">
        <v>275</v>
      </c>
      <c r="D21" s="138">
        <v>14.7348</v>
      </c>
    </row>
    <row r="22" spans="1:4" x14ac:dyDescent="0.3">
      <c r="A22" t="s">
        <v>241</v>
      </c>
      <c r="C22" t="s">
        <v>275</v>
      </c>
      <c r="D22" s="138">
        <v>45.024799999999999</v>
      </c>
    </row>
    <row r="23" spans="1:4" x14ac:dyDescent="0.3">
      <c r="A23" t="s">
        <v>242</v>
      </c>
      <c r="C23" t="s">
        <v>274</v>
      </c>
      <c r="D23" s="138">
        <v>19.8809</v>
      </c>
    </row>
    <row r="24" spans="1:4" x14ac:dyDescent="0.3">
      <c r="A24" t="s">
        <v>243</v>
      </c>
      <c r="B24">
        <v>38</v>
      </c>
      <c r="C24" t="s">
        <v>269</v>
      </c>
    </row>
    <row r="25" spans="1:4" x14ac:dyDescent="0.3">
      <c r="A25" t="s">
        <v>244</v>
      </c>
      <c r="B25">
        <v>171</v>
      </c>
      <c r="C25" t="s">
        <v>272</v>
      </c>
    </row>
    <row r="26" spans="1:4" x14ac:dyDescent="0.3">
      <c r="A26" t="s">
        <v>245</v>
      </c>
      <c r="B26">
        <v>19</v>
      </c>
      <c r="C26" t="s">
        <v>271</v>
      </c>
      <c r="D26" s="138">
        <v>23.94</v>
      </c>
    </row>
    <row r="27" spans="1:4" x14ac:dyDescent="0.3">
      <c r="A27" t="s">
        <v>246</v>
      </c>
      <c r="B27">
        <v>19</v>
      </c>
      <c r="C27" t="s">
        <v>275</v>
      </c>
      <c r="D27" s="138">
        <v>482.98950000000002</v>
      </c>
    </row>
    <row r="28" spans="1:4" x14ac:dyDescent="0.3">
      <c r="A28" t="s">
        <v>247</v>
      </c>
      <c r="B28">
        <v>19</v>
      </c>
      <c r="C28" t="s">
        <v>275</v>
      </c>
      <c r="D28" s="138">
        <v>338.7396</v>
      </c>
    </row>
    <row r="29" spans="1:4" x14ac:dyDescent="0.3">
      <c r="A29" t="s">
        <v>248</v>
      </c>
      <c r="C29" t="s">
        <v>275</v>
      </c>
      <c r="D29" s="138">
        <v>530.63199999999995</v>
      </c>
    </row>
    <row r="30" spans="1:4" x14ac:dyDescent="0.3">
      <c r="A30" t="s">
        <v>249</v>
      </c>
      <c r="C30" t="s">
        <v>276</v>
      </c>
      <c r="D30" s="138">
        <v>90.155000000000001</v>
      </c>
    </row>
    <row r="31" spans="1:4" x14ac:dyDescent="0.3">
      <c r="A31" t="s">
        <v>250</v>
      </c>
      <c r="C31" t="s">
        <v>274</v>
      </c>
      <c r="D31" s="138">
        <v>297.255</v>
      </c>
    </row>
    <row r="32" spans="1:4" x14ac:dyDescent="0.3">
      <c r="A32" t="s">
        <v>236</v>
      </c>
      <c r="B32">
        <v>2</v>
      </c>
      <c r="C32" t="s">
        <v>269</v>
      </c>
    </row>
    <row r="33" spans="1:4" x14ac:dyDescent="0.3">
      <c r="A33" t="s">
        <v>251</v>
      </c>
      <c r="B33">
        <v>2</v>
      </c>
      <c r="C33" t="s">
        <v>272</v>
      </c>
    </row>
    <row r="34" spans="1:4" x14ac:dyDescent="0.3">
      <c r="A34" t="s">
        <v>252</v>
      </c>
      <c r="B34">
        <v>1</v>
      </c>
      <c r="C34" t="s">
        <v>271</v>
      </c>
      <c r="D34" s="138">
        <v>1.26</v>
      </c>
    </row>
    <row r="35" spans="1:4" x14ac:dyDescent="0.3">
      <c r="A35" t="s">
        <v>253</v>
      </c>
      <c r="B35">
        <v>1</v>
      </c>
      <c r="C35" t="s">
        <v>275</v>
      </c>
      <c r="D35" s="138">
        <v>15.21</v>
      </c>
    </row>
    <row r="36" spans="1:4" x14ac:dyDescent="0.3">
      <c r="A36" t="s">
        <v>254</v>
      </c>
      <c r="B36">
        <v>1</v>
      </c>
      <c r="C36" t="s">
        <v>275</v>
      </c>
      <c r="D36" s="138">
        <v>25.420500000000001</v>
      </c>
    </row>
    <row r="37" spans="1:4" x14ac:dyDescent="0.3">
      <c r="A37" t="s">
        <v>255</v>
      </c>
      <c r="B37">
        <v>1</v>
      </c>
      <c r="C37" t="s">
        <v>275</v>
      </c>
      <c r="D37" s="138">
        <v>17.828399999999998</v>
      </c>
    </row>
    <row r="38" spans="1:4" x14ac:dyDescent="0.3">
      <c r="A38" t="s">
        <v>256</v>
      </c>
      <c r="C38" t="s">
        <v>275</v>
      </c>
      <c r="D38" s="138">
        <v>27.928000000000001</v>
      </c>
    </row>
    <row r="39" spans="1:4" x14ac:dyDescent="0.3">
      <c r="A39" t="s">
        <v>257</v>
      </c>
      <c r="C39" t="s">
        <v>276</v>
      </c>
      <c r="D39" s="138">
        <v>4.7450000000000001</v>
      </c>
    </row>
    <row r="40" spans="1:4" x14ac:dyDescent="0.3">
      <c r="A40" t="s">
        <v>258</v>
      </c>
      <c r="C40" t="s">
        <v>274</v>
      </c>
      <c r="D40" s="138">
        <v>15.645</v>
      </c>
    </row>
    <row r="41" spans="1:4" x14ac:dyDescent="0.3">
      <c r="A41" t="s">
        <v>236</v>
      </c>
      <c r="B41">
        <v>2</v>
      </c>
      <c r="C41" t="s">
        <v>269</v>
      </c>
    </row>
    <row r="42" spans="1:4" x14ac:dyDescent="0.3">
      <c r="A42" t="s">
        <v>259</v>
      </c>
      <c r="B42">
        <v>7</v>
      </c>
      <c r="C42" t="s">
        <v>272</v>
      </c>
    </row>
    <row r="43" spans="1:4" x14ac:dyDescent="0.3">
      <c r="A43" t="s">
        <v>260</v>
      </c>
      <c r="B43">
        <v>2</v>
      </c>
      <c r="C43" t="s">
        <v>272</v>
      </c>
    </row>
    <row r="44" spans="1:4" x14ac:dyDescent="0.3">
      <c r="A44" t="s">
        <v>254</v>
      </c>
      <c r="B44">
        <v>1</v>
      </c>
      <c r="C44" t="s">
        <v>275</v>
      </c>
      <c r="D44" s="138">
        <v>25.420500000000001</v>
      </c>
    </row>
    <row r="45" spans="1:4" x14ac:dyDescent="0.3">
      <c r="A45" t="s">
        <v>255</v>
      </c>
      <c r="B45">
        <v>1</v>
      </c>
      <c r="C45" t="s">
        <v>275</v>
      </c>
      <c r="D45" s="138">
        <v>17.828399999999998</v>
      </c>
    </row>
    <row r="46" spans="1:4" x14ac:dyDescent="0.3">
      <c r="A46" t="s">
        <v>261</v>
      </c>
      <c r="C46" t="s">
        <v>275</v>
      </c>
      <c r="D46" s="138">
        <v>26.827999999999999</v>
      </c>
    </row>
    <row r="47" spans="1:4" x14ac:dyDescent="0.3">
      <c r="A47" t="s">
        <v>257</v>
      </c>
      <c r="C47" t="s">
        <v>276</v>
      </c>
      <c r="D47" s="138">
        <v>4.7450000000000001</v>
      </c>
    </row>
    <row r="48" spans="1:4" x14ac:dyDescent="0.3">
      <c r="A48" t="s">
        <v>258</v>
      </c>
      <c r="C48" t="s">
        <v>274</v>
      </c>
      <c r="D48" s="138">
        <v>15.645</v>
      </c>
    </row>
    <row r="49" spans="1:4" x14ac:dyDescent="0.3">
      <c r="A49" t="s">
        <v>236</v>
      </c>
      <c r="B49">
        <v>2</v>
      </c>
      <c r="C49" t="s">
        <v>269</v>
      </c>
    </row>
    <row r="50" spans="1:4" x14ac:dyDescent="0.3">
      <c r="A50" t="s">
        <v>262</v>
      </c>
      <c r="B50">
        <v>4</v>
      </c>
      <c r="C50" t="s">
        <v>272</v>
      </c>
    </row>
    <row r="51" spans="1:4" x14ac:dyDescent="0.3">
      <c r="A51" t="s">
        <v>252</v>
      </c>
      <c r="B51">
        <v>1</v>
      </c>
      <c r="C51" t="s">
        <v>271</v>
      </c>
      <c r="D51" s="138">
        <v>1.26</v>
      </c>
    </row>
    <row r="52" spans="1:4" x14ac:dyDescent="0.3">
      <c r="A52" t="s">
        <v>263</v>
      </c>
      <c r="B52">
        <v>1</v>
      </c>
      <c r="C52" t="s">
        <v>272</v>
      </c>
    </row>
    <row r="53" spans="1:4" x14ac:dyDescent="0.3">
      <c r="A53" t="s">
        <v>264</v>
      </c>
      <c r="B53">
        <v>1</v>
      </c>
      <c r="C53" t="s">
        <v>271</v>
      </c>
      <c r="D53" s="138">
        <v>10.5</v>
      </c>
    </row>
    <row r="54" spans="1:4" x14ac:dyDescent="0.3">
      <c r="A54" t="s">
        <v>254</v>
      </c>
      <c r="B54">
        <v>1</v>
      </c>
      <c r="C54" t="s">
        <v>275</v>
      </c>
      <c r="D54" s="138">
        <v>25.420500000000001</v>
      </c>
    </row>
    <row r="55" spans="1:4" x14ac:dyDescent="0.3">
      <c r="A55" t="s">
        <v>255</v>
      </c>
      <c r="B55">
        <v>1</v>
      </c>
      <c r="C55" t="s">
        <v>275</v>
      </c>
      <c r="D55" s="138">
        <v>17.828399999999998</v>
      </c>
    </row>
    <row r="56" spans="1:4" x14ac:dyDescent="0.3">
      <c r="A56" t="s">
        <v>256</v>
      </c>
      <c r="C56" t="s">
        <v>275</v>
      </c>
      <c r="D56" s="138">
        <v>27.928000000000001</v>
      </c>
    </row>
    <row r="57" spans="1:4" x14ac:dyDescent="0.3">
      <c r="A57" t="s">
        <v>257</v>
      </c>
      <c r="C57" t="s">
        <v>276</v>
      </c>
      <c r="D57" s="138">
        <v>4.7450000000000001</v>
      </c>
    </row>
    <row r="58" spans="1:4" x14ac:dyDescent="0.3">
      <c r="A58" t="s">
        <v>258</v>
      </c>
      <c r="C58" t="s">
        <v>274</v>
      </c>
      <c r="D58" s="138">
        <v>15.645</v>
      </c>
    </row>
    <row r="59" spans="1:4" x14ac:dyDescent="0.3">
      <c r="A59" t="s">
        <v>236</v>
      </c>
      <c r="B59">
        <v>2</v>
      </c>
      <c r="C59" t="s">
        <v>269</v>
      </c>
    </row>
    <row r="60" spans="1:4" x14ac:dyDescent="0.3">
      <c r="A60" t="s">
        <v>259</v>
      </c>
      <c r="B60">
        <v>7</v>
      </c>
      <c r="C60" t="s">
        <v>272</v>
      </c>
    </row>
    <row r="61" spans="1:4" x14ac:dyDescent="0.3">
      <c r="A61" t="s">
        <v>265</v>
      </c>
      <c r="B61">
        <v>1</v>
      </c>
      <c r="C61" t="s">
        <v>275</v>
      </c>
      <c r="D61" s="138">
        <v>5.61</v>
      </c>
    </row>
    <row r="62" spans="1:4" x14ac:dyDescent="0.3">
      <c r="A62" t="s">
        <v>266</v>
      </c>
      <c r="C62" t="s">
        <v>275</v>
      </c>
      <c r="D62" s="138">
        <v>69.707599999999999</v>
      </c>
    </row>
    <row r="63" spans="1:4" x14ac:dyDescent="0.3">
      <c r="A63" t="s">
        <v>257</v>
      </c>
      <c r="C63" t="s">
        <v>276</v>
      </c>
      <c r="D63" s="138">
        <v>4.7450000000000001</v>
      </c>
    </row>
    <row r="64" spans="1:4" x14ac:dyDescent="0.3">
      <c r="A64" t="s">
        <v>258</v>
      </c>
      <c r="C64" t="s">
        <v>274</v>
      </c>
      <c r="D64" s="138">
        <v>15.645</v>
      </c>
    </row>
    <row r="65" spans="1:4" x14ac:dyDescent="0.3">
      <c r="A65" t="s">
        <v>236</v>
      </c>
      <c r="B65">
        <v>2</v>
      </c>
      <c r="C65" t="s">
        <v>269</v>
      </c>
    </row>
    <row r="66" spans="1:4" x14ac:dyDescent="0.3">
      <c r="A66" t="s">
        <v>237</v>
      </c>
      <c r="B66">
        <v>2</v>
      </c>
      <c r="C66" t="s">
        <v>271</v>
      </c>
      <c r="D66" s="138">
        <v>2.94</v>
      </c>
    </row>
    <row r="67" spans="1:4" x14ac:dyDescent="0.3">
      <c r="A67" t="s">
        <v>267</v>
      </c>
      <c r="C67" t="s">
        <v>275</v>
      </c>
      <c r="D67" s="138">
        <v>32.372</v>
      </c>
    </row>
    <row r="68" spans="1:4" x14ac:dyDescent="0.3">
      <c r="A68" t="s">
        <v>257</v>
      </c>
      <c r="C68" t="s">
        <v>276</v>
      </c>
      <c r="D68" s="138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3C66"/>
  </sheetPr>
  <dimension ref="A1:M58"/>
  <sheetViews>
    <sheetView showGridLines="0" tabSelected="1" topLeftCell="A13" zoomScaleNormal="100" zoomScaleSheetLayoutView="95" workbookViewId="0">
      <selection activeCell="I25" sqref="I25:J25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1.5546875" style="19" customWidth="1"/>
    <col min="7" max="7" width="15.88671875" style="12" customWidth="1"/>
    <col min="8" max="8" width="12.88671875" style="12" customWidth="1"/>
    <col min="9" max="9" width="14.5546875" style="12" bestFit="1" customWidth="1"/>
    <col min="10" max="10" width="7.33203125" style="12" bestFit="1" customWidth="1"/>
    <col min="11" max="11" width="6.44140625" style="12" customWidth="1"/>
    <col min="12" max="12" width="12.44140625" style="12" bestFit="1" customWidth="1"/>
    <col min="13" max="13" width="13.5546875" style="12" bestFit="1" customWidth="1"/>
    <col min="14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145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8"/>
      <c r="G9" s="10" t="s">
        <v>10</v>
      </c>
      <c r="H9" s="51" t="s">
        <v>49</v>
      </c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ht="15.75" customHeight="1" x14ac:dyDescent="0.3">
      <c r="A12" s="23" t="s">
        <v>146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75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75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115" t="s">
        <v>40</v>
      </c>
      <c r="I14" s="192" t="s">
        <v>39</v>
      </c>
      <c r="J14" s="194"/>
      <c r="K14" s="31"/>
    </row>
    <row r="15" spans="1:13" x14ac:dyDescent="0.3">
      <c r="A15" s="259" t="s">
        <v>218</v>
      </c>
      <c r="B15" s="260"/>
      <c r="C15" s="261"/>
      <c r="D15" s="131">
        <f>F15*'Dados Gerais'!$E$15</f>
        <v>1302.44939</v>
      </c>
      <c r="E15" s="130" t="s">
        <v>18</v>
      </c>
      <c r="F15" s="132">
        <v>0.187</v>
      </c>
      <c r="G15" s="133" t="s">
        <v>179</v>
      </c>
      <c r="H15" s="133" t="s">
        <v>42</v>
      </c>
      <c r="I15" s="262">
        <f>D15*5.04*1.5</f>
        <v>9846.5173883999996</v>
      </c>
      <c r="J15" s="263"/>
      <c r="K15" s="31"/>
      <c r="L15" s="118"/>
    </row>
    <row r="16" spans="1:13" x14ac:dyDescent="0.3">
      <c r="A16" s="259" t="s">
        <v>219</v>
      </c>
      <c r="B16" s="260"/>
      <c r="C16" s="261"/>
      <c r="D16" s="131">
        <f>F16*'Dados Gerais'!$E$15</f>
        <v>5202.83259</v>
      </c>
      <c r="E16" s="130" t="s">
        <v>18</v>
      </c>
      <c r="F16" s="132">
        <v>0.747</v>
      </c>
      <c r="G16" s="133" t="s">
        <v>179</v>
      </c>
      <c r="H16" s="133" t="s">
        <v>42</v>
      </c>
      <c r="I16" s="262">
        <f>D16*F16*1.5</f>
        <v>5829.7739170949999</v>
      </c>
      <c r="J16" s="263"/>
      <c r="K16" s="31"/>
      <c r="L16" s="118"/>
    </row>
    <row r="17" spans="1:13" x14ac:dyDescent="0.3">
      <c r="A17" s="259" t="s">
        <v>122</v>
      </c>
      <c r="B17" s="260"/>
      <c r="C17" s="261"/>
      <c r="D17" s="131">
        <f>F17*'Dados Gerais'!$E$15</f>
        <v>6616.7214999999997</v>
      </c>
      <c r="E17" s="130" t="s">
        <v>18</v>
      </c>
      <c r="F17" s="132">
        <v>0.95</v>
      </c>
      <c r="G17" s="133" t="s">
        <v>179</v>
      </c>
      <c r="H17" s="133" t="s">
        <v>42</v>
      </c>
      <c r="I17" s="262">
        <f>D17*11.1565*1.1*1.45</f>
        <v>117742.02819652624</v>
      </c>
      <c r="J17" s="263"/>
      <c r="K17" s="31"/>
      <c r="L17" s="118">
        <f>+D17*F17</f>
        <v>6285.8854249999995</v>
      </c>
    </row>
    <row r="18" spans="1:13" ht="15.75" customHeight="1" x14ac:dyDescent="0.3">
      <c r="A18" s="209" t="s">
        <v>43</v>
      </c>
      <c r="B18" s="209"/>
      <c r="C18" s="209"/>
      <c r="D18" s="209"/>
      <c r="E18" s="209"/>
      <c r="F18" s="209"/>
      <c r="G18" s="209"/>
      <c r="H18" s="209"/>
      <c r="I18" s="210">
        <f>SUM(I15:J17)</f>
        <v>133418.31950202124</v>
      </c>
      <c r="J18" s="210"/>
      <c r="K18" s="39"/>
    </row>
    <row r="19" spans="1:13" ht="15.75" customHeight="1" x14ac:dyDescent="0.3">
      <c r="A19" s="172"/>
      <c r="B19" s="173"/>
      <c r="C19" s="173"/>
      <c r="D19" s="173"/>
      <c r="E19" s="173"/>
      <c r="F19" s="173"/>
      <c r="G19" s="173"/>
      <c r="H19" s="173"/>
      <c r="I19" s="96"/>
      <c r="J19" s="41"/>
      <c r="K19" s="43"/>
    </row>
    <row r="20" spans="1:13" ht="15.75" customHeight="1" x14ac:dyDescent="0.3">
      <c r="F20" s="119"/>
      <c r="M20" s="118"/>
    </row>
    <row r="21" spans="1:13" ht="15.75" customHeight="1" x14ac:dyDescent="0.3">
      <c r="A21" s="23" t="s">
        <v>147</v>
      </c>
      <c r="B21" s="24"/>
      <c r="C21" s="24"/>
      <c r="D21" s="66"/>
      <c r="E21" s="45"/>
      <c r="F21" s="25"/>
      <c r="G21" s="24"/>
      <c r="H21" s="24"/>
      <c r="I21" s="24"/>
      <c r="J21" s="24"/>
      <c r="K21" s="26"/>
    </row>
    <row r="22" spans="1:13" ht="15.75" customHeight="1" x14ac:dyDescent="0.3">
      <c r="A22" s="27"/>
      <c r="B22" s="28"/>
      <c r="C22" s="28"/>
      <c r="D22" s="67"/>
      <c r="E22" s="75"/>
      <c r="F22" s="29"/>
      <c r="G22" s="28"/>
      <c r="H22" s="28"/>
      <c r="I22" s="30"/>
      <c r="J22" s="30"/>
      <c r="K22" s="31"/>
    </row>
    <row r="23" spans="1:13" ht="15.75" customHeight="1" x14ac:dyDescent="0.3">
      <c r="A23" s="189" t="s">
        <v>35</v>
      </c>
      <c r="B23" s="190"/>
      <c r="C23" s="190"/>
      <c r="D23" s="212" t="s">
        <v>52</v>
      </c>
      <c r="E23" s="213"/>
      <c r="F23" s="192" t="s">
        <v>24</v>
      </c>
      <c r="G23" s="194"/>
      <c r="H23" s="115" t="s">
        <v>40</v>
      </c>
      <c r="I23" s="192" t="s">
        <v>39</v>
      </c>
      <c r="J23" s="194"/>
      <c r="K23" s="31"/>
    </row>
    <row r="24" spans="1:13" x14ac:dyDescent="0.3">
      <c r="A24" s="266" t="s">
        <v>309</v>
      </c>
      <c r="B24" s="266"/>
      <c r="C24" s="266"/>
      <c r="D24" s="131">
        <f>D17</f>
        <v>6616.7214999999997</v>
      </c>
      <c r="E24" s="130" t="s">
        <v>18</v>
      </c>
      <c r="F24" s="132">
        <v>25</v>
      </c>
      <c r="G24" s="133" t="s">
        <v>69</v>
      </c>
      <c r="H24" s="133" t="s">
        <v>42</v>
      </c>
      <c r="I24" s="262">
        <f>+D24*180</f>
        <v>1191009.8699999999</v>
      </c>
      <c r="J24" s="263"/>
      <c r="K24" s="31"/>
    </row>
    <row r="25" spans="1:13" ht="15.75" customHeight="1" x14ac:dyDescent="0.3">
      <c r="A25" s="209" t="s">
        <v>43</v>
      </c>
      <c r="B25" s="209"/>
      <c r="C25" s="209"/>
      <c r="D25" s="209"/>
      <c r="E25" s="209"/>
      <c r="F25" s="209"/>
      <c r="G25" s="209"/>
      <c r="H25" s="209"/>
      <c r="I25" s="210">
        <f>SUM(I24:J24)</f>
        <v>1191009.8699999999</v>
      </c>
      <c r="J25" s="210"/>
      <c r="K25" s="39"/>
    </row>
    <row r="26" spans="1:13" ht="15.75" customHeight="1" x14ac:dyDescent="0.3">
      <c r="A26" s="172"/>
      <c r="B26" s="173"/>
      <c r="C26" s="173"/>
      <c r="D26" s="173"/>
      <c r="E26" s="173"/>
      <c r="F26" s="173"/>
      <c r="G26" s="173"/>
      <c r="H26" s="173"/>
      <c r="I26" s="96"/>
      <c r="J26" s="41"/>
      <c r="K26" s="43"/>
    </row>
    <row r="27" spans="1:13" ht="15.75" customHeight="1" x14ac:dyDescent="0.3">
      <c r="A27" s="23" t="s">
        <v>148</v>
      </c>
      <c r="B27" s="24"/>
      <c r="C27" s="24"/>
      <c r="D27" s="66"/>
      <c r="E27" s="45"/>
      <c r="F27" s="25"/>
      <c r="G27" s="24"/>
      <c r="H27" s="24"/>
      <c r="I27" s="24"/>
      <c r="J27" s="24"/>
      <c r="K27" s="26"/>
    </row>
    <row r="28" spans="1:13" ht="15.75" customHeight="1" x14ac:dyDescent="0.3">
      <c r="A28" s="27"/>
      <c r="B28" s="28"/>
      <c r="C28" s="28"/>
      <c r="D28" s="67"/>
      <c r="E28" s="75"/>
      <c r="F28" s="29"/>
      <c r="G28" s="28"/>
      <c r="H28" s="28"/>
      <c r="I28" s="30"/>
      <c r="J28" s="30"/>
      <c r="K28" s="31"/>
    </row>
    <row r="29" spans="1:13" ht="15.75" customHeight="1" x14ac:dyDescent="0.3">
      <c r="A29" s="189" t="s">
        <v>35</v>
      </c>
      <c r="B29" s="190"/>
      <c r="C29" s="190"/>
      <c r="D29" s="212" t="s">
        <v>52</v>
      </c>
      <c r="E29" s="213"/>
      <c r="F29" s="192" t="s">
        <v>24</v>
      </c>
      <c r="G29" s="194"/>
      <c r="H29" s="115" t="s">
        <v>40</v>
      </c>
      <c r="I29" s="192" t="s">
        <v>39</v>
      </c>
      <c r="J29" s="194"/>
      <c r="K29" s="31"/>
    </row>
    <row r="30" spans="1:13" ht="35.25" customHeight="1" x14ac:dyDescent="0.3">
      <c r="A30" s="228" t="s">
        <v>190</v>
      </c>
      <c r="B30" s="228"/>
      <c r="C30" s="228"/>
      <c r="D30" s="85">
        <v>1</v>
      </c>
      <c r="E30" s="82" t="s">
        <v>68</v>
      </c>
      <c r="F30" s="264">
        <v>200000</v>
      </c>
      <c r="G30" s="265"/>
      <c r="H30" s="100" t="s">
        <v>42</v>
      </c>
      <c r="I30" s="252">
        <f>+F30</f>
        <v>200000</v>
      </c>
      <c r="J30" s="208"/>
      <c r="K30" s="31"/>
    </row>
    <row r="31" spans="1:13" ht="35.25" customHeight="1" x14ac:dyDescent="0.3">
      <c r="A31" s="228" t="s">
        <v>284</v>
      </c>
      <c r="B31" s="228"/>
      <c r="C31" s="228"/>
      <c r="D31" s="85">
        <v>94.35</v>
      </c>
      <c r="E31" s="82" t="s">
        <v>18</v>
      </c>
      <c r="F31" s="255">
        <v>550</v>
      </c>
      <c r="G31" s="256"/>
      <c r="H31" s="94" t="s">
        <v>42</v>
      </c>
      <c r="I31" s="257">
        <f>F31*D31</f>
        <v>51892.5</v>
      </c>
      <c r="J31" s="258"/>
      <c r="K31" s="31"/>
    </row>
    <row r="32" spans="1:13" ht="15.75" customHeight="1" x14ac:dyDescent="0.3">
      <c r="A32" s="209"/>
      <c r="B32" s="209"/>
      <c r="C32" s="209"/>
      <c r="D32" s="209"/>
      <c r="E32" s="209"/>
      <c r="F32" s="209"/>
      <c r="G32" s="209"/>
      <c r="H32" s="209"/>
      <c r="I32" s="210">
        <f>SUM(I30:J31)</f>
        <v>251892.5</v>
      </c>
      <c r="J32" s="210"/>
      <c r="K32" s="39"/>
    </row>
    <row r="33" spans="1:11" ht="15.75" customHeight="1" x14ac:dyDescent="0.3">
      <c r="A33" s="172"/>
      <c r="B33" s="173"/>
      <c r="C33" s="173"/>
      <c r="D33" s="173"/>
      <c r="E33" s="173"/>
      <c r="F33" s="173"/>
      <c r="G33" s="173"/>
      <c r="H33" s="173"/>
      <c r="I33" s="96"/>
      <c r="J33" s="41"/>
      <c r="K33" s="43"/>
    </row>
    <row r="34" spans="1:11" ht="15.75" customHeight="1" x14ac:dyDescent="0.3">
      <c r="I34" s="91">
        <f>I32+I25+I18</f>
        <v>1576320.6895020211</v>
      </c>
    </row>
    <row r="35" spans="1:11" ht="15.75" customHeight="1" x14ac:dyDescent="0.3"/>
    <row r="36" spans="1:11" ht="15.75" customHeight="1" x14ac:dyDescent="0.3"/>
    <row r="37" spans="1:11" ht="15.75" customHeight="1" x14ac:dyDescent="0.3">
      <c r="A37" s="12">
        <v>2.08</v>
      </c>
      <c r="B37" s="12">
        <v>6.2057000000000002</v>
      </c>
      <c r="C37" s="12">
        <v>6.2069999999999999</v>
      </c>
      <c r="D37" s="70">
        <v>2.08</v>
      </c>
    </row>
    <row r="38" spans="1:11" ht="15.75" customHeight="1" x14ac:dyDescent="0.3">
      <c r="A38" s="12">
        <v>2.08</v>
      </c>
      <c r="B38" s="12">
        <v>6.2057000000000002</v>
      </c>
      <c r="C38" s="12">
        <v>6.2057000000000002</v>
      </c>
      <c r="D38" s="70">
        <v>2.08</v>
      </c>
    </row>
    <row r="39" spans="1:11" ht="15.75" customHeight="1" x14ac:dyDescent="0.3">
      <c r="A39" s="12">
        <v>2.08</v>
      </c>
      <c r="B39" s="12">
        <v>6.2057000000000002</v>
      </c>
      <c r="C39" s="12">
        <v>6.2057000000000002</v>
      </c>
      <c r="D39" s="70">
        <v>2.08</v>
      </c>
    </row>
    <row r="40" spans="1:11" ht="15.75" customHeight="1" x14ac:dyDescent="0.3">
      <c r="A40" s="12">
        <v>2.08</v>
      </c>
      <c r="B40" s="12">
        <v>6.2057000000000002</v>
      </c>
    </row>
    <row r="41" spans="1:11" ht="15.75" customHeight="1" x14ac:dyDescent="0.3">
      <c r="A41" s="12">
        <v>10.89</v>
      </c>
    </row>
    <row r="42" spans="1:11" ht="15.75" customHeight="1" x14ac:dyDescent="0.3">
      <c r="A42" s="12">
        <f>SUM(A37:A41)</f>
        <v>19.21</v>
      </c>
      <c r="B42" s="12">
        <f>SUM(B37:B41)</f>
        <v>24.822800000000001</v>
      </c>
      <c r="C42" s="12">
        <f>SUM(A42:B42)</f>
        <v>44.032800000000002</v>
      </c>
      <c r="D42" s="70">
        <f>SUM(D37:D41)</f>
        <v>6.24</v>
      </c>
      <c r="E42" s="76">
        <f>SUM(A42:D42)</f>
        <v>94.305599999999998</v>
      </c>
    </row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</sheetData>
  <mergeCells count="42">
    <mergeCell ref="A33:H33"/>
    <mergeCell ref="F30:G30"/>
    <mergeCell ref="D29:E29"/>
    <mergeCell ref="F29:G29"/>
    <mergeCell ref="I18:J18"/>
    <mergeCell ref="A24:C24"/>
    <mergeCell ref="I24:J24"/>
    <mergeCell ref="A18:H18"/>
    <mergeCell ref="A19:H19"/>
    <mergeCell ref="A23:C23"/>
    <mergeCell ref="D23:E23"/>
    <mergeCell ref="F23:G23"/>
    <mergeCell ref="I23:J23"/>
    <mergeCell ref="I32:J32"/>
    <mergeCell ref="A26:H26"/>
    <mergeCell ref="A30:C30"/>
    <mergeCell ref="A32:H32"/>
    <mergeCell ref="A14:C14"/>
    <mergeCell ref="D14:E14"/>
    <mergeCell ref="F14:G14"/>
    <mergeCell ref="I14:J14"/>
    <mergeCell ref="A17:C17"/>
    <mergeCell ref="I17:J17"/>
    <mergeCell ref="A25:H25"/>
    <mergeCell ref="I25:J25"/>
    <mergeCell ref="A29:C29"/>
    <mergeCell ref="I29:J29"/>
    <mergeCell ref="A16:C16"/>
    <mergeCell ref="I16:J16"/>
    <mergeCell ref="A15:C15"/>
    <mergeCell ref="I15:J15"/>
    <mergeCell ref="I30:J30"/>
    <mergeCell ref="A2:K4"/>
    <mergeCell ref="B7:K7"/>
    <mergeCell ref="B8:K8"/>
    <mergeCell ref="B9:F9"/>
    <mergeCell ref="J9:K9"/>
    <mergeCell ref="A31:C31"/>
    <mergeCell ref="F31:G31"/>
    <mergeCell ref="I31:J31"/>
    <mergeCell ref="B10:F10"/>
    <mergeCell ref="J10:K10"/>
  </mergeCells>
  <dataValidations disablePrompts="1" count="1">
    <dataValidation type="list" allowBlank="1" showInputMessage="1" showErrorMessage="1" sqref="J10" xr:uid="{00000000-0002-0000-0D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3C66"/>
  </sheetPr>
  <dimension ref="A1:M19"/>
  <sheetViews>
    <sheetView showGridLines="0" zoomScaleNormal="100" zoomScaleSheetLayoutView="95" workbookViewId="0">
      <selection activeCell="A16" sqref="A16:H16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1.554687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1.44140625" style="12" bestFit="1" customWidth="1"/>
    <col min="11" max="11" width="6.44140625" style="12" customWidth="1"/>
    <col min="12" max="12" width="11.33203125" style="12" bestFit="1" customWidth="1"/>
    <col min="13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152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8"/>
      <c r="G9" s="10" t="s">
        <v>10</v>
      </c>
      <c r="H9" s="51" t="s">
        <v>49</v>
      </c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ht="15.75" customHeight="1" x14ac:dyDescent="0.3">
      <c r="A12" s="23" t="s">
        <v>165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75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75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89" t="s">
        <v>40</v>
      </c>
      <c r="I14" s="192" t="s">
        <v>39</v>
      </c>
      <c r="J14" s="194"/>
      <c r="K14" s="31"/>
    </row>
    <row r="15" spans="1:13" ht="15.75" customHeight="1" x14ac:dyDescent="0.3">
      <c r="A15" s="201" t="s">
        <v>183</v>
      </c>
      <c r="B15" s="201"/>
      <c r="C15" s="201"/>
      <c r="D15" s="97">
        <f>62.16+53.44</f>
        <v>115.6</v>
      </c>
      <c r="E15" s="79" t="s">
        <v>18</v>
      </c>
      <c r="F15" s="98">
        <v>500</v>
      </c>
      <c r="G15" s="99" t="s">
        <v>69</v>
      </c>
      <c r="H15" s="100" t="s">
        <v>42</v>
      </c>
      <c r="I15" s="252">
        <f>+F15*D15</f>
        <v>57800</v>
      </c>
      <c r="J15" s="208"/>
      <c r="K15" s="31"/>
    </row>
    <row r="16" spans="1:13" ht="15.75" customHeight="1" x14ac:dyDescent="0.3">
      <c r="A16" s="209" t="s">
        <v>43</v>
      </c>
      <c r="B16" s="209"/>
      <c r="C16" s="209"/>
      <c r="D16" s="209"/>
      <c r="E16" s="209"/>
      <c r="F16" s="209"/>
      <c r="G16" s="209"/>
      <c r="H16" s="209"/>
      <c r="I16" s="210">
        <f>SUM(I15:J15)</f>
        <v>57800</v>
      </c>
      <c r="J16" s="210"/>
      <c r="K16" s="39"/>
    </row>
    <row r="17" spans="1:11" ht="15.75" customHeight="1" x14ac:dyDescent="0.3">
      <c r="A17" s="172"/>
      <c r="B17" s="173"/>
      <c r="C17" s="173"/>
      <c r="D17" s="173"/>
      <c r="E17" s="173"/>
      <c r="F17" s="173"/>
      <c r="G17" s="173"/>
      <c r="H17" s="173"/>
      <c r="I17" s="96"/>
      <c r="J17" s="41"/>
      <c r="K17" s="43"/>
    </row>
    <row r="19" spans="1:11" x14ac:dyDescent="0.3">
      <c r="J19" s="91">
        <f>I16</f>
        <v>57800</v>
      </c>
    </row>
  </sheetData>
  <mergeCells count="16">
    <mergeCell ref="A17:H17"/>
    <mergeCell ref="A16:H16"/>
    <mergeCell ref="I16:J16"/>
    <mergeCell ref="A14:C14"/>
    <mergeCell ref="D14:E14"/>
    <mergeCell ref="F14:G14"/>
    <mergeCell ref="I14:J14"/>
    <mergeCell ref="A15:C15"/>
    <mergeCell ref="I15:J15"/>
    <mergeCell ref="B10:F10"/>
    <mergeCell ref="J10:K10"/>
    <mergeCell ref="A2:K4"/>
    <mergeCell ref="B7:K7"/>
    <mergeCell ref="B8:K8"/>
    <mergeCell ref="B9:F9"/>
    <mergeCell ref="J9:K9"/>
  </mergeCells>
  <dataValidations count="1">
    <dataValidation type="list" allowBlank="1" showInputMessage="1" showErrorMessage="1" sqref="J10" xr:uid="{00000000-0002-0000-0E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3C66"/>
  </sheetPr>
  <dimension ref="A1:M22"/>
  <sheetViews>
    <sheetView showGridLines="0" zoomScaleNormal="100" zoomScaleSheetLayoutView="95" workbookViewId="0">
      <selection activeCell="L14" sqref="L14:L15"/>
    </sheetView>
  </sheetViews>
  <sheetFormatPr defaultColWidth="9.109375" defaultRowHeight="13.2" x14ac:dyDescent="0.3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1.554687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2" width="11.5546875" style="12" bestFit="1" customWidth="1"/>
    <col min="13" max="16384" width="9.109375" style="12"/>
  </cols>
  <sheetData>
    <row r="1" spans="1:13" x14ac:dyDescent="0.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 x14ac:dyDescent="0.3">
      <c r="A2" s="152" t="s">
        <v>149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M2" s="13"/>
    </row>
    <row r="3" spans="1:13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M3" s="13"/>
    </row>
    <row r="4" spans="1:13" x14ac:dyDescent="0.3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M4" s="13"/>
    </row>
    <row r="5" spans="1:13" ht="13.8" thickBot="1" x14ac:dyDescent="0.35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 x14ac:dyDescent="0.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 x14ac:dyDescent="0.3">
      <c r="A7" s="6" t="s">
        <v>0</v>
      </c>
      <c r="B7" s="154" t="s">
        <v>192</v>
      </c>
      <c r="C7" s="154"/>
      <c r="D7" s="154"/>
      <c r="E7" s="154"/>
      <c r="F7" s="154"/>
      <c r="G7" s="154"/>
      <c r="H7" s="154"/>
      <c r="I7" s="154"/>
      <c r="J7" s="154"/>
      <c r="K7" s="154"/>
      <c r="M7" s="13"/>
    </row>
    <row r="8" spans="1:13" x14ac:dyDescent="0.3">
      <c r="A8" s="6" t="s">
        <v>1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M8" s="13"/>
    </row>
    <row r="9" spans="1:13" ht="15" customHeight="1" x14ac:dyDescent="0.3">
      <c r="A9" s="6" t="s">
        <v>2</v>
      </c>
      <c r="B9" s="156" t="s">
        <v>193</v>
      </c>
      <c r="C9" s="157"/>
      <c r="D9" s="157"/>
      <c r="E9" s="157"/>
      <c r="F9" s="158"/>
      <c r="G9" s="10" t="s">
        <v>10</v>
      </c>
      <c r="H9" s="51" t="s">
        <v>49</v>
      </c>
      <c r="I9" s="7" t="s">
        <v>6</v>
      </c>
      <c r="J9" s="155" t="s">
        <v>44</v>
      </c>
      <c r="K9" s="155"/>
    </row>
    <row r="10" spans="1:13" x14ac:dyDescent="0.3">
      <c r="A10" s="8" t="s">
        <v>3</v>
      </c>
      <c r="B10" s="159">
        <v>44294</v>
      </c>
      <c r="C10" s="160"/>
      <c r="D10" s="160"/>
      <c r="E10" s="160"/>
      <c r="F10" s="161"/>
      <c r="G10" s="10" t="s">
        <v>4</v>
      </c>
      <c r="H10" s="9" t="s">
        <v>5</v>
      </c>
      <c r="I10" s="7" t="s">
        <v>41</v>
      </c>
      <c r="J10" s="162" t="s">
        <v>8</v>
      </c>
      <c r="K10" s="163"/>
    </row>
    <row r="12" spans="1:13" ht="15.75" customHeight="1" x14ac:dyDescent="0.3">
      <c r="A12" s="23" t="s">
        <v>154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75" customHeight="1" x14ac:dyDescent="0.3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75" customHeight="1" x14ac:dyDescent="0.3">
      <c r="A14" s="189" t="s">
        <v>35</v>
      </c>
      <c r="B14" s="190"/>
      <c r="C14" s="190"/>
      <c r="D14" s="212" t="s">
        <v>52</v>
      </c>
      <c r="E14" s="213"/>
      <c r="F14" s="192" t="s">
        <v>24</v>
      </c>
      <c r="G14" s="194"/>
      <c r="H14" s="89" t="s">
        <v>40</v>
      </c>
      <c r="I14" s="192" t="s">
        <v>39</v>
      </c>
      <c r="J14" s="194"/>
      <c r="K14" s="31"/>
    </row>
    <row r="15" spans="1:13" ht="15.75" customHeight="1" x14ac:dyDescent="0.3">
      <c r="A15" s="201" t="s">
        <v>155</v>
      </c>
      <c r="B15" s="201"/>
      <c r="C15" s="201"/>
      <c r="D15" s="97">
        <v>1</v>
      </c>
      <c r="E15" s="79" t="s">
        <v>68</v>
      </c>
      <c r="F15" s="90">
        <v>2500</v>
      </c>
      <c r="G15" s="99" t="s">
        <v>206</v>
      </c>
      <c r="H15" s="100" t="s">
        <v>176</v>
      </c>
      <c r="I15" s="224">
        <f>D15*F15*'Dados Gerais'!$E$22</f>
        <v>367224.99999999994</v>
      </c>
      <c r="J15" s="267"/>
      <c r="K15" s="31"/>
    </row>
    <row r="16" spans="1:13" ht="15.75" customHeight="1" x14ac:dyDescent="0.3">
      <c r="A16" s="195" t="s">
        <v>156</v>
      </c>
      <c r="B16" s="195"/>
      <c r="C16" s="195"/>
      <c r="D16" s="101">
        <v>1</v>
      </c>
      <c r="E16" s="80" t="s">
        <v>68</v>
      </c>
      <c r="F16" s="104">
        <v>12</v>
      </c>
      <c r="G16" s="103" t="s">
        <v>25</v>
      </c>
      <c r="H16" s="94" t="s">
        <v>176</v>
      </c>
      <c r="I16" s="211">
        <f>D16*F16*'Dados Gerais'!$E$15</f>
        <v>83579.64</v>
      </c>
      <c r="J16" s="227"/>
      <c r="K16" s="31"/>
      <c r="L16" s="91"/>
    </row>
    <row r="17" spans="1:11" ht="15.75" customHeight="1" x14ac:dyDescent="0.3">
      <c r="A17" s="195" t="s">
        <v>157</v>
      </c>
      <c r="B17" s="195"/>
      <c r="C17" s="195"/>
      <c r="D17" s="101">
        <v>1</v>
      </c>
      <c r="E17" s="80" t="s">
        <v>68</v>
      </c>
      <c r="F17" s="104">
        <v>15</v>
      </c>
      <c r="G17" s="103" t="s">
        <v>25</v>
      </c>
      <c r="H17" s="94" t="s">
        <v>176</v>
      </c>
      <c r="I17" s="211">
        <f>D17*F17*'Dados Gerais'!$E$15</f>
        <v>104474.55</v>
      </c>
      <c r="J17" s="227"/>
      <c r="K17" s="31"/>
    </row>
    <row r="18" spans="1:11" ht="15.75" customHeight="1" x14ac:dyDescent="0.3">
      <c r="A18" s="220" t="s">
        <v>158</v>
      </c>
      <c r="B18" s="220"/>
      <c r="C18" s="220"/>
      <c r="D18" s="101">
        <v>1</v>
      </c>
      <c r="E18" s="80" t="s">
        <v>68</v>
      </c>
      <c r="F18" s="104">
        <v>10</v>
      </c>
      <c r="G18" s="107" t="s">
        <v>25</v>
      </c>
      <c r="H18" s="94" t="s">
        <v>176</v>
      </c>
      <c r="I18" s="225">
        <f>D18*F18*'Dados Gerais'!$E$15</f>
        <v>69649.7</v>
      </c>
      <c r="J18" s="226"/>
      <c r="K18" s="31"/>
    </row>
    <row r="19" spans="1:11" ht="15.75" customHeight="1" x14ac:dyDescent="0.3">
      <c r="A19" s="209" t="s">
        <v>43</v>
      </c>
      <c r="B19" s="209"/>
      <c r="C19" s="209"/>
      <c r="D19" s="209"/>
      <c r="E19" s="209"/>
      <c r="F19" s="209"/>
      <c r="G19" s="209"/>
      <c r="H19" s="209"/>
      <c r="I19" s="210">
        <f>SUM(I15:J18)</f>
        <v>624928.8899999999</v>
      </c>
      <c r="J19" s="210"/>
      <c r="K19" s="39"/>
    </row>
    <row r="20" spans="1:11" ht="15.75" customHeight="1" x14ac:dyDescent="0.3">
      <c r="A20" s="172"/>
      <c r="B20" s="173"/>
      <c r="C20" s="173"/>
      <c r="D20" s="173"/>
      <c r="E20" s="173"/>
      <c r="F20" s="173"/>
      <c r="G20" s="173"/>
      <c r="H20" s="173"/>
      <c r="I20" s="96"/>
      <c r="J20" s="41"/>
      <c r="K20" s="43"/>
    </row>
    <row r="21" spans="1:11" x14ac:dyDescent="0.3">
      <c r="J21" s="91"/>
    </row>
    <row r="22" spans="1:11" x14ac:dyDescent="0.3">
      <c r="J22" s="91">
        <f>I19</f>
        <v>624928.8899999999</v>
      </c>
    </row>
  </sheetData>
  <mergeCells count="22">
    <mergeCell ref="A20:H20"/>
    <mergeCell ref="A17:C17"/>
    <mergeCell ref="I17:J17"/>
    <mergeCell ref="A18:C18"/>
    <mergeCell ref="I18:J18"/>
    <mergeCell ref="A16:C16"/>
    <mergeCell ref="I16:J16"/>
    <mergeCell ref="A19:H19"/>
    <mergeCell ref="I19:J19"/>
    <mergeCell ref="A14:C14"/>
    <mergeCell ref="D14:E14"/>
    <mergeCell ref="F14:G14"/>
    <mergeCell ref="I14:J14"/>
    <mergeCell ref="A15:C15"/>
    <mergeCell ref="I15:J15"/>
    <mergeCell ref="B10:F10"/>
    <mergeCell ref="J10:K10"/>
    <mergeCell ref="A2:K4"/>
    <mergeCell ref="B7:K7"/>
    <mergeCell ref="B8:K8"/>
    <mergeCell ref="B9:F9"/>
    <mergeCell ref="J9:K9"/>
  </mergeCells>
  <dataValidations disablePrompts="1" count="1">
    <dataValidation type="list" allowBlank="1" showInputMessage="1" showErrorMessage="1" sqref="J10" xr:uid="{00000000-0002-0000-10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35</vt:i4>
      </vt:variant>
    </vt:vector>
  </HeadingPairs>
  <TitlesOfParts>
    <vt:vector size="54" baseType="lpstr">
      <vt:lpstr>Dados Gerais</vt:lpstr>
      <vt:lpstr>Resumo</vt:lpstr>
      <vt:lpstr>Movimentação de Terra</vt:lpstr>
      <vt:lpstr>Conteções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Acabamentos de Teto</vt:lpstr>
      <vt:lpstr>Acabamentos de Piso e Parede</vt:lpstr>
      <vt:lpstr>Pintura Interna</vt:lpstr>
      <vt:lpstr>Esquadrias</vt:lpstr>
      <vt:lpstr>Auxiliar</vt:lpstr>
      <vt:lpstr>Rev. Fachada</vt:lpstr>
      <vt:lpstr>Cobertura</vt:lpstr>
      <vt:lpstr>Complementares</vt:lpstr>
      <vt:lpstr>'Acabamentos de Piso e Parede'!Area_de_impressao</vt:lpstr>
      <vt:lpstr>'Acabamentos de Teto'!Area_de_impressao</vt:lpstr>
      <vt:lpstr>Alvenaria!Area_de_impressao</vt:lpstr>
      <vt:lpstr>Cobertura!Area_de_impressao</vt:lpstr>
      <vt:lpstr>Complementares!Area_de_impressao</vt:lpstr>
      <vt:lpstr>Conteções!Area_de_impressao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'Movimentação de Terra'!Area_de_impressao</vt:lpstr>
      <vt:lpstr>'Pintura Interna'!Area_de_impressao</vt:lpstr>
      <vt:lpstr>Resumo!Area_de_impressao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'Acabamentos de Piso e Parede'!Titulos_de_impressao</vt:lpstr>
      <vt:lpstr>'Acabamentos de Teto'!Titulos_de_impressao</vt:lpstr>
      <vt:lpstr>Alvenaria!Titulos_de_impressao</vt:lpstr>
      <vt:lpstr>Cobertura!Titulos_de_impressao</vt:lpstr>
      <vt:lpstr>Complementares!Titulos_de_impressao</vt:lpstr>
      <vt:lpstr>Conteções!Titulos_de_impressao</vt:lpstr>
      <vt:lpstr>'Dados Gerais'!Titulos_de_impressao</vt:lpstr>
      <vt:lpstr>Esquadrias!Titulos_de_impressao</vt:lpstr>
      <vt:lpstr>Impermeabilização!Titulos_de_impressao</vt:lpstr>
      <vt:lpstr>Infraestrutura!Titulos_de_impressao</vt:lpstr>
      <vt:lpstr>Instalações!Titulos_de_impressao</vt:lpstr>
      <vt:lpstr>'Movimentação de Terra'!Titulos_de_impressao</vt:lpstr>
      <vt:lpstr>'Pintura Interna'!Titulos_de_impressao</vt:lpstr>
      <vt:lpstr>Resumo!Titulos_de_impressao</vt:lpstr>
      <vt:lpstr>'Rev. Fachada'!Titulos_de_impressao</vt:lpstr>
      <vt:lpstr>'Rev. Internos Piso e Parede'!Titulos_de_impressao</vt:lpstr>
      <vt:lpstr>'Sistemas especiais'!Titulos_de_impressao</vt:lpstr>
      <vt:lpstr>Supraestrutura!Titulos_de_impressao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Luisa Romaniello</cp:lastModifiedBy>
  <cp:lastPrinted>2020-09-28T02:21:03Z</cp:lastPrinted>
  <dcterms:created xsi:type="dcterms:W3CDTF">2013-07-31T19:52:57Z</dcterms:created>
  <dcterms:modified xsi:type="dcterms:W3CDTF">2022-07-04T17:58:01Z</dcterms:modified>
</cp:coreProperties>
</file>